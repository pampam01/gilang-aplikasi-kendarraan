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7.xml"/>
  <Override ContentType="application/vnd.openxmlformats-officedocument.spreadsheetml.table+xml" PartName="/xl/tables/table4.xml"/>
  <Override ContentType="application/vnd.openxmlformats-officedocument.spreadsheetml.table+xml" PartName="/xl/tables/table29.xml"/>
  <Override ContentType="application/vnd.openxmlformats-officedocument.spreadsheetml.table+xml" PartName="/xl/tables/table32.xml"/>
  <Override ContentType="application/vnd.openxmlformats-officedocument.spreadsheetml.table+xml" PartName="/xl/tables/table28.xml"/>
  <Override ContentType="application/vnd.openxmlformats-officedocument.spreadsheetml.table+xml" PartName="/xl/tables/table15.xml"/>
  <Override ContentType="application/vnd.openxmlformats-officedocument.spreadsheetml.table+xml" PartName="/xl/tables/table8.xml"/>
  <Override ContentType="application/vnd.openxmlformats-officedocument.spreadsheetml.table+xml" PartName="/xl/tables/table24.xml"/>
  <Override ContentType="application/vnd.openxmlformats-officedocument.spreadsheetml.table+xml" PartName="/xl/tables/table11.xml"/>
  <Override ContentType="application/vnd.openxmlformats-officedocument.spreadsheetml.table+xml" PartName="/xl/tables/table31.xml"/>
  <Override ContentType="application/vnd.openxmlformats-officedocument.spreadsheetml.table+xml" PartName="/xl/tables/table5.xml"/>
  <Override ContentType="application/vnd.openxmlformats-officedocument.spreadsheetml.table+xml" PartName="/xl/tables/table36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27.xml"/>
  <Override ContentType="application/vnd.openxmlformats-officedocument.spreadsheetml.table+xml" PartName="/xl/tables/table14.xml"/>
  <Override ContentType="application/vnd.openxmlformats-officedocument.spreadsheetml.table+xml" PartName="/xl/tables/table23.xml"/>
  <Override ContentType="application/vnd.openxmlformats-officedocument.spreadsheetml.table+xml" PartName="/xl/tables/table9.xml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1.xml"/>
  <Override ContentType="application/vnd.openxmlformats-officedocument.spreadsheetml.table+xml" PartName="/xl/tables/table30.xml"/>
  <Override ContentType="application/vnd.openxmlformats-officedocument.spreadsheetml.table+xml" PartName="/xl/tables/table22.xml"/>
  <Override ContentType="application/vnd.openxmlformats-officedocument.spreadsheetml.table+xml" PartName="/xl/tables/table2.xml"/>
  <Override ContentType="application/vnd.openxmlformats-officedocument.spreadsheetml.table+xml" PartName="/xl/tables/table35.xml"/>
  <Override ContentType="application/vnd.openxmlformats-officedocument.spreadsheetml.table+xml" PartName="/xl/tables/table26.xml"/>
  <Override ContentType="application/vnd.openxmlformats-officedocument.spreadsheetml.table+xml" PartName="/xl/tables/table6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33.xml"/>
  <Override ContentType="application/vnd.openxmlformats-officedocument.spreadsheetml.table+xml" PartName="/xl/tables/table34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12.xml"/>
  <Override ContentType="application/vnd.openxmlformats-officedocument.spreadsheetml.table+xml" PartName="/xl/tables/table25.xml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44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1. Dinas Pendidikan" sheetId="1" r:id="rId5"/>
    <sheet state="visible" name="02. Dinas Kesehatan" sheetId="2" r:id="rId6"/>
    <sheet state="visible" name="03. DPUPR" sheetId="3" r:id="rId7"/>
    <sheet state="visible" name="04. Perkim" sheetId="4" r:id="rId8"/>
    <sheet state="visible" name="05. Satpol PP" sheetId="5" r:id="rId9"/>
    <sheet state="visible" name="06. Damkar" sheetId="6" r:id="rId10"/>
    <sheet state="visible" name="07. Dinsos" sheetId="7" r:id="rId11"/>
    <sheet state="visible" name="08. BPBD" sheetId="8" r:id="rId12"/>
    <sheet state="visible" name="9. Nakertrans" sheetId="9" r:id="rId13"/>
    <sheet state="visible" name="10. DKP" sheetId="10" r:id="rId14"/>
    <sheet state="hidden" name="10. DKP (data lama)" sheetId="11" r:id="rId15"/>
    <sheet state="visible" name="11. DLH" sheetId="12" r:id="rId16"/>
    <sheet state="visible" name="12. Disdukcapil" sheetId="13" r:id="rId17"/>
    <sheet state="visible" name="13. PMD" sheetId="14" r:id="rId18"/>
    <sheet state="visible" name="14. DPPKB" sheetId="15" r:id="rId19"/>
    <sheet state="visible" name="15. Dishub" sheetId="16" r:id="rId20"/>
    <sheet state="visible" name="16.DISKOMINFO" sheetId="17" r:id="rId21"/>
    <sheet state="visible" name="17. Diskoperindag" sheetId="18" r:id="rId22"/>
    <sheet state="visible" name="18. DPMPTSP" sheetId="19" r:id="rId23"/>
    <sheet state="visible" name="19. DPAD" sheetId="20" r:id="rId24"/>
    <sheet state="visible" name="20. Diskan" sheetId="21" r:id="rId25"/>
    <sheet state="visible" name="21. Disparpora" sheetId="22" r:id="rId26"/>
    <sheet state="visible" name="22. DTPH" sheetId="23" r:id="rId27"/>
    <sheet state="visible" name="23. Disbunnak" sheetId="24" r:id="rId28"/>
    <sheet state="visible" name="24. Inspektorat" sheetId="25" r:id="rId29"/>
    <sheet state="visible" name="25. Bapperida" sheetId="26" r:id="rId30"/>
    <sheet state="visible" name="26. BPKAD" sheetId="27" r:id="rId31"/>
    <sheet state="visible" name="27. BPPRD" sheetId="28" r:id="rId32"/>
    <sheet state="visible" name="28. BKD" sheetId="29" r:id="rId33"/>
    <sheet state="visible" name="29.SETDA" sheetId="30" r:id="rId34"/>
    <sheet state="visible" name="30. DPRD" sheetId="31" r:id="rId35"/>
    <sheet state="visible" name="31. Kesbang Pol" sheetId="32" r:id="rId36"/>
    <sheet state="visible" name="32. Kec. Sekernan" sheetId="33" r:id="rId37"/>
    <sheet state="visible" name="33. Kec. Maro Sebo" sheetId="34" r:id="rId38"/>
    <sheet state="visible" name="34. Kec. Jaluko" sheetId="35" r:id="rId39"/>
    <sheet state="visible" name="35. Kec. Mestong" sheetId="36" r:id="rId40"/>
    <sheet state="visible" name="36. Kec. Kumpeh Ulu" sheetId="37" r:id="rId41"/>
    <sheet state="visible" name="37. Kec. Kumpeh" sheetId="38" r:id="rId42"/>
    <sheet state="visible" name="38. Kec. Sungai Bahar" sheetId="39" r:id="rId43"/>
    <sheet state="visible" name="39. Kec. Sungai Gelam" sheetId="40" r:id="rId44"/>
    <sheet state="visible" name="40. Kec. Taman Rajo" sheetId="41" r:id="rId45"/>
    <sheet state="visible" name="41. Kec. Bahar Utara" sheetId="42" r:id="rId46"/>
    <sheet state="visible" name="42. Kec. Bahar Selatan" sheetId="43" r:id="rId47"/>
    <sheet state="visible" name="Dinkes" sheetId="44" r:id="rId48"/>
    <sheet state="hidden" name="Stlh Diperbaharui (2)" sheetId="45" r:id="rId49"/>
  </sheets>
  <definedNames>
    <definedName localSheetId="32" name="koralbeton">#REF!</definedName>
    <definedName localSheetId="3" name="bbm">#REF!</definedName>
    <definedName localSheetId="13" name="zzz">#REF!</definedName>
    <definedName localSheetId="7" name="ubinmosaik3030">#REF!</definedName>
    <definedName localSheetId="4" name="_818FA">#REF!</definedName>
    <definedName localSheetId="24" name="rincian">#REF!</definedName>
    <definedName localSheetId="17" name="R56..">#REF!</definedName>
    <definedName localSheetId="3" name="___DIV2">#REF!</definedName>
    <definedName localSheetId="12" name="venetionblinds">#REF!</definedName>
    <definedName localSheetId="17" name="sementahanasam">#REF!</definedName>
    <definedName localSheetId="24" name="_______MMM42">#REF!</definedName>
    <definedName localSheetId="25" name="bakkontrol">#REF!</definedName>
    <definedName localSheetId="41" name="L">#REF!</definedName>
    <definedName localSheetId="33" name="sdg">#REF!</definedName>
    <definedName localSheetId="11" name="rollingdoor">#REF!</definedName>
    <definedName localSheetId="19" name="________DIV4">#REF!</definedName>
    <definedName localSheetId="3" name="________HAL6">#REF!</definedName>
    <definedName localSheetId="25" name="kiki">#REF!</definedName>
    <definedName localSheetId="27" name="kayuterentang">#REF!</definedName>
    <definedName localSheetId="17" name="______DIV8">#REF!</definedName>
    <definedName localSheetId="13" name="besi10.sii">#REF!</definedName>
    <definedName localSheetId="33" name="kaca.p.5">#REF!</definedName>
    <definedName name="URAIAN94">#REF!</definedName>
    <definedName localSheetId="15" name="plamur.matex">#REF!</definedName>
    <definedName localSheetId="4" name="kayujati">#REF!</definedName>
    <definedName localSheetId="36" name="ubinkeramikartistik1010">#REF!</definedName>
    <definedName localSheetId="36" name="_____DIV10">#REF!</definedName>
    <definedName localSheetId="12" name="Kunci1">#REF!</definedName>
    <definedName localSheetId="44" name="________DIV10">#REF!</definedName>
    <definedName localSheetId="34" name="multi.18">#REF!</definedName>
    <definedName localSheetId="0" name="gymfloor">#REF!</definedName>
    <definedName localSheetId="42" name="jendelanako">#REF!</definedName>
    <definedName localSheetId="33" name="SPJ">#REF!</definedName>
    <definedName localSheetId="12" name="w">#REF!</definedName>
    <definedName localSheetId="44" name="_MMM36">#REF!</definedName>
    <definedName name="FORM841">#REF!</definedName>
    <definedName localSheetId="41" name="pakuhalus">#REF!</definedName>
    <definedName localSheetId="25" name="washtafel">#REF!</definedName>
    <definedName localSheetId="20" name="cycllop">#REF!</definedName>
    <definedName name="__MMM29">#REF!</definedName>
    <definedName localSheetId="36" name="bubungangentengkodok">#REF!</definedName>
    <definedName localSheetId="7" name="_MMM32">#REF!</definedName>
    <definedName localSheetId="8" name="_tl2">#REF!</definedName>
    <definedName localSheetId="12" name="rollingdoor">#REF!</definedName>
    <definedName localSheetId="44" name="ubinkeramik1033">#REF!</definedName>
    <definedName localSheetId="6" name="UPAH">#REF!</definedName>
    <definedName localSheetId="11" name="URAIAN7614b">#REF!</definedName>
    <definedName localSheetId="24" name="______HAL5">#REF!</definedName>
    <definedName localSheetId="17" name="__LLL01">#REF!</definedName>
    <definedName localSheetId="38" name="waterstop150">#REF!</definedName>
    <definedName localSheetId="31" name="ubingranito40">#REF!</definedName>
    <definedName localSheetId="9" name="pasirsilika">#REF!</definedName>
    <definedName localSheetId="23" name="________MMM03">#REF!</definedName>
    <definedName localSheetId="3" name="_________HAL4">#REF!</definedName>
    <definedName localSheetId="4" name="papanjelutung">#REF!</definedName>
    <definedName localSheetId="36" name="kayutembesu">#REF!</definedName>
    <definedName localSheetId="38" name="sodaapi">#REF!</definedName>
    <definedName localSheetId="5" name="tanggal">#REF!</definedName>
    <definedName localSheetId="33" name="urugantanah">#REF!</definedName>
    <definedName localSheetId="19" name="P">#REF!</definedName>
    <definedName localSheetId="25" name="bilikbambu">#REF!</definedName>
    <definedName localSheetId="19" name="B.Jambi">#REF!</definedName>
    <definedName localSheetId="24" name="_____MMM411">#REF!</definedName>
    <definedName localSheetId="7" name="________MMM06">#REF!</definedName>
    <definedName localSheetId="41" name="_______HAL1">#REF!</definedName>
    <definedName localSheetId="21" name="FRRDS">#REF!</definedName>
    <definedName localSheetId="7" name="______MMM03">#REF!</definedName>
    <definedName localSheetId="25" name="urugankembali">#REF!</definedName>
    <definedName localSheetId="18" name="u.bekisting">#REF!</definedName>
    <definedName localSheetId="3" name="_Tl1">#REF!</definedName>
    <definedName localSheetId="17" name="______MMM09">#REF!</definedName>
    <definedName localSheetId="20" name="amobiotic">#REF!</definedName>
    <definedName localSheetId="40" name="SUNGAI_BERTAM">#REF!</definedName>
    <definedName localSheetId="17" name="________MMM12">#REF!</definedName>
    <definedName localSheetId="41" name="grendel4">#REF!</definedName>
    <definedName localSheetId="5" name="batukali14">#REF!</definedName>
    <definedName localSheetId="19" name="URAIAN7614b">#REF!</definedName>
    <definedName localSheetId="25" name="__DIV2">#REF!</definedName>
    <definedName localSheetId="20" name="pintualuminium">#REF!</definedName>
    <definedName localSheetId="44" name="kusen.alum">#REF!</definedName>
    <definedName localSheetId="34" name="_____MMM01">#REF!</definedName>
    <definedName localSheetId="3" name="_________MMM01">#REF!</definedName>
    <definedName localSheetId="8" name="___DIV2">#REF!</definedName>
    <definedName localSheetId="19" name="tukng">#REF!</definedName>
    <definedName localSheetId="17" name="____MMM48">#REF!</definedName>
    <definedName localSheetId="10" name="gggg">#REF!</definedName>
    <definedName localSheetId="17" name="SSSSSSSSSSSSSSSSSSSSSSSSSSSSS">#REF!</definedName>
    <definedName localSheetId="18" name="paku5.7.10">#REF!</definedName>
    <definedName name="FORM7614a">#REF!</definedName>
    <definedName localSheetId="17" name="lemvinyl">#REF!</definedName>
    <definedName name="___pvc05">#REF!</definedName>
    <definedName localSheetId="31" name="leni">#REF!</definedName>
    <definedName localSheetId="4" name="B.Aparatur">#REF!</definedName>
    <definedName localSheetId="20" name="URAIAN7613b">#REF!</definedName>
    <definedName localSheetId="5" name="kompresor">#REF!</definedName>
    <definedName name="nokgentengaspal">#REF!</definedName>
    <definedName localSheetId="7" name="________MMM42">#REF!</definedName>
    <definedName localSheetId="38" name="plintkeramikartistik520">#REF!</definedName>
    <definedName localSheetId="17" name="Analisa70107">#REF!</definedName>
    <definedName name="______LLL01">#REF!</definedName>
    <definedName name="spirtus">#REF!</definedName>
    <definedName localSheetId="38" name="Jendelabesibaja">#REF!</definedName>
    <definedName localSheetId="0" name="_DIV10">#REF!</definedName>
    <definedName localSheetId="31" name="pintualuminium">#REF!</definedName>
    <definedName localSheetId="17" name="_MMM11">#REF!</definedName>
    <definedName localSheetId="11" name="Akustik">#REF!</definedName>
    <definedName localSheetId="19" name="pa">#REF!</definedName>
    <definedName localSheetId="41" name="plintubinteraluxmarmer1060">#REF!</definedName>
    <definedName localSheetId="24" name="______DIV10">#REF!</definedName>
    <definedName localSheetId="44" name="________MMM01">#REF!</definedName>
    <definedName localSheetId="23" name="ppn2.30">#REF!</definedName>
    <definedName localSheetId="31" name="R21..">#REF!</definedName>
    <definedName localSheetId="13" name="kategori">#REF!</definedName>
    <definedName localSheetId="5" name="___MMM03">#REF!</definedName>
    <definedName localSheetId="3" name="grendel4">#REF!</definedName>
    <definedName localSheetId="9" name="reng">#REF!</definedName>
    <definedName localSheetId="36" name="KERAMIK30">#REF!</definedName>
    <definedName localSheetId="39" name="____HAL3">#REF!</definedName>
    <definedName localSheetId="34" name="plywood4mm">#REF!</definedName>
    <definedName localSheetId="21" name="___DIV2">#REF!</definedName>
    <definedName localSheetId="33" name="waterstop230">#REF!</definedName>
    <definedName localSheetId="25" name="____DIV2">#REF!</definedName>
    <definedName localSheetId="33" name="batupecah">#REF!</definedName>
    <definedName localSheetId="19" name="URAIAN7610">#REF!</definedName>
    <definedName localSheetId="7" name="______MMM36">#REF!</definedName>
    <definedName localSheetId="44" name="______MMM26">#REF!</definedName>
    <definedName localSheetId="3" name="________MMM10">#REF!</definedName>
    <definedName localSheetId="15" name="SSSSSSSSSSSSSSSSSSSSSSSSSSSSS">#REF!</definedName>
    <definedName localSheetId="13" name="split1.2">#REF!</definedName>
    <definedName localSheetId="32" name="___DIV1">#REF!</definedName>
    <definedName localSheetId="36" name="__LLL01">#REF!</definedName>
    <definedName localSheetId="17" name="_________MMM41">#REF!</definedName>
    <definedName localSheetId="15" name="URAIAN22E">#REF!</definedName>
    <definedName localSheetId="9" name="cendana">#REF!</definedName>
    <definedName localSheetId="15" name="kali">#REF!</definedName>
    <definedName localSheetId="5" name="plintubinteraluxkerang1060">#REF!</definedName>
    <definedName localSheetId="39" name="bubungangentengbeton">#REF!</definedName>
    <definedName localSheetId="24" name="______MMM40">#REF!</definedName>
    <definedName localSheetId="44" name="_________DIV3">#REF!</definedName>
    <definedName localSheetId="9" name="__DIV3">#REF!</definedName>
    <definedName localSheetId="23" name="FORM7612a">#REF!</definedName>
    <definedName localSheetId="7" name="______MMM42">#REF!</definedName>
    <definedName localSheetId="6" name="p.bI">#REF!</definedName>
    <definedName localSheetId="15" name="residu">#REF!</definedName>
    <definedName localSheetId="21" name="Aluminium">#REF!</definedName>
    <definedName localSheetId="6" name="_______MMM02">#REF!</definedName>
    <definedName localSheetId="3" name="pengencer">#REF!</definedName>
    <definedName localSheetId="4" name="pakubulian">#REF!</definedName>
    <definedName localSheetId="7" name="split1.2">#REF!</definedName>
    <definedName localSheetId="17" name="gentengmonier">#REF!</definedName>
    <definedName localSheetId="25" name="kayukulim">#REF!</definedName>
    <definedName name="KunciWC">#REF!</definedName>
    <definedName localSheetId="28" name="a">#REF!</definedName>
    <definedName localSheetId="30" name="URAIAN611">#REF!</definedName>
    <definedName localSheetId="39" name="grendeltanam">#REF!</definedName>
    <definedName localSheetId="24" name="______LLL03">#REF!</definedName>
    <definedName localSheetId="40" name="pipabeton">#REF!</definedName>
    <definedName localSheetId="23" name="asbesgelombang">#REF!</definedName>
    <definedName localSheetId="13" name="jffhauifhauifhe">#REF!</definedName>
    <definedName localSheetId="8" name="gentengbeton">#REF!</definedName>
    <definedName localSheetId="32" name="pakubulian">#REF!</definedName>
    <definedName localSheetId="17" name="Analisa713">#REF!</definedName>
    <definedName localSheetId="31" name="_________MMM01">#REF!</definedName>
    <definedName localSheetId="17" name="________LLL07">#REF!</definedName>
    <definedName localSheetId="17" name="______DIV4">#REF!</definedName>
    <definedName localSheetId="28" name="jffhauifhauifhe">#REF!</definedName>
    <definedName localSheetId="40" name="pipagalvanis">#REF!</definedName>
    <definedName localSheetId="18" name="grendel4">#REF!</definedName>
    <definedName localSheetId="34" name="gypsum.9">#REF!</definedName>
    <definedName localSheetId="15" name="____DIV3">#REF!</definedName>
    <definedName localSheetId="25" name="KECAMATAN_KODEOHA">#REF!</definedName>
    <definedName localSheetId="30" name="kayuterentang">#REF!</definedName>
    <definedName localSheetId="31" name="bbm">#REF!</definedName>
    <definedName localSheetId="17" name="Gypsum">#REF!</definedName>
    <definedName localSheetId="25" name="FORM7613c">#REF!</definedName>
    <definedName localSheetId="6" name="URAIAN66PERMUKAAN">#REF!</definedName>
    <definedName localSheetId="39" name="JL_NAS">#REF!</definedName>
    <definedName localSheetId="36" name="__tl2">#REF!</definedName>
    <definedName localSheetId="24" name="vernis">#REF!</definedName>
    <definedName localSheetId="21" name="________MMM52">#REF!</definedName>
    <definedName localSheetId="17" name="_______HAL2">#REF!</definedName>
    <definedName localSheetId="21" name="______HAL5">#REF!</definedName>
    <definedName localSheetId="7" name="Analisa511">#REF!</definedName>
    <definedName localSheetId="21" name="gentengpalentongbesar">#REF!</definedName>
    <definedName localSheetId="40" name="Uraian841">#REF!</definedName>
    <definedName localSheetId="0" name="leni">#REF!</definedName>
    <definedName localSheetId="7" name="kayumarsawa">#REF!</definedName>
    <definedName localSheetId="10" name="_LLL01">#REF!</definedName>
    <definedName localSheetId="21" name="bjls30">#REF!</definedName>
    <definedName localSheetId="39" name="terntang">#REF!</definedName>
    <definedName name="k.lnt.rmn.20.20.pls">#REF!</definedName>
    <definedName localSheetId="15" name="____DIV1">#REF!</definedName>
    <definedName localSheetId="7" name="he">#REF!</definedName>
    <definedName localSheetId="10" name="kayuborneo">#REF!</definedName>
    <definedName localSheetId="8" name="__LLL03">#REF!</definedName>
    <definedName localSheetId="3" name="pa">#REF!</definedName>
    <definedName localSheetId="12" name="karpet">#REF!</definedName>
    <definedName localSheetId="34" name="BM">#REF!</definedName>
    <definedName localSheetId="38" name="amobiotic">#REF!</definedName>
    <definedName localSheetId="17" name="________DIV4">#REF!</definedName>
    <definedName localSheetId="7" name="FORM912">#REF!</definedName>
    <definedName localSheetId="28" name="rubbercorrugate">#REF!</definedName>
    <definedName localSheetId="13" name="kiki">#REF!</definedName>
    <definedName localSheetId="17" name="k.ddg.20.25.rmn.crk">#REF!</definedName>
    <definedName localSheetId="40" name="kaca.es">#REF!</definedName>
    <definedName localSheetId="31" name="sealer.mowi">#REF!</definedName>
    <definedName localSheetId="42" name="k.beton">#REF!</definedName>
    <definedName localSheetId="39" name="pasirsilika">#REF!</definedName>
    <definedName localSheetId="7" name="__LLL05">#REF!</definedName>
    <definedName localSheetId="32" name="R4..">#REF!</definedName>
    <definedName localSheetId="30" name="_________HAL1">#REF!</definedName>
    <definedName localSheetId="21" name="kuncitanambiasa">#REF!</definedName>
    <definedName localSheetId="39" name="MINOR">#REF!</definedName>
    <definedName localSheetId="9" name="borneo5.10">#REF!</definedName>
    <definedName localSheetId="23" name="FORM7612c">#REF!</definedName>
    <definedName localSheetId="9" name="MINOR">#REF!</definedName>
    <definedName name="___MMM27">#REF!</definedName>
    <definedName localSheetId="31" name="_______HAL2">#REF!</definedName>
    <definedName localSheetId="17" name="M">#REF!</definedName>
    <definedName localSheetId="17" name="________LLL04">#REF!</definedName>
    <definedName localSheetId="39" name="______MMM03">#REF!</definedName>
    <definedName localSheetId="17" name="besipresstressedpolos">#REF!</definedName>
    <definedName localSheetId="3" name="_________MMM53">#REF!</definedName>
    <definedName localSheetId="39" name="relpintudorong">#REF!</definedName>
    <definedName localSheetId="33" name="ktbs">#REF!</definedName>
    <definedName localSheetId="0" name="bjls30">#REF!</definedName>
    <definedName name="_______DIV3">#REF!</definedName>
    <definedName localSheetId="44" name="URAIAN94">#REF!</definedName>
    <definedName localSheetId="44" name="catmeni">#REF!</definedName>
    <definedName localSheetId="13" name="_______DIV1">#REF!</definedName>
    <definedName name="_______MMM04">#REF!</definedName>
    <definedName localSheetId="11" name="gabin_al">#REF!</definedName>
    <definedName localSheetId="13" name="R3..">#REF!</definedName>
    <definedName localSheetId="28" name="BPS">#REF!</definedName>
    <definedName localSheetId="0" name="pipatanah">#REF!</definedName>
    <definedName localSheetId="44" name="kenek">#REF!</definedName>
    <definedName localSheetId="38" name="___MMM02">#REF!</definedName>
    <definedName localSheetId="30" name="URAIANLatasirKL">#REF!</definedName>
    <definedName localSheetId="23" name="pakuhak15cm">#REF!</definedName>
    <definedName localSheetId="27" name="besi13">#REF!</definedName>
    <definedName name="URAIAN911">#REF!</definedName>
    <definedName localSheetId="12" name="Analisa512">#REF!</definedName>
    <definedName localSheetId="17" name="kuncitanam">#REF!</definedName>
    <definedName localSheetId="3" name="_______MMM23">#REF!</definedName>
    <definedName localSheetId="44" name="panelbetonpracetak">#REF!</definedName>
    <definedName localSheetId="12" name="plintubinteraluxmarmer1040">#REF!</definedName>
    <definedName localSheetId="42" name="paving">#REF!</definedName>
    <definedName localSheetId="25" name="kayualbasiah">#REF!</definedName>
    <definedName localSheetId="36" name="rooflightfiibreglass">#REF!</definedName>
    <definedName localSheetId="3" name="bubungangentengbesar">#REF!</definedName>
    <definedName localSheetId="40" name="jurnal">#REF!</definedName>
    <definedName localSheetId="15" name="sis">#REF!</definedName>
    <definedName localSheetId="27" name="papanII">#REF!</definedName>
    <definedName localSheetId="44" name="R75..">#REF!</definedName>
    <definedName localSheetId="24" name="_____MMM34">#REF!</definedName>
    <definedName localSheetId="3" name="_MMM11">#REF!</definedName>
    <definedName localSheetId="17" name="R50..">#REF!</definedName>
    <definedName localSheetId="24" name="_________MMM48">#REF!</definedName>
    <definedName localSheetId="23" name="beton100kg">#REF!</definedName>
    <definedName localSheetId="7" name="R106..">#REF!</definedName>
    <definedName localSheetId="7" name="FORM771b">#REF!</definedName>
    <definedName localSheetId="18" name="urugankembali">#REF!</definedName>
    <definedName name="_____DIV1">#REF!</definedName>
    <definedName localSheetId="19" name="lem">#REF!</definedName>
    <definedName localSheetId="4" name="waterstop230">#REF!</definedName>
    <definedName localSheetId="24" name="_______DIV4">#REF!</definedName>
    <definedName localSheetId="24" name="____HAL7">#REF!</definedName>
    <definedName localSheetId="19" name="roster">#REF!</definedName>
    <definedName localSheetId="23" name="flordrain">#REF!</definedName>
    <definedName localSheetId="17" name="w">#REF!</definedName>
    <definedName localSheetId="28" name="URAIAN323L">#REF!</definedName>
    <definedName localSheetId="3" name="_______MMM51">#REF!</definedName>
    <definedName localSheetId="7" name="________MMM54">#REF!</definedName>
    <definedName localSheetId="17" name="_MMM22">#REF!</definedName>
    <definedName localSheetId="20" name="kayuramin">#REF!</definedName>
    <definedName localSheetId="30" name="a">#REF!</definedName>
    <definedName localSheetId="25" name="_kop6">#REF!</definedName>
    <definedName localSheetId="23" name="gggg">#REF!</definedName>
    <definedName localSheetId="32" name="___MMM03">#REF!</definedName>
    <definedName name="_______MMM18">#REF!</definedName>
    <definedName localSheetId="12" name="medan5.7">#REF!</definedName>
    <definedName localSheetId="39" name="HP">#REF!</definedName>
    <definedName localSheetId="38" name="engsel4">#REF!</definedName>
    <definedName name="kd_daerah">#REF!</definedName>
    <definedName localSheetId="19" name="FORM66PERATA">#REF!</definedName>
    <definedName localSheetId="5" name="beton.tumbuk">#REF!</definedName>
    <definedName localSheetId="18" name="___MMM02">#REF!</definedName>
    <definedName localSheetId="18" name="FORM771c">#REF!</definedName>
    <definedName localSheetId="23" name="Kekurangan">#REF!</definedName>
    <definedName localSheetId="11" name="_________DIV2">#REF!</definedName>
    <definedName localSheetId="40" name="tegelplinteraso10x30">#REF!</definedName>
    <definedName localSheetId="24" name="___MMM43">#REF!</definedName>
    <definedName localSheetId="13" name="kaca8">#REF!</definedName>
    <definedName localSheetId="21" name="keramik20">#REF!</definedName>
    <definedName localSheetId="8" name="SPJ">#REF!</definedName>
    <definedName localSheetId="36" name="LAINLAIN">#REF!</definedName>
    <definedName localSheetId="19" name="_pvc3">#REF!</definedName>
    <definedName localSheetId="42" name="BAJA">#REF!</definedName>
    <definedName localSheetId="24" name="____MMM27">#REF!</definedName>
    <definedName localSheetId="6" name="profilalumuniumT">#REF!</definedName>
    <definedName localSheetId="7" name="FORM7612b">#REF!</definedName>
    <definedName localSheetId="40" name="_______DIV10">#REF!</definedName>
    <definedName localSheetId="24" name="R49..">#REF!</definedName>
    <definedName localSheetId="25" name="vernis">#REF!</definedName>
    <definedName localSheetId="33" name="________MMM02">#REF!</definedName>
    <definedName localSheetId="17" name="____MMM45">#REF!</definedName>
    <definedName localSheetId="19" name="UTAIAN7614c">#REF!</definedName>
    <definedName localSheetId="6" name="bondbeam">#REF!</definedName>
    <definedName localSheetId="5" name="kacapolos5mm">#REF!</definedName>
    <definedName localSheetId="20" name="yyyyyyy">#REF!</definedName>
    <definedName localSheetId="7" name="_______LLL07">#REF!</definedName>
    <definedName localSheetId="5" name="bondbeam">#REF!</definedName>
    <definedName localSheetId="4" name="FORM7612a">#REF!</definedName>
    <definedName localSheetId="6" name="minyaksolar">#REF!</definedName>
    <definedName localSheetId="17" name="______MMM17">#REF!</definedName>
    <definedName localSheetId="11" name="plintkeramikartistik1010">#REF!</definedName>
    <definedName localSheetId="6" name="BAJA">#REF!</definedName>
    <definedName localSheetId="31" name="kayukulim">#REF!</definedName>
    <definedName localSheetId="21" name="___MMM02">#REF!</definedName>
    <definedName localSheetId="5" name="ttnh">#REF!</definedName>
    <definedName localSheetId="6" name="URAIAN234L">#REF!</definedName>
    <definedName localSheetId="8" name="ls">#REF!</definedName>
    <definedName localSheetId="39" name="jffhauifhauifhe">#REF!</definedName>
    <definedName localSheetId="24" name="mlex.w">#REF!</definedName>
    <definedName localSheetId="41" name="URAIAN79manual">#REF!</definedName>
    <definedName localSheetId="25" name="sabun">#REF!</definedName>
    <definedName localSheetId="21" name="___LLL09">#REF!</definedName>
    <definedName localSheetId="39" name="Uraian842">#REF!</definedName>
    <definedName name="__Tl1">#REF!</definedName>
    <definedName localSheetId="31" name="lem">#REF!</definedName>
    <definedName localSheetId="40" name="______MMM01">#REF!</definedName>
    <definedName localSheetId="25" name="grassblok">#REF!</definedName>
    <definedName localSheetId="13" name="bakcuciteraso">#REF!</definedName>
    <definedName localSheetId="38" name="tegelplinpc10x20">#REF!</definedName>
    <definedName localSheetId="11" name="_________MMM03">#REF!</definedName>
    <definedName localSheetId="23" name="bubunganasbesnok">#REF!</definedName>
    <definedName localSheetId="15" name="engselangin">#REF!</definedName>
    <definedName localSheetId="0" name="_HAL5">#REF!</definedName>
    <definedName localSheetId="4" name="metal">#REF!</definedName>
    <definedName localSheetId="24" name="_______MMM48">#REF!</definedName>
    <definedName localSheetId="20" name="f.drain">#REF!</definedName>
    <definedName name="kawatkassa">#REF!</definedName>
    <definedName localSheetId="12" name="_tl2">#REF!</definedName>
    <definedName localSheetId="39" name="KECAMATAN_KODEOHA">#REF!</definedName>
    <definedName localSheetId="18" name="Lamp">#REF!</definedName>
    <definedName localSheetId="20" name="hollowblok">#REF!</definedName>
    <definedName localSheetId="12" name="_____DIV10">#REF!</definedName>
    <definedName localSheetId="31" name="gentengbeton">#REF!</definedName>
    <definedName localSheetId="15" name="bilikbambu">#REF!</definedName>
    <definedName localSheetId="24" name="Analisa70707">#REF!</definedName>
    <definedName localSheetId="7" name="ubinkeramikartistik1020">#REF!</definedName>
    <definedName localSheetId="11" name="gmp">#REF!</definedName>
    <definedName localSheetId="3" name="tegelplinpc10x20">#REF!</definedName>
    <definedName localSheetId="33" name="__HAL4">#REF!</definedName>
    <definedName localSheetId="44" name="FORM7614e">#REF!</definedName>
    <definedName localSheetId="7" name="_________MMM24">#REF!</definedName>
    <definedName localSheetId="38" name="_pvc105">#REF!</definedName>
    <definedName localSheetId="31" name="rollingdoor">#REF!</definedName>
    <definedName localSheetId="23" name="_tl2">#REF!</definedName>
    <definedName localSheetId="44" name="__MMM42">#REF!</definedName>
    <definedName localSheetId="6" name="_____DIV4">#REF!</definedName>
    <definedName localSheetId="38" name="gabin_al">#REF!</definedName>
    <definedName localSheetId="41" name="kawatburung">#REF!</definedName>
    <definedName localSheetId="17" name="____LLL11">#REF!</definedName>
    <definedName localSheetId="41" name="lis">#REF!</definedName>
    <definedName localSheetId="17" name="R22..">#REF!</definedName>
    <definedName localSheetId="6" name="GRC">#REF!</definedName>
    <definedName localSheetId="31" name="URAIAN7612a">#REF!</definedName>
    <definedName localSheetId="18" name="cendana">#REF!</definedName>
    <definedName localSheetId="12" name="FORM323L">#REF!</definedName>
    <definedName localSheetId="30" name="bakkontrol">#REF!</definedName>
    <definedName localSheetId="17" name="Print_Area_MI">#REF!</definedName>
    <definedName localSheetId="28" name="sodaapi">#REF!</definedName>
    <definedName localSheetId="31" name="R20..">#REF!</definedName>
    <definedName localSheetId="17" name="FORM844">#REF!</definedName>
    <definedName localSheetId="6" name="Psr.psg">#REF!</definedName>
    <definedName localSheetId="19" name="Overhead">#REF!</definedName>
    <definedName localSheetId="28" name="tukng">#REF!</definedName>
    <definedName localSheetId="20" name="______DIV2">#REF!</definedName>
    <definedName localSheetId="42" name="kawatharmonika">#REF!</definedName>
    <definedName localSheetId="31" name="plywood4">#REF!</definedName>
    <definedName localSheetId="34" name="______MMM01">#REF!</definedName>
    <definedName localSheetId="34" name="FRRDS">#REF!</definedName>
    <definedName localSheetId="39" name="s.tukang">#REF!</definedName>
    <definedName localSheetId="24" name="___MMM31">#REF!</definedName>
    <definedName localSheetId="7" name="________MMM14">#REF!</definedName>
    <definedName localSheetId="10" name="FORM771a">#REF!</definedName>
    <definedName localSheetId="6" name="URAIAN7612c">#REF!</definedName>
    <definedName localSheetId="17" name="FORM621">#REF!</definedName>
    <definedName localSheetId="3" name="___MMM23">#REF!</definedName>
    <definedName localSheetId="44" name="sealer">#REF!</definedName>
    <definedName localSheetId="44" name="__MMM29">#REF!</definedName>
    <definedName localSheetId="15" name="des">#REF!</definedName>
    <definedName localSheetId="44" name="Analisa71003">#REF!</definedName>
    <definedName name="pvc.0.5.mas.d">#REF!</definedName>
    <definedName localSheetId="15" name="plintubinteraluxmarmer1060">#REF!</definedName>
    <definedName localSheetId="17" name="menibesi">#REF!</definedName>
    <definedName localSheetId="31" name="R10..">#REF!</definedName>
    <definedName localSheetId="12" name="psr.trs">#REF!</definedName>
    <definedName localSheetId="24" name="_______MMM32">#REF!</definedName>
    <definedName localSheetId="21" name="Pengadaan">#REF!</definedName>
    <definedName localSheetId="36" name="__Tl1">#REF!</definedName>
    <definedName localSheetId="44" name="______DIV3">#REF!</definedName>
    <definedName localSheetId="4" name="aluminiumfoil">#REF!</definedName>
    <definedName name="_MMM24">#REF!</definedName>
    <definedName localSheetId="28" name="karpet">#REF!</definedName>
    <definedName localSheetId="5" name="ss">#REF!</definedName>
    <definedName localSheetId="44" name="__LLL07">#REF!</definedName>
    <definedName localSheetId="8" name="pakuhak15cm">#REF!</definedName>
    <definedName localSheetId="31" name="pintugulungbesi">#REF!</definedName>
    <definedName localSheetId="5" name="ppn.m.3.20.serut">#REF!</definedName>
    <definedName localSheetId="23" name="sengplatbjls28">#REF!</definedName>
    <definedName localSheetId="5" name="dua">#REF!</definedName>
    <definedName localSheetId="7" name="_____MMM23">#REF!</definedName>
    <definedName localSheetId="18" name="Kunci1">#REF!</definedName>
    <definedName localSheetId="33" name="pagar2m">#REF!</definedName>
    <definedName localSheetId="44" name="d">#REF!</definedName>
    <definedName localSheetId="3" name="keramik20">#REF!</definedName>
    <definedName localSheetId="8" name="e">#REF!</definedName>
    <definedName localSheetId="39" name="vertikalsblinds">#REF!</definedName>
    <definedName localSheetId="3" name="tegelporselen15x15">#REF!</definedName>
    <definedName localSheetId="21" name="sengplatbjls28">#REF!</definedName>
    <definedName localSheetId="7" name="____MMM26">#REF!</definedName>
    <definedName localSheetId="17" name="FORM771c">#REF!</definedName>
    <definedName localSheetId="3" name="kacapolos5mm">#REF!</definedName>
    <definedName localSheetId="20" name="hcs">#REF!</definedName>
    <definedName localSheetId="17" name="floorhardenerferrovak">#REF!</definedName>
    <definedName localSheetId="30" name="FORM7613a">#REF!</definedName>
    <definedName localSheetId="17" name="_____MMM29">#REF!</definedName>
    <definedName localSheetId="44" name="___DIV2">#REF!</definedName>
    <definedName localSheetId="19" name="_818PK">#REF!</definedName>
    <definedName localSheetId="18" name="medan5.10">#REF!</definedName>
    <definedName localSheetId="12" name="_______MMM01">#REF!</definedName>
    <definedName localSheetId="9" name="FORM8410">#REF!</definedName>
    <definedName localSheetId="11" name="dempul">#REF!</definedName>
    <definedName localSheetId="38" name="sofboard">#REF!</definedName>
    <definedName localSheetId="36" name="FORM7613b">#REF!</definedName>
    <definedName localSheetId="4" name="asbesgelombang">#REF!</definedName>
    <definedName localSheetId="42" name="URAIAN612">#REF!</definedName>
    <definedName localSheetId="10" name="plintubinteraluxmarmer1060">#REF!</definedName>
    <definedName localSheetId="25" name="e">#REF!</definedName>
    <definedName name="k.zink">#REF!</definedName>
    <definedName localSheetId="24" name="URAIAN772b">#REF!</definedName>
    <definedName localSheetId="42" name="FORM842">#REF!</definedName>
    <definedName localSheetId="21" name="__MMM12">#REF!</definedName>
    <definedName name="plintubinteraluxmarmer1060">#REF!</definedName>
    <definedName localSheetId="21" name="_______MMM52">#REF!</definedName>
    <definedName localSheetId="15" name="_____HAL1">#REF!</definedName>
    <definedName localSheetId="30" name="_______DIV3">#REF!</definedName>
    <definedName localSheetId="12" name="___pc50">#REF!</definedName>
    <definedName localSheetId="4" name="_______DIV10">#REF!</definedName>
    <definedName localSheetId="3" name="________MMM23">#REF!</definedName>
    <definedName localSheetId="44" name="closedjongkok">#REF!</definedName>
    <definedName localSheetId="10" name="SusunanOrg">#REF!</definedName>
    <definedName localSheetId="24" name="URAIAN771c">#REF!</definedName>
    <definedName localSheetId="0" name="tanggal">#REF!</definedName>
    <definedName localSheetId="27" name="kayukruing">#REF!</definedName>
    <definedName localSheetId="38" name="pp">#REF!</definedName>
    <definedName localSheetId="25" name="URAIAN323L">#REF!</definedName>
    <definedName localSheetId="13" name="batu.jogja">#REF!</definedName>
    <definedName localSheetId="38" name="tm_2415921492">#REF!</definedName>
    <definedName localSheetId="10" name="_pp1">#REF!</definedName>
    <definedName localSheetId="11" name="FORM7610">#REF!</definedName>
    <definedName localSheetId="25" name="_________HAL3">#REF!</definedName>
    <definedName localSheetId="24" name="Excel_BuiltIn_Print_Titles_3">#REF!</definedName>
    <definedName localSheetId="24" name="_________MMM35">#REF!</definedName>
    <definedName name="_______MMM26">#REF!</definedName>
    <definedName localSheetId="4" name="ngsel4">#REF!</definedName>
    <definedName localSheetId="28" name="tegelporselen">#REF!</definedName>
    <definedName localSheetId="19" name="s.warna">#REF!</definedName>
    <definedName localSheetId="21" name="_________MMM411">#REF!</definedName>
    <definedName localSheetId="44" name="Uraian844">#REF!</definedName>
    <definedName name="__MMM23">#REF!</definedName>
    <definedName name="_DIV1">#REF!</definedName>
    <definedName localSheetId="25" name="got">#REF!</definedName>
    <definedName localSheetId="33" name="R20..">#REF!</definedName>
    <definedName localSheetId="36" name="FRRDS">#REF!</definedName>
    <definedName localSheetId="17" name="kapursirih">#REF!</definedName>
    <definedName localSheetId="9" name="borneo5.7">#REF!</definedName>
    <definedName localSheetId="17" name="Tbt">#REF!</definedName>
    <definedName localSheetId="0" name="URAIAN">#REF!</definedName>
    <definedName localSheetId="8" name="plastik">#REF!</definedName>
    <definedName localSheetId="3" name="kaca3">#REF!</definedName>
    <definedName name="_MMM31">#REF!</definedName>
    <definedName localSheetId="42" name="kayuterentang">#REF!</definedName>
    <definedName localSheetId="5" name="_LLL03">#REF!</definedName>
    <definedName localSheetId="40" name="ubinkeramikartistik1020">#REF!</definedName>
    <definedName localSheetId="18" name="_______HAL1">#REF!</definedName>
    <definedName localSheetId="0" name="borneo5.7">#REF!</definedName>
    <definedName localSheetId="10" name="parquetjati">#REF!</definedName>
    <definedName localSheetId="27" name="kategori">#REF!</definedName>
    <definedName localSheetId="20" name="batapelapisklinker">#REF!</definedName>
    <definedName localSheetId="27" name="ASET">#REF!</definedName>
    <definedName localSheetId="21" name="tegelteraso30x30">#REF!</definedName>
    <definedName name="______DIV7">#REF!</definedName>
    <definedName localSheetId="9" name="_pc40">#REF!</definedName>
    <definedName localSheetId="31" name="URAIAN771b">#REF!</definedName>
    <definedName localSheetId="34" name="plintubinwarna1030">#REF!</definedName>
    <definedName localSheetId="27" name="batukali14">#REF!</definedName>
    <definedName localSheetId="17" name="____MMM41">#REF!</definedName>
    <definedName localSheetId="7" name="___MMM29">#REF!</definedName>
    <definedName localSheetId="17" name="FORM66PERATA">#REF!</definedName>
    <definedName localSheetId="17" name="__LLL06">#REF!</definedName>
    <definedName localSheetId="40" name="_818FA">#REF!</definedName>
    <definedName localSheetId="31" name="catpenutup2kali">#REF!</definedName>
    <definedName localSheetId="0" name="ubingranito40">#REF!</definedName>
    <definedName localSheetId="41" name="URAIAN721">#REF!</definedName>
    <definedName localSheetId="12" name="__MMM02">#REF!</definedName>
    <definedName localSheetId="36" name="cycllop">#REF!</definedName>
    <definedName localSheetId="30" name="gymfloor">#REF!</definedName>
    <definedName localSheetId="17" name="_____MMM07">#REF!</definedName>
    <definedName localSheetId="24" name="___DIV2">#REF!</definedName>
    <definedName localSheetId="8" name="pasirbeton">#REF!</definedName>
    <definedName localSheetId="44" name="engselpintu">#REF!</definedName>
    <definedName localSheetId="25" name="Aluminium">#REF!</definedName>
    <definedName localSheetId="6" name="_________DIV10">#REF!</definedName>
    <definedName localSheetId="27" name="list">#REF!</definedName>
    <definedName localSheetId="39" name="tl2x40">#REF!</definedName>
    <definedName localSheetId="31" name="pakusumbat">#REF!</definedName>
    <definedName localSheetId="8" name="DAYWORKS">#REF!</definedName>
    <definedName localSheetId="0" name="grendel4">#REF!</definedName>
    <definedName localSheetId="42" name="Excel_BuiltIn_Print_Titles_2">#REF!</definedName>
    <definedName localSheetId="21" name="AASDASD">#REF!</definedName>
    <definedName localSheetId="7" name="TANAH">#REF!</definedName>
    <definedName localSheetId="27" name="URAIAN612">#REF!</definedName>
    <definedName localSheetId="17" name="____MMM09">#REF!</definedName>
    <definedName localSheetId="32" name="_____DIV1">#REF!</definedName>
    <definedName localSheetId="27" name="Kunci2">#REF!</definedName>
    <definedName localSheetId="7" name="_____MMM26">#REF!</definedName>
    <definedName localSheetId="23" name="lp">#REF!</definedName>
    <definedName localSheetId="9" name="Print_title">#REF!</definedName>
    <definedName localSheetId="24" name="______MMM03">#REF!</definedName>
    <definedName localSheetId="4" name="batamerah">#REF!</definedName>
    <definedName localSheetId="25" name="batutempelhitam">#REF!</definedName>
    <definedName localSheetId="44" name="amobiotic">#REF!</definedName>
    <definedName localSheetId="33" name="batu.jogja">#REF!</definedName>
    <definedName localSheetId="3" name="R99..">#REF!</definedName>
    <definedName localSheetId="34" name="pintubesibaja">#REF!</definedName>
    <definedName localSheetId="3" name="Kunci1">#REF!</definedName>
    <definedName localSheetId="30" name="vinylkaret3030">#REF!</definedName>
    <definedName localSheetId="0" name="sengplatbjls25">#REF!</definedName>
    <definedName localSheetId="23" name="vinylkaretklII">#REF!</definedName>
    <definedName localSheetId="12" name="plywood4mm">#REF!</definedName>
    <definedName localSheetId="7" name="R17..">#REF!</definedName>
    <definedName localSheetId="6" name="waterdrainaksesoris">#REF!</definedName>
    <definedName localSheetId="32" name="venetionblinds">#REF!</definedName>
    <definedName localSheetId="44" name="R16..">#REF!</definedName>
    <definedName localSheetId="0" name="flordrain">#REF!</definedName>
    <definedName localSheetId="20" name="sengbjls25">#REF!</definedName>
    <definedName localSheetId="10" name="__DIV2">#REF!</definedName>
    <definedName localSheetId="24" name="________MMM30">#REF!</definedName>
    <definedName localSheetId="13" name="leni">#REF!</definedName>
    <definedName localSheetId="5" name="B.Jambi">#REF!</definedName>
    <definedName localSheetId="17" name="FORM847">#REF!</definedName>
    <definedName localSheetId="0" name="paku5.7.10">#REF!</definedName>
    <definedName localSheetId="36" name="LAP">#REF!</definedName>
    <definedName localSheetId="40" name="flordrain">#REF!</definedName>
    <definedName localSheetId="33" name="________DIV2">#REF!</definedName>
    <definedName localSheetId="44" name="R72..">#REF!</definedName>
    <definedName localSheetId="8" name="Excel_BuiltIn_Print_Titles_2">#REF!</definedName>
    <definedName localSheetId="5" name="batutempelhitam">#REF!</definedName>
    <definedName localSheetId="25" name="pintualuminium">#REF!</definedName>
    <definedName localSheetId="44" name="_____LLL05">#REF!</definedName>
    <definedName localSheetId="24" name="_MMM31">#REF!</definedName>
    <definedName localSheetId="13" name="ubingranito40">#REF!</definedName>
    <definedName localSheetId="20" name="URAIAN631">#REF!</definedName>
    <definedName localSheetId="28" name="RINCIANSEWA2">#REF!</definedName>
    <definedName localSheetId="5" name="na">#REF!</definedName>
    <definedName localSheetId="7" name="________DIV4">#REF!</definedName>
    <definedName localSheetId="6" name="kayukruing">#REF!</definedName>
    <definedName localSheetId="32" name="_Tl1">#REF!</definedName>
    <definedName localSheetId="32" name="UP">#REF!</definedName>
    <definedName localSheetId="44" name="_________MMM37">#REF!</definedName>
    <definedName localSheetId="7" name="parquetjati">#REF!</definedName>
    <definedName localSheetId="21" name="urugan">#REF!</definedName>
    <definedName localSheetId="44" name="Uraian841">#REF!</definedName>
    <definedName localSheetId="24" name="tegelporselen15x15warna">#REF!</definedName>
    <definedName localSheetId="3" name="k.zink">#REF!</definedName>
    <definedName localSheetId="30" name="G.Kramik">#REF!</definedName>
    <definedName name="bjls30">#REF!</definedName>
    <definedName localSheetId="24" name="URAIAN7614b">#REF!</definedName>
    <definedName localSheetId="42" name="URAIAN7613b">#REF!</definedName>
    <definedName localSheetId="24" name="_MMM54">#REF!</definedName>
    <definedName localSheetId="3" name="bubungangentengbeton">#REF!</definedName>
    <definedName localSheetId="7" name="____HAL1">#REF!</definedName>
    <definedName localSheetId="7" name="__MMM06">#REF!</definedName>
    <definedName localSheetId="44" name="FORM721">#REF!</definedName>
    <definedName localSheetId="28" name="_DIV4">#REF!</definedName>
    <definedName localSheetId="4" name="urugankembali">#REF!</definedName>
    <definedName localSheetId="9" name="pddk">#REF!</definedName>
    <definedName localSheetId="17" name="_________MMM53">#REF!</definedName>
    <definedName localSheetId="42" name="pakugypsum">#REF!</definedName>
    <definedName localSheetId="8" name="KERAMIK30">#REF!</definedName>
    <definedName localSheetId="8" name="kaca.p.5">#REF!</definedName>
    <definedName localSheetId="7" name="________DIV1">#REF!</definedName>
    <definedName localSheetId="25" name="JL_NAS">#REF!</definedName>
    <definedName localSheetId="24" name="KUANTITAS">#REF!</definedName>
    <definedName localSheetId="3" name="FORM651">#REF!</definedName>
    <definedName localSheetId="13" name="sengplatbjls24">#REF!</definedName>
    <definedName localSheetId="21" name="____MMM37">#REF!</definedName>
    <definedName localSheetId="33" name="teakwood6mm">#REF!</definedName>
    <definedName localSheetId="4" name="_____DIV10">#REF!</definedName>
    <definedName localSheetId="3" name="_MMM24">#REF!</definedName>
    <definedName localSheetId="10" name="FORM771c">#REF!</definedName>
    <definedName localSheetId="28" name="Per">#REF!</definedName>
    <definedName localSheetId="24" name="kawatnyamuk">#REF!</definedName>
    <definedName localSheetId="17" name="mowi.ws">#REF!</definedName>
    <definedName localSheetId="25" name="R100..">#REF!</definedName>
    <definedName localSheetId="40" name="_HAL1">#REF!</definedName>
    <definedName localSheetId="24" name="sealent">#REF!</definedName>
    <definedName localSheetId="38" name="kenek">#REF!</definedName>
    <definedName localSheetId="7" name="_____MMM12">#REF!</definedName>
    <definedName localSheetId="39" name="plywood6mm">#REF!</definedName>
    <definedName localSheetId="7" name="_______MMM34">#REF!</definedName>
    <definedName localSheetId="44" name="pa">#REF!</definedName>
    <definedName localSheetId="44" name="karung">#REF!</definedName>
    <definedName localSheetId="9" name="URAIAN7610">#REF!</definedName>
    <definedName localSheetId="40" name="gentengdecrabond">#REF!</definedName>
    <definedName localSheetId="33" name="kayuramin">#REF!</definedName>
    <definedName localSheetId="20" name="nokgentengaspal">#REF!</definedName>
    <definedName localSheetId="21" name="btn">#REF!</definedName>
    <definedName localSheetId="15" name="plintubinteraluxkerang1040">#REF!</definedName>
    <definedName localSheetId="7" name="___MMM34">#REF!</definedName>
    <definedName name="______MMM17">#REF!</definedName>
    <definedName localSheetId="11" name="keramik40">#REF!</definedName>
    <definedName localSheetId="3" name="________MMM12">#REF!</definedName>
    <definedName localSheetId="31" name="_pvc105">#REF!</definedName>
    <definedName localSheetId="34" name="FORM8410">#REF!</definedName>
    <definedName localSheetId="31" name="ubinkeramikartistik1010">#REF!</definedName>
    <definedName localSheetId="44" name="medan5.10">#REF!</definedName>
    <definedName localSheetId="17" name="gentengkodok">#REF!</definedName>
    <definedName localSheetId="30" name="kacapolos3mm">#REF!</definedName>
    <definedName localSheetId="12" name="_kop5">#REF!</definedName>
    <definedName localSheetId="34" name="KUANTITAS">#REF!</definedName>
    <definedName localSheetId="41" name="URAIAN7614a">#REF!</definedName>
    <definedName localSheetId="40" name="seng25">#REF!</definedName>
    <definedName localSheetId="42" name="plintubingranito1030">#REF!</definedName>
    <definedName localSheetId="6" name="FORM633">#REF!</definedName>
    <definedName localSheetId="3" name="kawatnyamuk">#REF!</definedName>
    <definedName localSheetId="3" name="_____MMM16">#REF!</definedName>
    <definedName localSheetId="15" name="FORM7614b">#REF!</definedName>
    <definedName name="kacacermin5">#REF!</definedName>
    <definedName localSheetId="3" name="R16..">#REF!</definedName>
    <definedName localSheetId="25" name="SUNGAI_BERTAM">#REF!</definedName>
    <definedName name="PTJW">#REF!</definedName>
    <definedName localSheetId="20" name="amplas">#REF!</definedName>
    <definedName localSheetId="7" name="__MMM51">#REF!</definedName>
    <definedName localSheetId="33" name="na">#REF!</definedName>
    <definedName localSheetId="28" name="kkkk">#REF!</definedName>
    <definedName localSheetId="6" name="FORM771b">#REF!</definedName>
    <definedName localSheetId="12" name="sengplatbjls25">#REF!</definedName>
    <definedName localSheetId="23" name="p.kmp.smrd.3.20">#REF!</definedName>
    <definedName localSheetId="40" name="waterstop230">#REF!</definedName>
    <definedName localSheetId="7" name="KTM">#REF!</definedName>
    <definedName localSheetId="34" name="kacacermin8">#REF!</definedName>
    <definedName localSheetId="21" name="_______DIV6">#REF!</definedName>
    <definedName localSheetId="24" name="u">#REF!</definedName>
    <definedName localSheetId="24" name="R31..">#REF!</definedName>
    <definedName localSheetId="36" name="batamerah">#REF!</definedName>
    <definedName localSheetId="44" name="JL_NAS">#REF!</definedName>
    <definedName localSheetId="7" name="_MMM44">#REF!</definedName>
    <definedName localSheetId="38" name="Galam">#REF!</definedName>
    <definedName localSheetId="38" name="tanahliat">#REF!</definedName>
    <definedName localSheetId="24" name="sengplatbjls24">#REF!</definedName>
    <definedName localSheetId="32" name="sirlak">#REF!</definedName>
    <definedName localSheetId="3" name="vernis">#REF!</definedName>
    <definedName localSheetId="31" name="___pvc05">#REF!</definedName>
    <definedName localSheetId="3" name="URAIAN7612c">#REF!</definedName>
    <definedName localSheetId="19" name="springknip">#REF!</definedName>
    <definedName localSheetId="32" name="p.triplek">#REF!</definedName>
    <definedName localSheetId="44" name="_DIV1">#REF!</definedName>
    <definedName localSheetId="44" name="________MMM11">#REF!</definedName>
    <definedName localSheetId="28" name="kawatharmonika">#REF!</definedName>
    <definedName localSheetId="12" name="c.mowi.luar">#REF!</definedName>
    <definedName localSheetId="31" name="_________MMM02">#REF!</definedName>
    <definedName localSheetId="3" name="________MMM43">#REF!</definedName>
    <definedName localSheetId="24" name="FORM772a">#REF!</definedName>
    <definedName localSheetId="34" name="papan.m.3.20">#REF!</definedName>
    <definedName name="_______MMM54">#REF!</definedName>
    <definedName localSheetId="39" name="Jendelabesibaja">#REF!</definedName>
    <definedName localSheetId="30" name="besi13">#REF!</definedName>
    <definedName localSheetId="44" name="Per">#REF!</definedName>
    <definedName localSheetId="0" name="_HAL4">#REF!</definedName>
    <definedName localSheetId="44" name="k.tukang">#REF!</definedName>
    <definedName localSheetId="5" name="koralbeton">#REF!</definedName>
    <definedName localSheetId="21" name="ASPAL">#REF!</definedName>
    <definedName localSheetId="44" name="Excel_BuiltIn_Print_Area_10">#REF!</definedName>
    <definedName localSheetId="12" name="gentengbeton">#REF!</definedName>
    <definedName localSheetId="10" name="waterstop150">#REF!</definedName>
    <definedName localSheetId="21" name="tegelporselen10x20warna">#REF!</definedName>
    <definedName localSheetId="28" name="kayuterentang">#REF!</definedName>
    <definedName localSheetId="25" name="kaca.p.5">#REF!</definedName>
    <definedName localSheetId="18" name="__LLL01">#REF!</definedName>
    <definedName localSheetId="24" name="k.40.40.roman.crk">#REF!</definedName>
    <definedName localSheetId="23" name="Excel_BuiltIn_Print_Area_1">#REF!</definedName>
    <definedName localSheetId="44" name="pakuhak15cm">#REF!</definedName>
    <definedName localSheetId="23" name="bjls30">#REF!</definedName>
    <definedName localSheetId="10" name="strorox">#REF!</definedName>
    <definedName localSheetId="0" name="FORM721">#REF!</definedName>
    <definedName localSheetId="0" name="R60..">#REF!</definedName>
    <definedName localSheetId="15" name="sirap">#REF!</definedName>
    <definedName localSheetId="15" name="Nok">#REF!</definedName>
    <definedName localSheetId="0" name="UTAIAN7614c">#REF!</definedName>
    <definedName localSheetId="20" name="___MMM02">#REF!</definedName>
    <definedName localSheetId="24" name="_____HAL5">#REF!</definedName>
    <definedName localSheetId="36" name="wallpaper">#REF!</definedName>
    <definedName localSheetId="44" name="_____DIV5">#REF!</definedName>
    <definedName localSheetId="28" name="mm">#REF!</definedName>
    <definedName localSheetId="27" name="mowi.w.shield">#REF!</definedName>
    <definedName localSheetId="7" name="_________MMM47">#REF!</definedName>
    <definedName localSheetId="10" name="__DIV10">#REF!</definedName>
    <definedName localSheetId="7" name="_______MMM23">#REF!</definedName>
    <definedName localSheetId="17" name="____HAL7">#REF!</definedName>
    <definedName localSheetId="21" name="__MMM37">#REF!</definedName>
    <definedName localSheetId="36" name="kawatharmonika">#REF!</definedName>
    <definedName localSheetId="12" name="mapel">#REF!</definedName>
    <definedName localSheetId="27" name="ubinkeramik1033">#REF!</definedName>
    <definedName localSheetId="8" name="URAIAN7610">#REF!</definedName>
    <definedName localSheetId="42" name="Excel_BuiltIn_Print_Area_1">#REF!</definedName>
    <definedName localSheetId="38" name="k.ddg.rmn.20.25.pls">#REF!</definedName>
    <definedName localSheetId="33" name="sealer">#REF!</definedName>
    <definedName localSheetId="24" name="ubinpcabuabu40">#REF!</definedName>
    <definedName localSheetId="23" name="kayukulim">#REF!</definedName>
    <definedName localSheetId="42" name="sengplatbjls24">#REF!</definedName>
    <definedName localSheetId="21" name="gabin_al">#REF!</definedName>
    <definedName localSheetId="15" name="pijar15">#REF!</definedName>
    <definedName localSheetId="39" name="waterdrainaksesoris">#REF!</definedName>
    <definedName localSheetId="33" name="pakusirap">#REF!</definedName>
    <definedName localSheetId="3" name="_______MMM36">#REF!</definedName>
    <definedName localSheetId="0" name="FORM771b">#REF!</definedName>
    <definedName localSheetId="7" name="______MMM07">#REF!</definedName>
    <definedName localSheetId="38" name="tky">#REF!</definedName>
    <definedName localSheetId="24" name="gentengkodok">#REF!</definedName>
    <definedName localSheetId="41" name="_________DIV2">#REF!</definedName>
    <definedName localSheetId="27" name="R30..">#REF!</definedName>
    <definedName localSheetId="21" name="tbkr">#REF!</definedName>
    <definedName localSheetId="10" name="URAIAN771a">#REF!</definedName>
    <definedName localSheetId="7" name="____LLL01">#REF!</definedName>
    <definedName localSheetId="11" name="besiprofilWF">#REF!</definedName>
    <definedName localSheetId="27" name="_____DIV1">#REF!</definedName>
    <definedName localSheetId="24" name="____MMM16">#REF!</definedName>
    <definedName name="vinylkaret3030">#REF!</definedName>
    <definedName localSheetId="21" name="R32..">#REF!</definedName>
    <definedName localSheetId="9" name="________DIV3">#REF!</definedName>
    <definedName localSheetId="5" name="plintubinwarna1020">#REF!</definedName>
    <definedName localSheetId="24" name="kaca.es">#REF!</definedName>
    <definedName localSheetId="40" name="ubinkeramikartistik520">#REF!</definedName>
    <definedName localSheetId="7" name="______MMM41">#REF!</definedName>
    <definedName localSheetId="36" name="Gypsum">#REF!</definedName>
    <definedName localSheetId="12" name="lis">#REF!</definedName>
    <definedName localSheetId="25" name="FORM842">#REF!</definedName>
    <definedName localSheetId="19" name="tbkr">#REF!</definedName>
    <definedName localSheetId="41" name="____DIV2">#REF!</definedName>
    <definedName localSheetId="15" name="R41..">#REF!</definedName>
    <definedName localSheetId="44" name="_lmb1">#REF!</definedName>
    <definedName localSheetId="31" name="____DIV10">#REF!</definedName>
    <definedName localSheetId="39" name="___MMM03">#REF!</definedName>
    <definedName localSheetId="15" name="doorcloser">#REF!</definedName>
    <definedName localSheetId="3" name="gentengmonier">#REF!</definedName>
    <definedName localSheetId="27" name="vertikalsblinds">#REF!</definedName>
    <definedName localSheetId="38" name="____HAL2">#REF!</definedName>
    <definedName localSheetId="7" name="kuncitanamkamarmandi">#REF!</definedName>
    <definedName localSheetId="31" name="washtafel">#REF!</definedName>
    <definedName localSheetId="39" name="FORM8410">#REF!</definedName>
    <definedName localSheetId="20" name="air">#REF!</definedName>
    <definedName localSheetId="11" name="ubingranito40">#REF!</definedName>
    <definedName localSheetId="5" name="UTAIAN7614c">#REF!</definedName>
    <definedName localSheetId="17" name="____LLL03">#REF!</definedName>
    <definedName localSheetId="3" name="______MMM49">#REF!</definedName>
    <definedName localSheetId="33" name="besi12sii">#REF!</definedName>
    <definedName localSheetId="21" name="FORM734">#REF!</definedName>
    <definedName name="_____MMM51">#REF!</definedName>
    <definedName localSheetId="25" name="SusunanOrg">#REF!</definedName>
    <definedName localSheetId="25" name="dempul">#REF!</definedName>
    <definedName localSheetId="24" name="___MMM15">#REF!</definedName>
    <definedName localSheetId="18" name="batuapung">#REF!</definedName>
    <definedName localSheetId="19" name="pajak">#REF!</definedName>
    <definedName localSheetId="13" name="FORM7610">#REF!</definedName>
    <definedName localSheetId="17" name="___MMM17">#REF!</definedName>
    <definedName name="besi6sii">#REF!</definedName>
    <definedName localSheetId="19" name="_kop5">#REF!</definedName>
    <definedName localSheetId="10" name="URAIAN612">#REF!</definedName>
    <definedName localSheetId="21" name="tegelplinpc10x20">#REF!</definedName>
    <definedName localSheetId="44" name="tegelporselen">#REF!</definedName>
    <definedName localSheetId="0" name="___MMM01">#REF!</definedName>
    <definedName localSheetId="11" name="hd">#REF!</definedName>
    <definedName localSheetId="5" name="______DIV3">#REF!</definedName>
    <definedName localSheetId="10" name="R61..">#REF!</definedName>
    <definedName name="______HAL6">#REF!</definedName>
    <definedName localSheetId="17" name="Excel_BuiltIn_Print_Area_1">#REF!</definedName>
    <definedName name="_________MMM13">#REF!</definedName>
    <definedName localSheetId="23" name="URAIAN7612b">#REF!</definedName>
    <definedName localSheetId="8" name="sabun">#REF!</definedName>
    <definedName localSheetId="44" name="plintkeramikartistik1010">#REF!</definedName>
    <definedName localSheetId="4" name="kayukamper">#REF!</definedName>
    <definedName localSheetId="44" name="borneo5.7">#REF!</definedName>
    <definedName localSheetId="17" name="_______MMM31">#REF!</definedName>
    <definedName localSheetId="7" name="mowi.w.shield">#REF!</definedName>
    <definedName localSheetId="24" name="____MMM31">#REF!</definedName>
    <definedName localSheetId="33" name="Uraian8410">#REF!</definedName>
    <definedName localSheetId="4" name="plintubinteraso1040">#REF!</definedName>
    <definedName localSheetId="34" name="kunci1slag">#REF!</definedName>
    <definedName localSheetId="3" name="besi6.sii">#REF!</definedName>
    <definedName localSheetId="10" name="FORM631">#REF!</definedName>
    <definedName localSheetId="0" name="k.beton">#REF!</definedName>
    <definedName localSheetId="31" name="JUDUL">#REF!</definedName>
    <definedName localSheetId="24" name="______LLL09">#REF!</definedName>
    <definedName localSheetId="18" name="__pvc2">#REF!</definedName>
    <definedName localSheetId="5" name="w">#REF!</definedName>
    <definedName localSheetId="4" name="URAIAN66PERATA">#REF!</definedName>
    <definedName localSheetId="36" name="R50..">#REF!</definedName>
    <definedName localSheetId="42" name="oke">#REF!</definedName>
    <definedName localSheetId="25" name="f.drain">#REF!</definedName>
    <definedName localSheetId="7" name="__LLL01">#REF!</definedName>
    <definedName localSheetId="24" name="_MMM32">#REF!</definedName>
    <definedName localSheetId="24" name="Grendel">#REF!</definedName>
    <definedName localSheetId="33" name="_pvc2">#REF!</definedName>
    <definedName localSheetId="7" name="k.ddg.20.25.rmn.crk">#REF!</definedName>
    <definedName localSheetId="21" name="grendel3">#REF!</definedName>
    <definedName localSheetId="21" name="______DIV3">#REF!</definedName>
    <definedName localSheetId="9" name="ss">#REF!</definedName>
    <definedName localSheetId="3" name="_________MMM26">#REF!</definedName>
    <definedName localSheetId="0" name="FORM79mekanis">#REF!</definedName>
    <definedName localSheetId="39" name="ASET">#REF!</definedName>
    <definedName localSheetId="3" name="FORM7614b">#REF!</definedName>
    <definedName localSheetId="27" name="sirap">#REF!</definedName>
    <definedName localSheetId="34" name="Per">#REF!</definedName>
    <definedName localSheetId="12" name="semen50">#REF!</definedName>
    <definedName localSheetId="17" name="batugranito">#REF!</definedName>
    <definedName localSheetId="44" name="FORM7612b">#REF!</definedName>
    <definedName localSheetId="19" name="plintubinwarna1030">#REF!</definedName>
    <definedName localSheetId="31" name="FORM66PERATA">#REF!</definedName>
    <definedName localSheetId="34" name="_pvc105">#REF!</definedName>
    <definedName localSheetId="12" name="mowi.ws">#REF!</definedName>
    <definedName localSheetId="24" name="R59..">#REF!</definedName>
    <definedName localSheetId="3" name="kunci2slag">#REF!</definedName>
    <definedName localSheetId="4" name="pintusunscreenalluminium">#REF!</definedName>
    <definedName localSheetId="4" name="PT">#REF!</definedName>
    <definedName localSheetId="5" name="Skrup">#REF!</definedName>
    <definedName localSheetId="10" name="_____DIV10">#REF!</definedName>
    <definedName localSheetId="11" name="rtrt">#REF!</definedName>
    <definedName name="c.vinilex.dlm">#REF!</definedName>
    <definedName localSheetId="30" name="tanggal">#REF!</definedName>
    <definedName localSheetId="23" name="Per">#REF!</definedName>
    <definedName localSheetId="28" name="kayuramin">#REF!</definedName>
    <definedName localSheetId="4" name="GRC">#REF!</definedName>
    <definedName localSheetId="44" name="R11..">#REF!</definedName>
    <definedName localSheetId="27" name="d">#REF!</definedName>
    <definedName localSheetId="7" name="water.prof">#REF!</definedName>
    <definedName localSheetId="20" name="_________HAL1">#REF!</definedName>
    <definedName localSheetId="40" name="FORM771c">#REF!</definedName>
    <definedName localSheetId="18" name="TANAH">#REF!</definedName>
    <definedName localSheetId="41" name="_pvc2">#REF!</definedName>
    <definedName localSheetId="7" name="____MMM10">#REF!</definedName>
    <definedName localSheetId="15" name="Overhead">#REF!</definedName>
    <definedName localSheetId="42" name="eeeeee">#REF!</definedName>
    <definedName localSheetId="24" name="URAIAN772a">#REF!</definedName>
    <definedName localSheetId="21" name="________MMM47">#REF!</definedName>
    <definedName localSheetId="30" name="Faktorial">#REF!</definedName>
    <definedName localSheetId="38" name="teakwood4mm">#REF!</definedName>
    <definedName localSheetId="12" name="___pvc05">#REF!</definedName>
    <definedName localSheetId="4" name="ubingranito30">#REF!</definedName>
    <definedName localSheetId="3" name="R92..">#REF!</definedName>
    <definedName localSheetId="39" name="sengplatbjls24">#REF!</definedName>
    <definedName localSheetId="27" name="URAIAN66PERMUKAAN">#REF!</definedName>
    <definedName localSheetId="32" name="kayuterentang">#REF!</definedName>
    <definedName localSheetId="6" name="kawatharmonika">#REF!</definedName>
    <definedName localSheetId="12" name="kayuterentang">#REF!</definedName>
    <definedName localSheetId="34" name="_pp1">#REF!</definedName>
    <definedName localSheetId="19" name="pakubiasa">#REF!</definedName>
    <definedName localSheetId="21" name="__DIV3">#REF!</definedName>
    <definedName localSheetId="27" name="sodaapi">#REF!</definedName>
    <definedName localSheetId="17" name="R19..">#REF!</definedName>
    <definedName localSheetId="41" name="tegelplinteraso10x30">#REF!</definedName>
    <definedName localSheetId="32" name="Ktbt">#REF!</definedName>
    <definedName localSheetId="38" name="UPAH">#REF!</definedName>
    <definedName localSheetId="13" name="papanbekisting">#REF!</definedName>
    <definedName localSheetId="38" name="mm">#REF!</definedName>
    <definedName localSheetId="3" name="ubinteraluxmarmer30">#REF!</definedName>
    <definedName name="pakubiasa">#REF!</definedName>
    <definedName localSheetId="8" name="KTM">#REF!</definedName>
    <definedName localSheetId="20" name="R20..">#REF!</definedName>
    <definedName localSheetId="21" name="FORM634">#REF!</definedName>
    <definedName localSheetId="28" name="doorstop">#REF!</definedName>
    <definedName localSheetId="9" name="waterstop200">#REF!</definedName>
    <definedName localSheetId="21" name="R21..">#REF!</definedName>
    <definedName name="R12..">#REF!</definedName>
    <definedName localSheetId="33" name="FORM621">#REF!</definedName>
    <definedName localSheetId="12" name="KTM">#REF!</definedName>
    <definedName localSheetId="23" name="__LLL01">#REF!</definedName>
    <definedName localSheetId="20" name="sementahanasam">#REF!</definedName>
    <definedName localSheetId="33" name="coveartistik">#REF!</definedName>
    <definedName localSheetId="23" name="FORM8410">#REF!</definedName>
    <definedName localSheetId="3" name="____LLL03">#REF!</definedName>
    <definedName localSheetId="3" name="____MMM45">#REF!</definedName>
    <definedName localSheetId="10" name="batupecah">#REF!</definedName>
    <definedName localSheetId="39" name="_DIV3">#REF!</definedName>
    <definedName localSheetId="5" name="____DIV4">#REF!</definedName>
    <definedName localSheetId="44" name="doorcloser">#REF!</definedName>
    <definedName localSheetId="13" name="L">#REF!</definedName>
    <definedName localSheetId="3" name="_MMM10">#REF!</definedName>
    <definedName localSheetId="44" name="_______MMM25">#REF!</definedName>
    <definedName localSheetId="28" name="_________MMM01">#REF!</definedName>
    <definedName localSheetId="23" name="URAIAN771c">#REF!</definedName>
    <definedName localSheetId="3" name="ubinteraluxmarmer40">#REF!</definedName>
    <definedName localSheetId="7" name="ubinwarna40">#REF!</definedName>
    <definedName localSheetId="17" name="_____DIV10">#REF!</definedName>
    <definedName localSheetId="44" name="___MMM22">#REF!</definedName>
    <definedName localSheetId="17" name="R15..">#REF!</definedName>
    <definedName localSheetId="24" name="FORM7610">#REF!</definedName>
    <definedName localSheetId="9" name="Psr.psg">#REF!</definedName>
    <definedName localSheetId="34" name="dua">#REF!</definedName>
    <definedName localSheetId="6" name="jamtandem">#REF!</definedName>
    <definedName localSheetId="36" name="bubungangentengbeton">#REF!</definedName>
    <definedName localSheetId="7" name="_________MMM53">#REF!</definedName>
    <definedName localSheetId="18" name="P">#REF!</definedName>
    <definedName localSheetId="24" name="klosetjongkok">#REF!</definedName>
    <definedName localSheetId="7" name="_______MMM03">#REF!</definedName>
    <definedName localSheetId="42" name="___MMM03">#REF!</definedName>
    <definedName localSheetId="7" name="kaca12">#REF!</definedName>
    <definedName localSheetId="21" name="jendelanako">#REF!</definedName>
    <definedName localSheetId="40" name="beton175m">#REF!</definedName>
    <definedName localSheetId="5" name="kayumarsawa">#REF!</definedName>
    <definedName localSheetId="21" name="_____MMM53">#REF!</definedName>
    <definedName localSheetId="32" name="cycllop">#REF!</definedName>
    <definedName localSheetId="31" name="__MMM03">#REF!</definedName>
    <definedName localSheetId="0" name="_DIV4">#REF!</definedName>
    <definedName localSheetId="3" name="R69..">#REF!</definedName>
    <definedName localSheetId="7" name="__LLL06">#REF!</definedName>
    <definedName localSheetId="41" name="engsel4">#REF!</definedName>
    <definedName localSheetId="23" name="sengplatbjls25">#REF!</definedName>
    <definedName localSheetId="7" name="FORM841">#REF!</definedName>
    <definedName localSheetId="23" name="____DIV10">#REF!</definedName>
    <definedName localSheetId="42" name="__HAL5">#REF!</definedName>
    <definedName localSheetId="7" name="______MMM30">#REF!</definedName>
    <definedName localSheetId="3" name="______MMM47">#REF!</definedName>
    <definedName localSheetId="28" name="begisting">#REF!</definedName>
    <definedName localSheetId="17" name="__MMM24">#REF!</definedName>
    <definedName localSheetId="7" name="pvc.1.M.abu">#REF!</definedName>
    <definedName localSheetId="7" name="HP">#REF!</definedName>
    <definedName localSheetId="3" name="pindahan">#REF!</definedName>
    <definedName localSheetId="39" name="kuncilemari">#REF!</definedName>
    <definedName localSheetId="12" name="meni.kayu">#REF!</definedName>
    <definedName localSheetId="0" name="oke">#REF!</definedName>
    <definedName localSheetId="40" name="pa">#REF!</definedName>
    <definedName localSheetId="39" name="rtrt">#REF!</definedName>
    <definedName localSheetId="36" name="URAIAN7614d">#REF!</definedName>
    <definedName localSheetId="0" name="sirap">#REF!</definedName>
    <definedName localSheetId="27" name="rincian">#REF!</definedName>
    <definedName localSheetId="42" name="kuncitanam">#REF!</definedName>
    <definedName localSheetId="17" name="_____LLL09">#REF!</definedName>
    <definedName name="Analisa70301">#REF!</definedName>
    <definedName localSheetId="31" name="_____DIV3">#REF!</definedName>
    <definedName localSheetId="12" name="R31..">#REF!</definedName>
    <definedName localSheetId="13" name="y">#REF!</definedName>
    <definedName localSheetId="9" name="coveartistik">#REF!</definedName>
    <definedName localSheetId="6" name="s.tukang">#REF!</definedName>
    <definedName localSheetId="6" name="split2.3">#REF!</definedName>
    <definedName localSheetId="39" name="kolombetonpracetak">#REF!</definedName>
    <definedName localSheetId="24" name="_______DIV10">#REF!</definedName>
    <definedName localSheetId="7" name="______MMM51">#REF!</definedName>
    <definedName localSheetId="39" name="PT">#REF!</definedName>
    <definedName localSheetId="44" name="_______MMM22">#REF!</definedName>
    <definedName localSheetId="9" name="__LLL01">#REF!</definedName>
    <definedName localSheetId="7" name="______MMM38">#REF!</definedName>
    <definedName name="______MMM53">#REF!</definedName>
    <definedName localSheetId="18" name="Nok">#REF!</definedName>
    <definedName localSheetId="36" name="pakusumbat">#REF!</definedName>
    <definedName localSheetId="24" name="__MMM04">#REF!</definedName>
    <definedName localSheetId="31" name="kayujati">#REF!</definedName>
    <definedName localSheetId="28" name="___DIV1">#REF!</definedName>
    <definedName localSheetId="42" name="_LLL03">#REF!</definedName>
    <definedName localSheetId="27" name="pipatanah">#REF!</definedName>
    <definedName localSheetId="3" name="FORM912">#REF!</definedName>
    <definedName localSheetId="23" name="b.belah">#REF!</definedName>
    <definedName name="FORM735">#REF!</definedName>
    <definedName localSheetId="10" name="marmer">#REF!</definedName>
    <definedName localSheetId="41" name="_____DIV4">#REF!</definedName>
    <definedName localSheetId="36" name="sis">#REF!</definedName>
    <definedName localSheetId="44" name="_________MMM02">#REF!</definedName>
    <definedName localSheetId="0" name="plintubinwarna1040">#REF!</definedName>
    <definedName localSheetId="10" name="AGREGAT">#REF!</definedName>
    <definedName localSheetId="31" name="cghj">#REF!</definedName>
    <definedName localSheetId="38" name="kaca12">#REF!</definedName>
    <definedName localSheetId="11" name="gypsum.prf">#REF!</definedName>
    <definedName localSheetId="17" name="kuncitanambiasa">#REF!</definedName>
    <definedName localSheetId="19" name="URAIAN22L">#REF!</definedName>
    <definedName localSheetId="19" name="mowi.w.shield">#REF!</definedName>
    <definedName localSheetId="12" name="__HAL4">#REF!</definedName>
    <definedName localSheetId="8" name="sealer.mowi">#REF!</definedName>
    <definedName localSheetId="17" name="____MMM05">#REF!</definedName>
    <definedName localSheetId="44" name="URAIAN7614b">#REF!</definedName>
    <definedName localSheetId="21" name="FORM735">#REF!</definedName>
    <definedName localSheetId="12" name="Grendel">#REF!</definedName>
    <definedName localSheetId="3" name="__DIV9">#REF!</definedName>
    <definedName localSheetId="42" name="_________DIV10">#REF!</definedName>
    <definedName localSheetId="21" name="______MMM22">#REF!</definedName>
    <definedName localSheetId="34" name="kuncitanam">#REF!</definedName>
    <definedName localSheetId="30" name="plywood6mm">#REF!</definedName>
    <definedName localSheetId="10" name="medan5.7">#REF!</definedName>
    <definedName localSheetId="19" name="__pvc2">#REF!</definedName>
    <definedName localSheetId="5" name="_HAL1">#REF!</definedName>
    <definedName localSheetId="9" name="atapaluminiumgelombang055">#REF!</definedName>
    <definedName localSheetId="12" name="catantara">#REF!</definedName>
    <definedName name="wwww">#REF!</definedName>
    <definedName localSheetId="7" name="_________MMM05">#REF!</definedName>
    <definedName localSheetId="3" name="kayualbasiah">#REF!</definedName>
    <definedName localSheetId="7" name="gentengpaletongbesar">#REF!</definedName>
    <definedName localSheetId="28" name="p.bI">#REF!</definedName>
    <definedName localSheetId="44" name="______MMM10">#REF!</definedName>
    <definedName localSheetId="27" name="________MMM02">#REF!</definedName>
    <definedName localSheetId="17" name="______MMM31">#REF!</definedName>
    <definedName localSheetId="24" name="___MMM47">#REF!</definedName>
    <definedName localSheetId="7" name="aaaaaaaaaaa">#REF!</definedName>
    <definedName localSheetId="21" name="____MMM27">#REF!</definedName>
    <definedName localSheetId="7" name="sofboard">#REF!</definedName>
    <definedName localSheetId="23" name="besijaringkawatbaja">#REF!</definedName>
    <definedName localSheetId="21" name="____LLL11">#REF!</definedName>
    <definedName localSheetId="39" name="MATERIAL">#REF!</definedName>
    <definedName localSheetId="36" name="alangalang">#REF!</definedName>
    <definedName localSheetId="34" name="k.40.40.roman.crk">#REF!</definedName>
    <definedName localSheetId="3" name="____MMM44">#REF!</definedName>
    <definedName localSheetId="15" name="________MMM03">#REF!</definedName>
    <definedName localSheetId="42" name="lemvinyl">#REF!</definedName>
    <definedName localSheetId="3" name="__MMM53">#REF!</definedName>
    <definedName localSheetId="39" name="URAIAN633">#REF!</definedName>
    <definedName localSheetId="30" name="paving">#REF!</definedName>
    <definedName localSheetId="34" name="kayumarsawa">#REF!</definedName>
    <definedName localSheetId="3" name="________MMM13">#REF!</definedName>
    <definedName localSheetId="9" name="RINCIANSEWA2">#REF!</definedName>
    <definedName localSheetId="32" name="sis">#REF!</definedName>
    <definedName localSheetId="13" name="marmer">#REF!</definedName>
    <definedName name="kusen">#REF!</definedName>
    <definedName localSheetId="41" name="ubinkeramikartistik520">#REF!</definedName>
    <definedName localSheetId="21" name="R48..">#REF!</definedName>
    <definedName localSheetId="23" name="Meni">#REF!</definedName>
    <definedName localSheetId="3" name="___MMM22">#REF!</definedName>
    <definedName localSheetId="39" name="aa">#REF!</definedName>
    <definedName localSheetId="32" name="FORM612">#REF!</definedName>
    <definedName localSheetId="34" name="Excel_BuiltIn_Print_Titles_10">#REF!</definedName>
    <definedName localSheetId="10" name="rollingdoor">#REF!</definedName>
    <definedName localSheetId="38" name="___HAL1">#REF!</definedName>
    <definedName localSheetId="44" name="Kunci1">#REF!</definedName>
    <definedName localSheetId="23" name="Tbt">#REF!</definedName>
    <definedName localSheetId="13" name="FORM7613b">#REF!</definedName>
    <definedName localSheetId="17" name="_____DIV5">#REF!</definedName>
    <definedName localSheetId="11" name="bubungangentengbeton">#REF!</definedName>
    <definedName localSheetId="39" name="FORM7614c">#REF!</definedName>
    <definedName localSheetId="21" name="URAIAN636">#REF!</definedName>
    <definedName localSheetId="36" name="meni.kayu">#REF!</definedName>
    <definedName localSheetId="32" name="NAMA3">#REF!</definedName>
    <definedName localSheetId="13" name="paku5.7.10">#REF!</definedName>
    <definedName localSheetId="3" name="URAIAN">#REF!</definedName>
    <definedName localSheetId="34" name="KTM">#REF!</definedName>
    <definedName localSheetId="24" name="__DIV10">#REF!</definedName>
    <definedName localSheetId="4" name="batu.jogja">#REF!</definedName>
    <definedName localSheetId="17" name="__MMM54">#REF!</definedName>
    <definedName name="ppn2.30">#REF!</definedName>
    <definedName localSheetId="30" name="bubungangentengkodok">#REF!</definedName>
    <definedName localSheetId="10" name="DAYWORKS">#REF!</definedName>
    <definedName name="gentengmonier">#REF!</definedName>
    <definedName name="________MMM07">#REF!</definedName>
    <definedName localSheetId="41" name="seng25">#REF!</definedName>
    <definedName localSheetId="18" name="jendelanako">#REF!</definedName>
    <definedName localSheetId="17" name="Minyak">#REF!</definedName>
    <definedName localSheetId="20" name="batamerah">#REF!</definedName>
    <definedName localSheetId="7" name="_kop5">#REF!</definedName>
    <definedName localSheetId="17" name="R31..">#REF!</definedName>
    <definedName localSheetId="36" name="URAIAN66PERMUKAAN">#REF!</definedName>
    <definedName localSheetId="17" name="____MMM08">#REF!</definedName>
    <definedName localSheetId="18" name="waterdrainaksesoris">#REF!</definedName>
    <definedName localSheetId="24" name="dasar">#REF!</definedName>
    <definedName localSheetId="15" name="pipabeton">#REF!</definedName>
    <definedName localSheetId="7" name="psr.trs">#REF!</definedName>
    <definedName localSheetId="19" name="t.sabun">#REF!</definedName>
    <definedName localSheetId="34" name="SUNGAI_BERTAM">#REF!</definedName>
    <definedName localSheetId="6" name="roll">#REF!</definedName>
    <definedName localSheetId="13" name="R20..">#REF!</definedName>
    <definedName localSheetId="9" name="tp80x80">#REF!</definedName>
    <definedName name="k.rmn.30.30.crk">#REF!</definedName>
    <definedName localSheetId="27" name="___DIV2">#REF!</definedName>
    <definedName localSheetId="25" name="FORM721">#REF!</definedName>
    <definedName localSheetId="32" name="roster">#REF!</definedName>
    <definedName localSheetId="36" name="kayukruing">#REF!</definedName>
    <definedName localSheetId="6" name="sengbjls25">#REF!</definedName>
    <definedName localSheetId="44" name="_MMM02">#REF!</definedName>
    <definedName localSheetId="7" name="washtafel">#REF!</definedName>
    <definedName localSheetId="44" name="__MMM11">#REF!</definedName>
    <definedName localSheetId="9" name="______DIV1">#REF!</definedName>
    <definedName localSheetId="39" name="asbesgelombang">#REF!</definedName>
    <definedName localSheetId="8" name="cghj">#REF!</definedName>
    <definedName localSheetId="7" name="______DIV9">#REF!</definedName>
    <definedName localSheetId="7" name="papanbulian">#REF!</definedName>
    <definedName name="____MMM13">#REF!</definedName>
    <definedName localSheetId="9" name="ASPAL">#REF!</definedName>
    <definedName name="amplas">#REF!</definedName>
    <definedName name="_________MMM34">#REF!</definedName>
    <definedName localSheetId="15" name="JA">#REF!</definedName>
    <definedName localSheetId="44" name="_________MMM10">#REF!</definedName>
    <definedName localSheetId="11" name="FORM745">#REF!</definedName>
    <definedName localSheetId="21" name="vinylwallcovering">#REF!</definedName>
    <definedName localSheetId="24" name="FORM772c">#REF!</definedName>
    <definedName localSheetId="23" name="R50..">#REF!</definedName>
    <definedName localSheetId="6" name="teakwood9mm">#REF!</definedName>
    <definedName localSheetId="40" name="s.tukang">#REF!</definedName>
    <definedName localSheetId="19" name="________HAL2">#REF!</definedName>
    <definedName localSheetId="19" name="beton225r">#REF!</definedName>
    <definedName localSheetId="38" name="tegelplin20x20">#REF!</definedName>
    <definedName localSheetId="21" name="platasbes">#REF!</definedName>
    <definedName localSheetId="17" name="_________MMM411">#REF!</definedName>
    <definedName localSheetId="24" name="Fak">#REF!</definedName>
    <definedName localSheetId="12" name="xxxxx">#REF!</definedName>
    <definedName localSheetId="24" name="engsel4">#REF!</definedName>
    <definedName localSheetId="12" name="ppn2.30">#REF!</definedName>
    <definedName localSheetId="9" name="profilalumuniumT">#REF!</definedName>
    <definedName localSheetId="31" name="FORM7613b">#REF!</definedName>
    <definedName localSheetId="15" name="__DIV1">#REF!</definedName>
    <definedName localSheetId="19" name="kayukamper">#REF!</definedName>
    <definedName localSheetId="24" name="______HAL2">#REF!</definedName>
    <definedName localSheetId="39" name="doorholder">#REF!</definedName>
    <definedName localSheetId="44" name="R38..">#REF!</definedName>
    <definedName localSheetId="3" name="dua">#REF!</definedName>
    <definedName localSheetId="36" name="URAIAN7612b">#REF!</definedName>
    <definedName localSheetId="17" name="_DIV7">#REF!</definedName>
    <definedName localSheetId="9" name="FORM7614a">#REF!</definedName>
    <definedName localSheetId="36" name="ubinkeramik1033">#REF!</definedName>
    <definedName localSheetId="18" name="catmeni">#REF!</definedName>
    <definedName localSheetId="11" name="karpet">#REF!</definedName>
    <definedName localSheetId="25" name="leni">#REF!</definedName>
    <definedName localSheetId="24" name="_MMM18">#REF!</definedName>
    <definedName localSheetId="9" name="pengencer">#REF!</definedName>
    <definedName localSheetId="27" name="papanbulian">#REF!</definedName>
    <definedName localSheetId="24" name="FORM771b">#REF!</definedName>
    <definedName localSheetId="24" name="cghj">#REF!</definedName>
    <definedName localSheetId="7" name="____DIV7">#REF!</definedName>
    <definedName localSheetId="7" name="R84..">#REF!</definedName>
    <definedName localSheetId="27" name="_______DIV10">#REF!</definedName>
    <definedName localSheetId="23" name="________MMM01">#REF!</definedName>
    <definedName localSheetId="30" name="pakuhak15cm">#REF!</definedName>
    <definedName localSheetId="41" name="_MMM03">#REF!</definedName>
    <definedName localSheetId="44" name="URAIAN7612c">#REF!</definedName>
    <definedName name="DFFFGGG">#REF!</definedName>
    <definedName localSheetId="42" name="gypsum.9">#REF!</definedName>
    <definedName name="Analisa612">#REF!</definedName>
    <definedName localSheetId="32" name="_______DIV4">#REF!</definedName>
    <definedName localSheetId="12" name="residu">#REF!</definedName>
    <definedName localSheetId="31" name="got">#REF!</definedName>
    <definedName localSheetId="10" name="papanbulian">#REF!</definedName>
    <definedName name="drainase">#REF!</definedName>
    <definedName localSheetId="21" name="plintubinteraluxmarmer1060">#REF!</definedName>
    <definedName localSheetId="40" name="MINOR">#REF!</definedName>
    <definedName localSheetId="12" name="URAIAN621">#REF!</definedName>
    <definedName localSheetId="7" name="b.super.5.10">#REF!</definedName>
    <definedName localSheetId="15" name="marmer">#REF!</definedName>
    <definedName localSheetId="32" name="kayukruing">#REF!</definedName>
    <definedName localSheetId="33" name="B.Jambi">#REF!</definedName>
    <definedName localSheetId="23" name="sodaapi">#REF!</definedName>
    <definedName localSheetId="24" name="nokstelrata105">#REF!</definedName>
    <definedName localSheetId="21" name="_____MMM27">#REF!</definedName>
    <definedName localSheetId="21" name="borneo5.7">#REF!</definedName>
    <definedName localSheetId="4" name="jki">#REF!</definedName>
    <definedName localSheetId="33" name="Minyak">#REF!</definedName>
    <definedName localSheetId="17" name="aluminiumfoil">#REF!</definedName>
    <definedName localSheetId="6" name="R10..">#REF!</definedName>
    <definedName localSheetId="44" name="___MMM05">#REF!</definedName>
    <definedName localSheetId="24" name="FORM97">#REF!</definedName>
    <definedName localSheetId="7" name="_______HAL6">#REF!</definedName>
    <definedName name="R1..">#REF!</definedName>
    <definedName localSheetId="39" name="R31..">#REF!</definedName>
    <definedName localSheetId="20" name="catpenutup">#REF!</definedName>
    <definedName localSheetId="33" name="vinylkaret3030">#REF!</definedName>
    <definedName localSheetId="15" name="floorhardenerferrovak">#REF!</definedName>
    <definedName localSheetId="31" name="Excel_BuiltIn_Print_Titles_10">#REF!</definedName>
    <definedName localSheetId="4" name="pakubiasa">#REF!</definedName>
    <definedName localSheetId="9" name="_________HAL2">#REF!</definedName>
    <definedName localSheetId="24" name="_________MMM411">#REF!</definedName>
    <definedName localSheetId="25" name="he">#REF!</definedName>
    <definedName localSheetId="38" name="btn">#REF!</definedName>
    <definedName localSheetId="44" name="_________DIV7">#REF!</definedName>
    <definedName localSheetId="8" name="BAJA">#REF!</definedName>
    <definedName localSheetId="3" name="____DIV10">#REF!</definedName>
    <definedName localSheetId="5" name="plintubinteraso1040">#REF!</definedName>
    <definedName localSheetId="8" name="__DIV1">#REF!</definedName>
    <definedName name="_______MMM50">#REF!</definedName>
    <definedName localSheetId="11" name="sealer.mowi">#REF!</definedName>
    <definedName localSheetId="15" name="nokpaten092">#REF!</definedName>
    <definedName localSheetId="20" name="_____HAL2">#REF!</definedName>
    <definedName localSheetId="44" name="_MMM26">#REF!</definedName>
    <definedName localSheetId="40" name="kuncisilinder">#REF!</definedName>
    <definedName localSheetId="8" name="____HAL3">#REF!</definedName>
    <definedName localSheetId="33" name="URAIAN632">#REF!</definedName>
    <definedName localSheetId="9" name="_HAL5">#REF!</definedName>
    <definedName name="R70..">#REF!</definedName>
    <definedName localSheetId="7" name="pvc1.2.aw">#REF!</definedName>
    <definedName localSheetId="7" name="gentengmetal">#REF!</definedName>
    <definedName localSheetId="8" name="_818PK">#REF!</definedName>
    <definedName localSheetId="31" name="ppn.m.3.20.serut">#REF!</definedName>
    <definedName localSheetId="42" name="____DIV10">#REF!</definedName>
    <definedName name="URAIAN66PERMUKAAN">#REF!</definedName>
    <definedName localSheetId="21" name="__MMM33">#REF!</definedName>
    <definedName localSheetId="30" name="got">#REF!</definedName>
    <definedName localSheetId="18" name="Print_title">#REF!</definedName>
    <definedName localSheetId="21" name="____MMM25">#REF!</definedName>
    <definedName localSheetId="34" name="__DIV1">#REF!</definedName>
    <definedName localSheetId="41" name="DUDI">#REF!</definedName>
    <definedName localSheetId="6" name="FORM79manual">#REF!</definedName>
    <definedName localSheetId="21" name="______MMM34">#REF!</definedName>
    <definedName localSheetId="41" name="lb">#REF!</definedName>
    <definedName localSheetId="24" name="______MMM29">#REF!</definedName>
    <definedName localSheetId="24" name="_______DIV5">#REF!</definedName>
    <definedName localSheetId="30" name="engselangin">#REF!</definedName>
    <definedName localSheetId="21" name="____MMM23">#REF!</definedName>
    <definedName localSheetId="7" name="engselangin">#REF!</definedName>
    <definedName localSheetId="42" name="e">#REF!</definedName>
    <definedName localSheetId="9" name="Pc.50">#REF!</definedName>
    <definedName localSheetId="28" name="tm_2415921492">#REF!</definedName>
    <definedName localSheetId="3" name="hollowblok">#REF!</definedName>
    <definedName localSheetId="9" name="_________DIV1">#REF!</definedName>
    <definedName localSheetId="0" name="FORM771a">#REF!</definedName>
    <definedName localSheetId="15" name="beton175R">#REF!</definedName>
    <definedName localSheetId="12" name="gypsum.9">#REF!</definedName>
    <definedName localSheetId="12" name="b.belah">#REF!</definedName>
    <definedName localSheetId="19" name="____HAL3">#REF!</definedName>
    <definedName localSheetId="21" name="__MMM17">#REF!</definedName>
    <definedName localSheetId="7" name="ubinkeramik3333">#REF!</definedName>
    <definedName localSheetId="15" name="tegelplinteraso10x30">#REF!</definedName>
    <definedName localSheetId="17" name="JUDUL">#REF!</definedName>
    <definedName localSheetId="17" name="pvc.1.M.abu">#REF!</definedName>
    <definedName localSheetId="17" name="________MMM14">#REF!</definedName>
    <definedName name="FORM95">#REF!</definedName>
    <definedName localSheetId="42" name="Gypsum">#REF!</definedName>
    <definedName localSheetId="30" name="______DIV2">#REF!</definedName>
    <definedName localSheetId="24" name="_______MMM15">#REF!</definedName>
    <definedName localSheetId="3" name="____MMM46">#REF!</definedName>
    <definedName localSheetId="44" name="URAIAN232">#REF!</definedName>
    <definedName localSheetId="24" name="____MMM40">#REF!</definedName>
    <definedName localSheetId="40" name="ts">#REF!</definedName>
    <definedName localSheetId="15" name="kacacermin5">#REF!</definedName>
    <definedName localSheetId="24" name="medan5.10">#REF!</definedName>
    <definedName localSheetId="15" name="__DIV2">#REF!</definedName>
    <definedName localSheetId="40" name="kalkarium">#REF!</definedName>
    <definedName localSheetId="40" name="Ker.L13">#REF!</definedName>
    <definedName localSheetId="9" name="sssssss">#REF!</definedName>
    <definedName name="pintubesibaja">#REF!</definedName>
    <definedName localSheetId="7" name="_________LLL02">#REF!</definedName>
    <definedName localSheetId="38" name="tp80x80">#REF!</definedName>
    <definedName localSheetId="31" name="marmer">#REF!</definedName>
    <definedName localSheetId="17" name="tegelporselen11x11">#REF!</definedName>
    <definedName localSheetId="31" name="pintulipat">#REF!</definedName>
    <definedName localSheetId="17" name="___MMM08">#REF!</definedName>
    <definedName localSheetId="9" name="MASTER">#REF!</definedName>
    <definedName localSheetId="30" name="asbesgelombnang">#REF!</definedName>
    <definedName localSheetId="27" name="grendeltanam">#REF!</definedName>
    <definedName localSheetId="6" name="d">#REF!</definedName>
    <definedName localSheetId="4" name="ppn.m.3.20.serut">#REF!</definedName>
    <definedName localSheetId="8" name="catantara">#REF!</definedName>
    <definedName localSheetId="3" name="ubingranito40">#REF!</definedName>
    <definedName localSheetId="17" name="t.sabun">#REF!</definedName>
    <definedName localSheetId="18" name="batamerah">#REF!</definedName>
    <definedName localSheetId="13" name="____DIV3">#REF!</definedName>
    <definedName localSheetId="23" name="_kop6">#REF!</definedName>
    <definedName localSheetId="17" name="jendelanako">#REF!</definedName>
    <definedName localSheetId="24" name="R34..">#REF!</definedName>
    <definedName localSheetId="6" name="________MMM01">#REF!</definedName>
    <definedName localSheetId="34" name="ubinteraso40">#REF!</definedName>
    <definedName localSheetId="23" name="atapaluminiumgelombang055">#REF!</definedName>
    <definedName localSheetId="9" name="bakcuciteraso">#REF!</definedName>
    <definedName localSheetId="21" name="URAIAN621">#REF!</definedName>
    <definedName localSheetId="17" name="______MMM27">#REF!</definedName>
    <definedName localSheetId="7" name="URAIAN621">#REF!</definedName>
    <definedName localSheetId="36" name="Excel_BuiltIn_Print_Titles_2">#REF!</definedName>
    <definedName localSheetId="18" name="bubungangentengkodok">#REF!</definedName>
    <definedName localSheetId="25" name="R41..">#REF!</definedName>
    <definedName localSheetId="41" name="mowi.w.shield">#REF!</definedName>
    <definedName localSheetId="11" name="FRRDS">#REF!</definedName>
    <definedName localSheetId="44" name="Excel_BuiltIn_Print_Titles_1">#REF!</definedName>
    <definedName localSheetId="10" name="tanahliat">#REF!</definedName>
    <definedName localSheetId="28" name="venetionblinds">#REF!</definedName>
    <definedName localSheetId="18" name="________DIV3">#REF!</definedName>
    <definedName localSheetId="36" name="spirtus">#REF!</definedName>
    <definedName localSheetId="33" name="Nokmetal3mm">#REF!</definedName>
    <definedName localSheetId="10" name="tegelplinteraso10x30">#REF!</definedName>
    <definedName localSheetId="27" name="teakwood6mm">#REF!</definedName>
    <definedName localSheetId="33" name="URAIAN744">#REF!</definedName>
    <definedName name="ubinkeramik1020">#REF!</definedName>
    <definedName localSheetId="3" name="__DIV4">#REF!</definedName>
    <definedName localSheetId="41" name="grendel3">#REF!</definedName>
    <definedName localSheetId="24" name="_____MMM27">#REF!</definedName>
    <definedName localSheetId="24" name="MOBILISASI">#REF!</definedName>
    <definedName localSheetId="17" name="_________MMM34">#REF!</definedName>
    <definedName localSheetId="7" name="R95..">#REF!</definedName>
    <definedName localSheetId="44" name="bubunganstelgelombang092">#REF!</definedName>
    <definedName localSheetId="44" name="s.tukang">#REF!</definedName>
    <definedName localSheetId="24" name="mowi.ws">#REF!</definedName>
    <definedName name="_________MMM35">#REF!</definedName>
    <definedName localSheetId="15" name="_____DIV4">#REF!</definedName>
    <definedName localSheetId="32" name="siap1">#REF!</definedName>
    <definedName localSheetId="21" name="_______HAL2">#REF!</definedName>
    <definedName localSheetId="4" name="FORM771a">#REF!</definedName>
    <definedName localSheetId="7" name="plywood9mm">#REF!</definedName>
    <definedName localSheetId="4" name="__LLL01">#REF!</definedName>
    <definedName localSheetId="28" name="R41..">#REF!</definedName>
    <definedName localSheetId="24" name="URAIAN745">#REF!</definedName>
    <definedName localSheetId="36" name="jurnal">#REF!</definedName>
    <definedName localSheetId="0" name="bubungangentengbeton">#REF!</definedName>
    <definedName localSheetId="30" name="bondbeam">#REF!</definedName>
    <definedName localSheetId="3" name="klosetjongkok">#REF!</definedName>
    <definedName localSheetId="18" name="FORM7614b">#REF!</definedName>
    <definedName localSheetId="30" name="kran.ddg">#REF!</definedName>
    <definedName localSheetId="39" name="Faktorial">#REF!</definedName>
    <definedName localSheetId="4" name="seng25">#REF!</definedName>
    <definedName localSheetId="13" name="URAIAN7613c">#REF!</definedName>
    <definedName localSheetId="12" name="grendel3">#REF!</definedName>
    <definedName localSheetId="24" name="LemAibon">#REF!</definedName>
    <definedName localSheetId="3" name="KERAMIK30">#REF!</definedName>
    <definedName localSheetId="19" name="pakusirap">#REF!</definedName>
    <definedName localSheetId="15" name="bubungangentengkodok">#REF!</definedName>
    <definedName name="atapaluminiumgelombang055">#REF!</definedName>
    <definedName localSheetId="7" name="R72..">#REF!</definedName>
    <definedName localSheetId="40" name="amplas">#REF!</definedName>
    <definedName localSheetId="12" name="ubingranito40">#REF!</definedName>
    <definedName localSheetId="18" name="URAIAN7613b">#REF!</definedName>
    <definedName localSheetId="3" name="multi.6">#REF!</definedName>
    <definedName localSheetId="17" name="_________LLL04">#REF!</definedName>
    <definedName localSheetId="39" name="hakangin">#REF!</definedName>
    <definedName localSheetId="10" name="tegelporselen">#REF!</definedName>
    <definedName localSheetId="4" name="_HAL4">#REF!</definedName>
    <definedName localSheetId="9" name="KT">#REF!</definedName>
    <definedName localSheetId="39" name="reng">#REF!</definedName>
    <definedName localSheetId="4" name="profilalumuniumT">#REF!</definedName>
    <definedName localSheetId="32" name="R60..">#REF!</definedName>
    <definedName name="plintubinpcabuabu1030">#REF!</definedName>
    <definedName localSheetId="8" name="DUDI">#REF!</definedName>
    <definedName name="____MMM20">#REF!</definedName>
    <definedName localSheetId="19" name="k.ddg.rmn.20.25.pls">#REF!</definedName>
    <definedName localSheetId="3" name="R64..">#REF!</definedName>
    <definedName localSheetId="15" name="dd">#REF!</definedName>
    <definedName localSheetId="38" name="FORMLatasirKL">#REF!</definedName>
    <definedName localSheetId="21" name="URAIAN7612a">#REF!</definedName>
    <definedName localSheetId="28" name="_______DIV1">#REF!</definedName>
    <definedName localSheetId="33" name="catmeni">#REF!</definedName>
    <definedName localSheetId="30" name="begisting">#REF!</definedName>
    <definedName localSheetId="21" name="kaca5">#REF!</definedName>
    <definedName localSheetId="19" name="batukali14">#REF!</definedName>
    <definedName localSheetId="24" name="RoolingdoorAlumunium">#REF!</definedName>
    <definedName localSheetId="13" name="xxxxx">#REF!</definedName>
    <definedName localSheetId="3" name="waterstop250">#REF!</definedName>
    <definedName localSheetId="41" name="kawatnyamuk">#REF!</definedName>
    <definedName localSheetId="12" name="minyaksolar">#REF!</definedName>
    <definedName localSheetId="36" name="___pvc2">#REF!</definedName>
    <definedName localSheetId="8" name="_____HAL2">#REF!</definedName>
    <definedName localSheetId="34" name="__HAL1">#REF!</definedName>
    <definedName localSheetId="18" name="paving">#REF!</definedName>
    <definedName localSheetId="3" name="______MMM54">#REF!</definedName>
    <definedName localSheetId="30" name="_pvc105">#REF!</definedName>
    <definedName localSheetId="24" name="_________DIV2">#REF!</definedName>
    <definedName localSheetId="21" name="_____MMM42">#REF!</definedName>
    <definedName localSheetId="23" name="GUIIII">#REF!</definedName>
    <definedName localSheetId="24" name="URAIAN914">#REF!</definedName>
    <definedName localSheetId="28" name="LAINLAIN">#REF!</definedName>
    <definedName localSheetId="41" name="got">#REF!</definedName>
    <definedName localSheetId="40" name="FORM842">#REF!</definedName>
    <definedName localSheetId="5" name="teakwood9mm">#REF!</definedName>
    <definedName localSheetId="3" name="roll">#REF!</definedName>
    <definedName localSheetId="4" name="______HAL2">#REF!</definedName>
    <definedName localSheetId="17" name="_MMM19">#REF!</definedName>
    <definedName name="______MMM411">#REF!</definedName>
    <definedName localSheetId="3" name="_______MMM13">#REF!</definedName>
    <definedName localSheetId="20" name="ktbs">#REF!</definedName>
    <definedName localSheetId="10" name="papan.m.3.20">#REF!</definedName>
    <definedName localSheetId="20" name="______DIV4">#REF!</definedName>
    <definedName localSheetId="25" name="residu">#REF!</definedName>
    <definedName localSheetId="19" name="plastikaerator">#REF!</definedName>
    <definedName localSheetId="12" name="doorcloser">#REF!</definedName>
    <definedName localSheetId="4" name="zzz">#REF!</definedName>
    <definedName localSheetId="24" name="Analisa71202">#REF!</definedName>
    <definedName localSheetId="4" name="atapaluminiumgelombang055">#REF!</definedName>
    <definedName localSheetId="40" name="_____DIV10">#REF!</definedName>
    <definedName localSheetId="0" name="badkip">#REF!</definedName>
    <definedName localSheetId="24" name="_______MMM04">#REF!</definedName>
    <definedName localSheetId="17" name="FORM744">#REF!</definedName>
    <definedName name="___MMM31">#REF!</definedName>
    <definedName localSheetId="6" name="sengplatbjls25">#REF!</definedName>
    <definedName localSheetId="39" name="kuncisilinder">#REF!</definedName>
    <definedName localSheetId="17" name="R46..">#REF!</definedName>
    <definedName localSheetId="28" name="__HAL4">#REF!</definedName>
    <definedName localSheetId="38" name="kuncitanam">#REF!</definedName>
    <definedName localSheetId="25" name="bakcuciteraso">#REF!</definedName>
    <definedName localSheetId="44" name="___MMM01">#REF!</definedName>
    <definedName localSheetId="7" name="________MMM29">#REF!</definedName>
    <definedName localSheetId="21" name="___DIV5">#REF!</definedName>
    <definedName localSheetId="17" name="B.Jambi">#REF!</definedName>
    <definedName localSheetId="39" name="waterstop200">#REF!</definedName>
    <definedName localSheetId="28" name="kawatduri">#REF!</definedName>
    <definedName localSheetId="3" name="______LLL06">#REF!</definedName>
    <definedName localSheetId="11" name="tegelpc20x20">#REF!</definedName>
    <definedName localSheetId="38" name="___DIV10">#REF!</definedName>
    <definedName localSheetId="24" name="R58..">#REF!</definedName>
    <definedName localSheetId="3" name="__pvc2">#REF!</definedName>
    <definedName localSheetId="28" name="batacote">#REF!</definedName>
    <definedName localSheetId="3" name="URAIAN771b">#REF!</definedName>
    <definedName localSheetId="3" name="FORMLatasirKL">#REF!</definedName>
    <definedName localSheetId="39" name="FORM842">#REF!</definedName>
    <definedName localSheetId="31" name="beton175m">#REF!</definedName>
    <definedName localSheetId="41" name="R61..">#REF!</definedName>
    <definedName localSheetId="5" name="URAIAN7612b">#REF!</definedName>
    <definedName localSheetId="13" name="ls">#REF!</definedName>
    <definedName localSheetId="24" name="kategori">#REF!</definedName>
    <definedName localSheetId="30" name="plintkeramikartistik1010">#REF!</definedName>
    <definedName localSheetId="44" name="_______HAL3">#REF!</definedName>
    <definedName localSheetId="27" name="pakubiasa">#REF!</definedName>
    <definedName localSheetId="15" name="nnnnn">#REF!</definedName>
    <definedName localSheetId="21" name="R3..">#REF!</definedName>
    <definedName localSheetId="44" name="________MMM48">#REF!</definedName>
    <definedName localSheetId="24" name="Print_title">#REF!</definedName>
    <definedName localSheetId="3" name="vinylmotifkembang">#REF!</definedName>
    <definedName localSheetId="17" name="kaca.p.5">#REF!</definedName>
    <definedName localSheetId="12" name="URAIAN744">#REF!</definedName>
    <definedName localSheetId="33" name="sabun">#REF!</definedName>
    <definedName localSheetId="40" name="BAJA">#REF!</definedName>
    <definedName localSheetId="10" name="URAIAN7614a">#REF!</definedName>
    <definedName localSheetId="24" name="____DIV2">#REF!</definedName>
    <definedName localSheetId="3" name="rubbercorrugate">#REF!</definedName>
    <definedName localSheetId="27" name="_LLL01">#REF!</definedName>
    <definedName localSheetId="7" name="besipresstressedpolos">#REF!</definedName>
    <definedName localSheetId="15" name="___pc50">#REF!</definedName>
    <definedName localSheetId="44" name="tegelporselen20x20warna">#REF!</definedName>
    <definedName localSheetId="6" name="bak">#REF!</definedName>
    <definedName localSheetId="25" name="_______DIV1">#REF!</definedName>
    <definedName localSheetId="44" name="___MMM21">#REF!</definedName>
    <definedName localSheetId="36" name="eeeeee">#REF!</definedName>
    <definedName localSheetId="24" name="gentengmonier">#REF!</definedName>
    <definedName localSheetId="30" name="flordrain">#REF!</definedName>
    <definedName localSheetId="17" name="______MMM05">#REF!</definedName>
    <definedName localSheetId="9" name="SPJ">#REF!</definedName>
    <definedName localSheetId="44" name="rooflightfiibreglass">#REF!</definedName>
    <definedName localSheetId="3" name="KECAMATAN_KODEOHA">#REF!</definedName>
    <definedName localSheetId="23" name="closedjongkok">#REF!</definedName>
    <definedName localSheetId="23" name="L">#REF!</definedName>
    <definedName localSheetId="39" name="Pc.50">#REF!</definedName>
    <definedName localSheetId="31" name="hollowblok">#REF!</definedName>
    <definedName localSheetId="7" name="_____MMM52">#REF!</definedName>
    <definedName localSheetId="11" name="kayutembesu">#REF!</definedName>
    <definedName localSheetId="40" name="Analisa511">#REF!</definedName>
    <definedName localSheetId="7" name="________MMM45">#REF!</definedName>
    <definedName localSheetId="41" name="kawatsengpolos">#REF!</definedName>
    <definedName localSheetId="3" name="___MMM26">#REF!</definedName>
    <definedName localSheetId="31" name="mowi.w.shield">#REF!</definedName>
    <definedName localSheetId="12" name="engselangin">#REF!</definedName>
    <definedName localSheetId="17" name="_______MMM49">#REF!</definedName>
    <definedName localSheetId="20" name="URAIAN7612b">#REF!</definedName>
    <definedName localSheetId="19" name="pasirpas">#REF!</definedName>
    <definedName localSheetId="41" name="klosetjongkok">#REF!</definedName>
    <definedName localSheetId="24" name="_________MMM36">#REF!</definedName>
    <definedName localSheetId="24" name="R106..">#REF!</definedName>
    <definedName localSheetId="6" name="ubinteraso30">#REF!</definedName>
    <definedName localSheetId="39" name="y">#REF!</definedName>
    <definedName localSheetId="24" name="______MMM20">#REF!</definedName>
    <definedName localSheetId="41" name="jurnal">#REF!</definedName>
    <definedName localSheetId="44" name="_______LLL02">#REF!</definedName>
    <definedName localSheetId="13" name="papanII">#REF!</definedName>
    <definedName name="gggg">#REF!</definedName>
    <definedName localSheetId="7" name="catmeni">#REF!</definedName>
    <definedName localSheetId="7" name="____MMM08">#REF!</definedName>
    <definedName localSheetId="20" name="sirlak">#REF!</definedName>
    <definedName localSheetId="18" name="ASET">#REF!</definedName>
    <definedName localSheetId="17" name="_MMM53">#REF!</definedName>
    <definedName localSheetId="17" name="_MMM50">#REF!</definedName>
    <definedName localSheetId="17" name="FORM916">#REF!</definedName>
    <definedName localSheetId="18" name="_________MMM01">#REF!</definedName>
    <definedName localSheetId="12" name="borneo4.6">#REF!</definedName>
    <definedName name="________LLL06">#REF!</definedName>
    <definedName localSheetId="17" name="Analisa70614">#REF!</definedName>
    <definedName localSheetId="9" name="rincian">#REF!</definedName>
    <definedName localSheetId="34" name="nokpaten092">#REF!</definedName>
    <definedName localSheetId="32" name="bjls25">#REF!</definedName>
    <definedName localSheetId="21" name="_________LLL09">#REF!</definedName>
    <definedName localSheetId="9" name="f.drain">#REF!</definedName>
    <definedName localSheetId="40" name="URAIAN721">#REF!</definedName>
    <definedName localSheetId="20" name="kkkk">#REF!</definedName>
    <definedName localSheetId="40" name="floorhardenerferrovak">#REF!</definedName>
    <definedName localSheetId="0" name="ttnh">#REF!</definedName>
    <definedName localSheetId="33" name="grassblok">#REF!</definedName>
    <definedName localSheetId="12" name="URAIANLatasirKL">#REF!</definedName>
    <definedName localSheetId="34" name="na">#REF!</definedName>
    <definedName localSheetId="21" name="dua">#REF!</definedName>
    <definedName localSheetId="44" name="___MMM20">#REF!</definedName>
    <definedName localSheetId="15" name="plintubinteraluxmarmer1030">#REF!</definedName>
    <definedName localSheetId="15" name="__HAL3">#REF!</definedName>
    <definedName localSheetId="5" name="Akustik">#REF!</definedName>
    <definedName localSheetId="23" name="GRC">#REF!</definedName>
    <definedName localSheetId="17" name="kawatduri">#REF!</definedName>
    <definedName localSheetId="11" name="NAMA2">#REF!</definedName>
    <definedName localSheetId="7" name="______MMM29">#REF!</definedName>
    <definedName localSheetId="10" name="FORM7612a">#REF!</definedName>
    <definedName localSheetId="21" name="pvc.1.M.abu">#REF!</definedName>
    <definedName localSheetId="19" name="tegelplinpc10x20">#REF!</definedName>
    <definedName localSheetId="3" name="kawatduri">#REF!</definedName>
    <definedName localSheetId="21" name="__MMM31">#REF!</definedName>
    <definedName localSheetId="25" name="___pvc2">#REF!</definedName>
    <definedName localSheetId="24" name="___MMM40">#REF!</definedName>
    <definedName localSheetId="41" name="pakubulian">#REF!</definedName>
    <definedName name="tegelporselen">#REF!</definedName>
    <definedName localSheetId="18" name="kategori">#REF!</definedName>
    <definedName localSheetId="11" name="got">#REF!</definedName>
    <definedName localSheetId="0" name="____HAL1">#REF!</definedName>
    <definedName localSheetId="30" name="________HAL3">#REF!</definedName>
    <definedName localSheetId="33" name="bakkontrol">#REF!</definedName>
    <definedName name="_______DIV8">#REF!</definedName>
    <definedName localSheetId="25" name="_____DIV10">#REF!</definedName>
    <definedName localSheetId="32" name="tp80x80">#REF!</definedName>
    <definedName localSheetId="30" name="mlex.w">#REF!</definedName>
    <definedName localSheetId="8" name="plintkeramikartistik1010">#REF!</definedName>
    <definedName localSheetId="0" name="__DIV1">#REF!</definedName>
    <definedName localSheetId="17" name="_MMM31">#REF!</definedName>
    <definedName localSheetId="41" name="___pvc05">#REF!</definedName>
    <definedName localSheetId="30" name="Print_title">#REF!</definedName>
    <definedName localSheetId="39" name="pakusumbat">#REF!</definedName>
    <definedName localSheetId="39" name="________HAL1">#REF!</definedName>
    <definedName localSheetId="21" name="R23..">#REF!</definedName>
    <definedName localSheetId="9" name="__pvc205">#REF!</definedName>
    <definedName localSheetId="31" name="kawatharmonika">#REF!</definedName>
    <definedName localSheetId="30" name="des">#REF!</definedName>
    <definedName localSheetId="21" name="tegelporselen11x11">#REF!</definedName>
    <definedName name="_HAL5">#REF!</definedName>
    <definedName localSheetId="17" name="ubinkeramik1020">#REF!</definedName>
    <definedName localSheetId="36" name="____HAL2">#REF!</definedName>
    <definedName localSheetId="6" name="sementahanasam">#REF!</definedName>
    <definedName localSheetId="17" name="u.bekisting">#REF!</definedName>
    <definedName localSheetId="10" name="tegel20">#REF!</definedName>
    <definedName localSheetId="3" name="____DIV6">#REF!</definedName>
    <definedName name="tegel20">#REF!</definedName>
    <definedName localSheetId="33" name="Per">#REF!</definedName>
    <definedName localSheetId="7" name="FORM918">#REF!</definedName>
    <definedName localSheetId="3" name="FORM732">#REF!</definedName>
    <definedName localSheetId="44" name="ARI">#REF!</definedName>
    <definedName localSheetId="6" name="kuncialfa">#REF!</definedName>
    <definedName localSheetId="44" name="URAIAN731">#REF!</definedName>
    <definedName localSheetId="17" name="______MMM30">#REF!</definedName>
    <definedName name="_________MMM07">#REF!</definedName>
    <definedName localSheetId="21" name="batugranito">#REF!</definedName>
    <definedName localSheetId="33" name="_____MMM03">#REF!</definedName>
    <definedName localSheetId="7" name="vinylkaret3030">#REF!</definedName>
    <definedName localSheetId="24" name="sirlak">#REF!</definedName>
    <definedName localSheetId="40" name="__pvc105">#REF!</definedName>
    <definedName localSheetId="17" name="Analisa70108">#REF!</definedName>
    <definedName localSheetId="8" name="t.sabun">#REF!</definedName>
    <definedName localSheetId="21" name="kuncisilinder">#REF!</definedName>
    <definedName localSheetId="3" name="___MMM28">#REF!</definedName>
    <definedName localSheetId="17" name="_________MMM18">#REF!</definedName>
    <definedName localSheetId="15" name="__MMM03">#REF!</definedName>
    <definedName localSheetId="3" name="FORM735">#REF!</definedName>
    <definedName localSheetId="24" name="gentengpaletong">#REF!</definedName>
    <definedName localSheetId="9" name="vinylkaretklII">#REF!</definedName>
    <definedName localSheetId="20" name="FORM732">#REF!</definedName>
    <definedName localSheetId="33" name="mm">#REF!</definedName>
    <definedName localSheetId="5" name="plywood4">#REF!</definedName>
    <definedName localSheetId="10" name="springknip">#REF!</definedName>
    <definedName localSheetId="39" name="R60..">#REF!</definedName>
    <definedName localSheetId="24" name="beton100kg">#REF!</definedName>
    <definedName localSheetId="10" name="________HAL3">#REF!</definedName>
    <definedName localSheetId="3" name="R52..">#REF!</definedName>
    <definedName localSheetId="38" name="__DIV2">#REF!</definedName>
    <definedName localSheetId="10" name="Tbs">#REF!</definedName>
    <definedName localSheetId="30" name="cendana">#REF!</definedName>
    <definedName localSheetId="17" name="ktct">#REF!</definedName>
    <definedName localSheetId="20" name="______DIV10">#REF!</definedName>
    <definedName localSheetId="36" name="y">#REF!</definedName>
    <definedName localSheetId="31" name="pakugypsum">#REF!</definedName>
    <definedName localSheetId="20" name="gentengbeton">#REF!</definedName>
    <definedName localSheetId="32" name="urugantanah">#REF!</definedName>
    <definedName localSheetId="8" name="c.mowi.luar">#REF!</definedName>
    <definedName localSheetId="7" name="tegelporselen">#REF!</definedName>
    <definedName localSheetId="36" name="KunciPintu">#REF!</definedName>
    <definedName localSheetId="34" name="amplas">#REF!</definedName>
    <definedName localSheetId="15" name="kayuborneo">#REF!</definedName>
    <definedName localSheetId="28" name="plamour">#REF!</definedName>
    <definedName localSheetId="30" name="NAMA2">#REF!</definedName>
    <definedName localSheetId="44" name="k.lnt.rmn.20.20.crk">#REF!</definedName>
    <definedName localSheetId="39" name="_HAL6">#REF!</definedName>
    <definedName localSheetId="44" name="strorox">#REF!</definedName>
    <definedName localSheetId="44" name="___MMM28">#REF!</definedName>
    <definedName localSheetId="24" name="___MMM38">#REF!</definedName>
    <definedName localSheetId="10" name="paving">#REF!</definedName>
    <definedName localSheetId="17" name="ubinkeramik3333">#REF!</definedName>
    <definedName localSheetId="23" name="cendana">#REF!</definedName>
    <definedName localSheetId="11" name="tegel20">#REF!</definedName>
    <definedName localSheetId="23" name="R2..">#REF!</definedName>
    <definedName localSheetId="21" name="______LLL02">#REF!</definedName>
    <definedName localSheetId="15" name="Excel_BuiltIn_Print_Area_1">#REF!</definedName>
    <definedName localSheetId="42" name="total">#REF!</definedName>
    <definedName localSheetId="31" name="URAIAN721">#REF!</definedName>
    <definedName localSheetId="28" name="kenek">#REF!</definedName>
    <definedName localSheetId="17" name="_MMM18">#REF!</definedName>
    <definedName localSheetId="38" name="plintubinteraso1030">#REF!</definedName>
    <definedName localSheetId="17" name="______MMM07">#REF!</definedName>
    <definedName localSheetId="11" name="bbm">#REF!</definedName>
    <definedName localSheetId="20" name="aa">#REF!</definedName>
    <definedName localSheetId="12" name="pagar2m">#REF!</definedName>
    <definedName localSheetId="13" name="plintubingranito1040">#REF!</definedName>
    <definedName localSheetId="25" name="R1..">#REF!</definedName>
    <definedName localSheetId="36" name="________HAL1">#REF!</definedName>
    <definedName localSheetId="4" name="kaca.es">#REF!</definedName>
    <definedName localSheetId="32" name="beton100kg">#REF!</definedName>
    <definedName localSheetId="18" name="list">#REF!</definedName>
    <definedName localSheetId="8" name="Excel_BuiltIn_Print_Area_1">#REF!</definedName>
    <definedName localSheetId="31" name="JUDUL1">#REF!</definedName>
    <definedName localSheetId="44" name="_______LLL08">#REF!</definedName>
    <definedName localSheetId="12" name="Fak">#REF!</definedName>
    <definedName name="_DIV9">#REF!</definedName>
    <definedName localSheetId="9" name="ts">#REF!</definedName>
    <definedName localSheetId="18" name="kacapolos5mm">#REF!</definedName>
    <definedName name="URAIAN745">#REF!</definedName>
    <definedName localSheetId="41" name="closedjongkok">#REF!</definedName>
    <definedName localSheetId="44" name="R66..">#REF!</definedName>
    <definedName localSheetId="10" name="Pc.50">#REF!</definedName>
    <definedName localSheetId="4" name="eeeeee">#REF!</definedName>
    <definedName localSheetId="20" name="FORM323L">#REF!</definedName>
    <definedName localSheetId="3" name="_MMM21">#REF!</definedName>
    <definedName localSheetId="33" name="kawatnyamuk">#REF!</definedName>
    <definedName localSheetId="0" name="UP">#REF!</definedName>
    <definedName localSheetId="6" name="_________DIV1">#REF!</definedName>
    <definedName localSheetId="17" name="xxxxx">#REF!</definedName>
    <definedName localSheetId="7" name="pa">#REF!</definedName>
    <definedName localSheetId="24" name="______MMM41">#REF!</definedName>
    <definedName localSheetId="31" name="___HAL3">#REF!</definedName>
    <definedName localSheetId="27" name="strorox">#REF!</definedName>
    <definedName localSheetId="27" name="waterstop230">#REF!</definedName>
    <definedName localSheetId="8" name="jendelanako">#REF!</definedName>
    <definedName localSheetId="33" name="reng">#REF!</definedName>
    <definedName localSheetId="6" name="sabun">#REF!</definedName>
    <definedName localSheetId="10" name="____HAL2">#REF!</definedName>
    <definedName localSheetId="21" name="_MMM03">#REF!</definedName>
    <definedName localSheetId="19" name="platasbes4mm">#REF!</definedName>
    <definedName localSheetId="42" name="split1.2">#REF!</definedName>
    <definedName localSheetId="21" name="SusunanOrg">#REF!</definedName>
    <definedName localSheetId="44" name="terntang">#REF!</definedName>
    <definedName localSheetId="8" name="sengplatbjls28">#REF!</definedName>
    <definedName localSheetId="4" name="LAP">#REF!</definedName>
    <definedName localSheetId="12" name="GRC">#REF!</definedName>
    <definedName localSheetId="31" name="______DIV3">#REF!</definedName>
    <definedName localSheetId="44" name="_______HAL4">#REF!</definedName>
    <definedName localSheetId="27" name="G">#REF!</definedName>
    <definedName localSheetId="15" name="Analisa512">#REF!</definedName>
    <definedName localSheetId="17" name="kran.ddg">#REF!</definedName>
    <definedName localSheetId="24" name="cendana">#REF!</definedName>
    <definedName localSheetId="19" name="engselangin">#REF!</definedName>
    <definedName localSheetId="21" name="________MMM08">#REF!</definedName>
    <definedName localSheetId="6" name="kmp.banjar">#REF!</definedName>
    <definedName localSheetId="41" name="gypsum.prf">#REF!</definedName>
    <definedName localSheetId="39" name="pintulipat">#REF!</definedName>
    <definedName localSheetId="19" name="FORM7613a">#REF!</definedName>
    <definedName localSheetId="39" name="______DIV10">#REF!</definedName>
    <definedName localSheetId="30" name="_________MMM03">#REF!</definedName>
    <definedName localSheetId="19" name="_________MMM01">#REF!</definedName>
    <definedName localSheetId="36" name="______DIV10">#REF!</definedName>
    <definedName localSheetId="4" name="Kunci2">#REF!</definedName>
    <definedName localSheetId="15" name="nmdaerah">#REF!</definedName>
    <definedName localSheetId="10" name="DSSDD">#REF!</definedName>
    <definedName localSheetId="4" name="_______DIV4">#REF!</definedName>
    <definedName localSheetId="5" name="__DIV1">#REF!</definedName>
    <definedName localSheetId="19" name="___pc50">#REF!</definedName>
    <definedName localSheetId="31" name="plintubingranito1040">#REF!</definedName>
    <definedName localSheetId="6" name="Closet.c420">#REF!</definedName>
    <definedName localSheetId="44" name="_________MMM49">#REF!</definedName>
    <definedName localSheetId="17" name="lp">#REF!</definedName>
    <definedName localSheetId="18" name="FORM745">#REF!</definedName>
    <definedName localSheetId="44" name="FORM734">#REF!</definedName>
    <definedName localSheetId="6" name="beton.225m">#REF!</definedName>
    <definedName localSheetId="7" name="___HAL3">#REF!</definedName>
    <definedName localSheetId="23" name="vinylkaret3030">#REF!</definedName>
    <definedName localSheetId="17" name="kayuramin">#REF!</definedName>
    <definedName localSheetId="7" name="_MMM50">#REF!</definedName>
    <definedName localSheetId="15" name="beton.tumbuk">#REF!</definedName>
    <definedName localSheetId="38" name="kacapolos5mm">#REF!</definedName>
    <definedName localSheetId="11" name="Batupuru">#REF!</definedName>
    <definedName localSheetId="42" name="SUNGAI_BERTAM">#REF!</definedName>
    <definedName localSheetId="6" name="MASTER">#REF!</definedName>
    <definedName localSheetId="7" name="perancahkayu">#REF!</definedName>
    <definedName localSheetId="21" name="kunciselot">#REF!</definedName>
    <definedName localSheetId="3" name="FORM65">#REF!</definedName>
    <definedName localSheetId="36" name="Akustik">#REF!</definedName>
    <definedName localSheetId="21" name="_kop6">#REF!</definedName>
    <definedName localSheetId="20" name="Minyak">#REF!</definedName>
    <definedName localSheetId="24" name="ppn2.30">#REF!</definedName>
    <definedName localSheetId="27" name="FORM79manual">#REF!</definedName>
    <definedName localSheetId="21" name="teakoil">#REF!</definedName>
    <definedName name="Analisa713">#REF!</definedName>
    <definedName localSheetId="44" name="_818FA">#REF!</definedName>
    <definedName localSheetId="38" name="_pvc2">#REF!</definedName>
    <definedName localSheetId="40" name="plintubingranito1030">#REF!</definedName>
    <definedName localSheetId="9" name="metal">#REF!</definedName>
    <definedName localSheetId="19" name="p.kmp.smrd.3.20">#REF!</definedName>
    <definedName localSheetId="4" name="R5..">#REF!</definedName>
    <definedName localSheetId="4" name="s.tukang">#REF!</definedName>
    <definedName localSheetId="5" name="URAIAN234L">#REF!</definedName>
    <definedName localSheetId="5" name="Lamp">#REF!</definedName>
    <definedName localSheetId="7" name="URAIAN744">#REF!</definedName>
    <definedName localSheetId="40" name="besi12sii">#REF!</definedName>
    <definedName localSheetId="30" name="_______DIV10">#REF!</definedName>
    <definedName name="R9..">#REF!</definedName>
    <definedName localSheetId="32" name="R31..">#REF!</definedName>
    <definedName localSheetId="19" name="ts">#REF!</definedName>
    <definedName localSheetId="44" name="kayualbasiah">#REF!</definedName>
    <definedName localSheetId="3" name="closedjongkok">#REF!</definedName>
    <definedName localSheetId="33" name="______HAL3">#REF!</definedName>
    <definedName localSheetId="12" name="AGREGAT">#REF!</definedName>
    <definedName localSheetId="17" name="R53..">#REF!</definedName>
    <definedName localSheetId="21" name="Analisa70107">#REF!</definedName>
    <definedName localSheetId="3" name="URAIAN914">#REF!</definedName>
    <definedName localSheetId="28" name="Closet.c420">#REF!</definedName>
    <definedName localSheetId="44" name="_______MMM45">#REF!</definedName>
    <definedName localSheetId="23" name="u.bekisting">#REF!</definedName>
    <definedName name="______HAL7">#REF!</definedName>
    <definedName localSheetId="7" name="_MMM10">#REF!</definedName>
    <definedName localSheetId="17" name="bondbeam">#REF!</definedName>
    <definedName localSheetId="12" name="p.kmp.smrd.3.20">#REF!</definedName>
    <definedName localSheetId="17" name="R34..">#REF!</definedName>
    <definedName localSheetId="27" name="_pvc205">#REF!</definedName>
    <definedName localSheetId="21" name="catpenutup2kali">#REF!</definedName>
    <definedName localSheetId="24" name="plywood4">#REF!</definedName>
    <definedName localSheetId="36" name="rincian">#REF!</definedName>
    <definedName localSheetId="19" name="URAIAN771a">#REF!</definedName>
    <definedName localSheetId="30" name="_________DIV10">#REF!</definedName>
    <definedName localSheetId="17" name="_______MMM48">#REF!</definedName>
    <definedName localSheetId="17" name="_________MMM02">#REF!</definedName>
    <definedName localSheetId="11" name="__MMM01">#REF!</definedName>
    <definedName localSheetId="3" name="________LLL10">#REF!</definedName>
    <definedName localSheetId="24" name="kacapolos3mm">#REF!</definedName>
    <definedName localSheetId="13" name="kayutembesu">#REF!</definedName>
    <definedName localSheetId="17" name="UPAH">#REF!</definedName>
    <definedName localSheetId="27" name="__DIV2">#REF!</definedName>
    <definedName localSheetId="34" name="beton175R">#REF!</definedName>
    <definedName localSheetId="28" name="DAYWORKS">#REF!</definedName>
    <definedName localSheetId="13" name="batutempelhitam">#REF!</definedName>
    <definedName localSheetId="20" name="u">#REF!</definedName>
    <definedName localSheetId="13" name="P">#REF!</definedName>
    <definedName localSheetId="21" name="__MMM411">#REF!</definedName>
    <definedName localSheetId="39" name="lp">#REF!</definedName>
    <definedName localSheetId="7" name="KUANTITAS">#REF!</definedName>
    <definedName localSheetId="30" name="plintubingranito1030">#REF!</definedName>
    <definedName localSheetId="7" name="___pvc05">#REF!</definedName>
    <definedName localSheetId="21" name="________MMM53">#REF!</definedName>
    <definedName localSheetId="32" name="B.Aparatur">#REF!</definedName>
    <definedName name="________MMM44">#REF!</definedName>
    <definedName localSheetId="27" name="_______MMM03">#REF!</definedName>
    <definedName localSheetId="11" name="badkip">#REF!</definedName>
    <definedName localSheetId="36" name="dasar">#REF!</definedName>
    <definedName localSheetId="13" name="URAIAN632">#REF!</definedName>
    <definedName localSheetId="27" name="SSSSSSSSSSSSSSSSSSSSSSSSSSSSS">#REF!</definedName>
    <definedName localSheetId="34" name="FORM744">#REF!</definedName>
    <definedName localSheetId="19" name="plintubingranito1030">#REF!</definedName>
    <definedName localSheetId="18" name="FORM66PERATA">#REF!</definedName>
    <definedName localSheetId="17" name="Analisa8405">#REF!</definedName>
    <definedName localSheetId="32" name="keramik30x30">#REF!</definedName>
    <definedName localSheetId="3" name="URAIANLatasirK">#REF!</definedName>
    <definedName localSheetId="20" name="__MMM02">#REF!</definedName>
    <definedName localSheetId="31" name="FORM631">#REF!</definedName>
    <definedName localSheetId="17" name="engselpintu">#REF!</definedName>
    <definedName localSheetId="24" name="___MMM52">#REF!</definedName>
    <definedName localSheetId="12" name="DUDI">#REF!</definedName>
    <definedName localSheetId="5" name="Analisa55">#REF!</definedName>
    <definedName localSheetId="7" name="AAAAAAA">#REF!</definedName>
    <definedName localSheetId="44" name="_MMM32">#REF!</definedName>
    <definedName localSheetId="7" name="Closet.ddk">#REF!</definedName>
    <definedName localSheetId="12" name="FORM731">#REF!</definedName>
    <definedName localSheetId="3" name="_MMM16">#REF!</definedName>
    <definedName localSheetId="44" name="_______MMM51">#REF!</definedName>
    <definedName localSheetId="25" name="NAMA3">#REF!</definedName>
    <definedName localSheetId="10" name="__MMM01">#REF!</definedName>
    <definedName localSheetId="3" name="_LLL04">#REF!</definedName>
    <definedName localSheetId="40" name="sealer">#REF!</definedName>
    <definedName localSheetId="3" name="Gypsum">#REF!</definedName>
    <definedName localSheetId="15" name="keramik20">#REF!</definedName>
    <definedName localSheetId="5" name="FORM612">#REF!</definedName>
    <definedName localSheetId="3" name="_____MMM09">#REF!</definedName>
    <definedName localSheetId="3" name="_________LLL11">#REF!</definedName>
    <definedName localSheetId="17" name="URAIAN79mekanis">#REF!</definedName>
    <definedName localSheetId="18" name="Excel_BuiltIn_Print_Area_1">#REF!</definedName>
    <definedName localSheetId="38" name="platasbes">#REF!</definedName>
    <definedName localSheetId="23" name="R100..">#REF!</definedName>
    <definedName localSheetId="25" name="BAHU">#REF!</definedName>
    <definedName name="____MMM24">#REF!</definedName>
    <definedName localSheetId="5" name="_kop6">#REF!</definedName>
    <definedName localSheetId="38" name="nokgentengaspal">#REF!</definedName>
    <definedName localSheetId="21" name="______MMM21">#REF!</definedName>
    <definedName localSheetId="3" name="UP">#REF!</definedName>
    <definedName localSheetId="44" name="waterstop230">#REF!</definedName>
    <definedName localSheetId="25" name="___DIV1">#REF!</definedName>
    <definedName localSheetId="21" name="besijaringkawatbaja">#REF!</definedName>
    <definedName localSheetId="32" name="papanbekisting">#REF!</definedName>
    <definedName localSheetId="31" name="pipatanah">#REF!</definedName>
    <definedName localSheetId="40" name="kawatnyamuk">#REF!</definedName>
    <definedName localSheetId="21" name="R60..">#REF!</definedName>
    <definedName localSheetId="18" name="_____HAL2">#REF!</definedName>
    <definedName localSheetId="8" name="dasar">#REF!</definedName>
    <definedName localSheetId="44" name="multi.9">#REF!</definedName>
    <definedName localSheetId="17" name="plastik">#REF!</definedName>
    <definedName localSheetId="36" name="ubinkeramik1020">#REF!</definedName>
    <definedName localSheetId="5" name="Excel_BuiltIn_Print_Area_1">#REF!</definedName>
    <definedName localSheetId="24" name="_MMM22">#REF!</definedName>
    <definedName localSheetId="44" name="engselangin">#REF!</definedName>
    <definedName localSheetId="20" name="FORM611">#REF!</definedName>
    <definedName localSheetId="7" name="__LLL03">#REF!</definedName>
    <definedName localSheetId="3" name="________MMM52">#REF!</definedName>
    <definedName localSheetId="3" name="_____DIV1">#REF!</definedName>
    <definedName localSheetId="3" name="R76..">#REF!</definedName>
    <definedName localSheetId="33" name="feltexkarpetwool">#REF!</definedName>
    <definedName localSheetId="33" name="FORM79mekanis">#REF!</definedName>
    <definedName localSheetId="32" name="besi13">#REF!</definedName>
    <definedName localSheetId="44" name="______MMM43">#REF!</definedName>
    <definedName localSheetId="17" name="meni.kayu">#REF!</definedName>
    <definedName localSheetId="0" name="springknip">#REF!</definedName>
    <definedName localSheetId="39" name="kayutembesu">#REF!</definedName>
    <definedName localSheetId="41" name="ppn2.30">#REF!</definedName>
    <definedName localSheetId="33" name="kaca3">#REF!</definedName>
    <definedName localSheetId="41" name="kali">#REF!</definedName>
    <definedName localSheetId="42" name="baru">#REF!</definedName>
    <definedName localSheetId="44" name="URAIAN721">#REF!</definedName>
    <definedName localSheetId="4" name="FORM632">#REF!</definedName>
    <definedName localSheetId="7" name="URAIAN735">#REF!</definedName>
    <definedName localSheetId="9" name="________MMM02">#REF!</definedName>
    <definedName localSheetId="19" name="_LLL02">#REF!</definedName>
    <definedName localSheetId="8" name="kacacermin6">#REF!</definedName>
    <definedName localSheetId="12" name="URAIAN633">#REF!</definedName>
    <definedName localSheetId="21" name="ktky">#REF!</definedName>
    <definedName localSheetId="44" name="___HAL5">#REF!</definedName>
    <definedName localSheetId="21" name="___DIV10">#REF!</definedName>
    <definedName localSheetId="6" name="URAIAN7610">#REF!</definedName>
    <definedName localSheetId="34" name="rincian">#REF!</definedName>
    <definedName localSheetId="17" name="_________MMM54">#REF!</definedName>
    <definedName name="FORM911">#REF!</definedName>
    <definedName localSheetId="20" name="waterstop230">#REF!</definedName>
    <definedName localSheetId="8" name="__pvc3">#REF!</definedName>
    <definedName localSheetId="42" name="mm">#REF!</definedName>
    <definedName localSheetId="0" name="tegel20">#REF!</definedName>
    <definedName localSheetId="24" name="_______LLL05">#REF!</definedName>
    <definedName localSheetId="0" name="plastikaerator">#REF!</definedName>
    <definedName localSheetId="33" name="kapursirih">#REF!</definedName>
    <definedName localSheetId="18" name="rooflightfiibreglass">#REF!</definedName>
    <definedName localSheetId="31" name="bubunganasbesnok">#REF!</definedName>
    <definedName localSheetId="7" name="FORM623">#REF!</definedName>
    <definedName localSheetId="36" name="mm">#REF!</definedName>
    <definedName localSheetId="33" name="_______HAL2">#REF!</definedName>
    <definedName localSheetId="4" name="FORM79manual">#REF!</definedName>
    <definedName localSheetId="23" name="doorholder">#REF!</definedName>
    <definedName localSheetId="23" name="______DIV1">#REF!</definedName>
    <definedName localSheetId="32" name="kompresor">#REF!</definedName>
    <definedName localSheetId="41" name="bubungangentengbesar">#REF!</definedName>
    <definedName localSheetId="23" name="k.beton">#REF!</definedName>
    <definedName localSheetId="3" name="________MMM05">#REF!</definedName>
    <definedName localSheetId="9" name="pagar2m">#REF!</definedName>
    <definedName localSheetId="42" name="____DIV3">#REF!</definedName>
    <definedName localSheetId="31" name="nmdaerah">#REF!</definedName>
    <definedName localSheetId="25" name="pddk">#REF!</definedName>
    <definedName localSheetId="4" name="kaca8">#REF!</definedName>
    <definedName localSheetId="19" name="___pvc2">#REF!</definedName>
    <definedName localSheetId="39" name="R3..">#REF!</definedName>
    <definedName localSheetId="0" name="Ker.L13">#REF!</definedName>
    <definedName localSheetId="3" name="______MMM22">#REF!</definedName>
    <definedName localSheetId="21" name="kayuramin">#REF!</definedName>
    <definedName localSheetId="8" name="pintusunscreenalluminium">#REF!</definedName>
    <definedName localSheetId="41" name="Tbt">#REF!</definedName>
    <definedName localSheetId="7" name="_____HAL7">#REF!</definedName>
    <definedName localSheetId="10" name="k.ddg.rmn.20.25.pls">#REF!</definedName>
    <definedName localSheetId="32" name="___DIV2">#REF!</definedName>
    <definedName localSheetId="24" name="Papanbouplank">#REF!</definedName>
    <definedName localSheetId="12" name="Print_Area_MI">#REF!</definedName>
    <definedName localSheetId="39" name="floorhardenermastercron">#REF!</definedName>
    <definedName localSheetId="24" name="R73..">#REF!</definedName>
    <definedName name="___DIV2">#REF!</definedName>
    <definedName localSheetId="39" name="drkeet">#REF!</definedName>
    <definedName localSheetId="10" name="URAIANLatasirK">#REF!</definedName>
    <definedName name="roster">#REF!</definedName>
    <definedName localSheetId="18" name="f.drain">#REF!</definedName>
    <definedName name="R11..">#REF!</definedName>
    <definedName localSheetId="15" name="kapursirih">#REF!</definedName>
    <definedName localSheetId="9" name="kayualbasiah">#REF!</definedName>
    <definedName localSheetId="28" name="Excel_BuiltIn_Print_Titles_1">#REF!</definedName>
    <definedName localSheetId="3" name="___MMM52">#REF!</definedName>
    <definedName localSheetId="40" name="__MMM02">#REF!</definedName>
    <definedName localSheetId="11" name="__HAL5">#REF!</definedName>
    <definedName localSheetId="30" name="pintusunscreenalluminium">#REF!</definedName>
    <definedName localSheetId="31" name="aluminiumfoil">#REF!</definedName>
    <definedName localSheetId="15" name="B.Jambi">#REF!</definedName>
    <definedName localSheetId="30" name="JUDUL">#REF!</definedName>
    <definedName localSheetId="0" name="_______DIV2">#REF!</definedName>
    <definedName localSheetId="40" name="plintkeramikartistik1010">#REF!</definedName>
    <definedName localSheetId="23" name="___pvc3">#REF!</definedName>
    <definedName localSheetId="7" name="________MMM19">#REF!</definedName>
    <definedName localSheetId="24" name="pvc3d">#REF!</definedName>
    <definedName localSheetId="33" name="bondbeam">#REF!</definedName>
    <definedName localSheetId="31" name="Uraian841">#REF!</definedName>
    <definedName localSheetId="19" name="ubinteraso40">#REF!</definedName>
    <definedName localSheetId="6" name="__LLL01">#REF!</definedName>
    <definedName localSheetId="36" name="batapelapisklinker">#REF!</definedName>
    <definedName localSheetId="21" name="____MMM45">#REF!</definedName>
    <definedName localSheetId="39" name="kunciselot">#REF!</definedName>
    <definedName localSheetId="9" name="FORM721">#REF!</definedName>
    <definedName localSheetId="12" name="zzz">#REF!</definedName>
    <definedName localSheetId="20" name="_________MMM02">#REF!</definedName>
    <definedName localSheetId="7" name="_________MMM42">#REF!</definedName>
    <definedName localSheetId="3" name="Skrup">#REF!</definedName>
    <definedName localSheetId="21" name="_____LLL11">#REF!</definedName>
    <definedName localSheetId="7" name="R68..">#REF!</definedName>
    <definedName localSheetId="38" name="dua">#REF!</definedName>
    <definedName localSheetId="3" name="ubinkeramik1515">#REF!</definedName>
    <definedName localSheetId="0" name="FORM7613b">#REF!</definedName>
    <definedName localSheetId="7" name="____MMM17">#REF!</definedName>
    <definedName localSheetId="27" name="p.kmp.smrd.3.20">#REF!</definedName>
    <definedName localSheetId="13" name="__DIV4">#REF!</definedName>
    <definedName localSheetId="10" name="FORM633">#REF!</definedName>
    <definedName localSheetId="25" name="_MMM03">#REF!</definedName>
    <definedName localSheetId="33" name="plintkeramikartistik1020">#REF!</definedName>
    <definedName name="_______DIV4">#REF!</definedName>
    <definedName localSheetId="13" name="tpipa">#REF!</definedName>
    <definedName localSheetId="32" name="kaca12">#REF!</definedName>
    <definedName localSheetId="42" name="______HAL3">#REF!</definedName>
    <definedName localSheetId="23" name="Tbs">#REF!</definedName>
    <definedName localSheetId="10" name="kacacermin6">#REF!</definedName>
    <definedName localSheetId="21" name="teakwood4mm">#REF!</definedName>
    <definedName name="_______MMM20">#REF!</definedName>
    <definedName localSheetId="42" name="FORM612">#REF!</definedName>
    <definedName localSheetId="7" name="FORM651">#REF!</definedName>
    <definedName localSheetId="21" name="Excel_BuiltIn_Print_Area_10">#REF!</definedName>
    <definedName localSheetId="42" name="_kop5">#REF!</definedName>
    <definedName localSheetId="17" name="STRUKTUR">#REF!</definedName>
    <definedName localSheetId="7" name="FORM7613c">#REF!</definedName>
    <definedName localSheetId="44" name="tempatcucipiring">#REF!</definedName>
    <definedName localSheetId="0" name="gentengbeton">#REF!</definedName>
    <definedName localSheetId="17" name="URAIAN772c">#REF!</definedName>
    <definedName localSheetId="38" name="ASPAL">#REF!</definedName>
    <definedName localSheetId="23" name="PT">#REF!</definedName>
    <definedName localSheetId="19" name="dua">#REF!</definedName>
    <definedName localSheetId="39" name="kayuborneo">#REF!</definedName>
    <definedName localSheetId="23" name="nnnnn">#REF!</definedName>
    <definedName localSheetId="44" name="R53..">#REF!</definedName>
    <definedName localSheetId="7" name="besijaringkawatbaja">#REF!</definedName>
    <definedName localSheetId="38" name="__LLL02">#REF!</definedName>
    <definedName localSheetId="25" name="R30..">#REF!</definedName>
    <definedName localSheetId="11" name="______MMM03">#REF!</definedName>
    <definedName localSheetId="7" name="R104..">#REF!</definedName>
    <definedName localSheetId="23" name="beton175R">#REF!</definedName>
    <definedName localSheetId="7" name="URAIAN772a">#REF!</definedName>
    <definedName localSheetId="41" name="bubunganasbesgelombang">#REF!</definedName>
    <definedName localSheetId="41" name="___MMM03">#REF!</definedName>
    <definedName localSheetId="24" name="kunciselot">#REF!</definedName>
    <definedName localSheetId="11" name="bjls25">#REF!</definedName>
    <definedName localSheetId="11" name="R6..">#REF!</definedName>
    <definedName localSheetId="33" name="_MMM01">#REF!</definedName>
    <definedName localSheetId="33" name="kran.bbk">#REF!</definedName>
    <definedName localSheetId="18" name="________HAL1">#REF!</definedName>
    <definedName localSheetId="40" name="vernis">#REF!</definedName>
    <definedName localSheetId="4" name="URAIAN612">#REF!</definedName>
    <definedName localSheetId="0" name="catmeni">#REF!</definedName>
    <definedName localSheetId="32" name="lp">#REF!</definedName>
    <definedName localSheetId="44" name="_MMM44">#REF!</definedName>
    <definedName localSheetId="7" name="namaabsen">#REF!</definedName>
    <definedName localSheetId="18" name="plintubingranito1040">#REF!</definedName>
    <definedName localSheetId="0" name="kacacermin8">#REF!</definedName>
    <definedName localSheetId="24" name="Batas16.21">#REF!</definedName>
    <definedName localSheetId="40" name="doorcloser">#REF!</definedName>
    <definedName name="__MMM35">#REF!</definedName>
    <definedName localSheetId="20" name="closedjongkok">#REF!</definedName>
    <definedName name="pasirsilika">#REF!</definedName>
    <definedName localSheetId="44" name="ubinpcabuabu20">#REF!</definedName>
    <definedName localSheetId="31" name="URAIAN732">#REF!</definedName>
    <definedName localSheetId="40" name="tes">#REF!</definedName>
    <definedName localSheetId="44" name="pasirsilika">#REF!</definedName>
    <definedName localSheetId="10" name="_____HAL2">#REF!</definedName>
    <definedName localSheetId="44" name="URAIAN7610">#REF!</definedName>
    <definedName name="________MMM411">#REF!</definedName>
    <definedName localSheetId="17" name="tm_2415921492">#REF!</definedName>
    <definedName localSheetId="17" name="_______DIV10">#REF!</definedName>
    <definedName localSheetId="38" name="besi12sii">#REF!</definedName>
    <definedName localSheetId="12" name="___pvc105">#REF!</definedName>
    <definedName localSheetId="7" name="R10..">#REF!</definedName>
    <definedName localSheetId="44" name="___DIV10">#REF!</definedName>
    <definedName localSheetId="11" name="bubungangentengbesar">#REF!</definedName>
    <definedName localSheetId="30" name="jj">#REF!</definedName>
    <definedName localSheetId="0" name="kacapolos5mm">#REF!</definedName>
    <definedName localSheetId="31" name="URAIAN7613b">#REF!</definedName>
    <definedName localSheetId="25" name="_HAL5">#REF!</definedName>
    <definedName localSheetId="7" name="pvc.3.mas.d">#REF!</definedName>
    <definedName localSheetId="6" name="u.besi">#REF!</definedName>
    <definedName localSheetId="21" name="R86..">#REF!</definedName>
    <definedName localSheetId="28" name="URAIAN66PERATA">#REF!</definedName>
    <definedName localSheetId="3" name="URAIAN633">#REF!</definedName>
    <definedName localSheetId="7" name="_____MMM11">#REF!</definedName>
    <definedName localSheetId="44" name="______MMM18">#REF!</definedName>
    <definedName localSheetId="5" name="FORM721">#REF!</definedName>
    <definedName localSheetId="27" name="URAIAN771b">#REF!</definedName>
    <definedName localSheetId="23" name="P">#REF!</definedName>
    <definedName localSheetId="17" name="___DIV4">#REF!</definedName>
    <definedName localSheetId="24" name="_MMM16">#REF!</definedName>
    <definedName localSheetId="7" name="__pvc3">#REF!</definedName>
    <definedName localSheetId="6" name="oemar">#REF!</definedName>
    <definedName localSheetId="4" name="split2.3">#REF!</definedName>
    <definedName localSheetId="24" name="_PC50">#REF!</definedName>
    <definedName localSheetId="10" name="______MMM03">#REF!</definedName>
    <definedName localSheetId="3" name="__MMM37">#REF!</definedName>
    <definedName localSheetId="44" name="kacacermin5">#REF!</definedName>
    <definedName localSheetId="4" name="_DIV3">#REF!</definedName>
    <definedName localSheetId="27" name="URAIAN7613b">#REF!</definedName>
    <definedName localSheetId="21" name="FORM915">#REF!</definedName>
    <definedName name="___MMM40">#REF!</definedName>
    <definedName localSheetId="38" name="kuncilemari">#REF!</definedName>
    <definedName name="URAIAN97">#REF!</definedName>
    <definedName localSheetId="24" name="Analisa511">#REF!</definedName>
    <definedName localSheetId="5" name="plintubingranito1040">#REF!</definedName>
    <definedName localSheetId="34" name="cv">#REF!</definedName>
    <definedName localSheetId="44" name="_MMM25">#REF!</definedName>
    <definedName localSheetId="9" name="p.bI">#REF!</definedName>
    <definedName localSheetId="9" name="_HAL6">#REF!</definedName>
    <definedName localSheetId="38" name="_______DIV2">#REF!</definedName>
    <definedName localSheetId="7" name="tegelteraso30x30">#REF!</definedName>
    <definedName localSheetId="38" name="mlex.w">#REF!</definedName>
    <definedName localSheetId="17" name="nokgentengaspal">#REF!</definedName>
    <definedName localSheetId="21" name="ktbs">#REF!</definedName>
    <definedName localSheetId="31" name="beton175R">#REF!</definedName>
    <definedName localSheetId="7" name="______LLL07">#REF!</definedName>
    <definedName localSheetId="12" name="R21..">#REF!</definedName>
    <definedName localSheetId="30" name="ubinteraso30">#REF!</definedName>
    <definedName localSheetId="5" name="_____DIV2">#REF!</definedName>
    <definedName localSheetId="38" name="sealer">#REF!</definedName>
    <definedName name="_MMM09">#REF!</definedName>
    <definedName localSheetId="11" name="plintubinteraluxmarmer1030">#REF!</definedName>
    <definedName localSheetId="30" name="kuas">#REF!</definedName>
    <definedName localSheetId="12" name="waterstop200">#REF!</definedName>
    <definedName localSheetId="8" name="besi13u">#REF!</definedName>
    <definedName localSheetId="7" name="URAIAN21">#REF!</definedName>
    <definedName localSheetId="17" name="__MMM18">#REF!</definedName>
    <definedName localSheetId="21" name="URAIAN917">#REF!</definedName>
    <definedName name="____MMM07">#REF!</definedName>
    <definedName name="aa">#REF!</definedName>
    <definedName localSheetId="27" name="___MMM02">#REF!</definedName>
    <definedName localSheetId="19" name="pasirbeton">#REF!</definedName>
    <definedName localSheetId="24" name="DAYWORKS">#REF!</definedName>
    <definedName localSheetId="17" name="Analisa511">#REF!</definedName>
    <definedName localSheetId="5" name="_pc40">#REF!</definedName>
    <definedName localSheetId="7" name="_________MMM13">#REF!</definedName>
    <definedName localSheetId="3" name="_______MMM40">#REF!</definedName>
    <definedName localSheetId="24" name="___MMM10">#REF!</definedName>
    <definedName localSheetId="8" name="_HAL6">#REF!</definedName>
    <definedName localSheetId="21" name="FORM7614a">#REF!</definedName>
    <definedName localSheetId="11" name="____MMM02">#REF!</definedName>
    <definedName localSheetId="3" name="URAIAN735">#REF!</definedName>
    <definedName localSheetId="34" name="URAIAN621">#REF!</definedName>
    <definedName localSheetId="4" name="drainase">#REF!</definedName>
    <definedName localSheetId="10" name="___DIV1">#REF!</definedName>
    <definedName localSheetId="12" name="keramik20">#REF!</definedName>
    <definedName localSheetId="21" name="Pjgsloof">#REF!</definedName>
    <definedName localSheetId="31" name="__DIV3">#REF!</definedName>
    <definedName localSheetId="27" name="URAIAN7613a">#REF!</definedName>
    <definedName localSheetId="28" name="_HAL4">#REF!</definedName>
    <definedName localSheetId="39" name="baru">#REF!</definedName>
    <definedName localSheetId="34" name="___MMM01">#REF!</definedName>
    <definedName localSheetId="0" name="gentengdecrabond">#REF!</definedName>
    <definedName localSheetId="41" name="URAIANLatasirKL">#REF!</definedName>
    <definedName localSheetId="6" name="Status">#REF!</definedName>
    <definedName localSheetId="17" name="URAIANLatasirKL">#REF!</definedName>
    <definedName localSheetId="7" name="cattembok">#REF!</definedName>
    <definedName localSheetId="34" name="_Tl1">#REF!</definedName>
    <definedName localSheetId="7" name="___MMM32">#REF!</definedName>
    <definedName localSheetId="41" name="bbm">#REF!</definedName>
    <definedName localSheetId="3" name="seng25">#REF!</definedName>
    <definedName localSheetId="42" name="FORM79mekanis">#REF!</definedName>
    <definedName localSheetId="5" name="R3..">#REF!</definedName>
    <definedName localSheetId="20" name="paving">#REF!</definedName>
    <definedName localSheetId="17" name="cycllop">#REF!</definedName>
    <definedName localSheetId="7" name="__PC50">#REF!</definedName>
    <definedName localSheetId="32" name="URAIAN611">#REF!</definedName>
    <definedName localSheetId="34" name="Excel_BuiltIn_Print_Titles_1">#REF!</definedName>
    <definedName localSheetId="0" name="URAIAN79mekanis">#REF!</definedName>
    <definedName localSheetId="17" name="kacacermin5">#REF!</definedName>
    <definedName localSheetId="8" name="FORM732">#REF!</definedName>
    <definedName localSheetId="44" name="____MMM54">#REF!</definedName>
    <definedName localSheetId="24" name="_________MMM08">#REF!</definedName>
    <definedName localSheetId="7" name="______MMM44">#REF!</definedName>
    <definedName localSheetId="20" name="washtafel">#REF!</definedName>
    <definedName localSheetId="8" name="s.warna">#REF!</definedName>
    <definedName localSheetId="24" name="Gentengmetal3mm">#REF!</definedName>
    <definedName localSheetId="21" name="____MMM02">#REF!</definedName>
    <definedName localSheetId="34" name="Z">#REF!</definedName>
    <definedName localSheetId="24" name="__HAL4">#REF!</definedName>
    <definedName localSheetId="28" name="________DIV2">#REF!</definedName>
    <definedName localSheetId="11" name="URAIAN7612b">#REF!</definedName>
    <definedName localSheetId="6" name="SEKRETARIAT_DPRD">#REF!</definedName>
    <definedName localSheetId="5" name="__HAL3">#REF!</definedName>
    <definedName localSheetId="7" name="_lmb1">#REF!</definedName>
    <definedName localSheetId="41" name="FORM731">#REF!</definedName>
    <definedName localSheetId="13" name="Grendel">#REF!</definedName>
    <definedName localSheetId="36" name="pipatanah">#REF!</definedName>
    <definedName localSheetId="3" name="_LLL07">#REF!</definedName>
    <definedName name="FORM7614b">#REF!</definedName>
    <definedName localSheetId="40" name="vinylkaretklII">#REF!</definedName>
    <definedName localSheetId="3" name="_______LLL11">#REF!</definedName>
    <definedName localSheetId="17" name="__HAL8">#REF!</definedName>
    <definedName localSheetId="24" name="__DIV4">#REF!</definedName>
    <definedName localSheetId="38" name="panelbetonpracetak">#REF!</definedName>
    <definedName localSheetId="42" name="bakkontrol">#REF!</definedName>
    <definedName name="_MMM41">#REF!</definedName>
    <definedName localSheetId="6" name="____HAL1">#REF!</definedName>
    <definedName localSheetId="36" name="besiprofilWF">#REF!</definedName>
    <definedName localSheetId="12" name="_________HAL2">#REF!</definedName>
    <definedName localSheetId="20" name="ss">#REF!</definedName>
    <definedName localSheetId="44" name="tegelteraso40x40">#REF!</definedName>
    <definedName localSheetId="5" name="sealer.mowi">#REF!</definedName>
    <definedName localSheetId="13" name="alangalang">#REF!</definedName>
    <definedName localSheetId="12" name="medan5.10">#REF!</definedName>
    <definedName localSheetId="19" name="____HAL2">#REF!</definedName>
    <definedName localSheetId="30" name="____HAL3">#REF!</definedName>
    <definedName localSheetId="30" name="FORM7614c">#REF!</definedName>
    <definedName name="URAIAN636">#REF!</definedName>
    <definedName localSheetId="44" name="nokstelrata092">#REF!</definedName>
    <definedName localSheetId="7" name="_____MMM27">#REF!</definedName>
    <definedName localSheetId="15" name="URAIAN79manual">#REF!</definedName>
    <definedName localSheetId="44" name="FORM97">#REF!</definedName>
    <definedName name="R10..">#REF!</definedName>
    <definedName localSheetId="7" name="list">#REF!</definedName>
    <definedName localSheetId="4" name="he">#REF!</definedName>
    <definedName localSheetId="32" name="pakusumbat">#REF!</definedName>
    <definedName localSheetId="38" name="t.sabun">#REF!</definedName>
    <definedName localSheetId="31" name="R2..">#REF!</definedName>
    <definedName localSheetId="3" name="urugankembali">#REF!</definedName>
    <definedName localSheetId="42" name="seng25">#REF!</definedName>
    <definedName localSheetId="3" name="____MMM09">#REF!</definedName>
    <definedName name="Analisa70105">#REF!</definedName>
    <definedName localSheetId="36" name="na">#REF!</definedName>
    <definedName localSheetId="25" name="__Tl1">#REF!</definedName>
    <definedName localSheetId="15" name="URAIAN21">#REF!</definedName>
    <definedName localSheetId="44" name="__LLL01">#REF!</definedName>
    <definedName localSheetId="8" name="_________HAL2">#REF!</definedName>
    <definedName localSheetId="8" name="cattembok">#REF!</definedName>
    <definedName localSheetId="19" name="sunloid">#REF!</definedName>
    <definedName name="______DIV5">#REF!</definedName>
    <definedName localSheetId="38" name="hakangin">#REF!</definedName>
    <definedName localSheetId="40" name="__HAL5">#REF!</definedName>
    <definedName localSheetId="44" name="_MMM28">#REF!</definedName>
    <definedName localSheetId="7" name="plintubinwarna1030">#REF!</definedName>
    <definedName localSheetId="27" name="_______DIV4">#REF!</definedName>
    <definedName localSheetId="23" name="pakuskrup">#REF!</definedName>
    <definedName localSheetId="9" name="cycllop">#REF!</definedName>
    <definedName localSheetId="21" name="_______MMM20">#REF!</definedName>
    <definedName localSheetId="38" name="besi13u">#REF!</definedName>
    <definedName localSheetId="28" name="_________DIV2">#REF!</definedName>
    <definedName localSheetId="18" name="beton.225m">#REF!</definedName>
    <definedName localSheetId="44" name="__MMM46">#REF!</definedName>
    <definedName localSheetId="0" name="URAIANLatasirKL">#REF!</definedName>
    <definedName localSheetId="20" name="R61..">#REF!</definedName>
    <definedName localSheetId="3" name="_HAL5">#REF!</definedName>
    <definedName localSheetId="21" name="_______MMM19">#REF!</definedName>
    <definedName localSheetId="23" name="metal">#REF!</definedName>
    <definedName localSheetId="30" name="plintubingranito1040">#REF!</definedName>
    <definedName localSheetId="24" name="_________HAL3">#REF!</definedName>
    <definedName localSheetId="44" name="______MMM24">#REF!</definedName>
    <definedName localSheetId="39" name="______HAL2">#REF!</definedName>
    <definedName localSheetId="17" name="besi16u">#REF!</definedName>
    <definedName localSheetId="7" name="batugranito">#REF!</definedName>
    <definedName name="_________MMM30">#REF!</definedName>
    <definedName localSheetId="3" name="R38..">#REF!</definedName>
    <definedName localSheetId="3" name="________MMM04">#REF!</definedName>
    <definedName localSheetId="25" name="pintulipat">#REF!</definedName>
    <definedName localSheetId="11" name="_HAL5">#REF!</definedName>
    <definedName localSheetId="39" name="_______DIV4">#REF!</definedName>
    <definedName localSheetId="27" name="bubunganasbesnok">#REF!</definedName>
    <definedName localSheetId="21" name="________MMM50">#REF!</definedName>
    <definedName localSheetId="21" name="nokstelrata105">#REF!</definedName>
    <definedName localSheetId="19" name="_DIV2">#REF!</definedName>
    <definedName localSheetId="4" name="tm_2415921492">#REF!</definedName>
    <definedName localSheetId="12" name="MATERIAL">#REF!</definedName>
    <definedName localSheetId="38" name="plywood6mm">#REF!</definedName>
    <definedName localSheetId="19" name="___MMM02">#REF!</definedName>
    <definedName localSheetId="34" name="bjls25">#REF!</definedName>
    <definedName localSheetId="17" name="_______MMM18">#REF!</definedName>
    <definedName localSheetId="20" name="FORM631">#REF!</definedName>
    <definedName localSheetId="15" name="waterstop230">#REF!</definedName>
    <definedName localSheetId="36" name="kacacermin5">#REF!</definedName>
    <definedName localSheetId="3" name="_______HAL2">#REF!</definedName>
    <definedName localSheetId="38" name="urugankembali">#REF!</definedName>
    <definedName localSheetId="38" name="pasirbeton">#REF!</definedName>
    <definedName name="tpipa">#REF!</definedName>
    <definedName localSheetId="9" name="tegelporselen">#REF!</definedName>
    <definedName localSheetId="31" name="rincian">#REF!</definedName>
    <definedName localSheetId="38" name="ss">#REF!</definedName>
    <definedName name="________MMM22">#REF!</definedName>
    <definedName localSheetId="17" name="engsel4">#REF!</definedName>
    <definedName localSheetId="19" name="waterstop230">#REF!</definedName>
    <definedName localSheetId="32" name="tukng">#REF!</definedName>
    <definedName localSheetId="15" name="URAIAN7612b">#REF!</definedName>
    <definedName localSheetId="28" name="kawatburung">#REF!</definedName>
    <definedName localSheetId="0" name="menibesi">#REF!</definedName>
    <definedName localSheetId="25" name="kawatharmonika">#REF!</definedName>
    <definedName localSheetId="3" name="FORM632">#REF!</definedName>
    <definedName localSheetId="0" name="___pvc3">#REF!</definedName>
    <definedName localSheetId="8" name="tanahliat">#REF!</definedName>
    <definedName localSheetId="40" name="Catbesi">#REF!</definedName>
    <definedName localSheetId="38" name="kompresor">#REF!</definedName>
    <definedName localSheetId="10" name="engselangin">#REF!</definedName>
    <definedName localSheetId="8" name="sealer">#REF!</definedName>
    <definedName localSheetId="23" name="sealent">#REF!</definedName>
    <definedName localSheetId="33" name="kategori">#REF!</definedName>
    <definedName localSheetId="23" name="FORM621">#REF!</definedName>
    <definedName localSheetId="31" name="FORM842">#REF!</definedName>
    <definedName localSheetId="31" name="_____DIV4">#REF!</definedName>
    <definedName localSheetId="6" name="gypsum.prf">#REF!</definedName>
    <definedName localSheetId="3" name="_DIV6">#REF!</definedName>
    <definedName localSheetId="13" name="na">#REF!</definedName>
    <definedName localSheetId="9" name="FORM612">#REF!</definedName>
    <definedName localSheetId="41" name="_________HAL1">#REF!</definedName>
    <definedName localSheetId="42" name="DSSDD">#REF!</definedName>
    <definedName localSheetId="27" name="kaca8">#REF!</definedName>
    <definedName localSheetId="7" name="Uraian844">#REF!</definedName>
    <definedName localSheetId="38" name="ts">#REF!</definedName>
    <definedName localSheetId="15" name="engsel4">#REF!</definedName>
    <definedName localSheetId="7" name="_MMM54">#REF!</definedName>
    <definedName localSheetId="17" name="GRC">#REF!</definedName>
    <definedName localSheetId="17" name="Analisa71511">#REF!</definedName>
    <definedName localSheetId="44" name="__MMM34">#REF!</definedName>
    <definedName localSheetId="24" name="________DIV2">#REF!</definedName>
    <definedName localSheetId="28" name="TANAH">#REF!</definedName>
    <definedName name="_________HAL2">#REF!</definedName>
    <definedName localSheetId="7" name="R30..">#REF!</definedName>
    <definedName localSheetId="7" name="____MMM16">#REF!</definedName>
    <definedName localSheetId="31" name="kacapolos3mm">#REF!</definedName>
    <definedName localSheetId="31" name="MINOR">#REF!</definedName>
    <definedName localSheetId="25" name="metal">#REF!</definedName>
    <definedName localSheetId="15" name="_____HAL2">#REF!</definedName>
    <definedName localSheetId="33" name="___MMM02">#REF!</definedName>
    <definedName localSheetId="13" name="ss">#REF!</definedName>
    <definedName localSheetId="6" name="Jendelabesibaja">#REF!</definedName>
    <definedName localSheetId="17" name="_______LLL01">#REF!</definedName>
    <definedName localSheetId="4" name="pasirbeton">#REF!</definedName>
    <definedName localSheetId="9" name="beton225r">#REF!</definedName>
    <definedName localSheetId="21" name="_______MMM35">#REF!</definedName>
    <definedName localSheetId="17" name="URAIAN733">#REF!</definedName>
    <definedName name="plintubinteraso1040">#REF!</definedName>
    <definedName localSheetId="21" name="waterstop200">#REF!</definedName>
    <definedName localSheetId="5" name="_________DIV1">#REF!</definedName>
    <definedName localSheetId="32" name="_DIV3">#REF!</definedName>
    <definedName localSheetId="20" name="TANAH">#REF!</definedName>
    <definedName localSheetId="40" name="_______HAL1">#REF!</definedName>
    <definedName localSheetId="23" name="alba2.20">#REF!</definedName>
    <definedName localSheetId="23" name="kaca.p.5">#REF!</definedName>
    <definedName localSheetId="36" name="kuncitanam">#REF!</definedName>
    <definedName localSheetId="4" name="minyaksolar">#REF!</definedName>
    <definedName localSheetId="23" name="nokpaten105">#REF!</definedName>
    <definedName localSheetId="9" name="medan5.7">#REF!</definedName>
    <definedName name="R99..">#REF!</definedName>
    <definedName localSheetId="4" name="_______HAL1">#REF!</definedName>
    <definedName localSheetId="30" name="SPJ">#REF!</definedName>
    <definedName localSheetId="21" name="G">#REF!</definedName>
    <definedName localSheetId="7" name="_____MMM39">#REF!</definedName>
    <definedName localSheetId="31" name="Aluminium">#REF!</definedName>
    <definedName localSheetId="39" name="Closet.c420">#REF!</definedName>
    <definedName localSheetId="10" name="batuapung">#REF!</definedName>
    <definedName localSheetId="38" name="Print_Area_MI">#REF!</definedName>
    <definedName localSheetId="3" name="MATERIAL">#REF!</definedName>
    <definedName localSheetId="38" name="Kekurangan">#REF!</definedName>
    <definedName localSheetId="41" name="FORM842">#REF!</definedName>
    <definedName localSheetId="30" name="FORMLatasirKL">#REF!</definedName>
    <definedName localSheetId="6" name="oke">#REF!</definedName>
    <definedName localSheetId="18" name="___pvc2">#REF!</definedName>
    <definedName localSheetId="40" name="Akustik">#REF!</definedName>
    <definedName localSheetId="20" name="gmp">#REF!</definedName>
    <definedName localSheetId="36" name="Uraian841">#REF!</definedName>
    <definedName localSheetId="21" name="_____MMM17">#REF!</definedName>
    <definedName localSheetId="21" name="___MMM16">#REF!</definedName>
    <definedName localSheetId="23" name="jurnal1">#REF!</definedName>
    <definedName localSheetId="15" name="pipatanah">#REF!</definedName>
    <definedName localSheetId="24" name="________MMM38">#REF!</definedName>
    <definedName localSheetId="18" name="MATERIAL">#REF!</definedName>
    <definedName localSheetId="44" name="btn">#REF!</definedName>
    <definedName localSheetId="33" name="menibesi">#REF!</definedName>
    <definedName localSheetId="17" name="__MMM29">#REF!</definedName>
    <definedName localSheetId="5" name="baru">#REF!</definedName>
    <definedName localSheetId="42" name="keramik40">#REF!</definedName>
    <definedName localSheetId="40" name="bubunganasbesgelombang">#REF!</definedName>
    <definedName localSheetId="38" name="SUNGAI_BERTAM">#REF!</definedName>
    <definedName localSheetId="34" name="pintugulungbesi">#REF!</definedName>
    <definedName localSheetId="44" name="SSSSSSSSSSSSSSSSSSSSSSSSSSSSS">#REF!</definedName>
    <definedName localSheetId="13" name="_LLL01">#REF!</definedName>
    <definedName localSheetId="12" name="FORM7613b">#REF!</definedName>
    <definedName localSheetId="13" name="tp80x80">#REF!</definedName>
    <definedName localSheetId="42" name="Closet.c420">#REF!</definedName>
    <definedName localSheetId="6" name="URAIAN7614b">#REF!</definedName>
    <definedName localSheetId="34" name="ubinkeramik1033">#REF!</definedName>
    <definedName name="list">#REF!</definedName>
    <definedName localSheetId="32" name="grassblok">#REF!</definedName>
    <definedName name="R7..">#REF!</definedName>
    <definedName localSheetId="30" name="tempatcucipiring">#REF!</definedName>
    <definedName localSheetId="0" name="FORM66PERMUKAAN">#REF!</definedName>
    <definedName localSheetId="32" name="grendel4">#REF!</definedName>
    <definedName localSheetId="21" name="R84..">#REF!</definedName>
    <definedName localSheetId="24" name="__HAL1">#REF!</definedName>
    <definedName localSheetId="15" name="URAIAN7613a">#REF!</definedName>
    <definedName localSheetId="11" name="Jasa">#REF!</definedName>
    <definedName localSheetId="30" name="_DIV2">#REF!</definedName>
    <definedName localSheetId="21" name="oke">#REF!</definedName>
    <definedName localSheetId="44" name="ubinkeramik1020">#REF!</definedName>
    <definedName localSheetId="7" name="_______LLL06">#REF!</definedName>
    <definedName localSheetId="41" name="NAMA3">#REF!</definedName>
    <definedName localSheetId="32" name="lis">#REF!</definedName>
    <definedName localSheetId="40" name="ubinteraso40">#REF!</definedName>
    <definedName name="_MMM25">#REF!</definedName>
    <definedName localSheetId="24" name="____MMM11">#REF!</definedName>
    <definedName localSheetId="44" name="URAIAN7613b">#REF!</definedName>
    <definedName localSheetId="6" name="kali">#REF!</definedName>
    <definedName localSheetId="17" name="Closet.c420">#REF!</definedName>
    <definedName localSheetId="44" name="________DIV8">#REF!</definedName>
    <definedName localSheetId="17" name="________MMM30">#REF!</definedName>
    <definedName localSheetId="39" name="NAMA3">#REF!</definedName>
    <definedName localSheetId="30" name="Psr.psg">#REF!</definedName>
    <definedName localSheetId="13" name="R2..">#REF!</definedName>
    <definedName localSheetId="40" name="Pengadaan">#REF!</definedName>
    <definedName localSheetId="44" name="Print_Area_MI">#REF!</definedName>
    <definedName localSheetId="39" name="dd">#REF!</definedName>
    <definedName localSheetId="28" name="_kop6">#REF!</definedName>
    <definedName localSheetId="7" name="s.tukang">#REF!</definedName>
    <definedName localSheetId="9" name="doorcloser">#REF!</definedName>
    <definedName localSheetId="41" name="aaaa">#REF!</definedName>
    <definedName localSheetId="21" name="cv">#REF!</definedName>
    <definedName localSheetId="41" name="gmp">#REF!</definedName>
    <definedName localSheetId="7" name="FORM917">#REF!</definedName>
    <definedName localSheetId="25" name="_pvc205">#REF!</definedName>
    <definedName localSheetId="41" name="air">#REF!</definedName>
    <definedName localSheetId="24" name="______MMM36">#REF!</definedName>
    <definedName localSheetId="30" name="____MMM02">#REF!</definedName>
    <definedName localSheetId="31" name="___HAL1">#REF!</definedName>
    <definedName localSheetId="3" name="ttnh">#REF!</definedName>
    <definedName localSheetId="15" name="urugantanah">#REF!</definedName>
    <definedName localSheetId="13" name="mm">#REF!</definedName>
    <definedName localSheetId="17" name="platasbes6mm">#REF!</definedName>
    <definedName localSheetId="21" name="URAIAN7614b">#REF!</definedName>
    <definedName localSheetId="8" name="ngsel4">#REF!</definedName>
    <definedName localSheetId="10" name="bakkontrol">#REF!</definedName>
    <definedName localSheetId="39" name="________DIV3">#REF!</definedName>
    <definedName localSheetId="38" name="kawatsengpolos">#REF!</definedName>
    <definedName localSheetId="33" name="amobiotic">#REF!</definedName>
    <definedName localSheetId="24" name="tes">#REF!</definedName>
    <definedName localSheetId="0" name="Excel_BuiltIn_Print_Titles_1">#REF!</definedName>
    <definedName localSheetId="25" name="FORM731">#REF!</definedName>
    <definedName name="gmp">#REF!</definedName>
    <definedName localSheetId="23" name="kacacermin8">#REF!</definedName>
    <definedName localSheetId="15" name="gmp">#REF!</definedName>
    <definedName localSheetId="23" name="FORM79mekanis">#REF!</definedName>
    <definedName localSheetId="20" name="kiki">#REF!</definedName>
    <definedName localSheetId="13" name="_________HAL1">#REF!</definedName>
    <definedName localSheetId="6" name="___HAL3">#REF!</definedName>
    <definedName localSheetId="4" name="ls">#REF!</definedName>
    <definedName localSheetId="28" name="R100..">#REF!</definedName>
    <definedName localSheetId="21" name="ubinteraluxkerang60">#REF!</definedName>
    <definedName localSheetId="30" name="aa">#REF!</definedName>
    <definedName localSheetId="31" name="water.prof">#REF!</definedName>
    <definedName localSheetId="24" name="pengencer">#REF!</definedName>
    <definedName localSheetId="40" name="URAIAN">#REF!</definedName>
    <definedName localSheetId="13" name="URAIANLatasirKL">#REF!</definedName>
    <definedName localSheetId="34" name="Analisa511">#REF!</definedName>
    <definedName localSheetId="31" name="tm_2415921492">#REF!</definedName>
    <definedName localSheetId="19" name="ubinwarna40">#REF!</definedName>
    <definedName localSheetId="21" name="________DIV7">#REF!</definedName>
    <definedName localSheetId="17" name="___MMM27">#REF!</definedName>
    <definedName localSheetId="30" name="plintubinteraso1040">#REF!</definedName>
    <definedName localSheetId="7" name="______MMM17">#REF!</definedName>
    <definedName localSheetId="4" name="________HAL1">#REF!</definedName>
    <definedName localSheetId="13" name="__MMM02">#REF!</definedName>
    <definedName localSheetId="39" name="Galam">#REF!</definedName>
    <definedName localSheetId="41" name="_818PK">#REF!</definedName>
    <definedName localSheetId="17" name="URAIAN7614a">#REF!</definedName>
    <definedName name="____MMM48">#REF!</definedName>
    <definedName localSheetId="32" name="y">#REF!</definedName>
    <definedName localSheetId="21" name="FORM636">#REF!</definedName>
    <definedName localSheetId="7" name="_______HAL2">#REF!</definedName>
    <definedName localSheetId="27" name="R50..">#REF!</definedName>
    <definedName localSheetId="11" name="_DIV2">#REF!</definedName>
    <definedName localSheetId="32" name="URAIAN7614b">#REF!</definedName>
    <definedName localSheetId="19" name="___DIV10">#REF!</definedName>
    <definedName localSheetId="38" name="bilikbambu">#REF!</definedName>
    <definedName localSheetId="44" name="__MMM06">#REF!</definedName>
    <definedName localSheetId="15" name="gali">#REF!</definedName>
    <definedName localSheetId="44" name="_MMM53">#REF!</definedName>
    <definedName localSheetId="31" name="kaca.p.5">#REF!</definedName>
    <definedName localSheetId="5" name="batacote">#REF!</definedName>
    <definedName localSheetId="41" name="FORM7612c">#REF!</definedName>
    <definedName name="urugan">#REF!</definedName>
    <definedName localSheetId="30" name="plintubinwarna1020">#REF!</definedName>
    <definedName localSheetId="21" name="vinylkaret3030">#REF!</definedName>
    <definedName localSheetId="5" name="______HAL1">#REF!</definedName>
    <definedName localSheetId="3" name="karung">#REF!</definedName>
    <definedName localSheetId="42" name="_pvc3">#REF!</definedName>
    <definedName localSheetId="25" name="aluminiumfoil">#REF!</definedName>
    <definedName localSheetId="8" name="kacacermin5">#REF!</definedName>
    <definedName localSheetId="3" name="_HAL6">#REF!</definedName>
    <definedName localSheetId="34" name="RoolingdoorAlumunium">#REF!</definedName>
    <definedName localSheetId="24" name="Print_Area_MI">#REF!</definedName>
    <definedName localSheetId="24" name="____MMM38">#REF!</definedName>
    <definedName localSheetId="6" name="Print_Area_MI">#REF!</definedName>
    <definedName localSheetId="34" name="akustikarmstrong">#REF!</definedName>
    <definedName localSheetId="44" name="__LLL08">#REF!</definedName>
    <definedName localSheetId="17" name="ubinwarna30">#REF!</definedName>
    <definedName localSheetId="17" name="_________LLL09">#REF!</definedName>
    <definedName localSheetId="34" name="ktbs">#REF!</definedName>
    <definedName localSheetId="30" name="platasbes4mm">#REF!</definedName>
    <definedName localSheetId="19" name="__pvc05">#REF!</definedName>
    <definedName localSheetId="39" name="R2..">#REF!</definedName>
    <definedName localSheetId="17" name="_____MMM45">#REF!</definedName>
    <definedName localSheetId="42" name="Nokmetal3mm">#REF!</definedName>
    <definedName localSheetId="4" name="________DIV4">#REF!</definedName>
    <definedName localSheetId="7" name="kawatkassa">#REF!</definedName>
    <definedName localSheetId="38" name="tegelporselen">#REF!</definedName>
    <definedName localSheetId="21" name="___MMM42">#REF!</definedName>
    <definedName localSheetId="28" name="kacapolos5mm">#REF!</definedName>
    <definedName localSheetId="0" name="pakuskrup">#REF!</definedName>
    <definedName localSheetId="23" name="___pvc2">#REF!</definedName>
    <definedName localSheetId="36" name="terntang">#REF!</definedName>
    <definedName localSheetId="8" name="xxxxx">#REF!</definedName>
    <definedName localSheetId="32" name="________DIV2">#REF!</definedName>
    <definedName localSheetId="20" name="cattembok">#REF!</definedName>
    <definedName localSheetId="15" name="doorstop">#REF!</definedName>
    <definedName localSheetId="17" name="residu">#REF!</definedName>
    <definedName localSheetId="4" name="FORM841">#REF!</definedName>
    <definedName localSheetId="24" name="catantara">#REF!</definedName>
    <definedName localSheetId="8" name="Tbs">#REF!</definedName>
    <definedName localSheetId="41" name="kawatharmonika">#REF!</definedName>
    <definedName localSheetId="23" name="URAIAN721">#REF!</definedName>
    <definedName localSheetId="6" name="bjls30">#REF!</definedName>
    <definedName localSheetId="21" name="Analisa70301">#REF!</definedName>
    <definedName localSheetId="13" name="___HAL2">#REF!</definedName>
    <definedName localSheetId="32" name="FORM842">#REF!</definedName>
    <definedName localSheetId="21" name="___MMM40">#REF!</definedName>
    <definedName localSheetId="5" name="P">#REF!</definedName>
    <definedName localSheetId="12" name="urugantanah">#REF!</definedName>
    <definedName localSheetId="36" name="FORM842">#REF!</definedName>
    <definedName name="sunloid">#REF!</definedName>
    <definedName localSheetId="4" name="URAIAN">#REF!</definedName>
    <definedName localSheetId="0" name="tegelplinteraso10x30">#REF!</definedName>
    <definedName localSheetId="44" name="sealer.vini">#REF!</definedName>
    <definedName localSheetId="32" name="R41..">#REF!</definedName>
    <definedName localSheetId="4" name="ramset">#REF!</definedName>
    <definedName localSheetId="44" name="u.besi">#REF!</definedName>
    <definedName localSheetId="9" name="Kunci2">#REF!</definedName>
    <definedName localSheetId="36" name="xxxxx">#REF!</definedName>
    <definedName localSheetId="7" name="tl2x40">#REF!</definedName>
    <definedName localSheetId="10" name="_LLL03">#REF!</definedName>
    <definedName localSheetId="17" name="ubinteraluxmarmer60">#REF!</definedName>
    <definedName localSheetId="6" name="FORM7612c">#REF!</definedName>
    <definedName localSheetId="10" name="spirtus">#REF!</definedName>
    <definedName name="________MMM53">#REF!</definedName>
    <definedName localSheetId="10" name="Minyak">#REF!</definedName>
    <definedName localSheetId="36" name="formica">#REF!</definedName>
    <definedName localSheetId="24" name="__MMM32">#REF!</definedName>
    <definedName localSheetId="21" name="__MMM01">#REF!</definedName>
    <definedName localSheetId="27" name="baru">#REF!</definedName>
    <definedName localSheetId="36" name="perancahkayu">#REF!</definedName>
    <definedName localSheetId="15" name="bakcuciteraso">#REF!</definedName>
    <definedName localSheetId="15" name="plastikaerator">#REF!</definedName>
    <definedName localSheetId="33" name="kompresor">#REF!</definedName>
    <definedName localSheetId="5" name="kiki">#REF!</definedName>
    <definedName localSheetId="21" name="_______DIV1">#REF!</definedName>
    <definedName localSheetId="18" name="_______MMM01">#REF!</definedName>
    <definedName localSheetId="36" name="kuncilemari">#REF!</definedName>
    <definedName localSheetId="44" name="R45..">#REF!</definedName>
    <definedName localSheetId="7" name="_______LLL08">#REF!</definedName>
    <definedName name="____MMM05">#REF!</definedName>
    <definedName localSheetId="11" name="tanahliat">#REF!</definedName>
    <definedName localSheetId="42" name="sirap">#REF!</definedName>
    <definedName localSheetId="10" name="pintugulungbesi">#REF!</definedName>
    <definedName localSheetId="20" name="_LLL03">#REF!</definedName>
    <definedName localSheetId="11" name="URAIAN7612c">#REF!</definedName>
    <definedName localSheetId="24" name="______MMM13">#REF!</definedName>
    <definedName localSheetId="44" name="FORM771c">#REF!</definedName>
    <definedName localSheetId="33" name="tlistrik">#REF!</definedName>
    <definedName localSheetId="8" name="_________MMM03">#REF!</definedName>
    <definedName localSheetId="13" name="keramik40">#REF!</definedName>
    <definedName localSheetId="7" name="_LLL01">#REF!</definedName>
    <definedName localSheetId="21" name="wallpaper">#REF!</definedName>
    <definedName localSheetId="6" name="tegelporselen">#REF!</definedName>
    <definedName localSheetId="21" name="P">#REF!</definedName>
    <definedName localSheetId="41" name="atapaluminiumgelombang055">#REF!</definedName>
    <definedName localSheetId="8" name="pddk">#REF!</definedName>
    <definedName localSheetId="30" name="___DIV4">#REF!</definedName>
    <definedName localSheetId="21" name="________MMM23">#REF!</definedName>
    <definedName localSheetId="24" name="R15..">#REF!</definedName>
    <definedName localSheetId="17" name="___MMM22">#REF!</definedName>
    <definedName name="kayutembesu">#REF!</definedName>
    <definedName localSheetId="9" name="R60..">#REF!</definedName>
    <definedName localSheetId="11" name="Minyak">#REF!</definedName>
    <definedName localSheetId="9" name="_________HAL3">#REF!</definedName>
    <definedName localSheetId="5" name="s.tukang">#REF!</definedName>
    <definedName localSheetId="3" name="_______MMM06">#REF!</definedName>
    <definedName localSheetId="3" name="__MMM47">#REF!</definedName>
    <definedName localSheetId="44" name="_______MMM21">#REF!</definedName>
    <definedName localSheetId="31" name="sodaapi">#REF!</definedName>
    <definedName localSheetId="31" name="DSSDD">#REF!</definedName>
    <definedName localSheetId="12" name="asbesgelombang">#REF!</definedName>
    <definedName localSheetId="44" name="_DIV10">#REF!</definedName>
    <definedName localSheetId="41" name="gentengaspal">#REF!</definedName>
    <definedName localSheetId="12" name="gali">#REF!</definedName>
    <definedName localSheetId="3" name="____LLL04">#REF!</definedName>
    <definedName localSheetId="0" name="doorcloser">#REF!</definedName>
    <definedName localSheetId="21" name="tegelporselen15x15warna">#REF!</definedName>
    <definedName localSheetId="24" name="_MMM38">#REF!</definedName>
    <definedName localSheetId="9" name="__tl2">#REF!</definedName>
    <definedName localSheetId="28" name="__pvc105">#REF!</definedName>
    <definedName name="__MMM12">#REF!</definedName>
    <definedName localSheetId="33" name="k.ddg.rmn.20.25.pls">#REF!</definedName>
    <definedName localSheetId="8" name="________DIV10">#REF!</definedName>
    <definedName name="R79..">#REF!</definedName>
    <definedName localSheetId="44" name="plastik">#REF!</definedName>
    <definedName localSheetId="7" name="ubinteraluxmarmer60">#REF!</definedName>
    <definedName localSheetId="44" name="tegelporselen15x15">#REF!</definedName>
    <definedName localSheetId="21" name="R50..">#REF!</definedName>
    <definedName localSheetId="36" name="bubungangentengbesar">#REF!</definedName>
    <definedName name="____LLL05">#REF!</definedName>
    <definedName localSheetId="32" name="R51..">#REF!</definedName>
    <definedName localSheetId="20" name="pindahan">#REF!</definedName>
    <definedName localSheetId="8" name="rollingdoor">#REF!</definedName>
    <definedName localSheetId="41" name="ts">#REF!</definedName>
    <definedName localSheetId="24" name="platasbes5mm">#REF!</definedName>
    <definedName localSheetId="17" name="FORM98">#REF!</definedName>
    <definedName localSheetId="34" name="ubinwarna30">#REF!</definedName>
    <definedName localSheetId="17" name="________MMM07">#REF!</definedName>
    <definedName localSheetId="27" name="AAAAAAA">#REF!</definedName>
    <definedName localSheetId="19" name="dempul">#REF!</definedName>
    <definedName localSheetId="3" name="___MMM49">#REF!</definedName>
    <definedName localSheetId="15" name="ASISTEN_BIDANG_PEMERINTAHAN">#REF!</definedName>
    <definedName localSheetId="3" name="ts">#REF!</definedName>
    <definedName localSheetId="32" name="pakuhalus">#REF!</definedName>
    <definedName localSheetId="36" name="ubinkeramikartistik1020">#REF!</definedName>
    <definedName localSheetId="5" name="pakubulian">#REF!</definedName>
    <definedName name="___MMM02">#REF!</definedName>
    <definedName localSheetId="10" name="a">#REF!</definedName>
    <definedName localSheetId="10" name="doorcloser">#REF!</definedName>
    <definedName localSheetId="18" name="_______DIV4">#REF!</definedName>
    <definedName localSheetId="7" name="______MMM24">#REF!</definedName>
    <definedName localSheetId="19" name="floorhardenerferrovak">#REF!</definedName>
    <definedName localSheetId="42" name="pakusirap">#REF!</definedName>
    <definedName localSheetId="13" name="vinylasbes">#REF!</definedName>
    <definedName name="FORM842">#REF!</definedName>
    <definedName localSheetId="39" name="G.Kramik">#REF!</definedName>
    <definedName localSheetId="30" name="p.triplek">#REF!</definedName>
    <definedName name="LAINLAIN">#REF!</definedName>
    <definedName localSheetId="0" name="plintubinwarna1030">#REF!</definedName>
    <definedName localSheetId="4" name="ubinteraso30">#REF!</definedName>
    <definedName localSheetId="42" name="catmeni">#REF!</definedName>
    <definedName localSheetId="8" name="FORM771a">#REF!</definedName>
    <definedName localSheetId="6" name="hollowblok">#REF!</definedName>
    <definedName localSheetId="40" name="kunci2slag">#REF!</definedName>
    <definedName localSheetId="30" name="amobiotic">#REF!</definedName>
    <definedName localSheetId="7" name="KERAMIK30">#REF!</definedName>
    <definedName localSheetId="38" name="formica">#REF!</definedName>
    <definedName localSheetId="27" name="FORM631">#REF!</definedName>
    <definedName localSheetId="39" name="pijar15">#REF!</definedName>
    <definedName localSheetId="44" name="______LLL01">#REF!</definedName>
    <definedName localSheetId="21" name="____HAL7">#REF!</definedName>
    <definedName localSheetId="38" name="ubinkeramik1515">#REF!</definedName>
    <definedName localSheetId="6" name="R41..">#REF!</definedName>
    <definedName localSheetId="6" name="R3..">#REF!</definedName>
    <definedName localSheetId="21" name="________LLL06">#REF!</definedName>
    <definedName localSheetId="24" name="__MMM11">#REF!</definedName>
    <definedName localSheetId="10" name="FORM79manual">#REF!</definedName>
    <definedName localSheetId="15" name="alba2.20">#REF!</definedName>
    <definedName name="________MMM32">#REF!</definedName>
    <definedName localSheetId="25" name="URAIAN66PERMUKAAN">#REF!</definedName>
    <definedName localSheetId="31" name="DFFFGGG">#REF!</definedName>
    <definedName localSheetId="38" name="BAJA">#REF!</definedName>
    <definedName localSheetId="34" name="w.stain">#REF!</definedName>
    <definedName localSheetId="20" name="Excel_BuiltIn_Print_Titles_2">#REF!</definedName>
    <definedName localSheetId="10" name="G">#REF!</definedName>
    <definedName localSheetId="0" name="__HAL1">#REF!</definedName>
    <definedName name="R92..">#REF!</definedName>
    <definedName localSheetId="7" name="____MMM52">#REF!</definedName>
    <definedName localSheetId="12" name="URAIAN7612b">#REF!</definedName>
    <definedName localSheetId="44" name="multi.18">#REF!</definedName>
    <definedName localSheetId="44" name="_MMM01">#REF!</definedName>
    <definedName localSheetId="7" name="___MMM12">#REF!</definedName>
    <definedName localSheetId="38" name="dd">#REF!</definedName>
    <definedName localSheetId="24" name="_______MMM28">#REF!</definedName>
    <definedName localSheetId="24" name="BAJA">#REF!</definedName>
    <definedName localSheetId="19" name="FORM7612a">#REF!</definedName>
    <definedName localSheetId="19" name="__DIV4">#REF!</definedName>
    <definedName localSheetId="10" name="___DIV4">#REF!</definedName>
    <definedName localSheetId="38" name="DUDI">#REF!</definedName>
    <definedName localSheetId="8" name="plintubinteraluxmarmer1060">#REF!</definedName>
    <definedName localSheetId="18" name="kapursirih">#REF!</definedName>
    <definedName localSheetId="3" name="_____DIV5">#REF!</definedName>
    <definedName localSheetId="32" name="AAAAAAA">#REF!</definedName>
    <definedName localSheetId="19" name="G.Kramik">#REF!</definedName>
    <definedName localSheetId="32" name="xxxxx">#REF!</definedName>
    <definedName localSheetId="28" name="_818FA">#REF!</definedName>
    <definedName localSheetId="6" name="FORM731">#REF!</definedName>
    <definedName name="____MMM37">#REF!</definedName>
    <definedName localSheetId="34" name="f">#REF!</definedName>
    <definedName localSheetId="21" name="pvc3d">#REF!</definedName>
    <definedName localSheetId="42" name="URAIAN22L">#REF!</definedName>
    <definedName localSheetId="24" name="__MMM28">#REF!</definedName>
    <definedName localSheetId="3" name="R32..">#REF!</definedName>
    <definedName localSheetId="39" name="tlistrik">#REF!</definedName>
    <definedName localSheetId="40" name="_Tl1">#REF!</definedName>
    <definedName localSheetId="40" name="JA">#REF!</definedName>
    <definedName name="_________DIV10">#REF!</definedName>
    <definedName localSheetId="41" name="____HAL3">#REF!</definedName>
    <definedName localSheetId="44" name="JUDUL">#REF!</definedName>
    <definedName localSheetId="17" name="___pvc2">#REF!</definedName>
    <definedName localSheetId="34" name="beton.225m">#REF!</definedName>
    <definedName localSheetId="41" name="plamour">#REF!</definedName>
    <definedName localSheetId="25" name="teakwood4mm">#REF!</definedName>
    <definedName localSheetId="8" name="______HAL2">#REF!</definedName>
    <definedName localSheetId="32" name="kaca.p.5">#REF!</definedName>
    <definedName localSheetId="42" name="__pvc3">#REF!</definedName>
    <definedName localSheetId="25" name="Z">#REF!</definedName>
    <definedName localSheetId="7" name="FORM734">#REF!</definedName>
    <definedName localSheetId="13" name="_________DIV1">#REF!</definedName>
    <definedName localSheetId="7" name="c.vinilex.sjs">#REF!</definedName>
    <definedName localSheetId="19" name="__MMM01">#REF!</definedName>
    <definedName localSheetId="7" name="_pc40">#REF!</definedName>
    <definedName name="___MMM19">#REF!</definedName>
    <definedName localSheetId="13" name="FORM621">#REF!</definedName>
    <definedName localSheetId="44" name="urugantanah">#REF!</definedName>
    <definedName localSheetId="5" name="BAHU">#REF!</definedName>
    <definedName localSheetId="6" name="grassblok">#REF!</definedName>
    <definedName localSheetId="33" name="FORM7614b">#REF!</definedName>
    <definedName localSheetId="25" name="mlex.w">#REF!</definedName>
    <definedName name="______HAL3">#REF!</definedName>
    <definedName localSheetId="7" name="_______MMM53">#REF!</definedName>
    <definedName localSheetId="27" name="ubingranito30">#REF!</definedName>
    <definedName localSheetId="40" name="ppn.m.3.20.serut">#REF!</definedName>
    <definedName localSheetId="12" name="FORM7612a">#REF!</definedName>
    <definedName name="___MMM23">#REF!</definedName>
    <definedName localSheetId="24" name="URAIAN99">#REF!</definedName>
    <definedName localSheetId="44" name="wwww">#REF!</definedName>
    <definedName localSheetId="38" name="list">#REF!</definedName>
    <definedName localSheetId="44" name="FORM913">#REF!</definedName>
    <definedName localSheetId="20" name="coveartistik">#REF!</definedName>
    <definedName localSheetId="24" name="teakwood9mm">#REF!</definedName>
    <definedName localSheetId="8" name="vinylkaret3030">#REF!</definedName>
    <definedName localSheetId="4" name="u">#REF!</definedName>
    <definedName localSheetId="4" name="___HAL3">#REF!</definedName>
    <definedName localSheetId="21" name="ubinkeramik3333">#REF!</definedName>
    <definedName localSheetId="4" name="______MMM01">#REF!</definedName>
    <definedName localSheetId="24" name="ramset">#REF!</definedName>
    <definedName localSheetId="27" name="gypsum.prf">#REF!</definedName>
    <definedName localSheetId="41" name="plywood6mm">#REF!</definedName>
    <definedName localSheetId="39" name="Print_Area_MI">#REF!</definedName>
    <definedName localSheetId="25" name="lis">#REF!</definedName>
    <definedName localSheetId="31" name="pddk">#REF!</definedName>
    <definedName localSheetId="36" name="___pvc205">#REF!</definedName>
    <definedName localSheetId="15" name="gentengaspal">#REF!</definedName>
    <definedName localSheetId="34" name="____HAL3">#REF!</definedName>
    <definedName localSheetId="31" name="beton100kg">#REF!</definedName>
    <definedName localSheetId="27" name="waterstop200">#REF!</definedName>
    <definedName localSheetId="21" name="Analisa70707">#REF!</definedName>
    <definedName localSheetId="18" name="metal">#REF!</definedName>
    <definedName name="grassblok">#REF!</definedName>
    <definedName localSheetId="21" name="URAIAN79manual">#REF!</definedName>
    <definedName localSheetId="17" name="_pp1">#REF!</definedName>
    <definedName localSheetId="17" name="MMM35A">#REF!</definedName>
    <definedName localSheetId="20" name="_______HAL1">#REF!</definedName>
    <definedName localSheetId="18" name="______DIV3">#REF!</definedName>
    <definedName localSheetId="27" name="terntang">#REF!</definedName>
    <definedName localSheetId="7" name="doorcloser">#REF!</definedName>
    <definedName localSheetId="13" name="begisting">#REF!</definedName>
    <definedName localSheetId="32" name="AGREGAT">#REF!</definedName>
    <definedName localSheetId="34" name="d">#REF!</definedName>
    <definedName localSheetId="20" name="jffhauifhauifhe">#REF!</definedName>
    <definedName localSheetId="44" name="___MMM09">#REF!</definedName>
    <definedName localSheetId="5" name="kawatsengpolos">#REF!</definedName>
    <definedName localSheetId="34" name="cattembok">#REF!</definedName>
    <definedName localSheetId="3" name="Akustik">#REF!</definedName>
    <definedName localSheetId="42" name="_________MMM02">#REF!</definedName>
    <definedName name="_MMM11">#REF!</definedName>
    <definedName localSheetId="24" name="___HAL7">#REF!</definedName>
    <definedName localSheetId="28" name="kayukudakuda">#REF!</definedName>
    <definedName localSheetId="36" name="keramik20">#REF!</definedName>
    <definedName localSheetId="10" name="Batupuru">#REF!</definedName>
    <definedName localSheetId="8" name="Lamp">#REF!</definedName>
    <definedName localSheetId="20" name="URAIAN79mekanis">#REF!</definedName>
    <definedName localSheetId="17" name="_HAL6">#REF!</definedName>
    <definedName localSheetId="25" name="sealer.mowi">#REF!</definedName>
    <definedName localSheetId="23" name="tanggal">#REF!</definedName>
    <definedName localSheetId="3" name="________MMM38">#REF!</definedName>
    <definedName localSheetId="21" name="____MMM29">#REF!</definedName>
    <definedName localSheetId="23" name="R5..">#REF!</definedName>
    <definedName localSheetId="33" name="________DIV3">#REF!</definedName>
    <definedName localSheetId="3" name="platasbes4mm">#REF!</definedName>
    <definedName localSheetId="31" name="BAHU">#REF!</definedName>
    <definedName localSheetId="5" name="__HAL5">#REF!</definedName>
    <definedName localSheetId="40" name="urugankembali">#REF!</definedName>
    <definedName localSheetId="8" name="SEKRETARIAT_DPRD">#REF!</definedName>
    <definedName localSheetId="44" name="_____LLL04">#REF!</definedName>
    <definedName localSheetId="21" name="bubungangentengbesar">#REF!</definedName>
    <definedName localSheetId="0" name="jurnal">#REF!</definedName>
    <definedName localSheetId="25" name="_pc40">#REF!</definedName>
    <definedName localSheetId="5" name="c.mowi.luar">#REF!</definedName>
    <definedName localSheetId="30" name="panelbetonpracetak">#REF!</definedName>
    <definedName localSheetId="24" name="R27..">#REF!</definedName>
    <definedName localSheetId="41" name="minyaksolar">#REF!</definedName>
    <definedName localSheetId="31" name="vinylkaretklII">#REF!</definedName>
    <definedName localSheetId="19" name="b.belah">#REF!</definedName>
    <definedName localSheetId="21" name="kunci2slag">#REF!</definedName>
    <definedName localSheetId="27" name="URAIAN745">#REF!</definedName>
    <definedName localSheetId="34" name="plintubingranito1030">#REF!</definedName>
    <definedName localSheetId="38" name="kunciselot">#REF!</definedName>
    <definedName localSheetId="23" name="rapidrant">#REF!</definedName>
    <definedName localSheetId="28" name="_________HAL3">#REF!</definedName>
    <definedName localSheetId="36" name="list">#REF!</definedName>
    <definedName localSheetId="21" name="reng">#REF!</definedName>
    <definedName localSheetId="41" name="papanbekisting">#REF!</definedName>
    <definedName localSheetId="44" name="JUDUL1">#REF!</definedName>
    <definedName localSheetId="34" name="DUDI">#REF!</definedName>
    <definedName localSheetId="9" name="_____DIV4">#REF!</definedName>
    <definedName localSheetId="32" name="jki">#REF!</definedName>
    <definedName localSheetId="9" name="kali">#REF!</definedName>
    <definedName localSheetId="19" name="drkeet">#REF!</definedName>
    <definedName localSheetId="3" name="____HAL6">#REF!</definedName>
    <definedName localSheetId="17" name="plintubinwarna1040">#REF!</definedName>
    <definedName localSheetId="7" name="gentengpaletong">#REF!</definedName>
    <definedName localSheetId="28" name="kacawireglass5">#REF!</definedName>
    <definedName localSheetId="41" name="_________MMM01">#REF!</definedName>
    <definedName localSheetId="36" name="beton175m">#REF!</definedName>
    <definedName localSheetId="31" name="besi10.sii">#REF!</definedName>
    <definedName localSheetId="36" name="total">#REF!</definedName>
    <definedName localSheetId="8" name="tlistrik">#REF!</definedName>
    <definedName localSheetId="23" name="sunloid">#REF!</definedName>
    <definedName localSheetId="30" name="URAIAN7613a">#REF!</definedName>
    <definedName localSheetId="0" name="batupecah">#REF!</definedName>
    <definedName localSheetId="13" name="tanahliat">#REF!</definedName>
    <definedName localSheetId="19" name="tanahliat">#REF!</definedName>
    <definedName localSheetId="0" name="kayuborneo">#REF!</definedName>
    <definedName localSheetId="19" name="besi10.sii">#REF!</definedName>
    <definedName name="SEKRETARIAT_DPRD">#REF!</definedName>
    <definedName name="ramset">#REF!</definedName>
    <definedName localSheetId="10" name="_________HAL3">#REF!</definedName>
    <definedName localSheetId="44" name="_____MMM10">#REF!</definedName>
    <definedName localSheetId="21" name="____MMM49">#REF!</definedName>
    <definedName localSheetId="39" name="ktbs">#REF!</definedName>
    <definedName name="________HAL5">#REF!</definedName>
    <definedName localSheetId="31" name="FORMLatasirKL">#REF!</definedName>
    <definedName localSheetId="3" name="batu.jogja">#REF!</definedName>
    <definedName localSheetId="23" name="pengencer">#REF!</definedName>
    <definedName localSheetId="6" name="Excel_BuiltIn_Print_Titles_2">#REF!</definedName>
    <definedName localSheetId="39" name="JUDUL">#REF!</definedName>
    <definedName localSheetId="42" name="_______DIV2">#REF!</definedName>
    <definedName localSheetId="20" name="_____DIV3">#REF!</definedName>
    <definedName localSheetId="21" name="tegelporselen15x15">#REF!</definedName>
    <definedName localSheetId="3" name="nmdaerah">#REF!</definedName>
    <definedName localSheetId="18" name="roll">#REF!</definedName>
    <definedName localSheetId="15" name="FORM79manual">#REF!</definedName>
    <definedName localSheetId="44" name="washtafel">#REF!</definedName>
    <definedName localSheetId="24" name="________LLL04">#REF!</definedName>
    <definedName localSheetId="24" name="_________MMM11">#REF!</definedName>
    <definedName localSheetId="3" name="____LLL08">#REF!</definedName>
    <definedName localSheetId="24" name="______LLL01">#REF!</definedName>
    <definedName localSheetId="31" name="ls">#REF!</definedName>
    <definedName localSheetId="17" name="FORM772c">#REF!</definedName>
    <definedName localSheetId="13" name="jamtandem">#REF!</definedName>
    <definedName localSheetId="9" name="________DIV4">#REF!</definedName>
    <definedName localSheetId="32" name="ubingranito40">#REF!</definedName>
    <definedName localSheetId="11" name="gggg">#REF!</definedName>
    <definedName localSheetId="32" name="cattembok">#REF!</definedName>
    <definedName name="panelbetonpracetak">#REF!</definedName>
    <definedName localSheetId="7" name="aaaaa">#REF!</definedName>
    <definedName localSheetId="39" name="ss">#REF!</definedName>
    <definedName localSheetId="25" name="eeeeee">#REF!</definedName>
    <definedName localSheetId="9" name="ppn.m.3.20.serut">#REF!</definedName>
    <definedName localSheetId="21" name="sofboard">#REF!</definedName>
    <definedName localSheetId="8" name="kenek">#REF!</definedName>
    <definedName localSheetId="31" name="stairnzing">#REF!</definedName>
    <definedName localSheetId="21" name="rosterterawang">#REF!</definedName>
    <definedName localSheetId="21" name="vinylkaretklII">#REF!</definedName>
    <definedName localSheetId="27" name="namaabsen">#REF!</definedName>
    <definedName localSheetId="17" name="__MMM23">#REF!</definedName>
    <definedName localSheetId="38" name="URAIAN">#REF!</definedName>
    <definedName name="URAIAN633">#REF!</definedName>
    <definedName localSheetId="12" name="plintubingranito1030">#REF!</definedName>
    <definedName localSheetId="5" name="t.sabun">#REF!</definedName>
    <definedName localSheetId="17" name="kaca3">#REF!</definedName>
    <definedName localSheetId="13" name="_____DIV10">#REF!</definedName>
    <definedName localSheetId="21" name="ubinkeramik1020">#REF!</definedName>
    <definedName name="URAIAN772b">#REF!</definedName>
    <definedName name="__DIV4">#REF!</definedName>
    <definedName localSheetId="38" name="cattembok">#REF!</definedName>
    <definedName localSheetId="28" name="______MMM01">#REF!</definedName>
    <definedName localSheetId="38" name="closedjongkok">#REF!</definedName>
    <definedName localSheetId="32" name="_________MMM03">#REF!</definedName>
    <definedName localSheetId="41" name="kacapolos3mm">#REF!</definedName>
    <definedName localSheetId="3" name="FORM631">#REF!</definedName>
    <definedName localSheetId="24" name="paving">#REF!</definedName>
    <definedName localSheetId="25" name="URAIAN79manual">#REF!</definedName>
    <definedName localSheetId="7" name="FORM744">#REF!</definedName>
    <definedName localSheetId="31" name="FORM732">#REF!</definedName>
    <definedName localSheetId="44" name="FORM621">#REF!</definedName>
    <definedName localSheetId="3" name="pvc3d">#REF!</definedName>
    <definedName localSheetId="6" name="ASPAL">#REF!</definedName>
    <definedName localSheetId="21" name="_____MMM11">#REF!</definedName>
    <definedName localSheetId="7" name="kuncisilinder">#REF!</definedName>
    <definedName localSheetId="3" name="FORM913">#REF!</definedName>
    <definedName localSheetId="21" name="_________MMM35">#REF!</definedName>
    <definedName localSheetId="40" name="FORM7612a">#REF!</definedName>
    <definedName localSheetId="17" name="______MMM10">#REF!</definedName>
    <definedName localSheetId="44" name="Akustik">#REF!</definedName>
    <definedName localSheetId="44" name="FORM7614c">#REF!</definedName>
    <definedName localSheetId="44" name="FORM771d">#REF!</definedName>
    <definedName localSheetId="0" name="split1.2">#REF!</definedName>
    <definedName localSheetId="36" name="batu.jogja">#REF!</definedName>
    <definedName localSheetId="10" name="ubinkeramik1033">#REF!</definedName>
    <definedName localSheetId="24" name="pipagalvanis">#REF!</definedName>
    <definedName localSheetId="3" name="kawatkassa">#REF!</definedName>
    <definedName localSheetId="34" name="_____DIV1">#REF!</definedName>
    <definedName localSheetId="44" name="_____MMM19">#REF!</definedName>
    <definedName localSheetId="19" name="papanbekisting">#REF!</definedName>
    <definedName localSheetId="24" name="________DIV3">#REF!</definedName>
    <definedName localSheetId="30" name="borneo5.7">#REF!</definedName>
    <definedName localSheetId="27" name="p.triplek">#REF!</definedName>
    <definedName localSheetId="10" name="des">#REF!</definedName>
    <definedName localSheetId="39" name="Batupuru">#REF!</definedName>
    <definedName localSheetId="40" name="sis">#REF!</definedName>
    <definedName localSheetId="3" name="_________MMM10">#REF!</definedName>
    <definedName localSheetId="24" name="kali">#REF!</definedName>
    <definedName localSheetId="0" name="cv">#REF!</definedName>
    <definedName localSheetId="8" name="ttnh">#REF!</definedName>
    <definedName localSheetId="3" name="___MMM411">#REF!</definedName>
    <definedName localSheetId="10" name="FORM7613c">#REF!</definedName>
    <definedName localSheetId="24" name="R33..">#REF!</definedName>
    <definedName localSheetId="44" name="Analisa71202">#REF!</definedName>
    <definedName localSheetId="6" name="__LLL03">#REF!</definedName>
    <definedName localSheetId="17" name="_______MMM47">#REF!</definedName>
    <definedName localSheetId="6" name="plintubinwarna1020">#REF!</definedName>
    <definedName localSheetId="17" name="______DIV7">#REF!</definedName>
    <definedName localSheetId="27" name="ktky">#REF!</definedName>
    <definedName localSheetId="7" name="R80..">#REF!</definedName>
    <definedName localSheetId="20" name="Ker.L13">#REF!</definedName>
    <definedName localSheetId="19" name="URAIAN22E">#REF!</definedName>
    <definedName localSheetId="21" name="Faktor">#REF!</definedName>
    <definedName localSheetId="20" name="___HAL3">#REF!</definedName>
    <definedName localSheetId="44" name="plintubinkeramikartistik1020">#REF!</definedName>
    <definedName localSheetId="3" name="pvc4d">#REF!</definedName>
    <definedName localSheetId="31" name="nokpaten105">#REF!</definedName>
    <definedName localSheetId="19" name="kayuterentang">#REF!</definedName>
    <definedName localSheetId="13" name="ubinkeramik1033">#REF!</definedName>
    <definedName localSheetId="6" name="Analisa512">#REF!</definedName>
    <definedName localSheetId="20" name="GUIIII">#REF!</definedName>
    <definedName localSheetId="0" name="kayumarsawa">#REF!</definedName>
    <definedName localSheetId="13" name="URAIAN234L">#REF!</definedName>
    <definedName localSheetId="32" name="_MMM01">#REF!</definedName>
    <definedName localSheetId="40" name="URAIAN7612a">#REF!</definedName>
    <definedName localSheetId="42" name="B.Aparatur">#REF!</definedName>
    <definedName localSheetId="10" name="cv">#REF!</definedName>
    <definedName localSheetId="7" name="______MMM39">#REF!</definedName>
    <definedName localSheetId="19" name="sementahanasam">#REF!</definedName>
    <definedName localSheetId="25" name="d">#REF!</definedName>
    <definedName localSheetId="9" name="kiki">#REF!</definedName>
    <definedName localSheetId="30" name="bak">#REF!</definedName>
    <definedName localSheetId="23" name="_______HAL2">#REF!</definedName>
    <definedName localSheetId="20" name="HP">#REF!</definedName>
    <definedName name="_________MMM31">#REF!</definedName>
    <definedName localSheetId="6" name="kawatsengpolos">#REF!</definedName>
    <definedName localSheetId="32" name="URAIAN22E">#REF!</definedName>
    <definedName localSheetId="5" name="hd">#REF!</definedName>
    <definedName localSheetId="7" name="nmdaerah">#REF!</definedName>
    <definedName localSheetId="25" name="u.besi">#REF!</definedName>
    <definedName localSheetId="10" name="e">#REF!</definedName>
    <definedName localSheetId="15" name="waterstop150">#REF!</definedName>
    <definedName localSheetId="17" name="Print_Titles_MI">#REF!</definedName>
    <definedName localSheetId="7" name="kkkk">#REF!</definedName>
    <definedName localSheetId="21" name="_MMM14">#REF!</definedName>
    <definedName localSheetId="20" name="keramik20">#REF!</definedName>
    <definedName localSheetId="3" name="_________MMM25">#REF!</definedName>
    <definedName localSheetId="7" name="FORM772c">#REF!</definedName>
    <definedName localSheetId="30" name="Batupuru">#REF!</definedName>
    <definedName localSheetId="24" name="URAIAN915">#REF!</definedName>
    <definedName localSheetId="9" name="f">#REF!</definedName>
    <definedName localSheetId="27" name="___pvc2">#REF!</definedName>
    <definedName name="__MMM26">#REF!</definedName>
    <definedName localSheetId="15" name="catpenutup2kali">#REF!</definedName>
    <definedName localSheetId="33" name="jurnal1">#REF!</definedName>
    <definedName localSheetId="30" name="penduduk">#REF!</definedName>
    <definedName localSheetId="40" name="____DIV4">#REF!</definedName>
    <definedName localSheetId="40" name="kunciselot">#REF!</definedName>
    <definedName localSheetId="23" name="Jasa">#REF!</definedName>
    <definedName localSheetId="0" name="jj">#REF!</definedName>
    <definedName name="________MMM50">#REF!</definedName>
    <definedName localSheetId="15" name="baru">#REF!</definedName>
    <definedName localSheetId="24" name="____MMM46">#REF!</definedName>
    <definedName localSheetId="30" name="___pvc105">#REF!</definedName>
    <definedName localSheetId="44" name="______MMM29">#REF!</definedName>
    <definedName localSheetId="39" name="pakusirap">#REF!</definedName>
    <definedName localSheetId="30" name="batacote">#REF!</definedName>
    <definedName localSheetId="9" name="plastikaerator">#REF!</definedName>
    <definedName localSheetId="6" name="kayualbasiah">#REF!</definedName>
    <definedName localSheetId="6" name="____DIV10">#REF!</definedName>
    <definedName localSheetId="20" name="URAIAN621">#REF!</definedName>
    <definedName localSheetId="18" name="gypsum.prf">#REF!</definedName>
    <definedName localSheetId="7" name="R45..">#REF!</definedName>
    <definedName name="_____MMM06">#REF!</definedName>
    <definedName localSheetId="24" name="________MMM48">#REF!</definedName>
    <definedName localSheetId="41" name="ngsel4">#REF!</definedName>
    <definedName localSheetId="44" name="FORM623">#REF!</definedName>
    <definedName localSheetId="24" name="doorcloser">#REF!</definedName>
    <definedName localSheetId="42" name="menibesi">#REF!</definedName>
    <definedName localSheetId="40" name="__DIV2">#REF!</definedName>
    <definedName localSheetId="41" name="_____DIV10">#REF!</definedName>
    <definedName localSheetId="41" name="Per">#REF!</definedName>
    <definedName localSheetId="10" name="alangalang">#REF!</definedName>
    <definedName localSheetId="42" name="SEKRETARIAT_DPRD">#REF!</definedName>
    <definedName localSheetId="17" name="formica">#REF!</definedName>
    <definedName localSheetId="28" name="pipatanah">#REF!</definedName>
    <definedName localSheetId="23" name="URAIAN66PERATA">#REF!</definedName>
    <definedName localSheetId="5" name="_pvc3">#REF!</definedName>
    <definedName localSheetId="0" name="_____DIV1">#REF!</definedName>
    <definedName localSheetId="11" name="jendelanako">#REF!</definedName>
    <definedName localSheetId="20" name="__pvc205">#REF!</definedName>
    <definedName localSheetId="42" name="R51..">#REF!</definedName>
    <definedName localSheetId="17" name="mowi.w.shield">#REF!</definedName>
    <definedName localSheetId="25" name="kuncitanam">#REF!</definedName>
    <definedName localSheetId="34" name="c.mowi.dlm">#REF!</definedName>
    <definedName localSheetId="24" name="_MMM46">#REF!</definedName>
    <definedName localSheetId="34" name="URAIAN771a">#REF!</definedName>
    <definedName name="______MMM31">#REF!</definedName>
    <definedName localSheetId="7" name="Print_Titles_MI_1">#REF!</definedName>
    <definedName localSheetId="44" name="ubinkeramikartistik520">#REF!</definedName>
    <definedName localSheetId="40" name="BAHU">#REF!</definedName>
    <definedName localSheetId="44" name="hcs">#REF!</definedName>
    <definedName localSheetId="7" name="R109..">#REF!</definedName>
    <definedName localSheetId="19" name="namaabsen">#REF!</definedName>
    <definedName localSheetId="36" name="Ktbt">#REF!</definedName>
    <definedName localSheetId="17" name="_LLL04">#REF!</definedName>
    <definedName localSheetId="17" name="______LLL01">#REF!</definedName>
    <definedName localSheetId="44" name="seng25">#REF!</definedName>
    <definedName localSheetId="31" name="tanggal">#REF!</definedName>
    <definedName localSheetId="6" name="DSSDD">#REF!</definedName>
    <definedName localSheetId="23" name="nokpaten092">#REF!</definedName>
    <definedName localSheetId="9" name="Excel_BuiltIn_Print_Area_10">#REF!</definedName>
    <definedName localSheetId="13" name="plastikaerator">#REF!</definedName>
    <definedName localSheetId="0" name="batapelapisklinker">#REF!</definedName>
    <definedName localSheetId="21" name="ubinteraluxmarmer40">#REF!</definedName>
    <definedName localSheetId="0" name="karpetwooldannilon">#REF!</definedName>
    <definedName localSheetId="33" name="FORM323L">#REF!</definedName>
    <definedName localSheetId="44" name="kayuterentang">#REF!</definedName>
    <definedName localSheetId="25" name="URAIAN22E">#REF!</definedName>
    <definedName localSheetId="21" name="_LLL03">#REF!</definedName>
    <definedName localSheetId="38" name="ls">#REF!</definedName>
    <definedName localSheetId="38" name="__pvc205">#REF!</definedName>
    <definedName name="FORM7610">#REF!</definedName>
    <definedName localSheetId="33" name="KECAMATAN_KODEOHA">#REF!</definedName>
    <definedName localSheetId="41" name="beton100kg">#REF!</definedName>
    <definedName localSheetId="17" name="R78..">#REF!</definedName>
    <definedName localSheetId="18" name="________MMM02">#REF!</definedName>
    <definedName localSheetId="38" name="sealent">#REF!</definedName>
    <definedName localSheetId="33" name="R30..">#REF!</definedName>
    <definedName localSheetId="8" name="kran.bbk">#REF!</definedName>
    <definedName localSheetId="28" name="k.ddg.20.25.rmn.crk">#REF!</definedName>
    <definedName localSheetId="3" name="FORM633">#REF!</definedName>
    <definedName localSheetId="44" name="FORM7613a">#REF!</definedName>
    <definedName localSheetId="36" name="URAIAN323L">#REF!</definedName>
    <definedName localSheetId="36" name="_MMM03">#REF!</definedName>
    <definedName localSheetId="44" name="__LLL05">#REF!</definedName>
    <definedName name="_____MMM28">#REF!</definedName>
    <definedName localSheetId="44" name="FORM841">#REF!</definedName>
    <definedName localSheetId="27" name="____DIV1">#REF!</definedName>
    <definedName localSheetId="10" name="______HAL1">#REF!</definedName>
    <definedName localSheetId="36" name="kaca.p.5">#REF!</definedName>
    <definedName localSheetId="44" name="____MMM45">#REF!</definedName>
    <definedName localSheetId="3" name="_______MMM46">#REF!</definedName>
    <definedName localSheetId="5" name="besi13">#REF!</definedName>
    <definedName localSheetId="17" name="kawatjaring">#REF!</definedName>
    <definedName localSheetId="34" name="doorholder">#REF!</definedName>
    <definedName localSheetId="13" name="________DIV10">#REF!</definedName>
    <definedName localSheetId="17" name="vertikalsblinds">#REF!</definedName>
    <definedName localSheetId="25" name="marmer">#REF!</definedName>
    <definedName localSheetId="17" name="multi.9">#REF!</definedName>
    <definedName localSheetId="25" name="kmp.banjar">#REF!</definedName>
    <definedName localSheetId="3" name="______MMM34">#REF!</definedName>
    <definedName localSheetId="19" name="kacacermin6">#REF!</definedName>
    <definedName localSheetId="6" name="k.ddg.20.25.rmn.crk">#REF!</definedName>
    <definedName localSheetId="15" name="cattembok">#REF!</definedName>
    <definedName localSheetId="36" name="aaaa">#REF!</definedName>
    <definedName localSheetId="32" name="kali">#REF!</definedName>
    <definedName localSheetId="21" name="batupecah">#REF!</definedName>
    <definedName localSheetId="4" name="catpenutup">#REF!</definedName>
    <definedName localSheetId="38" name="paving">#REF!</definedName>
    <definedName localSheetId="23" name="Aluminium">#REF!</definedName>
    <definedName localSheetId="12" name="keramik30x30">#REF!</definedName>
    <definedName localSheetId="36" name="plintubingranito1040">#REF!</definedName>
    <definedName localSheetId="24" name="ARI">#REF!</definedName>
    <definedName localSheetId="31" name="keramik20">#REF!</definedName>
    <definedName localSheetId="33" name="_________DIV10">#REF!</definedName>
    <definedName localSheetId="21" name="ppn.m.3.20.serut">#REF!</definedName>
    <definedName name="pipabeton">#REF!</definedName>
    <definedName localSheetId="8" name="___HAL2">#REF!</definedName>
    <definedName localSheetId="7" name="____MMM53">#REF!</definedName>
    <definedName localSheetId="28" name="kacapolos3mm">#REF!</definedName>
    <definedName localSheetId="15" name="washtafel">#REF!</definedName>
    <definedName localSheetId="20" name="FORM7610">#REF!</definedName>
    <definedName localSheetId="12" name="LAP">#REF!</definedName>
    <definedName localSheetId="19" name="JUDUL1">#REF!</definedName>
    <definedName localSheetId="30" name="jurnal">#REF!</definedName>
    <definedName localSheetId="17" name="BAJA">#REF!</definedName>
    <definedName localSheetId="36" name="c.maxi">#REF!</definedName>
    <definedName localSheetId="28" name="jj">#REF!</definedName>
    <definedName localSheetId="41" name="kacawireglass5">#REF!</definedName>
    <definedName localSheetId="19" name="oke">#REF!</definedName>
    <definedName localSheetId="28" name="____HAL2">#REF!</definedName>
    <definedName localSheetId="4" name="_________HAL2">#REF!</definedName>
    <definedName localSheetId="18" name="Per">#REF!</definedName>
    <definedName localSheetId="8" name="_______DIV2">#REF!</definedName>
    <definedName localSheetId="23" name="dd">#REF!</definedName>
    <definedName localSheetId="36" name="_____MMM03">#REF!</definedName>
    <definedName localSheetId="40" name="_________MMM02">#REF!</definedName>
    <definedName localSheetId="5" name="URAIAN7612a">#REF!</definedName>
    <definedName localSheetId="4" name="____MMM02">#REF!</definedName>
    <definedName localSheetId="5" name="he">#REF!</definedName>
    <definedName localSheetId="17" name="____DIV7">#REF!</definedName>
    <definedName localSheetId="44" name="SUNGAI_BERTAM">#REF!</definedName>
    <definedName localSheetId="36" name="R1..">#REF!</definedName>
    <definedName localSheetId="33" name="plintubinteraso1040">#REF!</definedName>
    <definedName localSheetId="5" name="cycllop">#REF!</definedName>
    <definedName localSheetId="17" name="besi6sii">#REF!</definedName>
    <definedName name="_________MMM21">#REF!</definedName>
    <definedName localSheetId="25" name="ubinwarna30">#REF!</definedName>
    <definedName localSheetId="8" name="kuas">#REF!</definedName>
    <definedName localSheetId="21" name="R88..">#REF!</definedName>
    <definedName localSheetId="28" name="metal">#REF!</definedName>
    <definedName localSheetId="34" name="rubbercorrugate">#REF!</definedName>
    <definedName localSheetId="13" name="p.kmp.smrd.3.20">#REF!</definedName>
    <definedName localSheetId="15" name="oemar">#REF!</definedName>
    <definedName localSheetId="3" name="Pengadaan">#REF!</definedName>
    <definedName localSheetId="4" name="__LLL02">#REF!</definedName>
    <definedName name="__MMM16">#REF!</definedName>
    <definedName name="_________MMM15">#REF!</definedName>
    <definedName localSheetId="42" name="tlistrik">#REF!</definedName>
    <definedName localSheetId="15" name="URAIAN631">#REF!</definedName>
    <definedName localSheetId="34" name="kaca12">#REF!</definedName>
    <definedName localSheetId="42" name="sis">#REF!</definedName>
    <definedName localSheetId="10" name="___MMM02">#REF!</definedName>
    <definedName localSheetId="15" name="got">#REF!</definedName>
    <definedName localSheetId="3" name="_______MMM07">#REF!</definedName>
    <definedName localSheetId="19" name="__tl2">#REF!</definedName>
    <definedName localSheetId="7" name="pipagalvanis">#REF!</definedName>
    <definedName localSheetId="3" name="c.vinilex.sjs">#REF!</definedName>
    <definedName localSheetId="32" name="vertikalsblinds">#REF!</definedName>
    <definedName name="ls">#REF!</definedName>
    <definedName localSheetId="30" name="____DIV3">#REF!</definedName>
    <definedName localSheetId="11" name="b.belah">#REF!</definedName>
    <definedName localSheetId="31" name="na">#REF!</definedName>
    <definedName localSheetId="44" name="ubinteraluxkerang40">#REF!</definedName>
    <definedName localSheetId="24" name="closet.jkok">#REF!</definedName>
    <definedName localSheetId="32" name="rooflightfiibreglass">#REF!</definedName>
    <definedName localSheetId="39" name="JUDUL1">#REF!</definedName>
    <definedName localSheetId="42" name="ubinwarna40">#REF!</definedName>
    <definedName localSheetId="7" name="_MMM29">#REF!</definedName>
    <definedName localSheetId="17" name="FORM7612b">#REF!</definedName>
    <definedName localSheetId="44" name="_________LLL04">#REF!</definedName>
    <definedName localSheetId="24" name="BPS">#REF!</definedName>
    <definedName localSheetId="19" name="siap1">#REF!</definedName>
    <definedName localSheetId="31" name="URAIAN234L">#REF!</definedName>
    <definedName localSheetId="6" name="TANAH">#REF!</definedName>
    <definedName localSheetId="7" name="____MMM33">#REF!</definedName>
    <definedName localSheetId="3" name="SPJa">#REF!</definedName>
    <definedName localSheetId="41" name="_______DIV4">#REF!</definedName>
    <definedName localSheetId="21" name="__HAL1">#REF!</definedName>
    <definedName localSheetId="15" name="terntang">#REF!</definedName>
    <definedName localSheetId="7" name="_LLL11">#REF!</definedName>
    <definedName name="DAYWORKS">#REF!</definedName>
    <definedName localSheetId="18" name="_____DIV1">#REF!</definedName>
    <definedName localSheetId="44" name="pakugalvanis">#REF!</definedName>
    <definedName localSheetId="24" name="______LLL11">#REF!</definedName>
    <definedName localSheetId="24" name="MMM17A">#REF!</definedName>
    <definedName localSheetId="5" name="RINCIANSEWA2">#REF!</definedName>
    <definedName localSheetId="36" name="SSSSSSSSSSSSSSSSSSSSSSSSSSSSS">#REF!</definedName>
    <definedName localSheetId="7" name="_____MMM30">#REF!</definedName>
    <definedName localSheetId="38" name="__pvc3">#REF!</definedName>
    <definedName localSheetId="19" name="terntang">#REF!</definedName>
    <definedName localSheetId="18" name="pakuhak15cm">#REF!</definedName>
    <definedName name="__MMM22">#REF!</definedName>
    <definedName localSheetId="24" name="______MMM47">#REF!</definedName>
    <definedName localSheetId="3" name="_______MMM10">#REF!</definedName>
    <definedName localSheetId="21" name="oemar">#REF!</definedName>
    <definedName name="___MMM05">#REF!</definedName>
    <definedName localSheetId="32" name="Kunci2">#REF!</definedName>
    <definedName localSheetId="41" name="plintubinteraso1040">#REF!</definedName>
    <definedName localSheetId="19" name="sengplatbjls25">#REF!</definedName>
    <definedName localSheetId="3" name="ppnm">#REF!</definedName>
    <definedName localSheetId="9" name="oke">#REF!</definedName>
    <definedName localSheetId="24" name="MASTER">#REF!</definedName>
    <definedName localSheetId="3" name="Status">#REF!</definedName>
    <definedName localSheetId="42" name="k.40.40.roman.crk">#REF!</definedName>
    <definedName localSheetId="8" name="______DIV10">#REF!</definedName>
    <definedName localSheetId="27" name="tegel20">#REF!</definedName>
    <definedName localSheetId="21" name="waterdrainaksesoris">#REF!</definedName>
    <definedName localSheetId="25" name="_HAL4">#REF!</definedName>
    <definedName localSheetId="7" name="____MMM23">#REF!</definedName>
    <definedName localSheetId="44" name="bubungangentengpalentongbesar">#REF!</definedName>
    <definedName localSheetId="30" name="FORM66PERMUKAAN">#REF!</definedName>
    <definedName localSheetId="5" name="_________DIV10">#REF!</definedName>
    <definedName localSheetId="3" name="R89..">#REF!</definedName>
    <definedName localSheetId="7" name="_____MMM34">#REF!</definedName>
    <definedName localSheetId="36" name="__DIV3">#REF!</definedName>
    <definedName localSheetId="34" name="_pvc3">#REF!</definedName>
    <definedName localSheetId="18" name="FORM771a">#REF!</definedName>
    <definedName localSheetId="6" name="FORM612">#REF!</definedName>
    <definedName name="___HAL8">#REF!</definedName>
    <definedName localSheetId="42" name="kunciselot">#REF!</definedName>
    <definedName localSheetId="32" name="pakusirap">#REF!</definedName>
    <definedName localSheetId="24" name="_______MMM39">#REF!</definedName>
    <definedName localSheetId="13" name="ppn.m.3.20.serut">#REF!</definedName>
    <definedName localSheetId="42" name="gentengaspal">#REF!</definedName>
    <definedName localSheetId="3" name="____MMM08">#REF!</definedName>
    <definedName localSheetId="33" name="______DIV3">#REF!</definedName>
    <definedName localSheetId="19" name="Excel_BuiltIn_Print_Titles_2">#REF!</definedName>
    <definedName localSheetId="18" name="Analisa512">#REF!</definedName>
    <definedName localSheetId="42" name="___pvc05">#REF!</definedName>
    <definedName localSheetId="15" name="__pvc105">#REF!</definedName>
    <definedName localSheetId="12" name="_MMM03">#REF!</definedName>
    <definedName localSheetId="30" name="kacapolos5mm">#REF!</definedName>
    <definedName localSheetId="10" name="______DIV2">#REF!</definedName>
    <definedName localSheetId="20" name="Tbt">#REF!</definedName>
    <definedName localSheetId="18" name="pipabeton">#REF!</definedName>
    <definedName localSheetId="42" name="kunci1slag">#REF!</definedName>
    <definedName localSheetId="11" name="pasirbeton">#REF!</definedName>
    <definedName localSheetId="23" name="grassblok">#REF!</definedName>
    <definedName localSheetId="17" name="____MMM19">#REF!</definedName>
    <definedName name="______MMM39">#REF!</definedName>
    <definedName localSheetId="24" name="________MMM45">#REF!</definedName>
    <definedName name="catmeni">#REF!</definedName>
    <definedName localSheetId="0" name="rapidrant">#REF!</definedName>
    <definedName localSheetId="40" name="pakusirap">#REF!</definedName>
    <definedName localSheetId="0" name="asbesgelombnang">#REF!</definedName>
    <definedName localSheetId="42" name="R6..">#REF!</definedName>
    <definedName name="_____MMM17">#REF!</definedName>
    <definedName name="URAIAN231">#REF!</definedName>
    <definedName localSheetId="32" name="R3..">#REF!</definedName>
    <definedName localSheetId="34" name="__MMM03">#REF!</definedName>
    <definedName localSheetId="17" name="_________MMM35">#REF!</definedName>
    <definedName localSheetId="30" name="karpetwooldannilon">#REF!</definedName>
    <definedName localSheetId="0" name="kmp.banjar">#REF!</definedName>
    <definedName localSheetId="17" name="multi.18">#REF!</definedName>
    <definedName localSheetId="31" name="KUANTITAS">#REF!</definedName>
    <definedName localSheetId="13" name="gypsum.prf">#REF!</definedName>
    <definedName localSheetId="10" name="pp">#REF!</definedName>
    <definedName localSheetId="30" name="kkkk">#REF!</definedName>
    <definedName localSheetId="33" name="DAYWORKS">#REF!</definedName>
    <definedName localSheetId="28" name="GRC">#REF!</definedName>
    <definedName localSheetId="44" name="p.kmp.smrd.3.20">#REF!</definedName>
    <definedName localSheetId="34" name="meni.kayu">#REF!</definedName>
    <definedName localSheetId="41" name="alba2.20">#REF!</definedName>
    <definedName localSheetId="25" name="nmdaerah">#REF!</definedName>
    <definedName localSheetId="11" name="c.mowi.luar">#REF!</definedName>
    <definedName localSheetId="7" name="___MMM07">#REF!</definedName>
    <definedName localSheetId="9" name="FORM621">#REF!</definedName>
    <definedName localSheetId="11" name="Aluminium">#REF!</definedName>
    <definedName localSheetId="27" name="vernis">#REF!</definedName>
    <definedName localSheetId="10" name="URAIAN745">#REF!</definedName>
    <definedName localSheetId="3" name="FORM7613b">#REF!</definedName>
    <definedName localSheetId="0" name="MAI">#REF!</definedName>
    <definedName localSheetId="30" name="bjls25">#REF!</definedName>
    <definedName localSheetId="41" name="Pc.50">#REF!</definedName>
    <definedName localSheetId="4" name="URAIANLatasirKL">#REF!</definedName>
    <definedName localSheetId="41" name="kenek">#REF!</definedName>
    <definedName localSheetId="27" name="________DIV2">#REF!</definedName>
    <definedName localSheetId="5" name="lem">#REF!</definedName>
    <definedName localSheetId="39" name="BAHU">#REF!</definedName>
    <definedName localSheetId="0" name="vernis">#REF!</definedName>
    <definedName localSheetId="23" name="________MMM02">#REF!</definedName>
    <definedName localSheetId="30" name="Papanbouplank">#REF!</definedName>
    <definedName localSheetId="32" name="Meni">#REF!</definedName>
    <definedName localSheetId="38" name="______DIV1">#REF!</definedName>
    <definedName localSheetId="11" name="FORM771a">#REF!</definedName>
    <definedName localSheetId="44" name="____MMM38">#REF!</definedName>
    <definedName localSheetId="8" name="__DIV2">#REF!</definedName>
    <definedName localSheetId="4" name="URAIAN7613c">#REF!</definedName>
    <definedName localSheetId="41" name="R4..">#REF!</definedName>
    <definedName localSheetId="38" name="BM">#REF!</definedName>
    <definedName localSheetId="17" name="_____DIV6">#REF!</definedName>
    <definedName localSheetId="27" name="Uraian842">#REF!</definedName>
    <definedName localSheetId="21" name="Psr.psg">#REF!</definedName>
    <definedName name="keramik20">#REF!</definedName>
    <definedName localSheetId="21" name="papanbekisting">#REF!</definedName>
    <definedName localSheetId="21" name="R33..">#REF!</definedName>
    <definedName localSheetId="20" name="plintkeramikartistik1010">#REF!</definedName>
    <definedName localSheetId="19" name="kacapolos3mm">#REF!</definedName>
    <definedName localSheetId="38" name="Analisa512">#REF!</definedName>
    <definedName localSheetId="36" name="bakcuciteraso">#REF!</definedName>
    <definedName localSheetId="6" name="URAIAN66PERATA">#REF!</definedName>
    <definedName localSheetId="32" name="batuteraso">#REF!</definedName>
    <definedName localSheetId="44" name="_______HAL5">#REF!</definedName>
    <definedName localSheetId="7" name="Jendelabesibaja">#REF!</definedName>
    <definedName localSheetId="20" name="urugankembali">#REF!</definedName>
    <definedName localSheetId="10" name="profilalumuniumT">#REF!</definedName>
    <definedName localSheetId="6" name="kunci2slag">#REF!</definedName>
    <definedName localSheetId="23" name="FORM841">#REF!</definedName>
    <definedName localSheetId="28" name="seng30">#REF!</definedName>
    <definedName localSheetId="19" name="_MMM03">#REF!</definedName>
    <definedName localSheetId="5" name="NAMA2">#REF!</definedName>
    <definedName localSheetId="6" name="catpenutup2kali">#REF!</definedName>
    <definedName localSheetId="24" name="___LLL04">#REF!</definedName>
    <definedName localSheetId="44" name="Faktorial">#REF!</definedName>
    <definedName localSheetId="0" name="kuncitanam">#REF!</definedName>
    <definedName localSheetId="15" name="asbesgelombnang">#REF!</definedName>
    <definedName localSheetId="39" name="batukali14">#REF!</definedName>
    <definedName localSheetId="38" name="alangalang">#REF!</definedName>
    <definedName localSheetId="15" name="pakugypsum">#REF!</definedName>
    <definedName localSheetId="7" name="_________MMM37">#REF!</definedName>
    <definedName localSheetId="13" name="Analisa511">#REF!</definedName>
    <definedName localSheetId="6" name="a">#REF!</definedName>
    <definedName localSheetId="18" name="des">#REF!</definedName>
    <definedName localSheetId="41" name="plintubinwarna1020">#REF!</definedName>
    <definedName localSheetId="5" name="FORM631">#REF!</definedName>
    <definedName localSheetId="6" name="bjls25">#REF!</definedName>
    <definedName localSheetId="24" name="__MMM14">#REF!</definedName>
    <definedName localSheetId="11" name="__pvc05">#REF!</definedName>
    <definedName localSheetId="11" name="bakcuciteraso">#REF!</definedName>
    <definedName localSheetId="25" name="ubinkeramikartistik1020">#REF!</definedName>
    <definedName localSheetId="19" name="HP">#REF!</definedName>
    <definedName localSheetId="13" name="FORM7612b">#REF!</definedName>
    <definedName localSheetId="31" name="____HAL1">#REF!</definedName>
    <definedName localSheetId="15" name="Ktbt">#REF!</definedName>
    <definedName localSheetId="21" name="_______LLL05">#REF!</definedName>
    <definedName localSheetId="41" name="k.40.40.roman.crk">#REF!</definedName>
    <definedName localSheetId="42" name="grendeltanam">#REF!</definedName>
    <definedName localSheetId="23" name="__DIV10">#REF!</definedName>
    <definedName localSheetId="33" name="______HAL2">#REF!</definedName>
    <definedName localSheetId="6" name="closedjongkok">#REF!</definedName>
    <definedName localSheetId="23" name="_______DIV4">#REF!</definedName>
    <definedName localSheetId="23" name="R10..">#REF!</definedName>
    <definedName localSheetId="7" name="_________MMM44">#REF!</definedName>
    <definedName localSheetId="42" name="FRRDS">#REF!</definedName>
    <definedName localSheetId="9" name="________DIV1">#REF!</definedName>
    <definedName localSheetId="21" name="URAIAN7614a">#REF!</definedName>
    <definedName localSheetId="17" name="URAIAN65">#REF!</definedName>
    <definedName localSheetId="17" name="kuncisilinder">#REF!</definedName>
    <definedName localSheetId="31" name="feltexkarpetwool">#REF!</definedName>
    <definedName localSheetId="12" name="grassblok">#REF!</definedName>
    <definedName localSheetId="5" name="tanahliat">#REF!</definedName>
    <definedName localSheetId="20" name="R31..">#REF!</definedName>
    <definedName localSheetId="42" name="pintulipat">#REF!</definedName>
    <definedName localSheetId="32" name="_LLL02">#REF!</definedName>
    <definedName localSheetId="30" name="_______DIV4">#REF!</definedName>
    <definedName localSheetId="23" name="BPS">#REF!</definedName>
    <definedName localSheetId="33" name="URAIAN7613c">#REF!</definedName>
    <definedName localSheetId="21" name="ls">#REF!</definedName>
    <definedName localSheetId="24" name="t.sabun">#REF!</definedName>
    <definedName localSheetId="23" name="kayutembesu">#REF!</definedName>
    <definedName localSheetId="7" name="_______MMM49">#REF!</definedName>
    <definedName localSheetId="27" name="doorstop">#REF!</definedName>
    <definedName localSheetId="30" name="ubinteraso40">#REF!</definedName>
    <definedName localSheetId="3" name="___MMM33">#REF!</definedName>
    <definedName localSheetId="13" name="___pvc105">#REF!</definedName>
    <definedName localSheetId="28" name="ubinkeramik1020">#REF!</definedName>
    <definedName localSheetId="12" name="________DIV3">#REF!</definedName>
    <definedName localSheetId="12" name="pintugulungbesi">#REF!</definedName>
    <definedName localSheetId="6" name="_______DIV10">#REF!</definedName>
    <definedName localSheetId="25" name="kran.bbk">#REF!</definedName>
    <definedName localSheetId="12" name="tegelpc20x20">#REF!</definedName>
    <definedName localSheetId="19" name="_________DIV10">#REF!</definedName>
    <definedName localSheetId="36" name="papanII">#REF!</definedName>
    <definedName localSheetId="21" name="y">#REF!</definedName>
    <definedName localSheetId="7" name="teakwood9mm">#REF!</definedName>
    <definedName localSheetId="9" name="batuporos">#REF!</definedName>
    <definedName localSheetId="9" name="AGREGAT">#REF!</definedName>
    <definedName localSheetId="27" name="ktbs">#REF!</definedName>
    <definedName localSheetId="32" name="bak">#REF!</definedName>
    <definedName localSheetId="7" name="_______MMM20">#REF!</definedName>
    <definedName localSheetId="19" name="FORM731">#REF!</definedName>
    <definedName localSheetId="41" name="pengencer">#REF!</definedName>
    <definedName localSheetId="9" name="cv">#REF!</definedName>
    <definedName localSheetId="28" name="FORM79manual">#REF!</definedName>
    <definedName localSheetId="23" name="akustikarmstrong">#REF!</definedName>
    <definedName localSheetId="17" name="_MMM14">#REF!</definedName>
    <definedName localSheetId="27" name="________DIV1">#REF!</definedName>
    <definedName localSheetId="3" name="URAIAN79manual">#REF!</definedName>
    <definedName localSheetId="34" name="_____HAL1">#REF!</definedName>
    <definedName localSheetId="24" name="________MMM41">#REF!</definedName>
    <definedName localSheetId="36" name="KUANTITAS">#REF!</definedName>
    <definedName localSheetId="0" name="oemar">#REF!</definedName>
    <definedName localSheetId="40" name="venetionblinds">#REF!</definedName>
    <definedName localSheetId="9" name="Akustik">#REF!</definedName>
    <definedName localSheetId="38" name="relpintudorong">#REF!</definedName>
    <definedName localSheetId="24" name="Analisa8405">#REF!</definedName>
    <definedName localSheetId="31" name="beton225r">#REF!</definedName>
    <definedName localSheetId="18" name="_pvc205">#REF!</definedName>
    <definedName localSheetId="13" name="rubbercorrugate">#REF!</definedName>
    <definedName localSheetId="23" name="_____DIV3">#REF!</definedName>
    <definedName name="bubungangentengmetal">#REF!</definedName>
    <definedName localSheetId="39" name="___DIV2">#REF!</definedName>
    <definedName localSheetId="19" name="jamtandem">#REF!</definedName>
    <definedName localSheetId="21" name="______MMM35">#REF!</definedName>
    <definedName localSheetId="3" name="JA">#REF!</definedName>
    <definedName localSheetId="3" name="c.maxi">#REF!</definedName>
    <definedName localSheetId="21" name="FORM7613c">#REF!</definedName>
    <definedName localSheetId="20" name="list">#REF!</definedName>
    <definedName localSheetId="7" name="R60..">#REF!</definedName>
    <definedName localSheetId="44" name="R92..">#REF!</definedName>
    <definedName localSheetId="32" name="beton.225m">#REF!</definedName>
    <definedName localSheetId="44" name="begisting">#REF!</definedName>
    <definedName localSheetId="31" name="c.mowi.luar">#REF!</definedName>
    <definedName localSheetId="44" name="pipagalvanis">#REF!</definedName>
    <definedName localSheetId="9" name="UPAH">#REF!</definedName>
    <definedName localSheetId="13" name="hakangin">#REF!</definedName>
    <definedName localSheetId="27" name="pajak">#REF!</definedName>
    <definedName localSheetId="7" name="_pvc2">#REF!</definedName>
    <definedName localSheetId="7" name="____DIV6">#REF!</definedName>
    <definedName localSheetId="27" name="nmdaerah">#REF!</definedName>
    <definedName localSheetId="34" name="kunciselot">#REF!</definedName>
    <definedName localSheetId="17" name="oke">#REF!</definedName>
    <definedName localSheetId="20" name="MINOR">#REF!</definedName>
    <definedName localSheetId="23" name="paving">#REF!</definedName>
    <definedName localSheetId="31" name="Closet.c420">#REF!</definedName>
    <definedName localSheetId="44" name="_________MMM51">#REF!</definedName>
    <definedName localSheetId="23" name="__LLL03">#REF!</definedName>
    <definedName localSheetId="7" name="pp">#REF!</definedName>
    <definedName localSheetId="9" name="tbkr">#REF!</definedName>
    <definedName localSheetId="40" name="R10..">#REF!</definedName>
    <definedName localSheetId="42" name="_______MMM02">#REF!</definedName>
    <definedName localSheetId="7" name="___MMM03">#REF!</definedName>
    <definedName localSheetId="13" name="pasirsilika">#REF!</definedName>
    <definedName localSheetId="21" name="_______MMM44">#REF!</definedName>
    <definedName localSheetId="3" name="Analisa71202">#REF!</definedName>
    <definedName localSheetId="40" name="ppn2.30">#REF!</definedName>
    <definedName localSheetId="17" name="_pvc105">#REF!</definedName>
    <definedName localSheetId="44" name="R50..">#REF!</definedName>
    <definedName localSheetId="18" name="teakwood4mm">#REF!</definedName>
    <definedName localSheetId="24" name="des">#REF!</definedName>
    <definedName localSheetId="21" name="pipagalvanis">#REF!</definedName>
    <definedName localSheetId="8" name="teakwood9mm">#REF!</definedName>
    <definedName localSheetId="24" name="___MMM49">#REF!</definedName>
    <definedName localSheetId="34" name="R30..">#REF!</definedName>
    <definedName name="tegelporselen20x20warna">#REF!</definedName>
    <definedName localSheetId="3" name="_________MMM05">#REF!</definedName>
    <definedName localSheetId="32" name="FORM633">#REF!</definedName>
    <definedName localSheetId="6" name="Grendel">#REF!</definedName>
    <definedName localSheetId="24" name="asbesgelombnang">#REF!</definedName>
    <definedName localSheetId="5" name="kacawireglass5">#REF!</definedName>
    <definedName localSheetId="32" name="kayudamarlaut">#REF!</definedName>
    <definedName localSheetId="0" name="ktbs">#REF!</definedName>
    <definedName localSheetId="17" name="Analisa631">#REF!</definedName>
    <definedName localSheetId="44" name="URAIAN914">#REF!</definedName>
    <definedName localSheetId="17" name="papanjelutung">#REF!</definedName>
    <definedName localSheetId="40" name="roster">#REF!</definedName>
    <definedName localSheetId="23" name="tanahliat">#REF!</definedName>
    <definedName localSheetId="32" name="kayutembesu">#REF!</definedName>
    <definedName localSheetId="24" name="___HAL1">#REF!</definedName>
    <definedName localSheetId="21" name="leni">#REF!</definedName>
    <definedName localSheetId="32" name="pasirsilika">#REF!</definedName>
    <definedName localSheetId="6" name="catantara">#REF!</definedName>
    <definedName localSheetId="15" name="_______HAL2">#REF!</definedName>
    <definedName localSheetId="24" name="R99..">#REF!</definedName>
    <definedName localSheetId="4" name="sealent">#REF!</definedName>
    <definedName localSheetId="10" name="sabun">#REF!</definedName>
    <definedName localSheetId="8" name="medan5.7">#REF!</definedName>
    <definedName localSheetId="17" name="amobiotic">#REF!</definedName>
    <definedName localSheetId="6" name="spirtus">#REF!</definedName>
    <definedName localSheetId="34" name="bilikbambu">#REF!</definedName>
    <definedName localSheetId="13" name="FORM842">#REF!</definedName>
    <definedName localSheetId="12" name="_______DIV1">#REF!</definedName>
    <definedName localSheetId="0" name="roster">#REF!</definedName>
    <definedName localSheetId="7" name="pvc2d">#REF!</definedName>
    <definedName name="Analisa634">#REF!</definedName>
    <definedName localSheetId="39" name="jurnal1">#REF!</definedName>
    <definedName localSheetId="42" name="spirtus">#REF!</definedName>
    <definedName localSheetId="24" name="engselpintu">#REF!</definedName>
    <definedName localSheetId="4" name="UPAH">#REF!</definedName>
    <definedName localSheetId="42" name="Z">#REF!</definedName>
    <definedName name="_____LLL06">#REF!</definedName>
    <definedName localSheetId="40" name="papanbekisting">#REF!</definedName>
    <definedName localSheetId="25" name="engselangin">#REF!</definedName>
    <definedName localSheetId="28" name="Minyak">#REF!</definedName>
    <definedName localSheetId="44" name="plintubinwarna1040">#REF!</definedName>
    <definedName name="kenek">#REF!</definedName>
    <definedName localSheetId="7" name="R37..">#REF!</definedName>
    <definedName localSheetId="39" name="papanjelutung">#REF!</definedName>
    <definedName localSheetId="0" name="urugankembali">#REF!</definedName>
    <definedName localSheetId="15" name="total">#REF!</definedName>
    <definedName localSheetId="28" name="kuncilemari">#REF!</definedName>
    <definedName localSheetId="36" name="besijaringkawatbaja">#REF!</definedName>
    <definedName localSheetId="44" name="tanahliat">#REF!</definedName>
    <definedName localSheetId="28" name="kaca8">#REF!</definedName>
    <definedName localSheetId="33" name="dasar">#REF!</definedName>
    <definedName localSheetId="18" name="RoolingdoorAlumunium">#REF!</definedName>
    <definedName localSheetId="30" name="R21..">#REF!</definedName>
    <definedName localSheetId="5" name="kuncilemari">#REF!</definedName>
    <definedName localSheetId="5" name="URAIAN632">#REF!</definedName>
    <definedName localSheetId="42" name="___MMM01">#REF!</definedName>
    <definedName localSheetId="0" name="Kunci2">#REF!</definedName>
    <definedName localSheetId="3" name="badkip">#REF!</definedName>
    <definedName localSheetId="23" name="besi13u">#REF!</definedName>
    <definedName localSheetId="8" name="hcs">#REF!</definedName>
    <definedName localSheetId="44" name="_______HAL7">#REF!</definedName>
    <definedName localSheetId="17" name="plintkeramikartistik1010">#REF!</definedName>
    <definedName localSheetId="3" name="engsel4">#REF!</definedName>
    <definedName localSheetId="24" name="Lamp">#REF!</definedName>
    <definedName localSheetId="39" name="f">#REF!</definedName>
    <definedName localSheetId="10" name="c.mowi.dlm">#REF!</definedName>
    <definedName localSheetId="6" name="u">#REF!</definedName>
    <definedName name="bak">#REF!</definedName>
    <definedName localSheetId="44" name="meni.kayu">#REF!</definedName>
    <definedName localSheetId="17" name="seng30">#REF!</definedName>
    <definedName localSheetId="28" name="pakusumbat">#REF!</definedName>
    <definedName localSheetId="20" name="BAHU">#REF!</definedName>
    <definedName localSheetId="40" name="plintubinteraluxkerang1060">#REF!</definedName>
    <definedName localSheetId="32" name="Analisa511">#REF!</definedName>
    <definedName localSheetId="41" name="URAIAN633">#REF!</definedName>
    <definedName localSheetId="30" name="Analisa512">#REF!</definedName>
    <definedName localSheetId="33" name="bubunganasbesnok">#REF!</definedName>
    <definedName localSheetId="19" name="_pvc205">#REF!</definedName>
    <definedName localSheetId="4" name="_____MMM02">#REF!</definedName>
    <definedName localSheetId="3" name="_____MMM29">#REF!</definedName>
    <definedName localSheetId="33" name="_______HAL3">#REF!</definedName>
    <definedName localSheetId="36" name="u.bekisting">#REF!</definedName>
    <definedName localSheetId="33" name="_________HAL2">#REF!</definedName>
    <definedName localSheetId="7" name="_______HAL7">#REF!</definedName>
    <definedName localSheetId="21" name="__DIV2">#REF!</definedName>
    <definedName localSheetId="44" name="atapaluminiumgelombang055">#REF!</definedName>
    <definedName localSheetId="40" name="FORM66PERATA">#REF!</definedName>
    <definedName localSheetId="20" name="pa">#REF!</definedName>
    <definedName localSheetId="17" name="FORMLatasirK">#REF!</definedName>
    <definedName localSheetId="27" name="lb">#REF!</definedName>
    <definedName localSheetId="17" name="medan8.15">#REF!</definedName>
    <definedName localSheetId="33" name="Excel_BuiltIn_Print_Titles_10">#REF!</definedName>
    <definedName name="________MMM09">#REF!</definedName>
    <definedName localSheetId="44" name="platasbes35mm">#REF!</definedName>
    <definedName localSheetId="7" name="bubungangentengmonier">#REF!</definedName>
    <definedName localSheetId="11" name="_______MMM03">#REF!</definedName>
    <definedName localSheetId="21" name="Print_title">#REF!</definedName>
    <definedName localSheetId="31" name="Overhead">#REF!</definedName>
    <definedName localSheetId="3" name="kusen">#REF!</definedName>
    <definedName localSheetId="44" name="_LLL06">#REF!</definedName>
    <definedName localSheetId="15" name="kayutembesu">#REF!</definedName>
    <definedName localSheetId="24" name="plastikaerator">#REF!</definedName>
    <definedName localSheetId="30" name="___DIV1">#REF!</definedName>
    <definedName localSheetId="20" name="tukng">#REF!</definedName>
    <definedName localSheetId="39" name="wallpaper">#REF!</definedName>
    <definedName localSheetId="19" name="dasar">#REF!</definedName>
    <definedName localSheetId="7" name="platasbes6mm">#REF!</definedName>
    <definedName localSheetId="44" name="rapidrant">#REF!</definedName>
    <definedName localSheetId="17" name="FORM7613c">#REF!</definedName>
    <definedName localSheetId="17" name="NAMA3">#REF!</definedName>
    <definedName localSheetId="40" name="papanII">#REF!</definedName>
    <definedName localSheetId="24" name="___MMM48">#REF!</definedName>
    <definedName localSheetId="13" name="Ktbt">#REF!</definedName>
    <definedName localSheetId="11" name="ttnh">#REF!</definedName>
    <definedName localSheetId="7" name="ss">#REF!</definedName>
    <definedName localSheetId="21" name="________LLL03">#REF!</definedName>
    <definedName localSheetId="11" name="waterstop200">#REF!</definedName>
    <definedName name="FORM917">#REF!</definedName>
    <definedName localSheetId="25" name="_pvc105">#REF!</definedName>
    <definedName localSheetId="3" name="_____MMM41">#REF!</definedName>
    <definedName localSheetId="28" name="URAIAN79manual">#REF!</definedName>
    <definedName localSheetId="33" name="___DIV3">#REF!</definedName>
    <definedName localSheetId="17" name="___MMM09">#REF!</definedName>
    <definedName localSheetId="17" name="_HAL4">#REF!</definedName>
    <definedName localSheetId="20" name="plastik">#REF!</definedName>
    <definedName localSheetId="7" name="PT">#REF!</definedName>
    <definedName localSheetId="27" name="plywood4">#REF!</definedName>
    <definedName localSheetId="39" name="URAIAN79manual">#REF!</definedName>
    <definedName localSheetId="13" name="closedjongkok">#REF!</definedName>
    <definedName localSheetId="27" name="kenek">#REF!</definedName>
    <definedName localSheetId="17" name="___MMM13">#REF!</definedName>
    <definedName localSheetId="19" name="TANAH">#REF!</definedName>
    <definedName localSheetId="17" name="________MMM22">#REF!</definedName>
    <definedName localSheetId="44" name="R70..">#REF!</definedName>
    <definedName localSheetId="27" name="batacote">#REF!</definedName>
    <definedName localSheetId="10" name="papanII">#REF!</definedName>
    <definedName localSheetId="41" name="_________DIV1">#REF!</definedName>
    <definedName localSheetId="3" name="k.lnt.rmn.20.20.crk">#REF!</definedName>
    <definedName name="_______LLL08">#REF!</definedName>
    <definedName localSheetId="11" name="doorstop">#REF!</definedName>
    <definedName localSheetId="12" name="teakwood6mm">#REF!</definedName>
    <definedName localSheetId="30" name="__DIV1">#REF!</definedName>
    <definedName localSheetId="23" name="FORM7610">#REF!</definedName>
    <definedName localSheetId="13" name="kayukudakuda">#REF!</definedName>
    <definedName localSheetId="10" name="bubungangentengkodok">#REF!</definedName>
    <definedName localSheetId="15" name="Analisa511">#REF!</definedName>
    <definedName localSheetId="31" name="_DIV10">#REF!</definedName>
    <definedName localSheetId="3" name="_LLL01">#REF!</definedName>
    <definedName localSheetId="10" name="lem">#REF!</definedName>
    <definedName localSheetId="10" name="FORM842">#REF!</definedName>
    <definedName localSheetId="3" name="________MMM411">#REF!</definedName>
    <definedName localSheetId="9" name="amobiotic">#REF!</definedName>
    <definedName localSheetId="12" name="Z">#REF!</definedName>
    <definedName localSheetId="24" name="______LLL06">#REF!</definedName>
    <definedName localSheetId="17" name="KUANTITAS">#REF!</definedName>
    <definedName localSheetId="34" name="_____HAL3">#REF!</definedName>
    <definedName localSheetId="11" name="_________HAL1">#REF!</definedName>
    <definedName localSheetId="11" name="semen50">#REF!</definedName>
    <definedName localSheetId="44" name="_________MMM21">#REF!</definedName>
    <definedName localSheetId="31" name="kategori">#REF!</definedName>
    <definedName localSheetId="17" name="Z">#REF!</definedName>
    <definedName localSheetId="11" name="sssssss">#REF!</definedName>
    <definedName name="____DIV2">#REF!</definedName>
    <definedName localSheetId="15" name="BM">#REF!</definedName>
    <definedName localSheetId="36" name="k.ddg.rmn.20.25.pls">#REF!</definedName>
    <definedName localSheetId="7" name="_________MMM07">#REF!</definedName>
    <definedName localSheetId="17" name="jj">#REF!</definedName>
    <definedName localSheetId="15" name="roll">#REF!</definedName>
    <definedName localSheetId="3" name="_______MMM411">#REF!</definedName>
    <definedName localSheetId="21" name="_______MMM34">#REF!</definedName>
    <definedName localSheetId="17" name="FORM633">#REF!</definedName>
    <definedName localSheetId="13" name="batamerah">#REF!</definedName>
    <definedName localSheetId="7" name="GRC">#REF!</definedName>
    <definedName localSheetId="17" name="Analisa71202">#REF!</definedName>
    <definedName localSheetId="3" name="______MMM38">#REF!</definedName>
    <definedName localSheetId="15" name="s.tukang">#REF!</definedName>
    <definedName name="pakusirap">#REF!</definedName>
    <definedName localSheetId="41" name="sengbjls25">#REF!</definedName>
    <definedName localSheetId="36" name="R10..">#REF!</definedName>
    <definedName localSheetId="20" name="grassblok">#REF!</definedName>
    <definedName localSheetId="0" name="__DIV10">#REF!</definedName>
    <definedName localSheetId="44" name="_______MMM13">#REF!</definedName>
    <definedName localSheetId="17" name="URAIAN635">#REF!</definedName>
    <definedName localSheetId="7" name="medan5.7">#REF!</definedName>
    <definedName localSheetId="9" name="Tbs">#REF!</definedName>
    <definedName localSheetId="7" name="_____MMM50">#REF!</definedName>
    <definedName localSheetId="21" name="________MMM33">#REF!</definedName>
    <definedName localSheetId="3" name="__MMM30">#REF!</definedName>
    <definedName localSheetId="40" name="kaca12">#REF!</definedName>
    <definedName name="______MMM26">#REF!</definedName>
    <definedName name="_____MMM41">#REF!</definedName>
    <definedName localSheetId="20" name="akustikarmstrong">#REF!</definedName>
    <definedName localSheetId="32" name="platasbes35mm">#REF!</definedName>
    <definedName localSheetId="19" name="kompresor">#REF!</definedName>
    <definedName localSheetId="17" name="papanII">#REF!</definedName>
    <definedName localSheetId="4" name="URAIAN771b">#REF!</definedName>
    <definedName localSheetId="7" name="wwww">#REF!</definedName>
    <definedName localSheetId="24" name="____LLL01">#REF!</definedName>
    <definedName localSheetId="17" name="lem">#REF!</definedName>
    <definedName localSheetId="7" name="URAIAN771b">#REF!</definedName>
    <definedName localSheetId="39" name="FORM744">#REF!</definedName>
    <definedName localSheetId="7" name="nokstelrata105">#REF!</definedName>
    <definedName localSheetId="44" name="gentengmetal">#REF!</definedName>
    <definedName name="tl2x40">#REF!</definedName>
    <definedName localSheetId="4" name="lemvinyl">#REF!</definedName>
    <definedName localSheetId="42" name="_tl2">#REF!</definedName>
    <definedName localSheetId="3" name="____MMM20">#REF!</definedName>
    <definedName localSheetId="25" name="__LLL01">#REF!</definedName>
    <definedName name="_______HAL8">#REF!</definedName>
    <definedName localSheetId="34" name="bak">#REF!</definedName>
    <definedName localSheetId="25" name="_______MMM01">#REF!</definedName>
    <definedName localSheetId="42" name="ubinwarna20">#REF!</definedName>
    <definedName localSheetId="11" name="Kunci1">#REF!</definedName>
    <definedName localSheetId="13" name="batugranito">#REF!</definedName>
    <definedName localSheetId="38" name="___DIV1">#REF!</definedName>
    <definedName localSheetId="0" name="Uraian8410">#REF!</definedName>
    <definedName localSheetId="24" name="________LLL08">#REF!</definedName>
    <definedName localSheetId="27" name="URAIAN21">#REF!</definedName>
    <definedName localSheetId="19" name="kuncilemari">#REF!</definedName>
    <definedName localSheetId="36" name="Kekurangan">#REF!</definedName>
    <definedName localSheetId="9" name="_DIV2">#REF!</definedName>
    <definedName localSheetId="3" name="got">#REF!</definedName>
    <definedName localSheetId="38" name="FORM8410">#REF!</definedName>
    <definedName localSheetId="40" name="zzz">#REF!</definedName>
    <definedName localSheetId="23" name="t.sabun">#REF!</definedName>
    <definedName localSheetId="12" name="jendelanako">#REF!</definedName>
    <definedName localSheetId="13" name="GRC">#REF!</definedName>
    <definedName localSheetId="7" name="ubinkeramik1520">#REF!</definedName>
    <definedName localSheetId="4" name="amplas">#REF!</definedName>
    <definedName localSheetId="8" name="______HAL3">#REF!</definedName>
    <definedName localSheetId="36" name="metal">#REF!</definedName>
    <definedName localSheetId="17" name="vinylkaretklII">#REF!</definedName>
    <definedName localSheetId="41" name="_kop6">#REF!</definedName>
    <definedName localSheetId="17" name="Absen">#REF!</definedName>
    <definedName localSheetId="38" name="Papanbouplank">#REF!</definedName>
    <definedName localSheetId="20" name="_MMM01">#REF!</definedName>
    <definedName localSheetId="13" name="aaaa">#REF!</definedName>
    <definedName localSheetId="5" name="pasirsilika">#REF!</definedName>
    <definedName localSheetId="7" name="pintubesibaja">#REF!</definedName>
    <definedName localSheetId="40" name="UTAIAN7614c">#REF!</definedName>
    <definedName localSheetId="40" name="k.40.40.roman.crk">#REF!</definedName>
    <definedName localSheetId="19" name="plamour">#REF!</definedName>
    <definedName localSheetId="24" name="Minyak">#REF!</definedName>
    <definedName localSheetId="21" name="____MMM09">#REF!</definedName>
    <definedName localSheetId="38" name="Print_title">#REF!</definedName>
    <definedName localSheetId="28" name="_818PK">#REF!</definedName>
    <definedName localSheetId="9" name="kawatsengpolos">#REF!</definedName>
    <definedName localSheetId="41" name="c.maxi">#REF!</definedName>
    <definedName localSheetId="8" name="AAAAAAA">#REF!</definedName>
    <definedName localSheetId="0" name="__MMM01">#REF!</definedName>
    <definedName localSheetId="44" name="R78..">#REF!</definedName>
    <definedName localSheetId="11" name="sengplatbjls28">#REF!</definedName>
    <definedName localSheetId="19" name="kunciselot">#REF!</definedName>
    <definedName localSheetId="36" name="e">#REF!</definedName>
    <definedName localSheetId="31" name="sirlak">#REF!</definedName>
    <definedName localSheetId="42" name="aaaaa">#REF!</definedName>
    <definedName localSheetId="25" name="_______DIV3">#REF!</definedName>
    <definedName localSheetId="41" name="_pvc205">#REF!</definedName>
    <definedName localSheetId="8" name="papan.m.3.20">#REF!</definedName>
    <definedName localSheetId="25" name="lp">#REF!</definedName>
    <definedName localSheetId="13" name="plamur.matex">#REF!</definedName>
    <definedName localSheetId="8" name="ubingranito30">#REF!</definedName>
    <definedName localSheetId="3" name="_____MMM24">#REF!</definedName>
    <definedName localSheetId="44" name="AAAAAAA">#REF!</definedName>
    <definedName localSheetId="40" name="plintkeramikartistik1020">#REF!</definedName>
    <definedName localSheetId="17" name="___pc50">#REF!</definedName>
    <definedName localSheetId="21" name="URAIAN771a">#REF!</definedName>
    <definedName localSheetId="7" name="________MMM05">#REF!</definedName>
    <definedName localSheetId="42" name="bilikbambu">#REF!</definedName>
    <definedName localSheetId="17" name="_HAL7">#REF!</definedName>
    <definedName localSheetId="3" name="R101..">#REF!</definedName>
    <definedName localSheetId="36" name="FORM7610">#REF!</definedName>
    <definedName localSheetId="33" name="bak">#REF!</definedName>
    <definedName localSheetId="11" name="R20..">#REF!</definedName>
    <definedName localSheetId="25" name="_____HAL1">#REF!</definedName>
    <definedName localSheetId="15" name="FORM7614a">#REF!</definedName>
    <definedName localSheetId="18" name="__pvc105">#REF!</definedName>
    <definedName localSheetId="27" name="_DIV4">#REF!</definedName>
    <definedName localSheetId="20" name="_KOP7">#REF!</definedName>
    <definedName localSheetId="4" name="____DIV10">#REF!</definedName>
    <definedName localSheetId="27" name="_pvc2">#REF!</definedName>
    <definedName localSheetId="40" name="kapursirih">#REF!</definedName>
    <definedName localSheetId="7" name="R9..">#REF!</definedName>
    <definedName localSheetId="42" name="Kunci1">#REF!</definedName>
    <definedName localSheetId="42" name="pintugulungbesi">#REF!</definedName>
    <definedName localSheetId="39" name="bubungangentengkodok">#REF!</definedName>
    <definedName localSheetId="3" name="u.bekisting">#REF!</definedName>
    <definedName localSheetId="44" name="_____MMM41">#REF!</definedName>
    <definedName localSheetId="3" name="_______MMM25">#REF!</definedName>
    <definedName localSheetId="39" name="perancahkayu">#REF!</definedName>
    <definedName localSheetId="15" name="u">#REF!</definedName>
    <definedName localSheetId="13" name="pasirbeton">#REF!</definedName>
    <definedName localSheetId="42" name="kaca12">#REF!</definedName>
    <definedName localSheetId="23" name="menibesi">#REF!</definedName>
    <definedName localSheetId="18" name="tp80x80">#REF!</definedName>
    <definedName localSheetId="9" name="URAIAN612">#REF!</definedName>
    <definedName name="multi.18">#REF!</definedName>
    <definedName localSheetId="32" name="nnnnn">#REF!</definedName>
    <definedName localSheetId="33" name="engsel3">#REF!</definedName>
    <definedName localSheetId="18" name="aaaaa">#REF!</definedName>
    <definedName localSheetId="25" name="___HAL2">#REF!</definedName>
    <definedName localSheetId="4" name="plintubinwarna1020">#REF!</definedName>
    <definedName localSheetId="3" name="Uraian841">#REF!</definedName>
    <definedName localSheetId="28" name="sengplatbjls24">#REF!</definedName>
    <definedName localSheetId="41" name="sirap">#REF!</definedName>
    <definedName localSheetId="34" name="w">#REF!</definedName>
    <definedName localSheetId="36" name="URAIAN631">#REF!</definedName>
    <definedName localSheetId="7" name="URAIAN99">#REF!</definedName>
    <definedName localSheetId="3" name="____LLL09">#REF!</definedName>
    <definedName localSheetId="42" name="sirlak">#REF!</definedName>
    <definedName localSheetId="0" name="s.warna">#REF!</definedName>
    <definedName localSheetId="34" name="dasar">#REF!</definedName>
    <definedName localSheetId="7" name="R56..">#REF!</definedName>
    <definedName localSheetId="11" name="tky">#REF!</definedName>
    <definedName localSheetId="21" name="BM">#REF!</definedName>
    <definedName localSheetId="6" name="Minyak">#REF!</definedName>
    <definedName localSheetId="32" name="plastikaerator">#REF!</definedName>
    <definedName localSheetId="5" name="________DIV1">#REF!</definedName>
    <definedName localSheetId="3" name="URAIAN623">#REF!</definedName>
    <definedName localSheetId="34" name="pagarseng2m">#REF!</definedName>
    <definedName localSheetId="0" name="ubinkeramik1020">#REF!</definedName>
    <definedName localSheetId="33" name="plywood4mm">#REF!</definedName>
    <definedName localSheetId="6" name="Uraian8410">#REF!</definedName>
    <definedName localSheetId="36" name="grassblok">#REF!</definedName>
    <definedName localSheetId="25" name="rollingdoor">#REF!</definedName>
    <definedName localSheetId="3" name="q">#REF!</definedName>
    <definedName localSheetId="44" name="engsel3">#REF!</definedName>
    <definedName localSheetId="41" name="FORM771c">#REF!</definedName>
    <definedName localSheetId="23" name="urugantanah">#REF!</definedName>
    <definedName localSheetId="9" name="na">#REF!</definedName>
    <definedName localSheetId="32" name="k.beton">#REF!</definedName>
    <definedName localSheetId="27" name="ubinwarna30">#REF!</definedName>
    <definedName localSheetId="41" name="tm_2415921492">#REF!</definedName>
    <definedName localSheetId="44" name="_____DIV6">#REF!</definedName>
    <definedName localSheetId="38" name="TANAH">#REF!</definedName>
    <definedName localSheetId="33" name="ls">#REF!</definedName>
    <definedName localSheetId="20" name="gentengaspal">#REF!</definedName>
    <definedName localSheetId="40" name="air">#REF!</definedName>
    <definedName localSheetId="36" name="BAJA">#REF!</definedName>
    <definedName localSheetId="24" name="______MMM12">#REF!</definedName>
    <definedName localSheetId="7" name="___MMM47">#REF!</definedName>
    <definedName localSheetId="13" name="_HAL5">#REF!</definedName>
    <definedName name="bondbeam">#REF!</definedName>
    <definedName localSheetId="3" name="FORM8410">#REF!</definedName>
    <definedName localSheetId="21" name="______MMM04">#REF!</definedName>
    <definedName localSheetId="44" name="_____LLL02">#REF!</definedName>
    <definedName localSheetId="21" name="R100..">#REF!</definedName>
    <definedName localSheetId="8" name="URAIAN7614d">#REF!</definedName>
    <definedName localSheetId="7" name="MOBILISASI">#REF!</definedName>
    <definedName localSheetId="12" name="urugankembali">#REF!</definedName>
    <definedName localSheetId="8" name="split2.3">#REF!</definedName>
    <definedName localSheetId="36" name="w">#REF!</definedName>
    <definedName localSheetId="3" name="R87..">#REF!</definedName>
    <definedName localSheetId="3" name="_________MMM13">#REF!</definedName>
    <definedName localSheetId="34" name="Jasa">#REF!</definedName>
    <definedName name="________HAL3">#REF!</definedName>
    <definedName localSheetId="3" name="b.belah">#REF!</definedName>
    <definedName localSheetId="28" name="pajak">#REF!</definedName>
    <definedName localSheetId="24" name="____LLL03">#REF!</definedName>
    <definedName localSheetId="12" name="teakwood4mm">#REF!</definedName>
    <definedName localSheetId="12" name="seng30">#REF!</definedName>
    <definedName localSheetId="4" name="_____DIV2">#REF!</definedName>
    <definedName name="________MMM40">#REF!</definedName>
    <definedName localSheetId="33" name="drainase">#REF!</definedName>
    <definedName localSheetId="44" name="____MMM42">#REF!</definedName>
    <definedName localSheetId="31" name="teakwood4mm">#REF!</definedName>
    <definedName localSheetId="34" name="____MMM01">#REF!</definedName>
    <definedName localSheetId="0" name="____DIV10">#REF!</definedName>
    <definedName name="R84..">#REF!</definedName>
    <definedName localSheetId="39" name="______HAL1">#REF!</definedName>
    <definedName localSheetId="17" name="________MMM09">#REF!</definedName>
    <definedName localSheetId="3" name="ngsel4">#REF!</definedName>
    <definedName localSheetId="30" name="_________DIV1">#REF!</definedName>
    <definedName localSheetId="33" name="pintulipat">#REF!</definedName>
    <definedName localSheetId="25" name="strorox">#REF!</definedName>
    <definedName localSheetId="18" name="cv">#REF!</definedName>
    <definedName localSheetId="4" name="pddk">#REF!</definedName>
    <definedName localSheetId="19" name="_______DIV10">#REF!</definedName>
    <definedName localSheetId="31" name="____DIV2">#REF!</definedName>
    <definedName localSheetId="24" name="________DIV5">#REF!</definedName>
    <definedName localSheetId="41" name="b.belah">#REF!</definedName>
    <definedName localSheetId="41" name="batuteraso">#REF!</definedName>
    <definedName localSheetId="15" name="pakuhak15cm">#REF!</definedName>
    <definedName localSheetId="3" name="grassblok">#REF!</definedName>
    <definedName localSheetId="13" name="Galam">#REF!</definedName>
    <definedName name="jffhauifhauifhe">#REF!</definedName>
    <definedName localSheetId="20" name="batuapung">#REF!</definedName>
    <definedName localSheetId="6" name="_MMM02">#REF!</definedName>
    <definedName localSheetId="11" name="sodaapi">#REF!</definedName>
    <definedName localSheetId="3" name="rapidrant">#REF!</definedName>
    <definedName localSheetId="7" name="FORM732">#REF!</definedName>
    <definedName localSheetId="40" name="ASPAL">#REF!</definedName>
    <definedName localSheetId="24" name="__DIV3">#REF!</definedName>
    <definedName localSheetId="3" name="R106..">#REF!</definedName>
    <definedName localSheetId="32" name="kacacermin8">#REF!</definedName>
    <definedName localSheetId="33" name="batuporos">#REF!</definedName>
    <definedName localSheetId="9" name="gmp">#REF!</definedName>
    <definedName localSheetId="11" name="__MMM03">#REF!</definedName>
    <definedName localSheetId="19" name="_pvc105">#REF!</definedName>
    <definedName localSheetId="30" name="grendeltanam">#REF!</definedName>
    <definedName localSheetId="24" name="FORM771d">#REF!</definedName>
    <definedName name="_______MMM46">#REF!</definedName>
    <definedName localSheetId="24" name="R18..">#REF!</definedName>
    <definedName localSheetId="23" name="ubinkeramik1020">#REF!</definedName>
    <definedName localSheetId="15" name="engsel3">#REF!</definedName>
    <definedName localSheetId="3" name="Papanbouplank">#REF!</definedName>
    <definedName localSheetId="3" name="______MMM10">#REF!</definedName>
    <definedName localSheetId="10" name="ASPAL">#REF!</definedName>
    <definedName localSheetId="20" name="Skrup">#REF!</definedName>
    <definedName localSheetId="42" name="alangalang">#REF!</definedName>
    <definedName localSheetId="24" name="__MMM23">#REF!</definedName>
    <definedName localSheetId="44" name="KUANTITAS">#REF!</definedName>
    <definedName localSheetId="21" name="Minyak">#REF!</definedName>
    <definedName name="semen50">#REF!</definedName>
    <definedName localSheetId="30" name="URAIAN">#REF!</definedName>
    <definedName localSheetId="24" name="plintubinkeramikartistik1020">#REF!</definedName>
    <definedName localSheetId="21" name="_____MMM35">#REF!</definedName>
    <definedName localSheetId="44" name="_______MMM23">#REF!</definedName>
    <definedName localSheetId="21" name="nnnnn">#REF!</definedName>
    <definedName name="____MMM53">#REF!</definedName>
    <definedName localSheetId="10" name="pengencer">#REF!</definedName>
    <definedName localSheetId="21" name="c.vinilex.sjs">#REF!</definedName>
    <definedName localSheetId="6" name="_____DIV3">#REF!</definedName>
    <definedName localSheetId="24" name="FORM623">#REF!</definedName>
    <definedName localSheetId="17" name="_______MMM39">#REF!</definedName>
    <definedName localSheetId="34" name="sirlak">#REF!</definedName>
    <definedName localSheetId="11" name="tlistrik">#REF!</definedName>
    <definedName localSheetId="34" name="badkip">#REF!</definedName>
    <definedName localSheetId="34" name="JL_NAS">#REF!</definedName>
    <definedName localSheetId="3" name="________MMM40">#REF!</definedName>
    <definedName localSheetId="5" name="papanbekisting">#REF!</definedName>
    <definedName localSheetId="30" name="ts">#REF!</definedName>
    <definedName name="___MMM48">#REF!</definedName>
    <definedName localSheetId="39" name="Lamp">#REF!</definedName>
    <definedName localSheetId="6" name="____DIV1">#REF!</definedName>
    <definedName localSheetId="44" name="tky">#REF!</definedName>
    <definedName localSheetId="18" name="JUDUL">#REF!</definedName>
    <definedName localSheetId="21" name="_DIV6">#REF!</definedName>
    <definedName localSheetId="20" name="____MMM01">#REF!</definedName>
    <definedName localSheetId="39" name="ASISTEN_BIDANG_PEMERINTAHAN">#REF!</definedName>
    <definedName localSheetId="21" name="besipresstressedpolos">#REF!</definedName>
    <definedName localSheetId="19" name="plintubinteraluxmarmer1030">#REF!</definedName>
    <definedName localSheetId="3" name="t.sabun">#REF!</definedName>
    <definedName localSheetId="33" name="gali">#REF!</definedName>
    <definedName localSheetId="5" name="sealent">#REF!</definedName>
    <definedName localSheetId="3" name="R30..">#REF!</definedName>
    <definedName name="Analisa709">#REF!</definedName>
    <definedName localSheetId="27" name="dua">#REF!</definedName>
    <definedName name="leni">#REF!</definedName>
    <definedName localSheetId="3" name="plintubinwarna1040">#REF!</definedName>
    <definedName localSheetId="9" name="u">#REF!</definedName>
    <definedName localSheetId="7" name="R1..">#REF!</definedName>
    <definedName localSheetId="9" name="plintubinkeramikartistik1020">#REF!</definedName>
    <definedName localSheetId="11" name="Grendel">#REF!</definedName>
    <definedName localSheetId="9" name="hd">#REF!</definedName>
    <definedName localSheetId="12" name="kran.ddg">#REF!</definedName>
    <definedName localSheetId="24" name="nnnnn">#REF!</definedName>
    <definedName localSheetId="24" name="_________MMM42">#REF!</definedName>
    <definedName localSheetId="25" name="spirtus">#REF!</definedName>
    <definedName localSheetId="9" name="FORM771c">#REF!</definedName>
    <definedName localSheetId="4" name="leni">#REF!</definedName>
    <definedName localSheetId="44" name="Print_Titles_MI">#REF!</definedName>
    <definedName localSheetId="6" name="springknip">#REF!</definedName>
    <definedName localSheetId="12" name="___DIV4">#REF!</definedName>
    <definedName localSheetId="44" name="_________MMM46">#REF!</definedName>
    <definedName localSheetId="9" name="_________MMM01">#REF!</definedName>
    <definedName localSheetId="17" name="__HAL4">#REF!</definedName>
    <definedName localSheetId="28" name="UPAH">#REF!</definedName>
    <definedName localSheetId="44" name="________LLL01">#REF!</definedName>
    <definedName localSheetId="11" name="R4..">#REF!</definedName>
    <definedName localSheetId="7" name="R94..">#REF!</definedName>
    <definedName localSheetId="41" name="f.drain">#REF!</definedName>
    <definedName localSheetId="9" name="___DIV2">#REF!</definedName>
    <definedName localSheetId="44" name="___DIV1">#REF!</definedName>
    <definedName localSheetId="17" name="B.Aparatur">#REF!</definedName>
    <definedName localSheetId="5" name="mapel">#REF!</definedName>
    <definedName localSheetId="38" name="stairnzing">#REF!</definedName>
    <definedName localSheetId="40" name="Fak">#REF!</definedName>
    <definedName localSheetId="23" name="rooflightfiibreglass">#REF!</definedName>
    <definedName localSheetId="24" name="URAIAN631">#REF!</definedName>
    <definedName localSheetId="21" name="nmdaerah">#REF!</definedName>
    <definedName localSheetId="7" name="Kekurangan">#REF!</definedName>
    <definedName localSheetId="24" name="s.warna">#REF!</definedName>
    <definedName localSheetId="17" name="_MMM51">#REF!</definedName>
    <definedName localSheetId="10" name="_DIV3">#REF!</definedName>
    <definedName localSheetId="36" name="Grendel">#REF!</definedName>
    <definedName localSheetId="39" name="_HAL1">#REF!</definedName>
    <definedName localSheetId="7" name="FORM915">#REF!</definedName>
    <definedName localSheetId="42" name="FORM7614b">#REF!</definedName>
    <definedName localSheetId="3" name="_______MMM19">#REF!</definedName>
    <definedName localSheetId="7" name="_________DIV4">#REF!</definedName>
    <definedName localSheetId="9" name="batapelapisklinker">#REF!</definedName>
    <definedName localSheetId="38" name="plintubinteraluxmarmer1040">#REF!</definedName>
    <definedName localSheetId="7" name="pagarseng2m">#REF!</definedName>
    <definedName localSheetId="10" name="____DIV4">#REF!</definedName>
    <definedName localSheetId="33" name="besipresstressedpolos">#REF!</definedName>
    <definedName localSheetId="36" name="pintulipat">#REF!</definedName>
    <definedName localSheetId="21" name="______MMM16">#REF!</definedName>
    <definedName localSheetId="6" name="plastikaerator">#REF!</definedName>
    <definedName localSheetId="3" name="___DIV6">#REF!</definedName>
    <definedName localSheetId="8" name="_______HAL1">#REF!</definedName>
    <definedName localSheetId="27" name="MASTER">#REF!</definedName>
    <definedName localSheetId="31" name="FORM633">#REF!</definedName>
    <definedName localSheetId="40" name="ubinteraso30">#REF!</definedName>
    <definedName localSheetId="28" name="mapel">#REF!</definedName>
    <definedName localSheetId="39" name="teakwood9mm">#REF!</definedName>
    <definedName localSheetId="7" name="ppnip">#REF!</definedName>
    <definedName localSheetId="36" name="_DIV1">#REF!</definedName>
    <definedName localSheetId="8" name="kuncitanam">#REF!</definedName>
    <definedName localSheetId="9" name="URAIAN731">#REF!</definedName>
    <definedName localSheetId="7" name="_MMM42">#REF!</definedName>
    <definedName localSheetId="25" name="FORM8410">#REF!</definedName>
    <definedName localSheetId="20" name="besi13u">#REF!</definedName>
    <definedName name="pintualuminium">#REF!</definedName>
    <definedName localSheetId="7" name="pasirbeton">#REF!</definedName>
    <definedName localSheetId="17" name="URAIAN721">#REF!</definedName>
    <definedName localSheetId="12" name="KERAMIK30">#REF!</definedName>
    <definedName localSheetId="39" name="bubunganasbesnok">#REF!</definedName>
    <definedName localSheetId="24" name="R43..">#REF!</definedName>
    <definedName localSheetId="24" name="UPAH">#REF!</definedName>
    <definedName localSheetId="21" name="_HAL8">#REF!</definedName>
    <definedName localSheetId="0" name="b.belah">#REF!</definedName>
    <definedName localSheetId="28" name="________DIV3">#REF!</definedName>
    <definedName localSheetId="6" name="badkip">#REF!</definedName>
    <definedName localSheetId="25" name="URAIAN771a">#REF!</definedName>
    <definedName localSheetId="36" name="kayukulim">#REF!</definedName>
    <definedName localSheetId="33" name="Closet.ddk">#REF!</definedName>
    <definedName localSheetId="12" name="FORM771b">#REF!</definedName>
    <definedName localSheetId="28" name="Analisa55">#REF!</definedName>
    <definedName localSheetId="8" name="mowi.ws">#REF!</definedName>
    <definedName localSheetId="32" name="paving">#REF!</definedName>
    <definedName localSheetId="28" name="tegelplinpc10x20">#REF!</definedName>
    <definedName localSheetId="34" name="plintubinteraluxmarmer1030">#REF!</definedName>
    <definedName localSheetId="44" name="_______MMM26">#REF!</definedName>
    <definedName localSheetId="30" name="FORM7613c">#REF!</definedName>
    <definedName localSheetId="36" name="Analisa55">#REF!</definedName>
    <definedName localSheetId="41" name="ktbs">#REF!</definedName>
    <definedName localSheetId="44" name="_MMM24">#REF!</definedName>
    <definedName localSheetId="44" name="____MMM09">#REF!</definedName>
    <definedName localSheetId="20" name="_____DIV2">#REF!</definedName>
    <definedName localSheetId="4" name="Lamp">#REF!</definedName>
    <definedName localSheetId="32" name="____HAL1">#REF!</definedName>
    <definedName localSheetId="0" name="pakubiasa">#REF!</definedName>
    <definedName localSheetId="6" name="kiki">#REF!</definedName>
    <definedName localSheetId="41" name="batu.jogja">#REF!</definedName>
    <definedName localSheetId="20" name="FORM744">#REF!</definedName>
    <definedName localSheetId="28" name="_____DIV1">#REF!</definedName>
    <definedName localSheetId="36" name="akustikarmstrong">#REF!</definedName>
    <definedName localSheetId="11" name="ubinwarna20">#REF!</definedName>
    <definedName localSheetId="15" name="_HAL4">#REF!</definedName>
    <definedName localSheetId="27" name="________HAL2">#REF!</definedName>
    <definedName localSheetId="12" name="asbesgelombnang">#REF!</definedName>
    <definedName localSheetId="3" name="pp">#REF!</definedName>
    <definedName localSheetId="23" name="FORM66PERMUKAAN">#REF!</definedName>
    <definedName localSheetId="17" name="MATERIAL">#REF!</definedName>
    <definedName localSheetId="11" name="_________HAL3">#REF!</definedName>
    <definedName localSheetId="7" name="_MMM19">#REF!</definedName>
    <definedName localSheetId="30" name="MATERIAL">#REF!</definedName>
    <definedName localSheetId="20" name="rooflightfiibreglass">#REF!</definedName>
    <definedName localSheetId="32" name="medan3.4">#REF!</definedName>
    <definedName localSheetId="33" name="________MMM01">#REF!</definedName>
    <definedName localSheetId="23" name="___DIV1">#REF!</definedName>
    <definedName localSheetId="17" name="____HAL5">#REF!</definedName>
    <definedName localSheetId="31" name="FORM7614b">#REF!</definedName>
    <definedName localSheetId="33" name="kaca12">#REF!</definedName>
    <definedName localSheetId="7" name="____MMM28">#REF!</definedName>
    <definedName localSheetId="38" name="FORM842">#REF!</definedName>
    <definedName localSheetId="25" name="kayujati">#REF!</definedName>
    <definedName localSheetId="17" name="URAIAN7613a">#REF!</definedName>
    <definedName localSheetId="44" name="_MMM17">#REF!</definedName>
    <definedName localSheetId="17" name="_______MMM54">#REF!</definedName>
    <definedName localSheetId="44" name="Absen">#REF!</definedName>
    <definedName localSheetId="42" name="ARI">#REF!</definedName>
    <definedName localSheetId="11" name="batuapung">#REF!</definedName>
    <definedName localSheetId="19" name="________MMM03">#REF!</definedName>
    <definedName localSheetId="13" name="nmdaerah">#REF!</definedName>
    <definedName localSheetId="25" name="URAIAN7612c">#REF!</definedName>
    <definedName localSheetId="11" name="URAIAN">#REF!</definedName>
    <definedName name="R95..">#REF!</definedName>
    <definedName localSheetId="9" name="tm_2415921492">#REF!</definedName>
    <definedName localSheetId="31" name="________DIV1">#REF!</definedName>
    <definedName localSheetId="12" name="kmp.banjar">#REF!</definedName>
    <definedName localSheetId="7" name="batuapung">#REF!</definedName>
    <definedName localSheetId="5" name="ubinwarna40">#REF!</definedName>
    <definedName localSheetId="23" name="NAMA3">#REF!</definedName>
    <definedName localSheetId="20" name="tegelporselen10x20warna">#REF!</definedName>
    <definedName localSheetId="23" name="tegelplin20x20">#REF!</definedName>
    <definedName localSheetId="5" name="marmer">#REF!</definedName>
    <definedName localSheetId="28" name="vernis">#REF!</definedName>
    <definedName localSheetId="13" name="_KOP7">#REF!</definedName>
    <definedName localSheetId="27" name="____MMM03">#REF!</definedName>
    <definedName localSheetId="17" name="________MMM35">#REF!</definedName>
    <definedName name="_HAL1">#REF!</definedName>
    <definedName localSheetId="44" name="_______MMM05">#REF!</definedName>
    <definedName localSheetId="30" name="KUANTITAS">#REF!</definedName>
    <definedName name="Analisa71511">#REF!</definedName>
    <definedName localSheetId="9" name="bubunganasbesgelombang">#REF!</definedName>
    <definedName localSheetId="33" name="nokgentengaspal">#REF!</definedName>
    <definedName localSheetId="24" name="mowi.w.shield">#REF!</definedName>
    <definedName localSheetId="17" name="__pvc205">#REF!</definedName>
    <definedName localSheetId="10" name="siap1">#REF!</definedName>
    <definedName localSheetId="24" name="___LLL01">#REF!</definedName>
    <definedName localSheetId="30" name="__DIV10">#REF!</definedName>
    <definedName localSheetId="38" name="beton225r">#REF!</definedName>
    <definedName localSheetId="21" name="kompresor">#REF!</definedName>
    <definedName localSheetId="24" name="venetionblinds">#REF!</definedName>
    <definedName localSheetId="44" name="______MMM39">#REF!</definedName>
    <definedName localSheetId="7" name="__MMM50">#REF!</definedName>
    <definedName localSheetId="21" name="besi16u">#REF!</definedName>
    <definedName localSheetId="40" name="P">#REF!</definedName>
    <definedName localSheetId="0" name="UPAH">#REF!</definedName>
    <definedName localSheetId="19" name="URAIAN771b">#REF!</definedName>
    <definedName localSheetId="7" name="Tbs">#REF!</definedName>
    <definedName localSheetId="21" name="bbm">#REF!</definedName>
    <definedName localSheetId="10" name="URAIAN21">#REF!</definedName>
    <definedName localSheetId="8" name="pipatanah">#REF!</definedName>
    <definedName localSheetId="4" name="semenwarna">#REF!</definedName>
    <definedName localSheetId="18" name="alangalang">#REF!</definedName>
    <definedName localSheetId="38" name="__DIV4">#REF!</definedName>
    <definedName localSheetId="38" name="pajak">#REF!</definedName>
    <definedName localSheetId="8" name="pakugypsum">#REF!</definedName>
    <definedName localSheetId="17" name="_____MMM09">#REF!</definedName>
    <definedName localSheetId="44" name="_____HAL5">#REF!</definedName>
    <definedName localSheetId="11" name="batacote">#REF!</definedName>
    <definedName name="R108..">#REF!</definedName>
    <definedName localSheetId="36" name="he">#REF!</definedName>
    <definedName localSheetId="41" name="___pvc2">#REF!</definedName>
    <definedName localSheetId="7" name="_______MMM15">#REF!</definedName>
    <definedName localSheetId="32" name="kayualbasiah">#REF!</definedName>
    <definedName localSheetId="41" name="_______MMM03">#REF!</definedName>
    <definedName localSheetId="24" name="R64..">#REF!</definedName>
    <definedName localSheetId="7" name="__LLL07">#REF!</definedName>
    <definedName localSheetId="8" name="B.Jambi">#REF!</definedName>
    <definedName localSheetId="4" name="Faktor">#REF!</definedName>
    <definedName localSheetId="27" name="relpintudorong">#REF!</definedName>
    <definedName localSheetId="42" name="________MMM01">#REF!</definedName>
    <definedName localSheetId="18" name="____DIV4">#REF!</definedName>
    <definedName localSheetId="15" name="pintusunscreenalluminium">#REF!</definedName>
    <definedName localSheetId="7" name="_______MMM39">#REF!</definedName>
    <definedName localSheetId="4" name="rubbercorrugate">#REF!</definedName>
    <definedName localSheetId="10" name="engsel3">#REF!</definedName>
    <definedName localSheetId="39" name="URAIAN771b">#REF!</definedName>
    <definedName localSheetId="3" name="borneo5.10">#REF!</definedName>
    <definedName localSheetId="21" name="Nok">#REF!</definedName>
    <definedName localSheetId="13" name="plintubinwarna1020">#REF!</definedName>
    <definedName localSheetId="27" name="___pvc105">#REF!</definedName>
    <definedName localSheetId="15" name="ktbs">#REF!</definedName>
    <definedName localSheetId="34" name="kaca5">#REF!</definedName>
    <definedName localSheetId="24" name="sealer">#REF!</definedName>
    <definedName localSheetId="41" name="_______MMM02">#REF!</definedName>
    <definedName localSheetId="3" name="pddk">#REF!</definedName>
    <definedName localSheetId="19" name="R31..">#REF!</definedName>
    <definedName localSheetId="8" name="kayutembesu">#REF!</definedName>
    <definedName localSheetId="23" name="besi10.sii">#REF!</definedName>
    <definedName localSheetId="38" name="oke">#REF!</definedName>
    <definedName localSheetId="24" name="besi16">#REF!</definedName>
    <definedName localSheetId="38" name="kkkk">#REF!</definedName>
    <definedName localSheetId="10" name="u.bekisting">#REF!</definedName>
    <definedName localSheetId="44" name="mm">#REF!</definedName>
    <definedName localSheetId="7" name="_Ibr1">#REF!</definedName>
    <definedName localSheetId="20" name="ubinwarna40">#REF!</definedName>
    <definedName localSheetId="24" name="batukali14">#REF!</definedName>
    <definedName localSheetId="32" name="FORM7614b">#REF!</definedName>
    <definedName localSheetId="11" name="Ker.L13">#REF!</definedName>
    <definedName localSheetId="3" name="Pc.50">#REF!</definedName>
    <definedName localSheetId="7" name="sealtape">#REF!</definedName>
    <definedName localSheetId="9" name="cghj">#REF!</definedName>
    <definedName localSheetId="5" name="_DIV2">#REF!</definedName>
    <definedName localSheetId="3" name="_DIV10">#REF!</definedName>
    <definedName localSheetId="7" name="______MMM47">#REF!</definedName>
    <definedName localSheetId="12" name="URAIAN">#REF!</definedName>
    <definedName localSheetId="30" name="nokpaten092">#REF!</definedName>
    <definedName localSheetId="10" name="_________DIV10">#REF!</definedName>
    <definedName localSheetId="34" name="UP">#REF!</definedName>
    <definedName localSheetId="30" name="batukali14">#REF!</definedName>
    <definedName localSheetId="32" name="pagar2m">#REF!</definedName>
    <definedName localSheetId="4" name="FORM7614c">#REF!</definedName>
    <definedName localSheetId="3" name="_KOP7">#REF!</definedName>
    <definedName localSheetId="23" name="papanbekisting">#REF!</definedName>
    <definedName localSheetId="25" name="pakubulian">#REF!</definedName>
    <definedName localSheetId="7" name="__DIV8">#REF!</definedName>
    <definedName localSheetId="7" name="_________LLL11">#REF!</definedName>
    <definedName localSheetId="13" name="plintubinteraluxkerang1040">#REF!</definedName>
    <definedName localSheetId="3" name="______MMM04">#REF!</definedName>
    <definedName localSheetId="9" name="_pp1">#REF!</definedName>
    <definedName localSheetId="0" name="Nok">#REF!</definedName>
    <definedName localSheetId="32" name="__tl2">#REF!</definedName>
    <definedName localSheetId="34" name="leni">#REF!</definedName>
    <definedName localSheetId="24" name="_____MMM31">#REF!</definedName>
    <definedName localSheetId="20" name="aaaa">#REF!</definedName>
    <definedName localSheetId="36" name="UP">#REF!</definedName>
    <definedName localSheetId="18" name="_DIV4">#REF!</definedName>
    <definedName localSheetId="38" name="alba2.20">#REF!</definedName>
    <definedName localSheetId="15" name="f.drain">#REF!</definedName>
    <definedName localSheetId="11" name="__tl2">#REF!</definedName>
    <definedName localSheetId="21" name="___LLL03">#REF!</definedName>
    <definedName localSheetId="24" name="__pvc205">#REF!</definedName>
    <definedName localSheetId="20" name="tpipa">#REF!</definedName>
    <definedName localSheetId="25" name="FORM79manual">#REF!</definedName>
    <definedName localSheetId="38" name="rollingdoor">#REF!</definedName>
    <definedName localSheetId="40" name="URAIAN771a">#REF!</definedName>
    <definedName name="Print_Titles_MI_1">#REF!</definedName>
    <definedName localSheetId="27" name="ARI">#REF!</definedName>
    <definedName localSheetId="13" name="residu">#REF!</definedName>
    <definedName localSheetId="7" name="kawatharmonika">#REF!</definedName>
    <definedName localSheetId="3" name="_____LLL02">#REF!</definedName>
    <definedName localSheetId="31" name="SSSSSSSSSSSSSSSSSSSSSSSSSSSSS">#REF!</definedName>
    <definedName localSheetId="19" name="MATERIAL">#REF!</definedName>
    <definedName localSheetId="4" name="sdg">#REF!</definedName>
    <definedName localSheetId="34" name="pintusunscreenalluminium">#REF!</definedName>
    <definedName localSheetId="36" name="tlistrik">#REF!</definedName>
    <definedName localSheetId="39" name="kayualbasiah">#REF!</definedName>
    <definedName localSheetId="3" name="plintubinteraluxmarmer1040">#REF!</definedName>
    <definedName localSheetId="17" name="_________MMM08">#REF!</definedName>
    <definedName localSheetId="3" name="besi12sii">#REF!</definedName>
    <definedName localSheetId="18" name="kayuterentang">#REF!</definedName>
    <definedName localSheetId="36" name="Aluminium">#REF!</definedName>
    <definedName localSheetId="12" name="Uraian842">#REF!</definedName>
    <definedName localSheetId="44" name="Kunci2">#REF!</definedName>
    <definedName localSheetId="3" name="batutempelhitam">#REF!</definedName>
    <definedName localSheetId="44" name="______MMM35">#REF!</definedName>
    <definedName localSheetId="44" name="pakusirap">#REF!</definedName>
    <definedName localSheetId="24" name="________MMM26">#REF!</definedName>
    <definedName name="Besi1Kg">#REF!</definedName>
    <definedName localSheetId="44" name="catantara">#REF!</definedName>
    <definedName localSheetId="44" name="a">#REF!</definedName>
    <definedName localSheetId="4" name="plintkeramikartistik1010">#REF!</definedName>
    <definedName localSheetId="10" name="kuas">#REF!</definedName>
    <definedName localSheetId="15" name="_______MMM01">#REF!</definedName>
    <definedName localSheetId="24" name="k.beton">#REF!</definedName>
    <definedName localSheetId="44" name="_____DIV2">#REF!</definedName>
    <definedName localSheetId="32" name="__LLL03">#REF!</definedName>
    <definedName localSheetId="41" name="aa">#REF!</definedName>
    <definedName localSheetId="21" name="_______LLL02">#REF!</definedName>
    <definedName localSheetId="30" name="feltexkarpetwool">#REF!</definedName>
    <definedName name="___DIV5">#REF!</definedName>
    <definedName localSheetId="12" name="kawatduri">#REF!</definedName>
    <definedName localSheetId="17" name="_______MMM37">#REF!</definedName>
    <definedName localSheetId="34" name="bakcuciteraso">#REF!</definedName>
    <definedName localSheetId="12" name="Jendelabesibaja">#REF!</definedName>
    <definedName localSheetId="8" name="URAIAN">#REF!</definedName>
    <definedName localSheetId="28" name="papanbulian">#REF!</definedName>
    <definedName localSheetId="17" name="JA">#REF!</definedName>
    <definedName localSheetId="42" name="________HAL2">#REF!</definedName>
    <definedName name="ubingranito30">#REF!</definedName>
    <definedName localSheetId="3" name="s.warna">#REF!</definedName>
    <definedName localSheetId="27" name="_kop6">#REF!</definedName>
    <definedName localSheetId="23" name="___DIV2">#REF!</definedName>
    <definedName localSheetId="17" name="kacapolos3mm">#REF!</definedName>
    <definedName localSheetId="21" name="_______MMM54">#REF!</definedName>
    <definedName localSheetId="17" name="FORM735">#REF!</definedName>
    <definedName localSheetId="6" name="nnnnn">#REF!</definedName>
    <definedName localSheetId="39" name="water.prof">#REF!</definedName>
    <definedName localSheetId="36" name="Uraian8410">#REF!</definedName>
    <definedName localSheetId="19" name="lp">#REF!</definedName>
    <definedName localSheetId="10" name="penduduk">#REF!</definedName>
    <definedName localSheetId="21" name="kayukruing">#REF!</definedName>
    <definedName localSheetId="13" name="LAP">#REF!</definedName>
    <definedName localSheetId="24" name="_______MMM11">#REF!</definedName>
    <definedName localSheetId="5" name="Nok">#REF!</definedName>
    <definedName localSheetId="7" name="kolombetonpracetak">#REF!</definedName>
    <definedName localSheetId="30" name="batugranito">#REF!</definedName>
    <definedName localSheetId="36" name="ktky">#REF!</definedName>
    <definedName localSheetId="23" name="sofboard">#REF!</definedName>
    <definedName localSheetId="24" name="Z">#REF!</definedName>
    <definedName localSheetId="34" name="Tbs">#REF!</definedName>
    <definedName localSheetId="34" name="FORM7613a">#REF!</definedName>
    <definedName localSheetId="17" name="ARI">#REF!</definedName>
    <definedName localSheetId="6" name="Pc.50">#REF!</definedName>
    <definedName localSheetId="24" name="______MMM27">#REF!</definedName>
    <definedName localSheetId="4" name="water.prof">#REF!</definedName>
    <definedName localSheetId="13" name="tukng">#REF!</definedName>
    <definedName localSheetId="7" name="___pvc205">#REF!</definedName>
    <definedName localSheetId="4" name="rapidrant">#REF!</definedName>
    <definedName localSheetId="21" name="_____LLL09">#REF!</definedName>
    <definedName localSheetId="28" name="MMM17A">#REF!</definedName>
    <definedName localSheetId="33" name="URAIAN7613b">#REF!</definedName>
    <definedName localSheetId="31" name="B.Jambi">#REF!</definedName>
    <definedName localSheetId="38" name="Gypsum">#REF!</definedName>
    <definedName localSheetId="4" name="des">#REF!</definedName>
    <definedName name="________MMM04">#REF!</definedName>
    <definedName name="KunciPintu">#REF!</definedName>
    <definedName localSheetId="6" name="URAIAN7614d">#REF!</definedName>
    <definedName localSheetId="5" name="kaca.p.5">#REF!</definedName>
    <definedName localSheetId="27" name="c.mowi.dlm">#REF!</definedName>
    <definedName localSheetId="28" name="tpipa">#REF!</definedName>
    <definedName localSheetId="27" name="tanggal">#REF!</definedName>
    <definedName localSheetId="42" name="_DIV3">#REF!</definedName>
    <definedName localSheetId="39" name="__HAL5">#REF!</definedName>
    <definedName localSheetId="41" name="_____DIV1">#REF!</definedName>
    <definedName localSheetId="21" name="R89..">#REF!</definedName>
    <definedName localSheetId="0" name="pintugulungbesi">#REF!</definedName>
    <definedName localSheetId="4" name="Papanbouplank">#REF!</definedName>
    <definedName localSheetId="3" name="FORMLatasirK">#REF!</definedName>
    <definedName name="__MMM33">#REF!</definedName>
    <definedName localSheetId="7" name="_MMM27">#REF!</definedName>
    <definedName localSheetId="6" name="Kekurangan">#REF!</definedName>
    <definedName localSheetId="7" name="R97..">#REF!</definedName>
    <definedName localSheetId="39" name="________DIV1">#REF!</definedName>
    <definedName localSheetId="17" name="_________HAL6">#REF!</definedName>
    <definedName name="_____LLL10">#REF!</definedName>
    <definedName localSheetId="13" name="sirap">#REF!</definedName>
    <definedName localSheetId="11" name="kayukudakuda">#REF!</definedName>
    <definedName localSheetId="33" name="plintubinteraso1030">#REF!</definedName>
    <definedName localSheetId="28" name="SSSSSSSSSSSSSSSSSSSSSSSSSSSSS">#REF!</definedName>
    <definedName localSheetId="24" name="washtafel">#REF!</definedName>
    <definedName localSheetId="44" name="_________MMM07">#REF!</definedName>
    <definedName localSheetId="3" name="__MMM43">#REF!</definedName>
    <definedName localSheetId="42" name="kawatsengpolos">#REF!</definedName>
    <definedName localSheetId="23" name="urugan">#REF!</definedName>
    <definedName localSheetId="11" name="kayukelas2">#REF!</definedName>
    <definedName localSheetId="24" name="plywood4mm">#REF!</definedName>
    <definedName localSheetId="12" name="kacacermin8">#REF!</definedName>
    <definedName localSheetId="23" name="MINOR">#REF!</definedName>
    <definedName localSheetId="13" name="beton225r">#REF!</definedName>
    <definedName localSheetId="36" name="gabin_al">#REF!</definedName>
    <definedName localSheetId="19" name="pakubulian">#REF!</definedName>
    <definedName localSheetId="40" name="R100..">#REF!</definedName>
    <definedName localSheetId="7" name="________DIV7">#REF!</definedName>
    <definedName name="FORM910">#REF!</definedName>
    <definedName localSheetId="8" name="NAMA2">#REF!</definedName>
    <definedName localSheetId="44" name="______HAL4">#REF!</definedName>
    <definedName localSheetId="7" name="________MMM46">#REF!</definedName>
    <definedName localSheetId="4" name="sis">#REF!</definedName>
    <definedName localSheetId="44" name="_____MMM06">#REF!</definedName>
    <definedName localSheetId="12" name="____MMM03">#REF!</definedName>
    <definedName localSheetId="32" name="______HAL3">#REF!</definedName>
    <definedName localSheetId="28" name="____HAL1">#REF!</definedName>
    <definedName localSheetId="24" name="____DIV8">#REF!</definedName>
    <definedName localSheetId="17" name="__LLL08">#REF!</definedName>
    <definedName localSheetId="23" name="__pvc205">#REF!</definedName>
    <definedName localSheetId="32" name="FORMLatasirK">#REF!</definedName>
    <definedName localSheetId="19" name="kayukulim">#REF!</definedName>
    <definedName localSheetId="19" name="list">#REF!</definedName>
    <definedName name="URAIAN611">#REF!</definedName>
    <definedName localSheetId="31" name="_________DIV10">#REF!</definedName>
    <definedName localSheetId="31" name="engsel4">#REF!</definedName>
    <definedName localSheetId="19" name="pakuhak15cm">#REF!</definedName>
    <definedName localSheetId="18" name="psr.trs">#REF!</definedName>
    <definedName localSheetId="12" name="gmp">#REF!</definedName>
    <definedName localSheetId="7" name="________MMM01">#REF!</definedName>
    <definedName localSheetId="13" name="DSSDD">#REF!</definedName>
    <definedName localSheetId="17" name="______DIV2">#REF!</definedName>
    <definedName localSheetId="39" name="platasbes35mm">#REF!</definedName>
    <definedName localSheetId="5" name="GUIIII">#REF!</definedName>
    <definedName localSheetId="17" name="___DIV9">#REF!</definedName>
    <definedName name="kawatjaring">#REF!</definedName>
    <definedName localSheetId="6" name="pintubesibaja">#REF!</definedName>
    <definedName localSheetId="9" name="platasbes">#REF!</definedName>
    <definedName localSheetId="7" name="besi19u">#REF!</definedName>
    <definedName name="bubunganasbesgelombang">#REF!</definedName>
    <definedName localSheetId="15" name="______DIV2">#REF!</definedName>
    <definedName localSheetId="24" name="tanahliat">#REF!</definedName>
    <definedName localSheetId="17" name="pp">#REF!</definedName>
    <definedName name="pakupancing">#REF!</definedName>
    <definedName localSheetId="36" name="lemvinyl">#REF!</definedName>
    <definedName name="FORM94">#REF!</definedName>
    <definedName localSheetId="11" name="plastik">#REF!</definedName>
    <definedName localSheetId="21" name="tlistrik">#REF!</definedName>
    <definedName localSheetId="34" name="FORM842">#REF!</definedName>
    <definedName localSheetId="9" name="nmdaerah">#REF!</definedName>
    <definedName name="pijar15">#REF!</definedName>
    <definedName localSheetId="21" name="SUNGAI_BERTAM">#REF!</definedName>
    <definedName localSheetId="21" name="_LLL11">#REF!</definedName>
    <definedName localSheetId="33" name="leni">#REF!</definedName>
    <definedName localSheetId="32" name="perancahkayu">#REF!</definedName>
    <definedName localSheetId="44" name="gypsum.prf">#REF!</definedName>
    <definedName localSheetId="3" name="________DIV6">#REF!</definedName>
    <definedName localSheetId="18" name="kayubulian">#REF!</definedName>
    <definedName localSheetId="20" name="sengplatbjls24">#REF!</definedName>
    <definedName localSheetId="15" name="_____MMM01">#REF!</definedName>
    <definedName localSheetId="36" name="_________HAL3">#REF!</definedName>
    <definedName name="______MMM04">#REF!</definedName>
    <definedName localSheetId="20" name="________MMM02">#REF!</definedName>
    <definedName localSheetId="5" name="URAIAN7614d">#REF!</definedName>
    <definedName localSheetId="0" name="URAIAN7614a">#REF!</definedName>
    <definedName localSheetId="34" name="Fak">#REF!</definedName>
    <definedName localSheetId="23" name="MMM17A">#REF!</definedName>
    <definedName localSheetId="9" name="Analisa55">#REF!</definedName>
    <definedName localSheetId="31" name="URAIAN7610">#REF!</definedName>
    <definedName localSheetId="32" name="pindahan">#REF!</definedName>
    <definedName localSheetId="39" name="jj">#REF!</definedName>
    <definedName localSheetId="5" name="______DIV2">#REF!</definedName>
    <definedName localSheetId="6" name="batukali14">#REF!</definedName>
    <definedName localSheetId="24" name="ubinkeramik2020">#REF!</definedName>
    <definedName localSheetId="27" name="_HAL4">#REF!</definedName>
    <definedName localSheetId="3" name="lemvinyl">#REF!</definedName>
    <definedName localSheetId="7" name="t.sabun">#REF!</definedName>
    <definedName localSheetId="23" name="____DIV2">#REF!</definedName>
    <definedName localSheetId="11" name="coveartistik">#REF!</definedName>
    <definedName localSheetId="15" name="meni.kayu">#REF!</definedName>
    <definedName localSheetId="24" name="________MMM23">#REF!</definedName>
    <definedName localSheetId="40" name="___MMM03">#REF!</definedName>
    <definedName localSheetId="21" name="batamerah">#REF!</definedName>
    <definedName localSheetId="0" name="Jendelabesibaja">#REF!</definedName>
    <definedName localSheetId="30" name="kawatharmonika">#REF!</definedName>
    <definedName localSheetId="42" name="plintubinwarna1040">#REF!</definedName>
    <definedName localSheetId="8" name="FORMLatasirK">#REF!</definedName>
    <definedName localSheetId="44" name="b.belah">#REF!</definedName>
    <definedName localSheetId="18" name="jki">#REF!</definedName>
    <definedName name="bubungangentengpalentong">#REF!</definedName>
    <definedName localSheetId="17" name="________DIV10">#REF!</definedName>
    <definedName localSheetId="24" name="papanbulian">#REF!</definedName>
    <definedName localSheetId="3" name="_____MMM30">#REF!</definedName>
    <definedName localSheetId="0" name="kapursirih">#REF!</definedName>
    <definedName localSheetId="5" name="Faktor">#REF!</definedName>
    <definedName localSheetId="7" name="Nok">#REF!</definedName>
    <definedName localSheetId="28" name="jamtandem">#REF!</definedName>
    <definedName localSheetId="28" name="beton.tumbuk">#REF!</definedName>
    <definedName localSheetId="30" name="__pvc105">#REF!</definedName>
    <definedName name="pvc1.2.aw">#REF!</definedName>
    <definedName localSheetId="41" name="plintubinwarna1030">#REF!</definedName>
    <definedName localSheetId="17" name="______MMM15">#REF!</definedName>
    <definedName localSheetId="39" name="FORM632">#REF!</definedName>
    <definedName localSheetId="3" name="ubinpcabuabu40">#REF!</definedName>
    <definedName localSheetId="42" name="jffhauifhauifhe">#REF!</definedName>
    <definedName localSheetId="19" name="PT">#REF!</definedName>
    <definedName localSheetId="42" name="batu.jogja">#REF!</definedName>
    <definedName localSheetId="41" name="R30..">#REF!</definedName>
    <definedName localSheetId="30" name="plintubinkeramikartistik1020">#REF!</definedName>
    <definedName localSheetId="7" name="tes">#REF!</definedName>
    <definedName localSheetId="17" name="parquetjati">#REF!</definedName>
    <definedName localSheetId="24" name="R93..">#REF!</definedName>
    <definedName name="kuncisilinder">#REF!</definedName>
    <definedName localSheetId="30" name="R3..">#REF!</definedName>
    <definedName localSheetId="30" name="pagarseng2m">#REF!</definedName>
    <definedName localSheetId="44" name="URAIAN7613a">#REF!</definedName>
    <definedName localSheetId="40" name="FORM771a">#REF!</definedName>
    <definedName localSheetId="21" name="batapelapisdinding">#REF!</definedName>
    <definedName localSheetId="40" name="_________MMM03">#REF!</definedName>
    <definedName localSheetId="8" name="plamur.matex">#REF!</definedName>
    <definedName localSheetId="3" name="Uraian845">#REF!</definedName>
    <definedName localSheetId="7" name="____MMM54">#REF!</definedName>
    <definedName localSheetId="17" name="Aluminium">#REF!</definedName>
    <definedName localSheetId="19" name="ktky">#REF!</definedName>
    <definedName localSheetId="17" name="Galam">#REF!</definedName>
    <definedName localSheetId="8" name="kacacermin8">#REF!</definedName>
    <definedName localSheetId="24" name="____MMM26">#REF!</definedName>
    <definedName localSheetId="28" name="tegelplinteraso10x30">#REF!</definedName>
    <definedName localSheetId="39" name="Meni">#REF!</definedName>
    <definedName localSheetId="31" name="Faktor">#REF!</definedName>
    <definedName localSheetId="15" name="pakubulian">#REF!</definedName>
    <definedName localSheetId="42" name="tanggal">#REF!</definedName>
    <definedName localSheetId="24" name="_________MMM09">#REF!</definedName>
    <definedName localSheetId="11" name="p.kmp.smrd.3.20">#REF!</definedName>
    <definedName localSheetId="0" name="keramik30x30">#REF!</definedName>
    <definedName localSheetId="19" name="medan5.10">#REF!</definedName>
    <definedName localSheetId="18" name="___HAL3">#REF!</definedName>
    <definedName localSheetId="24" name="split1.2">#REF!</definedName>
    <definedName localSheetId="20" name="rollingdoor">#REF!</definedName>
    <definedName localSheetId="44" name="papan.m.3.20">#REF!</definedName>
    <definedName localSheetId="28" name="FORM732">#REF!</definedName>
    <definedName localSheetId="4" name="SSSSSSSSSSSSSSSSSSSSSSSSSSSSS">#REF!</definedName>
    <definedName localSheetId="7" name="Besi1Kg">#REF!</definedName>
    <definedName localSheetId="4" name="ubinwarna30">#REF!</definedName>
    <definedName localSheetId="11" name="_DIV4">#REF!</definedName>
    <definedName localSheetId="11" name="papanbekisting">#REF!</definedName>
    <definedName localSheetId="3" name="beton250m">#REF!</definedName>
    <definedName localSheetId="12" name="mowi.w.shield">#REF!</definedName>
    <definedName localSheetId="15" name="borneo5.7">#REF!</definedName>
    <definedName localSheetId="28" name="dd">#REF!</definedName>
    <definedName localSheetId="20" name="URAIAN7612a">#REF!</definedName>
    <definedName name="UPAH">#REF!</definedName>
    <definedName localSheetId="18" name="batacote">#REF!</definedName>
    <definedName localSheetId="11" name="wallpaper">#REF!</definedName>
    <definedName localSheetId="17" name="p.kmp.smrd.3.20">#REF!</definedName>
    <definedName localSheetId="24" name="JL_NAS">#REF!</definedName>
    <definedName localSheetId="18" name="hd">#REF!</definedName>
    <definedName localSheetId="15" name="beton175m">#REF!</definedName>
    <definedName localSheetId="42" name="R10..">#REF!</definedName>
    <definedName localSheetId="11" name="ramset">#REF!</definedName>
    <definedName localSheetId="8" name="alangalang">#REF!</definedName>
    <definedName localSheetId="39" name="UP">#REF!</definedName>
    <definedName localSheetId="27" name="Nokmetal3mm">#REF!</definedName>
    <definedName localSheetId="21" name="____MMM31">#REF!</definedName>
    <definedName localSheetId="4" name="URAIAN234L">#REF!</definedName>
    <definedName localSheetId="19" name="kunci1slag">#REF!</definedName>
    <definedName localSheetId="9" name="nokpaten105">#REF!</definedName>
    <definedName name="UTAIAN7614c">#REF!</definedName>
    <definedName localSheetId="23" name="badkip">#REF!</definedName>
    <definedName localSheetId="27" name="________HAL1">#REF!</definedName>
    <definedName name="sodaapi">#REF!</definedName>
    <definedName localSheetId="7" name="______MMM25">#REF!</definedName>
    <definedName localSheetId="0" name="besiprofilWF">#REF!</definedName>
    <definedName localSheetId="17" name="bubunganasbesnok">#REF!</definedName>
    <definedName localSheetId="10" name="ASISTEN_BIDANG_PEMERINTAHAN">#REF!</definedName>
    <definedName localSheetId="34" name="_______MMM03">#REF!</definedName>
    <definedName name="___pvc2">#REF!</definedName>
    <definedName localSheetId="3" name="urugantanah">#REF!</definedName>
    <definedName name="___LLL07">#REF!</definedName>
    <definedName localSheetId="39" name="R30..">#REF!</definedName>
    <definedName localSheetId="4" name="R100..">#REF!</definedName>
    <definedName localSheetId="31" name="_____HAL3">#REF!</definedName>
    <definedName localSheetId="13" name="R40..">#REF!</definedName>
    <definedName localSheetId="24" name="_KOP7">#REF!</definedName>
    <definedName localSheetId="24" name="bilikbambu">#REF!</definedName>
    <definedName localSheetId="17" name="_MMM30">#REF!</definedName>
    <definedName localSheetId="4" name="Excel_BuiltIn_Print_Area_1">#REF!</definedName>
    <definedName localSheetId="44" name="_________MMM32">#REF!</definedName>
    <definedName localSheetId="41" name="medan5.7">#REF!</definedName>
    <definedName localSheetId="4" name="gali">#REF!</definedName>
    <definedName name="___HAL6">#REF!</definedName>
    <definedName localSheetId="15" name="ls">#REF!</definedName>
    <definedName localSheetId="17" name="Uraian844">#REF!</definedName>
    <definedName localSheetId="44" name="_________MMM29">#REF!</definedName>
    <definedName localSheetId="7" name="catpenutup2kali">#REF!</definedName>
    <definedName localSheetId="3" name="_____MMM10">#REF!</definedName>
    <definedName localSheetId="13" name="MATERIAL">#REF!</definedName>
    <definedName localSheetId="17" name="Overhead">#REF!</definedName>
    <definedName localSheetId="3" name="aaaa">#REF!</definedName>
    <definedName localSheetId="38" name="plesteran13">#REF!</definedName>
    <definedName localSheetId="20" name="data2">#REF!</definedName>
    <definedName localSheetId="32" name="___MMM02">#REF!</definedName>
    <definedName localSheetId="17" name="R52..">#REF!</definedName>
    <definedName localSheetId="8" name="FORM771b">#REF!</definedName>
    <definedName localSheetId="15" name="Tbs">#REF!</definedName>
    <definedName localSheetId="21" name="paving">#REF!</definedName>
    <definedName localSheetId="4" name="roster">#REF!</definedName>
    <definedName localSheetId="6" name="strorox">#REF!</definedName>
    <definedName localSheetId="3" name="R40..">#REF!</definedName>
    <definedName localSheetId="3" name="tegelporselen20x20warna">#REF!</definedName>
    <definedName localSheetId="28" name="Print_title">#REF!</definedName>
    <definedName localSheetId="15" name="vernis">#REF!</definedName>
    <definedName localSheetId="40" name="borneo5.10">#REF!</definedName>
    <definedName localSheetId="41" name="batupecah">#REF!</definedName>
    <definedName localSheetId="41" name="kayukulim">#REF!</definedName>
    <definedName localSheetId="44" name="ubinpcabuabu40">#REF!</definedName>
    <definedName localSheetId="8" name="jki">#REF!</definedName>
    <definedName localSheetId="44" name="batu.jogja">#REF!</definedName>
    <definedName localSheetId="39" name="R61..">#REF!</definedName>
    <definedName localSheetId="17" name="plintubinteraso1030">#REF!</definedName>
    <definedName localSheetId="24" name="_DIV1">#REF!</definedName>
    <definedName localSheetId="38" name="bondbeam">#REF!</definedName>
    <definedName localSheetId="24" name="______MMM22">#REF!</definedName>
    <definedName localSheetId="13" name="________DIV3">#REF!</definedName>
    <definedName localSheetId="40" name="_HAL6">#REF!</definedName>
    <definedName localSheetId="21" name="_____LLL02">#REF!</definedName>
    <definedName localSheetId="25" name="profilalumuniumT">#REF!</definedName>
    <definedName localSheetId="0" name="URAIAN771a">#REF!</definedName>
    <definedName localSheetId="33" name="terasocor">#REF!</definedName>
    <definedName localSheetId="19" name="lemvinyl">#REF!</definedName>
    <definedName localSheetId="21" name="total">#REF!</definedName>
    <definedName localSheetId="28" name="ubinwarna20">#REF!</definedName>
    <definedName localSheetId="44" name="URAIAN233">#REF!</definedName>
    <definedName localSheetId="40" name="__DIV3">#REF!</definedName>
    <definedName localSheetId="18" name="jffhauifhauifhe">#REF!</definedName>
    <definedName localSheetId="19" name="papanII">#REF!</definedName>
    <definedName localSheetId="24" name="R86..">#REF!</definedName>
    <definedName name="catantara">#REF!</definedName>
    <definedName localSheetId="33" name="JUDUL1">#REF!</definedName>
    <definedName localSheetId="10" name="R20..">#REF!</definedName>
    <definedName localSheetId="28" name="plastikaerator">#REF!</definedName>
    <definedName localSheetId="41" name="eeeeee">#REF!</definedName>
    <definedName localSheetId="23" name="TANAH">#REF!</definedName>
    <definedName localSheetId="7" name="JUDUL">#REF!</definedName>
    <definedName localSheetId="3" name="_____MMM48">#REF!</definedName>
    <definedName localSheetId="7" name="Absen">#REF!</definedName>
    <definedName localSheetId="30" name="doorholder">#REF!</definedName>
    <definedName localSheetId="5" name="Uraian842">#REF!</definedName>
    <definedName localSheetId="0" name="URAIAN745">#REF!</definedName>
    <definedName localSheetId="0" name="namaabsen">#REF!</definedName>
    <definedName localSheetId="17" name="ubinkeramik2525">#REF!</definedName>
    <definedName localSheetId="7" name="FORM65">#REF!</definedName>
    <definedName localSheetId="41" name="gentengbeton">#REF!</definedName>
    <definedName localSheetId="5" name="_818FA">#REF!</definedName>
    <definedName localSheetId="24" name="_______MMM52">#REF!</definedName>
    <definedName localSheetId="11" name="URAIANLatasirK">#REF!</definedName>
    <definedName localSheetId="12" name="ubinteraso40">#REF!</definedName>
    <definedName localSheetId="44" name="teakwood6mm">#REF!</definedName>
    <definedName localSheetId="10" name="washtafel">#REF!</definedName>
    <definedName localSheetId="36" name="____HAL3">#REF!</definedName>
    <definedName localSheetId="3" name="URAIAN917">#REF!</definedName>
    <definedName name="medan8.15">#REF!</definedName>
    <definedName localSheetId="30" name="__LLL01">#REF!</definedName>
    <definedName localSheetId="34" name="tegelporselen">#REF!</definedName>
    <definedName localSheetId="4" name="__DIV10">#REF!</definedName>
    <definedName name="FORM744">#REF!</definedName>
    <definedName localSheetId="3" name="____HAL5">#REF!</definedName>
    <definedName localSheetId="8" name="rtrt">#REF!</definedName>
    <definedName localSheetId="17" name="___MMM41">#REF!</definedName>
    <definedName localSheetId="36" name="jurnal1">#REF!</definedName>
    <definedName localSheetId="28" name="___pvc05">#REF!</definedName>
    <definedName localSheetId="3" name="__MMM48">#REF!</definedName>
    <definedName localSheetId="8" name="___pvc105">#REF!</definedName>
    <definedName localSheetId="0" name="ASET">#REF!</definedName>
    <definedName localSheetId="6" name="_pvc3">#REF!</definedName>
    <definedName localSheetId="17" name="_____MMM36">#REF!</definedName>
    <definedName localSheetId="24" name="k.lnt.rmn.20.20.pls">#REF!</definedName>
    <definedName localSheetId="6" name="_________HAL3">#REF!</definedName>
    <definedName localSheetId="44" name="R24..">#REF!</definedName>
    <definedName localSheetId="21" name="R90..">#REF!</definedName>
    <definedName localSheetId="0" name="bondbeam">#REF!</definedName>
    <definedName localSheetId="21" name="________LLL02">#REF!</definedName>
    <definedName localSheetId="0" name="sunloid">#REF!</definedName>
    <definedName localSheetId="24" name="_________MMM39">#REF!</definedName>
    <definedName localSheetId="41" name="keramik20">#REF!</definedName>
    <definedName localSheetId="30" name="c.maxi">#REF!</definedName>
    <definedName localSheetId="21" name="tp80x80">#REF!</definedName>
    <definedName localSheetId="32" name="FRRDS">#REF!</definedName>
    <definedName localSheetId="7" name="tegelplinteraso10x30">#REF!</definedName>
    <definedName localSheetId="36" name="cendana">#REF!</definedName>
    <definedName localSheetId="3" name="besi16u">#REF!</definedName>
    <definedName localSheetId="44" name="_______MMM35">#REF!</definedName>
    <definedName localSheetId="8" name="_________DIV1">#REF!</definedName>
    <definedName localSheetId="20" name="URAIAN611">#REF!</definedName>
    <definedName localSheetId="10" name="gali">#REF!</definedName>
    <definedName localSheetId="17" name="_______DIV3">#REF!</definedName>
    <definedName localSheetId="18" name="SEKRETARIAT_DPRD">#REF!</definedName>
    <definedName localSheetId="27" name="plintubinteraluxmarmer1030">#REF!</definedName>
    <definedName localSheetId="19" name="vernis">#REF!</definedName>
    <definedName localSheetId="10" name="drkeet">#REF!</definedName>
    <definedName localSheetId="11" name="ts">#REF!</definedName>
    <definedName localSheetId="4" name="____HAL1">#REF!</definedName>
    <definedName localSheetId="24" name="____MMM23">#REF!</definedName>
    <definedName localSheetId="33" name="p.bI">#REF!</definedName>
    <definedName localSheetId="24" name="_________MMM21">#REF!</definedName>
    <definedName localSheetId="19" name="batutempelhitam">#REF!</definedName>
    <definedName name="waterstop300">#REF!</definedName>
    <definedName localSheetId="7" name="R75..">#REF!</definedName>
    <definedName localSheetId="4" name="Fak">#REF!</definedName>
    <definedName localSheetId="17" name="___DIV2">#REF!</definedName>
    <definedName localSheetId="39" name="plesteran13">#REF!</definedName>
    <definedName localSheetId="31" name="mlex.w">#REF!</definedName>
    <definedName localSheetId="7" name="______MMM28">#REF!</definedName>
    <definedName localSheetId="44" name="pvc.0.7.5.Mas.d">#REF!</definedName>
    <definedName localSheetId="12" name="KUANTITAS">#REF!</definedName>
    <definedName localSheetId="21" name="batuapung">#REF!</definedName>
    <definedName localSheetId="27" name="R10..">#REF!</definedName>
    <definedName localSheetId="3" name="gentengdecrabond">#REF!</definedName>
    <definedName localSheetId="44" name="_pc40">#REF!</definedName>
    <definedName localSheetId="10" name="jurnal">#REF!</definedName>
    <definedName localSheetId="8" name="__LLL02">#REF!</definedName>
    <definedName localSheetId="41" name="w.stain">#REF!</definedName>
    <definedName localSheetId="27" name="vinylkaretklII">#REF!</definedName>
    <definedName localSheetId="40" name="____DIV1">#REF!</definedName>
    <definedName localSheetId="17" name="________MMM10">#REF!</definedName>
    <definedName localSheetId="0" name="sofboard">#REF!</definedName>
    <definedName localSheetId="21" name="_________HAL8">#REF!</definedName>
    <definedName localSheetId="19" name="__DIV10">#REF!</definedName>
    <definedName localSheetId="11" name="terntang">#REF!</definedName>
    <definedName localSheetId="38" name="______HAL1">#REF!</definedName>
    <definedName localSheetId="42" name="mapel">#REF!</definedName>
    <definedName localSheetId="7" name="pakubulian">#REF!</definedName>
    <definedName localSheetId="24" name="grendeltanam">#REF!</definedName>
    <definedName localSheetId="13" name="e">#REF!</definedName>
    <definedName localSheetId="11" name="_tl2">#REF!</definedName>
    <definedName localSheetId="38" name="papanbekisting">#REF!</definedName>
    <definedName localSheetId="33" name="papan.m.3.20">#REF!</definedName>
    <definedName localSheetId="36" name="kawatsengpolos">#REF!</definedName>
    <definedName localSheetId="19" name="plintkeramikartistik1010">#REF!</definedName>
    <definedName localSheetId="9" name="_pvc2">#REF!</definedName>
    <definedName localSheetId="11" name="_____MMM03">#REF!</definedName>
    <definedName localSheetId="44" name="________MMM34">#REF!</definedName>
    <definedName localSheetId="32" name="FORM7612c">#REF!</definedName>
    <definedName localSheetId="24" name="Analisa713">#REF!</definedName>
    <definedName name="______MMM33">#REF!</definedName>
    <definedName localSheetId="44" name="URAIAN910">#REF!</definedName>
    <definedName localSheetId="24" name="____MMM14">#REF!</definedName>
    <definedName localSheetId="6" name="w">#REF!</definedName>
    <definedName localSheetId="3" name="__MMM33">#REF!</definedName>
    <definedName localSheetId="15" name="URAIAN771b">#REF!</definedName>
    <definedName localSheetId="21" name="Ker.L13">#REF!</definedName>
    <definedName name="besi16">#REF!</definedName>
    <definedName localSheetId="42" name="Closet.ddk">#REF!</definedName>
    <definedName localSheetId="3" name="_LLL06">#REF!</definedName>
    <definedName localSheetId="11" name="amplas">#REF!</definedName>
    <definedName localSheetId="8" name="R3..">#REF!</definedName>
    <definedName localSheetId="20" name="got">#REF!</definedName>
    <definedName localSheetId="44" name="FORM98">#REF!</definedName>
    <definedName localSheetId="24" name="SusunanOrg">#REF!</definedName>
    <definedName localSheetId="4" name="sengplatbjls25">#REF!</definedName>
    <definedName localSheetId="44" name="___DIV6">#REF!</definedName>
    <definedName localSheetId="3" name="_________MMM30">#REF!</definedName>
    <definedName localSheetId="13" name="Faktorial">#REF!</definedName>
    <definedName localSheetId="13" name="______DIV3">#REF!</definedName>
    <definedName localSheetId="13" name="nokpaten105">#REF!</definedName>
    <definedName localSheetId="12" name="Catbesi">#REF!</definedName>
    <definedName localSheetId="15" name="vinylkaret3030">#REF!</definedName>
    <definedName name="alba2.20">#REF!</definedName>
    <definedName localSheetId="8" name="urugan">#REF!</definedName>
    <definedName localSheetId="19" name="kayumarsawa">#REF!</definedName>
    <definedName localSheetId="24" name="____MMM03">#REF!</definedName>
    <definedName localSheetId="24" name="lem">#REF!</definedName>
    <definedName localSheetId="36" name="R60..">#REF!</definedName>
    <definedName localSheetId="38" name="terasocor">#REF!</definedName>
    <definedName localSheetId="8" name="__pvc05">#REF!</definedName>
    <definedName localSheetId="0" name="_______DIV1">#REF!</definedName>
    <definedName localSheetId="33" name="URAIAN21">#REF!</definedName>
    <definedName name="BAHU">#REF!</definedName>
    <definedName localSheetId="33" name="oemar">#REF!</definedName>
    <definedName localSheetId="44" name="jki">#REF!</definedName>
    <definedName localSheetId="4" name="_____DIV1">#REF!</definedName>
    <definedName localSheetId="39" name="_____MMM01">#REF!</definedName>
    <definedName localSheetId="18" name="kuncialfa">#REF!</definedName>
    <definedName localSheetId="41" name="batacote">#REF!</definedName>
    <definedName name="R68..">#REF!</definedName>
    <definedName localSheetId="27" name="FORM732">#REF!</definedName>
    <definedName localSheetId="38" name="kayubulian">#REF!</definedName>
    <definedName localSheetId="38" name="keramik40">#REF!</definedName>
    <definedName localSheetId="40" name="water.prof">#REF!</definedName>
    <definedName localSheetId="7" name="R55..">#REF!</definedName>
    <definedName localSheetId="7" name="_MMM24">#REF!</definedName>
    <definedName localSheetId="21" name="____HAL6">#REF!</definedName>
    <definedName localSheetId="20" name="kaca.p.5">#REF!</definedName>
    <definedName localSheetId="20" name="_LLL01">#REF!</definedName>
    <definedName localSheetId="24" name="FORM721">#REF!</definedName>
    <definedName localSheetId="41" name="_____HAL3">#REF!</definedName>
    <definedName localSheetId="24" name="______MMM45">#REF!</definedName>
    <definedName localSheetId="17" name="nokpaten108">#REF!</definedName>
    <definedName localSheetId="18" name="___HAL1">#REF!</definedName>
    <definedName localSheetId="18" name="plamour">#REF!</definedName>
    <definedName localSheetId="7" name="pakuhalus">#REF!</definedName>
    <definedName name="______MMM22">#REF!</definedName>
    <definedName localSheetId="4" name="plintubingranito1040">#REF!</definedName>
    <definedName localSheetId="21" name="_________MMM02">#REF!</definedName>
    <definedName localSheetId="9" name="KERAMIK30">#REF!</definedName>
    <definedName localSheetId="24" name="_____MMM35">#REF!</definedName>
    <definedName localSheetId="41" name="vinylkaret3030">#REF!</definedName>
    <definedName name="begisting">#REF!</definedName>
    <definedName localSheetId="8" name="cycllop">#REF!</definedName>
    <definedName localSheetId="41" name="_______DIV1">#REF!</definedName>
    <definedName localSheetId="41" name="spirtus">#REF!</definedName>
    <definedName localSheetId="19" name="R4..">#REF!</definedName>
    <definedName localSheetId="3" name="_________MMM09">#REF!</definedName>
    <definedName localSheetId="17" name="R66..">#REF!</definedName>
    <definedName localSheetId="12" name="ttnh">#REF!</definedName>
    <definedName localSheetId="21" name="_Ibr1">#REF!</definedName>
    <definedName localSheetId="36" name="jffhauifhauifhe">#REF!</definedName>
    <definedName localSheetId="34" name="FORM79manual">#REF!</definedName>
    <definedName name="_____DIV2">#REF!</definedName>
    <definedName localSheetId="7" name="B.Jambi">#REF!</definedName>
    <definedName localSheetId="30" name="atapaluminiumgelombang055">#REF!</definedName>
    <definedName name="u">#REF!</definedName>
    <definedName localSheetId="32" name="________HAL3">#REF!</definedName>
    <definedName localSheetId="44" name="plintubingranito1030">#REF!</definedName>
    <definedName localSheetId="38" name="borneo4.6">#REF!</definedName>
    <definedName localSheetId="17" name="R67..">#REF!</definedName>
    <definedName localSheetId="31" name="urugantanah">#REF!</definedName>
    <definedName localSheetId="21" name="ubinpcabuabu20">#REF!</definedName>
    <definedName localSheetId="42" name="tegelporselen">#REF!</definedName>
    <definedName localSheetId="0" name="washtafel">#REF!</definedName>
    <definedName localSheetId="3" name="______MMM27">#REF!</definedName>
    <definedName localSheetId="25" name="sementahanasam">#REF!</definedName>
    <definedName localSheetId="13" name="multi.18">#REF!</definedName>
    <definedName localSheetId="3" name="_________LLL05">#REF!</definedName>
    <definedName localSheetId="7" name="kran.ddg">#REF!</definedName>
    <definedName localSheetId="33" name="kacacermin6">#REF!</definedName>
    <definedName localSheetId="11" name="__MMM02">#REF!</definedName>
    <definedName localSheetId="32" name="batuapung">#REF!</definedName>
    <definedName localSheetId="32" name="aaaa">#REF!</definedName>
    <definedName localSheetId="15" name="kacawireglass5">#REF!</definedName>
    <definedName localSheetId="28" name="plintkeramikartistik1010">#REF!</definedName>
    <definedName localSheetId="31" name="________MMM03">#REF!</definedName>
    <definedName localSheetId="3" name="R34..">#REF!</definedName>
    <definedName localSheetId="23" name="lem">#REF!</definedName>
    <definedName localSheetId="0" name="FORM7612b">#REF!</definedName>
    <definedName localSheetId="17" name="teakoil">#REF!</definedName>
    <definedName name="FORM733">#REF!</definedName>
    <definedName localSheetId="40" name="kacacermin5">#REF!</definedName>
    <definedName localSheetId="13" name="_MMM01">#REF!</definedName>
    <definedName localSheetId="32" name="drainase">#REF!</definedName>
    <definedName localSheetId="21" name="URAIAN772c">#REF!</definedName>
    <definedName localSheetId="7" name="k.40.40.roman.crk">#REF!</definedName>
    <definedName localSheetId="6" name="_HAL1">#REF!</definedName>
    <definedName localSheetId="31" name="ASISTEN_BIDANG_PEMERINTAHAN">#REF!</definedName>
    <definedName localSheetId="44" name="________DIV4">#REF!</definedName>
    <definedName localSheetId="24" name="__DIV9">#REF!</definedName>
    <definedName localSheetId="12" name="terntang">#REF!</definedName>
    <definedName localSheetId="40" name="FORM323L">#REF!</definedName>
    <definedName localSheetId="17" name="plintubingranito1040">#REF!</definedName>
    <definedName localSheetId="7" name="____HAL8">#REF!</definedName>
    <definedName localSheetId="13" name="UTAIAN7614c">#REF!</definedName>
    <definedName localSheetId="27" name="lp">#REF!</definedName>
    <definedName localSheetId="7" name="jki">#REF!</definedName>
    <definedName localSheetId="11" name="kunci1slag">#REF!</definedName>
    <definedName localSheetId="39" name="bilikbambu">#REF!</definedName>
    <definedName localSheetId="24" name="nokpaten108">#REF!</definedName>
    <definedName localSheetId="32" name="URAIAN771a">#REF!</definedName>
    <definedName localSheetId="25" name="kategori">#REF!</definedName>
    <definedName localSheetId="0" name="________DIV1">#REF!</definedName>
    <definedName localSheetId="7" name="FORM772d">#REF!</definedName>
    <definedName localSheetId="21" name="_______MMM24">#REF!</definedName>
    <definedName localSheetId="41" name="URAIAN7612a">#REF!</definedName>
    <definedName localSheetId="7" name="kalkarium">#REF!</definedName>
    <definedName localSheetId="11" name="MMM17A">#REF!</definedName>
    <definedName localSheetId="10" name="plintkeramikartistik520">#REF!</definedName>
    <definedName localSheetId="4" name="plintubinteraluxmarmer1030">#REF!</definedName>
    <definedName localSheetId="34" name="nokgentengaspal">#REF!</definedName>
    <definedName localSheetId="6" name="Jasa">#REF!</definedName>
    <definedName localSheetId="34" name="gmp">#REF!</definedName>
    <definedName name="besi8sii">#REF!</definedName>
    <definedName localSheetId="17" name="___HAL5">#REF!</definedName>
    <definedName localSheetId="7" name="_____MMM53">#REF!</definedName>
    <definedName localSheetId="9" name="plintkeramikartistik1010">#REF!</definedName>
    <definedName localSheetId="8" name="________DIV3">#REF!</definedName>
    <definedName localSheetId="21" name="FORM721">#REF!</definedName>
    <definedName localSheetId="11" name="kompresor">#REF!</definedName>
    <definedName localSheetId="9" name="bubungangentengbesar">#REF!</definedName>
    <definedName localSheetId="6" name="b.belah">#REF!</definedName>
    <definedName localSheetId="7" name="_________MMM52">#REF!</definedName>
    <definedName localSheetId="7" name="_________LLL08">#REF!</definedName>
    <definedName localSheetId="24" name="___MMM02">#REF!</definedName>
    <definedName localSheetId="28" name="______HAL3">#REF!</definedName>
    <definedName localSheetId="10" name="sirlak">#REF!</definedName>
    <definedName localSheetId="24" name="URAIAN7613b">#REF!</definedName>
    <definedName localSheetId="30" name="ubinwarna20">#REF!</definedName>
    <definedName localSheetId="3" name="__MMM16">#REF!</definedName>
    <definedName localSheetId="32" name="LAP">#REF!</definedName>
    <definedName localSheetId="33" name="lemvinyl">#REF!</definedName>
    <definedName localSheetId="3" name="tegelplin20x20">#REF!</definedName>
    <definedName name="_________LLL07">#REF!</definedName>
    <definedName localSheetId="4" name="ss">#REF!</definedName>
    <definedName localSheetId="10" name="Analisa55">#REF!</definedName>
    <definedName localSheetId="17" name="______LLL06">#REF!</definedName>
    <definedName localSheetId="27" name="beton225r">#REF!</definedName>
    <definedName localSheetId="5" name="kunciselot">#REF!</definedName>
    <definedName localSheetId="3" name="bubunganasbesnok">#REF!</definedName>
    <definedName localSheetId="11" name="URAIAN771b">#REF!</definedName>
    <definedName localSheetId="8" name="y">#REF!</definedName>
    <definedName localSheetId="7" name="_____LLL09">#REF!</definedName>
    <definedName localSheetId="18" name="begisting">#REF!</definedName>
    <definedName localSheetId="17" name="________LLL06">#REF!</definedName>
    <definedName localSheetId="3" name="FORM7614d">#REF!</definedName>
    <definedName localSheetId="21" name="FORM916">#REF!</definedName>
    <definedName localSheetId="27" name="FORM841">#REF!</definedName>
    <definedName localSheetId="39" name="gypsum.prf">#REF!</definedName>
    <definedName localSheetId="9" name="papanbulian">#REF!</definedName>
    <definedName localSheetId="12" name="baru">#REF!</definedName>
    <definedName localSheetId="6" name="plamur.matex">#REF!</definedName>
    <definedName localSheetId="11" name="DAYWORKS">#REF!</definedName>
    <definedName localSheetId="24" name="__MMM38">#REF!</definedName>
    <definedName localSheetId="44" name="_____MMM16">#REF!</definedName>
    <definedName localSheetId="32" name="_____MMM03">#REF!</definedName>
    <definedName localSheetId="20" name="____HAL1">#REF!</definedName>
    <definedName localSheetId="40" name="___DIV1">#REF!</definedName>
    <definedName localSheetId="30" name="aaaaa">#REF!</definedName>
    <definedName localSheetId="44" name="batuporos">#REF!</definedName>
    <definedName localSheetId="0" name="gentengaspal">#REF!</definedName>
    <definedName localSheetId="44" name="__MMM33">#REF!</definedName>
    <definedName localSheetId="24" name="besi8sii">#REF!</definedName>
    <definedName localSheetId="32" name="plamour">#REF!</definedName>
    <definedName localSheetId="18" name="e">#REF!</definedName>
    <definedName localSheetId="33" name="kaca8">#REF!</definedName>
    <definedName localSheetId="7" name="____HAL6">#REF!</definedName>
    <definedName localSheetId="33" name="___pvc205">#REF!</definedName>
    <definedName localSheetId="10" name="__DIV3">#REF!</definedName>
    <definedName localSheetId="21" name="R78..">#REF!</definedName>
    <definedName localSheetId="18" name="engsel3">#REF!</definedName>
    <definedName localSheetId="33" name="________DIV1">#REF!</definedName>
    <definedName localSheetId="21" name="_MMM02">#REF!</definedName>
    <definedName localSheetId="3" name="mlex.w">#REF!</definedName>
    <definedName localSheetId="17" name="__pc40">#REF!</definedName>
    <definedName localSheetId="8" name="engsel3">#REF!</definedName>
    <definedName name="URAIAN731">#REF!</definedName>
    <definedName localSheetId="20" name="split2.3">#REF!</definedName>
    <definedName localSheetId="6" name="kacapolos3mm">#REF!</definedName>
    <definedName localSheetId="7" name="borneo5.10">#REF!</definedName>
    <definedName localSheetId="38" name="P">#REF!</definedName>
    <definedName localSheetId="30" name="plintubinteraluxkerang1040">#REF!</definedName>
    <definedName localSheetId="24" name="nokstelrata092">#REF!</definedName>
    <definedName localSheetId="21" name="nokstelrata092">#REF!</definedName>
    <definedName localSheetId="17" name="gggg">#REF!</definedName>
    <definedName localSheetId="30" name="aaaa">#REF!</definedName>
    <definedName localSheetId="44" name="_______MMM14">#REF!</definedName>
    <definedName localSheetId="24" name="medan5.7">#REF!</definedName>
    <definedName localSheetId="39" name="plintubinteraso1040">#REF!</definedName>
    <definedName localSheetId="0" name="URAIAN771b">#REF!</definedName>
    <definedName localSheetId="18" name="ts">#REF!</definedName>
    <definedName localSheetId="17" name="R41..">#REF!</definedName>
    <definedName localSheetId="7" name="_________MMM48">#REF!</definedName>
    <definedName localSheetId="38" name="atapaluminiumgelombang055">#REF!</definedName>
    <definedName name="Jendelabesibaja">#REF!</definedName>
    <definedName localSheetId="36" name="FORM79manual">#REF!</definedName>
    <definedName localSheetId="31" name="RoolingdoorAlumunium">#REF!</definedName>
    <definedName localSheetId="34" name="kayutembesu">#REF!</definedName>
    <definedName localSheetId="17" name="P">#REF!</definedName>
    <definedName localSheetId="42" name="jamtandem">#REF!</definedName>
    <definedName localSheetId="42" name="beton175m">#REF!</definedName>
    <definedName localSheetId="24" name="kawatduri">#REF!</definedName>
    <definedName localSheetId="7" name="_LLL07">#REF!</definedName>
    <definedName localSheetId="12" name="R51..">#REF!</definedName>
    <definedName localSheetId="19" name="URAIAN79mekanis">#REF!</definedName>
    <definedName localSheetId="3" name="kayuborneo">#REF!</definedName>
    <definedName localSheetId="12" name="lem">#REF!</definedName>
    <definedName localSheetId="44" name="Batupuru">#REF!</definedName>
    <definedName localSheetId="44" name="metal">#REF!</definedName>
    <definedName localSheetId="17" name="_____MMM19">#REF!</definedName>
    <definedName localSheetId="36" name="FORM633">#REF!</definedName>
    <definedName localSheetId="3" name="______LLL09">#REF!</definedName>
    <definedName localSheetId="15" name="closedjongkok">#REF!</definedName>
    <definedName localSheetId="10" name="________DIV10">#REF!</definedName>
    <definedName localSheetId="44" name="_______LLL05">#REF!</definedName>
    <definedName localSheetId="31" name="teakwood6mm">#REF!</definedName>
    <definedName localSheetId="23" name="tky">#REF!</definedName>
    <definedName localSheetId="6" name="AAAAAAA">#REF!</definedName>
    <definedName localSheetId="21" name="___MMM23">#REF!</definedName>
    <definedName localSheetId="6" name="mapel">#REF!</definedName>
    <definedName localSheetId="20" name="FORM745">#REF!</definedName>
    <definedName localSheetId="44" name="batutempelhitam">#REF!</definedName>
    <definedName localSheetId="3" name="_______HAL8">#REF!</definedName>
    <definedName localSheetId="42" name="kayuborneo">#REF!</definedName>
    <definedName localSheetId="21" name="FORM323L">#REF!</definedName>
    <definedName localSheetId="44" name="NAMA2">#REF!</definedName>
    <definedName localSheetId="44" name="_MMM33">#REF!</definedName>
    <definedName localSheetId="44" name="______LLL06">#REF!</definedName>
    <definedName name="________MMM16">#REF!</definedName>
    <definedName localSheetId="39" name="kaca3">#REF!</definedName>
    <definedName name="_______MMM44">#REF!</definedName>
    <definedName localSheetId="12" name="R5..">#REF!</definedName>
    <definedName localSheetId="7" name="____MMM32">#REF!</definedName>
    <definedName localSheetId="15" name="rollingdoor">#REF!</definedName>
    <definedName localSheetId="9" name="nokpaten092">#REF!</definedName>
    <definedName localSheetId="20" name="__DIV3">#REF!</definedName>
    <definedName localSheetId="40" name="tl2x40">#REF!</definedName>
    <definedName localSheetId="40" name="lemvinyl">#REF!</definedName>
    <definedName name="__MMM32">#REF!</definedName>
    <definedName localSheetId="7" name="____MMM22">#REF!</definedName>
    <definedName localSheetId="44" name="mowi.ws">#REF!</definedName>
    <definedName localSheetId="42" name="_________MMM03">#REF!</definedName>
    <definedName localSheetId="32" name="mowi.ws">#REF!</definedName>
    <definedName localSheetId="44" name="Skrup">#REF!</definedName>
    <definedName localSheetId="39" name="_________DIV2">#REF!</definedName>
    <definedName localSheetId="42" name="batupecah">#REF!</definedName>
    <definedName localSheetId="3" name="pakupancing">#REF!</definedName>
    <definedName name="Excel_BuiltIn_Print_Titles_3">#REF!</definedName>
    <definedName localSheetId="44" name="______MMM15">#REF!</definedName>
    <definedName localSheetId="36" name="tm_2415921492">#REF!</definedName>
    <definedName localSheetId="38" name="data2">#REF!</definedName>
    <definedName localSheetId="17" name="btn">#REF!</definedName>
    <definedName localSheetId="31" name="beton.225m">#REF!</definedName>
    <definedName localSheetId="5" name="dasar">#REF!</definedName>
    <definedName localSheetId="28" name="URAIAN">#REF!</definedName>
    <definedName localSheetId="32" name="pagarseng2m">#REF!</definedName>
    <definedName localSheetId="40" name="ASET">#REF!</definedName>
    <definedName localSheetId="7" name="_____MMM28">#REF!</definedName>
    <definedName localSheetId="3" name="gggg">#REF!</definedName>
    <definedName localSheetId="44" name="DUDI">#REF!</definedName>
    <definedName localSheetId="18" name="_HAL5">#REF!</definedName>
    <definedName localSheetId="28" name="PT">#REF!</definedName>
    <definedName localSheetId="32" name="DFFFGGG">#REF!</definedName>
    <definedName localSheetId="41" name="kaca.p.5">#REF!</definedName>
    <definedName localSheetId="7" name="pvc4d">#REF!</definedName>
    <definedName localSheetId="4" name="p.triplek">#REF!</definedName>
    <definedName localSheetId="11" name="nokgentengaspal">#REF!</definedName>
    <definedName localSheetId="10" name="catpenutup2kali">#REF!</definedName>
    <definedName localSheetId="21" name="pipatanah">#REF!</definedName>
    <definedName localSheetId="15" name="jffhauifhauifhe">#REF!</definedName>
    <definedName localSheetId="39" name="pipatanah">#REF!</definedName>
    <definedName localSheetId="42" name="ubinkeramik1515">#REF!</definedName>
    <definedName localSheetId="0" name="__HAL3">#REF!</definedName>
    <definedName localSheetId="6" name="urugankembali">#REF!</definedName>
    <definedName localSheetId="36" name="MINOR">#REF!</definedName>
    <definedName localSheetId="42" name="_______HAL1">#REF!</definedName>
    <definedName localSheetId="34" name="got">#REF!</definedName>
    <definedName localSheetId="6" name="_LLL02">#REF!</definedName>
    <definedName localSheetId="20" name="NAMA3">#REF!</definedName>
    <definedName localSheetId="24" name="_________MMM07">#REF!</definedName>
    <definedName localSheetId="27" name="plintubingranito1040">#REF!</definedName>
    <definedName name="_______DIV5">#REF!</definedName>
    <definedName localSheetId="44" name="_______MMM10">#REF!</definedName>
    <definedName localSheetId="0" name="______DIV3">#REF!</definedName>
    <definedName localSheetId="31" name="URAIAN66PERMUKAAN">#REF!</definedName>
    <definedName localSheetId="3" name="FORM744">#REF!</definedName>
    <definedName localSheetId="44" name="R10..">#REF!</definedName>
    <definedName localSheetId="15" name="FORM7614c">#REF!</definedName>
    <definedName localSheetId="19" name="plywood4mm">#REF!</definedName>
    <definedName localSheetId="32" name="kaca8">#REF!</definedName>
    <definedName localSheetId="11" name="pintulipat">#REF!</definedName>
    <definedName localSheetId="10" name="____DIV2">#REF!</definedName>
    <definedName localSheetId="3" name="_________MMM42">#REF!</definedName>
    <definedName localSheetId="13" name="URAIAN21">#REF!</definedName>
    <definedName localSheetId="17" name="Excel_BuiltIn_Print_Titles_3">#REF!</definedName>
    <definedName name="_________MMM25">#REF!</definedName>
    <definedName name="R90..">#REF!</definedName>
    <definedName localSheetId="5" name="Analisa511">#REF!</definedName>
    <definedName localSheetId="24" name="______LLL07">#REF!</definedName>
    <definedName localSheetId="19" name="keramik30x30">#REF!</definedName>
    <definedName localSheetId="32" name="plywood4mm">#REF!</definedName>
    <definedName localSheetId="24" name="terasocor">#REF!</definedName>
    <definedName name="URAIAN234L">#REF!</definedName>
    <definedName localSheetId="25" name="kacacermin5">#REF!</definedName>
    <definedName localSheetId="41" name="URAIAN323L">#REF!</definedName>
    <definedName localSheetId="32" name="______DIV2">#REF!</definedName>
    <definedName localSheetId="3" name="ss">#REF!</definedName>
    <definedName localSheetId="6" name="tpipa">#REF!</definedName>
    <definedName localSheetId="13" name="kayukulim">#REF!</definedName>
    <definedName localSheetId="18" name="kaca5">#REF!</definedName>
    <definedName localSheetId="24" name="________MMM36">#REF!</definedName>
    <definedName localSheetId="8" name="___MMM02">#REF!</definedName>
    <definedName localSheetId="19" name="FORM79manual">#REF!</definedName>
    <definedName localSheetId="44" name="vinylasbes">#REF!</definedName>
    <definedName localSheetId="15" name="kawatnyamuk">#REF!</definedName>
    <definedName localSheetId="17" name="______MMM19">#REF!</definedName>
    <definedName localSheetId="3" name="R71..">#REF!</definedName>
    <definedName localSheetId="0" name="________HAL3">#REF!</definedName>
    <definedName localSheetId="44" name="engsel4">#REF!</definedName>
    <definedName localSheetId="10" name="batapelapisdinding">#REF!</definedName>
    <definedName localSheetId="17" name="________DIV2">#REF!</definedName>
    <definedName localSheetId="28" name="Z">#REF!</definedName>
    <definedName localSheetId="8" name="Excel_BuiltIn_Print_Titles_10">#REF!</definedName>
    <definedName localSheetId="17" name="__MMM10">#REF!</definedName>
    <definedName localSheetId="4" name="_HAL1">#REF!</definedName>
    <definedName localSheetId="3" name="___LLL07">#REF!</definedName>
    <definedName localSheetId="17" name="plywood4">#REF!</definedName>
    <definedName localSheetId="23" name="______DIV3">#REF!</definedName>
    <definedName localSheetId="42" name="beton.225m">#REF!</definedName>
    <definedName localSheetId="0" name="Z">#REF!</definedName>
    <definedName localSheetId="24" name="______MMM17">#REF!</definedName>
    <definedName localSheetId="12" name="tlistrik">#REF!</definedName>
    <definedName localSheetId="44" name="ubinteraluxkerang60">#REF!</definedName>
    <definedName localSheetId="11" name="papanII">#REF!</definedName>
    <definedName localSheetId="42" name="Excel_BuiltIn_Print_Titles_10">#REF!</definedName>
    <definedName localSheetId="20" name="_______DIV4">#REF!</definedName>
    <definedName localSheetId="11" name="bubungangentengkodok">#REF!</definedName>
    <definedName localSheetId="10" name="rooflightfiibreglass">#REF!</definedName>
    <definedName localSheetId="21" name="_____MMM01">#REF!</definedName>
    <definedName localSheetId="23" name="Papanbouplank">#REF!</definedName>
    <definedName localSheetId="0" name="URAIAN7613a">#REF!</definedName>
    <definedName localSheetId="4" name="MMM17A">#REF!</definedName>
    <definedName localSheetId="27" name="LAINLAIN">#REF!</definedName>
    <definedName localSheetId="23" name="Excel_BuiltIn_Print_Area_10">#REF!</definedName>
    <definedName localSheetId="40" name="FORM632">#REF!</definedName>
    <definedName localSheetId="44" name="tes">#REF!</definedName>
    <definedName localSheetId="21" name="R15..">#REF!</definedName>
    <definedName localSheetId="0" name="kaca12">#REF!</definedName>
    <definedName localSheetId="7" name="keramik30x30">#REF!</definedName>
    <definedName localSheetId="41" name="MATERIAL">#REF!</definedName>
    <definedName localSheetId="4" name="gmp">#REF!</definedName>
    <definedName localSheetId="24" name="seng30">#REF!</definedName>
    <definedName name="_LLL07">#REF!</definedName>
    <definedName localSheetId="44" name="__MMM22">#REF!</definedName>
    <definedName localSheetId="39" name="____DIV1">#REF!</definedName>
    <definedName localSheetId="39" name="_pvc205">#REF!</definedName>
    <definedName localSheetId="12" name="seng25">#REF!</definedName>
    <definedName localSheetId="20" name="bouwplnk">#REF!</definedName>
    <definedName localSheetId="7" name="hollowblok">#REF!</definedName>
    <definedName localSheetId="44" name="_kop6">#REF!</definedName>
    <definedName localSheetId="38" name="sengplatbjls24">#REF!</definedName>
    <definedName localSheetId="17" name="Per">#REF!</definedName>
    <definedName localSheetId="44" name="URAIAN912">#REF!</definedName>
    <definedName localSheetId="15" name="______MMM01">#REF!</definedName>
    <definedName localSheetId="17" name="_____MMM35">#REF!</definedName>
    <definedName localSheetId="24" name="pvc1.2.aw">#REF!</definedName>
    <definedName localSheetId="5" name="KECAMATAN_KODEOHA">#REF!</definedName>
    <definedName localSheetId="30" name="koralbeton">#REF!</definedName>
    <definedName localSheetId="40" name="FORM721">#REF!</definedName>
    <definedName localSheetId="44" name="______DIV7">#REF!</definedName>
    <definedName localSheetId="3" name="ppnip">#REF!</definedName>
    <definedName localSheetId="7" name="___MMM30">#REF!</definedName>
    <definedName name="_______MMM47">#REF!</definedName>
    <definedName localSheetId="18" name="k.40.40.roman.crk">#REF!</definedName>
    <definedName localSheetId="17" name="URAIAN623">#REF!</definedName>
    <definedName localSheetId="20" name="catantara">#REF!</definedName>
    <definedName localSheetId="31" name="URAIAN7612b">#REF!</definedName>
    <definedName localSheetId="21" name="_________DIV5">#REF!</definedName>
    <definedName localSheetId="18" name="_________HAL2">#REF!</definedName>
    <definedName localSheetId="17" name="_______DIV8">#REF!</definedName>
    <definedName localSheetId="27" name="nokpaten092">#REF!</definedName>
    <definedName localSheetId="20" name="___HAL2">#REF!</definedName>
    <definedName localSheetId="15" name="kmp.banjar">#REF!</definedName>
    <definedName localSheetId="36" name="JL_NAS">#REF!</definedName>
    <definedName localSheetId="33" name="_______HAL1">#REF!</definedName>
    <definedName localSheetId="7" name="________MMM27">#REF!</definedName>
    <definedName localSheetId="36" name="sodaapi">#REF!</definedName>
    <definedName name="terntang">#REF!</definedName>
    <definedName name="eeeeee">#REF!</definedName>
    <definedName localSheetId="40" name="doorholder">#REF!</definedName>
    <definedName localSheetId="13" name="vernis">#REF!</definedName>
    <definedName localSheetId="19" name="papanjelutung">#REF!</definedName>
    <definedName localSheetId="24" name="________MMM18">#REF!</definedName>
    <definedName localSheetId="44" name="Fak">#REF!</definedName>
    <definedName localSheetId="9" name="kacawireglass5">#REF!</definedName>
    <definedName localSheetId="30" name="lis">#REF!</definedName>
    <definedName localSheetId="21" name="nokgentengaspal">#REF!</definedName>
    <definedName localSheetId="13" name="FORM7613c">#REF!</definedName>
    <definedName localSheetId="17" name="______MMM38">#REF!</definedName>
    <definedName localSheetId="44" name="___MMM39">#REF!</definedName>
    <definedName localSheetId="39" name="semenwarna">#REF!</definedName>
    <definedName localSheetId="21" name="R37..">#REF!</definedName>
    <definedName name="R41..">#REF!</definedName>
    <definedName localSheetId="33" name="MAI">#REF!</definedName>
    <definedName localSheetId="44" name="______LLL10">#REF!</definedName>
    <definedName localSheetId="15" name="____HAL2">#REF!</definedName>
    <definedName localSheetId="31" name="__DIV2">#REF!</definedName>
    <definedName localSheetId="42" name="___DIV1">#REF!</definedName>
    <definedName localSheetId="34" name="sementahanasam">#REF!</definedName>
    <definedName localSheetId="3" name="plesteran13">#REF!</definedName>
    <definedName localSheetId="3" name="_________LLL04">#REF!</definedName>
    <definedName localSheetId="3" name="bubungangentengkodok">#REF!</definedName>
    <definedName localSheetId="17" name="besijaringkawatbaja">#REF!</definedName>
    <definedName localSheetId="33" name="MINOR">#REF!</definedName>
    <definedName name="URAIAN7614a">#REF!</definedName>
    <definedName localSheetId="41" name="batuporos">#REF!</definedName>
    <definedName localSheetId="36" name="pp">#REF!</definedName>
    <definedName localSheetId="31" name="kompresor">#REF!</definedName>
    <definedName localSheetId="6" name="Tbt">#REF!</definedName>
    <definedName localSheetId="10" name="BAJA">#REF!</definedName>
    <definedName name="_MMM18">#REF!</definedName>
    <definedName localSheetId="25" name="urugan">#REF!</definedName>
    <definedName localSheetId="34" name="jj">#REF!</definedName>
    <definedName localSheetId="33" name="badkip">#REF!</definedName>
    <definedName localSheetId="28" name="tky">#REF!</definedName>
    <definedName localSheetId="25" name="ASET">#REF!</definedName>
    <definedName localSheetId="3" name="siap1">#REF!</definedName>
    <definedName localSheetId="34" name="lemvinyl">#REF!</definedName>
    <definedName localSheetId="31" name="__pvc2">#REF!</definedName>
    <definedName localSheetId="21" name="____MMM33">#REF!</definedName>
    <definedName localSheetId="42" name="panelbetonpracetak">#REF!</definedName>
    <definedName localSheetId="5" name="________HAL1">#REF!</definedName>
    <definedName localSheetId="3" name="besipresstressedpolos">#REF!</definedName>
    <definedName localSheetId="34" name="minyaksolar">#REF!</definedName>
    <definedName localSheetId="44" name="R84..">#REF!</definedName>
    <definedName localSheetId="36" name="plintkeramikartistik520">#REF!</definedName>
    <definedName localSheetId="3" name="wallpaper">#REF!</definedName>
    <definedName localSheetId="41" name="URAIAN744">#REF!</definedName>
    <definedName localSheetId="41" name="ASISTEN_BIDANG_PEMERINTAHAN">#REF!</definedName>
    <definedName localSheetId="44" name="waterstop200">#REF!</definedName>
    <definedName localSheetId="0" name="kunci2slag">#REF!</definedName>
    <definedName localSheetId="0" name="teakwood9mm">#REF!</definedName>
    <definedName localSheetId="34" name="_________MMM03">#REF!</definedName>
    <definedName localSheetId="3" name="URAIAN911">#REF!</definedName>
    <definedName localSheetId="17" name="plywood6mm">#REF!</definedName>
    <definedName localSheetId="6" name="FORM7614b">#REF!</definedName>
    <definedName localSheetId="7" name="semen50">#REF!</definedName>
    <definedName localSheetId="34" name="ramset">#REF!</definedName>
    <definedName localSheetId="0" name="FORM323L">#REF!</definedName>
    <definedName localSheetId="7" name="pakupancing">#REF!</definedName>
    <definedName localSheetId="9" name="gypsum.prf">#REF!</definedName>
    <definedName localSheetId="19" name="sirlak">#REF!</definedName>
    <definedName localSheetId="0" name="B.Aparatur">#REF!</definedName>
    <definedName localSheetId="41" name="pakuskrup">#REF!</definedName>
    <definedName localSheetId="18" name="Skrup">#REF!</definedName>
    <definedName localSheetId="5" name="__DIV3">#REF!</definedName>
    <definedName localSheetId="17" name="kategori">#REF!</definedName>
    <definedName localSheetId="15" name="strorox">#REF!</definedName>
    <definedName localSheetId="5" name="Catbesi">#REF!</definedName>
    <definedName localSheetId="24" name="pvc2d">#REF!</definedName>
    <definedName localSheetId="41" name="akustikarmstrong">#REF!</definedName>
    <definedName localSheetId="34" name="p.triplek">#REF!</definedName>
    <definedName localSheetId="4" name="tegelporselen">#REF!</definedName>
    <definedName localSheetId="32" name="klosetjongkok">#REF!</definedName>
    <definedName localSheetId="5" name="URAIAN611">#REF!</definedName>
    <definedName localSheetId="17" name="URAIAN772b">#REF!</definedName>
    <definedName localSheetId="28" name="_________DIV1">#REF!</definedName>
    <definedName localSheetId="3" name="__HAL5">#REF!</definedName>
    <definedName localSheetId="3" name="vinylasbes">#REF!</definedName>
    <definedName localSheetId="27" name="doorholder">#REF!</definedName>
    <definedName localSheetId="36" name="batukali14">#REF!</definedName>
    <definedName localSheetId="31" name="ubinkeramik1020">#REF!</definedName>
    <definedName localSheetId="17" name="gali">#REF!</definedName>
    <definedName localSheetId="13" name="______DIV4">#REF!</definedName>
    <definedName localSheetId="7" name="___MMM15">#REF!</definedName>
    <definedName localSheetId="23" name="eeeeee">#REF!</definedName>
    <definedName localSheetId="30" name="mowi.ws">#REF!</definedName>
    <definedName name="________DIV5">#REF!</definedName>
    <definedName localSheetId="5" name="R1..">#REF!</definedName>
    <definedName name="__HAL3">#REF!</definedName>
    <definedName localSheetId="28" name="___HAL2">#REF!</definedName>
    <definedName localSheetId="6" name="Ker.L13">#REF!</definedName>
    <definedName localSheetId="7" name="doorholder">#REF!</definedName>
    <definedName localSheetId="0" name="URAIAN7614d">#REF!</definedName>
    <definedName localSheetId="12" name="leni">#REF!</definedName>
    <definedName localSheetId="3" name="k.ddg.rmn.20.25.pls">#REF!</definedName>
    <definedName localSheetId="12" name="FORM771c">#REF!</definedName>
    <definedName localSheetId="4" name="STRUKTUR">#REF!</definedName>
    <definedName localSheetId="21" name="Uraian8410">#REF!</definedName>
    <definedName localSheetId="8" name="URAIAN771c">#REF!</definedName>
    <definedName localSheetId="24" name="_LLL08">#REF!</definedName>
    <definedName localSheetId="39" name="pasirpas">#REF!</definedName>
    <definedName localSheetId="24" name="ktbs">#REF!</definedName>
    <definedName localSheetId="3" name="_818PK">#REF!</definedName>
    <definedName localSheetId="41" name="___DIV1">#REF!</definedName>
    <definedName localSheetId="7" name="URAIANLatasirKL">#REF!</definedName>
    <definedName localSheetId="24" name="kaca.p.5">#REF!</definedName>
    <definedName localSheetId="17" name="_____MMM04">#REF!</definedName>
    <definedName localSheetId="44" name="nokstelrata105">#REF!</definedName>
    <definedName localSheetId="24" name="vinylwallcovering">#REF!</definedName>
    <definedName localSheetId="17" name="___DIV10">#REF!</definedName>
    <definedName localSheetId="42" name="bjls30">#REF!</definedName>
    <definedName localSheetId="4" name="ubinkeramik1515">#REF!</definedName>
    <definedName localSheetId="36" name="_LLL01">#REF!</definedName>
    <definedName localSheetId="3" name="________HAL1">#REF!</definedName>
    <definedName localSheetId="6" name="___DIV2">#REF!</definedName>
    <definedName localSheetId="18" name="rollingdoor">#REF!</definedName>
    <definedName localSheetId="18" name="LAP">#REF!</definedName>
    <definedName localSheetId="7" name="Aluminium">#REF!</definedName>
    <definedName localSheetId="8" name="_____HAL1">#REF!</definedName>
    <definedName localSheetId="24" name="tlistrik">#REF!</definedName>
    <definedName localSheetId="27" name="Lamp">#REF!</definedName>
    <definedName localSheetId="17" name="R36..">#REF!</definedName>
    <definedName localSheetId="3" name="sengplatbjls24">#REF!</definedName>
    <definedName localSheetId="20" name="dua">#REF!</definedName>
    <definedName localSheetId="9" name="plintubinwarna1020">#REF!</definedName>
    <definedName localSheetId="44" name="besi6sii">#REF!</definedName>
    <definedName localSheetId="7" name="_________MMM17">#REF!</definedName>
    <definedName localSheetId="20" name="Jendelabesibaja">#REF!</definedName>
    <definedName localSheetId="24" name="R104..">#REF!</definedName>
    <definedName localSheetId="18" name="ramset">#REF!</definedName>
    <definedName localSheetId="36" name="sunloid">#REF!</definedName>
    <definedName localSheetId="24" name="Kunci2">#REF!</definedName>
    <definedName localSheetId="4" name="kuncitanam">#REF!</definedName>
    <definedName localSheetId="40" name="tegel20">#REF!</definedName>
    <definedName localSheetId="15" name="sodaapi">#REF!</definedName>
    <definedName localSheetId="6" name="jffhauifhauifhe">#REF!</definedName>
    <definedName localSheetId="4" name="FORM611">#REF!</definedName>
    <definedName localSheetId="8" name="p.triplek">#REF!</definedName>
    <definedName localSheetId="7" name="__LLL02">#REF!</definedName>
    <definedName name="_______LLL09">#REF!</definedName>
    <definedName localSheetId="10" name="_818FA">#REF!</definedName>
    <definedName localSheetId="41" name="rtrt">#REF!</definedName>
    <definedName localSheetId="42" name="gali">#REF!</definedName>
    <definedName localSheetId="27" name="Excel_BuiltIn_Print_Area_1">#REF!</definedName>
    <definedName localSheetId="34" name="bondbeam">#REF!</definedName>
    <definedName localSheetId="30" name="jki">#REF!</definedName>
    <definedName localSheetId="33" name="grendel3">#REF!</definedName>
    <definedName localSheetId="33" name="paku5.7.10">#REF!</definedName>
    <definedName localSheetId="4" name="panelbetonpracetak">#REF!</definedName>
    <definedName localSheetId="11" name="________DIV4">#REF!</definedName>
    <definedName name="Uraian8410">#REF!</definedName>
    <definedName localSheetId="17" name="URAIAN771a">#REF!</definedName>
    <definedName localSheetId="7" name="p.kmp.smrd.3.20">#REF!</definedName>
    <definedName localSheetId="17" name="nmdaerah">#REF!</definedName>
    <definedName localSheetId="17" name="______HAL4">#REF!</definedName>
    <definedName localSheetId="25" name="teakwood6mm">#REF!</definedName>
    <definedName localSheetId="27" name="pp">#REF!</definedName>
    <definedName localSheetId="21" name="___MMM47">#REF!</definedName>
    <definedName localSheetId="10" name="pintubesibaja">#REF!</definedName>
    <definedName localSheetId="24" name="________MMM02">#REF!</definedName>
    <definedName localSheetId="31" name="f.drain">#REF!</definedName>
    <definedName localSheetId="10" name="plintubinkeramikartistik1020">#REF!</definedName>
    <definedName localSheetId="21" name="engselangin">#REF!</definedName>
    <definedName localSheetId="28" name="_pvc205">#REF!</definedName>
    <definedName localSheetId="21" name="closedjongkok">#REF!</definedName>
    <definedName localSheetId="17" name="Status">#REF!</definedName>
    <definedName localSheetId="28" name="beton100kg">#REF!</definedName>
    <definedName localSheetId="15" name="________DIV3">#REF!</definedName>
    <definedName localSheetId="44" name="____MMM25">#REF!</definedName>
    <definedName localSheetId="41" name="tbkr">#REF!</definedName>
    <definedName localSheetId="13" name="kawatduri">#REF!</definedName>
    <definedName localSheetId="17" name="_______MMM34">#REF!</definedName>
    <definedName localSheetId="7" name="________MMM48">#REF!</definedName>
    <definedName localSheetId="21" name="R73..">#REF!</definedName>
    <definedName localSheetId="15" name="R51..">#REF!</definedName>
    <definedName localSheetId="44" name="____HAL7">#REF!</definedName>
    <definedName localSheetId="44" name="________HAL8">#REF!</definedName>
    <definedName localSheetId="36" name="minyaksolar">#REF!</definedName>
    <definedName localSheetId="25" name="Ktbt">#REF!</definedName>
    <definedName localSheetId="0" name="profilalumuniumT">#REF!</definedName>
    <definedName localSheetId="42" name="UTAIAN7614c">#REF!</definedName>
    <definedName name="ubinkeramik2020">#REF!</definedName>
    <definedName localSheetId="23" name="__DIV3">#REF!</definedName>
    <definedName localSheetId="0" name="ubinwarna40">#REF!</definedName>
    <definedName localSheetId="17" name="_____LLL08">#REF!</definedName>
    <definedName localSheetId="44" name="_DIV5">#REF!</definedName>
    <definedName localSheetId="3" name="FORM771d">#REF!</definedName>
    <definedName localSheetId="12" name="tegelporselen10x20warna">#REF!</definedName>
    <definedName localSheetId="5" name="_________MMM02">#REF!</definedName>
    <definedName localSheetId="34" name="kategori">#REF!</definedName>
    <definedName localSheetId="38" name="p.kmp.smrd.3.20">#REF!</definedName>
    <definedName localSheetId="0" name="_DIV2">#REF!</definedName>
    <definedName localSheetId="18" name="beton175R">#REF!</definedName>
    <definedName localSheetId="44" name="bakcuciteraso">#REF!</definedName>
    <definedName localSheetId="40" name="borneo4.6">#REF!</definedName>
    <definedName localSheetId="13" name="JA">#REF!</definedName>
    <definedName localSheetId="34" name="RPHL">#REF!</definedName>
    <definedName localSheetId="17" name="BAHU">#REF!</definedName>
    <definedName localSheetId="6" name="ubinkeramik1020">#REF!</definedName>
    <definedName localSheetId="8" name="waterstop230">#REF!</definedName>
    <definedName localSheetId="10" name="sunloid">#REF!</definedName>
    <definedName localSheetId="31" name="RINCIANSEWA2">#REF!</definedName>
    <definedName name="meni.kayu">#REF!</definedName>
    <definedName localSheetId="30" name="na">#REF!</definedName>
    <definedName localSheetId="34" name="URAIAN66PERATA">#REF!</definedName>
    <definedName localSheetId="38" name="R30..">#REF!</definedName>
    <definedName name="_____MMM12">#REF!</definedName>
    <definedName localSheetId="25" name="gymfloor">#REF!</definedName>
    <definedName localSheetId="17" name="pakuhalus">#REF!</definedName>
    <definedName localSheetId="27" name="bouwplnk">#REF!</definedName>
    <definedName localSheetId="3" name="R11..">#REF!</definedName>
    <definedName localSheetId="24" name="_kop6">#REF!</definedName>
    <definedName localSheetId="6" name="aaaa">#REF!</definedName>
    <definedName localSheetId="3" name="______MMM20">#REF!</definedName>
    <definedName localSheetId="7" name="_______MMM19">#REF!</definedName>
    <definedName localSheetId="41" name="doorcloser">#REF!</definedName>
    <definedName localSheetId="39" name="kacapolos3mm">#REF!</definedName>
    <definedName localSheetId="17" name="yyyyyyy">#REF!</definedName>
    <definedName name="___LLL06">#REF!</definedName>
    <definedName localSheetId="7" name="__MMM39">#REF!</definedName>
    <definedName localSheetId="9" name="batu.jogja">#REF!</definedName>
    <definedName localSheetId="39" name="_pvc105">#REF!</definedName>
    <definedName localSheetId="0" name="plastik">#REF!</definedName>
    <definedName localSheetId="32" name="kalkarium">#REF!</definedName>
    <definedName localSheetId="36" name="kayukelas2">#REF!</definedName>
    <definedName localSheetId="25" name="tanahliat">#REF!</definedName>
    <definedName localSheetId="11" name="_LLL01">#REF!</definedName>
    <definedName localSheetId="9" name="kawatduri">#REF!</definedName>
    <definedName localSheetId="3" name="R15..">#REF!</definedName>
    <definedName localSheetId="17" name="kunciselot">#REF!</definedName>
    <definedName localSheetId="30" name="batuteraso">#REF!</definedName>
    <definedName localSheetId="31" name="tegel20">#REF!</definedName>
    <definedName localSheetId="8" name="FORM7613b">#REF!</definedName>
    <definedName localSheetId="15" name="paving">#REF!</definedName>
    <definedName localSheetId="24" name="FORM911">#REF!</definedName>
    <definedName localSheetId="20" name="p.kmp.smrd.3.20">#REF!</definedName>
    <definedName localSheetId="7" name="_____LLL08">#REF!</definedName>
    <definedName localSheetId="7" name="R26..">#REF!</definedName>
    <definedName localSheetId="38" name="SEKRETARIAT_DPRD">#REF!</definedName>
    <definedName localSheetId="7" name="____LLL04">#REF!</definedName>
    <definedName localSheetId="20" name="R5..">#REF!</definedName>
    <definedName localSheetId="32" name="marmer">#REF!</definedName>
    <definedName localSheetId="7" name="R59..">#REF!</definedName>
    <definedName localSheetId="23" name="teakwood4mm">#REF!</definedName>
    <definedName localSheetId="13" name="tegelplinpc10x20">#REF!</definedName>
    <definedName localSheetId="4" name="ts">#REF!</definedName>
    <definedName localSheetId="34" name="tp80x80">#REF!</definedName>
    <definedName localSheetId="0" name="kolombetonpracetak">#REF!</definedName>
    <definedName localSheetId="7" name="pakugypsum">#REF!</definedName>
    <definedName localSheetId="17" name="_kop5">#REF!</definedName>
    <definedName localSheetId="6" name="pakubiasa">#REF!</definedName>
    <definedName localSheetId="17" name="_MMM52">#REF!</definedName>
    <definedName localSheetId="7" name="pvc3.4.aw">#REF!</definedName>
    <definedName localSheetId="24" name="______MMM16">#REF!</definedName>
    <definedName localSheetId="9" name="_pvc205">#REF!</definedName>
    <definedName name="kayujati">#REF!</definedName>
    <definedName localSheetId="38" name="____DIV2">#REF!</definedName>
    <definedName localSheetId="28" name="G.Kramik">#REF!</definedName>
    <definedName localSheetId="21" name="_818PK">#REF!</definedName>
    <definedName localSheetId="42" name="FORM7613b">#REF!</definedName>
    <definedName localSheetId="27" name="_pvc105">#REF!</definedName>
    <definedName localSheetId="18" name="papanjelutung">#REF!</definedName>
    <definedName localSheetId="5" name="tky">#REF!</definedName>
    <definedName localSheetId="44" name="_______LLL10">#REF!</definedName>
    <definedName localSheetId="38" name="karpetwooldannilon">#REF!</definedName>
    <definedName localSheetId="17" name="_pvc3">#REF!</definedName>
    <definedName localSheetId="21" name="______DIV8">#REF!</definedName>
    <definedName localSheetId="23" name="Fak">#REF!</definedName>
    <definedName localSheetId="28" name="KUANTITAS">#REF!</definedName>
    <definedName localSheetId="41" name="Ktbt">#REF!</definedName>
    <definedName localSheetId="36" name="URAIAN">#REF!</definedName>
    <definedName localSheetId="13" name="plintubinteraluxkerang1060">#REF!</definedName>
    <definedName localSheetId="17" name="_MMM02">#REF!</definedName>
    <definedName localSheetId="18" name="baru">#REF!</definedName>
    <definedName name="___MMM51">#REF!</definedName>
    <definedName localSheetId="17" name="gypsum.9">#REF!</definedName>
    <definedName localSheetId="3" name="SusunanOrg">#REF!</definedName>
    <definedName localSheetId="17" name="R63..">#REF!</definedName>
    <definedName localSheetId="28" name="___MMM01">#REF!</definedName>
    <definedName localSheetId="24" name="______MMM10">#REF!</definedName>
    <definedName localSheetId="19" name="ubinkeramikartistik1020">#REF!</definedName>
    <definedName localSheetId="15" name="plastik">#REF!</definedName>
    <definedName localSheetId="3" name="tegelplinteraso10x30">#REF!</definedName>
    <definedName localSheetId="0" name="f.drain">#REF!</definedName>
    <definedName localSheetId="41" name="________DIV10">#REF!</definedName>
    <definedName localSheetId="44" name="split1.2">#REF!</definedName>
    <definedName localSheetId="6" name="URAIAN21">#REF!</definedName>
    <definedName localSheetId="21" name="________MMM29">#REF!</definedName>
    <definedName localSheetId="44" name="MOBILISASI">#REF!</definedName>
    <definedName localSheetId="21" name="_______MMM38">#REF!</definedName>
    <definedName localSheetId="21" name="_DIV8">#REF!</definedName>
    <definedName localSheetId="20" name="FRRDS">#REF!</definedName>
    <definedName localSheetId="44" name="__MMM24">#REF!</definedName>
    <definedName localSheetId="9" name="tpipa">#REF!</definedName>
    <definedName localSheetId="7" name="_______MMM10">#REF!</definedName>
    <definedName localSheetId="44" name="plintkeramikartistik520">#REF!</definedName>
    <definedName localSheetId="5" name="________MMM02">#REF!</definedName>
    <definedName localSheetId="31" name="UPAH">#REF!</definedName>
    <definedName localSheetId="31" name="kuas">#REF!</definedName>
    <definedName localSheetId="40" name="kawatduri">#REF!</definedName>
    <definedName localSheetId="40" name="beton.tumbuk">#REF!</definedName>
    <definedName name="kali">#REF!</definedName>
    <definedName localSheetId="7" name="__pvc2">#REF!</definedName>
    <definedName localSheetId="5" name="besi10.sii">#REF!</definedName>
    <definedName localSheetId="15" name="_pp1">#REF!</definedName>
    <definedName localSheetId="18" name="plintkeramikartistik1010">#REF!</definedName>
    <definedName localSheetId="17" name="R16..">#REF!</definedName>
    <definedName localSheetId="20" name="________HAL2">#REF!</definedName>
    <definedName localSheetId="24" name="________MMM03">#REF!</definedName>
    <definedName localSheetId="4" name="_DIV2">#REF!</definedName>
    <definedName localSheetId="30" name="tl2x40">#REF!</definedName>
    <definedName localSheetId="40" name="pagar2m">#REF!</definedName>
    <definedName localSheetId="18" name="kaca.p.5">#REF!</definedName>
    <definedName localSheetId="31" name="oke">#REF!</definedName>
    <definedName localSheetId="32" name="_____MMM01">#REF!</definedName>
    <definedName localSheetId="18" name="KunciPintu">#REF!</definedName>
    <definedName localSheetId="30" name="kompresor">#REF!</definedName>
    <definedName localSheetId="38" name="KT">#REF!</definedName>
    <definedName localSheetId="44" name="___MMM06">#REF!</definedName>
    <definedName name="gentengkodok">#REF!</definedName>
    <definedName localSheetId="19" name="bjls25">#REF!</definedName>
    <definedName name="_MMM32">#REF!</definedName>
    <definedName localSheetId="17" name="des">#REF!</definedName>
    <definedName localSheetId="10" name="KERAMIK30">#REF!</definedName>
    <definedName localSheetId="31" name="split2.3">#REF!</definedName>
    <definedName localSheetId="13" name="kayukelas2">#REF!</definedName>
    <definedName localSheetId="3" name="_________MMM15">#REF!</definedName>
    <definedName name="kuas">#REF!</definedName>
    <definedName localSheetId="19" name="besijaringkawatbaja">#REF!</definedName>
    <definedName localSheetId="18" name="________DIV1">#REF!</definedName>
    <definedName localSheetId="21" name="FORM841">#REF!</definedName>
    <definedName localSheetId="11" name="sengplatbjls25">#REF!</definedName>
    <definedName localSheetId="12" name="R30..">#REF!</definedName>
    <definedName localSheetId="4" name="_MMM02">#REF!</definedName>
    <definedName localSheetId="31" name="pasirbeton">#REF!</definedName>
    <definedName name="_________HAL6">#REF!</definedName>
    <definedName localSheetId="4" name="Catbesi">#REF!</definedName>
    <definedName localSheetId="36" name="rapidrant">#REF!</definedName>
    <definedName localSheetId="3" name="____LLL02">#REF!</definedName>
    <definedName localSheetId="40" name="ttnh">#REF!</definedName>
    <definedName localSheetId="44" name="URAIAN97">#REF!</definedName>
    <definedName localSheetId="9" name="URAIAN631">#REF!</definedName>
    <definedName localSheetId="34" name="GRC">#REF!</definedName>
    <definedName localSheetId="5" name="plintubinteraso1030">#REF!</definedName>
    <definedName localSheetId="5" name="yyyyyyy">#REF!</definedName>
    <definedName localSheetId="12" name="Uraian8410">#REF!</definedName>
    <definedName localSheetId="25" name="batuporos">#REF!</definedName>
    <definedName localSheetId="9" name="ngsel4">#REF!</definedName>
    <definedName localSheetId="24" name="pvc.2.mas.d">#REF!</definedName>
    <definedName localSheetId="5" name="_Tl1">#REF!</definedName>
    <definedName localSheetId="32" name="strorox">#REF!</definedName>
    <definedName localSheetId="7" name="_pvc3">#REF!</definedName>
    <definedName localSheetId="11" name="papanbulian">#REF!</definedName>
    <definedName localSheetId="24" name="b.super.5.10">#REF!</definedName>
    <definedName localSheetId="15" name="_____DIV1">#REF!</definedName>
    <definedName localSheetId="32" name="URAIAN7613a">#REF!</definedName>
    <definedName localSheetId="38" name="dempul">#REF!</definedName>
    <definedName localSheetId="36" name="pintubesibaja">#REF!</definedName>
    <definedName localSheetId="20" name="Pjgsloof">#REF!</definedName>
    <definedName localSheetId="27" name="R5..">#REF!</definedName>
    <definedName localSheetId="0" name="___DIV2">#REF!</definedName>
    <definedName localSheetId="13" name="_______MMM01">#REF!</definedName>
    <definedName localSheetId="11" name="kran.bbk">#REF!</definedName>
    <definedName localSheetId="4" name="siap1">#REF!</definedName>
    <definedName localSheetId="15" name="URAIAN7614a">#REF!</definedName>
    <definedName localSheetId="20" name="___pvc05">#REF!</definedName>
    <definedName localSheetId="44" name="besi16">#REF!</definedName>
    <definedName localSheetId="21" name="R47..">#REF!</definedName>
    <definedName localSheetId="44" name="_____MMM50">#REF!</definedName>
    <definedName name="URAIAN96">#REF!</definedName>
    <definedName localSheetId="15" name="beton100kg">#REF!</definedName>
    <definedName localSheetId="28" name="besijaringkawatbaja">#REF!</definedName>
    <definedName localSheetId="0" name="kayukelas2">#REF!</definedName>
    <definedName localSheetId="40" name="URAIAN612">#REF!</definedName>
    <definedName localSheetId="36" name="plintubinwarna1020">#REF!</definedName>
    <definedName localSheetId="19" name="____DIV1">#REF!</definedName>
    <definedName localSheetId="3" name="alba2.20">#REF!</definedName>
    <definedName localSheetId="0" name="Minyak">#REF!</definedName>
    <definedName localSheetId="27" name="batu.jogja">#REF!</definedName>
    <definedName localSheetId="44" name="R108..">#REF!</definedName>
    <definedName localSheetId="44" name="borneo6.12">#REF!</definedName>
    <definedName localSheetId="10" name="kaca.p.5">#REF!</definedName>
    <definedName localSheetId="24" name="FORM914">#REF!</definedName>
    <definedName localSheetId="23" name="ubinkeramik1033">#REF!</definedName>
    <definedName localSheetId="27" name="URAIAN234L">#REF!</definedName>
    <definedName localSheetId="21" name="R53..">#REF!</definedName>
    <definedName localSheetId="23" name="jurnal">#REF!</definedName>
    <definedName localSheetId="21" name="kacapatri5">#REF!</definedName>
    <definedName localSheetId="40" name="FORM7612c">#REF!</definedName>
    <definedName localSheetId="7" name="___MMM39">#REF!</definedName>
    <definedName localSheetId="7" name="SusunanOrg">#REF!</definedName>
    <definedName localSheetId="23" name="plintkeramikartistik1010">#REF!</definedName>
    <definedName localSheetId="40" name="KTM">#REF!</definedName>
    <definedName localSheetId="42" name="gymfloor">#REF!</definedName>
    <definedName localSheetId="17" name="_______HAL7">#REF!</definedName>
    <definedName localSheetId="7" name="Closet.c420">#REF!</definedName>
    <definedName localSheetId="7" name="___MMM10">#REF!</definedName>
    <definedName localSheetId="11" name="plintubinkeramikartistik1020">#REF!</definedName>
    <definedName localSheetId="21" name="karpetwooldannilon">#REF!</definedName>
    <definedName localSheetId="7" name="_________MMM16">#REF!</definedName>
    <definedName localSheetId="44" name="___HAL6">#REF!</definedName>
    <definedName localSheetId="17" name="FORM66PERMUKAAN">#REF!</definedName>
    <definedName localSheetId="3" name="R31..">#REF!</definedName>
    <definedName name="_____MMM22">#REF!</definedName>
    <definedName name="batuporos">#REF!</definedName>
    <definedName localSheetId="34" name="ubinkeramik1020">#REF!</definedName>
    <definedName localSheetId="20" name="__Tl1">#REF!</definedName>
    <definedName localSheetId="7" name="_________MMM50">#REF!</definedName>
    <definedName localSheetId="4" name="plintubinteraluxmarmer1060">#REF!</definedName>
    <definedName localSheetId="40" name="R6..">#REF!</definedName>
    <definedName localSheetId="12" name="wwww">#REF!</definedName>
    <definedName localSheetId="24" name="plastik">#REF!</definedName>
    <definedName localSheetId="17" name="URAIAN910">#REF!</definedName>
    <definedName localSheetId="7" name="catantara">#REF!</definedName>
    <definedName localSheetId="21" name="teakwood9mm">#REF!</definedName>
    <definedName localSheetId="11" name="M">#REF!</definedName>
    <definedName localSheetId="44" name="amplas">#REF!</definedName>
    <definedName localSheetId="34" name="aluminiumfoil">#REF!</definedName>
    <definedName localSheetId="24" name="Psr.psg">#REF!</definedName>
    <definedName localSheetId="44" name="____HAL6">#REF!</definedName>
    <definedName localSheetId="0" name="ss">#REF!</definedName>
    <definedName localSheetId="7" name="_____MMM13">#REF!</definedName>
    <definedName localSheetId="42" name="MATERIAL">#REF!</definedName>
    <definedName localSheetId="24" name="_pvc05">#REF!</definedName>
    <definedName localSheetId="17" name="psr.trs">#REF!</definedName>
    <definedName localSheetId="27" name="bilikbambu">#REF!</definedName>
    <definedName localSheetId="30" name="dd">#REF!</definedName>
    <definedName localSheetId="17" name="_________HAL4">#REF!</definedName>
    <definedName localSheetId="27" name="f">#REF!</definedName>
    <definedName localSheetId="24" name="R10..">#REF!</definedName>
    <definedName localSheetId="8" name="MAI">#REF!</definedName>
    <definedName localSheetId="38" name="ubinwarna40">#REF!</definedName>
    <definedName localSheetId="23" name="_______DIV1">#REF!</definedName>
    <definedName localSheetId="28" name="meni.kayu">#REF!</definedName>
    <definedName localSheetId="20" name="urugantanah">#REF!</definedName>
    <definedName localSheetId="25" name="kayumarsawa">#REF!</definedName>
    <definedName localSheetId="15" name="batugranito">#REF!</definedName>
    <definedName localSheetId="7" name="________MMM53">#REF!</definedName>
    <definedName localSheetId="40" name="Status">#REF!</definedName>
    <definedName localSheetId="44" name="jurnal">#REF!</definedName>
    <definedName localSheetId="18" name="kunci2slag">#REF!</definedName>
    <definedName localSheetId="21" name="_____MMM37">#REF!</definedName>
    <definedName name="ubinteraluxkerang30">#REF!</definedName>
    <definedName localSheetId="36" name="tukng">#REF!</definedName>
    <definedName localSheetId="24" name="________LLL02">#REF!</definedName>
    <definedName localSheetId="17" name="__LLL05">#REF!</definedName>
    <definedName localSheetId="15" name="FORM771b">#REF!</definedName>
    <definedName localSheetId="20" name="lemvinyl">#REF!</definedName>
    <definedName localSheetId="17" name="FORM910">#REF!</definedName>
    <definedName localSheetId="28" name="URAIAN7613c">#REF!</definedName>
    <definedName localSheetId="17" name="kacawireglass5">#REF!</definedName>
    <definedName localSheetId="38" name="_______DIV3">#REF!</definedName>
    <definedName localSheetId="39" name="________MMM01">#REF!</definedName>
    <definedName localSheetId="44" name="_____MMM18">#REF!</definedName>
    <definedName localSheetId="42" name="kmp.banjar">#REF!</definedName>
    <definedName localSheetId="25" name="plintubinkeramikartistik1020">#REF!</definedName>
    <definedName localSheetId="30" name="______HAL1">#REF!</definedName>
    <definedName localSheetId="17" name="URAIAN915">#REF!</definedName>
    <definedName localSheetId="36" name="engsel3">#REF!</definedName>
    <definedName localSheetId="24" name="papan.m.3.20">#REF!</definedName>
    <definedName localSheetId="39" name="engsel4">#REF!</definedName>
    <definedName localSheetId="30" name="ngsel4">#REF!</definedName>
    <definedName localSheetId="6" name="____HAL2">#REF!</definedName>
    <definedName name="_MMM28">#REF!</definedName>
    <definedName localSheetId="33" name="URAIAN745">#REF!</definedName>
    <definedName localSheetId="44" name="aaaaa">#REF!</definedName>
    <definedName localSheetId="39" name="_______HAL3">#REF!</definedName>
    <definedName localSheetId="33" name="minyaksolar">#REF!</definedName>
    <definedName localSheetId="33" name="URAIAN732">#REF!</definedName>
    <definedName localSheetId="10" name="__pvc105">#REF!</definedName>
    <definedName localSheetId="38" name="URAIAN7614b">#REF!</definedName>
    <definedName localSheetId="21" name="_______MMM46">#REF!</definedName>
    <definedName localSheetId="31" name="ASPAL">#REF!</definedName>
    <definedName localSheetId="30" name="RINCIANSEWA2">#REF!</definedName>
    <definedName localSheetId="24" name="FORMLatasirKL">#REF!</definedName>
    <definedName localSheetId="0" name="papanjelutung">#REF!</definedName>
    <definedName localSheetId="24" name="wallpaper">#REF!</definedName>
    <definedName localSheetId="21" name="_________MMM01">#REF!</definedName>
    <definedName localSheetId="24" name="rollingdoor">#REF!</definedName>
    <definedName localSheetId="30" name="nokgentengaspal">#REF!</definedName>
    <definedName localSheetId="8" name="k.ddg.rmn.20.25.pls">#REF!</definedName>
    <definedName localSheetId="19" name="_______MMM02">#REF!</definedName>
    <definedName localSheetId="44" name="ubinwarna30">#REF!</definedName>
    <definedName localSheetId="10" name="ubinkeramik1020">#REF!</definedName>
    <definedName localSheetId="24" name="__MMM18">#REF!</definedName>
    <definedName localSheetId="42" name="bbm">#REF!</definedName>
    <definedName localSheetId="42" name="plintubingranito1040">#REF!</definedName>
    <definedName localSheetId="31" name="tegelplinpc10x20">#REF!</definedName>
    <definedName localSheetId="6" name="Meni">#REF!</definedName>
    <definedName localSheetId="18" name="_____MMM03">#REF!</definedName>
    <definedName localSheetId="25" name="zzz">#REF!</definedName>
    <definedName localSheetId="7" name="nokstandar">#REF!</definedName>
    <definedName localSheetId="34" name="Uraian842">#REF!</definedName>
    <definedName localSheetId="17" name="URAIAN7614d">#REF!</definedName>
    <definedName localSheetId="30" name="doorstop">#REF!</definedName>
    <definedName localSheetId="24" name="beton250r">#REF!</definedName>
    <definedName localSheetId="33" name="kayubulian">#REF!</definedName>
    <definedName localSheetId="4" name="FORM7610">#REF!</definedName>
    <definedName localSheetId="24" name="_MMM20">#REF!</definedName>
    <definedName localSheetId="17" name="R10..">#REF!</definedName>
    <definedName localSheetId="7" name="p.bI">#REF!</definedName>
    <definedName localSheetId="6" name="amplas">#REF!</definedName>
    <definedName localSheetId="10" name="kali">#REF!</definedName>
    <definedName localSheetId="7" name="_____DIV7">#REF!</definedName>
    <definedName localSheetId="21" name="Pc.50">#REF!</definedName>
    <definedName localSheetId="0" name="ubinkeramikartistik1010">#REF!</definedName>
    <definedName localSheetId="28" name="Excel_BuiltIn_Print_Area_1">#REF!</definedName>
    <definedName localSheetId="3" name="__LLL08">#REF!</definedName>
    <definedName localSheetId="13" name="got">#REF!</definedName>
    <definedName localSheetId="0" name="FORM632">#REF!</definedName>
    <definedName localSheetId="0" name="tes">#REF!</definedName>
    <definedName localSheetId="7" name="L">#REF!</definedName>
    <definedName localSheetId="7" name="data2">#REF!</definedName>
    <definedName localSheetId="25" name="ubinteraso40">#REF!</definedName>
    <definedName name="Z">#REF!</definedName>
    <definedName localSheetId="39" name="__LLL01">#REF!</definedName>
    <definedName localSheetId="34" name="pijar15">#REF!</definedName>
    <definedName localSheetId="20" name="kunciselot">#REF!</definedName>
    <definedName localSheetId="6" name="FORM7614c">#REF!</definedName>
    <definedName localSheetId="21" name="alba2.20">#REF!</definedName>
    <definedName localSheetId="17" name="grendeltanam">#REF!</definedName>
    <definedName localSheetId="3" name="borneo6.12">#REF!</definedName>
    <definedName localSheetId="21" name="KunciWC">#REF!</definedName>
    <definedName localSheetId="0" name="e">#REF!</definedName>
    <definedName localSheetId="8" name="_pp1">#REF!</definedName>
    <definedName localSheetId="7" name="_________DIV8">#REF!</definedName>
    <definedName localSheetId="7" name="____LLL02">#REF!</definedName>
    <definedName localSheetId="12" name="R6..">#REF!</definedName>
    <definedName localSheetId="44" name="R20..">#REF!</definedName>
    <definedName localSheetId="23" name="k.ddg.20.25.rmn.crk">#REF!</definedName>
    <definedName localSheetId="27" name="ls">#REF!</definedName>
    <definedName localSheetId="6" name="keramik30x30">#REF!</definedName>
    <definedName localSheetId="17" name="_________MMM44">#REF!</definedName>
    <definedName localSheetId="5" name="FORMLatasirK">#REF!</definedName>
    <definedName localSheetId="42" name="____MMM02">#REF!</definedName>
    <definedName localSheetId="6" name="Overhead">#REF!</definedName>
    <definedName localSheetId="11" name="hcs">#REF!</definedName>
    <definedName localSheetId="24" name="_818FA">#REF!</definedName>
    <definedName localSheetId="0" name="_pp1">#REF!</definedName>
    <definedName localSheetId="28" name="MASTER">#REF!</definedName>
    <definedName localSheetId="44" name="gabin_al">#REF!</definedName>
    <definedName localSheetId="17" name="___MMM24">#REF!</definedName>
    <definedName localSheetId="15" name="NAMA3">#REF!</definedName>
    <definedName localSheetId="21" name="______MMM44">#REF!</definedName>
    <definedName localSheetId="44" name="jamtandem">#REF!</definedName>
    <definedName localSheetId="25" name="gentengdecrabond">#REF!</definedName>
    <definedName localSheetId="39" name="L">#REF!</definedName>
    <definedName localSheetId="13" name="batupecah">#REF!</definedName>
    <definedName localSheetId="31" name="tp80x80">#REF!</definedName>
    <definedName localSheetId="21" name="waterstop150">#REF!</definedName>
    <definedName localSheetId="11" name="kaca.p.5">#REF!</definedName>
    <definedName localSheetId="34" name="M">#REF!</definedName>
    <definedName localSheetId="25" name="platasbes35mm">#REF!</definedName>
    <definedName localSheetId="3" name="BAJA">#REF!</definedName>
    <definedName localSheetId="38" name="eeeeee">#REF!</definedName>
    <definedName localSheetId="17" name="_____DIV4">#REF!</definedName>
    <definedName localSheetId="3" name="______LLL03">#REF!</definedName>
    <definedName localSheetId="19" name="AAAAAAA">#REF!</definedName>
    <definedName localSheetId="31" name="NAMA3">#REF!</definedName>
    <definedName localSheetId="28" name="plywood4mm">#REF!</definedName>
    <definedName localSheetId="10" name="jamtandem">#REF!</definedName>
    <definedName localSheetId="17" name="ubinteraso30">#REF!</definedName>
    <definedName localSheetId="30" name="MASTER">#REF!</definedName>
    <definedName localSheetId="17" name="URAIAN642">#REF!</definedName>
    <definedName localSheetId="36" name="papanbulian">#REF!</definedName>
    <definedName localSheetId="6" name="sealer.mowi">#REF!</definedName>
    <definedName localSheetId="39" name="__pvc105">#REF!</definedName>
    <definedName localSheetId="17" name="kacapolos5mm">#REF!</definedName>
    <definedName localSheetId="10" name="URAIAN7613b">#REF!</definedName>
    <definedName localSheetId="7" name="_________HAL5">#REF!</definedName>
    <definedName localSheetId="31" name="_________HAL2">#REF!</definedName>
    <definedName localSheetId="39" name="karpet">#REF!</definedName>
    <definedName localSheetId="9" name="batupecah">#REF!</definedName>
    <definedName localSheetId="7" name="platasbes4mm">#REF!</definedName>
    <definedName localSheetId="39" name="yyyyyyy">#REF!</definedName>
    <definedName localSheetId="28" name="ubingranito30">#REF!</definedName>
    <definedName name="plintubinwarna1030">#REF!</definedName>
    <definedName name="beton225r">#REF!</definedName>
    <definedName localSheetId="4" name="UTAIAN7614c">#REF!</definedName>
    <definedName localSheetId="17" name="Excel_BuiltIn_Print_Titles_10">#REF!</definedName>
    <definedName localSheetId="40" name="plintubinteraluxmarmer1060">#REF!</definedName>
    <definedName localSheetId="24" name="_______MMM33">#REF!</definedName>
    <definedName name="______MMM24">#REF!</definedName>
    <definedName localSheetId="30" name="FORM7612b">#REF!</definedName>
    <definedName localSheetId="10" name="_pvc3">#REF!</definedName>
    <definedName localSheetId="12" name="nmdaerah">#REF!</definedName>
    <definedName localSheetId="8" name="R21..">#REF!</definedName>
    <definedName name="_________MMM44">#REF!</definedName>
    <definedName name="Analisa71106">#REF!</definedName>
    <definedName localSheetId="28" name="p.kmp.smrd.3.20">#REF!</definedName>
    <definedName localSheetId="18" name="pakuskrup">#REF!</definedName>
    <definedName localSheetId="32" name="plintkeramikartistik520">#REF!</definedName>
    <definedName localSheetId="36" name="pagar2m">#REF!</definedName>
    <definedName localSheetId="3" name="FORM94">#REF!</definedName>
    <definedName localSheetId="18" name="_______DIV3">#REF!</definedName>
    <definedName localSheetId="30" name="R61..">#REF!</definedName>
    <definedName localSheetId="13" name="ubinwarna40">#REF!</definedName>
    <definedName localSheetId="41" name="__tl2">#REF!</definedName>
    <definedName localSheetId="25" name="URAIAN731">#REF!</definedName>
    <definedName name="plamur.matex">#REF!</definedName>
    <definedName localSheetId="24" name="FORM7613c">#REF!</definedName>
    <definedName localSheetId="32" name="GUIIII">#REF!</definedName>
    <definedName localSheetId="21" name="URAIAN651">#REF!</definedName>
    <definedName localSheetId="0" name="sementahanasam">#REF!</definedName>
    <definedName localSheetId="28" name="pakuskrup">#REF!</definedName>
    <definedName name="besi13">#REF!</definedName>
    <definedName localSheetId="21" name="UP">#REF!</definedName>
    <definedName localSheetId="17" name="Excel_BuiltIn_Print_Titles_2">#REF!</definedName>
    <definedName localSheetId="21" name="kayualbasiah">#REF!</definedName>
    <definedName localSheetId="21" name="_______MMM36">#REF!</definedName>
    <definedName localSheetId="31" name="papanbekisting">#REF!</definedName>
    <definedName localSheetId="40" name="____DIV10">#REF!</definedName>
    <definedName localSheetId="21" name="__HAL6">#REF!</definedName>
    <definedName localSheetId="23" name="waterstop200">#REF!</definedName>
    <definedName name="FORM98">#REF!</definedName>
    <definedName localSheetId="21" name="BPS">#REF!</definedName>
    <definedName localSheetId="30" name="aluminiumfoil">#REF!</definedName>
    <definedName localSheetId="6" name="kayudamarlaut">#REF!</definedName>
    <definedName localSheetId="40" name="besijaringkawatbaja">#REF!</definedName>
    <definedName localSheetId="40" name="btn">#REF!</definedName>
    <definedName localSheetId="17" name="kusen.alum">#REF!</definedName>
    <definedName localSheetId="21" name="bubungangentengpalentong">#REF!</definedName>
    <definedName localSheetId="7" name="URAIAN721">#REF!</definedName>
    <definedName localSheetId="19" name="Meni">#REF!</definedName>
    <definedName localSheetId="28" name="k.40.40.roman.crk">#REF!</definedName>
    <definedName localSheetId="38" name="R51..">#REF!</definedName>
    <definedName localSheetId="44" name="G">#REF!</definedName>
    <definedName localSheetId="24" name="_______DIV1">#REF!</definedName>
    <definedName localSheetId="13" name="plintkeramikartistik520">#REF!</definedName>
    <definedName localSheetId="15" name="_pvc205">#REF!</definedName>
    <definedName localSheetId="34" name="jki">#REF!</definedName>
    <definedName localSheetId="21" name="_______MMM16">#REF!</definedName>
    <definedName localSheetId="7" name="URAIAN622">#REF!</definedName>
    <definedName name="FORM97">#REF!</definedName>
    <definedName localSheetId="31" name="__MMM02">#REF!</definedName>
    <definedName localSheetId="24" name="___MMM41">#REF!</definedName>
    <definedName localSheetId="34" name="des">#REF!</definedName>
    <definedName localSheetId="21" name="_______MMM26">#REF!</definedName>
    <definedName localSheetId="21" name="R85..">#REF!</definedName>
    <definedName localSheetId="42" name="_____MMM01">#REF!</definedName>
    <definedName localSheetId="6" name="_____MMM01">#REF!</definedName>
    <definedName localSheetId="3" name="____MMM53">#REF!</definedName>
    <definedName localSheetId="30" name="R31..">#REF!</definedName>
    <definedName localSheetId="5" name="urugankembali">#REF!</definedName>
    <definedName localSheetId="28" name="kategori">#REF!</definedName>
    <definedName localSheetId="18" name="SUNGAI_BERTAM">#REF!</definedName>
    <definedName localSheetId="8" name="URAIAN633">#REF!</definedName>
    <definedName localSheetId="10" name="plintubingranito1030">#REF!</definedName>
    <definedName localSheetId="8" name="tm_2415921492">#REF!</definedName>
    <definedName localSheetId="15" name="_______DIV10">#REF!</definedName>
    <definedName localSheetId="31" name="__LLL02">#REF!</definedName>
    <definedName localSheetId="41" name="kunciselot">#REF!</definedName>
    <definedName localSheetId="21" name="__MMM24">#REF!</definedName>
    <definedName localSheetId="42" name="pp">#REF!</definedName>
    <definedName localSheetId="38" name="kali">#REF!</definedName>
    <definedName localSheetId="39" name="kayujati">#REF!</definedName>
    <definedName localSheetId="34" name="L">#REF!</definedName>
    <definedName localSheetId="18" name="nokpaten092">#REF!</definedName>
    <definedName name="_____MMM11">#REF!</definedName>
    <definedName localSheetId="41" name="dempul">#REF!</definedName>
    <definedName localSheetId="21" name="FORM635A">#REF!</definedName>
    <definedName localSheetId="25" name="Gypsum">#REF!</definedName>
    <definedName localSheetId="40" name="_____DIV2">#REF!</definedName>
    <definedName localSheetId="25" name="L">#REF!</definedName>
    <definedName localSheetId="13" name="URAIAN612">#REF!</definedName>
    <definedName localSheetId="44" name="___DIV4">#REF!</definedName>
    <definedName localSheetId="18" name="sabun">#REF!</definedName>
    <definedName localSheetId="0" name="______DIV1">#REF!</definedName>
    <definedName localSheetId="31" name="R51..">#REF!</definedName>
    <definedName localSheetId="24" name="bouwplnk">#REF!</definedName>
    <definedName localSheetId="4" name="beton175R">#REF!</definedName>
    <definedName localSheetId="39" name="kayuterentang">#REF!</definedName>
    <definedName localSheetId="18" name="kalkarium">#REF!</definedName>
    <definedName localSheetId="24" name="______MMM23">#REF!</definedName>
    <definedName localSheetId="20" name="pintusunscreenalluminium">#REF!</definedName>
    <definedName name="kayukruing">#REF!</definedName>
    <definedName localSheetId="3" name="ubinkeramikartistik1020">#REF!</definedName>
    <definedName localSheetId="44" name="_____MMM02">#REF!</definedName>
    <definedName localSheetId="24" name="URAIAN65">#REF!</definedName>
    <definedName localSheetId="24" name="Excel_BuiltIn_Print_Titles_1">#REF!</definedName>
    <definedName localSheetId="6" name="drainase">#REF!</definedName>
    <definedName localSheetId="31" name="_HAL5">#REF!</definedName>
    <definedName localSheetId="33" name="zzz">#REF!</definedName>
    <definedName localSheetId="17" name="air">#REF!</definedName>
    <definedName localSheetId="15" name="Pc.50">#REF!</definedName>
    <definedName name="kmp.banjar">#REF!</definedName>
    <definedName localSheetId="3" name="_DIV4">#REF!</definedName>
    <definedName localSheetId="3" name="R97..">#REF!</definedName>
    <definedName localSheetId="8" name="pipabeton">#REF!</definedName>
    <definedName name="________MMM24">#REF!</definedName>
    <definedName name="ubinteraso30">#REF!</definedName>
    <definedName localSheetId="12" name="lp">#REF!</definedName>
    <definedName localSheetId="30" name="bjls30">#REF!</definedName>
    <definedName localSheetId="3" name="ppn2.30">#REF!</definedName>
    <definedName localSheetId="21" name="URAIAN231">#REF!</definedName>
    <definedName localSheetId="44" name="Tbt">#REF!</definedName>
    <definedName localSheetId="27" name="plintubinteraluxkerang1040">#REF!</definedName>
    <definedName localSheetId="17" name="penduduk">#REF!</definedName>
    <definedName localSheetId="25" name="terasocor">#REF!</definedName>
    <definedName localSheetId="27" name="STRUKTUR">#REF!</definedName>
    <definedName localSheetId="21" name="__LLL01">#REF!</definedName>
    <definedName localSheetId="13" name="jj">#REF!</definedName>
    <definedName name="R66..">#REF!</definedName>
    <definedName localSheetId="41" name="reng">#REF!</definedName>
    <definedName localSheetId="21" name="______MMM38">#REF!</definedName>
    <definedName localSheetId="24" name="R9..">#REF!</definedName>
    <definedName localSheetId="10" name="_pvc2">#REF!</definedName>
    <definedName localSheetId="28" name="NAMA3">#REF!</definedName>
    <definedName localSheetId="42" name="FORM7613c">#REF!</definedName>
    <definedName localSheetId="13" name="ubinwarna20">#REF!</definedName>
    <definedName localSheetId="6" name="vinylkaretklII">#REF!</definedName>
    <definedName localSheetId="44" name="____MMM33">#REF!</definedName>
    <definedName localSheetId="4" name="BAHU">#REF!</definedName>
    <definedName localSheetId="40" name="AGREGAT">#REF!</definedName>
    <definedName localSheetId="27" name="P">#REF!</definedName>
    <definedName localSheetId="12" name="_HAL5">#REF!</definedName>
    <definedName localSheetId="3" name="__MMM29">#REF!</definedName>
    <definedName localSheetId="44" name="_________HAL2">#REF!</definedName>
    <definedName localSheetId="10" name="_______HAL3">#REF!</definedName>
    <definedName name="____MMM32">#REF!</definedName>
    <definedName localSheetId="13" name="Analisa512">#REF!</definedName>
    <definedName localSheetId="3" name="_LLL03">#REF!</definedName>
    <definedName localSheetId="41" name="URAIAN611">#REF!</definedName>
    <definedName localSheetId="44" name="AGREGAT">#REF!</definedName>
    <definedName localSheetId="5" name="pasirpas">#REF!</definedName>
    <definedName localSheetId="39" name="medan5.10">#REF!</definedName>
    <definedName localSheetId="34" name="engsel4">#REF!</definedName>
    <definedName localSheetId="8" name="FORM7614c">#REF!</definedName>
    <definedName localSheetId="0" name="R31..">#REF!</definedName>
    <definedName localSheetId="17" name="_LLL09">#REF!</definedName>
    <definedName localSheetId="15" name="Pengadaan">#REF!</definedName>
    <definedName localSheetId="17" name="besi6.sii">#REF!</definedName>
    <definedName localSheetId="44" name="R102..">#REF!</definedName>
    <definedName localSheetId="44" name="tl2x40">#REF!</definedName>
    <definedName localSheetId="42" name="Pengadaan">#REF!</definedName>
    <definedName localSheetId="30" name="lb">#REF!</definedName>
    <definedName localSheetId="8" name="kaca8">#REF!</definedName>
    <definedName localSheetId="13" name="drkeet">#REF!</definedName>
    <definedName localSheetId="27" name="plintubinkeramikartistik1020">#REF!</definedName>
    <definedName localSheetId="27" name="FORM7614c">#REF!</definedName>
    <definedName localSheetId="5" name="__DIV4">#REF!</definedName>
    <definedName localSheetId="27" name="btn">#REF!</definedName>
    <definedName localSheetId="20" name="________HAL1">#REF!</definedName>
    <definedName localSheetId="36" name="cattembok">#REF!</definedName>
    <definedName localSheetId="9" name="c.mowi.luar">#REF!</definedName>
    <definedName localSheetId="30" name="SUNGAI_BERTAM">#REF!</definedName>
    <definedName localSheetId="41" name="vernis">#REF!</definedName>
    <definedName localSheetId="7" name="Tbt">#REF!</definedName>
    <definedName localSheetId="0" name="SEKRETARIAT_DPRD">#REF!</definedName>
    <definedName localSheetId="42" name="lb">#REF!</definedName>
    <definedName localSheetId="32" name="bjls30">#REF!</definedName>
    <definedName localSheetId="3" name="stairnzing">#REF!</definedName>
    <definedName localSheetId="15" name="_HAL1">#REF!</definedName>
    <definedName localSheetId="17" name="Analisa70703">#REF!</definedName>
    <definedName localSheetId="7" name="GUIIII">#REF!</definedName>
    <definedName localSheetId="44" name="leni">#REF!</definedName>
    <definedName localSheetId="6" name="kaca3">#REF!</definedName>
    <definedName localSheetId="19" name="vertikalsblinds">#REF!</definedName>
    <definedName name="_______MMM29">#REF!</definedName>
    <definedName localSheetId="24" name="_____MMM51">#REF!</definedName>
    <definedName localSheetId="10" name="panelbetonpracetak">#REF!</definedName>
    <definedName localSheetId="34" name="sodaapi">#REF!</definedName>
    <definedName localSheetId="41" name="begisting">#REF!</definedName>
    <definedName localSheetId="17" name="________HAL8">#REF!</definedName>
    <definedName localSheetId="34" name="________DIV4">#REF!</definedName>
    <definedName localSheetId="33" name="dempul">#REF!</definedName>
    <definedName localSheetId="25" name="gggg">#REF!</definedName>
    <definedName localSheetId="18" name="washtafel">#REF!</definedName>
    <definedName localSheetId="41" name="Ker.L13">#REF!</definedName>
    <definedName localSheetId="9" name="_LLL02">#REF!</definedName>
    <definedName localSheetId="8" name="B.Aparatur">#REF!</definedName>
    <definedName localSheetId="8" name="kapursirih">#REF!</definedName>
    <definedName localSheetId="7" name="hakangin">#REF!</definedName>
    <definedName localSheetId="25" name="jamtandem">#REF!</definedName>
    <definedName localSheetId="30" name="sengplatbjls25">#REF!</definedName>
    <definedName localSheetId="0" name="catpenutup2kali">#REF!</definedName>
    <definedName localSheetId="21" name="spirtus">#REF!</definedName>
    <definedName localSheetId="33" name="sofboard">#REF!</definedName>
    <definedName localSheetId="21" name="URAIAN734">#REF!</definedName>
    <definedName localSheetId="4" name="pipagalvanis">#REF!</definedName>
    <definedName localSheetId="7" name="ppn.m.3.20.serut">#REF!</definedName>
    <definedName localSheetId="20" name="FORM7613c">#REF!</definedName>
    <definedName localSheetId="7" name="______MMM49">#REF!</definedName>
    <definedName localSheetId="31" name="tes">#REF!</definedName>
    <definedName localSheetId="8" name="plintubinteraso1040">#REF!</definedName>
    <definedName localSheetId="20" name="_pvc105">#REF!</definedName>
    <definedName localSheetId="34" name="grendel4">#REF!</definedName>
    <definedName localSheetId="31" name="G">#REF!</definedName>
    <definedName localSheetId="34" name="tpipa">#REF!</definedName>
    <definedName localSheetId="7" name="kacapolos3mm">#REF!</definedName>
    <definedName localSheetId="44" name="doorholder">#REF!</definedName>
    <definedName localSheetId="17" name="R60..">#REF!</definedName>
    <definedName localSheetId="38" name="Skrup">#REF!</definedName>
    <definedName localSheetId="7" name="_____MMM25">#REF!</definedName>
    <definedName localSheetId="23" name="rubbercorrugate">#REF!</definedName>
    <definedName localSheetId="3" name="besi8sii">#REF!</definedName>
    <definedName localSheetId="21" name="Uraian845">#REF!</definedName>
    <definedName localSheetId="11" name="drainase">#REF!</definedName>
    <definedName localSheetId="24" name="_____MMM53">#REF!</definedName>
    <definedName localSheetId="11" name="plintubinteraluxkerang1040">#REF!</definedName>
    <definedName localSheetId="44" name="__DIV5">#REF!</definedName>
    <definedName localSheetId="32" name="______MMM01">#REF!</definedName>
    <definedName localSheetId="24" name="___MMM33">#REF!</definedName>
    <definedName localSheetId="38" name="Analisa55">#REF!</definedName>
    <definedName localSheetId="7" name="atapaluminiumgelombang055">#REF!</definedName>
    <definedName localSheetId="21" name="___LLL04">#REF!</definedName>
    <definedName localSheetId="27" name="b.belah">#REF!</definedName>
    <definedName localSheetId="3" name="jffhauifhauifhe">#REF!</definedName>
    <definedName localSheetId="36" name="B.Aparatur">#REF!</definedName>
    <definedName localSheetId="7" name="pindahan">#REF!</definedName>
    <definedName localSheetId="0" name="plintubinteraluxmarmer1060">#REF!</definedName>
    <definedName localSheetId="23" name="batukali14">#REF!</definedName>
    <definedName localSheetId="40" name="minyaksolar">#REF!</definedName>
    <definedName localSheetId="8" name="menibesi">#REF!</definedName>
    <definedName localSheetId="5" name="_____DIV1">#REF!</definedName>
    <definedName localSheetId="18" name="drkeet">#REF!</definedName>
    <definedName localSheetId="41" name="FORM323L">#REF!</definedName>
    <definedName localSheetId="21" name="DUDI">#REF!</definedName>
    <definedName localSheetId="13" name="bakkontrol">#REF!</definedName>
    <definedName name="_____MMM45">#REF!</definedName>
    <definedName localSheetId="40" name="pajak">#REF!</definedName>
    <definedName localSheetId="38" name="LAINLAIN">#REF!</definedName>
    <definedName localSheetId="28" name="papanbekisting">#REF!</definedName>
    <definedName localSheetId="39" name="Uraian8410">#REF!</definedName>
    <definedName localSheetId="3" name="plywood4mm">#REF!</definedName>
    <definedName localSheetId="21" name="_______MMM30">#REF!</definedName>
    <definedName localSheetId="21" name="________HAL7">#REF!</definedName>
    <definedName localSheetId="12" name="relpintudorong">#REF!</definedName>
    <definedName localSheetId="18" name="kunciselot">#REF!</definedName>
    <definedName localSheetId="33" name="R41..">#REF!</definedName>
    <definedName localSheetId="21" name="tegelteraso40x40">#REF!</definedName>
    <definedName localSheetId="24" name="______MMM28">#REF!</definedName>
    <definedName localSheetId="6" name="keramik40">#REF!</definedName>
    <definedName localSheetId="39" name="kacawireglass5">#REF!</definedName>
    <definedName localSheetId="7" name="________MMM11">#REF!</definedName>
    <definedName localSheetId="11" name="lemvinyl">#REF!</definedName>
    <definedName name="bubunganstelgelombang092">#REF!</definedName>
    <definedName localSheetId="5" name="___DIV10">#REF!</definedName>
    <definedName localSheetId="19" name="k.40.40.roman.crk">#REF!</definedName>
    <definedName name="ubinkeramikartistik1010">#REF!</definedName>
    <definedName localSheetId="8" name="___DIV1">#REF!</definedName>
    <definedName localSheetId="24" name="sementahanasam">#REF!</definedName>
    <definedName localSheetId="3" name="platasbes">#REF!</definedName>
    <definedName localSheetId="17" name="__MMM07">#REF!</definedName>
    <definedName localSheetId="32" name="atapaluminiumgelombang055">#REF!</definedName>
    <definedName localSheetId="44" name="__MMM40">#REF!</definedName>
    <definedName localSheetId="41" name="_________HAL2">#REF!</definedName>
    <definedName localSheetId="31" name="DAYWORKS">#REF!</definedName>
    <definedName localSheetId="39" name="Excel_BuiltIn_Print_Titles_2">#REF!</definedName>
    <definedName localSheetId="27" name="papanjelutung">#REF!</definedName>
    <definedName localSheetId="7" name="____MMM411">#REF!</definedName>
    <definedName localSheetId="5" name="Jasa">#REF!</definedName>
    <definedName localSheetId="42" name="gentengbeton">#REF!</definedName>
    <definedName localSheetId="21" name="______LLL01">#REF!</definedName>
    <definedName localSheetId="30" name="ss">#REF!</definedName>
    <definedName localSheetId="6" name="tegelplinteraso10x30">#REF!</definedName>
    <definedName localSheetId="41" name="s.tukang">#REF!</definedName>
    <definedName localSheetId="41" name="tegelplin20x20">#REF!</definedName>
    <definedName localSheetId="44" name="kran.bbk">#REF!</definedName>
    <definedName localSheetId="31" name="ubinwarna20">#REF!</definedName>
    <definedName localSheetId="18" name="URAIAN632">#REF!</definedName>
    <definedName localSheetId="39" name="FORM7613b">#REF!</definedName>
    <definedName localSheetId="36" name="air">#REF!</definedName>
    <definedName localSheetId="7" name="__HAL8">#REF!</definedName>
    <definedName localSheetId="40" name="ubinkeramik1515">#REF!</definedName>
    <definedName localSheetId="32" name="vinylkaret3030">#REF!</definedName>
    <definedName localSheetId="40" name="___pvc2">#REF!</definedName>
    <definedName localSheetId="6" name="kayubulian">#REF!</definedName>
    <definedName localSheetId="4" name="ASPAL">#REF!</definedName>
    <definedName localSheetId="41" name="Pengadaan">#REF!</definedName>
    <definedName localSheetId="21" name="_________MMM41">#REF!</definedName>
    <definedName localSheetId="9" name="__pvc105">#REF!</definedName>
    <definedName localSheetId="21" name="cendana">#REF!</definedName>
    <definedName localSheetId="5" name="sengplatbjls24">#REF!</definedName>
    <definedName localSheetId="3" name="papan.m.3.20">#REF!</definedName>
    <definedName localSheetId="3" name="_MMM23">#REF!</definedName>
    <definedName localSheetId="10" name="_______MMM03">#REF!</definedName>
    <definedName localSheetId="12" name="ktky">#REF!</definedName>
    <definedName localSheetId="12" name="spirtus">#REF!</definedName>
    <definedName localSheetId="33" name="_818FA">#REF!</definedName>
    <definedName localSheetId="18" name="sunloid">#REF!</definedName>
    <definedName localSheetId="8" name="metal">#REF!</definedName>
    <definedName localSheetId="41" name="besi13u">#REF!</definedName>
    <definedName localSheetId="10" name="_kop5">#REF!</definedName>
    <definedName localSheetId="31" name="besi13">#REF!</definedName>
    <definedName localSheetId="44" name="kaca12">#REF!</definedName>
    <definedName name="nokpaten092">#REF!</definedName>
    <definedName localSheetId="21" name="FORM97">#REF!</definedName>
    <definedName localSheetId="21" name="FORM641L">#REF!</definedName>
    <definedName localSheetId="27" name="Catbesi">#REF!</definedName>
    <definedName localSheetId="27" name="kacacermin5">#REF!</definedName>
    <definedName localSheetId="42" name="na">#REF!</definedName>
    <definedName localSheetId="9" name="SSSSSSSSSSSSSSSSSSSSSSSSSSSSS">#REF!</definedName>
    <definedName localSheetId="6" name="___MMM02">#REF!</definedName>
    <definedName localSheetId="44" name="_HAL7">#REF!</definedName>
    <definedName localSheetId="44" name="__MMM30">#REF!</definedName>
    <definedName localSheetId="8" name="aluminiumfoil">#REF!</definedName>
    <definedName localSheetId="36" name="vernis">#REF!</definedName>
    <definedName localSheetId="30" name="ppn2.30">#REF!</definedName>
    <definedName localSheetId="23" name="______MMM02">#REF!</definedName>
    <definedName localSheetId="19" name="Catbesi">#REF!</definedName>
    <definedName localSheetId="10" name="URAIAN7614b">#REF!</definedName>
    <definedName localSheetId="25" name="STRUKTUR">#REF!</definedName>
    <definedName localSheetId="4" name="___pvc3">#REF!</definedName>
    <definedName localSheetId="34" name="_______DIV2">#REF!</definedName>
    <definedName localSheetId="8" name="gymfloor">#REF!</definedName>
    <definedName localSheetId="4" name="bjls25">#REF!</definedName>
    <definedName localSheetId="42" name="beton100kg">#REF!</definedName>
    <definedName localSheetId="42" name="kapursirih">#REF!</definedName>
    <definedName localSheetId="4" name="urugan">#REF!</definedName>
    <definedName localSheetId="4" name="R20..">#REF!</definedName>
    <definedName localSheetId="13" name="teakwood6mm">#REF!</definedName>
    <definedName localSheetId="10" name="Fak">#REF!</definedName>
    <definedName localSheetId="32" name="borneo5.7">#REF!</definedName>
    <definedName localSheetId="7" name="c.vinilex.dlm">#REF!</definedName>
    <definedName localSheetId="27" name="cycllop">#REF!</definedName>
    <definedName localSheetId="9" name="platasbes4mm">#REF!</definedName>
    <definedName localSheetId="0" name="pipabeton">#REF!</definedName>
    <definedName localSheetId="21" name="________MMM27">#REF!</definedName>
    <definedName localSheetId="19" name="venetionblinds">#REF!</definedName>
    <definedName localSheetId="6" name="_818PK">#REF!</definedName>
    <definedName localSheetId="33" name="metal">#REF!</definedName>
    <definedName localSheetId="11" name="kacawireglass5">#REF!</definedName>
    <definedName localSheetId="21" name="batu.jogja">#REF!</definedName>
    <definedName localSheetId="6" name="rollingdoor">#REF!</definedName>
    <definedName localSheetId="30" name="gypsum.9">#REF!</definedName>
    <definedName localSheetId="38" name="pakuhalus">#REF!</definedName>
    <definedName localSheetId="44" name="_________HAL5">#REF!</definedName>
    <definedName localSheetId="40" name="sunloid">#REF!</definedName>
    <definedName localSheetId="44" name="R61..">#REF!</definedName>
    <definedName localSheetId="31" name="sabun">#REF!</definedName>
    <definedName localSheetId="39" name="e">#REF!</definedName>
    <definedName name="lem">#REF!</definedName>
    <definedName localSheetId="8" name="tegelporselen10x20warna">#REF!</definedName>
    <definedName localSheetId="4" name="ppn2.30">#REF!</definedName>
    <definedName localSheetId="44" name="__MMM32">#REF!</definedName>
    <definedName localSheetId="34" name="kawatnyamuk">#REF!</definedName>
    <definedName name="___MMM49">#REF!</definedName>
    <definedName localSheetId="7" name="__MMM27">#REF!</definedName>
    <definedName localSheetId="13" name="URAIAN66PERATA">#REF!</definedName>
    <definedName localSheetId="44" name="____MMM32">#REF!</definedName>
    <definedName localSheetId="27" name="plintubinteraluxkerang1060">#REF!</definedName>
    <definedName localSheetId="21" name="namaabsen">#REF!</definedName>
    <definedName localSheetId="28" name="_________HAL2">#REF!</definedName>
    <definedName localSheetId="6" name="SPJa">#REF!</definedName>
    <definedName localSheetId="38" name="ubinkeramikartistik1020">#REF!</definedName>
    <definedName localSheetId="28" name="___pvc3">#REF!</definedName>
    <definedName localSheetId="41" name="Uraian841">#REF!</definedName>
    <definedName localSheetId="6" name="_____MMM02">#REF!</definedName>
    <definedName name="________MMM47">#REF!</definedName>
    <definedName localSheetId="40" name="drainase">#REF!</definedName>
    <definedName localSheetId="38" name="plintubinteraluxmarmer1030">#REF!</definedName>
    <definedName localSheetId="38" name="split2.3">#REF!</definedName>
    <definedName localSheetId="20" name="kenek">#REF!</definedName>
    <definedName localSheetId="12" name="BPS">#REF!</definedName>
    <definedName localSheetId="34" name="catantara">#REF!</definedName>
    <definedName localSheetId="44" name="multi.6">#REF!</definedName>
    <definedName localSheetId="4" name="URAIAN732">#REF!</definedName>
    <definedName localSheetId="10" name="tl2x40">#REF!</definedName>
    <definedName localSheetId="20" name="engselangin">#REF!</definedName>
    <definedName localSheetId="6" name="____MMM02">#REF!</definedName>
    <definedName localSheetId="24" name="URAIAN97">#REF!</definedName>
    <definedName localSheetId="18" name="______DIV1">#REF!</definedName>
    <definedName localSheetId="7" name="R16..">#REF!</definedName>
    <definedName localSheetId="0" name="residu">#REF!</definedName>
    <definedName localSheetId="21" name="___HAL6">#REF!</definedName>
    <definedName localSheetId="5" name="plintubinteraluxmarmer1060">#REF!</definedName>
    <definedName localSheetId="3" name="perancahkayu">#REF!</definedName>
    <definedName name="___MMM20">#REF!</definedName>
    <definedName localSheetId="3" name="Uraian846">#REF!</definedName>
    <definedName localSheetId="24" name="ls">#REF!</definedName>
    <definedName localSheetId="19" name="water.prof">#REF!</definedName>
    <definedName localSheetId="44" name="na">#REF!</definedName>
    <definedName localSheetId="44" name="R30..">#REF!</definedName>
    <definedName localSheetId="5" name="batugranito">#REF!</definedName>
    <definedName localSheetId="5" name="besi12sii">#REF!</definedName>
    <definedName name="URAIAN642">#REF!</definedName>
    <definedName localSheetId="7" name="FORM8410">#REF!</definedName>
    <definedName localSheetId="28" name="__MMM03">#REF!</definedName>
    <definedName localSheetId="18" name="split2.3">#REF!</definedName>
    <definedName name="__pvc105">#REF!</definedName>
    <definedName localSheetId="21" name="________MMM34">#REF!</definedName>
    <definedName localSheetId="38" name="FORM7612b">#REF!</definedName>
    <definedName localSheetId="25" name="p.bI">#REF!</definedName>
    <definedName localSheetId="3" name="_MMM36">#REF!</definedName>
    <definedName localSheetId="21" name="pakugypsum">#REF!</definedName>
    <definedName localSheetId="10" name="__DIV4">#REF!</definedName>
    <definedName localSheetId="7" name="________HAL6">#REF!</definedName>
    <definedName localSheetId="40" name="URAIAN633">#REF!</definedName>
    <definedName localSheetId="7" name="____MMM38">#REF!</definedName>
    <definedName localSheetId="38" name="catpenutup">#REF!</definedName>
    <definedName localSheetId="42" name="batapelapisdinding">#REF!</definedName>
    <definedName localSheetId="21" name="R59..">#REF!</definedName>
    <definedName localSheetId="21" name="_______DIV7">#REF!</definedName>
    <definedName localSheetId="7" name="R83..">#REF!</definedName>
    <definedName localSheetId="24" name="aaaaa">#REF!</definedName>
    <definedName localSheetId="17" name="________DIV9">#REF!</definedName>
    <definedName localSheetId="12" name="kiki">#REF!</definedName>
    <definedName localSheetId="8" name="Closet.c420">#REF!</definedName>
    <definedName localSheetId="21" name="_________MMM26">#REF!</definedName>
    <definedName localSheetId="44" name="R105..">#REF!</definedName>
    <definedName localSheetId="12" name="Excel_BuiltIn_Print_Titles_2">#REF!</definedName>
    <definedName localSheetId="5" name="Meni">#REF!</definedName>
    <definedName localSheetId="36" name="URAIAN22L">#REF!</definedName>
    <definedName localSheetId="13" name="R30..">#REF!</definedName>
    <definedName localSheetId="11" name="___pvc05">#REF!</definedName>
    <definedName localSheetId="20" name="lp">#REF!</definedName>
    <definedName localSheetId="24" name="______HAL7">#REF!</definedName>
    <definedName localSheetId="24" name="_LLL10">#REF!</definedName>
    <definedName localSheetId="7" name="_________HAL8">#REF!</definedName>
    <definedName localSheetId="21" name="multi.4">#REF!</definedName>
    <definedName localSheetId="41" name="Analisa512">#REF!</definedName>
    <definedName localSheetId="21" name="__LLL06">#REF!</definedName>
    <definedName localSheetId="7" name="_____HAL4">#REF!</definedName>
    <definedName localSheetId="10" name="__LLL02">#REF!</definedName>
    <definedName localSheetId="15" name="_______MMM02">#REF!</definedName>
    <definedName localSheetId="23" name="plastik">#REF!</definedName>
    <definedName localSheetId="20" name="ppn2.30">#REF!</definedName>
    <definedName localSheetId="3" name="______DIV8">#REF!</definedName>
    <definedName localSheetId="15" name="besi12sii">#REF!</definedName>
    <definedName localSheetId="17" name="kayukamper">#REF!</definedName>
    <definedName localSheetId="24" name="beton175m">#REF!</definedName>
    <definedName localSheetId="0" name="besi13u">#REF!</definedName>
    <definedName localSheetId="7" name="Uraian8410">#REF!</definedName>
    <definedName localSheetId="0" name="JUDUL">#REF!</definedName>
    <definedName localSheetId="21" name="Gentengmetal3mm">#REF!</definedName>
    <definedName localSheetId="7" name="_MMM23">#REF!</definedName>
    <definedName localSheetId="44" name="coveartistik">#REF!</definedName>
    <definedName localSheetId="7" name="R19..">#REF!</definedName>
    <definedName localSheetId="17" name="____MMM03">#REF!</definedName>
    <definedName localSheetId="31" name="pipagalvanis">#REF!</definedName>
    <definedName localSheetId="18" name="engselangin">#REF!</definedName>
    <definedName localSheetId="15" name="tp80x80">#REF!</definedName>
    <definedName localSheetId="40" name="kunci1slag">#REF!</definedName>
    <definedName localSheetId="30" name="xxxxx">#REF!</definedName>
    <definedName localSheetId="17" name="plintubinteraluxmarmer1030">#REF!</definedName>
    <definedName localSheetId="0" name="__MMM02">#REF!</definedName>
    <definedName localSheetId="34" name="klosetjongkok">#REF!</definedName>
    <definedName localSheetId="12" name="FORM744">#REF!</definedName>
    <definedName localSheetId="33" name="b.belah">#REF!</definedName>
    <definedName localSheetId="25" name="cycllop">#REF!</definedName>
    <definedName localSheetId="3" name="URAIAN721">#REF!</definedName>
    <definedName localSheetId="15" name="_MMM01">#REF!</definedName>
    <definedName localSheetId="4" name="kenek">#REF!</definedName>
    <definedName localSheetId="3" name="R54..">#REF!</definedName>
    <definedName localSheetId="23" name="R41..">#REF!</definedName>
    <definedName localSheetId="31" name="paku5.7.10">#REF!</definedName>
    <definedName localSheetId="15" name="Print_title">#REF!</definedName>
    <definedName localSheetId="39" name="URAIAN7612b">#REF!</definedName>
    <definedName localSheetId="39" name="alba2.20">#REF!</definedName>
    <definedName localSheetId="24" name="________MMM29">#REF!</definedName>
    <definedName localSheetId="17" name="_______MMM23">#REF!</definedName>
    <definedName localSheetId="5" name="kayuborneo">#REF!</definedName>
    <definedName localSheetId="4" name="______HAL3">#REF!</definedName>
    <definedName localSheetId="13" name="FORM771b">#REF!</definedName>
    <definedName localSheetId="24" name="_________LLL10">#REF!</definedName>
    <definedName localSheetId="27" name="besijaringkawatbaja">#REF!</definedName>
    <definedName localSheetId="24" name="_________MMM19">#REF!</definedName>
    <definedName localSheetId="19" name="B.Aparatur">#REF!</definedName>
    <definedName localSheetId="40" name="UPAH">#REF!</definedName>
    <definedName localSheetId="39" name="________MMM03">#REF!</definedName>
    <definedName localSheetId="44" name="____MMM11">#REF!</definedName>
    <definedName localSheetId="3" name="des">#REF!</definedName>
    <definedName localSheetId="6" name="stairnzing">#REF!</definedName>
    <definedName localSheetId="15" name="______DIV3">#REF!</definedName>
    <definedName localSheetId="11" name="batu.jogja">#REF!</definedName>
    <definedName localSheetId="32" name="sdg">#REF!</definedName>
    <definedName localSheetId="7" name="_______MMM11">#REF!</definedName>
    <definedName localSheetId="18" name="pintusunscreenalluminium">#REF!</definedName>
    <definedName localSheetId="3" name="sengplatbjls28">#REF!</definedName>
    <definedName localSheetId="41" name="KUANTITAS">#REF!</definedName>
    <definedName localSheetId="3" name="metal">#REF!</definedName>
    <definedName localSheetId="34" name="____DIV3">#REF!</definedName>
    <definedName localSheetId="44" name="RPHL">#REF!</definedName>
    <definedName localSheetId="31" name="tegelpc20x20">#REF!</definedName>
    <definedName localSheetId="42" name="water.prof">#REF!</definedName>
    <definedName localSheetId="25" name="tegelpc20x20">#REF!</definedName>
    <definedName localSheetId="31" name="mowi.ws">#REF!</definedName>
    <definedName localSheetId="15" name="____MMM01">#REF!</definedName>
    <definedName localSheetId="0" name="URAIAN7612a">#REF!</definedName>
    <definedName localSheetId="36" name="bak">#REF!</definedName>
    <definedName localSheetId="44" name="__MMM28">#REF!</definedName>
    <definedName localSheetId="41" name="G">#REF!</definedName>
    <definedName name="____HAL8">#REF!</definedName>
    <definedName localSheetId="9" name="terasocor">#REF!</definedName>
    <definedName localSheetId="30" name="p.bI">#REF!</definedName>
    <definedName name="reng">#REF!</definedName>
    <definedName localSheetId="19" name="_________MMM02">#REF!</definedName>
    <definedName localSheetId="12" name="URAIAN66PERMUKAAN">#REF!</definedName>
    <definedName localSheetId="19" name="________DIV10">#REF!</definedName>
    <definedName localSheetId="33" name="__Tl1">#REF!</definedName>
    <definedName localSheetId="8" name="dua">#REF!</definedName>
    <definedName localSheetId="39" name="beton225r">#REF!</definedName>
    <definedName localSheetId="24" name="bakkontrol">#REF!</definedName>
    <definedName localSheetId="19" name="_DIV10">#REF!</definedName>
    <definedName localSheetId="7" name="____MMM07">#REF!</definedName>
    <definedName localSheetId="13" name="pasirpas">#REF!</definedName>
    <definedName localSheetId="7" name="venetionblinds">#REF!</definedName>
    <definedName localSheetId="39" name="ppn.m.3.20.serut">#REF!</definedName>
    <definedName localSheetId="42" name="kran.bbk">#REF!</definedName>
    <definedName localSheetId="3" name="sabun">#REF!</definedName>
    <definedName localSheetId="40" name="pakusumbat">#REF!</definedName>
    <definedName localSheetId="13" name="formica">#REF!</definedName>
    <definedName localSheetId="7" name="_____HAL6">#REF!</definedName>
    <definedName localSheetId="36" name="_pp1">#REF!</definedName>
    <definedName localSheetId="9" name="strorox">#REF!</definedName>
    <definedName localSheetId="21" name="_____MMM45">#REF!</definedName>
    <definedName localSheetId="34" name="kawatburung">#REF!</definedName>
    <definedName localSheetId="39" name="pakuhak15cm">#REF!</definedName>
    <definedName localSheetId="21" name="____MMM52">#REF!</definedName>
    <definedName localSheetId="32" name="Analisa55">#REF!</definedName>
    <definedName localSheetId="20" name="plintubinteraluxkerang1040">#REF!</definedName>
    <definedName localSheetId="8" name="gypsum.9">#REF!</definedName>
    <definedName localSheetId="28" name="nokgentengaspal">#REF!</definedName>
    <definedName localSheetId="44" name="namaabsen">#REF!</definedName>
    <definedName localSheetId="39" name="_______MMM02">#REF!</definedName>
    <definedName localSheetId="8" name="bakkontrol">#REF!</definedName>
    <definedName localSheetId="10" name="plastik">#REF!</definedName>
    <definedName localSheetId="33" name="Kunci2">#REF!</definedName>
    <definedName localSheetId="38" name="tes">#REF!</definedName>
    <definedName localSheetId="3" name="_________HAL6">#REF!</definedName>
    <definedName localSheetId="9" name="nokgentengaspal">#REF!</definedName>
    <definedName localSheetId="13" name="rooflightfiibreglass">#REF!</definedName>
    <definedName name="aaaaa">#REF!</definedName>
    <definedName localSheetId="9" name="drainase">#REF!</definedName>
    <definedName localSheetId="28" name="STRUKTUR">#REF!</definedName>
    <definedName localSheetId="28" name="relpintudorong">#REF!</definedName>
    <definedName localSheetId="5" name="kayudamarlaut">#REF!</definedName>
    <definedName localSheetId="4" name="amobiotic">#REF!</definedName>
    <definedName localSheetId="5" name="URAIAN79mekanis">#REF!</definedName>
    <definedName localSheetId="17" name="batutempelhitam">#REF!</definedName>
    <definedName localSheetId="3" name="pagar2m">#REF!</definedName>
    <definedName localSheetId="21" name="_______MMM27">#REF!</definedName>
    <definedName localSheetId="31" name="amplas">#REF!</definedName>
    <definedName localSheetId="7" name="lis">#REF!</definedName>
    <definedName localSheetId="24" name="pakusumbat">#REF!</definedName>
    <definedName localSheetId="30" name="pasirsilika">#REF!</definedName>
    <definedName localSheetId="23" name="tegelpc20x20">#REF!</definedName>
    <definedName localSheetId="17" name="UTAIAN7614c">#REF!</definedName>
    <definedName localSheetId="5" name="URAIAN7610">#REF!</definedName>
    <definedName localSheetId="18" name="Ktbt">#REF!</definedName>
    <definedName localSheetId="15" name="batamerah">#REF!</definedName>
    <definedName localSheetId="36" name="t.sabun">#REF!</definedName>
    <definedName localSheetId="25" name="__MMM03">#REF!</definedName>
    <definedName localSheetId="5" name="pakubiasa">#REF!</definedName>
    <definedName localSheetId="40" name="_DIV10">#REF!</definedName>
    <definedName localSheetId="11" name="___HAL2">#REF!</definedName>
    <definedName localSheetId="8" name="plintubinteraluxmarmer1030">#REF!</definedName>
    <definedName localSheetId="11" name="beton100kg">#REF!</definedName>
    <definedName localSheetId="32" name="URAIAN612">#REF!</definedName>
    <definedName localSheetId="27" name="kkkk">#REF!</definedName>
    <definedName localSheetId="44" name="FORM96">#REF!</definedName>
    <definedName name="_MMM15">#REF!</definedName>
    <definedName localSheetId="11" name="MATERIAL">#REF!</definedName>
    <definedName localSheetId="44" name="TANAH">#REF!</definedName>
    <definedName localSheetId="4" name="oemar">#REF!</definedName>
    <definedName localSheetId="15" name="lemvinyl">#REF!</definedName>
    <definedName localSheetId="7" name="URAIAN611">#REF!</definedName>
    <definedName localSheetId="38" name="kayualbasiah">#REF!</definedName>
    <definedName localSheetId="11" name="_Tl1">#REF!</definedName>
    <definedName localSheetId="44" name="_________MMM11">#REF!</definedName>
    <definedName localSheetId="6" name="___pvc05">#REF!</definedName>
    <definedName localSheetId="13" name="besipresstressedpolos">#REF!</definedName>
    <definedName localSheetId="3" name="_MMM26">#REF!</definedName>
    <definedName localSheetId="34" name="parquetjati">#REF!</definedName>
    <definedName localSheetId="5" name="doorholder">#REF!</definedName>
    <definedName localSheetId="42" name="plastik">#REF!</definedName>
    <definedName localSheetId="8" name="sofboard">#REF!</definedName>
    <definedName localSheetId="15" name="_________DIV2">#REF!</definedName>
    <definedName localSheetId="41" name="__pvc05">#REF!</definedName>
    <definedName localSheetId="18" name="f">#REF!</definedName>
    <definedName localSheetId="17" name="plywood4mm">#REF!</definedName>
    <definedName localSheetId="17" name="________HAL2">#REF!</definedName>
    <definedName localSheetId="21" name="_MMM08">#REF!</definedName>
    <definedName localSheetId="12" name="MMM17A">#REF!</definedName>
    <definedName name="gentengpalentong">#REF!</definedName>
    <definedName localSheetId="38" name="kaca.p.5">#REF!</definedName>
    <definedName localSheetId="44" name="_________DIV6">#REF!</definedName>
    <definedName localSheetId="27" name="Pengadaan">#REF!</definedName>
    <definedName name="FORM632">#REF!</definedName>
    <definedName localSheetId="17" name="___MMM53">#REF!</definedName>
    <definedName localSheetId="38" name="_HAL1">#REF!</definedName>
    <definedName localSheetId="9" name="grendeltanam">#REF!</definedName>
    <definedName localSheetId="44" name="__MMM12">#REF!</definedName>
    <definedName localSheetId="42" name="des">#REF!</definedName>
    <definedName localSheetId="33" name="plamur.matex">#REF!</definedName>
    <definedName localSheetId="8" name="FRRDS">#REF!</definedName>
    <definedName localSheetId="5" name="grendel3">#REF!</definedName>
    <definedName localSheetId="33" name="bubungangentengbeton">#REF!</definedName>
    <definedName localSheetId="7" name="R18..">#REF!</definedName>
    <definedName localSheetId="12" name="des">#REF!</definedName>
    <definedName localSheetId="30" name="______DIV3">#REF!</definedName>
    <definedName localSheetId="44" name="URAIAN7612b">#REF!</definedName>
    <definedName localSheetId="0" name="BPS">#REF!</definedName>
    <definedName localSheetId="21" name="__MMM05">#REF!</definedName>
    <definedName localSheetId="21" name="R104..">#REF!</definedName>
    <definedName localSheetId="20" name="Catbesi">#REF!</definedName>
    <definedName localSheetId="30" name="keramik20">#REF!</definedName>
    <definedName localSheetId="17" name="dempul">#REF!</definedName>
    <definedName localSheetId="34" name="ubinkeramikartistik520">#REF!</definedName>
    <definedName localSheetId="7" name="mowi.ws">#REF!</definedName>
    <definedName localSheetId="39" name="dua">#REF!</definedName>
    <definedName localSheetId="41" name="ubingranito40">#REF!</definedName>
    <definedName localSheetId="6" name="pakuhalus">#REF!</definedName>
    <definedName localSheetId="44" name="R56..">#REF!</definedName>
    <definedName localSheetId="28" name="__pvc205">#REF!</definedName>
    <definedName localSheetId="10" name="_______MMM01">#REF!</definedName>
    <definedName localSheetId="44" name="___HAL3">#REF!</definedName>
    <definedName localSheetId="32" name="_________MMM01">#REF!</definedName>
    <definedName localSheetId="15" name="bubunganasbesgelombang">#REF!</definedName>
    <definedName localSheetId="10" name="BPS">#REF!</definedName>
    <definedName localSheetId="33" name="plesteran13">#REF!</definedName>
    <definedName localSheetId="7" name="FORM7613b">#REF!</definedName>
    <definedName localSheetId="15" name="_pvc105">#REF!</definedName>
    <definedName localSheetId="31" name="GRC">#REF!</definedName>
    <definedName localSheetId="20" name="URAIAN744">#REF!</definedName>
    <definedName name="kawatnyamuk">#REF!</definedName>
    <definedName localSheetId="21" name="_pc40">#REF!</definedName>
    <definedName localSheetId="12" name="sealent">#REF!</definedName>
    <definedName localSheetId="23" name="URAIAN611">#REF!</definedName>
    <definedName localSheetId="24" name="_____MMM10">#REF!</definedName>
    <definedName localSheetId="21" name="kayuborneo">#REF!</definedName>
    <definedName localSheetId="9" name="jendelanako">#REF!</definedName>
    <definedName localSheetId="3" name="______MMM02">#REF!</definedName>
    <definedName localSheetId="5" name="kayuterentang">#REF!</definedName>
    <definedName localSheetId="17" name="kuncilemari">#REF!</definedName>
    <definedName localSheetId="36" name="__pvc3">#REF!</definedName>
    <definedName localSheetId="8" name="FORM7613a">#REF!</definedName>
    <definedName localSheetId="5" name="Analisa512">#REF!</definedName>
    <definedName localSheetId="44" name="ubinkeramik2020">#REF!</definedName>
    <definedName localSheetId="42" name="pijar15">#REF!</definedName>
    <definedName localSheetId="17" name="______MMM03">#REF!</definedName>
    <definedName name="_________MMM20">#REF!</definedName>
    <definedName localSheetId="23" name="pipatanah">#REF!</definedName>
    <definedName localSheetId="25" name="_____DIV1">#REF!</definedName>
    <definedName localSheetId="44" name="______LLL04">#REF!</definedName>
    <definedName localSheetId="30" name="URAIAN745">#REF!</definedName>
    <definedName localSheetId="34" name="f.drain">#REF!</definedName>
    <definedName localSheetId="44" name="URAIAN611">#REF!</definedName>
    <definedName localSheetId="32" name="___HAL2">#REF!</definedName>
    <definedName name="URAIAN623">#REF!</definedName>
    <definedName localSheetId="5" name="data2">#REF!</definedName>
    <definedName localSheetId="6" name="plintkeramikartistik520">#REF!</definedName>
    <definedName localSheetId="44" name="GUIIII">#REF!</definedName>
    <definedName localSheetId="0" name="URAIAN732">#REF!</definedName>
    <definedName localSheetId="24" name="R72..">#REF!</definedName>
    <definedName localSheetId="10" name="waterstop230">#REF!</definedName>
    <definedName localSheetId="33" name="ubinwarna20">#REF!</definedName>
    <definedName localSheetId="6" name="Uraian842">#REF!</definedName>
    <definedName localSheetId="42" name="ASISTEN_BIDANG_PEMERINTAHAN">#REF!</definedName>
    <definedName localSheetId="11" name="__pvc2">#REF!</definedName>
    <definedName localSheetId="39" name="Status">#REF!</definedName>
    <definedName localSheetId="6" name="_________MMM01">#REF!</definedName>
    <definedName localSheetId="21" name="_______MMM10">#REF!</definedName>
    <definedName localSheetId="21" name="perancahkayu">#REF!</definedName>
    <definedName localSheetId="27" name="Kunci1">#REF!</definedName>
    <definedName localSheetId="9" name="_____MMM03">#REF!</definedName>
    <definedName localSheetId="40" name="_____HAL2">#REF!</definedName>
    <definedName localSheetId="7" name="___LLL11">#REF!</definedName>
    <definedName localSheetId="21" name="seng25">#REF!</definedName>
    <definedName localSheetId="3" name="__LLL06">#REF!</definedName>
    <definedName localSheetId="40" name="bubunganasbesnok">#REF!</definedName>
    <definedName localSheetId="15" name="_____MMM03">#REF!</definedName>
    <definedName localSheetId="31" name="kawatnyamuk">#REF!</definedName>
    <definedName name="____LLL06">#REF!</definedName>
    <definedName localSheetId="20" name="AAAAAAA">#REF!</definedName>
    <definedName localSheetId="13" name="sengplatbjls25">#REF!</definedName>
    <definedName localSheetId="33" name="pintualuminium">#REF!</definedName>
    <definedName localSheetId="12" name="sis">#REF!</definedName>
    <definedName localSheetId="21" name="SSSSSSSSSSSSSSSSSSSSSSSSSSSSS">#REF!</definedName>
    <definedName localSheetId="44" name="_______DIV4">#REF!</definedName>
    <definedName localSheetId="3" name="_______MMM34">#REF!</definedName>
    <definedName localSheetId="15" name="c.mowi.luar">#REF!</definedName>
    <definedName localSheetId="3" name="_______MMM42">#REF!</definedName>
    <definedName localSheetId="10" name="rapidrant">#REF!</definedName>
    <definedName localSheetId="32" name="Jendelabesibaja">#REF!</definedName>
    <definedName localSheetId="32" name="___MMM01">#REF!</definedName>
    <definedName localSheetId="19" name="___pvc05">#REF!</definedName>
    <definedName localSheetId="4" name="p.kmp.smrd.3.20">#REF!</definedName>
    <definedName localSheetId="38" name="DSSDD">#REF!</definedName>
    <definedName localSheetId="21" name="R105..">#REF!</definedName>
    <definedName localSheetId="40" name="medan5.7">#REF!</definedName>
    <definedName name="kaca.p.5">#REF!</definedName>
    <definedName name="vernis">#REF!</definedName>
    <definedName localSheetId="25" name="bjls25">#REF!</definedName>
    <definedName localSheetId="21" name="tukng">#REF!</definedName>
    <definedName localSheetId="38" name="________DIV2">#REF!</definedName>
    <definedName localSheetId="40" name="DUDI">#REF!</definedName>
    <definedName localSheetId="42" name="borneo5.10">#REF!</definedName>
    <definedName localSheetId="12" name="Nok">#REF!</definedName>
    <definedName localSheetId="7" name="________MMM18">#REF!</definedName>
    <definedName localSheetId="41" name="platasbes35mm">#REF!</definedName>
    <definedName localSheetId="9" name="bbm">#REF!</definedName>
    <definedName localSheetId="0" name="jamtandem">#REF!</definedName>
    <definedName localSheetId="30" name="y">#REF!</definedName>
    <definedName localSheetId="36" name="URAIAN633">#REF!</definedName>
    <definedName localSheetId="40" name="___pc50">#REF!</definedName>
    <definedName localSheetId="25" name="__DIV10">#REF!</definedName>
    <definedName localSheetId="0" name="sabun">#REF!</definedName>
    <definedName localSheetId="27" name="gypsum.9">#REF!</definedName>
    <definedName localSheetId="3" name="___DIV9">#REF!</definedName>
    <definedName localSheetId="18" name="kuncisilinder">#REF!</definedName>
    <definedName name="R32..">#REF!</definedName>
    <definedName localSheetId="24" name="tegelplin20x20">#REF!</definedName>
    <definedName localSheetId="28" name="FORM8410">#REF!</definedName>
    <definedName localSheetId="33" name="u.besi">#REF!</definedName>
    <definedName localSheetId="7" name="_______MMM32">#REF!</definedName>
    <definedName localSheetId="21" name="________LLL08">#REF!</definedName>
    <definedName localSheetId="7" name="medan3.4">#REF!</definedName>
    <definedName localSheetId="44" name="springknip">#REF!</definedName>
    <definedName localSheetId="4" name="_________DIV10">#REF!</definedName>
    <definedName localSheetId="7" name="______MMM04">#REF!</definedName>
    <definedName localSheetId="24" name="Nokmetal3mm">#REF!</definedName>
    <definedName localSheetId="3" name="____HAL7">#REF!</definedName>
    <definedName name="_______LLL07">#REF!</definedName>
    <definedName localSheetId="21" name="__MMM02">#REF!</definedName>
    <definedName localSheetId="17" name="_________MMM43">#REF!</definedName>
    <definedName localSheetId="10" name="ubinteraso30">#REF!</definedName>
    <definedName localSheetId="24" name="____MMM37">#REF!</definedName>
    <definedName localSheetId="36" name="semen50">#REF!</definedName>
    <definedName localSheetId="17" name="jurnal">#REF!</definedName>
    <definedName localSheetId="40" name="teakwood9mm">#REF!</definedName>
    <definedName localSheetId="11" name="xxxxx">#REF!</definedName>
    <definedName localSheetId="24" name="jffhauifhauifhe">#REF!</definedName>
    <definedName localSheetId="7" name="medan8.15">#REF!</definedName>
    <definedName localSheetId="15" name="____HAL1">#REF!</definedName>
    <definedName localSheetId="9" name="pagarseng2m">#REF!</definedName>
    <definedName localSheetId="23" name="_LLL03">#REF!</definedName>
    <definedName localSheetId="38" name="tbkr">#REF!</definedName>
    <definedName localSheetId="0" name="Closet.ddk">#REF!</definedName>
    <definedName localSheetId="0" name="R20..">#REF!</definedName>
    <definedName localSheetId="6" name="___DIV10">#REF!</definedName>
    <definedName localSheetId="38" name="ubingranito40">#REF!</definedName>
    <definedName localSheetId="27" name="_________HAL2">#REF!</definedName>
    <definedName localSheetId="3" name="P">#REF!</definedName>
    <definedName localSheetId="30" name="doorcloser">#REF!</definedName>
    <definedName localSheetId="39" name="nmdaerah">#REF!</definedName>
    <definedName localSheetId="15" name="P">#REF!</definedName>
    <definedName localSheetId="32" name="sealer">#REF!</definedName>
    <definedName localSheetId="28" name="engsel4">#REF!</definedName>
    <definedName localSheetId="44" name="URAIAN95">#REF!</definedName>
    <definedName localSheetId="4" name="oke">#REF!</definedName>
    <definedName localSheetId="3" name="R75..">#REF!</definedName>
    <definedName localSheetId="10" name="KT">#REF!</definedName>
    <definedName localSheetId="11" name="batutempelhitam">#REF!</definedName>
    <definedName localSheetId="15" name="batu.jogja">#REF!</definedName>
    <definedName localSheetId="17" name="_______DIV1">#REF!</definedName>
    <definedName localSheetId="44" name="___LLL01">#REF!</definedName>
    <definedName localSheetId="31" name="ubinteraso30">#REF!</definedName>
    <definedName name="dua">#REF!</definedName>
    <definedName localSheetId="6" name="jurnal">#REF!</definedName>
    <definedName localSheetId="32" name="Excel_BuiltIn_Print_Area_10">#REF!</definedName>
    <definedName name="_MMM10">#REF!</definedName>
    <definedName localSheetId="13" name="plintubinteraso1030">#REF!</definedName>
    <definedName localSheetId="7" name="URAIAN771a">#REF!</definedName>
    <definedName localSheetId="4" name="medan5.7">#REF!</definedName>
    <definedName name="__DIV10">#REF!</definedName>
    <definedName localSheetId="41" name="pakusirap">#REF!</definedName>
    <definedName localSheetId="7" name="RoolingdoorAlumunium">#REF!</definedName>
    <definedName localSheetId="17" name="______MMM36">#REF!</definedName>
    <definedName localSheetId="24" name="_MMM51">#REF!</definedName>
    <definedName localSheetId="4" name="vertikalsblinds">#REF!</definedName>
    <definedName localSheetId="9" name="URAIAN633">#REF!</definedName>
    <definedName localSheetId="42" name="URAIAN7613c">#REF!</definedName>
    <definedName localSheetId="32" name="URAIAN744">#REF!</definedName>
    <definedName localSheetId="41" name="papanII">#REF!</definedName>
    <definedName localSheetId="3" name="______MMM03">#REF!</definedName>
    <definedName localSheetId="31" name="rapidrant">#REF!</definedName>
    <definedName localSheetId="12" name="FORM7612c">#REF!</definedName>
    <definedName localSheetId="33" name="paving">#REF!</definedName>
    <definedName localSheetId="3" name="R20..">#REF!</definedName>
    <definedName localSheetId="17" name="_________MMM21">#REF!</definedName>
    <definedName localSheetId="12" name="Uraian841">#REF!</definedName>
    <definedName localSheetId="40" name="__pvc3">#REF!</definedName>
    <definedName localSheetId="32" name="formica">#REF!</definedName>
    <definedName localSheetId="25" name="list">#REF!</definedName>
    <definedName localSheetId="24" name="sodaapi">#REF!</definedName>
    <definedName localSheetId="28" name="Tbt">#REF!</definedName>
    <definedName localSheetId="12" name="pakubiasa">#REF!</definedName>
    <definedName localSheetId="44" name="sengbjls25">#REF!</definedName>
    <definedName localSheetId="31" name="kawatsengpolos">#REF!</definedName>
    <definedName localSheetId="19" name="alangalang">#REF!</definedName>
    <definedName localSheetId="36" name="FORM771b">#REF!</definedName>
    <definedName localSheetId="0" name="siap1">#REF!</definedName>
    <definedName localSheetId="21" name="_________MMM05">#REF!</definedName>
    <definedName localSheetId="4" name="jurnal1">#REF!</definedName>
    <definedName localSheetId="21" name="Jasa">#REF!</definedName>
    <definedName localSheetId="7" name="waterdrainaksesoris">#REF!</definedName>
    <definedName localSheetId="44" name="_________MMM18">#REF!</definedName>
    <definedName localSheetId="33" name="k.ddg.20.25.rmn.crk">#REF!</definedName>
    <definedName localSheetId="40" name="R51..">#REF!</definedName>
    <definedName localSheetId="7" name="________MMM13">#REF!</definedName>
    <definedName localSheetId="34" name="JA">#REF!</definedName>
    <definedName localSheetId="8" name="strorox">#REF!</definedName>
    <definedName localSheetId="21" name="____MMM17">#REF!</definedName>
    <definedName localSheetId="36" name="________DIV2">#REF!</definedName>
    <definedName name="b.belah">#REF!</definedName>
    <definedName localSheetId="24" name="batamerah">#REF!</definedName>
    <definedName localSheetId="36" name="kkkk">#REF!</definedName>
    <definedName localSheetId="44" name="ttnh">#REF!</definedName>
    <definedName localSheetId="25" name="venetionblinds">#REF!</definedName>
    <definedName localSheetId="5" name="p.kmp.smrd.3.20">#REF!</definedName>
    <definedName localSheetId="38" name="ngsel4">#REF!</definedName>
    <definedName localSheetId="33" name="plintubinkeramikartistik1020">#REF!</definedName>
    <definedName localSheetId="6" name="_DIV4">#REF!</definedName>
    <definedName localSheetId="41" name="plintubinteraluxmarmer1030">#REF!</definedName>
    <definedName localSheetId="9" name="________HAL2">#REF!</definedName>
    <definedName localSheetId="20" name="SPJ">#REF!</definedName>
    <definedName localSheetId="17" name="____MMM17">#REF!</definedName>
    <definedName localSheetId="10" name="sis">#REF!</definedName>
    <definedName localSheetId="39" name="borneo5.10">#REF!</definedName>
    <definedName localSheetId="10" name="bak">#REF!</definedName>
    <definedName localSheetId="3" name="besiprofilWF">#REF!</definedName>
    <definedName localSheetId="32" name="URAIAN632">#REF!</definedName>
    <definedName localSheetId="42" name="___DIV4">#REF!</definedName>
    <definedName localSheetId="17" name="________LLL11">#REF!</definedName>
    <definedName localSheetId="8" name="feltexkarpetwool">#REF!</definedName>
    <definedName localSheetId="44" name="borneo5.10">#REF!</definedName>
    <definedName localSheetId="34" name="____DIV2">#REF!</definedName>
    <definedName localSheetId="3" name="___MMM21">#REF!</definedName>
    <definedName localSheetId="10" name="Grendel">#REF!</definedName>
    <definedName localSheetId="40" name="___pvc205">#REF!</definedName>
    <definedName localSheetId="27" name="profilalumuniumT">#REF!</definedName>
    <definedName localSheetId="25" name="_Tl1">#REF!</definedName>
    <definedName localSheetId="3" name="__HAL1">#REF!</definedName>
    <definedName localSheetId="17" name="R24..">#REF!</definedName>
    <definedName localSheetId="17" name="bjls30">#REF!</definedName>
    <definedName localSheetId="21" name="formica">#REF!</definedName>
    <definedName localSheetId="15" name="na">#REF!</definedName>
    <definedName localSheetId="27" name="beton.225m">#REF!</definedName>
    <definedName localSheetId="21" name="PT">#REF!</definedName>
    <definedName localSheetId="42" name="he">#REF!</definedName>
    <definedName localSheetId="10" name="yyyyyyy">#REF!</definedName>
    <definedName localSheetId="39" name="air">#REF!</definedName>
    <definedName localSheetId="30" name="URAIAN632">#REF!</definedName>
    <definedName localSheetId="42" name="FORM7612a">#REF!</definedName>
    <definedName localSheetId="30" name="URAIAN621">#REF!</definedName>
    <definedName localSheetId="5" name="pasirbeton">#REF!</definedName>
    <definedName localSheetId="7" name="kayukamper">#REF!</definedName>
    <definedName localSheetId="39" name="FORM732">#REF!</definedName>
    <definedName localSheetId="41" name="coveartistik">#REF!</definedName>
    <definedName localSheetId="11" name="Per">#REF!</definedName>
    <definedName localSheetId="36" name="FORM631">#REF!</definedName>
    <definedName localSheetId="17" name="__MMM19">#REF!</definedName>
    <definedName localSheetId="20" name="gentengdecrabond">#REF!</definedName>
    <definedName localSheetId="40" name="plintubinteraluxmarmer1040">#REF!</definedName>
    <definedName localSheetId="3" name="Analisa612">#REF!</definedName>
    <definedName localSheetId="44" name="Nokmetal3mm">#REF!</definedName>
    <definedName localSheetId="0" name="vertikalsblinds">#REF!</definedName>
    <definedName localSheetId="17" name="___DIV5">#REF!</definedName>
    <definedName localSheetId="3" name="_____MMM44">#REF!</definedName>
    <definedName localSheetId="17" name="________MMM50">#REF!</definedName>
    <definedName localSheetId="32" name="catantara">#REF!</definedName>
    <definedName localSheetId="36" name="kacacermin6">#REF!</definedName>
    <definedName localSheetId="25" name="Excel_BuiltIn_Print_Titles_2">#REF!</definedName>
    <definedName localSheetId="28" name="plintubinwarna1030">#REF!</definedName>
    <definedName localSheetId="27" name="floorhardenerferrovak">#REF!</definedName>
    <definedName localSheetId="9" name="data2">#REF!</definedName>
    <definedName localSheetId="31" name="pakusirap">#REF!</definedName>
    <definedName name="Excel_BuiltIn_Print_Area_1">#REF!</definedName>
    <definedName localSheetId="32" name="amobiotic">#REF!</definedName>
    <definedName localSheetId="33" name="plywood6mm">#REF!</definedName>
    <definedName localSheetId="24" name="________MMM35">#REF!</definedName>
    <definedName localSheetId="38" name="FORM7610">#REF!</definedName>
    <definedName localSheetId="9" name="FORM323L">#REF!</definedName>
    <definedName localSheetId="39" name="sunloid">#REF!</definedName>
    <definedName localSheetId="20" name="_______HAL3">#REF!</definedName>
    <definedName localSheetId="10" name="FORM66PERMUKAAN">#REF!</definedName>
    <definedName localSheetId="8" name="leni">#REF!</definedName>
    <definedName localSheetId="4" name="________MMM03">#REF!</definedName>
    <definedName localSheetId="25" name="NAMA2">#REF!</definedName>
    <definedName localSheetId="39" name="plintubingranito1030">#REF!</definedName>
    <definedName localSheetId="15" name="SPJ">#REF!</definedName>
    <definedName localSheetId="7" name="aa">#REF!</definedName>
    <definedName localSheetId="17" name="_______MMM03">#REF!</definedName>
    <definedName localSheetId="10" name="catantara">#REF!</definedName>
    <definedName localSheetId="17" name="bubungangentengbesar">#REF!</definedName>
    <definedName localSheetId="4" name="pintubesibaja">#REF!</definedName>
    <definedName localSheetId="44" name="plywood4mm">#REF!</definedName>
    <definedName localSheetId="10" name="menibesi">#REF!</definedName>
    <definedName localSheetId="5" name="f.drain">#REF!</definedName>
    <definedName localSheetId="44" name="besi8sii">#REF!</definedName>
    <definedName localSheetId="42" name="R3..">#REF!</definedName>
    <definedName localSheetId="25" name="papanII">#REF!</definedName>
    <definedName localSheetId="11" name="sabun">#REF!</definedName>
    <definedName localSheetId="21" name="R55..">#REF!</definedName>
    <definedName localSheetId="24" name="__MMM24">#REF!</definedName>
    <definedName localSheetId="44" name="Analisa70702">#REF!</definedName>
    <definedName localSheetId="9" name="________DIV10">#REF!</definedName>
    <definedName localSheetId="21" name="________MMM32">#REF!</definedName>
    <definedName localSheetId="36" name="FORM7612a">#REF!</definedName>
    <definedName localSheetId="6" name="R51..">#REF!</definedName>
    <definedName localSheetId="32" name="meni.kayu">#REF!</definedName>
    <definedName localSheetId="32" name="___pvc05">#REF!</definedName>
    <definedName localSheetId="38" name="_______HAL2">#REF!</definedName>
    <definedName localSheetId="27" name="URAIAN22L">#REF!</definedName>
    <definedName localSheetId="42" name="c.maxi">#REF!</definedName>
    <definedName localSheetId="21" name="______HAL6">#REF!</definedName>
    <definedName localSheetId="32" name="profilalumuniumT">#REF!</definedName>
    <definedName localSheetId="30" name="_KOP7">#REF!</definedName>
    <definedName name="kayukelas2">#REF!</definedName>
    <definedName localSheetId="3" name="Closet.ddk">#REF!</definedName>
    <definedName localSheetId="25" name="a">#REF!</definedName>
    <definedName localSheetId="3" name="FORM7614a">#REF!</definedName>
    <definedName localSheetId="19" name="FORM721">#REF!</definedName>
    <definedName localSheetId="36" name="GRC">#REF!</definedName>
    <definedName localSheetId="11" name="jj">#REF!</definedName>
    <definedName localSheetId="3" name="grendel3">#REF!</definedName>
    <definedName localSheetId="3" name="kran.ddg">#REF!</definedName>
    <definedName localSheetId="34" name="hd">#REF!</definedName>
    <definedName localSheetId="38" name="___pvc3">#REF!</definedName>
    <definedName localSheetId="44" name="R65..">#REF!</definedName>
    <definedName localSheetId="18" name="waterstop150">#REF!</definedName>
    <definedName localSheetId="33" name="R51..">#REF!</definedName>
    <definedName name="____MMM01">#REF!</definedName>
    <definedName name="URAIAN910">#REF!</definedName>
    <definedName localSheetId="17" name="_kop6">#REF!</definedName>
    <definedName localSheetId="21" name="gypsum.prf">#REF!</definedName>
    <definedName localSheetId="44" name="____DIV9">#REF!</definedName>
    <definedName localSheetId="39" name="URAIAN7612c">#REF!</definedName>
    <definedName localSheetId="17" name="marmer">#REF!</definedName>
    <definedName name="_______MMM34">#REF!</definedName>
    <definedName localSheetId="20" name="teakwood4mm">#REF!</definedName>
    <definedName localSheetId="30" name="keramik30x30">#REF!</definedName>
    <definedName localSheetId="44" name="_____MMM47">#REF!</definedName>
    <definedName localSheetId="5" name="alangalang">#REF!</definedName>
    <definedName localSheetId="13" name="AGREGAT">#REF!</definedName>
    <definedName localSheetId="19" name="nokpaten105">#REF!</definedName>
    <definedName localSheetId="41" name="R3..">#REF!</definedName>
    <definedName localSheetId="15" name="Jendelabesibaja">#REF!</definedName>
    <definedName localSheetId="9" name="P">#REF!</definedName>
    <definedName localSheetId="42" name="bouwplnk">#REF!</definedName>
    <definedName localSheetId="39" name="KTM">#REF!</definedName>
    <definedName localSheetId="39" name="FORM7613c">#REF!</definedName>
    <definedName localSheetId="21" name="_______MMM13">#REF!</definedName>
    <definedName localSheetId="13" name="________HAL2">#REF!</definedName>
    <definedName localSheetId="24" name="batuapung">#REF!</definedName>
    <definedName localSheetId="3" name="bilikbambu">#REF!</definedName>
    <definedName localSheetId="13" name="ramset">#REF!</definedName>
    <definedName name="_____HAL4">#REF!</definedName>
    <definedName localSheetId="36" name="NAMA3">#REF!</definedName>
    <definedName localSheetId="17" name="____MMM20">#REF!</definedName>
    <definedName localSheetId="7" name="multi.6">#REF!</definedName>
    <definedName localSheetId="0" name="cghj">#REF!</definedName>
    <definedName localSheetId="10" name="hcs">#REF!</definedName>
    <definedName localSheetId="21" name="gentengpalentong">#REF!</definedName>
    <definedName localSheetId="17" name="pintusunscreenalluminium">#REF!</definedName>
    <definedName localSheetId="27" name="Overhead">#REF!</definedName>
    <definedName localSheetId="24" name="______MMM54">#REF!</definedName>
    <definedName localSheetId="3" name="papanII">#REF!</definedName>
    <definedName localSheetId="0" name="_DIV3">#REF!</definedName>
    <definedName localSheetId="4" name="kali">#REF!</definedName>
    <definedName localSheetId="23" name="_________MMM02">#REF!</definedName>
    <definedName localSheetId="32" name="pakuskrup">#REF!</definedName>
    <definedName localSheetId="6" name="Z">#REF!</definedName>
    <definedName localSheetId="15" name="________DIV4">#REF!</definedName>
    <definedName localSheetId="20" name="kaca8">#REF!</definedName>
    <definedName localSheetId="13" name="tky">#REF!</definedName>
    <definedName localSheetId="7" name="___MMM17">#REF!</definedName>
    <definedName localSheetId="12" name="__Tl1">#REF!</definedName>
    <definedName localSheetId="31" name="dua">#REF!</definedName>
    <definedName localSheetId="5" name="borneo5.7">#REF!</definedName>
    <definedName localSheetId="30" name="psr.trs">#REF!</definedName>
    <definedName localSheetId="9" name="kkkk">#REF!</definedName>
    <definedName localSheetId="10" name="HP">#REF!</definedName>
    <definedName localSheetId="24" name="nokpaten105">#REF!</definedName>
    <definedName localSheetId="13" name="strorox">#REF!</definedName>
    <definedName localSheetId="32" name="R20..">#REF!</definedName>
    <definedName localSheetId="17" name="FORM772d">#REF!</definedName>
    <definedName localSheetId="19" name="Faktor">#REF!</definedName>
    <definedName localSheetId="38" name="sengplatbjls28">#REF!</definedName>
    <definedName localSheetId="0" name="eeeeee">#REF!</definedName>
    <definedName localSheetId="4" name="teakwood6mm">#REF!</definedName>
    <definedName localSheetId="19" name="perancahkayu">#REF!</definedName>
    <definedName localSheetId="5" name="d">#REF!</definedName>
    <definedName localSheetId="44" name="Analisa512">#REF!</definedName>
    <definedName localSheetId="39" name="ARI">#REF!</definedName>
    <definedName localSheetId="32" name="s.warna">#REF!</definedName>
    <definedName localSheetId="28" name="zzz">#REF!</definedName>
    <definedName localSheetId="17" name="R75..">#REF!</definedName>
    <definedName localSheetId="3" name="ASET">#REF!</definedName>
    <definedName localSheetId="28" name="Overhead">#REF!</definedName>
    <definedName localSheetId="24" name="URAIAN636">#REF!</definedName>
    <definedName localSheetId="30" name="tanahliat">#REF!</definedName>
    <definedName localSheetId="44" name="sunloid">#REF!</definedName>
    <definedName localSheetId="33" name="tp80x80">#REF!</definedName>
    <definedName localSheetId="12" name="_818PK">#REF!</definedName>
    <definedName localSheetId="7" name="_______MMM07">#REF!</definedName>
    <definedName localSheetId="25" name="alangalang">#REF!</definedName>
    <definedName localSheetId="24" name="_____MMM46">#REF!</definedName>
    <definedName localSheetId="44" name="tegelpc20x20">#REF!</definedName>
    <definedName localSheetId="17" name="R71..">#REF!</definedName>
    <definedName localSheetId="6" name="eeeeee">#REF!</definedName>
    <definedName localSheetId="15" name="ttnh">#REF!</definedName>
    <definedName localSheetId="30" name="sofboard">#REF!</definedName>
    <definedName localSheetId="44" name="Kekurangan">#REF!</definedName>
    <definedName localSheetId="34" name="___MMM02">#REF!</definedName>
    <definedName localSheetId="44" name="grendel4">#REF!</definedName>
    <definedName localSheetId="39" name="______MMM02">#REF!</definedName>
    <definedName localSheetId="4" name="P">#REF!</definedName>
    <definedName localSheetId="17" name="_LLL08">#REF!</definedName>
    <definedName localSheetId="34" name="________DIV2">#REF!</definedName>
    <definedName localSheetId="3" name="____MMM33">#REF!</definedName>
    <definedName name="tm_2415921492">#REF!</definedName>
    <definedName localSheetId="33" name="tes">#REF!</definedName>
    <definedName localSheetId="44" name="_kop5">#REF!</definedName>
    <definedName localSheetId="33" name="formica">#REF!</definedName>
    <definedName localSheetId="42" name="FORM611">#REF!</definedName>
    <definedName localSheetId="24" name="kawatkassa">#REF!</definedName>
    <definedName localSheetId="3" name="__MMM42">#REF!</definedName>
    <definedName localSheetId="6" name="kacapolos5mm">#REF!</definedName>
    <definedName localSheetId="30" name="___pvc2">#REF!</definedName>
    <definedName localSheetId="44" name="nokstandar">#REF!</definedName>
    <definedName localSheetId="24" name="_____DIV9">#REF!</definedName>
    <definedName localSheetId="38" name="profilalumuniumT">#REF!</definedName>
    <definedName localSheetId="32" name="JA">#REF!</definedName>
    <definedName name="cv">#REF!</definedName>
    <definedName localSheetId="0" name="MMM17A">#REF!</definedName>
    <definedName localSheetId="34" name="___pvc205">#REF!</definedName>
    <definedName localSheetId="4" name="_MMM03">#REF!</definedName>
    <definedName localSheetId="8" name="_____MMM03">#REF!</definedName>
    <definedName localSheetId="3" name="ubinteraso40">#REF!</definedName>
    <definedName localSheetId="44" name="____MMM46">#REF!</definedName>
    <definedName localSheetId="44" name="catpenutup">#REF!</definedName>
    <definedName localSheetId="42" name="dempul">#REF!</definedName>
    <definedName localSheetId="3" name="____MMM15">#REF!</definedName>
    <definedName localSheetId="36" name="ppn2.30">#REF!</definedName>
    <definedName localSheetId="10" name="bouwplnk">#REF!</definedName>
    <definedName localSheetId="5" name="ubinkeramikartistik1010">#REF!</definedName>
    <definedName name="_________MMM50">#REF!</definedName>
    <definedName localSheetId="23" name="Skrup">#REF!</definedName>
    <definedName name="_________MMM18">#REF!</definedName>
    <definedName localSheetId="11" name="tpipa">#REF!</definedName>
    <definedName localSheetId="44" name="______LLL05">#REF!</definedName>
    <definedName localSheetId="41" name="JL_NAS">#REF!</definedName>
    <definedName localSheetId="27" name="___HAL2">#REF!</definedName>
    <definedName localSheetId="7" name="_____MMM411">#REF!</definedName>
    <definedName localSheetId="21" name="_____MMM05">#REF!</definedName>
    <definedName localSheetId="34" name="kiki">#REF!</definedName>
    <definedName localSheetId="11" name="_______HAL2">#REF!</definedName>
    <definedName name="_____MMM08">#REF!</definedName>
    <definedName localSheetId="17" name="URAIAN7610">#REF!</definedName>
    <definedName localSheetId="34" name="SusunanOrg">#REF!</definedName>
    <definedName localSheetId="17" name="_______MMM42">#REF!</definedName>
    <definedName localSheetId="25" name="akustikarmstrong">#REF!</definedName>
    <definedName localSheetId="3" name="sengplatbjls25">#REF!</definedName>
    <definedName localSheetId="3" name="R61..">#REF!</definedName>
    <definedName localSheetId="42" name="__MMM01">#REF!</definedName>
    <definedName localSheetId="38" name="pintualuminium">#REF!</definedName>
    <definedName localSheetId="28" name="FORM633">#REF!</definedName>
    <definedName localSheetId="21" name="_____HAL7">#REF!</definedName>
    <definedName localSheetId="38" name="urugan">#REF!</definedName>
    <definedName localSheetId="40" name="FORM7614a">#REF!</definedName>
    <definedName localSheetId="31" name="kacacermin8">#REF!</definedName>
    <definedName localSheetId="25" name="ubinkeramikartistik1010">#REF!</definedName>
    <definedName localSheetId="0" name="water.prof">#REF!</definedName>
    <definedName localSheetId="24" name="plintkeramikartistik1010">#REF!</definedName>
    <definedName localSheetId="44" name="Excel_BuiltIn_Print_Titles_10">#REF!</definedName>
    <definedName localSheetId="19" name="semen50">#REF!</definedName>
    <definedName name="_MMM39">#REF!</definedName>
    <definedName localSheetId="8" name="________MMM02">#REF!</definedName>
    <definedName localSheetId="28" name="sssssss">#REF!</definedName>
    <definedName localSheetId="28" name="xxxxx">#REF!</definedName>
    <definedName localSheetId="20" name="platasbes">#REF!</definedName>
    <definedName localSheetId="28" name="he">#REF!</definedName>
    <definedName localSheetId="7" name="sealer.mowi">#REF!</definedName>
    <definedName localSheetId="25" name="nokpaten092">#REF!</definedName>
    <definedName name="__LLL11">#REF!</definedName>
    <definedName localSheetId="24" name="vinylkaret3030">#REF!</definedName>
    <definedName localSheetId="27" name="URAIAN323L">#REF!</definedName>
    <definedName localSheetId="3" name="__PC50">#REF!</definedName>
    <definedName localSheetId="34" name="waterstop150">#REF!</definedName>
    <definedName localSheetId="36" name="stairnzing">#REF!</definedName>
    <definedName localSheetId="6" name="URAIAN22E">#REF!</definedName>
    <definedName localSheetId="4" name="dempul">#REF!</definedName>
    <definedName localSheetId="42" name="zzz">#REF!</definedName>
    <definedName localSheetId="15" name="ubinkeramikartistik1020">#REF!</definedName>
    <definedName localSheetId="19" name="__LLL01">#REF!</definedName>
    <definedName localSheetId="24" name="____HAL5">#REF!</definedName>
    <definedName localSheetId="13" name="flordrain">#REF!</definedName>
    <definedName localSheetId="3" name="kayumarsawa">#REF!</definedName>
    <definedName localSheetId="33" name="platasbes35mm">#REF!</definedName>
    <definedName localSheetId="19" name="Analisa511">#REF!</definedName>
    <definedName localSheetId="41" name="URAIAN7610">#REF!</definedName>
    <definedName localSheetId="17" name="MINOR">#REF!</definedName>
    <definedName localSheetId="25" name="reng">#REF!</definedName>
    <definedName localSheetId="18" name="URAIANLatasirK">#REF!</definedName>
    <definedName localSheetId="5" name="akustikarmstrong">#REF!</definedName>
    <definedName localSheetId="42" name="_____DIV1">#REF!</definedName>
    <definedName localSheetId="3" name="____DIV7">#REF!</definedName>
    <definedName localSheetId="3" name="doorstop">#REF!</definedName>
    <definedName localSheetId="21" name="Print_Titles_MI">#REF!</definedName>
    <definedName localSheetId="34" name="rooflightfiibreglass">#REF!</definedName>
    <definedName localSheetId="25" name="URAIAN7613a">#REF!</definedName>
    <definedName localSheetId="36" name="ARI">#REF!</definedName>
    <definedName localSheetId="19" name="kkkk">#REF!</definedName>
    <definedName localSheetId="17" name="FORM846">#REF!</definedName>
    <definedName localSheetId="7" name="______MMM11">#REF!</definedName>
    <definedName localSheetId="0" name="tukng">#REF!</definedName>
    <definedName localSheetId="15" name="jendelanako">#REF!</definedName>
    <definedName localSheetId="32" name="penduduk">#REF!</definedName>
    <definedName localSheetId="5" name="platasbes">#REF!</definedName>
    <definedName localSheetId="31" name="Print_Area_MI">#REF!</definedName>
    <definedName localSheetId="28" name="plastik">#REF!</definedName>
    <definedName localSheetId="21" name="____DIV8">#REF!</definedName>
    <definedName localSheetId="23" name="kayudamarlaut">#REF!</definedName>
    <definedName localSheetId="44" name="_________MMM40">#REF!</definedName>
    <definedName localSheetId="8" name="batukali14">#REF!</definedName>
    <definedName name="_______MMM53">#REF!</definedName>
    <definedName localSheetId="25" name="FORM7612b">#REF!</definedName>
    <definedName localSheetId="34" name="plintubinteraso1040">#REF!</definedName>
    <definedName localSheetId="21" name="_pvc3">#REF!</definedName>
    <definedName localSheetId="17" name="R25..">#REF!</definedName>
    <definedName localSheetId="17" name="________MMM53">#REF!</definedName>
    <definedName localSheetId="25" name="air">#REF!</definedName>
    <definedName localSheetId="36" name="kayumarsawa">#REF!</definedName>
    <definedName localSheetId="44" name="KTM">#REF!</definedName>
    <definedName localSheetId="25" name="plywood4mm">#REF!</definedName>
    <definedName name="_____MMM31">#REF!</definedName>
    <definedName name="_________MMM45">#REF!</definedName>
    <definedName name="ASISTEN_BIDANG_PEMERINTAHAN">#REF!</definedName>
    <definedName localSheetId="24" name="_MMM17">#REF!</definedName>
    <definedName localSheetId="9" name="ASISTEN_BIDANG_PEMERINTAHAN">#REF!</definedName>
    <definedName localSheetId="32" name="dd">#REF!</definedName>
    <definedName localSheetId="24" name="HP">#REF!</definedName>
    <definedName localSheetId="24" name="_MMM08">#REF!</definedName>
    <definedName localSheetId="24" name="_MMM39">#REF!</definedName>
    <definedName localSheetId="0" name="FORM745">#REF!</definedName>
    <definedName localSheetId="44" name="FORM916">#REF!</definedName>
    <definedName localSheetId="5" name="nokpaten105">#REF!</definedName>
    <definedName localSheetId="15" name="FORM323L">#REF!</definedName>
    <definedName localSheetId="3" name="__MMM09">#REF!</definedName>
    <definedName localSheetId="30" name="DFFFGGG">#REF!</definedName>
    <definedName localSheetId="9" name="kaca12">#REF!</definedName>
    <definedName localSheetId="3" name="ubintahanasam">#REF!</definedName>
    <definedName localSheetId="21" name="______DIV5">#REF!</definedName>
    <definedName localSheetId="38" name="tlistrik">#REF!</definedName>
    <definedName localSheetId="42" name="catpenutup2kali">#REF!</definedName>
    <definedName localSheetId="19" name="URAIAN323L">#REF!</definedName>
    <definedName localSheetId="30" name="besijaringkawatbaja">#REF!</definedName>
    <definedName localSheetId="39" name="R5..">#REF!</definedName>
    <definedName name="__MMM03">#REF!</definedName>
    <definedName localSheetId="31" name="____HAL2">#REF!</definedName>
    <definedName localSheetId="21" name="pindahan">#REF!</definedName>
    <definedName localSheetId="17" name="_________MMM05">#REF!</definedName>
    <definedName localSheetId="3" name="_____DIV2">#REF!</definedName>
    <definedName localSheetId="21" name="pasirsilika">#REF!</definedName>
    <definedName localSheetId="17" name="Pjgsloof">#REF!</definedName>
    <definedName localSheetId="18" name="pipagalvanis">#REF!</definedName>
    <definedName localSheetId="44" name="batapelapisdinding">#REF!</definedName>
    <definedName localSheetId="27" name="jendelanako">#REF!</definedName>
    <definedName localSheetId="15" name="air">#REF!</definedName>
    <definedName name="____MMM43">#REF!</definedName>
    <definedName localSheetId="3" name="doorcloser">#REF!</definedName>
    <definedName localSheetId="44" name="kacapolos3mm">#REF!</definedName>
    <definedName name="_MMM14">#REF!</definedName>
    <definedName localSheetId="24" name="Galam">#REF!</definedName>
    <definedName localSheetId="24" name="________MMM34">#REF!</definedName>
    <definedName name="FORM846">#REF!</definedName>
    <definedName localSheetId="7" name="_______DIV10">#REF!</definedName>
    <definedName localSheetId="25" name="karpet">#REF!</definedName>
    <definedName localSheetId="44" name="R36..">#REF!</definedName>
    <definedName localSheetId="34" name="URAIAN">#REF!</definedName>
    <definedName localSheetId="17" name="R48..">#REF!</definedName>
    <definedName localSheetId="40" name="urugan">#REF!</definedName>
    <definedName localSheetId="44" name="FORM7614b">#REF!</definedName>
    <definedName localSheetId="31" name="________HAL2">#REF!</definedName>
    <definedName localSheetId="7" name="ubinteraluxkerang60">#REF!</definedName>
    <definedName localSheetId="17" name="_____LLL06">#REF!</definedName>
    <definedName localSheetId="44" name="Aluminium">#REF!</definedName>
    <definedName localSheetId="15" name="w">#REF!</definedName>
    <definedName localSheetId="10" name="zzz">#REF!</definedName>
    <definedName localSheetId="5" name="klosetjongkok">#REF!</definedName>
    <definedName localSheetId="32" name="_______MMM02">#REF!</definedName>
    <definedName localSheetId="3" name="___HAL7">#REF!</definedName>
    <definedName localSheetId="34" name="pakusirap">#REF!</definedName>
    <definedName localSheetId="33" name="___DIV10">#REF!</definedName>
    <definedName localSheetId="24" name="_______MMM20">#REF!</definedName>
    <definedName localSheetId="15" name="__pvc3">#REF!</definedName>
    <definedName localSheetId="32" name="________DIV10">#REF!</definedName>
    <definedName localSheetId="27" name="Skrup">#REF!</definedName>
    <definedName localSheetId="17" name="__MMM35">#REF!</definedName>
    <definedName localSheetId="23" name="R20..">#REF!</definedName>
    <definedName localSheetId="41" name="bjls25">#REF!</definedName>
    <definedName localSheetId="25" name="plastikaerator">#REF!</definedName>
    <definedName localSheetId="33" name="c.mowi.luar">#REF!</definedName>
    <definedName localSheetId="27" name="mapel">#REF!</definedName>
    <definedName localSheetId="17" name="ttnh">#REF!</definedName>
    <definedName name="___MMM45">#REF!</definedName>
    <definedName localSheetId="9" name="____DIV10">#REF!</definedName>
    <definedName localSheetId="44" name="floorhardenerferrovak">#REF!</definedName>
    <definedName localSheetId="30" name="jendelanako">#REF!</definedName>
    <definedName localSheetId="41" name="URAIAN621">#REF!</definedName>
    <definedName localSheetId="6" name="hakangin">#REF!</definedName>
    <definedName localSheetId="10" name="closedjongkok">#REF!</definedName>
    <definedName localSheetId="31" name="URAIAN79mekanis">#REF!</definedName>
    <definedName localSheetId="5" name="kaca12">#REF!</definedName>
    <definedName localSheetId="42" name="bubunganasbesgelombang">#REF!</definedName>
    <definedName localSheetId="12" name="FORM8410">#REF!</definedName>
    <definedName localSheetId="7" name="dua">#REF!</definedName>
    <definedName localSheetId="4" name="B.Jambi">#REF!</definedName>
    <definedName localSheetId="0" name="plintubinteraluxmarmer1040">#REF!</definedName>
    <definedName name="baru">#REF!</definedName>
    <definedName localSheetId="38" name="catpenutup2kali">#REF!</definedName>
    <definedName localSheetId="21" name="tl2x40">#REF!</definedName>
    <definedName localSheetId="44" name="f">#REF!</definedName>
    <definedName localSheetId="36" name="_818PK">#REF!</definedName>
    <definedName localSheetId="21" name="kaca.es">#REF!</definedName>
    <definedName localSheetId="36" name="G">#REF!</definedName>
    <definedName localSheetId="44" name="_MMM411">#REF!</definedName>
    <definedName localSheetId="28" name="pengencer">#REF!</definedName>
    <definedName localSheetId="21" name="_____LLL01">#REF!</definedName>
    <definedName localSheetId="7" name="_____HAL1">#REF!</definedName>
    <definedName localSheetId="19" name="________MMM01">#REF!</definedName>
    <definedName localSheetId="42" name="cycllop">#REF!</definedName>
    <definedName localSheetId="36" name="Excel_BuiltIn_Print_Titles_10">#REF!</definedName>
    <definedName localSheetId="30" name="R10..">#REF!</definedName>
    <definedName localSheetId="24" name="____HAL3">#REF!</definedName>
    <definedName localSheetId="34" name="batacote">#REF!</definedName>
    <definedName name="________DIV6">#REF!</definedName>
    <definedName localSheetId="23" name="MATERIAL">#REF!</definedName>
    <definedName localSheetId="17" name="__MMM42">#REF!</definedName>
    <definedName localSheetId="3" name="_______MMM17">#REF!</definedName>
    <definedName localSheetId="4" name="gentengbeton">#REF!</definedName>
    <definedName localSheetId="30" name="sengplatbjls24">#REF!</definedName>
    <definedName localSheetId="11" name="___MMM01">#REF!</definedName>
    <definedName localSheetId="12" name="bbm">#REF!</definedName>
    <definedName localSheetId="3" name="______MMM07">#REF!</definedName>
    <definedName localSheetId="3" name="_________MMM18">#REF!</definedName>
    <definedName localSheetId="24" name="plintubinpcabuabu1040">#REF!</definedName>
    <definedName localSheetId="44" name="plintkeramikartistik1020">#REF!</definedName>
    <definedName localSheetId="44" name="FORM917">#REF!</definedName>
    <definedName localSheetId="40" name="Minyak">#REF!</definedName>
    <definedName name="nnnnn">#REF!</definedName>
    <definedName localSheetId="41" name="_818FA">#REF!</definedName>
    <definedName localSheetId="5" name="URAIAN79manual">#REF!</definedName>
    <definedName localSheetId="39" name="rubbercorrugate">#REF!</definedName>
    <definedName localSheetId="15" name="KTM">#REF!</definedName>
    <definedName name="_________MMM28">#REF!</definedName>
    <definedName localSheetId="21" name="______DIV2">#REF!</definedName>
    <definedName localSheetId="9" name="FORMLatasirKL">#REF!</definedName>
    <definedName localSheetId="44" name="ubingranito40">#REF!</definedName>
    <definedName localSheetId="32" name="papanjelutung">#REF!</definedName>
    <definedName localSheetId="6" name="batupecah">#REF!</definedName>
    <definedName localSheetId="18" name="k.ddg.20.25.rmn.crk">#REF!</definedName>
    <definedName localSheetId="21" name="___pc50">#REF!</definedName>
    <definedName localSheetId="44" name="___LLL10">#REF!</definedName>
    <definedName localSheetId="17" name="____LLL09">#REF!</definedName>
    <definedName localSheetId="17" name="aanstamping">#REF!</definedName>
    <definedName localSheetId="24" name="kawatharmonika">#REF!</definedName>
    <definedName localSheetId="32" name="pakubiasa">#REF!</definedName>
    <definedName localSheetId="23" name="kayumarsawa">#REF!</definedName>
    <definedName localSheetId="20" name="pakubulian">#REF!</definedName>
    <definedName localSheetId="23" name="papanjelutung">#REF!</definedName>
    <definedName localSheetId="36" name="URAIAN79mekanis">#REF!</definedName>
    <definedName localSheetId="20" name="_pp1">#REF!</definedName>
    <definedName localSheetId="3" name="FORM731">#REF!</definedName>
    <definedName localSheetId="33" name="doorholder">#REF!</definedName>
    <definedName localSheetId="18" name="tlistrik">#REF!</definedName>
    <definedName localSheetId="18" name="dempul">#REF!</definedName>
    <definedName localSheetId="38" name="w">#REF!</definedName>
    <definedName name="batacote">#REF!</definedName>
    <definedName localSheetId="23" name="_________DIV2">#REF!</definedName>
    <definedName localSheetId="27" name="koralbeton">#REF!</definedName>
    <definedName localSheetId="5" name="closedjongkok">#REF!</definedName>
    <definedName localSheetId="17" name="__MMM03">#REF!</definedName>
    <definedName localSheetId="13" name="pa">#REF!</definedName>
    <definedName localSheetId="28" name="gentengaspal">#REF!</definedName>
    <definedName localSheetId="34" name="MASTER">#REF!</definedName>
    <definedName localSheetId="23" name="keramik30x30">#REF!</definedName>
    <definedName localSheetId="24" name="badkip">#REF!</definedName>
    <definedName localSheetId="3" name="URAIAN231">#REF!</definedName>
    <definedName localSheetId="27" name="sofboard">#REF!</definedName>
    <definedName localSheetId="3" name="e">#REF!</definedName>
    <definedName localSheetId="25" name="split1.2">#REF!</definedName>
    <definedName localSheetId="7" name="______MMM50">#REF!</definedName>
    <definedName localSheetId="11" name="w">#REF!</definedName>
    <definedName localSheetId="24" name="______MMM01">#REF!</definedName>
    <definedName localSheetId="44" name="bubunganasbesnok">#REF!</definedName>
    <definedName localSheetId="17" name="_________DIV1">#REF!</definedName>
    <definedName localSheetId="17" name="______MMM35">#REF!</definedName>
    <definedName localSheetId="23" name="aaaa">#REF!</definedName>
    <definedName localSheetId="44" name="c.maxi">#REF!</definedName>
    <definedName localSheetId="44" name="___MMM12">#REF!</definedName>
    <definedName localSheetId="13" name="R51..">#REF!</definedName>
    <definedName localSheetId="7" name="kawatduri">#REF!</definedName>
    <definedName localSheetId="27" name="____MMM01">#REF!</definedName>
    <definedName localSheetId="28" name="reng">#REF!</definedName>
    <definedName localSheetId="36" name="plastik">#REF!</definedName>
    <definedName localSheetId="11" name="beton225r">#REF!</definedName>
    <definedName localSheetId="3" name="BAHU">#REF!</definedName>
    <definedName localSheetId="12" name="___HAL3">#REF!</definedName>
    <definedName localSheetId="10" name="pipabeton">#REF!</definedName>
    <definedName localSheetId="21" name="FORM912">#REF!</definedName>
    <definedName localSheetId="3" name="waterstop320">#REF!</definedName>
    <definedName localSheetId="39" name="pakuskrup">#REF!</definedName>
    <definedName localSheetId="7" name="leni">#REF!</definedName>
    <definedName localSheetId="36" name="keramik30x30">#REF!</definedName>
    <definedName localSheetId="31" name="_pvc2">#REF!</definedName>
    <definedName localSheetId="6" name="kaca12">#REF!</definedName>
    <definedName localSheetId="18" name="_____MMM02">#REF!</definedName>
    <definedName localSheetId="24" name="doorstop">#REF!</definedName>
    <definedName localSheetId="15" name="Grendel">#REF!</definedName>
    <definedName localSheetId="36" name="kunciselot">#REF!</definedName>
    <definedName localSheetId="30" name="namaabsen">#REF!</definedName>
    <definedName localSheetId="11" name="kuncitanam">#REF!</definedName>
    <definedName localSheetId="3" name="d">#REF!</definedName>
    <definedName localSheetId="38" name="pipatanah">#REF!</definedName>
    <definedName localSheetId="33" name="plintubinwarna1020">#REF!</definedName>
    <definedName localSheetId="7" name="bubunganstelgelombang105">#REF!</definedName>
    <definedName localSheetId="6" name="_MMM01">#REF!</definedName>
    <definedName localSheetId="5" name="springknip">#REF!</definedName>
    <definedName localSheetId="3" name="gypsum.prf">#REF!</definedName>
    <definedName localSheetId="28" name="Faktor">#REF!</definedName>
    <definedName name="URAIAN734">#REF!</definedName>
    <definedName localSheetId="17" name="plastikaerator">#REF!</definedName>
    <definedName localSheetId="3" name="___MMM54">#REF!</definedName>
    <definedName localSheetId="17" name="akustikarmstrong">#REF!</definedName>
    <definedName localSheetId="41" name="____HAL2">#REF!</definedName>
    <definedName localSheetId="33" name="__LLL02">#REF!</definedName>
    <definedName localSheetId="42" name="cghj">#REF!</definedName>
    <definedName localSheetId="0" name="kayukulim">#REF!</definedName>
    <definedName localSheetId="44" name="R103..">#REF!</definedName>
    <definedName localSheetId="13" name="kacawireglass5">#REF!</definedName>
    <definedName localSheetId="40" name="kayuramin">#REF!</definedName>
    <definedName name="R44..">#REF!</definedName>
    <definedName name="seng30">#REF!</definedName>
    <definedName localSheetId="7" name="________MMM35">#REF!</definedName>
    <definedName localSheetId="34" name="_________HAL3">#REF!</definedName>
    <definedName localSheetId="4" name="coveartistik">#REF!</definedName>
    <definedName localSheetId="44" name="Papanbouplank">#REF!</definedName>
    <definedName localSheetId="21" name="flordrain">#REF!</definedName>
    <definedName localSheetId="34" name="JUDUL">#REF!</definedName>
    <definedName localSheetId="3" name="_____MMM411">#REF!</definedName>
    <definedName localSheetId="44" name="______HAL6">#REF!</definedName>
    <definedName localSheetId="41" name="roll">#REF!</definedName>
    <definedName localSheetId="44" name="gentengpaletongbesar">#REF!</definedName>
    <definedName localSheetId="44" name="___MMM14">#REF!</definedName>
    <definedName localSheetId="44" name="____HAL5">#REF!</definedName>
    <definedName localSheetId="32" name="kayukelas2">#REF!</definedName>
    <definedName name="R13..">#REF!</definedName>
    <definedName localSheetId="11" name="nmdaerah">#REF!</definedName>
    <definedName localSheetId="15" name="besi10.sii">#REF!</definedName>
    <definedName localSheetId="21" name="_MMM35">#REF!</definedName>
    <definedName localSheetId="9" name="______MMM02">#REF!</definedName>
    <definedName localSheetId="34" name="platasbes">#REF!</definedName>
    <definedName localSheetId="12" name="MASTER">#REF!</definedName>
    <definedName localSheetId="7" name="Analisa633">#REF!</definedName>
    <definedName localSheetId="36" name="tky">#REF!</definedName>
    <definedName localSheetId="13" name="__LLL03">#REF!</definedName>
    <definedName localSheetId="41" name="drkeet">#REF!</definedName>
    <definedName localSheetId="6" name="URAIAN611">#REF!</definedName>
    <definedName localSheetId="19" name="xxxxx">#REF!</definedName>
    <definedName localSheetId="7" name="_______MMM38">#REF!</definedName>
    <definedName localSheetId="3" name="roster">#REF!</definedName>
    <definedName name="________MMM08">#REF!</definedName>
    <definedName localSheetId="7" name="____MMM46">#REF!</definedName>
    <definedName localSheetId="15" name="plintubinwarna1020">#REF!</definedName>
    <definedName localSheetId="28" name="FORM841">#REF!</definedName>
    <definedName localSheetId="17" name="R99..">#REF!</definedName>
    <definedName localSheetId="5" name="w.stain">#REF!</definedName>
    <definedName localSheetId="3" name="______MMM24">#REF!</definedName>
    <definedName localSheetId="21" name="____MMM10">#REF!</definedName>
    <definedName localSheetId="28" name="BM">#REF!</definedName>
    <definedName localSheetId="9" name="SPJa">#REF!</definedName>
    <definedName localSheetId="12" name="nokgentengaspal">#REF!</definedName>
    <definedName localSheetId="9" name="URAIAN771b">#REF!</definedName>
    <definedName localSheetId="19" name="split1.2">#REF!</definedName>
    <definedName localSheetId="40" name="_____MMM01">#REF!</definedName>
    <definedName localSheetId="7" name="_DIV9">#REF!</definedName>
    <definedName localSheetId="11" name="kiki">#REF!</definedName>
    <definedName localSheetId="28" name="Galam">#REF!</definedName>
    <definedName localSheetId="39" name="batugranito">#REF!</definedName>
    <definedName localSheetId="30" name="Meni">#REF!</definedName>
    <definedName localSheetId="7" name="ktct">#REF!</definedName>
    <definedName localSheetId="44" name="_________DIV9">#REF!</definedName>
    <definedName name="sdg">#REF!</definedName>
    <definedName localSheetId="28" name="____MMM01">#REF!</definedName>
    <definedName localSheetId="21" name="________MMM36">#REF!</definedName>
    <definedName localSheetId="8" name="Meni">#REF!</definedName>
    <definedName localSheetId="11" name="___DIV3">#REF!</definedName>
    <definedName localSheetId="33" name="lb">#REF!</definedName>
    <definedName localSheetId="3" name="__MMM05">#REF!</definedName>
    <definedName localSheetId="3" name="________MMM15">#REF!</definedName>
    <definedName localSheetId="28" name="URAIAN633">#REF!</definedName>
    <definedName localSheetId="44" name="bubungangentengmetal">#REF!</definedName>
    <definedName localSheetId="11" name="__DIV2">#REF!</definedName>
    <definedName localSheetId="9" name="grendel3">#REF!</definedName>
    <definedName localSheetId="23" name="oemar">#REF!</definedName>
    <definedName localSheetId="40" name="MAI">#REF!</definedName>
    <definedName name="nokpaten108">#REF!</definedName>
    <definedName localSheetId="25" name="KT">#REF!</definedName>
    <definedName localSheetId="21" name="FORM95">#REF!</definedName>
    <definedName localSheetId="12" name="gymfloor">#REF!</definedName>
    <definedName name="_____LLL02">#REF!</definedName>
    <definedName localSheetId="23" name="air">#REF!</definedName>
    <definedName localSheetId="38" name="feltexkarpetwool">#REF!</definedName>
    <definedName localSheetId="9" name="URAIAN745">#REF!</definedName>
    <definedName localSheetId="24" name="R109..">#REF!</definedName>
    <definedName localSheetId="3" name="__DIV8">#REF!</definedName>
    <definedName localSheetId="21" name="R38..">#REF!</definedName>
    <definedName localSheetId="13" name="_________MMM02">#REF!</definedName>
    <definedName localSheetId="28" name="nnnnn">#REF!</definedName>
    <definedName localSheetId="7" name="URAIAN732">#REF!</definedName>
    <definedName localSheetId="4" name="_________HAL1">#REF!</definedName>
    <definedName localSheetId="24" name="ubinkeramik2525">#REF!</definedName>
    <definedName localSheetId="39" name="SusunanOrg">#REF!</definedName>
    <definedName localSheetId="7" name="kaca5">#REF!</definedName>
    <definedName localSheetId="44" name="s.warna">#REF!</definedName>
    <definedName localSheetId="24" name="_______HAL8">#REF!</definedName>
    <definedName localSheetId="15" name="profilalumuniumT">#REF!</definedName>
    <definedName localSheetId="39" name="___pvc2">#REF!</definedName>
    <definedName localSheetId="31" name="__DIV4">#REF!</definedName>
    <definedName localSheetId="5" name="__pvc205">#REF!</definedName>
    <definedName localSheetId="11" name="BM">#REF!</definedName>
    <definedName localSheetId="44" name="________DIV5">#REF!</definedName>
    <definedName localSheetId="24" name="_MMM34">#REF!</definedName>
    <definedName localSheetId="11" name="Tbt">#REF!</definedName>
    <definedName localSheetId="21" name="_______LLL07">#REF!</definedName>
    <definedName localSheetId="9" name="________MMM03">#REF!</definedName>
    <definedName localSheetId="24" name="___MMM34">#REF!</definedName>
    <definedName localSheetId="36" name="grendeltanam">#REF!</definedName>
    <definedName localSheetId="21" name="__PC50">#REF!</definedName>
    <definedName localSheetId="27" name="Print_Area_MI">#REF!</definedName>
    <definedName localSheetId="4" name="___HAL2">#REF!</definedName>
    <definedName localSheetId="42" name="feltexkarpetwool">#REF!</definedName>
    <definedName localSheetId="20" name="MMM17A">#REF!</definedName>
    <definedName localSheetId="32" name="tm_2415921492">#REF!</definedName>
    <definedName localSheetId="25" name="data2">#REF!</definedName>
    <definedName localSheetId="44" name="________MMM18">#REF!</definedName>
    <definedName localSheetId="9" name="kmp.banjar">#REF!</definedName>
    <definedName localSheetId="41" name="ramset">#REF!</definedName>
    <definedName localSheetId="15" name="btn">#REF!</definedName>
    <definedName localSheetId="21" name="KTM">#REF!</definedName>
    <definedName localSheetId="7" name="grendel3">#REF!</definedName>
    <definedName localSheetId="24" name="___MMM27">#REF!</definedName>
    <definedName localSheetId="9" name="___pc50">#REF!</definedName>
    <definedName localSheetId="11" name="Ktbt">#REF!</definedName>
    <definedName name="______MMM02">#REF!</definedName>
    <definedName name="_LLL11">#REF!</definedName>
    <definedName localSheetId="34" name="vertikalsblinds">#REF!</definedName>
    <definedName localSheetId="41" name="bouwplnk">#REF!</definedName>
    <definedName localSheetId="7" name="engsel3">#REF!</definedName>
    <definedName localSheetId="3" name="________MMM24">#REF!</definedName>
    <definedName localSheetId="20" name="_LLL02">#REF!</definedName>
    <definedName localSheetId="21" name="kayukudakuda">#REF!</definedName>
    <definedName localSheetId="17" name="Analisa70707">#REF!</definedName>
    <definedName localSheetId="0" name="__tl2">#REF!</definedName>
    <definedName localSheetId="39" name="MAI">#REF!</definedName>
    <definedName localSheetId="38" name="SPJ">#REF!</definedName>
    <definedName localSheetId="13" name="kuncilemari">#REF!</definedName>
    <definedName localSheetId="41" name="grassblok">#REF!</definedName>
    <definedName localSheetId="34" name="KERAMIK30">#REF!</definedName>
    <definedName localSheetId="5" name="______MMM02">#REF!</definedName>
    <definedName localSheetId="18" name="kawatnyamuk">#REF!</definedName>
    <definedName localSheetId="44" name="____MMM24">#REF!</definedName>
    <definedName localSheetId="8" name="kayukamper">#REF!</definedName>
    <definedName localSheetId="8" name="URAIAN7612a">#REF!</definedName>
    <definedName localSheetId="4" name="URAIAN21">#REF!</definedName>
    <definedName localSheetId="11" name="nokpaten092">#REF!</definedName>
    <definedName localSheetId="8" name="____DIV2">#REF!</definedName>
    <definedName localSheetId="13" name="Lamp">#REF!</definedName>
    <definedName localSheetId="42" name="kuncisilinder">#REF!</definedName>
    <definedName localSheetId="7" name="kayuborneo">#REF!</definedName>
    <definedName localSheetId="33" name="UP">#REF!</definedName>
    <definedName localSheetId="4" name="ktky">#REF!</definedName>
    <definedName localSheetId="44" name="kaca8">#REF!</definedName>
    <definedName localSheetId="36" name="vinylkaretklII">#REF!</definedName>
    <definedName localSheetId="5" name="__pvc2">#REF!</definedName>
    <definedName localSheetId="17" name="R35..">#REF!</definedName>
    <definedName localSheetId="18" name="R51..">#REF!</definedName>
    <definedName localSheetId="6" name="besi12sii">#REF!</definedName>
    <definedName localSheetId="12" name="pakuhak15cm">#REF!</definedName>
    <definedName localSheetId="24" name="____MMM02">#REF!</definedName>
    <definedName localSheetId="36" name="cv">#REF!</definedName>
    <definedName localSheetId="41" name="______MMM03">#REF!</definedName>
    <definedName localSheetId="41" name="Kekurangan">#REF!</definedName>
    <definedName localSheetId="44" name="_____LLL10">#REF!</definedName>
    <definedName localSheetId="38" name="ubinkeramik1033">#REF!</definedName>
    <definedName localSheetId="7" name="kunciselot">#REF!</definedName>
    <definedName localSheetId="10" name="__HAL1">#REF!</definedName>
    <definedName localSheetId="44" name="_________MMM53">#REF!</definedName>
    <definedName localSheetId="39" name="tegelporselen">#REF!</definedName>
    <definedName localSheetId="5" name="Status">#REF!</definedName>
    <definedName localSheetId="21" name="_MMM07">#REF!</definedName>
    <definedName name="______HAL2">#REF!</definedName>
    <definedName localSheetId="44" name="gali">#REF!</definedName>
    <definedName localSheetId="8" name="_________MMM01">#REF!</definedName>
    <definedName localSheetId="44" name="FORM636">#REF!</definedName>
    <definedName localSheetId="7" name="FORM79mekanis">#REF!</definedName>
    <definedName localSheetId="31" name="platasbes35mm">#REF!</definedName>
    <definedName localSheetId="33" name="FORM771b">#REF!</definedName>
    <definedName localSheetId="27" name="_________HAL3">#REF!</definedName>
    <definedName localSheetId="44" name="_____LLL07">#REF!</definedName>
    <definedName localSheetId="32" name="closedjongkok">#REF!</definedName>
    <definedName localSheetId="7" name="_______MMM12">#REF!</definedName>
    <definedName localSheetId="21" name="_LLL10">#REF!</definedName>
    <definedName localSheetId="42" name="_kop6">#REF!</definedName>
    <definedName localSheetId="39" name="FORM771b">#REF!</definedName>
    <definedName name="URAIAN232">#REF!</definedName>
    <definedName name="FORM745">#REF!</definedName>
    <definedName localSheetId="20" name="Z">#REF!</definedName>
    <definedName localSheetId="3" name="URAIAN7613c">#REF!</definedName>
    <definedName localSheetId="20" name="_DIV3">#REF!</definedName>
    <definedName localSheetId="24" name="______MMM09">#REF!</definedName>
    <definedName name="_LLL04">#REF!</definedName>
    <definedName localSheetId="23" name="kuas">#REF!</definedName>
    <definedName localSheetId="30" name="hollowblok">#REF!</definedName>
    <definedName localSheetId="17" name="URAIAN233">#REF!</definedName>
    <definedName localSheetId="11" name="kayudamarlaut">#REF!</definedName>
    <definedName localSheetId="15" name="t.sabun">#REF!</definedName>
    <definedName localSheetId="20" name="f">#REF!</definedName>
    <definedName localSheetId="23" name="Uraian842">#REF!</definedName>
    <definedName localSheetId="20" name="___pvc3">#REF!</definedName>
    <definedName localSheetId="24" name="_____MMM01">#REF!</definedName>
    <definedName localSheetId="10" name="kayukelas2">#REF!</definedName>
    <definedName localSheetId="24" name="k.zink">#REF!</definedName>
    <definedName localSheetId="5" name="R61..">#REF!</definedName>
    <definedName localSheetId="44" name="____MMM14">#REF!</definedName>
    <definedName localSheetId="23" name="plintubinkeramikartistik1020">#REF!</definedName>
    <definedName localSheetId="27" name="URAIAN731">#REF!</definedName>
    <definedName localSheetId="3" name="_MMM04">#REF!</definedName>
    <definedName localSheetId="10" name="_______DIV10">#REF!</definedName>
    <definedName localSheetId="21" name="________MMM45">#REF!</definedName>
    <definedName localSheetId="21" name="bubunganasbesgelombang">#REF!</definedName>
    <definedName localSheetId="28" name="air">#REF!</definedName>
    <definedName localSheetId="20" name="URAIAN771c">#REF!</definedName>
    <definedName localSheetId="8" name="_____HAL3">#REF!</definedName>
    <definedName localSheetId="17" name="hakangin">#REF!</definedName>
    <definedName localSheetId="7" name="kawatsengpolos">#REF!</definedName>
    <definedName localSheetId="27" name="_______DIV2">#REF!</definedName>
    <definedName localSheetId="18" name="meni.kayu">#REF!</definedName>
    <definedName localSheetId="31" name="MASTER">#REF!</definedName>
    <definedName localSheetId="12" name="sodaapi">#REF!</definedName>
    <definedName localSheetId="0" name="kiki">#REF!</definedName>
    <definedName localSheetId="32" name="Akustik">#REF!</definedName>
    <definedName localSheetId="21" name="catmeni">#REF!</definedName>
    <definedName localSheetId="17" name="FORM65">#REF!</definedName>
    <definedName localSheetId="15" name="pajak">#REF!</definedName>
    <definedName localSheetId="3" name="URAIAN7613b">#REF!</definedName>
    <definedName localSheetId="0" name="MATERIAL">#REF!</definedName>
    <definedName localSheetId="21" name="doorcloser">#REF!</definedName>
    <definedName localSheetId="38" name="R60..">#REF!</definedName>
    <definedName localSheetId="21" name="nokstandar">#REF!</definedName>
    <definedName localSheetId="24" name="_MMM411">#REF!</definedName>
    <definedName localSheetId="17" name="___MMM04">#REF!</definedName>
    <definedName localSheetId="27" name="tlistrik">#REF!</definedName>
    <definedName localSheetId="44" name="aaaaaaaaaaa">#REF!</definedName>
    <definedName localSheetId="15" name="Excel_BuiltIn_Print_Area_10">#REF!</definedName>
    <definedName localSheetId="30" name="hcs">#REF!</definedName>
    <definedName localSheetId="3" name="_MMM48">#REF!</definedName>
    <definedName localSheetId="8" name="R100..">#REF!</definedName>
    <definedName localSheetId="15" name="DAYWORKS">#REF!</definedName>
    <definedName localSheetId="20" name="bubungangentengkodok">#REF!</definedName>
    <definedName name="cendana">#REF!</definedName>
    <definedName localSheetId="8" name="keramik20">#REF!</definedName>
    <definedName localSheetId="31" name="G.Kramik">#REF!</definedName>
    <definedName localSheetId="6" name="papanbekisting">#REF!</definedName>
    <definedName localSheetId="31" name="FORM771a">#REF!</definedName>
    <definedName name="pengencer">#REF!</definedName>
    <definedName localSheetId="38" name="besi10.sii">#REF!</definedName>
    <definedName localSheetId="42" name="kacacermin6">#REF!</definedName>
    <definedName localSheetId="3" name="_kop6">#REF!</definedName>
    <definedName localSheetId="31" name="c.mowi.dlm">#REF!</definedName>
    <definedName localSheetId="3" name="jendelanako">#REF!</definedName>
    <definedName name="medan5.7">#REF!</definedName>
    <definedName localSheetId="18" name="URAIAN771c">#REF!</definedName>
    <definedName localSheetId="6" name="______MMM03">#REF!</definedName>
    <definedName localSheetId="40" name="pintualuminium">#REF!</definedName>
    <definedName localSheetId="41" name="ubinwarna40">#REF!</definedName>
    <definedName localSheetId="7" name="papanbekisting">#REF!</definedName>
    <definedName localSheetId="0" name="pakugypsum">#REF!</definedName>
    <definedName localSheetId="44" name="___MMM31">#REF!</definedName>
    <definedName localSheetId="44" name="tm_2415921492">#REF!</definedName>
    <definedName localSheetId="32" name="catpenutup">#REF!</definedName>
    <definedName localSheetId="31" name="R5..">#REF!</definedName>
    <definedName localSheetId="17" name="FORMLatasirKL">#REF!</definedName>
    <definedName localSheetId="41" name="kaca12">#REF!</definedName>
    <definedName localSheetId="21" name="sodaapi">#REF!</definedName>
    <definedName localSheetId="27" name="alba2.20">#REF!</definedName>
    <definedName localSheetId="9" name="FORM771b">#REF!</definedName>
    <definedName localSheetId="12" name="SPJ">#REF!</definedName>
    <definedName localSheetId="38" name="__pvc2">#REF!</definedName>
    <definedName localSheetId="24" name="aa">#REF!</definedName>
    <definedName localSheetId="3" name="u.besi">#REF!</definedName>
    <definedName localSheetId="44" name="________MMM14">#REF!</definedName>
    <definedName localSheetId="34" name="kuncisilinder">#REF!</definedName>
    <definedName localSheetId="9" name="________HAL3">#REF!</definedName>
    <definedName localSheetId="5" name="waterstop150">#REF!</definedName>
    <definedName localSheetId="17" name="bbm">#REF!</definedName>
    <definedName localSheetId="25" name="kaca12">#REF!</definedName>
    <definedName localSheetId="0" name="hollowblok">#REF!</definedName>
    <definedName localSheetId="4" name="tegelpc20x20">#REF!</definedName>
    <definedName localSheetId="41" name="besijaringkawatbaja">#REF!</definedName>
    <definedName localSheetId="9" name="urugan">#REF!</definedName>
    <definedName localSheetId="33" name="grendeltanam">#REF!</definedName>
    <definedName localSheetId="17" name="__MMM17">#REF!</definedName>
    <definedName localSheetId="7" name="urugan">#REF!</definedName>
    <definedName localSheetId="41" name="FORM621">#REF!</definedName>
    <definedName localSheetId="41" name="alangalang">#REF!</definedName>
    <definedName localSheetId="8" name="floorhardenermastercron">#REF!</definedName>
    <definedName localSheetId="4" name="sabun">#REF!</definedName>
    <definedName localSheetId="38" name="pijar15">#REF!</definedName>
    <definedName localSheetId="11" name="pa">#REF!</definedName>
    <definedName localSheetId="9" name="FORM841">#REF!</definedName>
    <definedName localSheetId="21" name="ktct">#REF!</definedName>
    <definedName localSheetId="33" name="ubinteraso30">#REF!</definedName>
    <definedName localSheetId="24" name="R52..">#REF!</definedName>
    <definedName localSheetId="17" name="_________LLL08">#REF!</definedName>
    <definedName localSheetId="0" name="______HAL2">#REF!</definedName>
    <definedName localSheetId="8" name="roll">#REF!</definedName>
    <definedName localSheetId="20" name="cghj">#REF!</definedName>
    <definedName localSheetId="15" name="sementahanasam">#REF!</definedName>
    <definedName localSheetId="24" name="pvc.0.7.5.Mas.d">#REF!</definedName>
    <definedName localSheetId="13" name="_818FA">#REF!</definedName>
    <definedName localSheetId="15" name="kategori">#REF!</definedName>
    <definedName localSheetId="15" name="__pvc205">#REF!</definedName>
    <definedName localSheetId="38" name="_tl2">#REF!</definedName>
    <definedName localSheetId="27" name="______MMM02">#REF!</definedName>
    <definedName localSheetId="32" name="P">#REF!</definedName>
    <definedName localSheetId="34" name="Grendel">#REF!</definedName>
    <definedName localSheetId="3" name="besi6sii">#REF!</definedName>
    <definedName localSheetId="27" name="stairnzing">#REF!</definedName>
    <definedName localSheetId="38" name="bbm">#REF!</definedName>
    <definedName localSheetId="24" name="semen50">#REF!</definedName>
    <definedName localSheetId="3" name="_______MMM33">#REF!</definedName>
    <definedName localSheetId="21" name="pintualuminium">#REF!</definedName>
    <definedName localSheetId="4" name="vernis">#REF!</definedName>
    <definedName localSheetId="32" name="pipatanah">#REF!</definedName>
    <definedName localSheetId="7" name="______HAL3">#REF!</definedName>
    <definedName localSheetId="13" name="kuncialfa">#REF!</definedName>
    <definedName localSheetId="11" name="SPJa">#REF!</definedName>
    <definedName localSheetId="15" name="mlex.w">#REF!</definedName>
    <definedName localSheetId="17" name="bubungangentengpalentongbesar">#REF!</definedName>
    <definedName localSheetId="27" name="perancahkayu">#REF!</definedName>
    <definedName name="__MMM17">#REF!</definedName>
    <definedName localSheetId="17" name="_MMM26">#REF!</definedName>
    <definedName localSheetId="3" name="R43..">#REF!</definedName>
    <definedName localSheetId="24" name="____MMM42">#REF!</definedName>
    <definedName localSheetId="12" name="URAIAN21">#REF!</definedName>
    <definedName localSheetId="15" name="URAIAN745">#REF!</definedName>
    <definedName localSheetId="17" name="_______MMM35">#REF!</definedName>
    <definedName localSheetId="3" name="B.Publik">#REF!</definedName>
    <definedName localSheetId="44" name="___MMM32">#REF!</definedName>
    <definedName localSheetId="0" name="beton175R">#REF!</definedName>
    <definedName localSheetId="42" name="borneo5.7">#REF!</definedName>
    <definedName localSheetId="18" name="plywood6mm">#REF!</definedName>
    <definedName localSheetId="33" name="vinylkaretklII">#REF!</definedName>
    <definedName localSheetId="8" name="alba2.20">#REF!</definedName>
    <definedName localSheetId="42" name="URAIAN234L">#REF!</definedName>
    <definedName localSheetId="5" name="MATERIAL">#REF!</definedName>
    <definedName localSheetId="36" name="ngsel4">#REF!</definedName>
    <definedName localSheetId="21" name="R62..">#REF!</definedName>
    <definedName localSheetId="27" name="kolombetonpracetak">#REF!</definedName>
    <definedName localSheetId="28" name="plintubingranito1040">#REF!</definedName>
    <definedName localSheetId="10" name="P">#REF!</definedName>
    <definedName localSheetId="5" name="AAAAAAA">#REF!</definedName>
    <definedName localSheetId="33" name="KTM">#REF!</definedName>
    <definedName localSheetId="28" name="borneo5.7">#REF!</definedName>
    <definedName localSheetId="17" name="__MMM22">#REF!</definedName>
    <definedName localSheetId="7" name="_____MMM07">#REF!</definedName>
    <definedName localSheetId="34" name="nnnnn">#REF!</definedName>
    <definedName localSheetId="18" name="multi.18">#REF!</definedName>
    <definedName localSheetId="28" name="___pc50">#REF!</definedName>
    <definedName localSheetId="40" name="karpet">#REF!</definedName>
    <definedName localSheetId="23" name="rtrt">#REF!</definedName>
    <definedName localSheetId="6" name="FORM66PERATA">#REF!</definedName>
    <definedName localSheetId="3" name="batuteraso">#REF!</definedName>
    <definedName localSheetId="39" name="jamtandem">#REF!</definedName>
    <definedName localSheetId="30" name="JUDUL1">#REF!</definedName>
    <definedName localSheetId="9" name="plintubinteraluxkerang1060">#REF!</definedName>
    <definedName localSheetId="39" name="_______MMM01">#REF!</definedName>
    <definedName localSheetId="33" name="kunci1slag">#REF!</definedName>
    <definedName localSheetId="18" name="kacacermin5">#REF!</definedName>
    <definedName localSheetId="44" name="URAIANLatasirK">#REF!</definedName>
    <definedName localSheetId="44" name="split2.3">#REF!</definedName>
    <definedName localSheetId="23" name="ts">#REF!</definedName>
    <definedName localSheetId="24" name="R80..">#REF!</definedName>
    <definedName localSheetId="13" name="namaabsen">#REF!</definedName>
    <definedName localSheetId="21" name="___DIV6">#REF!</definedName>
    <definedName localSheetId="13" name="bubungangentengbeton">#REF!</definedName>
    <definedName localSheetId="36" name="nnnnn">#REF!</definedName>
    <definedName localSheetId="3" name="beton225r">#REF!</definedName>
    <definedName localSheetId="21" name="MAI">#REF!</definedName>
    <definedName localSheetId="44" name="kapursirih">#REF!</definedName>
    <definedName localSheetId="10" name="pakuhalus">#REF!</definedName>
    <definedName localSheetId="25" name="sdg">#REF!</definedName>
    <definedName localSheetId="3" name="R73..">#REF!</definedName>
    <definedName localSheetId="8" name="JUDUL1">#REF!</definedName>
    <definedName localSheetId="41" name="nmdaerah">#REF!</definedName>
    <definedName localSheetId="17" name="water.prof">#REF!</definedName>
    <definedName localSheetId="0" name="roll">#REF!</definedName>
    <definedName localSheetId="19" name="FORM7610">#REF!</definedName>
    <definedName localSheetId="44" name="_________MMM22">#REF!</definedName>
    <definedName localSheetId="7" name="wallpaper">#REF!</definedName>
    <definedName localSheetId="3" name="__MMM38">#REF!</definedName>
    <definedName localSheetId="31" name="FORM79manual">#REF!</definedName>
    <definedName localSheetId="3" name="pakusumbat">#REF!</definedName>
    <definedName localSheetId="34" name="FORM632">#REF!</definedName>
    <definedName localSheetId="39" name="Nokmetal3mm">#REF!</definedName>
    <definedName localSheetId="39" name="kaca5">#REF!</definedName>
    <definedName localSheetId="34" name="________HAL3">#REF!</definedName>
    <definedName localSheetId="11" name="u.bekisting">#REF!</definedName>
    <definedName localSheetId="21" name="___MMM36">#REF!</definedName>
    <definedName localSheetId="0" name="URAIAN323L">#REF!</definedName>
    <definedName localSheetId="7" name="______LLL10">#REF!</definedName>
    <definedName localSheetId="40" name="gymfloor">#REF!</definedName>
    <definedName localSheetId="39" name="kayukulim">#REF!</definedName>
    <definedName localSheetId="42" name="FORM66PERMUKAAN">#REF!</definedName>
    <definedName localSheetId="32" name="URAIAN771b">#REF!</definedName>
    <definedName localSheetId="32" name="plintkeramikartistik1010">#REF!</definedName>
    <definedName localSheetId="19" name="SEKRETARIAT_DPRD">#REF!</definedName>
    <definedName localSheetId="21" name="FORM847">#REF!</definedName>
    <definedName localSheetId="44" name="platasbes5mm">#REF!</definedName>
    <definedName localSheetId="4" name="mlex.w">#REF!</definedName>
    <definedName localSheetId="21" name="multi.6">#REF!</definedName>
    <definedName localSheetId="12" name="SSSSSSSSSSSSSSSSSSSSSSSSSSSSS">#REF!</definedName>
    <definedName localSheetId="7" name="batu.jogja">#REF!</definedName>
    <definedName localSheetId="7" name="y">#REF!</definedName>
    <definedName localSheetId="39" name="FRRDS">#REF!</definedName>
    <definedName localSheetId="18" name="PT">#REF!</definedName>
    <definedName localSheetId="28" name="L">#REF!</definedName>
    <definedName localSheetId="27" name="_818PK">#REF!</definedName>
    <definedName localSheetId="25" name="B.Aparatur">#REF!</definedName>
    <definedName localSheetId="42" name="_____DIV10">#REF!</definedName>
    <definedName name="besi19u">#REF!</definedName>
    <definedName localSheetId="34" name="mowi.ws">#REF!</definedName>
    <definedName localSheetId="42" name="ppn2.30">#REF!</definedName>
    <definedName localSheetId="23" name="ARI">#REF!</definedName>
    <definedName localSheetId="17" name="____MMM36">#REF!</definedName>
    <definedName localSheetId="27" name="engselangin">#REF!</definedName>
    <definedName localSheetId="28" name="engsel3">#REF!</definedName>
    <definedName localSheetId="44" name="__HAL5">#REF!</definedName>
    <definedName localSheetId="12" name="tempatcucipiring">#REF!</definedName>
    <definedName localSheetId="7" name="c.mowi.dlm">#REF!</definedName>
    <definedName localSheetId="7" name="_________MMM411">#REF!</definedName>
    <definedName localSheetId="9" name="hollowblok">#REF!</definedName>
    <definedName localSheetId="5" name="total">#REF!</definedName>
    <definedName localSheetId="18" name="koralbeton">#REF!</definedName>
    <definedName localSheetId="42" name="washtafel">#REF!</definedName>
    <definedName localSheetId="3" name="kayukulim">#REF!</definedName>
    <definedName localSheetId="31" name="pintubesibaja">#REF!</definedName>
    <definedName name="besi16u">#REF!</definedName>
    <definedName localSheetId="0" name="Tbs">#REF!</definedName>
    <definedName localSheetId="7" name="_____MMM10">#REF!</definedName>
    <definedName localSheetId="40" name="MMM17A">#REF!</definedName>
    <definedName localSheetId="21" name="____LLL09">#REF!</definedName>
    <definedName localSheetId="11" name="________DIV10">#REF!</definedName>
    <definedName localSheetId="3" name="_________MMM08">#REF!</definedName>
    <definedName localSheetId="4" name="a">#REF!</definedName>
    <definedName localSheetId="5" name="R51..">#REF!</definedName>
    <definedName localSheetId="24" name="rapidrant">#REF!</definedName>
    <definedName localSheetId="11" name="____DIV4">#REF!</definedName>
    <definedName localSheetId="7" name="__MMM12">#REF!</definedName>
    <definedName localSheetId="3" name="c.mowi.dlm">#REF!</definedName>
    <definedName localSheetId="24" name="_______MMM49">#REF!</definedName>
    <definedName localSheetId="3" name="____MMM39">#REF!</definedName>
    <definedName localSheetId="44" name="SEKRETARIAT_DPRD">#REF!</definedName>
    <definedName localSheetId="3" name="____MMM06">#REF!</definedName>
    <definedName localSheetId="18" name="ubinkeramik1515">#REF!</definedName>
    <definedName localSheetId="23" name="URAIAN22E">#REF!</definedName>
    <definedName localSheetId="7" name="FORM771a">#REF!</definedName>
    <definedName localSheetId="20" name="FORM842">#REF!</definedName>
    <definedName localSheetId="7" name="pvc.4.mas.d">#REF!</definedName>
    <definedName localSheetId="24" name="____MMM41">#REF!</definedName>
    <definedName localSheetId="24" name="btn">#REF!</definedName>
    <definedName localSheetId="15" name="RoolingdoorAlumunium">#REF!</definedName>
    <definedName localSheetId="17" name="keramik20">#REF!</definedName>
    <definedName localSheetId="36" name="__pvc205">#REF!</definedName>
    <definedName localSheetId="24" name="_________MMM34">#REF!</definedName>
    <definedName localSheetId="21" name="Plywood9">#REF!</definedName>
    <definedName localSheetId="12" name="kawatnyamuk">#REF!</definedName>
    <definedName localSheetId="7" name="kompresor">#REF!</definedName>
    <definedName localSheetId="7" name="___MMM33">#REF!</definedName>
    <definedName localSheetId="17" name="_MMM23">#REF!</definedName>
    <definedName localSheetId="11" name="SEKRETARIAT_DPRD">#REF!</definedName>
    <definedName localSheetId="15" name="MATERIAL">#REF!</definedName>
    <definedName localSheetId="28" name="kacacermin5">#REF!</definedName>
    <definedName localSheetId="15" name="URAIAN234L">#REF!</definedName>
    <definedName localSheetId="24" name="URAIAN7612b">#REF!</definedName>
    <definedName localSheetId="30" name="____DIV10">#REF!</definedName>
    <definedName localSheetId="13" name="JUDUL">#REF!</definedName>
    <definedName localSheetId="21" name="FORM632">#REF!</definedName>
    <definedName localSheetId="7" name="besi16">#REF!</definedName>
    <definedName localSheetId="31" name="keramik40">#REF!</definedName>
    <definedName localSheetId="20" name="des">#REF!</definedName>
    <definedName name="___MMM13">#REF!</definedName>
    <definedName localSheetId="24" name="floorhardenerferrovak">#REF!</definedName>
    <definedName localSheetId="7" name="rubbercorrugate">#REF!</definedName>
    <definedName localSheetId="30" name="seng30">#REF!</definedName>
    <definedName localSheetId="44" name="_MMM04">#REF!</definedName>
    <definedName localSheetId="17" name="__DIV8">#REF!</definedName>
    <definedName localSheetId="20" name="tp80x80">#REF!</definedName>
    <definedName localSheetId="17" name="ppn3.30">#REF!</definedName>
    <definedName localSheetId="15" name="RPHL">#REF!</definedName>
    <definedName localSheetId="42" name="beton175R">#REF!</definedName>
    <definedName localSheetId="20" name="batupecah">#REF!</definedName>
    <definedName localSheetId="7" name="_______MMM30">#REF!</definedName>
    <definedName name="_MMM02">#REF!</definedName>
    <definedName localSheetId="42" name="Analisa512">#REF!</definedName>
    <definedName localSheetId="3" name="URAIAN65">#REF!</definedName>
    <definedName localSheetId="18" name="URAIAN7612c">#REF!</definedName>
    <definedName localSheetId="0" name="bbm">#REF!</definedName>
    <definedName localSheetId="39" name="_____DIV3">#REF!</definedName>
    <definedName localSheetId="24" name="________MMM46">#REF!</definedName>
    <definedName localSheetId="21" name="Analisa71511">#REF!</definedName>
    <definedName localSheetId="3" name="R79..">#REF!</definedName>
    <definedName localSheetId="40" name="Faktorial">#REF!</definedName>
    <definedName localSheetId="18" name="Status">#REF!</definedName>
    <definedName localSheetId="12" name="ubinwarna30">#REF!</definedName>
    <definedName localSheetId="17" name="papanbulian">#REF!</definedName>
    <definedName localSheetId="8" name="air">#REF!</definedName>
    <definedName localSheetId="44" name="________HAL6">#REF!</definedName>
    <definedName localSheetId="21" name="ubinwarna30">#REF!</definedName>
    <definedName localSheetId="7" name="kaca.es">#REF!</definedName>
    <definedName localSheetId="44" name="gentengpaletong">#REF!</definedName>
    <definedName localSheetId="34" name="keramik40">#REF!</definedName>
    <definedName localSheetId="27" name="_____MMM02">#REF!</definedName>
    <definedName localSheetId="42" name="FORM633">#REF!</definedName>
    <definedName localSheetId="32" name="_DIV1">#REF!</definedName>
    <definedName localSheetId="34" name="ubinkeramik1515">#REF!</definedName>
    <definedName localSheetId="13" name="G.Kramik">#REF!</definedName>
    <definedName localSheetId="5" name="bakcuciteraso">#REF!</definedName>
    <definedName localSheetId="7" name="_________MMM25">#REF!</definedName>
    <definedName localSheetId="24" name="medan3.4">#REF!</definedName>
    <definedName localSheetId="24" name="___pvc2">#REF!</definedName>
    <definedName localSheetId="44" name="batukali14">#REF!</definedName>
    <definedName localSheetId="11" name="a">#REF!</definedName>
    <definedName localSheetId="38" name="HP">#REF!</definedName>
    <definedName localSheetId="27" name="kaca5">#REF!</definedName>
    <definedName localSheetId="38" name="_KOP7">#REF!</definedName>
    <definedName localSheetId="40" name="pintulipat">#REF!</definedName>
    <definedName name="KERAMIK30">#REF!</definedName>
    <definedName localSheetId="17" name="FORM622">#REF!</definedName>
    <definedName localSheetId="4" name="batacote">#REF!</definedName>
    <definedName localSheetId="15" name="dasar">#REF!</definedName>
    <definedName localSheetId="17" name="_MMM24">#REF!</definedName>
    <definedName localSheetId="12" name="SEKRETARIAT_DPRD">#REF!</definedName>
    <definedName localSheetId="30" name="beton175R">#REF!</definedName>
    <definedName localSheetId="19" name="_________MMM03">#REF!</definedName>
    <definedName localSheetId="8" name="kawatburung">#REF!</definedName>
    <definedName localSheetId="18" name="oemar">#REF!</definedName>
    <definedName localSheetId="44" name="R6..">#REF!</definedName>
    <definedName localSheetId="12" name="FORM632">#REF!</definedName>
    <definedName name="nokstelrata092">#REF!</definedName>
    <definedName localSheetId="12" name="BM">#REF!</definedName>
    <definedName localSheetId="24" name="tempatcucipiring">#REF!</definedName>
    <definedName localSheetId="36" name="roster">#REF!</definedName>
    <definedName localSheetId="13" name="JL_NAS">#REF!</definedName>
    <definedName localSheetId="4" name="tlistrik">#REF!</definedName>
    <definedName localSheetId="9" name="mowi.w.shield">#REF!</definedName>
    <definedName localSheetId="36" name="SPJ">#REF!</definedName>
    <definedName localSheetId="19" name="jendelanako">#REF!</definedName>
    <definedName localSheetId="7" name="________MMM31">#REF!</definedName>
    <definedName localSheetId="23" name="Analisa512">#REF!</definedName>
    <definedName localSheetId="24" name="vertikalsblinds">#REF!</definedName>
    <definedName localSheetId="3" name="lp">#REF!</definedName>
    <definedName localSheetId="7" name="feltexkarpetwool">#REF!</definedName>
    <definedName localSheetId="12" name="ubinkeramikartistik1010">#REF!</definedName>
    <definedName localSheetId="41" name="R10..">#REF!</definedName>
    <definedName localSheetId="33" name="Faktorial">#REF!</definedName>
    <definedName localSheetId="44" name="Analisa633">#REF!</definedName>
    <definedName localSheetId="32" name="KunciPintu">#REF!</definedName>
    <definedName localSheetId="33" name="tbkr">#REF!</definedName>
    <definedName localSheetId="23" name="kiki">#REF!</definedName>
    <definedName localSheetId="4" name="ubinkeramikartistik520">#REF!</definedName>
    <definedName localSheetId="42" name="ss">#REF!</definedName>
    <definedName localSheetId="13" name="URAIANLatasirK">#REF!</definedName>
    <definedName localSheetId="18" name="bubunganasbesnok">#REF!</definedName>
    <definedName localSheetId="24" name="k.lnt.rmn.20.20.crk">#REF!</definedName>
    <definedName localSheetId="41" name="pagar2m">#REF!</definedName>
    <definedName name="feltexkarpetwool">#REF!</definedName>
    <definedName localSheetId="21" name="_MMM04">#REF!</definedName>
    <definedName localSheetId="33" name="SUNGAI_BERTAM">#REF!</definedName>
    <definedName localSheetId="24" name="_________DIV3">#REF!</definedName>
    <definedName localSheetId="40" name="koralbeton">#REF!</definedName>
    <definedName localSheetId="21" name="SEKRETARIAT_DPRD">#REF!</definedName>
    <definedName localSheetId="19" name="Gypsum">#REF!</definedName>
    <definedName localSheetId="10" name="aaaa">#REF!</definedName>
    <definedName localSheetId="44" name="bjls25">#REF!</definedName>
    <definedName localSheetId="41" name="Fak">#REF!</definedName>
    <definedName localSheetId="40" name="URAIAN22L">#REF!</definedName>
    <definedName localSheetId="36" name="URAIAN721">#REF!</definedName>
    <definedName localSheetId="13" name="__HAL5">#REF!</definedName>
    <definedName localSheetId="6" name="FORM771c">#REF!</definedName>
    <definedName localSheetId="32" name="LAINLAIN">#REF!</definedName>
    <definedName localSheetId="9" name="__DIV2">#REF!</definedName>
    <definedName localSheetId="10" name="s.warna">#REF!</definedName>
    <definedName localSheetId="36" name="R3..">#REF!</definedName>
    <definedName localSheetId="42" name="URAIAN632">#REF!</definedName>
    <definedName localSheetId="32" name="mowi.w.shield">#REF!</definedName>
    <definedName localSheetId="7" name="_______MMM44">#REF!</definedName>
    <definedName localSheetId="21" name="__MMM29">#REF!</definedName>
    <definedName localSheetId="19" name="__MMM02">#REF!</definedName>
    <definedName localSheetId="33" name="URAIAN7614a">#REF!</definedName>
    <definedName localSheetId="10" name="sssssss">#REF!</definedName>
    <definedName localSheetId="31" name="he">#REF!</definedName>
    <definedName localSheetId="20" name="Kekurangan">#REF!</definedName>
    <definedName localSheetId="9" name="FORMLatasirK">#REF!</definedName>
    <definedName localSheetId="8" name="_pvc105">#REF!</definedName>
    <definedName localSheetId="41" name="__DIV1">#REF!</definedName>
    <definedName localSheetId="42" name="flordrain">#REF!</definedName>
    <definedName localSheetId="44" name="R109..">#REF!</definedName>
    <definedName localSheetId="38" name="vinylasbes">#REF!</definedName>
    <definedName localSheetId="9" name="ubinwarna20">#REF!</definedName>
    <definedName name="FORM845">#REF!</definedName>
    <definedName localSheetId="24" name="__MMM03">#REF!</definedName>
    <definedName localSheetId="21" name="URAIAN98">#REF!</definedName>
    <definedName localSheetId="6" name="kacacermin5">#REF!</definedName>
    <definedName localSheetId="41" name="_pp1">#REF!</definedName>
    <definedName localSheetId="24" name="MAI">#REF!</definedName>
    <definedName localSheetId="10" name="____DIV10">#REF!</definedName>
    <definedName localSheetId="12" name="hcs">#REF!</definedName>
    <definedName localSheetId="23" name="KTM">#REF!</definedName>
    <definedName localSheetId="28" name="plintubinteraluxmarmer1060">#REF!</definedName>
    <definedName localSheetId="24" name="teakwood6mm">#REF!</definedName>
    <definedName localSheetId="44" name="batamerah">#REF!</definedName>
    <definedName localSheetId="28" name="______DIV2">#REF!</definedName>
    <definedName localSheetId="4" name="ubingranito40">#REF!</definedName>
    <definedName localSheetId="7" name="bakkontrol">#REF!</definedName>
    <definedName localSheetId="25" name="kunci2slag">#REF!</definedName>
    <definedName localSheetId="20" name="ASISTEN_BIDANG_PEMERINTAHAN">#REF!</definedName>
    <definedName localSheetId="5" name="FORM323L">#REF!</definedName>
    <definedName localSheetId="3" name="________MMM36">#REF!</definedName>
    <definedName localSheetId="25" name="gypsum.prf">#REF!</definedName>
    <definedName localSheetId="24" name="______LLL02">#REF!</definedName>
    <definedName name="Galam">#REF!</definedName>
    <definedName localSheetId="40" name="_________MMM01">#REF!</definedName>
    <definedName localSheetId="0" name="plywood6mm">#REF!</definedName>
    <definedName localSheetId="32" name="_pvc3">#REF!</definedName>
    <definedName localSheetId="33" name="amplas">#REF!</definedName>
    <definedName localSheetId="19" name="f.drain">#REF!</definedName>
    <definedName localSheetId="7" name="_MMM11">#REF!</definedName>
    <definedName localSheetId="27" name="catpenutup">#REF!</definedName>
    <definedName localSheetId="7" name="__MMM14">#REF!</definedName>
    <definedName localSheetId="32" name="Pengadaan">#REF!</definedName>
    <definedName localSheetId="40" name="_______HAL3">#REF!</definedName>
    <definedName localSheetId="3" name="_MMM411">#REF!</definedName>
    <definedName localSheetId="23" name="ubinwarna20">#REF!</definedName>
    <definedName localSheetId="12" name="URAIANLatasirK">#REF!</definedName>
    <definedName localSheetId="17" name="R97..">#REF!</definedName>
    <definedName localSheetId="31" name="__LLL03">#REF!</definedName>
    <definedName name="p.kmp.smrd.3.20">#REF!</definedName>
    <definedName localSheetId="39" name="SUNGAI_BERTAM">#REF!</definedName>
    <definedName localSheetId="44" name="___MMM13">#REF!</definedName>
    <definedName localSheetId="41" name="__HAL1">#REF!</definedName>
    <definedName localSheetId="44" name="_______HAL1">#REF!</definedName>
    <definedName localSheetId="21" name="URAIAN642">#REF!</definedName>
    <definedName localSheetId="41" name="plintubingranito1040">#REF!</definedName>
    <definedName localSheetId="7" name="Analisa70706">#REF!</definedName>
    <definedName localSheetId="30" name="catantara">#REF!</definedName>
    <definedName localSheetId="11" name="k.ddg.rmn.20.25.pls">#REF!</definedName>
    <definedName localSheetId="32" name="L">#REF!</definedName>
    <definedName localSheetId="10" name="urugantanah">#REF!</definedName>
    <definedName localSheetId="4" name="engselangin">#REF!</definedName>
    <definedName localSheetId="36" name="______HAL1">#REF!</definedName>
    <definedName localSheetId="8" name="________DIV2">#REF!</definedName>
    <definedName localSheetId="7" name="Meni">#REF!</definedName>
    <definedName localSheetId="15" name="kenek">#REF!</definedName>
    <definedName localSheetId="44" name="Faktor">#REF!</definedName>
    <definedName localSheetId="6" name="kenek">#REF!</definedName>
    <definedName localSheetId="40" name="teakwood6mm">#REF!</definedName>
    <definedName localSheetId="3" name="_________MMM43">#REF!</definedName>
    <definedName localSheetId="7" name="____LLL07">#REF!</definedName>
    <definedName localSheetId="9" name="borneo4.6">#REF!</definedName>
    <definedName localSheetId="17" name="_______MMM41">#REF!</definedName>
    <definedName localSheetId="15" name="ubinwarna40">#REF!</definedName>
    <definedName localSheetId="38" name="hd">#REF!</definedName>
    <definedName localSheetId="6" name="relpintudorong">#REF!</definedName>
    <definedName localSheetId="3" name="Besi1Kg">#REF!</definedName>
    <definedName localSheetId="3" name="_______DIV9">#REF!</definedName>
    <definedName localSheetId="34" name="_pc40">#REF!</definedName>
    <definedName localSheetId="28" name="__DIV1">#REF!</definedName>
    <definedName localSheetId="28" name="vertikalsblinds">#REF!</definedName>
    <definedName localSheetId="36" name="hcs">#REF!</definedName>
    <definedName localSheetId="20" name="kawatduri">#REF!</definedName>
    <definedName localSheetId="15" name="__HAL1">#REF!</definedName>
    <definedName localSheetId="0" name="______DIV2">#REF!</definedName>
    <definedName localSheetId="27" name="pipagalvanis">#REF!</definedName>
    <definedName localSheetId="19" name="a">#REF!</definedName>
    <definedName localSheetId="3" name="washtafel">#REF!</definedName>
    <definedName localSheetId="21" name="URAIAN622">#REF!</definedName>
    <definedName localSheetId="11" name="grendeltanam">#REF!</definedName>
    <definedName localSheetId="13" name="URAIAN7613a">#REF!</definedName>
    <definedName localSheetId="3" name="ubinteraluxkerang30">#REF!</definedName>
    <definedName localSheetId="7" name="_MMM38">#REF!</definedName>
    <definedName localSheetId="7" name="seng30">#REF!</definedName>
    <definedName localSheetId="6" name="batamerah">#REF!</definedName>
    <definedName localSheetId="17" name="__pvc2">#REF!</definedName>
    <definedName localSheetId="24" name="___MMM09">#REF!</definedName>
    <definedName localSheetId="39" name="rollingdoor">#REF!</definedName>
    <definedName localSheetId="42" name="koralbeton">#REF!</definedName>
    <definedName localSheetId="4" name="_pvc3">#REF!</definedName>
    <definedName localSheetId="15" name="c.maxi">#REF!</definedName>
    <definedName localSheetId="28" name="batugranito">#REF!</definedName>
    <definedName localSheetId="19" name="kawatsengpolos">#REF!</definedName>
    <definedName name="_____MMM49">#REF!</definedName>
    <definedName localSheetId="0" name="gggg">#REF!</definedName>
    <definedName localSheetId="36" name="______DIV2">#REF!</definedName>
    <definedName localSheetId="27" name="gmp">#REF!</definedName>
    <definedName name="__pc40">#REF!</definedName>
    <definedName localSheetId="21" name="URAIAN7613a">#REF!</definedName>
    <definedName localSheetId="17" name="sealent">#REF!</definedName>
    <definedName localSheetId="44" name="u.cor">#REF!</definedName>
    <definedName localSheetId="24" name="_MMM21">#REF!</definedName>
    <definedName localSheetId="23" name="plywood4mm">#REF!</definedName>
    <definedName localSheetId="19" name="BAHU">#REF!</definedName>
    <definedName name="______LLL09">#REF!</definedName>
    <definedName localSheetId="3" name="URAIAN642">#REF!</definedName>
    <definedName localSheetId="17" name="________MMM05">#REF!</definedName>
    <definedName localSheetId="30" name="vertikalsblinds">#REF!</definedName>
    <definedName localSheetId="30" name="kayubulian">#REF!</definedName>
    <definedName localSheetId="4" name="Tbs">#REF!</definedName>
    <definedName localSheetId="25" name="ngsel4">#REF!</definedName>
    <definedName localSheetId="3" name="URAIAN7614d">#REF!</definedName>
    <definedName localSheetId="10" name="R41..">#REF!</definedName>
    <definedName localSheetId="11" name="kolombetonpracetak">#REF!</definedName>
    <definedName localSheetId="7" name="URAIAN66PERMUKAAN">#REF!</definedName>
    <definedName localSheetId="23" name="hcs">#REF!</definedName>
    <definedName localSheetId="31" name="________HAL1">#REF!</definedName>
    <definedName localSheetId="0" name="NAMA3">#REF!</definedName>
    <definedName name="____LLL01">#REF!</definedName>
    <definedName localSheetId="3" name="________DIV4">#REF!</definedName>
    <definedName localSheetId="13" name="MMM17A">#REF!</definedName>
    <definedName name="__MMM27">#REF!</definedName>
    <definedName localSheetId="19" name="total">#REF!</definedName>
    <definedName localSheetId="33" name="pipagalvanis">#REF!</definedName>
    <definedName localSheetId="42" name="_________HAL1">#REF!</definedName>
    <definedName localSheetId="36" name="_______MMM02">#REF!</definedName>
    <definedName localSheetId="20" name="____MMM02">#REF!</definedName>
    <definedName localSheetId="3" name="___MMM13">#REF!</definedName>
    <definedName localSheetId="18" name="R41..">#REF!</definedName>
    <definedName name="FORM918">#REF!</definedName>
    <definedName localSheetId="30" name="LAP">#REF!</definedName>
    <definedName localSheetId="23" name="medan5.7">#REF!</definedName>
    <definedName localSheetId="9" name="_______DIV10">#REF!</definedName>
    <definedName localSheetId="17" name="___MMM42">#REF!</definedName>
    <definedName localSheetId="5" name="kuncitanam">#REF!</definedName>
    <definedName localSheetId="17" name="sunloid">#REF!</definedName>
    <definedName localSheetId="40" name="pintugulungbesi">#REF!</definedName>
    <definedName localSheetId="12" name="ubinteraso30">#REF!</definedName>
    <definedName localSheetId="7" name="FORM7614e">#REF!</definedName>
    <definedName localSheetId="18" name="bjls30">#REF!</definedName>
    <definedName localSheetId="4" name="____HAL3">#REF!</definedName>
    <definedName localSheetId="13" name="Closet.ddk">#REF!</definedName>
    <definedName name="__MMM47">#REF!</definedName>
    <definedName localSheetId="18" name="doorstop">#REF!</definedName>
    <definedName localSheetId="19" name="Excel_BuiltIn_Print_Area_1">#REF!</definedName>
    <definedName localSheetId="3" name="R66..">#REF!</definedName>
    <definedName localSheetId="5" name="batuporos">#REF!</definedName>
    <definedName localSheetId="40" name="penduduk">#REF!</definedName>
    <definedName localSheetId="39" name="batapelapisklinker">#REF!</definedName>
    <definedName localSheetId="7" name="plywood4mm">#REF!</definedName>
    <definedName localSheetId="0" name="Grendel">#REF!</definedName>
    <definedName localSheetId="3" name="________MMM18">#REF!</definedName>
    <definedName name="KTM">#REF!</definedName>
    <definedName localSheetId="18" name="nokgentengaspal">#REF!</definedName>
    <definedName localSheetId="6" name="R61..">#REF!</definedName>
    <definedName localSheetId="13" name="c.mowi.luar">#REF!</definedName>
    <definedName localSheetId="17" name="_____MMM11">#REF!</definedName>
    <definedName localSheetId="18" name="______MMM02">#REF!</definedName>
    <definedName localSheetId="44" name="pintualuminium">#REF!</definedName>
    <definedName localSheetId="19" name="aa">#REF!</definedName>
    <definedName localSheetId="10" name="__pvc3">#REF!</definedName>
    <definedName localSheetId="34" name="oemar">#REF!</definedName>
    <definedName localSheetId="5" name="multi.18">#REF!</definedName>
    <definedName localSheetId="7" name="marmer">#REF!</definedName>
    <definedName localSheetId="25" name="BM">#REF!</definedName>
    <definedName localSheetId="15" name="_LLL02">#REF!</definedName>
    <definedName localSheetId="38" name="gypsum.9">#REF!</definedName>
    <definedName localSheetId="17" name="R73..">#REF!</definedName>
    <definedName localSheetId="23" name="k.ddg.rmn.20.25.pls">#REF!</definedName>
    <definedName localSheetId="5" name="____MMM01">#REF!</definedName>
    <definedName name="water.prof">#REF!</definedName>
    <definedName localSheetId="3" name="ls">#REF!</definedName>
    <definedName localSheetId="28" name="roll">#REF!</definedName>
    <definedName localSheetId="36" name="URAIAN66PERATA">#REF!</definedName>
    <definedName name="beton250r">#REF!</definedName>
    <definedName localSheetId="38" name="plywood4">#REF!</definedName>
    <definedName localSheetId="9" name="ARI">#REF!</definedName>
    <definedName localSheetId="6" name="_________MMM03">#REF!</definedName>
    <definedName localSheetId="42" name="Analisa55">#REF!</definedName>
    <definedName localSheetId="33" name="DSSDD">#REF!</definedName>
    <definedName localSheetId="12" name="k.ddg.rmn.20.25.pls">#REF!</definedName>
    <definedName localSheetId="44" name="________MMM04">#REF!</definedName>
    <definedName localSheetId="27" name="Tbs">#REF!</definedName>
    <definedName localSheetId="24" name="____MMM25">#REF!</definedName>
    <definedName localSheetId="42" name="kayumarsawa">#REF!</definedName>
    <definedName localSheetId="32" name="engsel3">#REF!</definedName>
    <definedName localSheetId="28" name="______DIV3">#REF!</definedName>
    <definedName localSheetId="15" name="aluminiumfoil">#REF!</definedName>
    <definedName localSheetId="42" name="ubinteraso30">#REF!</definedName>
    <definedName localSheetId="13" name="sabun">#REF!</definedName>
    <definedName localSheetId="7" name="rooflightfiibreglass">#REF!</definedName>
    <definedName name="_____MMM02">#REF!</definedName>
    <definedName localSheetId="32" name="R40..">#REF!</definedName>
    <definedName localSheetId="21" name="FORM7614d">#REF!</definedName>
    <definedName localSheetId="9" name="______DIV10">#REF!</definedName>
    <definedName name="R35..">#REF!</definedName>
    <definedName localSheetId="30" name="____DIV4">#REF!</definedName>
    <definedName localSheetId="34" name="catmeni">#REF!</definedName>
    <definedName localSheetId="33" name="__HAL3">#REF!</definedName>
    <definedName localSheetId="40" name="kacawireglass5">#REF!</definedName>
    <definedName localSheetId="27" name="ppn2.30">#REF!</definedName>
    <definedName localSheetId="32" name="Status">#REF!</definedName>
    <definedName localSheetId="41" name="kayumarsawa">#REF!</definedName>
    <definedName name="______MMM07">#REF!</definedName>
    <definedName localSheetId="30" name="________DIV2">#REF!</definedName>
    <definedName localSheetId="19" name="URAIAN7613c">#REF!</definedName>
    <definedName localSheetId="25" name="__DIV4">#REF!</definedName>
    <definedName localSheetId="18" name="floorhardenerferrovak">#REF!</definedName>
    <definedName localSheetId="6" name="ttnh">#REF!</definedName>
    <definedName localSheetId="28" name="JUDUL">#REF!</definedName>
    <definedName localSheetId="4" name="bubunganasbesnok">#REF!</definedName>
    <definedName localSheetId="44" name="_LLL04">#REF!</definedName>
    <definedName localSheetId="21" name="__pvc3">#REF!</definedName>
    <definedName localSheetId="42" name="__pvc205">#REF!</definedName>
    <definedName name="_______MMM21">#REF!</definedName>
    <definedName localSheetId="30" name="btn">#REF!</definedName>
    <definedName localSheetId="17" name="URAIAN96">#REF!</definedName>
    <definedName localSheetId="27" name="batupecah">#REF!</definedName>
    <definedName name="_______MMM32">#REF!</definedName>
    <definedName localSheetId="21" name="pvc.4.mas.d">#REF!</definedName>
    <definedName localSheetId="10" name="platasbes">#REF!</definedName>
    <definedName localSheetId="5" name="PT">#REF!</definedName>
    <definedName localSheetId="9" name="plastik">#REF!</definedName>
    <definedName localSheetId="6" name="sealer">#REF!</definedName>
    <definedName localSheetId="17" name="platasbes">#REF!</definedName>
    <definedName localSheetId="8" name="plintubinteraluxkerang1060">#REF!</definedName>
    <definedName localSheetId="11" name="pintugulungbesi">#REF!</definedName>
    <definedName localSheetId="7" name="__MMM28">#REF!</definedName>
    <definedName localSheetId="18" name="sealer.mowi">#REF!</definedName>
    <definedName name="tlistrik">#REF!</definedName>
    <definedName localSheetId="18" name="kayumarsawa">#REF!</definedName>
    <definedName localSheetId="40" name="________MMM03">#REF!</definedName>
    <definedName localSheetId="31" name="sengbjls25">#REF!</definedName>
    <definedName localSheetId="34" name="________DIV10">#REF!</definedName>
    <definedName localSheetId="34" name="pipagalvanis">#REF!</definedName>
    <definedName localSheetId="4" name="URAIAN7613b">#REF!</definedName>
    <definedName localSheetId="11" name="_DIV1">#REF!</definedName>
    <definedName localSheetId="19" name="kacawireglass5">#REF!</definedName>
    <definedName localSheetId="17" name="keramik30x30">#REF!</definedName>
    <definedName localSheetId="11" name="kacacermin8">#REF!</definedName>
    <definedName localSheetId="28" name="UTAIAN7614c">#REF!</definedName>
    <definedName localSheetId="23" name="begisting">#REF!</definedName>
    <definedName localSheetId="44" name="_DIV4">#REF!</definedName>
    <definedName localSheetId="27" name="urugankembali">#REF!</definedName>
    <definedName localSheetId="7" name="________MMM37">#REF!</definedName>
    <definedName localSheetId="31" name="______DIV1">#REF!</definedName>
    <definedName localSheetId="28" name="panelbetonpracetak">#REF!</definedName>
    <definedName localSheetId="20" name="______HAL3">#REF!</definedName>
    <definedName localSheetId="8" name="seng30">#REF!</definedName>
    <definedName localSheetId="27" name="_HAL5">#REF!</definedName>
    <definedName localSheetId="3" name="_pvc205">#REF!</definedName>
    <definedName localSheetId="40" name="sementahanasam">#REF!</definedName>
    <definedName localSheetId="13" name="batacote">#REF!</definedName>
    <definedName localSheetId="33" name="SEKRETARIAT_DPRD">#REF!</definedName>
    <definedName localSheetId="39" name="platasbes">#REF!</definedName>
    <definedName localSheetId="4" name="tanggal">#REF!</definedName>
    <definedName localSheetId="23" name="FORMLatasirK">#REF!</definedName>
    <definedName localSheetId="17" name="R38..">#REF!</definedName>
    <definedName localSheetId="44" name="________LLL04">#REF!</definedName>
    <definedName localSheetId="15" name="FORM631">#REF!</definedName>
    <definedName localSheetId="42" name="URAIANLatasirKL">#REF!</definedName>
    <definedName localSheetId="44" name="_______MMM44">#REF!</definedName>
    <definedName localSheetId="19" name="AGREGAT">#REF!</definedName>
    <definedName localSheetId="44" name="ASPAL">#REF!</definedName>
    <definedName localSheetId="40" name="teakwood4mm">#REF!</definedName>
    <definedName localSheetId="39" name="plintubinteraso1030">#REF!</definedName>
    <definedName localSheetId="31" name="________HAL3">#REF!</definedName>
    <definedName localSheetId="4" name="kunci2slag">#REF!</definedName>
    <definedName localSheetId="12" name="vertikalsblinds">#REF!</definedName>
    <definedName localSheetId="40" name="PT">#REF!</definedName>
    <definedName localSheetId="23" name="JUDUL">#REF!</definedName>
    <definedName localSheetId="34" name="Aluminium">#REF!</definedName>
    <definedName localSheetId="10" name="_pc40">#REF!</definedName>
    <definedName localSheetId="39" name="pagarseng2m">#REF!</definedName>
    <definedName localSheetId="3" name="___MMM45">#REF!</definedName>
    <definedName name="________MMM45">#REF!</definedName>
    <definedName localSheetId="44" name="aluminiumfoil">#REF!</definedName>
    <definedName name="____LLL04">#REF!</definedName>
    <definedName localSheetId="21" name="got">#REF!</definedName>
    <definedName localSheetId="41" name="kacacermin8">#REF!</definedName>
    <definedName localSheetId="30" name="gggg">#REF!</definedName>
    <definedName localSheetId="7" name="_____MMM09">#REF!</definedName>
    <definedName localSheetId="4" name="R51..">#REF!</definedName>
    <definedName localSheetId="20" name="borneo5.7">#REF!</definedName>
    <definedName localSheetId="7" name="______LLL02">#REF!</definedName>
    <definedName localSheetId="17" name="____MMM07">#REF!</definedName>
    <definedName localSheetId="23" name="minyaksolar">#REF!</definedName>
    <definedName localSheetId="39" name="__DIV3">#REF!</definedName>
    <definedName localSheetId="13" name="feltexkarpetwool">#REF!</definedName>
    <definedName localSheetId="38" name="URAIAN771c">#REF!</definedName>
    <definedName localSheetId="17" name="_________MMM39">#REF!</definedName>
    <definedName localSheetId="24" name="bubungangentengpalentong">#REF!</definedName>
    <definedName localSheetId="9" name="a">#REF!</definedName>
    <definedName localSheetId="44" name="marmer">#REF!</definedName>
    <definedName localSheetId="3" name="__Tl1">#REF!</definedName>
    <definedName localSheetId="30" name="strorox">#REF!</definedName>
    <definedName name="URAIAN913">#REF!</definedName>
    <definedName name="split1.2">#REF!</definedName>
    <definedName localSheetId="21" name="residu">#REF!</definedName>
    <definedName localSheetId="24" name="batuporos">#REF!</definedName>
    <definedName localSheetId="27" name="_________DIV2">#REF!</definedName>
    <definedName localSheetId="42" name="Papanbouplank">#REF!</definedName>
    <definedName localSheetId="7" name="jendelanako">#REF!</definedName>
    <definedName localSheetId="24" name="oke">#REF!</definedName>
    <definedName localSheetId="19" name="teakwood4mm">#REF!</definedName>
    <definedName localSheetId="3" name="_____MMM31">#REF!</definedName>
    <definedName localSheetId="5" name="keramik40">#REF!</definedName>
    <definedName localSheetId="5" name="catpenutup">#REF!</definedName>
    <definedName localSheetId="17" name="urugantanah">#REF!</definedName>
    <definedName localSheetId="3" name="______LLL04">#REF!</definedName>
    <definedName localSheetId="25" name="Batupuru">#REF!</definedName>
    <definedName localSheetId="11" name="tegelporselen">#REF!</definedName>
    <definedName localSheetId="24" name="___DIV1">#REF!</definedName>
    <definedName localSheetId="36" name="R100..">#REF!</definedName>
    <definedName localSheetId="6" name="B.Aparatur">#REF!</definedName>
    <definedName localSheetId="0" name="venetionblinds">#REF!</definedName>
    <definedName name="R42..">#REF!</definedName>
    <definedName localSheetId="42" name="____MMM03">#REF!</definedName>
    <definedName localSheetId="18" name="kayutembesu">#REF!</definedName>
    <definedName localSheetId="39" name="besi12sii">#REF!</definedName>
    <definedName localSheetId="7" name="________HAL4">#REF!</definedName>
    <definedName localSheetId="7" name="ppn2.30">#REF!</definedName>
    <definedName localSheetId="40" name="asbesgelombnang">#REF!</definedName>
    <definedName localSheetId="13" name="__LLL01">#REF!</definedName>
    <definedName localSheetId="4" name="tegelporselen10x20warna">#REF!</definedName>
    <definedName localSheetId="5" name="MAI">#REF!</definedName>
    <definedName localSheetId="30" name="bubungangentengbesar">#REF!</definedName>
    <definedName localSheetId="12" name="papanbekisting">#REF!</definedName>
    <definedName localSheetId="34" name="baru">#REF!</definedName>
    <definedName localSheetId="3" name="________MMM44">#REF!</definedName>
    <definedName localSheetId="44" name="____MMM20">#REF!</definedName>
    <definedName localSheetId="21" name="_______MMM14">#REF!</definedName>
    <definedName localSheetId="17" name="ubinkeramik1033">#REF!</definedName>
    <definedName localSheetId="21" name="___MMM12">#REF!</definedName>
    <definedName localSheetId="24" name="leni">#REF!</definedName>
    <definedName localSheetId="17" name="Pengadaan">#REF!</definedName>
    <definedName localSheetId="27" name="na">#REF!</definedName>
    <definedName localSheetId="34" name="spirtus">#REF!</definedName>
    <definedName localSheetId="13" name="_pc40">#REF!</definedName>
    <definedName localSheetId="11" name="NAMA3">#REF!</definedName>
    <definedName localSheetId="44" name="waterstop250">#REF!</definedName>
    <definedName localSheetId="25" name="ubinwarna40">#REF!</definedName>
    <definedName localSheetId="6" name="sengplatbjls24">#REF!</definedName>
    <definedName localSheetId="3" name="____MMM54">#REF!</definedName>
    <definedName localSheetId="3" name="Print_Area_MI">#REF!</definedName>
    <definedName localSheetId="0" name="kawatnyamuk">#REF!</definedName>
    <definedName localSheetId="36" name="_______DIV3">#REF!</definedName>
    <definedName localSheetId="40" name="Excel_BuiltIn_Print_Area_1">#REF!</definedName>
    <definedName localSheetId="15" name="URAIAN">#REF!</definedName>
    <definedName localSheetId="25" name="dd">#REF!</definedName>
    <definedName localSheetId="24" name="FRRDS">#REF!</definedName>
    <definedName localSheetId="25" name="btn">#REF!</definedName>
    <definedName localSheetId="0" name="pagar2m">#REF!</definedName>
    <definedName localSheetId="39" name="pakubiasa">#REF!</definedName>
    <definedName localSheetId="41" name="_PC50">#REF!</definedName>
    <definedName localSheetId="32" name="pp">#REF!</definedName>
    <definedName localSheetId="41" name="tpipa">#REF!</definedName>
    <definedName localSheetId="7" name="ARI">#REF!</definedName>
    <definedName localSheetId="31" name="mm">#REF!</definedName>
    <definedName localSheetId="3" name="aanstamping">#REF!</definedName>
    <definedName localSheetId="27" name="kuncisilinder">#REF!</definedName>
    <definedName localSheetId="19" name="plastik">#REF!</definedName>
    <definedName localSheetId="33" name="______MMM02">#REF!</definedName>
    <definedName localSheetId="42" name="__HAL3">#REF!</definedName>
    <definedName localSheetId="18" name="amplas">#REF!</definedName>
    <definedName localSheetId="36" name="ubinkeramikartistik520">#REF!</definedName>
    <definedName localSheetId="13" name="Tbs">#REF!</definedName>
    <definedName localSheetId="4" name="FORM621">#REF!</definedName>
    <definedName localSheetId="38" name="floorhardenerferrovak">#REF!</definedName>
    <definedName localSheetId="8" name="URAIAN731">#REF!</definedName>
    <definedName localSheetId="4" name="_______HAL3">#REF!</definedName>
    <definedName localSheetId="3" name="_________LLL02">#REF!</definedName>
    <definedName localSheetId="32" name="pakugypsum">#REF!</definedName>
    <definedName localSheetId="41" name="badkip">#REF!</definedName>
    <definedName localSheetId="12" name="strorox">#REF!</definedName>
    <definedName localSheetId="18" name="medan3.4">#REF!</definedName>
    <definedName localSheetId="18" name="___pvc05">#REF!</definedName>
    <definedName localSheetId="12" name="medan3.4">#REF!</definedName>
    <definedName name="kacapatri5">#REF!</definedName>
    <definedName localSheetId="17" name="Excel_BuiltIn_Print_Titles_1">#REF!</definedName>
    <definedName localSheetId="41" name="URAIAN771a">#REF!</definedName>
    <definedName localSheetId="6" name="aaaaa">#REF!</definedName>
    <definedName localSheetId="30" name="ubinkeramik1515">#REF!</definedName>
    <definedName localSheetId="41" name="kaca.es">#REF!</definedName>
    <definedName localSheetId="33" name="batuapung">#REF!</definedName>
    <definedName localSheetId="40" name="_______MMM02">#REF!</definedName>
    <definedName localSheetId="5" name="LAINLAIN">#REF!</definedName>
    <definedName localSheetId="17" name="bak">#REF!</definedName>
    <definedName localSheetId="13" name="Status">#REF!</definedName>
    <definedName localSheetId="20" name="DFFFGGG">#REF!</definedName>
    <definedName name="R54..">#REF!</definedName>
    <definedName name="plywood9mm">#REF!</definedName>
    <definedName localSheetId="32" name="URAIAN234L">#REF!</definedName>
    <definedName localSheetId="3" name="oke">#REF!</definedName>
    <definedName localSheetId="18" name="closedjongkok">#REF!</definedName>
    <definedName localSheetId="44" name="R43..">#REF!</definedName>
    <definedName localSheetId="0" name="pijar15">#REF!</definedName>
    <definedName localSheetId="25" name="jki">#REF!</definedName>
    <definedName localSheetId="34" name="________MMM03">#REF!</definedName>
    <definedName name="_______MMM11">#REF!</definedName>
    <definedName localSheetId="31" name="list">#REF!</definedName>
    <definedName localSheetId="36" name="_818FA">#REF!</definedName>
    <definedName localSheetId="9" name="R2..">#REF!</definedName>
    <definedName localSheetId="8" name="ramset">#REF!</definedName>
    <definedName localSheetId="20" name="besi12sii">#REF!</definedName>
    <definedName localSheetId="10" name="KECAMATAN_KODEOHA">#REF!</definedName>
    <definedName localSheetId="33" name="ttnh">#REF!</definedName>
    <definedName localSheetId="31" name="vernis">#REF!</definedName>
    <definedName localSheetId="28" name="__MMM01">#REF!</definedName>
    <definedName localSheetId="10" name="pipatanah">#REF!</definedName>
    <definedName localSheetId="42" name="FORM745">#REF!</definedName>
    <definedName localSheetId="30" name="plintubinteraluxmarmer1060">#REF!</definedName>
    <definedName localSheetId="32" name="nokgentengaspal">#REF!</definedName>
    <definedName localSheetId="10" name="_HAL5">#REF!</definedName>
    <definedName localSheetId="38" name="besipresstressedpolos">#REF!</definedName>
    <definedName localSheetId="5" name="Gypsum">#REF!</definedName>
    <definedName localSheetId="20" name="Kunci1">#REF!</definedName>
    <definedName localSheetId="0" name="__LLL02">#REF!</definedName>
    <definedName localSheetId="17" name="Analisa70706">#REF!</definedName>
    <definedName localSheetId="27" name="xxxxx">#REF!</definedName>
    <definedName localSheetId="0" name="kayukamper">#REF!</definedName>
    <definedName localSheetId="17" name="teakwood4mm">#REF!</definedName>
    <definedName localSheetId="30" name="R1..">#REF!</definedName>
    <definedName localSheetId="9" name="roster">#REF!</definedName>
    <definedName localSheetId="9" name="venetionblinds">#REF!</definedName>
    <definedName localSheetId="23" name="__pvc105">#REF!</definedName>
    <definedName localSheetId="24" name="_________DIV9">#REF!</definedName>
    <definedName localSheetId="8" name="Excel_BuiltIn_Print_Area_10">#REF!</definedName>
    <definedName localSheetId="7" name="k.rmn.30.30.crk">#REF!</definedName>
    <definedName localSheetId="31" name="lis">#REF!</definedName>
    <definedName name="__MMM52">#REF!</definedName>
    <definedName localSheetId="0" name="rtrt">#REF!</definedName>
    <definedName localSheetId="6" name="_pvc2">#REF!</definedName>
    <definedName localSheetId="7" name="panelbetonpracetak">#REF!</definedName>
    <definedName localSheetId="20" name="panelbetonpracetak">#REF!</definedName>
    <definedName localSheetId="9" name="FRRDS">#REF!</definedName>
    <definedName localSheetId="17" name="______MMM32">#REF!</definedName>
    <definedName localSheetId="5" name="asbesgelombang">#REF!</definedName>
    <definedName localSheetId="24" name="_____MMM26">#REF!</definedName>
    <definedName localSheetId="8" name="reng">#REF!</definedName>
    <definedName localSheetId="44" name="B.Aparatur">#REF!</definedName>
    <definedName localSheetId="33" name="_______DIV2">#REF!</definedName>
    <definedName localSheetId="9" name="LAP">#REF!</definedName>
    <definedName localSheetId="33" name="FORM7612b">#REF!</definedName>
    <definedName localSheetId="17" name="_____MMM16">#REF!</definedName>
    <definedName localSheetId="4" name="Uraian842">#REF!</definedName>
    <definedName localSheetId="7" name="_________MMM15">#REF!</definedName>
    <definedName localSheetId="9" name="___pvc3">#REF!</definedName>
    <definedName localSheetId="25" name="semenwarna">#REF!</definedName>
    <definedName localSheetId="34" name="terasocor">#REF!</definedName>
    <definedName name="_Tl1">#REF!</definedName>
    <definedName localSheetId="33" name="marmer">#REF!</definedName>
    <definedName localSheetId="8" name="________MMM03">#REF!</definedName>
    <definedName localSheetId="20" name="klosetjongkok">#REF!</definedName>
    <definedName localSheetId="39" name="k.ddg.20.25.rmn.crk">#REF!</definedName>
    <definedName localSheetId="23" name="f.drain">#REF!</definedName>
    <definedName localSheetId="41" name="t.sabun">#REF!</definedName>
    <definedName name="___MMM42">#REF!</definedName>
    <definedName localSheetId="40" name="STRUKTUR">#REF!</definedName>
    <definedName localSheetId="24" name="_______HAL7">#REF!</definedName>
    <definedName localSheetId="3" name="_______MMM16">#REF!</definedName>
    <definedName localSheetId="10" name="___DIV10">#REF!</definedName>
    <definedName localSheetId="31" name="borneo5.10">#REF!</definedName>
    <definedName localSheetId="21" name="___MMM14">#REF!</definedName>
    <definedName localSheetId="44" name="ppn2.30">#REF!</definedName>
    <definedName localSheetId="44" name="ubinteraso40">#REF!</definedName>
    <definedName localSheetId="41" name="doorholder">#REF!</definedName>
    <definedName localSheetId="24" name="AASDASD">#REF!</definedName>
    <definedName localSheetId="18" name="URAIAN22L">#REF!</definedName>
    <definedName localSheetId="9" name="BM">#REF!</definedName>
    <definedName localSheetId="24" name="kacawireglass5">#REF!</definedName>
    <definedName localSheetId="28" name="Excel_BuiltIn_Print_Area_10">#REF!</definedName>
    <definedName localSheetId="3" name="_____MMM14">#REF!</definedName>
    <definedName localSheetId="23" name="Overhead">#REF!</definedName>
    <definedName localSheetId="13" name="u.besi">#REF!</definedName>
    <definedName localSheetId="7" name="kayukelas2">#REF!</definedName>
    <definedName localSheetId="42" name="plywood4mm">#REF!</definedName>
    <definedName localSheetId="44" name="_HAL4">#REF!</definedName>
    <definedName localSheetId="44" name="pipatanah">#REF!</definedName>
    <definedName localSheetId="44" name="R7..">#REF!</definedName>
    <definedName localSheetId="9" name="bakkontrol">#REF!</definedName>
    <definedName localSheetId="19" name="Excel_BuiltIn_Print_Titles_1">#REF!</definedName>
    <definedName localSheetId="5" name="ASISTEN_BIDANG_PEMERINTAHAN">#REF!</definedName>
    <definedName localSheetId="11" name="AAAAAAA">#REF!</definedName>
    <definedName localSheetId="4" name="Jasa">#REF!</definedName>
    <definedName localSheetId="8" name="badkip">#REF!</definedName>
    <definedName localSheetId="34" name="pajak">#REF!</definedName>
    <definedName localSheetId="21" name="mm">#REF!</definedName>
    <definedName localSheetId="17" name="____MMM49">#REF!</definedName>
    <definedName localSheetId="25" name="URAIAN612">#REF!</definedName>
    <definedName localSheetId="31" name="______MMM01">#REF!</definedName>
    <definedName localSheetId="3" name="FORM914">#REF!</definedName>
    <definedName localSheetId="17" name="___pvc3">#REF!</definedName>
    <definedName localSheetId="40" name="wallpaper">#REF!</definedName>
    <definedName localSheetId="3" name="engseljendela">#REF!</definedName>
    <definedName localSheetId="10" name="FRRDS">#REF!</definedName>
    <definedName localSheetId="9" name="beton100kg">#REF!</definedName>
    <definedName localSheetId="10" name="ubinteraso40">#REF!</definedName>
    <definedName localSheetId="0" name="medan5.10">#REF!</definedName>
    <definedName localSheetId="24" name="Excel_BuiltIn_Print_Area_10">#REF!</definedName>
    <definedName localSheetId="21" name="ubinwarna40">#REF!</definedName>
    <definedName localSheetId="11" name="sdg">#REF!</definedName>
    <definedName name="R63..">#REF!</definedName>
    <definedName localSheetId="6" name="p.kmp.smrd.3.20">#REF!</definedName>
    <definedName localSheetId="17" name="______MMM53">#REF!</definedName>
    <definedName localSheetId="11" name="kawatnyamuk">#REF!</definedName>
    <definedName localSheetId="3" name="URAIAN632">#REF!</definedName>
    <definedName localSheetId="39" name="plywood4mm">#REF!</definedName>
    <definedName localSheetId="4" name="plintkeramikartistik520">#REF!</definedName>
    <definedName localSheetId="5" name="_pp1">#REF!</definedName>
    <definedName localSheetId="12" name="_pvc205">#REF!</definedName>
    <definedName localSheetId="10" name="u.besi">#REF!</definedName>
    <definedName localSheetId="0" name="_________MMM01">#REF!</definedName>
    <definedName localSheetId="10" name="rubbercorrugate">#REF!</definedName>
    <definedName localSheetId="39" name="floorhardenerferrovak">#REF!</definedName>
    <definedName localSheetId="12" name="__pvc105">#REF!</definedName>
    <definedName localSheetId="33" name="FORM7613a">#REF!</definedName>
    <definedName localSheetId="24" name="R85..">#REF!</definedName>
    <definedName localSheetId="41" name="pp">#REF!</definedName>
    <definedName localSheetId="36" name="karpet">#REF!</definedName>
    <definedName localSheetId="20" name="Analisa511">#REF!</definedName>
    <definedName localSheetId="20" name="leni">#REF!</definedName>
    <definedName localSheetId="7" name="cycllop">#REF!</definedName>
    <definedName localSheetId="10" name="_______DIV1">#REF!</definedName>
    <definedName localSheetId="19" name="akustikarmstrong">#REF!</definedName>
    <definedName localSheetId="4" name="grendel3">#REF!</definedName>
    <definedName localSheetId="23" name="_______DIV2">#REF!</definedName>
    <definedName localSheetId="0" name="plamur.matex">#REF!</definedName>
    <definedName localSheetId="11" name="FORM611">#REF!</definedName>
    <definedName name="URAIAN7614d">#REF!</definedName>
    <definedName localSheetId="9" name="RoolingdoorAlumunium">#REF!</definedName>
    <definedName localSheetId="23" name="_HAL4">#REF!</definedName>
    <definedName localSheetId="5" name="waterstop230">#REF!</definedName>
    <definedName localSheetId="4" name="R40..">#REF!</definedName>
    <definedName localSheetId="17" name="catpenutup">#REF!</definedName>
    <definedName localSheetId="7" name="baru">#REF!</definedName>
    <definedName localSheetId="20" name="kuas">#REF!</definedName>
    <definedName localSheetId="42" name="waterdrainaksesoris">#REF!</definedName>
    <definedName localSheetId="36" name="_________DIV10">#REF!</definedName>
    <definedName localSheetId="18" name="URAIAN7612b">#REF!</definedName>
    <definedName localSheetId="24" name="tegelporselen11x11">#REF!</definedName>
    <definedName localSheetId="23" name="kayuterentang">#REF!</definedName>
    <definedName localSheetId="10" name="kuncialfa">#REF!</definedName>
    <definedName localSheetId="36" name="pintusunscreenalluminium">#REF!</definedName>
    <definedName localSheetId="20" name="Nok">#REF!</definedName>
    <definedName localSheetId="30" name="batuapung">#REF!</definedName>
    <definedName localSheetId="24" name="____HAL6">#REF!</definedName>
    <definedName name="k.roman.40.40.polos">#REF!</definedName>
    <definedName localSheetId="7" name="_______LLL11">#REF!</definedName>
    <definedName localSheetId="3" name="________MMM32">#REF!</definedName>
    <definedName localSheetId="17" name="___MMM28">#REF!</definedName>
    <definedName localSheetId="27" name="mm">#REF!</definedName>
    <definedName localSheetId="27" name="URAIAN632">#REF!</definedName>
    <definedName localSheetId="3" name="pakuhalus">#REF!</definedName>
    <definedName localSheetId="33" name="besijaringkawatbaja">#REF!</definedName>
    <definedName localSheetId="28" name="R61..">#REF!</definedName>
    <definedName localSheetId="18" name="ktky">#REF!</definedName>
    <definedName localSheetId="13" name="_MMM02">#REF!</definedName>
    <definedName localSheetId="6" name="URAIAN771c">#REF!</definedName>
    <definedName localSheetId="5" name="jurnal1">#REF!</definedName>
    <definedName localSheetId="8" name="_________MMM02">#REF!</definedName>
    <definedName localSheetId="40" name="____MMM03">#REF!</definedName>
    <definedName localSheetId="11" name="ngsel4">#REF!</definedName>
    <definedName localSheetId="31" name="______HAL1">#REF!</definedName>
    <definedName localSheetId="7" name="sementahanasam">#REF!</definedName>
    <definedName localSheetId="17" name="G">#REF!</definedName>
    <definedName localSheetId="42" name="DAYWORKS">#REF!</definedName>
    <definedName localSheetId="0" name="sis">#REF!</definedName>
    <definedName localSheetId="6" name="FORM621">#REF!</definedName>
    <definedName localSheetId="3" name="gentengbeton">#REF!</definedName>
    <definedName localSheetId="40" name="bakcuciteraso">#REF!</definedName>
    <definedName localSheetId="44" name="kaca3">#REF!</definedName>
    <definedName localSheetId="33" name="kuncisilinder">#REF!</definedName>
    <definedName localSheetId="24" name="________MMM13">#REF!</definedName>
    <definedName localSheetId="7" name="DSSDD">#REF!</definedName>
    <definedName localSheetId="12" name="RPHL">#REF!</definedName>
    <definedName localSheetId="21" name="coveartistik">#REF!</definedName>
    <definedName localSheetId="7" name="________MMM50">#REF!</definedName>
    <definedName localSheetId="42" name="______MMM02">#REF!</definedName>
    <definedName localSheetId="19" name="Pc.50">#REF!</definedName>
    <definedName localSheetId="27" name="kuncilemari">#REF!</definedName>
    <definedName localSheetId="6" name="______HAL3">#REF!</definedName>
    <definedName localSheetId="6" name="terasocor">#REF!</definedName>
    <definedName localSheetId="13" name="pakusirap">#REF!</definedName>
    <definedName localSheetId="44" name="AASDASD">#REF!</definedName>
    <definedName localSheetId="0" name="R1..">#REF!</definedName>
    <definedName localSheetId="41" name="hcs">#REF!</definedName>
    <definedName localSheetId="6" name="medan3.4">#REF!</definedName>
    <definedName localSheetId="41" name="Analisa55">#REF!</definedName>
    <definedName localSheetId="10" name="pakugypsum">#REF!</definedName>
    <definedName localSheetId="25" name="perancahkayu">#REF!</definedName>
    <definedName localSheetId="8" name="batuteraso">#REF!</definedName>
    <definedName localSheetId="18" name="SSSSSSSSSSSSSSSSSSSSSSSSSSSSS">#REF!</definedName>
    <definedName localSheetId="4" name="Pjgsloof">#REF!</definedName>
    <definedName localSheetId="12" name="bilikbambu">#REF!</definedName>
    <definedName localSheetId="38" name="ppn2.30">#REF!</definedName>
    <definedName localSheetId="32" name="bubungangentengbeton">#REF!</definedName>
    <definedName localSheetId="4" name="multi.18">#REF!</definedName>
    <definedName localSheetId="34" name="___HAL2">#REF!</definedName>
    <definedName localSheetId="10" name="akustikarmstrong">#REF!</definedName>
    <definedName localSheetId="25" name="DUDI">#REF!</definedName>
    <definedName localSheetId="8" name="LAP">#REF!</definedName>
    <definedName localSheetId="44" name="mowi.w.shield">#REF!</definedName>
    <definedName localSheetId="17" name="_____HAL5">#REF!</definedName>
    <definedName localSheetId="44" name="kayukelas2">#REF!</definedName>
    <definedName localSheetId="31" name="URAIANLatasirK">#REF!</definedName>
    <definedName localSheetId="21" name="__DIV1">#REF!</definedName>
    <definedName localSheetId="20" name="jj">#REF!</definedName>
    <definedName localSheetId="5" name="____DIV10">#REF!</definedName>
    <definedName localSheetId="18" name="R5..">#REF!</definedName>
    <definedName localSheetId="32" name="_______HAL1">#REF!</definedName>
    <definedName localSheetId="6" name="split1.2">#REF!</definedName>
    <definedName localSheetId="40" name="_____HAL3">#REF!</definedName>
    <definedName localSheetId="32" name="plintubingranito1040">#REF!</definedName>
    <definedName localSheetId="19" name="_HAL4">#REF!</definedName>
    <definedName localSheetId="5" name="R30..">#REF!</definedName>
    <definedName localSheetId="25" name="URAIAN633">#REF!</definedName>
    <definedName localSheetId="21" name="bubungangentengkodok">#REF!</definedName>
    <definedName localSheetId="21" name="engsel3">#REF!</definedName>
    <definedName localSheetId="44" name="__LLL04">#REF!</definedName>
    <definedName localSheetId="40" name="FORM745">#REF!</definedName>
    <definedName localSheetId="34" name="_______MMM02">#REF!</definedName>
    <definedName localSheetId="24" name="LAINLAIN">#REF!</definedName>
    <definedName localSheetId="33" name="xxxxx">#REF!</definedName>
    <definedName localSheetId="24" name="__HAL3">#REF!</definedName>
    <definedName name="________MMM41">#REF!</definedName>
    <definedName localSheetId="25" name="Minyak">#REF!</definedName>
    <definedName localSheetId="44" name="vinylkaret3030">#REF!</definedName>
    <definedName localSheetId="10" name="R2..">#REF!</definedName>
    <definedName name="AGREGAT">#REF!</definedName>
    <definedName localSheetId="4" name="p.bI">#REF!</definedName>
    <definedName localSheetId="5" name="____HAL1">#REF!</definedName>
    <definedName localSheetId="3" name="URAIAN731">#REF!</definedName>
    <definedName localSheetId="39" name="kkkk">#REF!</definedName>
    <definedName localSheetId="17" name="________HAL7">#REF!</definedName>
    <definedName localSheetId="13" name="c.mowi.dlm">#REF!</definedName>
    <definedName localSheetId="3" name="_HAL8">#REF!</definedName>
    <definedName localSheetId="44" name="________MMM36">#REF!</definedName>
    <definedName localSheetId="17" name="pvc3d">#REF!</definedName>
    <definedName localSheetId="31" name="R6..">#REF!</definedName>
    <definedName localSheetId="38" name="kayuterentang">#REF!</definedName>
    <definedName localSheetId="38" name="R31..">#REF!</definedName>
    <definedName localSheetId="4" name="pasirpas">#REF!</definedName>
    <definedName localSheetId="17" name="__MMM08">#REF!</definedName>
    <definedName localSheetId="11" name="RPHL">#REF!</definedName>
    <definedName localSheetId="24" name="___LLL02">#REF!</definedName>
    <definedName localSheetId="15" name="batapelapisdinding">#REF!</definedName>
    <definedName localSheetId="7" name="_______MMM17">#REF!</definedName>
    <definedName localSheetId="44" name="_______MMM43">#REF!</definedName>
    <definedName localSheetId="38" name="______HAL3">#REF!</definedName>
    <definedName localSheetId="11" name="Pjgsloof">#REF!</definedName>
    <definedName localSheetId="19" name="meni.kayu">#REF!</definedName>
    <definedName localSheetId="28" name="KECAMATAN_KODEOHA">#REF!</definedName>
    <definedName localSheetId="24" name="_DIV6">#REF!</definedName>
    <definedName name="________LLL09">#REF!</definedName>
    <definedName name="__DIV6">#REF!</definedName>
    <definedName localSheetId="6" name="bakkontrol">#REF!</definedName>
    <definedName localSheetId="10" name="jendelanako">#REF!</definedName>
    <definedName localSheetId="38" name="batuteraso">#REF!</definedName>
    <definedName localSheetId="33" name="MMM17A">#REF!</definedName>
    <definedName localSheetId="18" name="_____MMM01">#REF!</definedName>
    <definedName localSheetId="34" name="kacapolos3mm">#REF!</definedName>
    <definedName localSheetId="21" name="pakusirap">#REF!</definedName>
    <definedName name="R2..">#REF!</definedName>
    <definedName localSheetId="6" name="______HAL2">#REF!</definedName>
    <definedName localSheetId="0" name="got">#REF!</definedName>
    <definedName localSheetId="0" name="Excel_BuiltIn_Print_Area_10">#REF!</definedName>
    <definedName localSheetId="17" name="karpetwooldannilon">#REF!</definedName>
    <definedName localSheetId="23" name="teakwood6mm">#REF!</definedName>
    <definedName localSheetId="11" name="____DIV1">#REF!</definedName>
    <definedName localSheetId="32" name="s.tukang">#REF!</definedName>
    <definedName localSheetId="42" name="SPJa">#REF!</definedName>
    <definedName localSheetId="30" name="sirlak">#REF!</definedName>
    <definedName localSheetId="24" name="_____MMM43">#REF!</definedName>
    <definedName localSheetId="11" name="plywood4">#REF!</definedName>
    <definedName localSheetId="17" name="Analisa633">#REF!</definedName>
    <definedName localSheetId="41" name="__DIV4">#REF!</definedName>
    <definedName name="s.warna">#REF!</definedName>
    <definedName localSheetId="0" name="paving">#REF!</definedName>
    <definedName localSheetId="38" name="s.tukang">#REF!</definedName>
    <definedName localSheetId="11" name="plintubinteraluxmarmer1060">#REF!</definedName>
    <definedName localSheetId="17" name="vernis">#REF!</definedName>
    <definedName localSheetId="33" name="ppn2.30">#REF!</definedName>
    <definedName localSheetId="17" name="kkkk">#REF!</definedName>
    <definedName localSheetId="36" name="FORM621">#REF!</definedName>
    <definedName localSheetId="10" name="besipresstressedpolos">#REF!</definedName>
    <definedName localSheetId="40" name="____DIV3">#REF!</definedName>
    <definedName localSheetId="8" name="waterstop200">#REF!</definedName>
    <definedName localSheetId="23" name="___HAL2">#REF!</definedName>
    <definedName localSheetId="7" name="_________LLL04">#REF!</definedName>
    <definedName localSheetId="10" name="w">#REF!</definedName>
    <definedName localSheetId="7" name="batapelapisdinding">#REF!</definedName>
    <definedName localSheetId="44" name="profilalumuniumT">#REF!</definedName>
    <definedName localSheetId="38" name="Closet.ddk">#REF!</definedName>
    <definedName localSheetId="7" name="URAIAN910">#REF!</definedName>
    <definedName localSheetId="44" name="R80..">#REF!</definedName>
    <definedName localSheetId="15" name="R20..">#REF!</definedName>
    <definedName localSheetId="9" name="Excel_BuiltIn_Print_Area_1">#REF!</definedName>
    <definedName localSheetId="25" name="____DIV3">#REF!</definedName>
    <definedName localSheetId="33" name="_____HAL1">#REF!</definedName>
    <definedName localSheetId="44" name="cattembok">#REF!</definedName>
    <definedName name="________MMM46">#REF!</definedName>
    <definedName localSheetId="44" name="R98..">#REF!</definedName>
    <definedName localSheetId="32" name="ttnh">#REF!</definedName>
    <definedName localSheetId="3" name="_MMM54">#REF!</definedName>
    <definedName localSheetId="24" name="______MMM21">#REF!</definedName>
    <definedName localSheetId="25" name="ppn2.30">#REF!</definedName>
    <definedName localSheetId="19" name="FORM842">#REF!</definedName>
    <definedName localSheetId="44" name="_________MMM31">#REF!</definedName>
    <definedName localSheetId="30" name="total">#REF!</definedName>
    <definedName localSheetId="32" name="vinylkaretklII">#REF!</definedName>
    <definedName localSheetId="28" name="washtafel">#REF!</definedName>
    <definedName localSheetId="25" name="________MMM01">#REF!</definedName>
    <definedName localSheetId="24" name="________MMM411">#REF!</definedName>
    <definedName localSheetId="44" name="closet.jkok">#REF!</definedName>
    <definedName localSheetId="21" name="tempatcucipiring">#REF!</definedName>
    <definedName localSheetId="33" name="URAIAN731">#REF!</definedName>
    <definedName localSheetId="30" name="________HAL1">#REF!</definedName>
    <definedName localSheetId="31" name="w">#REF!</definedName>
    <definedName localSheetId="39" name="urugantanah">#REF!</definedName>
    <definedName localSheetId="40" name="_MMM02">#REF!</definedName>
    <definedName localSheetId="11" name="_pvc3">#REF!</definedName>
    <definedName localSheetId="13" name="perancahkayu">#REF!</definedName>
    <definedName localSheetId="9" name="plywood4mm">#REF!</definedName>
    <definedName localSheetId="38" name="Closet.c420">#REF!</definedName>
    <definedName localSheetId="12" name="___MMM01">#REF!</definedName>
    <definedName localSheetId="3" name="_________MMM33">#REF!</definedName>
    <definedName localSheetId="24" name="____MMM43">#REF!</definedName>
    <definedName localSheetId="44" name="_______MMM06">#REF!</definedName>
    <definedName localSheetId="42" name="URAIAN7613a">#REF!</definedName>
    <definedName localSheetId="3" name="rosterterawang">#REF!</definedName>
    <definedName localSheetId="4" name="cycllop">#REF!</definedName>
    <definedName localSheetId="44" name="keramik20">#REF!</definedName>
    <definedName localSheetId="9" name="pasirpas">#REF!</definedName>
    <definedName localSheetId="21" name="_________HAL1">#REF!</definedName>
    <definedName localSheetId="40" name="hakangin">#REF!</definedName>
    <definedName localSheetId="21" name="papanbulian">#REF!</definedName>
    <definedName localSheetId="7" name="R67..">#REF!</definedName>
    <definedName localSheetId="3" name="___MMM03">#REF!</definedName>
    <definedName localSheetId="17" name="plintubinkeramikartistik1020">#REF!</definedName>
    <definedName localSheetId="13" name="URAIAN744">#REF!</definedName>
    <definedName localSheetId="32" name="Batupuru">#REF!</definedName>
    <definedName localSheetId="30" name="_____DIV10">#REF!</definedName>
    <definedName localSheetId="3" name="total">#REF!</definedName>
    <definedName localSheetId="38" name="FORM771c">#REF!</definedName>
    <definedName localSheetId="20" name="c.mowi.dlm">#REF!</definedName>
    <definedName localSheetId="7" name="_MMM30">#REF!</definedName>
    <definedName localSheetId="3" name="ubinteraluxkerang40">#REF!</definedName>
    <definedName localSheetId="11" name="FORM66PERMUKAAN">#REF!</definedName>
    <definedName localSheetId="24" name="waterstop230">#REF!</definedName>
    <definedName localSheetId="39" name="BAJA">#REF!</definedName>
    <definedName localSheetId="42" name="Meni">#REF!</definedName>
    <definedName localSheetId="15" name="jurnal">#REF!</definedName>
    <definedName name="R72..">#REF!</definedName>
    <definedName localSheetId="0" name="_____DIV2">#REF!</definedName>
    <definedName localSheetId="20" name="t.sabun">#REF!</definedName>
    <definedName localSheetId="8" name="teakwood4mm">#REF!</definedName>
    <definedName name="_______HAL3">#REF!</definedName>
    <definedName localSheetId="21" name="___MMM19">#REF!</definedName>
    <definedName name="lis">#REF!</definedName>
    <definedName localSheetId="7" name="___MMM52">#REF!</definedName>
    <definedName localSheetId="3" name="terntang">#REF!</definedName>
    <definedName localSheetId="9" name="______DIV3">#REF!</definedName>
    <definedName localSheetId="44" name="R71..">#REF!</definedName>
    <definedName localSheetId="18" name="nokpaten105">#REF!</definedName>
    <definedName localSheetId="21" name="____MMM32">#REF!</definedName>
    <definedName localSheetId="31" name="btn">#REF!</definedName>
    <definedName localSheetId="42" name="formica">#REF!</definedName>
    <definedName localSheetId="21" name="xxxxx">#REF!</definedName>
    <definedName localSheetId="39" name="pintusunscreenalluminium">#REF!</definedName>
    <definedName localSheetId="9" name="minyaksolar">#REF!</definedName>
    <definedName localSheetId="23" name="Analisa55">#REF!</definedName>
    <definedName localSheetId="39" name="FORM612">#REF!</definedName>
    <definedName localSheetId="32" name="begisting">#REF!</definedName>
    <definedName localSheetId="18" name="besipresstressedpolos">#REF!</definedName>
    <definedName localSheetId="24" name="___pvc05">#REF!</definedName>
    <definedName localSheetId="28" name="URAIAN22L">#REF!</definedName>
    <definedName localSheetId="3" name="____MMM47">#REF!</definedName>
    <definedName localSheetId="24" name="____MMM17">#REF!</definedName>
    <definedName localSheetId="10" name="Pengadaan">#REF!</definedName>
    <definedName localSheetId="21" name="___MMM01">#REF!</definedName>
    <definedName localSheetId="44" name="_____HAL8">#REF!</definedName>
    <definedName localSheetId="3" name="URAIAN232">#REF!</definedName>
    <definedName localSheetId="17" name="______MMM411">#REF!</definedName>
    <definedName localSheetId="17" name="multi.4">#REF!</definedName>
    <definedName localSheetId="3" name="_MMM03">#REF!</definedName>
    <definedName localSheetId="30" name="kuncialfa">#REF!</definedName>
    <definedName localSheetId="6" name="kuas">#REF!</definedName>
    <definedName localSheetId="15" name="kawatsengpolos">#REF!</definedName>
    <definedName localSheetId="24" name="kayukruing">#REF!</definedName>
    <definedName localSheetId="33" name="sssssss">#REF!</definedName>
    <definedName localSheetId="30" name="R40..">#REF!</definedName>
    <definedName localSheetId="21" name="bubunganstelgelombang">#REF!</definedName>
    <definedName localSheetId="15" name="_PC50">#REF!</definedName>
    <definedName localSheetId="36" name="kayualbasiah">#REF!</definedName>
    <definedName localSheetId="34" name="URAIAN7610">#REF!</definedName>
    <definedName localSheetId="5" name="__LLL03">#REF!</definedName>
    <definedName localSheetId="6" name="got">#REF!</definedName>
    <definedName localSheetId="25" name="__LLL02">#REF!</definedName>
    <definedName localSheetId="3" name="kawatjaring">#REF!</definedName>
    <definedName localSheetId="23" name="dua">#REF!</definedName>
    <definedName localSheetId="28" name="Jasa">#REF!</definedName>
    <definedName localSheetId="20" name="besipresstressedpolos">#REF!</definedName>
    <definedName localSheetId="28" name="gentengbeton">#REF!</definedName>
    <definedName localSheetId="44" name="Overhead">#REF!</definedName>
    <definedName localSheetId="39" name="kawatburung">#REF!</definedName>
    <definedName localSheetId="38" name="besijaringkawatbaja">#REF!</definedName>
    <definedName localSheetId="24" name="______MMM49">#REF!</definedName>
    <definedName localSheetId="10" name="Analisa512">#REF!</definedName>
    <definedName localSheetId="15" name="pintugulungbesi">#REF!</definedName>
    <definedName localSheetId="23" name="u.besi">#REF!</definedName>
    <definedName localSheetId="12" name="dua">#REF!</definedName>
    <definedName localSheetId="33" name="meni.kayu">#REF!</definedName>
    <definedName localSheetId="40" name="Faktor">#REF!</definedName>
    <definedName localSheetId="7" name="URAIAN913">#REF!</definedName>
    <definedName localSheetId="19" name="keramik40">#REF!</definedName>
    <definedName localSheetId="42" name="BPS">#REF!</definedName>
    <definedName localSheetId="17" name="R101..">#REF!</definedName>
    <definedName localSheetId="20" name="pakuhak15cm">#REF!</definedName>
    <definedName localSheetId="32" name="_DIV4">#REF!</definedName>
    <definedName localSheetId="7" name="______MMM34">#REF!</definedName>
    <definedName localSheetId="21" name="___pvc205">#REF!</definedName>
    <definedName localSheetId="31" name="__tl2">#REF!</definedName>
    <definedName localSheetId="10" name="_HAL1">#REF!</definedName>
    <definedName localSheetId="41" name="bakkontrol">#REF!</definedName>
    <definedName localSheetId="38" name="jj">#REF!</definedName>
    <definedName localSheetId="44" name="Uraian8410">#REF!</definedName>
    <definedName localSheetId="17" name="____HAL2">#REF!</definedName>
    <definedName localSheetId="17" name="pvc3.4.aw">#REF!</definedName>
    <definedName localSheetId="13" name="kacapolos3mm">#REF!</definedName>
    <definedName name="u.besi">#REF!</definedName>
    <definedName localSheetId="44" name="_________MMM42">#REF!</definedName>
    <definedName localSheetId="25" name="Tbs">#REF!</definedName>
    <definedName localSheetId="13" name="URAIAN7613b">#REF!</definedName>
    <definedName localSheetId="24" name="cycllop">#REF!</definedName>
    <definedName name="hollowblok">#REF!</definedName>
    <definedName localSheetId="6" name="_DIV2">#REF!</definedName>
    <definedName localSheetId="8" name="doorholder">#REF!</definedName>
    <definedName localSheetId="7" name="URAIAN912">#REF!</definedName>
    <definedName localSheetId="8" name="FORM611">#REF!</definedName>
    <definedName localSheetId="39" name="coveartistik">#REF!</definedName>
    <definedName localSheetId="44" name="_MMM13">#REF!</definedName>
    <definedName localSheetId="24" name="bbm">#REF!</definedName>
    <definedName localSheetId="7" name="URAIAN771c">#REF!</definedName>
    <definedName name="tbkr">#REF!</definedName>
    <definedName localSheetId="36" name="drkeet">#REF!</definedName>
    <definedName localSheetId="40" name="______MMM03">#REF!</definedName>
    <definedName localSheetId="27" name="besi10.sii">#REF!</definedName>
    <definedName localSheetId="3" name="URAIAN612">#REF!</definedName>
    <definedName localSheetId="42" name="kaca8">#REF!</definedName>
    <definedName name="_____LLL08">#REF!</definedName>
    <definedName localSheetId="17" name="______HAL1">#REF!</definedName>
    <definedName localSheetId="44" name="pp">#REF!</definedName>
    <definedName localSheetId="36" name="ttnh">#REF!</definedName>
    <definedName localSheetId="4" name="floorhardenerferrovak">#REF!</definedName>
    <definedName name="kolombetonpracetak">#REF!</definedName>
    <definedName localSheetId="17" name="FORM635A">#REF!</definedName>
    <definedName localSheetId="0" name="jki">#REF!</definedName>
    <definedName localSheetId="7" name="________DIV3">#REF!</definedName>
    <definedName localSheetId="17" name="_MMM20">#REF!</definedName>
    <definedName localSheetId="17" name="_MMM08">#REF!</definedName>
    <definedName localSheetId="15" name="tanahliat">#REF!</definedName>
    <definedName localSheetId="11" name="R40..">#REF!</definedName>
    <definedName localSheetId="40" name="FORM79mekanis">#REF!</definedName>
    <definedName localSheetId="24" name="_MMM30">#REF!</definedName>
    <definedName localSheetId="15" name="papan.m.3.20">#REF!</definedName>
    <definedName localSheetId="15" name="floorhardenermastercron">#REF!</definedName>
    <definedName localSheetId="44" name="_______MMM40">#REF!</definedName>
    <definedName localSheetId="7" name="_______MMM18">#REF!</definedName>
    <definedName localSheetId="23" name="bubungangentengbesar">#REF!</definedName>
    <definedName localSheetId="18" name="Minyak">#REF!</definedName>
    <definedName localSheetId="40" name="rollingdoor">#REF!</definedName>
    <definedName localSheetId="31" name="batapelapisklinker">#REF!</definedName>
    <definedName localSheetId="21" name="_MMM29">#REF!</definedName>
    <definedName localSheetId="38" name="Batupuru">#REF!</definedName>
    <definedName localSheetId="6" name="_DIV1">#REF!</definedName>
    <definedName localSheetId="30" name="R60..">#REF!</definedName>
    <definedName localSheetId="28" name="batuapung">#REF!</definedName>
    <definedName localSheetId="13" name="penduduk">#REF!</definedName>
    <definedName localSheetId="17" name="____LLL08">#REF!</definedName>
    <definedName localSheetId="32" name="_HAL6">#REF!</definedName>
    <definedName localSheetId="12" name="R10..">#REF!</definedName>
    <definedName name="doorcloser">#REF!</definedName>
    <definedName localSheetId="41" name="jj">#REF!</definedName>
    <definedName localSheetId="41" name="________HAL3">#REF!</definedName>
    <definedName localSheetId="11" name="URAIAN66PERMUKAAN">#REF!</definedName>
    <definedName localSheetId="27" name="URAIAN771c">#REF!</definedName>
    <definedName localSheetId="36" name="seng30">#REF!</definedName>
    <definedName localSheetId="34" name="urugantanah">#REF!</definedName>
    <definedName localSheetId="34" name="FORM631">#REF!</definedName>
    <definedName localSheetId="28" name="pintugulungbesi">#REF!</definedName>
    <definedName localSheetId="5" name="pakusumbat">#REF!</definedName>
    <definedName localSheetId="13" name="plintkeramikartistik1010">#REF!</definedName>
    <definedName name="ktct">#REF!</definedName>
    <definedName localSheetId="25" name="_________HAL2">#REF!</definedName>
    <definedName localSheetId="10" name="tanggal">#REF!</definedName>
    <definedName localSheetId="15" name="gypsum.9">#REF!</definedName>
    <definedName localSheetId="44" name="hd">#REF!</definedName>
    <definedName localSheetId="28" name="__LLL03">#REF!</definedName>
    <definedName localSheetId="34" name="URAIAN22L">#REF!</definedName>
    <definedName localSheetId="24" name="FORM79manual">#REF!</definedName>
    <definedName localSheetId="13" name="URAIAN631">#REF!</definedName>
    <definedName localSheetId="13" name="b.belah">#REF!</definedName>
    <definedName localSheetId="18" name="_PC50">#REF!</definedName>
    <definedName localSheetId="44" name="sssssss">#REF!</definedName>
    <definedName localSheetId="30" name="URAIAN771c">#REF!</definedName>
    <definedName localSheetId="21" name="____LLL07">#REF!</definedName>
    <definedName localSheetId="0" name="FORM79manual">#REF!</definedName>
    <definedName localSheetId="25" name="borneo5.7">#REF!</definedName>
    <definedName localSheetId="25" name="w.stain">#REF!</definedName>
    <definedName localSheetId="24" name="_______MMM36">#REF!</definedName>
    <definedName localSheetId="7" name="Batupuru">#REF!</definedName>
    <definedName localSheetId="3" name="URAIAN97">#REF!</definedName>
    <definedName localSheetId="32" name="_LLL01">#REF!</definedName>
    <definedName localSheetId="42" name="tegelplinpc10x20">#REF!</definedName>
    <definedName localSheetId="41" name="kapursirih">#REF!</definedName>
    <definedName localSheetId="18" name="Uraian842">#REF!</definedName>
    <definedName localSheetId="24" name="Analisa70608">#REF!</definedName>
    <definedName localSheetId="27" name="aaaaa">#REF!</definedName>
    <definedName localSheetId="3" name="________LLL05">#REF!</definedName>
    <definedName localSheetId="0" name="Meni">#REF!</definedName>
    <definedName localSheetId="28" name="Pengadaan">#REF!</definedName>
    <definedName localSheetId="30" name="FORM621">#REF!</definedName>
    <definedName localSheetId="36" name="_MMM02">#REF!</definedName>
    <definedName localSheetId="34" name="ubinkeramikartistik1010">#REF!</definedName>
    <definedName localSheetId="28" name="aaaa">#REF!</definedName>
    <definedName localSheetId="7" name="___MMM42">#REF!</definedName>
    <definedName localSheetId="36" name="plintubinteraluxmarmer1060">#REF!</definedName>
    <definedName localSheetId="25" name="KUANTITAS">#REF!</definedName>
    <definedName localSheetId="10" name="kacawireglass5">#REF!</definedName>
    <definedName localSheetId="3" name="R14..">#REF!</definedName>
    <definedName localSheetId="24" name="kayukulim">#REF!</definedName>
    <definedName localSheetId="0" name="asbesgelombang">#REF!</definedName>
    <definedName localSheetId="39" name="bakcuciteraso">#REF!</definedName>
    <definedName localSheetId="21" name="URAIAN771b">#REF!</definedName>
    <definedName localSheetId="28" name="Meni">#REF!</definedName>
    <definedName localSheetId="36" name="borneo5.7">#REF!</definedName>
    <definedName localSheetId="17" name="_______MMM08">#REF!</definedName>
    <definedName localSheetId="21" name="MMM35A">#REF!</definedName>
    <definedName localSheetId="21" name="R82..">#REF!</definedName>
    <definedName localSheetId="42" name="rincian">#REF!</definedName>
    <definedName localSheetId="38" name="________HAL3">#REF!</definedName>
    <definedName localSheetId="24" name="R96..">#REF!</definedName>
    <definedName localSheetId="34" name="ttnh">#REF!</definedName>
    <definedName localSheetId="32" name="bubunganasbesgelombang">#REF!</definedName>
    <definedName localSheetId="44" name="FORM844">#REF!</definedName>
    <definedName localSheetId="24" name="_______LLL08">#REF!</definedName>
    <definedName localSheetId="10" name="k.ddg.20.25.rmn.crk">#REF!</definedName>
    <definedName name="bubungangentengbeton">#REF!</definedName>
    <definedName localSheetId="0" name="a">#REF!</definedName>
    <definedName localSheetId="21" name="____DIV10">#REF!</definedName>
    <definedName localSheetId="3" name="_____HAL8">#REF!</definedName>
    <definedName localSheetId="17" name="_818PK">#REF!</definedName>
    <definedName localSheetId="41" name="rapidrant">#REF!</definedName>
    <definedName localSheetId="24" name="__LLL07">#REF!</definedName>
    <definedName localSheetId="10" name="kunciselot">#REF!</definedName>
    <definedName localSheetId="32" name="tegelporselen">#REF!</definedName>
    <definedName localSheetId="44" name="MASTER">#REF!</definedName>
    <definedName localSheetId="32" name="paku5.7.10">#REF!</definedName>
    <definedName localSheetId="4" name="aa">#REF!</definedName>
    <definedName localSheetId="41" name="Closet.ddk">#REF!</definedName>
    <definedName name="____MMM09">#REF!</definedName>
    <definedName localSheetId="7" name="______DIV7">#REF!</definedName>
    <definedName localSheetId="21" name="_________MMM15">#REF!</definedName>
    <definedName localSheetId="25" name="__pvc2">#REF!</definedName>
    <definedName localSheetId="31" name="pijar15">#REF!</definedName>
    <definedName localSheetId="7" name="URAIAN233">#REF!</definedName>
    <definedName localSheetId="8" name="Kekurangan">#REF!</definedName>
    <definedName localSheetId="20" name="e">#REF!</definedName>
    <definedName localSheetId="9" name="FORM632">#REF!</definedName>
    <definedName localSheetId="7" name="___HAL1">#REF!</definedName>
    <definedName name="ngsel4">#REF!</definedName>
    <definedName name="na">#REF!</definedName>
    <definedName localSheetId="19" name="SusunanOrg">#REF!</definedName>
    <definedName localSheetId="8" name="MATERIAL">#REF!</definedName>
    <definedName localSheetId="23" name="_____MMM02">#REF!</definedName>
    <definedName localSheetId="21" name="dd">#REF!</definedName>
    <definedName localSheetId="21" name="kacacermin6">#REF!</definedName>
    <definedName localSheetId="44" name="__MMM07">#REF!</definedName>
    <definedName localSheetId="4" name="plesteran13">#REF!</definedName>
    <definedName localSheetId="21" name="bubungangentengmonier">#REF!</definedName>
    <definedName localSheetId="38" name="spirtus">#REF!</definedName>
    <definedName name="mowi.w.shield">#REF!</definedName>
    <definedName localSheetId="28" name="roster">#REF!</definedName>
    <definedName localSheetId="9" name="KunciPintu">#REF!</definedName>
    <definedName localSheetId="6" name="kayumarsawa">#REF!</definedName>
    <definedName localSheetId="28" name="vinylasbes">#REF!</definedName>
    <definedName localSheetId="21" name="____DIV5">#REF!</definedName>
    <definedName localSheetId="15" name="tegelplinpc10x20">#REF!</definedName>
    <definedName localSheetId="23" name="Batupuru">#REF!</definedName>
    <definedName localSheetId="20" name="alangalang">#REF!</definedName>
    <definedName localSheetId="9" name="kawatharmonika">#REF!</definedName>
    <definedName localSheetId="21" name="R19..">#REF!</definedName>
    <definedName localSheetId="18" name="ubinteraso30">#REF!</definedName>
    <definedName localSheetId="27" name="medan3.4">#REF!</definedName>
    <definedName localSheetId="10" name="c.maxi">#REF!</definedName>
    <definedName localSheetId="36" name="kayuterentang">#REF!</definedName>
    <definedName localSheetId="42" name="Pjgsloof">#REF!</definedName>
    <definedName localSheetId="17" name="_______MMM38">#REF!</definedName>
    <definedName localSheetId="44" name="________DIV7">#REF!</definedName>
    <definedName localSheetId="21" name="kuncialfa">#REF!</definedName>
    <definedName localSheetId="0" name="ramset">#REF!</definedName>
    <definedName localSheetId="24" name="________DIV10">#REF!</definedName>
    <definedName localSheetId="3" name="PTJW">#REF!</definedName>
    <definedName localSheetId="40" name="pindahan">#REF!</definedName>
    <definedName localSheetId="27" name="ramset">#REF!</definedName>
    <definedName localSheetId="44" name="_MMM18">#REF!</definedName>
    <definedName localSheetId="19" name="kali">#REF!</definedName>
    <definedName localSheetId="39" name="Kunci1">#REF!</definedName>
    <definedName localSheetId="30" name="gentengbeton">#REF!</definedName>
    <definedName localSheetId="5" name="Pengadaan">#REF!</definedName>
    <definedName localSheetId="44" name="_________LLL01">#REF!</definedName>
    <definedName name="______HAL5">#REF!</definedName>
    <definedName localSheetId="31" name="kiki">#REF!</definedName>
    <definedName localSheetId="42" name="nnnnn">#REF!</definedName>
    <definedName localSheetId="7" name="k.beton">#REF!</definedName>
    <definedName localSheetId="27" name="Excel_BuiltIn_Print_Titles_2">#REF!</definedName>
    <definedName localSheetId="17" name="pvc1.2.wav.aw">#REF!</definedName>
    <definedName localSheetId="44" name="nnnnn">#REF!</definedName>
    <definedName localSheetId="33" name="AGREGAT">#REF!</definedName>
    <definedName localSheetId="3" name="_________MMM51">#REF!</definedName>
    <definedName localSheetId="15" name="Kekurangan">#REF!</definedName>
    <definedName localSheetId="3" name="Nokmetal3mm">#REF!</definedName>
    <definedName localSheetId="17" name="______MMM37">#REF!</definedName>
    <definedName localSheetId="24" name="R35..">#REF!</definedName>
    <definedName localSheetId="34" name="tegelpc20x20">#REF!</definedName>
    <definedName localSheetId="23" name="y">#REF!</definedName>
    <definedName localSheetId="10" name="Skrup">#REF!</definedName>
    <definedName localSheetId="15" name="wallpaper">#REF!</definedName>
    <definedName localSheetId="32" name="URAIAN7612b">#REF!</definedName>
    <definedName localSheetId="12" name="______HAL3">#REF!</definedName>
    <definedName localSheetId="3" name="_________DIV7">#REF!</definedName>
    <definedName localSheetId="7" name="_DIV3">#REF!</definedName>
    <definedName localSheetId="13" name="plintkeramikartistik1020">#REF!</definedName>
    <definedName localSheetId="24" name="_________MMM47">#REF!</definedName>
    <definedName localSheetId="20" name="plintkeramikartistik520">#REF!</definedName>
    <definedName localSheetId="10" name="minyaksolar">#REF!</definedName>
    <definedName localSheetId="21" name="JUDUL1">#REF!</definedName>
    <definedName localSheetId="21" name="Overhead">#REF!</definedName>
    <definedName localSheetId="9" name="BAHU">#REF!</definedName>
    <definedName localSheetId="32" name="kayuborneo">#REF!</definedName>
    <definedName localSheetId="7" name="____MMM04">#REF!</definedName>
    <definedName localSheetId="4" name="karpet">#REF!</definedName>
    <definedName localSheetId="12" name="karpetwooldannilon">#REF!</definedName>
    <definedName localSheetId="24" name="URAIAN731">#REF!</definedName>
    <definedName localSheetId="5" name="JL_NAS">#REF!</definedName>
    <definedName localSheetId="32" name="urugankembali">#REF!</definedName>
    <definedName localSheetId="6" name="__LLL02">#REF!</definedName>
    <definedName localSheetId="42" name="Tbt">#REF!</definedName>
    <definedName localSheetId="18" name="semenwarna">#REF!</definedName>
    <definedName localSheetId="3" name="__MMM18">#REF!</definedName>
    <definedName localSheetId="20" name="kayualbasiah">#REF!</definedName>
    <definedName localSheetId="32" name="___HAL1">#REF!</definedName>
    <definedName localSheetId="17" name="q">#REF!</definedName>
    <definedName localSheetId="33" name="Uraian841">#REF!</definedName>
    <definedName localSheetId="4" name="jj">#REF!</definedName>
    <definedName localSheetId="10" name="atapaluminiumgelombang055">#REF!</definedName>
    <definedName localSheetId="18" name="papan.m.3.20">#REF!</definedName>
    <definedName localSheetId="23" name="kayualbasiah">#REF!</definedName>
    <definedName localSheetId="34" name="UTAIAN7614c">#REF!</definedName>
    <definedName localSheetId="7" name="URAIAN918">#REF!</definedName>
    <definedName localSheetId="44" name="_____MMM31">#REF!</definedName>
    <definedName name="_DIV8">#REF!</definedName>
    <definedName localSheetId="39" name="Minyak">#REF!</definedName>
    <definedName localSheetId="3" name="Kunci2">#REF!</definedName>
    <definedName localSheetId="39" name="Uraian841">#REF!</definedName>
    <definedName localSheetId="33" name="_KOP7">#REF!</definedName>
    <definedName localSheetId="39" name="kawatharmonika">#REF!</definedName>
    <definedName localSheetId="0" name="URAIAN631">#REF!</definedName>
    <definedName localSheetId="17" name="strorox">#REF!</definedName>
    <definedName localSheetId="17" name="kawatnyamuk">#REF!</definedName>
    <definedName localSheetId="12" name="koralbeton">#REF!</definedName>
    <definedName localSheetId="3" name="teakwood9mm">#REF!</definedName>
    <definedName localSheetId="8" name="sealent">#REF!</definedName>
    <definedName localSheetId="41" name="URAIAN771b">#REF!</definedName>
    <definedName localSheetId="18" name="ARI">#REF!</definedName>
    <definedName localSheetId="24" name="FORM732">#REF!</definedName>
    <definedName localSheetId="8" name="FORMLatasirKL">#REF!</definedName>
    <definedName localSheetId="32" name="M">#REF!</definedName>
    <definedName localSheetId="3" name="_____MMM01">#REF!</definedName>
    <definedName localSheetId="13" name="FORM731">#REF!</definedName>
    <definedName localSheetId="39" name="w">#REF!</definedName>
    <definedName localSheetId="3" name="__HAL3">#REF!</definedName>
    <definedName localSheetId="15" name="kayumarsawa">#REF!</definedName>
    <definedName localSheetId="13" name="UPAH">#REF!</definedName>
    <definedName localSheetId="3" name="__DIV10">#REF!</definedName>
    <definedName localSheetId="42" name="_______DIV1">#REF!</definedName>
    <definedName name="FORMLatasirK">#REF!</definedName>
    <definedName localSheetId="41" name="SusunanOrg">#REF!</definedName>
    <definedName localSheetId="42" name="jki">#REF!</definedName>
    <definedName localSheetId="39" name="__pvc05">#REF!</definedName>
    <definedName localSheetId="39" name="__MMM02">#REF!</definedName>
    <definedName localSheetId="3" name="______MMM28">#REF!</definedName>
    <definedName localSheetId="12" name="sirlak">#REF!</definedName>
    <definedName localSheetId="23" name="mm">#REF!</definedName>
    <definedName localSheetId="24" name="roster">#REF!</definedName>
    <definedName localSheetId="41" name="JA">#REF!</definedName>
    <definedName localSheetId="17" name="__MMM32">#REF!</definedName>
    <definedName localSheetId="4" name="nmdaerah">#REF!</definedName>
    <definedName localSheetId="5" name="kalkarium">#REF!</definedName>
    <definedName localSheetId="18" name="batuporos">#REF!</definedName>
    <definedName localSheetId="5" name="cv">#REF!</definedName>
    <definedName localSheetId="23" name="___DIV10">#REF!</definedName>
    <definedName localSheetId="0" name="_________MMM02">#REF!</definedName>
    <definedName localSheetId="39" name="__MMM03">#REF!</definedName>
    <definedName name="besiprofilWF">#REF!</definedName>
    <definedName localSheetId="17" name="_MMM25">#REF!</definedName>
    <definedName localSheetId="24" name="b.belah">#REF!</definedName>
    <definedName localSheetId="44" name="_MMM47">#REF!</definedName>
    <definedName localSheetId="10" name="dd">#REF!</definedName>
    <definedName localSheetId="44" name="__MMM36">#REF!</definedName>
    <definedName localSheetId="12" name="cv">#REF!</definedName>
    <definedName localSheetId="0" name="_Tl1">#REF!</definedName>
    <definedName localSheetId="7" name="_______LLL10">#REF!</definedName>
    <definedName name="_pvc2">#REF!</definedName>
    <definedName localSheetId="17" name="lisplafond">#REF!</definedName>
    <definedName localSheetId="10" name="sealent">#REF!</definedName>
    <definedName localSheetId="17" name="_DIV3">#REF!</definedName>
    <definedName localSheetId="10" name="bubunganasbesgelombang">#REF!</definedName>
    <definedName localSheetId="20" name="FORM771c">#REF!</definedName>
    <definedName localSheetId="39" name="___pvc05">#REF!</definedName>
    <definedName localSheetId="23" name="________DIV1">#REF!</definedName>
    <definedName localSheetId="0" name="kawatburung">#REF!</definedName>
    <definedName localSheetId="3" name="________MMM16">#REF!</definedName>
    <definedName localSheetId="21" name="__MMM39">#REF!</definedName>
    <definedName localSheetId="19" name="FORM771c">#REF!</definedName>
    <definedName localSheetId="28" name="_Tl1">#REF!</definedName>
    <definedName localSheetId="25" name="pakusirap">#REF!</definedName>
    <definedName localSheetId="44" name="__MMM04">#REF!</definedName>
    <definedName localSheetId="6" name="pindahan">#REF!</definedName>
    <definedName localSheetId="21" name="URAIAN912">#REF!</definedName>
    <definedName localSheetId="4" name="_818PK">#REF!</definedName>
    <definedName localSheetId="28" name="ttnh">#REF!</definedName>
    <definedName localSheetId="28" name="plywood6mm">#REF!</definedName>
    <definedName name="tegelplinteraso10x30">#REF!</definedName>
    <definedName localSheetId="34" name="kayukamper">#REF!</definedName>
    <definedName localSheetId="3" name="hd">#REF!</definedName>
    <definedName localSheetId="34" name="ss">#REF!</definedName>
    <definedName localSheetId="9" name="Papanbouplank">#REF!</definedName>
    <definedName localSheetId="24" name="bjls25">#REF!</definedName>
    <definedName localSheetId="3" name="pintualuminium">#REF!</definedName>
    <definedName localSheetId="38" name="L">#REF!</definedName>
    <definedName localSheetId="21" name="ASET">#REF!</definedName>
    <definedName localSheetId="19" name="_____DIV1">#REF!</definedName>
    <definedName localSheetId="3" name="KunciPintu">#REF!</definedName>
    <definedName localSheetId="24" name="SPJ">#REF!</definedName>
    <definedName localSheetId="36" name="plintubinteraso1040">#REF!</definedName>
    <definedName name="_________MMM03">#REF!</definedName>
    <definedName localSheetId="34" name="URAIANLatasirKL">#REF!</definedName>
    <definedName localSheetId="11" name="eeeeee">#REF!</definedName>
    <definedName localSheetId="36" name="Galam">#REF!</definedName>
    <definedName localSheetId="7" name="jj">#REF!</definedName>
    <definedName localSheetId="44" name="ubinkeramikartistik1010">#REF!</definedName>
    <definedName localSheetId="33" name="pasirpas">#REF!</definedName>
    <definedName localSheetId="31" name="UP">#REF!</definedName>
    <definedName localSheetId="41" name="semen50">#REF!</definedName>
    <definedName localSheetId="18" name="tegelplinteraso10x30">#REF!</definedName>
    <definedName localSheetId="40" name="URAIAN631">#REF!</definedName>
    <definedName localSheetId="15" name="Papanbouplank">#REF!</definedName>
    <definedName localSheetId="0" name="__MMM03">#REF!</definedName>
    <definedName localSheetId="15" name="SusunanOrg">#REF!</definedName>
    <definedName localSheetId="17" name="kuncitanamkamarmandi">#REF!</definedName>
    <definedName name="_____MMM50">#REF!</definedName>
    <definedName localSheetId="34" name="B.Aparatur">#REF!</definedName>
    <definedName localSheetId="4" name="FORM66PERMUKAAN">#REF!</definedName>
    <definedName localSheetId="42" name="FORM7614c">#REF!</definedName>
    <definedName localSheetId="31" name="plintubinteraluxmarmer1040">#REF!</definedName>
    <definedName localSheetId="30" name="besi12sii">#REF!</definedName>
    <definedName localSheetId="41" name="bubungangentengbeton">#REF!</definedName>
    <definedName localSheetId="8" name="kaca12">#REF!</definedName>
    <definedName localSheetId="31" name="karpetwooldannilon">#REF!</definedName>
    <definedName localSheetId="9" name="list">#REF!</definedName>
    <definedName localSheetId="7" name="URAIAN7614d">#REF!</definedName>
    <definedName localSheetId="44" name="_________MMM41">#REF!</definedName>
    <definedName localSheetId="44" name="_____DIV8">#REF!</definedName>
    <definedName localSheetId="44" name="k.ddg.rmn.20.25.pls">#REF!</definedName>
    <definedName localSheetId="30" name="ubinwarna40">#REF!</definedName>
    <definedName localSheetId="44" name="nokpaten092">#REF!</definedName>
    <definedName localSheetId="11" name="s.warna">#REF!</definedName>
    <definedName localSheetId="20" name="__DIV1">#REF!</definedName>
    <definedName localSheetId="21" name="_________MMM13">#REF!</definedName>
    <definedName localSheetId="31" name="kuncitanam">#REF!</definedName>
    <definedName localSheetId="0" name="____HAL2">#REF!</definedName>
    <definedName localSheetId="42" name="__MMM02">#REF!</definedName>
    <definedName localSheetId="3" name="______LLL10">#REF!</definedName>
    <definedName localSheetId="33" name="rtrt">#REF!</definedName>
    <definedName localSheetId="15" name="tegelporselen10x20warna">#REF!</definedName>
    <definedName localSheetId="3" name="_____MMM34">#REF!</definedName>
    <definedName localSheetId="20" name="________DIV4">#REF!</definedName>
    <definedName localSheetId="18" name="MMM17A">#REF!</definedName>
    <definedName localSheetId="40" name="gentengaspal">#REF!</definedName>
    <definedName localSheetId="3" name="R68..">#REF!</definedName>
    <definedName localSheetId="36" name="catpenutup2kali">#REF!</definedName>
    <definedName localSheetId="31" name="sdg">#REF!</definedName>
    <definedName name="_pvc05">#REF!</definedName>
    <definedName localSheetId="7" name="u.cor">#REF!</definedName>
    <definedName localSheetId="21" name="FORM622">#REF!</definedName>
    <definedName name="Gypsum">#REF!</definedName>
    <definedName localSheetId="27" name="FORM7610">#REF!</definedName>
    <definedName localSheetId="44" name="sealent">#REF!</definedName>
    <definedName localSheetId="5" name="vernis">#REF!</definedName>
    <definedName localSheetId="8" name="ubinkeramikartistik1010">#REF!</definedName>
    <definedName localSheetId="7" name="gentengdecrabond">#REF!</definedName>
    <definedName localSheetId="40" name="doorstop">#REF!</definedName>
    <definedName localSheetId="39" name="wwww">#REF!</definedName>
    <definedName name="Excel_BuiltIn_Print_Titles_1">#REF!</definedName>
    <definedName name="________MMM49">#REF!</definedName>
    <definedName localSheetId="32" name="sengbjls25">#REF!</definedName>
    <definedName localSheetId="24" name="Analisa634">#REF!</definedName>
    <definedName localSheetId="12" name="URAIAN771b">#REF!</definedName>
    <definedName name="kayukamper">#REF!</definedName>
    <definedName localSheetId="5" name="kuncialfa">#REF!</definedName>
    <definedName localSheetId="0" name="ubinteraso40">#REF!</definedName>
    <definedName localSheetId="3" name="_____MMM26">#REF!</definedName>
    <definedName localSheetId="41" name="besi10.sii">#REF!</definedName>
    <definedName localSheetId="21" name="plamur.matex">#REF!</definedName>
    <definedName localSheetId="0" name="multi.18">#REF!</definedName>
    <definedName localSheetId="17" name="_MMM21">#REF!</definedName>
    <definedName localSheetId="44" name="______MMM40">#REF!</definedName>
    <definedName localSheetId="41" name="hollowblok">#REF!</definedName>
    <definedName localSheetId="9" name="gentengbeton">#REF!</definedName>
    <definedName localSheetId="7" name="pintusunscreenalluminium">#REF!</definedName>
    <definedName localSheetId="19" name="urugantanah">#REF!</definedName>
    <definedName localSheetId="39" name="RINCIANSEWA2">#REF!</definedName>
    <definedName localSheetId="7" name="UP">#REF!</definedName>
    <definedName localSheetId="39" name="sodaapi">#REF!</definedName>
    <definedName localSheetId="24" name="_____MMM50">#REF!</definedName>
    <definedName localSheetId="3" name="____DIV1">#REF!</definedName>
    <definedName localSheetId="34" name="Psr.psg">#REF!</definedName>
    <definedName localSheetId="40" name="URAIAN234L">#REF!</definedName>
    <definedName localSheetId="3" name="Excel_BuiltIn_Print_Titles_10">#REF!</definedName>
    <definedName localSheetId="9" name="plintubingranito1030">#REF!</definedName>
    <definedName localSheetId="34" name="URAIAN7613c">#REF!</definedName>
    <definedName localSheetId="3" name="_DIV9">#REF!</definedName>
    <definedName localSheetId="6" name="baru">#REF!</definedName>
    <definedName localSheetId="20" name="k.ddg.rmn.20.25.pls">#REF!</definedName>
    <definedName localSheetId="19" name="ls">#REF!</definedName>
    <definedName localSheetId="21" name="________MMM24">#REF!</definedName>
    <definedName localSheetId="7" name="URAIAN7612c">#REF!</definedName>
    <definedName localSheetId="38" name="URAIAN7612b">#REF!</definedName>
    <definedName localSheetId="44" name="FORM914">#REF!</definedName>
    <definedName localSheetId="11" name="HP">#REF!</definedName>
    <definedName localSheetId="3" name="_____HAL5">#REF!</definedName>
    <definedName localSheetId="0" name="besipresstressedpolos">#REF!</definedName>
    <definedName localSheetId="9" name="____DIV3">#REF!</definedName>
    <definedName localSheetId="10" name="Kunci1">#REF!</definedName>
    <definedName localSheetId="32" name="kawatnyamuk">#REF!</definedName>
    <definedName localSheetId="24" name="ppn3.30">#REF!</definedName>
    <definedName localSheetId="34" name="tempatcucipiring">#REF!</definedName>
    <definedName localSheetId="7" name="_________MMM46">#REF!</definedName>
    <definedName localSheetId="34" name="LAP">#REF!</definedName>
    <definedName localSheetId="25" name="bondbeam">#REF!</definedName>
    <definedName localSheetId="24" name="________DIV8">#REF!</definedName>
    <definedName localSheetId="3" name="tegelporselen15x15warna">#REF!</definedName>
    <definedName localSheetId="27" name="Closet.c420">#REF!</definedName>
    <definedName name="________MMM51">#REF!</definedName>
    <definedName name="___MMM07">#REF!</definedName>
    <definedName localSheetId="5" name="LAP">#REF!</definedName>
    <definedName localSheetId="13" name="KERAMIK30">#REF!</definedName>
    <definedName localSheetId="3" name="___HAL2">#REF!</definedName>
    <definedName localSheetId="5" name="________HAL3">#REF!</definedName>
    <definedName name="c.mowi.dlm">#REF!</definedName>
    <definedName localSheetId="42" name="besiprofilWF">#REF!</definedName>
    <definedName localSheetId="4" name="LAINLAIN">#REF!</definedName>
    <definedName localSheetId="21" name="_______MMM40">#REF!</definedName>
    <definedName localSheetId="13" name="papan.m.3.20">#REF!</definedName>
    <definedName localSheetId="3" name="_MMM47">#REF!</definedName>
    <definedName localSheetId="30" name="plesteran13">#REF!</definedName>
    <definedName localSheetId="6" name="teakwood6mm">#REF!</definedName>
    <definedName localSheetId="12" name="papanbulian">#REF!</definedName>
    <definedName localSheetId="7" name="_DIV10">#REF!</definedName>
    <definedName localSheetId="7" name="_______DIV2">#REF!</definedName>
    <definedName localSheetId="9" name="GRC">#REF!</definedName>
    <definedName localSheetId="7" name="_____LLL07">#REF!</definedName>
    <definedName localSheetId="21" name="_________MMM42">#REF!</definedName>
    <definedName localSheetId="3" name="___MMM39">#REF!</definedName>
    <definedName localSheetId="3" name="____MMM05">#REF!</definedName>
    <definedName localSheetId="24" name="____MMM29">#REF!</definedName>
    <definedName localSheetId="15" name="gggg">#REF!</definedName>
    <definedName localSheetId="39" name="parquetjati">#REF!</definedName>
    <definedName localSheetId="7" name="_______MMM24">#REF!</definedName>
    <definedName localSheetId="30" name="URAIAN731">#REF!</definedName>
    <definedName localSheetId="24" name="_________MMM44">#REF!</definedName>
    <definedName localSheetId="0" name="FORM631">#REF!</definedName>
    <definedName localSheetId="31" name="URAIAN633">#REF!</definedName>
    <definedName localSheetId="3" name="jurnal1">#REF!</definedName>
    <definedName localSheetId="5" name="UPAH">#REF!</definedName>
    <definedName localSheetId="7" name="waterstop320">#REF!</definedName>
    <definedName localSheetId="36" name="FORM7614b">#REF!</definedName>
    <definedName localSheetId="13" name="plintubingranito1030">#REF!</definedName>
    <definedName localSheetId="28" name="amplas">#REF!</definedName>
    <definedName localSheetId="28" name="URAIAN612">#REF!</definedName>
    <definedName localSheetId="21" name="________DIV10">#REF!</definedName>
    <definedName localSheetId="17" name="ubinteraluxkerang60">#REF!</definedName>
    <definedName localSheetId="25" name="plesteran13">#REF!</definedName>
    <definedName localSheetId="31" name="JL_NAS">#REF!</definedName>
    <definedName localSheetId="11" name="menibesi">#REF!</definedName>
    <definedName localSheetId="15" name="kran.bbk">#REF!</definedName>
    <definedName localSheetId="27" name="pakuhalus">#REF!</definedName>
    <definedName localSheetId="23" name="stairnzing">#REF!</definedName>
    <definedName localSheetId="6" name="R31..">#REF!</definedName>
    <definedName localSheetId="12" name="split2.3">#REF!</definedName>
    <definedName localSheetId="12" name="kawatsengpolos">#REF!</definedName>
    <definedName localSheetId="17" name="ASISTEN_BIDANG_PEMERINTAHAN">#REF!</definedName>
    <definedName localSheetId="42" name="FORM732">#REF!</definedName>
    <definedName localSheetId="42" name="R1..">#REF!</definedName>
    <definedName localSheetId="21" name="________LLL11">#REF!</definedName>
    <definedName localSheetId="9" name="wallpaper">#REF!</definedName>
    <definedName localSheetId="10" name="FORM771b">#REF!</definedName>
    <definedName localSheetId="15" name="plywood4mm">#REF!</definedName>
    <definedName localSheetId="25" name="pipagalvanis">#REF!</definedName>
    <definedName localSheetId="41" name="URAIAN7613c">#REF!</definedName>
    <definedName name="_____MMM10">#REF!</definedName>
    <definedName localSheetId="15" name="tanggal">#REF!</definedName>
    <definedName localSheetId="33" name="__DIV4">#REF!</definedName>
    <definedName localSheetId="7" name="ubinkeramik1033">#REF!</definedName>
    <definedName localSheetId="32" name="beton175m">#REF!</definedName>
    <definedName localSheetId="41" name="mm">#REF!</definedName>
    <definedName localSheetId="15" name="Uraian8410">#REF!</definedName>
    <definedName localSheetId="38" name="roll">#REF!</definedName>
    <definedName localSheetId="21" name="____HAL1">#REF!</definedName>
    <definedName localSheetId="17" name="______HAL3">#REF!</definedName>
    <definedName localSheetId="7" name="rapidrant">#REF!</definedName>
    <definedName localSheetId="21" name="wwww">#REF!</definedName>
    <definedName localSheetId="24" name="Uraian846">#REF!</definedName>
    <definedName localSheetId="7" name="___MMM24">#REF!</definedName>
    <definedName localSheetId="9" name="water.prof">#REF!</definedName>
    <definedName localSheetId="0" name="FORM732">#REF!</definedName>
    <definedName localSheetId="17" name="R86..">#REF!</definedName>
    <definedName localSheetId="9" name="alba2.20">#REF!</definedName>
    <definedName localSheetId="41" name="Z">#REF!</definedName>
    <definedName localSheetId="27" name="L">#REF!</definedName>
    <definedName localSheetId="21" name="MINOR">#REF!</definedName>
    <definedName localSheetId="5" name="kaca8">#REF!</definedName>
    <definedName localSheetId="9" name="MATERIAL">#REF!</definedName>
    <definedName localSheetId="30" name="keramik40">#REF!</definedName>
    <definedName name="TANAH">#REF!</definedName>
    <definedName localSheetId="18" name="catpenutup2kali">#REF!</definedName>
    <definedName localSheetId="8" name="R2..">#REF!</definedName>
    <definedName localSheetId="41" name="sealent">#REF!</definedName>
    <definedName localSheetId="30" name="kuncitanam">#REF!</definedName>
    <definedName name="_LLL10">#REF!</definedName>
    <definedName localSheetId="7" name="siap1">#REF!</definedName>
    <definedName localSheetId="7" name="____MMM21">#REF!</definedName>
    <definedName localSheetId="9" name="Ktbt">#REF!</definedName>
    <definedName localSheetId="27" name="w.stain">#REF!</definedName>
    <definedName localSheetId="34" name="borneo4.6">#REF!</definedName>
    <definedName localSheetId="30" name="___pvc205">#REF!</definedName>
    <definedName localSheetId="27" name="pakugypsum">#REF!</definedName>
    <definedName localSheetId="7" name="URAIANLatasirK">#REF!</definedName>
    <definedName localSheetId="31" name="bondbeam">#REF!</definedName>
    <definedName localSheetId="42" name="MAI">#REF!</definedName>
    <definedName localSheetId="8" name="Z">#REF!</definedName>
    <definedName localSheetId="11" name="klosetjongkok">#REF!</definedName>
    <definedName localSheetId="25" name="R50..">#REF!</definedName>
    <definedName localSheetId="7" name="ppn3.30">#REF!</definedName>
    <definedName localSheetId="41" name="Kunci1">#REF!</definedName>
    <definedName localSheetId="24" name="_pvc2">#REF!</definedName>
    <definedName localSheetId="11" name="MAI">#REF!</definedName>
    <definedName localSheetId="31" name="papanbulian">#REF!</definedName>
    <definedName localSheetId="33" name="Meni">#REF!</definedName>
    <definedName localSheetId="33" name="hollowblok">#REF!</definedName>
    <definedName localSheetId="36" name="borneo4.6">#REF!</definedName>
    <definedName localSheetId="15" name="R100..">#REF!</definedName>
    <definedName localSheetId="0" name="Akustik">#REF!</definedName>
    <definedName localSheetId="5" name="tegelporselen">#REF!</definedName>
    <definedName localSheetId="13" name="drainase">#REF!</definedName>
    <definedName localSheetId="4" name="Closet.c420">#REF!</definedName>
    <definedName localSheetId="40" name="URAIAN323L">#REF!</definedName>
    <definedName localSheetId="10" name="d">#REF!</definedName>
    <definedName localSheetId="41" name="sementahanasam">#REF!</definedName>
    <definedName localSheetId="44" name="__MMM01">#REF!</definedName>
    <definedName name="___DIV3">#REF!</definedName>
    <definedName localSheetId="15" name="kayukelas2">#REF!</definedName>
    <definedName localSheetId="38" name="keramik30x30">#REF!</definedName>
    <definedName localSheetId="9" name="Kunci1">#REF!</definedName>
    <definedName localSheetId="13" name="waterstop230">#REF!</definedName>
    <definedName localSheetId="31" name="Catbesi">#REF!</definedName>
    <definedName localSheetId="33" name="tpipa">#REF!</definedName>
    <definedName localSheetId="24" name="pvc.3.mas.d">#REF!</definedName>
    <definedName localSheetId="17" name="___pvc105">#REF!</definedName>
    <definedName localSheetId="44" name="_____MMM40">#REF!</definedName>
    <definedName localSheetId="31" name="R60..">#REF!</definedName>
    <definedName localSheetId="18" name="xxxxx">#REF!</definedName>
    <definedName localSheetId="0" name="batuapung">#REF!</definedName>
    <definedName localSheetId="44" name="________LLL02">#REF!</definedName>
    <definedName localSheetId="3" name="ubinkeramik1520">#REF!</definedName>
    <definedName localSheetId="42" name="sunloid">#REF!</definedName>
    <definedName localSheetId="24" name="___MMM13">#REF!</definedName>
    <definedName localSheetId="32" name="kawatsengpolos">#REF!</definedName>
    <definedName localSheetId="7" name="URAIAN772c">#REF!</definedName>
    <definedName localSheetId="12" name="URAIAN611">#REF!</definedName>
    <definedName localSheetId="21" name="_____MMM16">#REF!</definedName>
    <definedName localSheetId="17" name="lis">#REF!</definedName>
    <definedName localSheetId="30" name="__LLL02">#REF!</definedName>
    <definedName localSheetId="32" name="ktbs">#REF!</definedName>
    <definedName localSheetId="42" name="ramset">#REF!</definedName>
    <definedName localSheetId="18" name="aaaa">#REF!</definedName>
    <definedName localSheetId="23" name="___MMM01">#REF!</definedName>
    <definedName localSheetId="21" name="PU">#REF!</definedName>
    <definedName localSheetId="30" name="plintubinteraluxmarmer1030">#REF!</definedName>
    <definedName localSheetId="6" name="p.triplek">#REF!</definedName>
    <definedName localSheetId="24" name="bubungangentengmetal">#REF!</definedName>
    <definedName localSheetId="41" name="M">#REF!</definedName>
    <definedName localSheetId="32" name="u">#REF!</definedName>
    <definedName localSheetId="17" name="R2..">#REF!</definedName>
    <definedName localSheetId="39" name="tegelpc20x20">#REF!</definedName>
    <definedName localSheetId="17" name="pakusumbat">#REF!</definedName>
    <definedName localSheetId="5" name="Kunci1">#REF!</definedName>
    <definedName localSheetId="7" name="_MMM14">#REF!</definedName>
    <definedName localSheetId="5" name="gentengaspal">#REF!</definedName>
    <definedName localSheetId="31" name="w.stain">#REF!</definedName>
    <definedName localSheetId="18" name="_DIV10">#REF!</definedName>
    <definedName localSheetId="42" name="FORM7613a">#REF!</definedName>
    <definedName localSheetId="44" name="_____MMM37">#REF!</definedName>
    <definedName localSheetId="24" name="_________HAL4">#REF!</definedName>
    <definedName localSheetId="7" name="URAIAN7613b">#REF!</definedName>
    <definedName localSheetId="39" name="URAIAN66PERMUKAAN">#REF!</definedName>
    <definedName localSheetId="42" name="pipagalvanis">#REF!</definedName>
    <definedName localSheetId="34" name="kacapolos5mm">#REF!</definedName>
    <definedName localSheetId="24" name="_________MMM01">#REF!</definedName>
    <definedName localSheetId="20" name="__DIV10">#REF!</definedName>
    <definedName localSheetId="27" name="R51..">#REF!</definedName>
    <definedName localSheetId="21" name="____MMM05">#REF!</definedName>
    <definedName localSheetId="41" name="split1.2">#REF!</definedName>
    <definedName localSheetId="39" name="UTAIAN7614c">#REF!</definedName>
    <definedName localSheetId="5" name="______HAL2">#REF!</definedName>
    <definedName localSheetId="34" name="tlistrik">#REF!</definedName>
    <definedName localSheetId="28" name="_HAL1">#REF!</definedName>
    <definedName localSheetId="7" name="_________DIV1">#REF!</definedName>
    <definedName localSheetId="4" name="_LLL03">#REF!</definedName>
    <definedName localSheetId="13" name="_____HAL2">#REF!</definedName>
    <definedName localSheetId="24" name="R51..">#REF!</definedName>
    <definedName localSheetId="24" name="___HAL4">#REF!</definedName>
    <definedName localSheetId="13" name="_____DIV1">#REF!</definedName>
    <definedName localSheetId="3" name="bouwplnk">#REF!</definedName>
    <definedName localSheetId="21" name="batapelapisklinker">#REF!</definedName>
    <definedName localSheetId="24" name="R41..">#REF!</definedName>
    <definedName localSheetId="21" name="________MMM14">#REF!</definedName>
    <definedName localSheetId="41" name="total">#REF!</definedName>
    <definedName localSheetId="3" name="FORM642">#REF!</definedName>
    <definedName localSheetId="18" name="wwww">#REF!</definedName>
    <definedName localSheetId="39" name="tegelplinteraso10x30">#REF!</definedName>
    <definedName localSheetId="10" name="batacote">#REF!</definedName>
    <definedName localSheetId="0" name="kaca3">#REF!</definedName>
    <definedName localSheetId="31" name="__LLL01">#REF!</definedName>
    <definedName localSheetId="9" name="bubunganasbesnok">#REF!</definedName>
    <definedName localSheetId="34" name="s.tukang">#REF!</definedName>
    <definedName localSheetId="24" name="_________LLL07">#REF!</definedName>
    <definedName localSheetId="7" name="ts">#REF!</definedName>
    <definedName localSheetId="7" name="___MMM26">#REF!</definedName>
    <definedName localSheetId="15" name="ramset">#REF!</definedName>
    <definedName localSheetId="40" name="Jendelabesibaja">#REF!</definedName>
    <definedName localSheetId="24" name="R37..">#REF!</definedName>
    <definedName localSheetId="40" name="residu">#REF!</definedName>
    <definedName localSheetId="6" name="f.drain">#REF!</definedName>
    <definedName localSheetId="30" name="_DIV4">#REF!</definedName>
    <definedName localSheetId="24" name="FORM95">#REF!</definedName>
    <definedName localSheetId="23" name="relpintudorong">#REF!</definedName>
    <definedName localSheetId="23" name="_HAL1">#REF!</definedName>
    <definedName localSheetId="12" name="platasbes">#REF!</definedName>
    <definedName localSheetId="21" name="kacacermin5">#REF!</definedName>
    <definedName localSheetId="32" name="ts">#REF!</definedName>
    <definedName localSheetId="7" name="_____DIV3">#REF!</definedName>
    <definedName localSheetId="28" name="urugan">#REF!</definedName>
    <definedName localSheetId="41" name="RINCIANSEWA2">#REF!</definedName>
    <definedName localSheetId="30" name="_MMM02">#REF!</definedName>
    <definedName localSheetId="12" name="plintubinteraluxmarmer1060">#REF!</definedName>
    <definedName localSheetId="44" name="sofboard">#REF!</definedName>
    <definedName localSheetId="8" name="vernis">#REF!</definedName>
    <definedName localSheetId="3" name="URAIAN744">#REF!</definedName>
    <definedName localSheetId="12" name="ubinwarna40">#REF!</definedName>
    <definedName localSheetId="6" name="teakwood4mm">#REF!</definedName>
    <definedName localSheetId="9" name="perancahkayu">#REF!</definedName>
    <definedName localSheetId="40" name="pengencer">#REF!</definedName>
    <definedName localSheetId="19" name="bondbeam">#REF!</definedName>
    <definedName localSheetId="24" name="k.ddg.rmn.20.25.pls">#REF!</definedName>
    <definedName localSheetId="20" name="kawatburung">#REF!</definedName>
    <definedName localSheetId="15" name="UPAH">#REF!</definedName>
    <definedName localSheetId="42" name="______DIV3">#REF!</definedName>
    <definedName localSheetId="21" name="kaca3">#REF!</definedName>
    <definedName localSheetId="21" name="__MMM54">#REF!</definedName>
    <definedName localSheetId="17" name="____MMM44">#REF!</definedName>
    <definedName localSheetId="0" name="teakwood6mm">#REF!</definedName>
    <definedName localSheetId="40" name="MATERIAL">#REF!</definedName>
    <definedName localSheetId="21" name="_________HAL5">#REF!</definedName>
    <definedName localSheetId="13" name="urugan">#REF!</definedName>
    <definedName localSheetId="15" name="plintubingranito1030">#REF!</definedName>
    <definedName localSheetId="39" name="plintubinteraluxmarmer1060">#REF!</definedName>
    <definedName localSheetId="23" name="FORM66PERATA">#REF!</definedName>
    <definedName localSheetId="3" name="_______MMM24">#REF!</definedName>
    <definedName localSheetId="23" name="d">#REF!</definedName>
    <definedName localSheetId="10" name="sengbjls25">#REF!</definedName>
    <definedName localSheetId="5" name="URAIAN323L">#REF!</definedName>
    <definedName localSheetId="34" name="sealent">#REF!</definedName>
    <definedName localSheetId="5" name="kuncisilinder">#REF!</definedName>
    <definedName localSheetId="25" name="cv">#REF!</definedName>
    <definedName localSheetId="19" name="s.tukang">#REF!</definedName>
    <definedName name="____MMM03">#REF!</definedName>
    <definedName localSheetId="24" name="L">#REF!</definedName>
    <definedName localSheetId="36" name="zzz">#REF!</definedName>
    <definedName localSheetId="44" name="_______MMM27">#REF!</definedName>
    <definedName localSheetId="10" name="kuncilemari">#REF!</definedName>
    <definedName localSheetId="25" name="ubingranito40">#REF!</definedName>
    <definedName localSheetId="21" name="u.cor">#REF!</definedName>
    <definedName localSheetId="13" name="sirlak">#REF!</definedName>
    <definedName localSheetId="41" name="R31..">#REF!</definedName>
    <definedName localSheetId="31" name="kunci2slag">#REF!</definedName>
    <definedName localSheetId="23" name="URAIAN745">#REF!</definedName>
    <definedName localSheetId="28" name="pipabeton">#REF!</definedName>
    <definedName localSheetId="7" name="___LLL08">#REF!</definedName>
    <definedName localSheetId="3" name="FORM841">#REF!</definedName>
    <definedName localSheetId="5" name="pddk">#REF!</definedName>
    <definedName localSheetId="10" name="_tl2">#REF!</definedName>
    <definedName localSheetId="0" name="DAYWORKS">#REF!</definedName>
    <definedName localSheetId="15" name="tegelpc20x20">#REF!</definedName>
    <definedName localSheetId="3" name="________MMM21">#REF!</definedName>
    <definedName localSheetId="42" name="__pvc05">#REF!</definedName>
    <definedName localSheetId="42" name="Galam">#REF!</definedName>
    <definedName localSheetId="6" name="mowi.w.shield">#REF!</definedName>
    <definedName localSheetId="28" name="URAIAN7613b">#REF!</definedName>
    <definedName localSheetId="41" name="__MMM02">#REF!</definedName>
    <definedName localSheetId="30" name="URAIAN631">#REF!</definedName>
    <definedName localSheetId="32" name="w">#REF!</definedName>
    <definedName localSheetId="24" name="_____LLL01">#REF!</definedName>
    <definedName localSheetId="41" name="f">#REF!</definedName>
    <definedName localSheetId="21" name="Analisa70702">#REF!</definedName>
    <definedName name="_MMM48">#REF!</definedName>
    <definedName localSheetId="25" name="begisting">#REF!</definedName>
    <definedName localSheetId="44" name="_________MMM50">#REF!</definedName>
    <definedName localSheetId="4" name="__DIV2">#REF!</definedName>
    <definedName localSheetId="12" name="batuapung">#REF!</definedName>
    <definedName localSheetId="27" name="R3..">#REF!</definedName>
    <definedName localSheetId="8" name="R20..">#REF!</definedName>
    <definedName localSheetId="27" name="FORM8410">#REF!</definedName>
    <definedName localSheetId="11" name="BAHU">#REF!</definedName>
    <definedName localSheetId="3" name="FORM7612b">#REF!</definedName>
    <definedName localSheetId="8" name="grassblok">#REF!</definedName>
    <definedName localSheetId="34" name="BAHU">#REF!</definedName>
    <definedName localSheetId="4" name="___DIV3">#REF!</definedName>
    <definedName localSheetId="24" name="Closet.c420">#REF!</definedName>
    <definedName localSheetId="18" name="__pvc3">#REF!</definedName>
    <definedName localSheetId="18" name="_______MMM02">#REF!</definedName>
    <definedName localSheetId="5" name="pakugypsum">#REF!</definedName>
    <definedName localSheetId="17" name="____MMM28">#REF!</definedName>
    <definedName localSheetId="30" name="_____MMM03">#REF!</definedName>
    <definedName localSheetId="21" name="________DIV6">#REF!</definedName>
    <definedName localSheetId="36" name="pakuskrup">#REF!</definedName>
    <definedName localSheetId="21" name="Analisa611">#REF!</definedName>
    <definedName localSheetId="27" name="zzz">#REF!</definedName>
    <definedName localSheetId="40" name="sealer.mowi">#REF!</definedName>
    <definedName localSheetId="27" name="meni.kayu">#REF!</definedName>
    <definedName localSheetId="9" name="sirlak">#REF!</definedName>
    <definedName localSheetId="36" name="gggg">#REF!</definedName>
    <definedName localSheetId="18" name="plintubinteraluxkerang1040">#REF!</definedName>
    <definedName localSheetId="13" name="___pvc205">#REF!</definedName>
    <definedName localSheetId="3" name="R93..">#REF!</definedName>
    <definedName localSheetId="33" name="jki">#REF!</definedName>
    <definedName localSheetId="33" name="ubinwarna40">#REF!</definedName>
    <definedName localSheetId="10" name="keramik30x30">#REF!</definedName>
    <definedName localSheetId="21" name="k.tukang">#REF!</definedName>
    <definedName localSheetId="15" name="URAIAN66PERMUKAAN">#REF!</definedName>
    <definedName localSheetId="9" name="kawatburung">#REF!</definedName>
    <definedName localSheetId="17" name="___pvc05">#REF!</definedName>
    <definedName localSheetId="41" name="kategori">#REF!</definedName>
    <definedName localSheetId="25" name="relpintudorong">#REF!</definedName>
    <definedName localSheetId="17" name="________LLL09">#REF!</definedName>
    <definedName localSheetId="15" name="platasbes">#REF!</definedName>
    <definedName name="gentengpaletongbesar">#REF!</definedName>
    <definedName localSheetId="33" name="Z">#REF!</definedName>
    <definedName localSheetId="41" name="asbesgelombang">#REF!</definedName>
    <definedName localSheetId="4" name="Uraian8410">#REF!</definedName>
    <definedName localSheetId="6" name="___DIV3">#REF!</definedName>
    <definedName localSheetId="18" name="spirtus">#REF!</definedName>
    <definedName localSheetId="13" name="menibesi">#REF!</definedName>
    <definedName localSheetId="7" name="R33..">#REF!</definedName>
    <definedName localSheetId="42" name="f">#REF!</definedName>
    <definedName localSheetId="17" name="Analisa709">#REF!</definedName>
    <definedName localSheetId="5" name="BM">#REF!</definedName>
    <definedName localSheetId="9" name="pakusumbat">#REF!</definedName>
    <definedName localSheetId="44" name="_pvc2">#REF!</definedName>
    <definedName localSheetId="32" name="dua">#REF!</definedName>
    <definedName localSheetId="23" name="split2.3">#REF!</definedName>
    <definedName localSheetId="28" name="DUDI">#REF!</definedName>
    <definedName localSheetId="4" name="meni.kayu">#REF!</definedName>
    <definedName localSheetId="21" name="papanII">#REF!</definedName>
    <definedName localSheetId="25" name="URAIAN771b">#REF!</definedName>
    <definedName localSheetId="12" name="________DIV4">#REF!</definedName>
    <definedName localSheetId="39" name="__DIV4">#REF!</definedName>
    <definedName localSheetId="38" name="R4..">#REF!</definedName>
    <definedName localSheetId="25" name="___HAL3">#REF!</definedName>
    <definedName localSheetId="9" name="KUANTITAS">#REF!</definedName>
    <definedName localSheetId="3" name="________MMM53">#REF!</definedName>
    <definedName name="__HAL6">#REF!</definedName>
    <definedName localSheetId="17" name="_____HAL8">#REF!</definedName>
    <definedName localSheetId="3" name="______MMM06">#REF!</definedName>
    <definedName localSheetId="31" name="_LLL01">#REF!</definedName>
    <definedName localSheetId="28" name="batuteraso">#REF!</definedName>
    <definedName localSheetId="9" name="FORM7613a">#REF!</definedName>
    <definedName localSheetId="24" name="ubinteraso40">#REF!</definedName>
    <definedName localSheetId="6" name="tm_2415921492">#REF!</definedName>
    <definedName localSheetId="23" name="FORM731">#REF!</definedName>
    <definedName localSheetId="19" name="________MMM02">#REF!</definedName>
    <definedName localSheetId="7" name="kiki">#REF!</definedName>
    <definedName localSheetId="8" name="URAIAN79mekanis">#REF!</definedName>
    <definedName localSheetId="15" name="_____DIV2">#REF!</definedName>
    <definedName localSheetId="4" name="strorox">#REF!</definedName>
    <definedName localSheetId="36" name="Fak">#REF!</definedName>
    <definedName localSheetId="44" name="koralbeton">#REF!</definedName>
    <definedName localSheetId="27" name="atapaluminiumgelombang055">#REF!</definedName>
    <definedName localSheetId="3" name="bubunganstelgelombang105">#REF!</definedName>
    <definedName localSheetId="9" name="__MMM03">#REF!</definedName>
    <definedName localSheetId="3" name="_____MMM54">#REF!</definedName>
    <definedName localSheetId="28" name="URAIAN621">#REF!</definedName>
    <definedName localSheetId="41" name="pasirbeton">#REF!</definedName>
    <definedName localSheetId="28" name="sirlak">#REF!</definedName>
    <definedName localSheetId="7" name="plintubinwarna1040">#REF!</definedName>
    <definedName localSheetId="25" name="______DIV10">#REF!</definedName>
    <definedName localSheetId="6" name="metal">#REF!</definedName>
    <definedName name="___MMM04">#REF!</definedName>
    <definedName localSheetId="8" name="URAIAN7613c">#REF!</definedName>
    <definedName localSheetId="17" name="_______MMM26">#REF!</definedName>
    <definedName localSheetId="0" name="MASTER">#REF!</definedName>
    <definedName localSheetId="13" name="platasbes35mm">#REF!</definedName>
    <definedName localSheetId="0" name="URAIAN744">#REF!</definedName>
    <definedName localSheetId="13" name="_______HAL1">#REF!</definedName>
    <definedName localSheetId="21" name="FORM7614c">#REF!</definedName>
    <definedName localSheetId="21" name="________MMM09">#REF!</definedName>
    <definedName localSheetId="3" name="tbkr">#REF!</definedName>
    <definedName localSheetId="21" name="plesteran13">#REF!</definedName>
    <definedName localSheetId="3" name="_________DIV9">#REF!</definedName>
    <definedName name="___MMM43">#REF!</definedName>
    <definedName localSheetId="11" name="multi.18">#REF!</definedName>
    <definedName localSheetId="21" name="_____HAL5">#REF!</definedName>
    <definedName localSheetId="24" name="____MMM49">#REF!</definedName>
    <definedName localSheetId="28" name="pintualuminium">#REF!</definedName>
    <definedName localSheetId="33" name="beton175R">#REF!</definedName>
    <definedName localSheetId="17" name="URAIANLatasirK">#REF!</definedName>
    <definedName localSheetId="6" name="ubinwarna40">#REF!</definedName>
    <definedName localSheetId="41" name="wwww">#REF!</definedName>
    <definedName localSheetId="21" name="___LLL07">#REF!</definedName>
    <definedName localSheetId="17" name="R40..">#REF!</definedName>
    <definedName localSheetId="40" name="________DIV3">#REF!</definedName>
    <definedName localSheetId="31" name="Excel_BuiltIn_Print_Titles_2">#REF!</definedName>
    <definedName localSheetId="38" name="M">#REF!</definedName>
    <definedName localSheetId="33" name="____MMM02">#REF!</definedName>
    <definedName localSheetId="33" name="jffhauifhauifhe">#REF!</definedName>
    <definedName localSheetId="34" name="semen50">#REF!</definedName>
    <definedName localSheetId="17" name="sengplatbjls24">#REF!</definedName>
    <definedName localSheetId="6" name="cv">#REF!</definedName>
    <definedName localSheetId="21" name="URAIAN99">#REF!</definedName>
    <definedName localSheetId="3" name="_________HAL1">#REF!</definedName>
    <definedName localSheetId="32" name="_818FA">#REF!</definedName>
    <definedName localSheetId="38" name="FORM7612c">#REF!</definedName>
    <definedName localSheetId="33" name="grendel4">#REF!</definedName>
    <definedName localSheetId="32" name="Fak">#REF!</definedName>
    <definedName name="____LLL07">#REF!</definedName>
    <definedName localSheetId="21" name="_tl2">#REF!</definedName>
    <definedName localSheetId="6" name="medan5.10">#REF!</definedName>
    <definedName localSheetId="39" name="ubinwarna40">#REF!</definedName>
    <definedName localSheetId="13" name="_____MMM02">#REF!</definedName>
    <definedName localSheetId="3" name="________DIV9">#REF!</definedName>
    <definedName localSheetId="42" name="__DIV3">#REF!</definedName>
    <definedName localSheetId="7" name="Analisa71511">#REF!</definedName>
    <definedName localSheetId="24" name="______MMM46">#REF!</definedName>
    <definedName localSheetId="42" name="sealer">#REF!</definedName>
    <definedName localSheetId="3" name="ubinkeramik1020">#REF!</definedName>
    <definedName localSheetId="25" name="URAIAN7613b">#REF!</definedName>
    <definedName name="_____MMM46">#REF!</definedName>
    <definedName localSheetId="8" name="u.bekisting">#REF!</definedName>
    <definedName localSheetId="3" name="URAIAN7614a">#REF!</definedName>
    <definedName localSheetId="15" name="G">#REF!</definedName>
    <definedName localSheetId="11" name="URAIAN621">#REF!</definedName>
    <definedName localSheetId="10" name="besijaringkawatbaja">#REF!</definedName>
    <definedName localSheetId="30" name="besi10.sii">#REF!</definedName>
    <definedName localSheetId="9" name="Analisa512">#REF!</definedName>
    <definedName localSheetId="18" name="bbm">#REF!</definedName>
    <definedName localSheetId="41" name="teakwood6mm">#REF!</definedName>
    <definedName localSheetId="23" name="floorhardenerferrovak">#REF!</definedName>
    <definedName localSheetId="20" name="perancahkayu">#REF!</definedName>
    <definedName localSheetId="15" name="begisting">#REF!</definedName>
    <definedName localSheetId="13" name="waterstop200">#REF!</definedName>
    <definedName localSheetId="21" name="______MMM29">#REF!</definedName>
    <definedName localSheetId="20" name="URAIAN721">#REF!</definedName>
    <definedName localSheetId="44" name="__MMM50">#REF!</definedName>
    <definedName localSheetId="6" name="besi13">#REF!</definedName>
    <definedName localSheetId="4" name="pintulipat">#REF!</definedName>
    <definedName localSheetId="24" name="__MMM22">#REF!</definedName>
    <definedName localSheetId="10" name="venetionblinds">#REF!</definedName>
    <definedName localSheetId="7" name="__MMM04">#REF!</definedName>
    <definedName localSheetId="4" name="____MMM01">#REF!</definedName>
    <definedName localSheetId="17" name="bjls25">#REF!</definedName>
    <definedName localSheetId="7" name="___MMM49">#REF!</definedName>
    <definedName localSheetId="30" name="beton100kg">#REF!</definedName>
    <definedName localSheetId="5" name="URAIAN771a">#REF!</definedName>
    <definedName localSheetId="27" name="sengplatbjls25">#REF!</definedName>
    <definedName localSheetId="4" name="URAIAN79mekanis">#REF!</definedName>
    <definedName localSheetId="20" name="__pvc105">#REF!</definedName>
    <definedName name="Analisa55">#REF!</definedName>
    <definedName localSheetId="32" name="SUNGAI_BERTAM">#REF!</definedName>
    <definedName localSheetId="33" name="batacote">#REF!</definedName>
    <definedName localSheetId="0" name="plamour">#REF!</definedName>
    <definedName localSheetId="20" name="__HAL5">#REF!</definedName>
    <definedName localSheetId="39" name="_kop6">#REF!</definedName>
    <definedName localSheetId="0" name="B.Jambi">#REF!</definedName>
    <definedName localSheetId="39" name="tanggal">#REF!</definedName>
    <definedName name="FORM66PERATA">#REF!</definedName>
    <definedName localSheetId="24" name="______MMM25">#REF!</definedName>
    <definedName localSheetId="13" name="kunci1slag">#REF!</definedName>
    <definedName localSheetId="6" name="____DIV2">#REF!</definedName>
    <definedName localSheetId="27" name="________MMM03">#REF!</definedName>
    <definedName localSheetId="17" name="________HAL6">#REF!</definedName>
    <definedName localSheetId="24" name="_______MMM25">#REF!</definedName>
    <definedName localSheetId="12" name="_________MMM03">#REF!</definedName>
    <definedName localSheetId="21" name="roster">#REF!</definedName>
    <definedName name="____DIV5">#REF!</definedName>
    <definedName localSheetId="13" name="kayukamper">#REF!</definedName>
    <definedName localSheetId="23" name="Minyak">#REF!</definedName>
    <definedName localSheetId="33" name="besiprofilWF">#REF!</definedName>
    <definedName localSheetId="19" name="c.mowi.dlm">#REF!</definedName>
    <definedName localSheetId="24" name="__MMM07">#REF!</definedName>
    <definedName localSheetId="9" name="air">#REF!</definedName>
    <definedName localSheetId="38" name="URAIAN745">#REF!</definedName>
    <definedName localSheetId="10" name="tpipa">#REF!</definedName>
    <definedName localSheetId="0" name="p.triplek">#REF!</definedName>
    <definedName localSheetId="5" name="SEKRETARIAT_DPRD">#REF!</definedName>
    <definedName localSheetId="12" name="FORM621">#REF!</definedName>
    <definedName localSheetId="18" name="pasirsilika">#REF!</definedName>
    <definedName localSheetId="40" name="kayukudakuda">#REF!</definedName>
    <definedName localSheetId="33" name="plintubingranito1040">#REF!</definedName>
    <definedName localSheetId="38" name="ramset">#REF!</definedName>
    <definedName name="sirap">#REF!</definedName>
    <definedName localSheetId="32" name="ubinwarna20">#REF!</definedName>
    <definedName name="kaca.es">#REF!</definedName>
    <definedName localSheetId="10" name="URAIAN66PERATA">#REF!</definedName>
    <definedName localSheetId="36" name="a">#REF!</definedName>
    <definedName localSheetId="42" name="jurnal">#REF!</definedName>
    <definedName localSheetId="17" name="Uraian847">#REF!</definedName>
    <definedName localSheetId="38" name="nnnnn">#REF!</definedName>
    <definedName name="plintubingranito1040">#REF!</definedName>
    <definedName localSheetId="44" name="Excel_BuiltIn_Print_Titles_2">#REF!</definedName>
    <definedName localSheetId="7" name="____MMM51">#REF!</definedName>
    <definedName localSheetId="7" name="FORM772a">#REF!</definedName>
    <definedName localSheetId="41" name="R40..">#REF!</definedName>
    <definedName localSheetId="12" name="BAHU">#REF!</definedName>
    <definedName localSheetId="42" name="__pvc2">#REF!</definedName>
    <definedName localSheetId="17" name="atapaluminiumgelombang055">#REF!</definedName>
    <definedName localSheetId="44" name="waterdrainaksesoris">#REF!</definedName>
    <definedName localSheetId="4" name="doorstop">#REF!</definedName>
    <definedName localSheetId="27" name="_______HAL1">#REF!</definedName>
    <definedName localSheetId="4" name="keramik20">#REF!</definedName>
    <definedName localSheetId="21" name="____MMM13">#REF!</definedName>
    <definedName localSheetId="18" name="ubinwarna20">#REF!</definedName>
    <definedName localSheetId="44" name="________HAL4">#REF!</definedName>
    <definedName localSheetId="44" name="_________HAL1">#REF!</definedName>
    <definedName localSheetId="5" name="engselangin">#REF!</definedName>
    <definedName localSheetId="24" name="pakubulian">#REF!</definedName>
    <definedName localSheetId="33" name="pijar15">#REF!</definedName>
    <definedName localSheetId="30" name="sirap">#REF!</definedName>
    <definedName localSheetId="21" name="ubinteraluxkerang30">#REF!</definedName>
    <definedName localSheetId="8" name="batupecah">#REF!</definedName>
    <definedName localSheetId="25" name="___DIV4">#REF!</definedName>
    <definedName localSheetId="36" name="_________MMM02">#REF!</definedName>
    <definedName localSheetId="12" name="KECAMATAN_KODEOHA">#REF!</definedName>
    <definedName localSheetId="11" name="plintkeramikartistik1020">#REF!</definedName>
    <definedName localSheetId="44" name="____MMM04">#REF!</definedName>
    <definedName localSheetId="20" name="hd">#REF!</definedName>
    <definedName localSheetId="17" name="ppnm">#REF!</definedName>
    <definedName localSheetId="44" name="URAIAN79mekanis">#REF!</definedName>
    <definedName localSheetId="23" name="_________MMM01">#REF!</definedName>
    <definedName localSheetId="7" name="_____LLL11">#REF!</definedName>
    <definedName localSheetId="23" name="waterstop150">#REF!</definedName>
    <definedName localSheetId="21" name="_________MMM47">#REF!</definedName>
    <definedName localSheetId="8" name="____DIV4">#REF!</definedName>
    <definedName localSheetId="11" name="______MMM02">#REF!</definedName>
    <definedName localSheetId="10" name="amobiotic">#REF!</definedName>
    <definedName localSheetId="44" name="_________LLL05">#REF!</definedName>
    <definedName localSheetId="9" name="dasar">#REF!</definedName>
    <definedName localSheetId="12" name="aaaaa">#REF!</definedName>
    <definedName localSheetId="4" name="URAIAN323L">#REF!</definedName>
    <definedName localSheetId="32" name="FORM841">#REF!</definedName>
    <definedName localSheetId="21" name="pvc1.2.aw">#REF!</definedName>
    <definedName localSheetId="25" name="______DIV4">#REF!</definedName>
    <definedName localSheetId="44" name="_____LLL03">#REF!</definedName>
    <definedName localSheetId="41" name="sengplatbjls25">#REF!</definedName>
    <definedName localSheetId="21" name="______MMM30">#REF!</definedName>
    <definedName localSheetId="44" name="________LLL05">#REF!</definedName>
    <definedName localSheetId="12" name="rtrt">#REF!</definedName>
    <definedName localSheetId="44" name="kiki">#REF!</definedName>
    <definedName localSheetId="3" name="_________DIV6">#REF!</definedName>
    <definedName localSheetId="36" name="pagarseng2m">#REF!</definedName>
    <definedName localSheetId="13" name="plintubinkeramikartistik1020">#REF!</definedName>
    <definedName name="gabin_al">#REF!</definedName>
    <definedName localSheetId="34" name="G">#REF!</definedName>
    <definedName localSheetId="21" name="___MMM20">#REF!</definedName>
    <definedName localSheetId="21" name="___MMM22">#REF!</definedName>
    <definedName localSheetId="19" name="__HAL1">#REF!</definedName>
    <definedName localSheetId="39" name="gabin_al">#REF!</definedName>
    <definedName localSheetId="42" name="platasbes">#REF!</definedName>
    <definedName localSheetId="24" name="_______MMM10">#REF!</definedName>
    <definedName localSheetId="40" name="amobiotic">#REF!</definedName>
    <definedName localSheetId="24" name="NAMA3">#REF!</definedName>
    <definedName localSheetId="13" name="waterdrainaksesoris">#REF!</definedName>
    <definedName localSheetId="21" name="_____MMM20">#REF!</definedName>
    <definedName localSheetId="30" name="_________HAL3">#REF!</definedName>
    <definedName localSheetId="38" name="nmdaerah">#REF!</definedName>
    <definedName localSheetId="11" name="vinylkaret3030">#REF!</definedName>
    <definedName localSheetId="17" name="URAIAN622">#REF!</definedName>
    <definedName localSheetId="17" name="_____HAL2">#REF!</definedName>
    <definedName localSheetId="3" name="catpenutup">#REF!</definedName>
    <definedName localSheetId="4" name="sementahanasam">#REF!</definedName>
    <definedName localSheetId="28" name="aa">#REF!</definedName>
    <definedName localSheetId="8" name="URAIAN7614a">#REF!</definedName>
    <definedName localSheetId="6" name="__DIV10">#REF!</definedName>
    <definedName localSheetId="44" name="plesteran13">#REF!</definedName>
    <definedName localSheetId="30" name="Excel_BuiltIn_Print_Titles_1">#REF!</definedName>
    <definedName localSheetId="10" name="terntang">#REF!</definedName>
    <definedName localSheetId="7" name="FORM913">#REF!</definedName>
    <definedName localSheetId="33" name="list">#REF!</definedName>
    <definedName localSheetId="24" name="ts">#REF!</definedName>
    <definedName localSheetId="33" name="batapelapisdinding">#REF!</definedName>
    <definedName localSheetId="40" name="URAIANLatasirKL">#REF!</definedName>
    <definedName localSheetId="17" name="aaaa">#REF!</definedName>
    <definedName localSheetId="44" name="semenwarna">#REF!</definedName>
    <definedName localSheetId="17" name="URAIAN7614e">#REF!</definedName>
    <definedName localSheetId="9" name="STRUKTUR">#REF!</definedName>
    <definedName localSheetId="25" name="bbm">#REF!</definedName>
    <definedName localSheetId="19" name="URAIAN7612a">#REF!</definedName>
    <definedName localSheetId="28" name="psr.trs">#REF!</definedName>
    <definedName localSheetId="38" name="lb">#REF!</definedName>
    <definedName localSheetId="6" name="___HAL2">#REF!</definedName>
    <definedName localSheetId="7" name="pasirsilika">#REF!</definedName>
    <definedName localSheetId="17" name="_______MMM52">#REF!</definedName>
    <definedName localSheetId="19" name="sealer.mowi">#REF!</definedName>
    <definedName localSheetId="40" name="RINCIANSEWA2">#REF!</definedName>
    <definedName localSheetId="42" name="a">#REF!</definedName>
    <definedName localSheetId="12" name="jamtandem">#REF!</definedName>
    <definedName localSheetId="11" name="LAP">#REF!</definedName>
    <definedName localSheetId="17" name="_________MMM48">#REF!</definedName>
    <definedName localSheetId="15" name="__tl2">#REF!</definedName>
    <definedName localSheetId="23" name="lis">#REF!</definedName>
    <definedName localSheetId="20" name="Akustik">#REF!</definedName>
    <definedName localSheetId="13" name="SUNGAI_BERTAM">#REF!</definedName>
    <definedName localSheetId="8" name="__HAL5">#REF!</definedName>
    <definedName name="______MMM54">#REF!</definedName>
    <definedName localSheetId="7" name="_________DIV5">#REF!</definedName>
    <definedName localSheetId="9" name="__DIV4">#REF!</definedName>
    <definedName localSheetId="3" name="batugranito">#REF!</definedName>
    <definedName localSheetId="24" name="_____LLL02">#REF!</definedName>
    <definedName localSheetId="31" name="kali">#REF!</definedName>
    <definedName localSheetId="8" name="oke">#REF!</definedName>
    <definedName localSheetId="30" name="LAINLAIN">#REF!</definedName>
    <definedName localSheetId="19" name="__HAL5">#REF!</definedName>
    <definedName localSheetId="36" name="FORM79mekanis">#REF!</definedName>
    <definedName localSheetId="44" name="kalkarium">#REF!</definedName>
    <definedName localSheetId="41" name="DSSDD">#REF!</definedName>
    <definedName localSheetId="21" name="__HAL7">#REF!</definedName>
    <definedName localSheetId="0" name="urugan">#REF!</definedName>
    <definedName localSheetId="18" name="Kunci2">#REF!</definedName>
    <definedName localSheetId="17" name="______DIV10">#REF!</definedName>
    <definedName localSheetId="11" name="tes">#REF!</definedName>
    <definedName localSheetId="27" name="cv">#REF!</definedName>
    <definedName localSheetId="21" name="besi6.sii">#REF!</definedName>
    <definedName localSheetId="11" name="FORM771b">#REF!</definedName>
    <definedName localSheetId="36" name="plywood4">#REF!</definedName>
    <definedName localSheetId="38" name="_DIV4">#REF!</definedName>
    <definedName localSheetId="6" name="mowi.ws">#REF!</definedName>
    <definedName localSheetId="13" name="tes">#REF!</definedName>
    <definedName localSheetId="39" name="pagar2m">#REF!</definedName>
    <definedName localSheetId="24" name="c.mowi.dlm">#REF!</definedName>
    <definedName localSheetId="42" name="platasbes35mm">#REF!</definedName>
    <definedName localSheetId="30" name="G">#REF!</definedName>
    <definedName localSheetId="15" name="___HAL1">#REF!</definedName>
    <definedName localSheetId="12" name="_PC50">#REF!</definedName>
    <definedName localSheetId="15" name="bouwplnk">#REF!</definedName>
    <definedName localSheetId="7" name="R34..">#REF!</definedName>
    <definedName localSheetId="21" name="__LLL10">#REF!</definedName>
    <definedName localSheetId="8" name="Akustik">#REF!</definedName>
    <definedName localSheetId="7" name="__MMM34">#REF!</definedName>
    <definedName localSheetId="13" name="URAIAN7614b">#REF!</definedName>
    <definedName localSheetId="20" name="_PC50">#REF!</definedName>
    <definedName localSheetId="24" name="________MMM20">#REF!</definedName>
    <definedName localSheetId="7" name="gentengmonier">#REF!</definedName>
    <definedName localSheetId="20" name="______MMM03">#REF!</definedName>
    <definedName localSheetId="33" name="p.triplek">#REF!</definedName>
    <definedName localSheetId="19" name="sodaapi">#REF!</definedName>
    <definedName localSheetId="30" name="klosetjongkok">#REF!</definedName>
    <definedName localSheetId="33" name="platasbes">#REF!</definedName>
    <definedName localSheetId="32" name="gentengdecrabond">#REF!</definedName>
    <definedName localSheetId="7" name="FORM735">#REF!</definedName>
    <definedName localSheetId="31" name="___DIV1">#REF!</definedName>
    <definedName localSheetId="3" name="____MMM38">#REF!</definedName>
    <definedName localSheetId="21" name="aa">#REF!</definedName>
    <definedName localSheetId="42" name="aa">#REF!</definedName>
    <definedName localSheetId="17" name="________MMM41">#REF!</definedName>
    <definedName localSheetId="12" name="_______DIV3">#REF!</definedName>
    <definedName localSheetId="27" name="sabun">#REF!</definedName>
    <definedName localSheetId="5" name="batupecah">#REF!</definedName>
    <definedName localSheetId="9" name="plesteran13">#REF!</definedName>
    <definedName localSheetId="11" name="FORM79mekanis">#REF!</definedName>
    <definedName localSheetId="28" name="mowi.w.shield">#REF!</definedName>
    <definedName localSheetId="41" name="plintkeramikartistik1010">#REF!</definedName>
    <definedName localSheetId="6" name="pintusunscreenalluminium">#REF!</definedName>
    <definedName localSheetId="44" name="_MMM21">#REF!</definedName>
    <definedName localSheetId="17" name="paving">#REF!</definedName>
    <definedName localSheetId="11" name="R10..">#REF!</definedName>
    <definedName localSheetId="42" name="Uraian842">#REF!</definedName>
    <definedName localSheetId="17" name="FORM94">#REF!</definedName>
    <definedName localSheetId="27" name="bubunganasbesgelombang">#REF!</definedName>
    <definedName localSheetId="39" name="UPAH">#REF!</definedName>
    <definedName localSheetId="7" name="sengplatbjls24">#REF!</definedName>
    <definedName localSheetId="3" name="_____MMM19">#REF!</definedName>
    <definedName localSheetId="7" name="______HAL1">#REF!</definedName>
    <definedName localSheetId="41" name="_LLL01">#REF!</definedName>
    <definedName localSheetId="12" name="profilalumuniumT">#REF!</definedName>
    <definedName localSheetId="8" name="ubinwarna30">#REF!</definedName>
    <definedName localSheetId="8" name="keramik40">#REF!</definedName>
    <definedName localSheetId="28" name="URAIAN632">#REF!</definedName>
    <definedName localSheetId="28" name="batuporos">#REF!</definedName>
    <definedName name="Analisa71202">#REF!</definedName>
    <definedName localSheetId="3" name="bjls30">#REF!</definedName>
    <definedName localSheetId="3" name="_____LLL05">#REF!</definedName>
    <definedName localSheetId="31" name="batapelapisdinding">#REF!</definedName>
    <definedName name="k.beton">#REF!</definedName>
    <definedName localSheetId="38" name="_pvc205">#REF!</definedName>
    <definedName localSheetId="34" name="platasbes35mm">#REF!</definedName>
    <definedName localSheetId="8" name="platasbes">#REF!</definedName>
    <definedName localSheetId="8" name="Analisa512">#REF!</definedName>
    <definedName localSheetId="44" name="R22..">#REF!</definedName>
    <definedName localSheetId="3" name="____MMM35">#REF!</definedName>
    <definedName localSheetId="3" name="__MMM20">#REF!</definedName>
    <definedName localSheetId="0" name="Overhead">#REF!</definedName>
    <definedName localSheetId="24" name="Tbt">#REF!</definedName>
    <definedName localSheetId="7" name="________MMM09">#REF!</definedName>
    <definedName localSheetId="9" name="URAIAN22L">#REF!</definedName>
    <definedName localSheetId="21" name="kuas">#REF!</definedName>
    <definedName localSheetId="18" name="URAIAN7614a">#REF!</definedName>
    <definedName localSheetId="4" name="R1..">#REF!</definedName>
    <definedName localSheetId="21" name="R5..">#REF!</definedName>
    <definedName localSheetId="36" name="URAIANLatasirK">#REF!</definedName>
    <definedName localSheetId="5" name="catpenutup2kali">#REF!</definedName>
    <definedName localSheetId="15" name="R30..">#REF!</definedName>
    <definedName localSheetId="5" name="perancahkayu">#REF!</definedName>
    <definedName localSheetId="7" name="metal">#REF!</definedName>
    <definedName localSheetId="8" name="_______DIV3">#REF!</definedName>
    <definedName localSheetId="5" name="________DIV4">#REF!</definedName>
    <definedName localSheetId="7" name="__MMM21">#REF!</definedName>
    <definedName name="_DIV5">#REF!</definedName>
    <definedName localSheetId="12" name="_________HAL1">#REF!</definedName>
    <definedName localSheetId="3" name="seng30">#REF!</definedName>
    <definedName localSheetId="8" name="sis">#REF!</definedName>
    <definedName localSheetId="44" name="_______MMM54">#REF!</definedName>
    <definedName localSheetId="21" name="_______LLL06">#REF!</definedName>
    <definedName localSheetId="23" name="plamour">#REF!</definedName>
    <definedName name="______MMM08">#REF!</definedName>
    <definedName localSheetId="25" name="papanjelutung">#REF!</definedName>
    <definedName localSheetId="6" name="kayujati">#REF!</definedName>
    <definedName localSheetId="32" name="spirtus">#REF!</definedName>
    <definedName localSheetId="23" name="kunci2slag">#REF!</definedName>
    <definedName localSheetId="17" name="batuapung">#REF!</definedName>
    <definedName localSheetId="33" name="kayukudakuda">#REF!</definedName>
    <definedName localSheetId="28" name="URAIAN7614d">#REF!</definedName>
    <definedName localSheetId="13" name="batapelapisklinker">#REF!</definedName>
    <definedName localSheetId="17" name="__MMM05">#REF!</definedName>
    <definedName localSheetId="19" name="________DIV3">#REF!</definedName>
    <definedName localSheetId="40" name="batuapung">#REF!</definedName>
    <definedName localSheetId="24" name="R22..">#REF!</definedName>
    <definedName localSheetId="25" name="papan.m.3.20">#REF!</definedName>
    <definedName localSheetId="20" name="kali">#REF!</definedName>
    <definedName localSheetId="33" name="pajak">#REF!</definedName>
    <definedName localSheetId="11" name="________MMM02">#REF!</definedName>
    <definedName localSheetId="41" name="_HAL1">#REF!</definedName>
    <definedName name="R105..">#REF!</definedName>
    <definedName localSheetId="6" name="UP">#REF!</definedName>
    <definedName localSheetId="18" name="besi12sii">#REF!</definedName>
    <definedName localSheetId="8" name="tukng">#REF!</definedName>
    <definedName localSheetId="20" name="bubungangentengbesar">#REF!</definedName>
    <definedName localSheetId="44" name="batasuper">#REF!</definedName>
    <definedName localSheetId="21" name="pvc.0.7.5.Mas.d">#REF!</definedName>
    <definedName localSheetId="40" name="perancahkayu">#REF!</definedName>
    <definedName localSheetId="42" name="FORM631">#REF!</definedName>
    <definedName localSheetId="24" name="_MMM43">#REF!</definedName>
    <definedName localSheetId="44" name="alangalang">#REF!</definedName>
    <definedName localSheetId="17" name="____MMM50">#REF!</definedName>
    <definedName localSheetId="36" name="Per">#REF!</definedName>
    <definedName localSheetId="17" name="________MMM24">#REF!</definedName>
    <definedName localSheetId="0" name="waterdrainaksesoris">#REF!</definedName>
    <definedName localSheetId="23" name="FORM612">#REF!</definedName>
    <definedName localSheetId="27" name="waterdrainaksesoris">#REF!</definedName>
    <definedName localSheetId="15" name="FORM842">#REF!</definedName>
    <definedName localSheetId="4" name="besi13">#REF!</definedName>
    <definedName localSheetId="21" name="_MMM13">#REF!</definedName>
    <definedName localSheetId="12" name="_DIV4">#REF!</definedName>
    <definedName localSheetId="41" name="_____MMM03">#REF!</definedName>
    <definedName name="Nok">#REF!</definedName>
    <definedName localSheetId="33" name="_DIV3">#REF!</definedName>
    <definedName localSheetId="9" name="asbesgelombang">#REF!</definedName>
    <definedName localSheetId="20" name="borneo5.10">#REF!</definedName>
    <definedName localSheetId="21" name="Uraian842">#REF!</definedName>
    <definedName localSheetId="20" name="L">#REF!</definedName>
    <definedName localSheetId="41" name="gabin_al">#REF!</definedName>
    <definedName localSheetId="33" name="R2..">#REF!</definedName>
    <definedName localSheetId="4" name="wallpaper">#REF!</definedName>
    <definedName localSheetId="28" name="______MMM02">#REF!</definedName>
    <definedName localSheetId="25" name="ppn.m.3.20.serut">#REF!</definedName>
    <definedName localSheetId="3" name="jj">#REF!</definedName>
    <definedName localSheetId="15" name="Z">#REF!</definedName>
    <definedName name="grendel4">#REF!</definedName>
    <definedName localSheetId="3" name="k.40.40.roman.crk">#REF!</definedName>
    <definedName localSheetId="33" name="BPS">#REF!</definedName>
    <definedName localSheetId="19" name="kaca.p.5">#REF!</definedName>
    <definedName localSheetId="44" name="__MMM31">#REF!</definedName>
    <definedName localSheetId="15" name="___pvc3">#REF!</definedName>
    <definedName localSheetId="17" name="______MMM14">#REF!</definedName>
    <definedName localSheetId="21" name="DSSDD">#REF!</definedName>
    <definedName localSheetId="24" name="LAP">#REF!</definedName>
    <definedName localSheetId="36" name="FORM731">#REF!</definedName>
    <definedName localSheetId="19" name="sabun">#REF!</definedName>
    <definedName localSheetId="10" name="URAIAN771c">#REF!</definedName>
    <definedName localSheetId="19" name="____DIV10">#REF!</definedName>
    <definedName localSheetId="20" name="Meni">#REF!</definedName>
    <definedName localSheetId="18" name="Analisa511">#REF!</definedName>
    <definedName localSheetId="34" name="batu.jogja">#REF!</definedName>
    <definedName localSheetId="40" name="dasar">#REF!</definedName>
    <definedName localSheetId="0" name="floorhardenerferrovak">#REF!</definedName>
    <definedName localSheetId="15" name="pasirpas">#REF!</definedName>
    <definedName localSheetId="44" name="___LLL07">#REF!</definedName>
    <definedName localSheetId="24" name="ubinwarna40">#REF!</definedName>
    <definedName localSheetId="13" name="beton100kg">#REF!</definedName>
    <definedName localSheetId="7" name="pvc.0.7.5.Mas.d">#REF!</definedName>
    <definedName localSheetId="24" name="______DIV9">#REF!</definedName>
    <definedName localSheetId="8" name="_____MMM01">#REF!</definedName>
    <definedName localSheetId="25" name="teakwood9mm">#REF!</definedName>
    <definedName localSheetId="11" name="URAIAN66PERATA">#REF!</definedName>
    <definedName localSheetId="42" name="JA">#REF!</definedName>
    <definedName localSheetId="13" name="Kunci2">#REF!</definedName>
    <definedName localSheetId="15" name="he">#REF!</definedName>
    <definedName localSheetId="12" name="URAIAN7610">#REF!</definedName>
    <definedName localSheetId="21" name="_____DIV8">#REF!</definedName>
    <definedName localSheetId="11" name="FORM721">#REF!</definedName>
    <definedName localSheetId="20" name="__tl2">#REF!</definedName>
    <definedName localSheetId="32" name="Excel_BuiltIn_Print_Titles_2">#REF!</definedName>
    <definedName localSheetId="10" name="BM">#REF!</definedName>
    <definedName localSheetId="19" name="tlistrik">#REF!</definedName>
    <definedName localSheetId="33" name="R31..">#REF!</definedName>
    <definedName localSheetId="15" name="_DIV10">#REF!</definedName>
    <definedName localSheetId="21" name="R97..">#REF!</definedName>
    <definedName localSheetId="13" name="k.ddg.20.25.rmn.crk">#REF!</definedName>
    <definedName localSheetId="39" name="ubinkeramik1515">#REF!</definedName>
    <definedName name="______MMM40">#REF!</definedName>
    <definedName localSheetId="31" name="FORM79mekanis">#REF!</definedName>
    <definedName localSheetId="7" name="LemAibon">#REF!</definedName>
    <definedName localSheetId="12" name="besi10.sii">#REF!</definedName>
    <definedName localSheetId="15" name="kayukudakuda">#REF!</definedName>
    <definedName localSheetId="44" name="FORM635A">#REF!</definedName>
    <definedName localSheetId="42" name="plintubinkeramikartistik1020">#REF!</definedName>
    <definedName localSheetId="7" name="___MMM35">#REF!</definedName>
    <definedName localSheetId="6" name="waterstop230">#REF!</definedName>
    <definedName localSheetId="24" name="k.roman.40.40.polos">#REF!</definedName>
    <definedName localSheetId="10" name="URAIAN732">#REF!</definedName>
    <definedName localSheetId="17" name="pakupancing">#REF!</definedName>
    <definedName localSheetId="44" name="______MMM53">#REF!</definedName>
    <definedName localSheetId="38" name="R20..">#REF!</definedName>
    <definedName localSheetId="7" name="_____DIV4">#REF!</definedName>
    <definedName localSheetId="17" name="nokstelrata105">#REF!</definedName>
    <definedName localSheetId="9" name="split2.3">#REF!</definedName>
    <definedName localSheetId="8" name="plintubinteraluxmarmer1040">#REF!</definedName>
    <definedName localSheetId="24" name="DSSDD">#REF!</definedName>
    <definedName localSheetId="39" name="URAIAN">#REF!</definedName>
    <definedName localSheetId="6" name="jendelanako">#REF!</definedName>
    <definedName localSheetId="20" name="Analisa55">#REF!</definedName>
    <definedName localSheetId="19" name="Kekurangan">#REF!</definedName>
    <definedName localSheetId="13" name="kawatsengpolos">#REF!</definedName>
    <definedName name="ubinkeramikantislip3333">#REF!</definedName>
    <definedName localSheetId="7" name="nokpaten092">#REF!</definedName>
    <definedName localSheetId="12" name="tegelplinteraso10x30">#REF!</definedName>
    <definedName localSheetId="28" name="URAIAN7612b">#REF!</definedName>
    <definedName localSheetId="5" name="__pvc05">#REF!</definedName>
    <definedName localSheetId="40" name="keramik30x30">#REF!</definedName>
    <definedName localSheetId="18" name="___MMM03">#REF!</definedName>
    <definedName localSheetId="12" name="waterstop230">#REF!</definedName>
    <definedName localSheetId="7" name="besi13u">#REF!</definedName>
    <definedName localSheetId="42" name="wallpaper">#REF!</definedName>
    <definedName localSheetId="13" name="kawatburung">#REF!</definedName>
    <definedName localSheetId="36" name="catpenutup">#REF!</definedName>
    <definedName localSheetId="39" name="_LLL01">#REF!</definedName>
    <definedName localSheetId="15" name="FORM66PERMUKAAN">#REF!</definedName>
    <definedName localSheetId="10" name="xxxxx">#REF!</definedName>
    <definedName localSheetId="10" name="R40..">#REF!</definedName>
    <definedName localSheetId="0" name="_____DIV3">#REF!</definedName>
    <definedName localSheetId="17" name="____HAL3">#REF!</definedName>
    <definedName localSheetId="21" name="_______MMM07">#REF!</definedName>
    <definedName name="_MMM03">#REF!</definedName>
    <definedName localSheetId="5" name="penduduk">#REF!</definedName>
    <definedName localSheetId="0" name="FORM7610">#REF!</definedName>
    <definedName localSheetId="6" name="namaabsen">#REF!</definedName>
    <definedName localSheetId="10" name="ASET">#REF!</definedName>
    <definedName localSheetId="12" name="beton100kg">#REF!</definedName>
    <definedName localSheetId="0" name="ASISTEN_BIDANG_PEMERINTAHAN">#REF!</definedName>
    <definedName name="Pengadaan">#REF!</definedName>
    <definedName localSheetId="21" name="amplas">#REF!</definedName>
    <definedName localSheetId="0" name="gypsum.prf">#REF!</definedName>
    <definedName localSheetId="0" name="Status">#REF!</definedName>
    <definedName localSheetId="3" name="_______MMM27">#REF!</definedName>
    <definedName name="______MMM25">#REF!</definedName>
    <definedName localSheetId="32" name="plywood4">#REF!</definedName>
    <definedName localSheetId="30" name="FORM771a">#REF!</definedName>
    <definedName localSheetId="15" name="___HAL2">#REF!</definedName>
    <definedName name="_________MMM41">#REF!</definedName>
    <definedName localSheetId="0" name="_pvc205">#REF!</definedName>
    <definedName localSheetId="12" name="___DIV3">#REF!</definedName>
    <definedName localSheetId="33" name="_DIV10">#REF!</definedName>
    <definedName localSheetId="18" name="kolombetonpracetak">#REF!</definedName>
    <definedName localSheetId="20" name="dd">#REF!</definedName>
    <definedName localSheetId="23" name="_______MMM03">#REF!</definedName>
    <definedName localSheetId="39" name="_________HAL3">#REF!</definedName>
    <definedName localSheetId="24" name="hollowblok">#REF!</definedName>
    <definedName localSheetId="11" name="bubunganasbesnok">#REF!</definedName>
    <definedName localSheetId="18" name="btn">#REF!</definedName>
    <definedName localSheetId="23" name="kacapolos3mm">#REF!</definedName>
    <definedName localSheetId="23" name="________DIV2">#REF!</definedName>
    <definedName localSheetId="39" name="bakkontrol">#REF!</definedName>
    <definedName localSheetId="24" name="______MMM11">#REF!</definedName>
    <definedName localSheetId="3" name="kayuterentang">#REF!</definedName>
    <definedName localSheetId="6" name="plintubinteraluxmarmer1060">#REF!</definedName>
    <definedName localSheetId="44" name="vinylkaretklII">#REF!</definedName>
    <definedName localSheetId="7" name="Psr.psg">#REF!</definedName>
    <definedName localSheetId="30" name="medan5.7">#REF!</definedName>
    <definedName localSheetId="8" name="perancahkayu">#REF!</definedName>
    <definedName localSheetId="11" name="na">#REF!</definedName>
    <definedName localSheetId="25" name="_kop5">#REF!</definedName>
    <definedName localSheetId="21" name="__MMM13">#REF!</definedName>
    <definedName localSheetId="31" name="plintubinkeramikartistik1020">#REF!</definedName>
    <definedName localSheetId="17" name="washtafel">#REF!</definedName>
    <definedName localSheetId="40" name="G">#REF!</definedName>
    <definedName localSheetId="17" name="_____MMM46">#REF!</definedName>
    <definedName localSheetId="11" name="flordrain">#REF!</definedName>
    <definedName localSheetId="25" name="MATERIAL">#REF!</definedName>
    <definedName localSheetId="4" name="Pengadaan">#REF!</definedName>
    <definedName localSheetId="39" name="nokpaten105">#REF!</definedName>
    <definedName localSheetId="24" name="______MMM51">#REF!</definedName>
    <definedName localSheetId="34" name="ASISTEN_BIDANG_PEMERINTAHAN">#REF!</definedName>
    <definedName localSheetId="7" name="__LLL09">#REF!</definedName>
    <definedName localSheetId="7" name="kmp.banjar">#REF!</definedName>
    <definedName localSheetId="24" name="kusen">#REF!</definedName>
    <definedName localSheetId="17" name="_____MMM01">#REF!</definedName>
    <definedName localSheetId="23" name="bouwplnk">#REF!</definedName>
    <definedName localSheetId="33" name="akustikarmstrong">#REF!</definedName>
    <definedName localSheetId="17" name="FORM734">#REF!</definedName>
    <definedName localSheetId="34" name="_KOP7">#REF!</definedName>
    <definedName name="ubinteraso40">#REF!</definedName>
    <definedName localSheetId="25" name="klosetjongkok">#REF!</definedName>
    <definedName name="ubinteraluxmarmer40">#REF!</definedName>
    <definedName localSheetId="15" name="kayuramin">#REF!</definedName>
    <definedName localSheetId="20" name="reng">#REF!</definedName>
    <definedName localSheetId="39" name="NAMA2">#REF!</definedName>
    <definedName localSheetId="3" name="DSSDD">#REF!</definedName>
    <definedName localSheetId="17" name="____MMM26">#REF!</definedName>
    <definedName localSheetId="11" name="spirtus">#REF!</definedName>
    <definedName localSheetId="20" name="kacacermin6">#REF!</definedName>
    <definedName localSheetId="17" name="_______HAL1">#REF!</definedName>
    <definedName localSheetId="23" name="water.prof">#REF!</definedName>
    <definedName localSheetId="24" name="________MMM08">#REF!</definedName>
    <definedName localSheetId="42" name="URAIAN611">#REF!</definedName>
    <definedName localSheetId="21" name="FORM731">#REF!</definedName>
    <definedName localSheetId="40" name="plastikaerator">#REF!</definedName>
    <definedName localSheetId="23" name="URAIAN612">#REF!</definedName>
    <definedName localSheetId="28" name="namaabsen">#REF!</definedName>
    <definedName localSheetId="41" name="sis">#REF!</definedName>
    <definedName localSheetId="39" name="_______DIV10">#REF!</definedName>
    <definedName localSheetId="23" name="SPJ">#REF!</definedName>
    <definedName localSheetId="8" name="___DIV3">#REF!</definedName>
    <definedName localSheetId="10" name="_818PK">#REF!</definedName>
    <definedName localSheetId="20" name="URAIAN7610">#REF!</definedName>
    <definedName localSheetId="8" name="FORM66PERMUKAAN">#REF!</definedName>
    <definedName localSheetId="24" name="_____DIV1">#REF!</definedName>
    <definedName localSheetId="4" name="b.belah">#REF!</definedName>
    <definedName localSheetId="6" name="papanII">#REF!</definedName>
    <definedName localSheetId="27" name="seng25">#REF!</definedName>
    <definedName localSheetId="24" name="________MMM43">#REF!</definedName>
    <definedName localSheetId="30" name="URAIAN22E">#REF!</definedName>
    <definedName localSheetId="33" name="jamtandem">#REF!</definedName>
    <definedName localSheetId="36" name="nmdaerah">#REF!</definedName>
    <definedName localSheetId="3" name="Excel_BuiltIn_Print_Titles_3">#REF!</definedName>
    <definedName name="__DIV5">#REF!</definedName>
    <definedName localSheetId="13" name="kran.ddg">#REF!</definedName>
    <definedName localSheetId="4" name="pintualuminium">#REF!</definedName>
    <definedName localSheetId="6" name="kaca5">#REF!</definedName>
    <definedName localSheetId="40" name="bubungangentengkodok">#REF!</definedName>
    <definedName localSheetId="24" name="_________MMM10">#REF!</definedName>
    <definedName localSheetId="21" name="_____MMM02">#REF!</definedName>
    <definedName localSheetId="4" name="teakwood4mm">#REF!</definedName>
    <definedName localSheetId="3" name="______HAL4">#REF!</definedName>
    <definedName localSheetId="19" name="ubinteraso30">#REF!</definedName>
    <definedName localSheetId="27" name="batuteraso">#REF!</definedName>
    <definedName localSheetId="24" name="tegelporselen">#REF!</definedName>
    <definedName localSheetId="36" name="gentengaspal">#REF!</definedName>
    <definedName localSheetId="32" name="kunci1slag">#REF!</definedName>
    <definedName localSheetId="15" name="R10..">#REF!</definedName>
    <definedName localSheetId="33" name="karpetwooldannilon">#REF!</definedName>
    <definedName localSheetId="34" name="Nokmetal3mm">#REF!</definedName>
    <definedName localSheetId="44" name="des">#REF!</definedName>
    <definedName localSheetId="27" name="UPAH">#REF!</definedName>
    <definedName localSheetId="10" name="oemar">#REF!</definedName>
    <definedName localSheetId="24" name="R23..">#REF!</definedName>
    <definedName localSheetId="11" name="BPS">#REF!</definedName>
    <definedName name="Papanbouplank">#REF!</definedName>
    <definedName localSheetId="28" name="____DIV3">#REF!</definedName>
    <definedName localSheetId="44" name="hollowblok">#REF!</definedName>
    <definedName localSheetId="31" name="tegelporselen">#REF!</definedName>
    <definedName localSheetId="20" name="_________MMM03">#REF!</definedName>
    <definedName localSheetId="30" name="__MMM02">#REF!</definedName>
    <definedName name="_________MMM29">#REF!</definedName>
    <definedName localSheetId="18" name="R6..">#REF!</definedName>
    <definedName localSheetId="38" name="____HAL1">#REF!</definedName>
    <definedName localSheetId="8" name="gabin_al">#REF!</definedName>
    <definedName localSheetId="5" name="__MMM03">#REF!</definedName>
    <definedName localSheetId="17" name="R76..">#REF!</definedName>
    <definedName localSheetId="24" name="___MMM39">#REF!</definedName>
    <definedName localSheetId="8" name="nokpaten092">#REF!</definedName>
    <definedName localSheetId="27" name="kayukelas2">#REF!</definedName>
    <definedName localSheetId="39" name="__pvc205">#REF!</definedName>
    <definedName localSheetId="31" name="Analisa55">#REF!</definedName>
    <definedName localSheetId="24" name="R97..">#REF!</definedName>
    <definedName localSheetId="17" name="list">#REF!</definedName>
    <definedName localSheetId="24" name="kuncitanam">#REF!</definedName>
    <definedName localSheetId="40" name="kali">#REF!</definedName>
    <definedName localSheetId="6" name="R50..">#REF!</definedName>
    <definedName localSheetId="7" name="____DIV9">#REF!</definedName>
    <definedName localSheetId="44" name="R48..">#REF!</definedName>
    <definedName localSheetId="18" name="Excel_BuiltIn_Print_Area_10">#REF!</definedName>
    <definedName localSheetId="21" name="metal">#REF!</definedName>
    <definedName localSheetId="11" name="_______DIV1">#REF!</definedName>
    <definedName localSheetId="38" name="BAHU">#REF!</definedName>
    <definedName localSheetId="30" name="paku5.7.10">#REF!</definedName>
    <definedName localSheetId="5" name="stairnzing">#REF!</definedName>
    <definedName localSheetId="0" name="Uraian842">#REF!</definedName>
    <definedName name="Analisa70614">#REF!</definedName>
    <definedName localSheetId="17" name="k.40.40.roman.crk">#REF!</definedName>
    <definedName localSheetId="24" name="plesteran13">#REF!</definedName>
    <definedName localSheetId="34" name="pipabeton">#REF!</definedName>
    <definedName localSheetId="3" name="nokstelrata092">#REF!</definedName>
    <definedName localSheetId="18" name="_MMM01">#REF!</definedName>
    <definedName localSheetId="36" name="kayuborneo">#REF!</definedName>
    <definedName localSheetId="13" name="TANAH">#REF!</definedName>
    <definedName localSheetId="4" name="FRRDS">#REF!</definedName>
    <definedName localSheetId="7" name="____MMM02">#REF!</definedName>
    <definedName localSheetId="39" name="Skrup">#REF!</definedName>
    <definedName localSheetId="5" name="KERAMIK30">#REF!</definedName>
    <definedName localSheetId="36" name="___HAL2">#REF!</definedName>
    <definedName localSheetId="24" name="k.rmn.30.30.crk">#REF!</definedName>
    <definedName localSheetId="8" name="d">#REF!</definedName>
    <definedName localSheetId="12" name="______HAL2">#REF!</definedName>
    <definedName localSheetId="8" name="Kunci1">#REF!</definedName>
    <definedName localSheetId="36" name="badkip">#REF!</definedName>
    <definedName localSheetId="7" name="R50..">#REF!</definedName>
    <definedName localSheetId="19" name="BAJA">#REF!</definedName>
    <definedName localSheetId="21" name="minyaksolar">#REF!</definedName>
    <definedName localSheetId="3" name="k.tukang">#REF!</definedName>
    <definedName name="doorstop">#REF!</definedName>
    <definedName name="Kunci1">#REF!</definedName>
    <definedName localSheetId="7" name="tegel20">#REF!</definedName>
    <definedName localSheetId="0" name="kuncisilinder">#REF!</definedName>
    <definedName localSheetId="19" name="R30..">#REF!</definedName>
    <definedName localSheetId="24" name="_MMM04">#REF!</definedName>
    <definedName localSheetId="40" name="sodaapi">#REF!</definedName>
    <definedName localSheetId="25" name="sengbjls25">#REF!</definedName>
    <definedName localSheetId="17" name="plamur.matex">#REF!</definedName>
    <definedName localSheetId="31" name="___HAL2">#REF!</definedName>
    <definedName localSheetId="30" name="w.stain">#REF!</definedName>
    <definedName localSheetId="17" name="___MMM20">#REF!</definedName>
    <definedName localSheetId="7" name="R27..">#REF!</definedName>
    <definedName name="FORM771c">#REF!</definedName>
    <definedName localSheetId="27" name="_______MMM01">#REF!</definedName>
    <definedName localSheetId="42" name="stairnzing">#REF!</definedName>
    <definedName localSheetId="31" name="FORM7612b">#REF!</definedName>
    <definedName localSheetId="8" name="penduduk">#REF!</definedName>
    <definedName name="__MMM02">#REF!</definedName>
    <definedName localSheetId="9" name="___DIV3">#REF!</definedName>
    <definedName localSheetId="27" name="plastikaerator">#REF!</definedName>
    <definedName localSheetId="5" name="DUDI">#REF!</definedName>
    <definedName localSheetId="31" name="_DIV3">#REF!</definedName>
    <definedName localSheetId="19" name="u">#REF!</definedName>
    <definedName localSheetId="7" name="na">#REF!</definedName>
    <definedName localSheetId="32" name="Kekurangan">#REF!</definedName>
    <definedName localSheetId="25" name="ASISTEN_BIDANG_PEMERINTAHAN">#REF!</definedName>
    <definedName localSheetId="9" name="tl2x40">#REF!</definedName>
    <definedName localSheetId="15" name="FORM745">#REF!</definedName>
    <definedName localSheetId="28" name="R40..">#REF!</definedName>
    <definedName localSheetId="42" name="URAIAN">#REF!</definedName>
    <definedName localSheetId="44" name="FORM7612a">#REF!</definedName>
    <definedName localSheetId="21" name="_MMM49">#REF!</definedName>
    <definedName localSheetId="42" name="nokgentengaspal">#REF!</definedName>
    <definedName localSheetId="42" name="paku5.7.10">#REF!</definedName>
    <definedName localSheetId="9" name="ttnh">#REF!</definedName>
    <definedName localSheetId="34" name="pakuhalus">#REF!</definedName>
    <definedName localSheetId="3" name="_______MMM20">#REF!</definedName>
    <definedName localSheetId="38" name="bubungangentengbeton">#REF!</definedName>
    <definedName localSheetId="42" name="sementahanasam">#REF!</definedName>
    <definedName localSheetId="31" name="SEKRETARIAT_DPRD">#REF!</definedName>
    <definedName localSheetId="15" name="_________HAL2">#REF!</definedName>
    <definedName localSheetId="17" name="_________LLL05">#REF!</definedName>
    <definedName localSheetId="28" name="FORM7613a">#REF!</definedName>
    <definedName localSheetId="0" name="kalkarium">#REF!</definedName>
    <definedName localSheetId="27" name="drkeet">#REF!</definedName>
    <definedName localSheetId="25" name="Kekurangan">#REF!</definedName>
    <definedName localSheetId="7" name="FORM323L">#REF!</definedName>
    <definedName localSheetId="7" name="__LLL10">#REF!</definedName>
    <definedName localSheetId="3" name="_______DIV3">#REF!</definedName>
    <definedName localSheetId="34" name="FORM731">#REF!</definedName>
    <definedName localSheetId="19" name="R5..">#REF!</definedName>
    <definedName localSheetId="11" name="y">#REF!</definedName>
    <definedName localSheetId="7" name="tanggal">#REF!</definedName>
    <definedName localSheetId="28" name="tlistrik">#REF!</definedName>
    <definedName localSheetId="44" name="________MMM42">#REF!</definedName>
    <definedName localSheetId="5" name="G.Kramik">#REF!</definedName>
    <definedName localSheetId="9" name="URAIANLatasirK">#REF!</definedName>
    <definedName localSheetId="30" name="_____DIV1">#REF!</definedName>
    <definedName localSheetId="32" name="catpenutup2kali">#REF!</definedName>
    <definedName localSheetId="32" name="FORM745">#REF!</definedName>
    <definedName localSheetId="3" name="R47..">#REF!</definedName>
    <definedName localSheetId="34" name="asbesgelombnang">#REF!</definedName>
    <definedName localSheetId="3" name="_______MMM14">#REF!</definedName>
    <definedName name="_________LLL06">#REF!</definedName>
    <definedName localSheetId="32" name="ngsel4">#REF!</definedName>
    <definedName localSheetId="7" name="__HAL7">#REF!</definedName>
    <definedName localSheetId="21" name="FORM772a">#REF!</definedName>
    <definedName localSheetId="32" name="_HAL1">#REF!</definedName>
    <definedName localSheetId="17" name="_MMM35">#REF!</definedName>
    <definedName localSheetId="30" name="Pengadaan">#REF!</definedName>
    <definedName localSheetId="5" name="FORMLatasirKL">#REF!</definedName>
    <definedName localSheetId="39" name="sealer">#REF!</definedName>
    <definedName localSheetId="44" name="besi19u">#REF!</definedName>
    <definedName localSheetId="41" name="__DIV2">#REF!</definedName>
    <definedName localSheetId="42" name="G.Kramik">#REF!</definedName>
    <definedName localSheetId="17" name="________MMM33">#REF!</definedName>
    <definedName localSheetId="20" name="tegel20">#REF!</definedName>
    <definedName localSheetId="10" name="bubungangentengbesar">#REF!</definedName>
    <definedName localSheetId="33" name="FORMLatasirK">#REF!</definedName>
    <definedName localSheetId="0" name="_____HAL2">#REF!</definedName>
    <definedName localSheetId="28" name="Closet.ddk">#REF!</definedName>
    <definedName localSheetId="19" name="cv">#REF!</definedName>
    <definedName localSheetId="12" name="cendana">#REF!</definedName>
    <definedName localSheetId="13" name="ubinteraso30">#REF!</definedName>
    <definedName localSheetId="18" name="MAI">#REF!</definedName>
    <definedName localSheetId="23" name="___DIV4">#REF!</definedName>
    <definedName localSheetId="10" name="__MMM02">#REF!</definedName>
    <definedName localSheetId="7" name="______MMM40">#REF!</definedName>
    <definedName localSheetId="12" name="plintubinteraluxkerang1040">#REF!</definedName>
    <definedName localSheetId="20" name="STRUKTUR">#REF!</definedName>
    <definedName localSheetId="11" name="FORM7614b">#REF!</definedName>
    <definedName localSheetId="44" name="R97..">#REF!</definedName>
    <definedName localSheetId="3" name="data2">#REF!</definedName>
    <definedName localSheetId="36" name="plintkeramikartistik1020">#REF!</definedName>
    <definedName localSheetId="27" name="yyyyyyy">#REF!</definedName>
    <definedName localSheetId="8" name="SPJa">#REF!</definedName>
    <definedName localSheetId="21" name="MOBILISASI">#REF!</definedName>
    <definedName localSheetId="21" name="profilalumuniumT">#REF!</definedName>
    <definedName localSheetId="23" name="papanbulian">#REF!</definedName>
    <definedName localSheetId="25" name="_HAL1">#REF!</definedName>
    <definedName localSheetId="27" name="DSSDD">#REF!</definedName>
    <definedName localSheetId="6" name="alangalang">#REF!</definedName>
    <definedName localSheetId="3" name="alangalang">#REF!</definedName>
    <definedName localSheetId="15" name="FORM7612a">#REF!</definedName>
    <definedName localSheetId="9" name="sengplatbjls28">#REF!</definedName>
    <definedName localSheetId="38" name="papanII">#REF!</definedName>
    <definedName localSheetId="3" name="B.Jambi">#REF!</definedName>
    <definedName localSheetId="36" name="____DIV1">#REF!</definedName>
    <definedName localSheetId="20" name="R21..">#REF!</definedName>
    <definedName localSheetId="41" name="pakubiasa">#REF!</definedName>
    <definedName localSheetId="33" name="asbesgelombang">#REF!</definedName>
    <definedName localSheetId="44" name="pvc1.2.wav.aw">#REF!</definedName>
    <definedName localSheetId="19" name="pakuhalus">#REF!</definedName>
    <definedName name="rollingdoor">#REF!</definedName>
    <definedName localSheetId="30" name="u.besi">#REF!</definedName>
    <definedName localSheetId="13" name="_________DIV10">#REF!</definedName>
    <definedName localSheetId="39" name="besipresstressedpolos">#REF!</definedName>
    <definedName localSheetId="19" name="LAP">#REF!</definedName>
    <definedName localSheetId="15" name="xxxxx">#REF!</definedName>
    <definedName localSheetId="21" name="asbesgelombnang">#REF!</definedName>
    <definedName localSheetId="38" name="FORM771a">#REF!</definedName>
    <definedName localSheetId="15" name="kaca3">#REF!</definedName>
    <definedName localSheetId="41" name="FORM612">#REF!</definedName>
    <definedName localSheetId="34" name="___DIV10">#REF!</definedName>
    <definedName name="_____MMM411">#REF!</definedName>
    <definedName localSheetId="20" name="gypsum.prf">#REF!</definedName>
    <definedName localSheetId="30" name="_______MMM02">#REF!</definedName>
    <definedName localSheetId="19" name="FORM7614b">#REF!</definedName>
    <definedName localSheetId="12" name="plintubinteraso1030">#REF!</definedName>
    <definedName localSheetId="7" name="beton175R">#REF!</definedName>
    <definedName localSheetId="38" name="_______MMM02">#REF!</definedName>
    <definedName localSheetId="33" name="aaaa">#REF!</definedName>
    <definedName localSheetId="5" name="URAIANLatasirK">#REF!</definedName>
    <definedName localSheetId="15" name="hollowblok">#REF!</definedName>
    <definedName localSheetId="19" name="______HAL1">#REF!</definedName>
    <definedName localSheetId="33" name="pakubulian">#REF!</definedName>
    <definedName localSheetId="30" name="medan3.4">#REF!</definedName>
    <definedName localSheetId="25" name="PT">#REF!</definedName>
    <definedName localSheetId="20" name="FORM731">#REF!</definedName>
    <definedName name="___MMM47">#REF!</definedName>
    <definedName localSheetId="8" name="______DIV4">#REF!</definedName>
    <definedName localSheetId="27" name="plamur.matex">#REF!</definedName>
    <definedName localSheetId="12" name="plintkeramikartistik1010">#REF!</definedName>
    <definedName localSheetId="7" name="URAIAN98">#REF!</definedName>
    <definedName localSheetId="30" name="c.mowi.luar">#REF!</definedName>
    <definedName localSheetId="7" name="___HAL5">#REF!</definedName>
    <definedName localSheetId="0" name="plintkeramikartistik1020">#REF!</definedName>
    <definedName localSheetId="28" name="FORM7613b">#REF!</definedName>
    <definedName localSheetId="41" name="Batupuru">#REF!</definedName>
    <definedName localSheetId="3" name="______MMM41">#REF!</definedName>
    <definedName localSheetId="23" name="DUDI">#REF!</definedName>
    <definedName localSheetId="7" name="Uraian846">#REF!</definedName>
    <definedName localSheetId="24" name="bubunganstelgelombang092">#REF!</definedName>
    <definedName localSheetId="34" name="tm_2415921492">#REF!</definedName>
    <definedName localSheetId="21" name="R108..">#REF!</definedName>
    <definedName localSheetId="24" name="_MMM45">#REF!</definedName>
    <definedName localSheetId="17" name="sis">#REF!</definedName>
    <definedName localSheetId="38" name="Faktor">#REF!</definedName>
    <definedName localSheetId="40" name="aaaaa">#REF!</definedName>
    <definedName localSheetId="6" name="RINCIANSEWA2">#REF!</definedName>
    <definedName localSheetId="17" name="R95..">#REF!</definedName>
    <definedName localSheetId="38" name="f">#REF!</definedName>
    <definedName localSheetId="24" name="___DIV3">#REF!</definedName>
    <definedName localSheetId="33" name="_DIV1">#REF!</definedName>
    <definedName localSheetId="18" name="URAIAN79manual">#REF!</definedName>
    <definedName localSheetId="17" name="R65..">#REF!</definedName>
    <definedName localSheetId="31" name="AGREGAT">#REF!</definedName>
    <definedName localSheetId="38" name="sirap">#REF!</definedName>
    <definedName localSheetId="40" name="kawatharmonika">#REF!</definedName>
    <definedName localSheetId="23" name="perancahkayu">#REF!</definedName>
    <definedName localSheetId="3" name="_LLL11">#REF!</definedName>
    <definedName localSheetId="7" name="_______MMM43">#REF!</definedName>
    <definedName localSheetId="3" name="FORM745">#REF!</definedName>
    <definedName localSheetId="41" name="BAHU">#REF!</definedName>
    <definedName localSheetId="9" name="sengbjls25">#REF!</definedName>
    <definedName localSheetId="3" name="residu">#REF!</definedName>
    <definedName localSheetId="20" name="menibesi">#REF!</definedName>
    <definedName localSheetId="7" name="_____MMM42">#REF!</definedName>
    <definedName localSheetId="6" name="t.sabun">#REF!</definedName>
    <definedName localSheetId="36" name="_________HAL1">#REF!</definedName>
    <definedName localSheetId="4" name="dd">#REF!</definedName>
    <definedName localSheetId="19" name="FORM611">#REF!</definedName>
    <definedName localSheetId="30" name="________HAL2">#REF!</definedName>
    <definedName localSheetId="12" name="pindahan">#REF!</definedName>
    <definedName localSheetId="17" name="ASPAL">#REF!</definedName>
    <definedName localSheetId="20" name="besijaringkawatbaja">#REF!</definedName>
    <definedName localSheetId="21" name="__LLL11">#REF!</definedName>
    <definedName localSheetId="5" name="_________MMM01">#REF!</definedName>
    <definedName localSheetId="3" name="________MMM07">#REF!</definedName>
    <definedName localSheetId="44" name="ubinwarna20">#REF!</definedName>
    <definedName localSheetId="17" name="_____MMM21">#REF!</definedName>
    <definedName localSheetId="32" name="water.prof">#REF!</definedName>
    <definedName localSheetId="17" name="____MMM33">#REF!</definedName>
    <definedName localSheetId="32" name="URAIAN7612a">#REF!</definedName>
    <definedName localSheetId="6" name="_PC50">#REF!</definedName>
    <definedName localSheetId="15" name="terasocor">#REF!</definedName>
    <definedName localSheetId="21" name="___DIV7">#REF!</definedName>
    <definedName localSheetId="23" name="_HAL5">#REF!</definedName>
    <definedName localSheetId="21" name="rollingdoor">#REF!</definedName>
    <definedName localSheetId="11" name="relpintudorong">#REF!</definedName>
    <definedName name="____MMM36">#REF!</definedName>
    <definedName name="B.Aparatur">#REF!</definedName>
    <definedName localSheetId="44" name="_________MMM20">#REF!</definedName>
    <definedName localSheetId="20" name="pintugulungbesi">#REF!</definedName>
    <definedName localSheetId="27" name="kayualbasiah">#REF!</definedName>
    <definedName localSheetId="0" name="lemvinyl">#REF!</definedName>
    <definedName localSheetId="32" name="pipabeton">#REF!</definedName>
    <definedName localSheetId="6" name="pijar15">#REF!</definedName>
    <definedName localSheetId="42" name="kategori">#REF!</definedName>
    <definedName name="_____MMM01">#REF!</definedName>
    <definedName name="_MMM01">#REF!</definedName>
    <definedName localSheetId="19" name="pengencer">#REF!</definedName>
    <definedName localSheetId="39" name="Analisa512">#REF!</definedName>
    <definedName name="_MMM19">#REF!</definedName>
    <definedName localSheetId="20" name="plywood4mm">#REF!</definedName>
    <definedName localSheetId="7" name="FORM642">#REF!</definedName>
    <definedName localSheetId="24" name="R8..">#REF!</definedName>
    <definedName localSheetId="21" name="ubinteraluxmarmer30">#REF!</definedName>
    <definedName localSheetId="23" name="Psr.psg">#REF!</definedName>
    <definedName localSheetId="21" name="FORM7610">#REF!</definedName>
    <definedName localSheetId="36" name="plywood6mm">#REF!</definedName>
    <definedName localSheetId="7" name="R91..">#REF!</definedName>
    <definedName localSheetId="24" name="___MMM44">#REF!</definedName>
    <definedName localSheetId="44" name="beton250r">#REF!</definedName>
    <definedName localSheetId="17" name="_MMM45">#REF!</definedName>
    <definedName localSheetId="9" name="lp">#REF!</definedName>
    <definedName localSheetId="36" name="cghj">#REF!</definedName>
    <definedName localSheetId="19" name="tempatcucipiring">#REF!</definedName>
    <definedName localSheetId="7" name="_____MMM06">#REF!</definedName>
    <definedName localSheetId="21" name="URAIAN97">#REF!</definedName>
    <definedName name="___DIV4">#REF!</definedName>
    <definedName localSheetId="24" name="___MMM36">#REF!</definedName>
    <definedName localSheetId="44" name="______MMM12">#REF!</definedName>
    <definedName localSheetId="5" name="_LLL02">#REF!</definedName>
    <definedName localSheetId="39" name="koralbeton">#REF!</definedName>
    <definedName localSheetId="19" name="kaca8">#REF!</definedName>
    <definedName localSheetId="18" name="BPS">#REF!</definedName>
    <definedName name="gali">#REF!</definedName>
    <definedName localSheetId="24" name="________DIV4">#REF!</definedName>
    <definedName name="SPJ">#REF!</definedName>
    <definedName localSheetId="33" name="bilikbambu">#REF!</definedName>
    <definedName localSheetId="36" name="dua">#REF!</definedName>
    <definedName localSheetId="6" name="bubungangentengbesar">#REF!</definedName>
    <definedName localSheetId="20" name="URAIAN">#REF!</definedName>
    <definedName localSheetId="40" name="jendelanako">#REF!</definedName>
    <definedName localSheetId="24" name="ubinkeramikartistik1010">#REF!</definedName>
    <definedName localSheetId="24" name="_MMM41">#REF!</definedName>
    <definedName localSheetId="0" name="_______HAL3">#REF!</definedName>
    <definedName localSheetId="38" name="batupecah">#REF!</definedName>
    <definedName localSheetId="3" name="KT">#REF!</definedName>
    <definedName localSheetId="4" name="platasbes35mm">#REF!</definedName>
    <definedName localSheetId="25" name="plintubinteraso1030">#REF!</definedName>
    <definedName localSheetId="25" name="Uraian8410">#REF!</definedName>
    <definedName name="__LLL09">#REF!</definedName>
    <definedName localSheetId="15" name="AAAAAAA">#REF!</definedName>
    <definedName localSheetId="36" name="______MMM01">#REF!</definedName>
    <definedName localSheetId="21" name="_________MMM12">#REF!</definedName>
    <definedName localSheetId="3" name="________MMM17">#REF!</definedName>
    <definedName localSheetId="12" name="________HAL1">#REF!</definedName>
    <definedName localSheetId="30" name="Jendelabesibaja">#REF!</definedName>
    <definedName localSheetId="21" name="_MMM48">#REF!</definedName>
    <definedName localSheetId="23" name="kmp.banjar">#REF!</definedName>
    <definedName localSheetId="20" name="semen50">#REF!</definedName>
    <definedName localSheetId="33" name="R6..">#REF!</definedName>
    <definedName localSheetId="5" name="______DIV4">#REF!</definedName>
    <definedName localSheetId="36" name="pa">#REF!</definedName>
    <definedName localSheetId="20" name="plintubinteraso1030">#REF!</definedName>
    <definedName localSheetId="11" name="_____MMM02">#REF!</definedName>
    <definedName localSheetId="7" name="____DIV5">#REF!</definedName>
    <definedName localSheetId="15" name="pp">#REF!</definedName>
    <definedName localSheetId="38" name="URAIAN731">#REF!</definedName>
    <definedName localSheetId="32" name="tegelporselen10x20warna">#REF!</definedName>
    <definedName name="R73..">#REF!</definedName>
    <definedName localSheetId="23" name="p.triplek">#REF!</definedName>
    <definedName name="roll">#REF!</definedName>
    <definedName localSheetId="7" name="R107..">#REF!</definedName>
    <definedName localSheetId="19" name="profilalumuniumT">#REF!</definedName>
    <definedName localSheetId="0" name="kayukruing">#REF!</definedName>
    <definedName localSheetId="3" name="k.rmmn.30.30.pls">#REF!</definedName>
    <definedName localSheetId="17" name="_PC50">#REF!</definedName>
    <definedName localSheetId="44" name="URAIAN621">#REF!</definedName>
    <definedName localSheetId="24" name="sealtape">#REF!</definedName>
    <definedName localSheetId="10" name="nmdaerah">#REF!</definedName>
    <definedName localSheetId="18" name="kmp.banjar">#REF!</definedName>
    <definedName localSheetId="33" name="pa">#REF!</definedName>
    <definedName localSheetId="30" name="papan.m.3.20">#REF!</definedName>
    <definedName localSheetId="30" name="hd">#REF!</definedName>
    <definedName localSheetId="23" name="_________DIV10">#REF!</definedName>
    <definedName localSheetId="10" name="batuporos">#REF!</definedName>
    <definedName localSheetId="28" name="papan.m.3.20">#REF!</definedName>
    <definedName localSheetId="15" name="kacapolos3mm">#REF!</definedName>
    <definedName localSheetId="7" name="_KOP7">#REF!</definedName>
    <definedName localSheetId="13" name="__Tl1">#REF!</definedName>
    <definedName name="kayumarsawa">#REF!</definedName>
    <definedName localSheetId="44" name="_______MMM16">#REF!</definedName>
    <definedName localSheetId="27" name="______MMM03">#REF!</definedName>
    <definedName localSheetId="33" name="___DIV2">#REF!</definedName>
    <definedName localSheetId="21" name="sengbjls25">#REF!</definedName>
    <definedName localSheetId="10" name="kacacermin8">#REF!</definedName>
    <definedName localSheetId="19" name="menibesi">#REF!</definedName>
    <definedName localSheetId="36" name="asbesgelombnang">#REF!</definedName>
    <definedName localSheetId="18" name="URAIAN745">#REF!</definedName>
    <definedName localSheetId="21" name="pa">#REF!</definedName>
    <definedName localSheetId="13" name="Skrup">#REF!</definedName>
    <definedName localSheetId="5" name="DFFFGGG">#REF!</definedName>
    <definedName localSheetId="0" name="xxxxx">#REF!</definedName>
    <definedName localSheetId="17" name="______HAL8">#REF!</definedName>
    <definedName localSheetId="41" name="R50..">#REF!</definedName>
    <definedName localSheetId="27" name="FORM632">#REF!</definedName>
    <definedName localSheetId="32" name="pipagalvanis">#REF!</definedName>
    <definedName localSheetId="36" name="batupecah">#REF!</definedName>
    <definedName localSheetId="44" name="_______HAL6">#REF!</definedName>
    <definedName localSheetId="24" name="____LLL02">#REF!</definedName>
    <definedName localSheetId="24" name="_____HAL8">#REF!</definedName>
    <definedName localSheetId="9" name="Nok">#REF!</definedName>
    <definedName localSheetId="39" name="batuteraso">#REF!</definedName>
    <definedName localSheetId="24" name="PT">#REF!</definedName>
    <definedName localSheetId="39" name="bubungangentengbesar">#REF!</definedName>
    <definedName localSheetId="3" name="kunci1slag">#REF!</definedName>
    <definedName localSheetId="0" name="sssssss">#REF!</definedName>
    <definedName localSheetId="15" name="Closet.c420">#REF!</definedName>
    <definedName localSheetId="24" name="_LLL02">#REF!</definedName>
    <definedName localSheetId="24" name="Excel_BuiltIn_Print_Area_1">#REF!</definedName>
    <definedName localSheetId="9" name="papanjelutung">#REF!</definedName>
    <definedName localSheetId="21" name="_____LLL08">#REF!</definedName>
    <definedName localSheetId="24" name="______DIV4">#REF!</definedName>
    <definedName localSheetId="28" name="________MMM01">#REF!</definedName>
    <definedName localSheetId="31" name="ts">#REF!</definedName>
    <definedName localSheetId="39" name="_pp1">#REF!</definedName>
    <definedName localSheetId="15" name="sunloid">#REF!</definedName>
    <definedName localSheetId="24" name="___MMM46">#REF!</definedName>
    <definedName localSheetId="9" name="ubingranito30">#REF!</definedName>
    <definedName localSheetId="7" name="_MMM28">#REF!</definedName>
    <definedName name="coveartistik">#REF!</definedName>
    <definedName localSheetId="33" name="pintubesibaja">#REF!</definedName>
    <definedName localSheetId="21" name="________HAL1">#REF!</definedName>
    <definedName localSheetId="40" name="DFFFGGG">#REF!</definedName>
    <definedName localSheetId="27" name="asbesgelombnang">#REF!</definedName>
    <definedName localSheetId="33" name="JA">#REF!</definedName>
    <definedName localSheetId="6" name="tbkr">#REF!</definedName>
    <definedName localSheetId="18" name="borneo5.7">#REF!</definedName>
    <definedName localSheetId="38" name="sengbjls25">#REF!</definedName>
    <definedName localSheetId="12" name="catpenutup">#REF!</definedName>
    <definedName localSheetId="32" name="urugan">#REF!</definedName>
    <definedName localSheetId="15" name="pagarseng2m">#REF!</definedName>
    <definedName localSheetId="21" name="G.Kramik">#REF!</definedName>
    <definedName localSheetId="11" name="_______HAL3">#REF!</definedName>
    <definedName localSheetId="4" name="mowi.ws">#REF!</definedName>
    <definedName localSheetId="31" name="FORM8410">#REF!</definedName>
    <definedName name="Excel_BuiltIn_Print_Area_10">#REF!</definedName>
    <definedName localSheetId="40" name="FRRDS">#REF!</definedName>
    <definedName name="______MMM43">#REF!</definedName>
    <definedName localSheetId="23" name="__Tl1">#REF!</definedName>
    <definedName localSheetId="32" name="FORM66PERMUKAAN">#REF!</definedName>
    <definedName localSheetId="9" name="plintubinteraluxmarmer1030">#REF!</definedName>
    <definedName localSheetId="15" name="URAIAN731">#REF!</definedName>
    <definedName localSheetId="30" name="KunciPintu">#REF!</definedName>
    <definedName localSheetId="44" name="_____DIV9">#REF!</definedName>
    <definedName localSheetId="44" name="catpenutup2kali">#REF!</definedName>
    <definedName localSheetId="13" name="vinylkaretklII">#REF!</definedName>
    <definedName localSheetId="17" name="___MMM29">#REF!</definedName>
    <definedName localSheetId="27" name="Closet.ddk">#REF!</definedName>
    <definedName localSheetId="23" name="R21..">#REF!</definedName>
    <definedName localSheetId="7" name="bondbeam">#REF!</definedName>
    <definedName localSheetId="3" name="___DIV1">#REF!</definedName>
    <definedName localSheetId="10" name="bbm">#REF!</definedName>
    <definedName name="___LLL10">#REF!</definedName>
    <definedName localSheetId="13" name="bubunganasbesgelombang">#REF!</definedName>
    <definedName localSheetId="41" name="__LLL03">#REF!</definedName>
    <definedName localSheetId="36" name="_DIV4">#REF!</definedName>
    <definedName localSheetId="24" name="_________LLL09">#REF!</definedName>
    <definedName localSheetId="31" name="_____MMM01">#REF!</definedName>
    <definedName localSheetId="31" name="paving">#REF!</definedName>
    <definedName localSheetId="4" name="menibesi">#REF!</definedName>
    <definedName localSheetId="23" name="FORM771c">#REF!</definedName>
    <definedName localSheetId="25" name="P">#REF!</definedName>
    <definedName localSheetId="17" name="URAIAN22E">#REF!</definedName>
    <definedName localSheetId="7" name="closedjongkok">#REF!</definedName>
    <definedName localSheetId="3" name="______DIV3">#REF!</definedName>
    <definedName localSheetId="24" name="URAIAN641L">#REF!</definedName>
    <definedName localSheetId="7" name="_MMM07">#REF!</definedName>
    <definedName localSheetId="19" name="catpenutup2kali">#REF!</definedName>
    <definedName localSheetId="33" name="Skrup">#REF!</definedName>
    <definedName localSheetId="24" name="__MMM01">#REF!</definedName>
    <definedName localSheetId="39" name="ramset">#REF!</definedName>
    <definedName localSheetId="3" name="________MMM20">#REF!</definedName>
    <definedName localSheetId="23" name="pasirpas">#REF!</definedName>
    <definedName localSheetId="44" name="_______MMM19">#REF!</definedName>
    <definedName localSheetId="15" name="papanbulian">#REF!</definedName>
    <definedName localSheetId="8" name="pakubulian">#REF!</definedName>
    <definedName localSheetId="6" name="kayuborneo">#REF!</definedName>
    <definedName localSheetId="30" name="Analisa55">#REF!</definedName>
    <definedName localSheetId="38" name="_LLL01">#REF!</definedName>
    <definedName localSheetId="32" name="_____DIV10">#REF!</definedName>
    <definedName localSheetId="8" name="na">#REF!</definedName>
    <definedName localSheetId="17" name="_____HAL7">#REF!</definedName>
    <definedName localSheetId="19" name="R51..">#REF!</definedName>
    <definedName localSheetId="27" name="Nok">#REF!</definedName>
    <definedName localSheetId="33" name="________HAL1">#REF!</definedName>
    <definedName localSheetId="3" name="Jasa">#REF!</definedName>
    <definedName localSheetId="3" name="medan8.15">#REF!</definedName>
    <definedName localSheetId="0" name="R21..">#REF!</definedName>
    <definedName localSheetId="15" name="_________MMM02">#REF!</definedName>
    <definedName localSheetId="20" name="plintubinwarna1040">#REF!</definedName>
    <definedName localSheetId="44" name="_____MMM54">#REF!</definedName>
    <definedName localSheetId="24" name="kaca12">#REF!</definedName>
    <definedName localSheetId="18" name="pa">#REF!</definedName>
    <definedName localSheetId="33" name="tegelplinpc10x20">#REF!</definedName>
    <definedName localSheetId="34" name="lb">#REF!</definedName>
    <definedName localSheetId="11" name="urugankembali">#REF!</definedName>
    <definedName localSheetId="21" name="Status">#REF!</definedName>
    <definedName localSheetId="8" name="coveartistik">#REF!</definedName>
    <definedName localSheetId="24" name="ASET">#REF!</definedName>
    <definedName localSheetId="32" name="k.ddg.20.25.rmn.crk">#REF!</definedName>
    <definedName name="bubunganstelgelombang">#REF!</definedName>
    <definedName localSheetId="44" name="Analisa661">#REF!</definedName>
    <definedName localSheetId="39" name="nokgentengaspal">#REF!</definedName>
    <definedName localSheetId="34" name="Ker.L13">#REF!</definedName>
    <definedName localSheetId="21" name="tanahliat">#REF!</definedName>
    <definedName localSheetId="30" name="sis">#REF!</definedName>
    <definedName localSheetId="42" name="_________HAL3">#REF!</definedName>
    <definedName localSheetId="40" name="_KOP7">#REF!</definedName>
    <definedName localSheetId="25" name="SSSSSSSSSSSSSSSSSSSSSSSSSSSSS">#REF!</definedName>
    <definedName localSheetId="11" name="__HAL4">#REF!</definedName>
    <definedName localSheetId="4" name="___MMM01">#REF!</definedName>
    <definedName localSheetId="20" name="cendana">#REF!</definedName>
    <definedName localSheetId="34" name="HP">#REF!</definedName>
    <definedName localSheetId="24" name="pakuhak15cm">#REF!</definedName>
    <definedName localSheetId="24" name="RINCIANSEWA2">#REF!</definedName>
    <definedName localSheetId="3" name="R59..">#REF!</definedName>
    <definedName localSheetId="4" name="_HAL5">#REF!</definedName>
    <definedName localSheetId="3" name="____MMM28">#REF!</definedName>
    <definedName localSheetId="15" name="tes">#REF!</definedName>
    <definedName localSheetId="41" name="kayubulian">#REF!</definedName>
    <definedName localSheetId="20" name="koralbeton">#REF!</definedName>
    <definedName localSheetId="21" name="akustikarmstrong">#REF!</definedName>
    <definedName localSheetId="3" name="_______DIV7">#REF!</definedName>
    <definedName localSheetId="36" name="________DIV10">#REF!</definedName>
    <definedName localSheetId="18" name="doorholder">#REF!</definedName>
    <definedName localSheetId="41" name="kuncitanam">#REF!</definedName>
    <definedName localSheetId="25" name="tegelplinpc10x20">#REF!</definedName>
    <definedName localSheetId="25" name="atapaluminiumgelombang055">#REF!</definedName>
    <definedName localSheetId="21" name="ubinteraluxkerang40">#REF!</definedName>
    <definedName localSheetId="40" name="marmer">#REF!</definedName>
    <definedName localSheetId="7" name="plesteran13">#REF!</definedName>
    <definedName localSheetId="0" name="drainase">#REF!</definedName>
    <definedName localSheetId="19" name="Print_Area_MI">#REF!</definedName>
    <definedName localSheetId="44" name="_______DIV3">#REF!</definedName>
    <definedName localSheetId="21" name="HP">#REF!</definedName>
    <definedName localSheetId="13" name="bubungangentengbesar">#REF!</definedName>
    <definedName localSheetId="11" name="pakuskrup">#REF!</definedName>
    <definedName localSheetId="9" name="s.tukang">#REF!</definedName>
    <definedName name="pvc.0.7.5.Mas.d">#REF!</definedName>
    <definedName localSheetId="21" name="________MMM411">#REF!</definedName>
    <definedName localSheetId="42" name="doorcloser">#REF!</definedName>
    <definedName localSheetId="12" name="kkkk">#REF!</definedName>
    <definedName localSheetId="4" name="________HAL3">#REF!</definedName>
    <definedName localSheetId="24" name="______LLL05">#REF!</definedName>
    <definedName name="MATERIAL">#REF!</definedName>
    <definedName localSheetId="42" name="FORM771a">#REF!</definedName>
    <definedName localSheetId="3" name="tegelteraso30x30">#REF!</definedName>
    <definedName localSheetId="39" name="waterstop150">#REF!</definedName>
    <definedName localSheetId="18" name="gggg">#REF!</definedName>
    <definedName localSheetId="28" name="urugankembali">#REF!</definedName>
    <definedName localSheetId="44" name="tegelteraso30x30">#REF!</definedName>
    <definedName localSheetId="23" name="yyyyyyy">#REF!</definedName>
    <definedName localSheetId="20" name="kayubulian">#REF!</definedName>
    <definedName localSheetId="34" name="kayubulian">#REF!</definedName>
    <definedName name="___HAL3">#REF!</definedName>
    <definedName localSheetId="3" name="______DIV6">#REF!</definedName>
    <definedName localSheetId="21" name="_________MMM03">#REF!</definedName>
    <definedName localSheetId="32" name="___DIV4">#REF!</definedName>
    <definedName localSheetId="11" name="_______DIV4">#REF!</definedName>
    <definedName localSheetId="8" name="ktbs">#REF!</definedName>
    <definedName localSheetId="39" name="FORM7613a">#REF!</definedName>
    <definedName name="_________MMM16">#REF!</definedName>
    <definedName localSheetId="11" name="kenek">#REF!</definedName>
    <definedName localSheetId="31" name="_______MMM01">#REF!</definedName>
    <definedName localSheetId="21" name="Analisa8405">#REF!</definedName>
    <definedName localSheetId="34" name="URAIAN7613a">#REF!</definedName>
    <definedName localSheetId="6" name="pakuhak15cm">#REF!</definedName>
    <definedName localSheetId="18" name="_LLL01">#REF!</definedName>
    <definedName localSheetId="44" name="R82..">#REF!</definedName>
    <definedName localSheetId="15" name="ARI">#REF!</definedName>
    <definedName localSheetId="21" name="besi10.sii">#REF!</definedName>
    <definedName localSheetId="31" name="L">#REF!</definedName>
    <definedName localSheetId="7" name="P">#REF!</definedName>
    <definedName localSheetId="7" name="______MMM20">#REF!</definedName>
    <definedName localSheetId="19" name="___pvc3">#REF!</definedName>
    <definedName localSheetId="34" name="NAMA2">#REF!</definedName>
    <definedName localSheetId="4" name="paving">#REF!</definedName>
    <definedName localSheetId="44" name="grendeltanam">#REF!</definedName>
    <definedName localSheetId="39" name="LAINLAIN">#REF!</definedName>
    <definedName localSheetId="25" name="kayukamper">#REF!</definedName>
    <definedName localSheetId="27" name="Excel_BuiltIn_Print_Titles_10">#REF!</definedName>
    <definedName localSheetId="4" name="UP">#REF!</definedName>
    <definedName localSheetId="7" name="______MMM02">#REF!</definedName>
    <definedName localSheetId="15" name="besi13u">#REF!</definedName>
    <definedName localSheetId="24" name="FORM323L">#REF!</definedName>
    <definedName localSheetId="3" name="____LLL11">#REF!</definedName>
    <definedName localSheetId="30" name="R100..">#REF!</definedName>
    <definedName localSheetId="42" name="pagarseng2m">#REF!</definedName>
    <definedName localSheetId="3" name="___MMM25">#REF!</definedName>
    <definedName localSheetId="28" name="pagarseng2m">#REF!</definedName>
    <definedName localSheetId="5" name="gypsum.9">#REF!</definedName>
    <definedName localSheetId="4" name="kolombetonpracetak">#REF!</definedName>
    <definedName localSheetId="39" name="pindahan">#REF!</definedName>
    <definedName name="_____DIV8">#REF!</definedName>
    <definedName localSheetId="28" name="dempul">#REF!</definedName>
    <definedName localSheetId="12" name="plintkeramikartistik1020">#REF!</definedName>
    <definedName localSheetId="17" name="____MMM11">#REF!</definedName>
    <definedName localSheetId="36" name="washtafel">#REF!</definedName>
    <definedName localSheetId="6" name="Ktbt">#REF!</definedName>
    <definedName localSheetId="21" name="R10..">#REF!</definedName>
    <definedName localSheetId="15" name="hakangin">#REF!</definedName>
    <definedName localSheetId="24" name="__MMM53">#REF!</definedName>
    <definedName localSheetId="21" name="R101..">#REF!</definedName>
    <definedName localSheetId="24" name="Analisa71106">#REF!</definedName>
    <definedName localSheetId="9" name="plamur.matex">#REF!</definedName>
    <definedName localSheetId="40" name="yyyyyyy">#REF!</definedName>
    <definedName localSheetId="23" name="R1..">#REF!</definedName>
    <definedName localSheetId="28" name="sabun">#REF!</definedName>
    <definedName name="FORM7612b">#REF!</definedName>
    <definedName localSheetId="30" name="gypsum.prf">#REF!</definedName>
    <definedName localSheetId="41" name="FORMLatasirK">#REF!</definedName>
    <definedName localSheetId="7" name="_____MMM31">#REF!</definedName>
    <definedName localSheetId="36" name="plintubinwarna1040">#REF!</definedName>
    <definedName localSheetId="44" name="R21..">#REF!</definedName>
    <definedName localSheetId="20" name="_pvc205">#REF!</definedName>
    <definedName name="________LLL07">#REF!</definedName>
    <definedName localSheetId="7" name="plintubinwarna1020">#REF!</definedName>
    <definedName localSheetId="41" name="Excel_BuiltIn_Print_Area_1">#REF!</definedName>
    <definedName localSheetId="19" name="borneo4.6">#REF!</definedName>
    <definedName localSheetId="0" name="___DIV4">#REF!</definedName>
    <definedName localSheetId="34" name="besipresstressedpolos">#REF!</definedName>
    <definedName localSheetId="8" name="______DIV1">#REF!</definedName>
    <definedName localSheetId="44" name="_______LLL04">#REF!</definedName>
    <definedName localSheetId="25" name="FORM744">#REF!</definedName>
    <definedName localSheetId="12" name="air">#REF!</definedName>
    <definedName localSheetId="30" name="GRC">#REF!</definedName>
    <definedName localSheetId="33" name="kaca5">#REF!</definedName>
    <definedName localSheetId="12" name="drainase">#REF!</definedName>
    <definedName name="____MMM44">#REF!</definedName>
    <definedName localSheetId="3" name="_____DIV4">#REF!</definedName>
    <definedName localSheetId="23" name="gypsum.9">#REF!</definedName>
    <definedName name="URAIAN631">#REF!</definedName>
    <definedName localSheetId="34" name="__pvc2">#REF!</definedName>
    <definedName localSheetId="42" name="_MMM03">#REF!</definedName>
    <definedName localSheetId="8" name="flordrain">#REF!</definedName>
    <definedName localSheetId="3" name="mowi.w.shield">#REF!</definedName>
    <definedName name="__MMM20">#REF!</definedName>
    <definedName localSheetId="11" name="URAIAN323L">#REF!</definedName>
    <definedName localSheetId="42" name="amplas">#REF!</definedName>
    <definedName localSheetId="28" name="aluminiumfoil">#REF!</definedName>
    <definedName localSheetId="3" name="M">#REF!</definedName>
    <definedName localSheetId="33" name="u">#REF!</definedName>
    <definedName localSheetId="31" name="psr.trs">#REF!</definedName>
    <definedName localSheetId="3" name="_______MMM41">#REF!</definedName>
    <definedName localSheetId="36" name="pakugypsum">#REF!</definedName>
    <definedName localSheetId="3" name="plintubinwarna1030">#REF!</definedName>
    <definedName localSheetId="34" name="kolombetonpracetak">#REF!</definedName>
    <definedName localSheetId="33" name="aa">#REF!</definedName>
    <definedName localSheetId="3" name="batukali14">#REF!</definedName>
    <definedName localSheetId="6" name="cendana">#REF!</definedName>
    <definedName localSheetId="25" name="KunciPintu">#REF!</definedName>
    <definedName localSheetId="30" name="kacacermin5">#REF!</definedName>
    <definedName localSheetId="34" name="gentengaspal">#REF!</definedName>
    <definedName localSheetId="7" name="gentengkodok">#REF!</definedName>
    <definedName localSheetId="17" name="URAIAN771b">#REF!</definedName>
    <definedName localSheetId="33" name="alangalang">#REF!</definedName>
    <definedName localSheetId="32" name="___pvc2">#REF!</definedName>
    <definedName localSheetId="19" name="pintualuminium">#REF!</definedName>
    <definedName localSheetId="40" name="FORMLatasirK">#REF!</definedName>
    <definedName localSheetId="3" name="ppn3.30">#REF!</definedName>
    <definedName localSheetId="21" name="tegel20">#REF!</definedName>
    <definedName localSheetId="24" name="_DIV10">#REF!</definedName>
    <definedName localSheetId="23" name="Grendel">#REF!</definedName>
    <definedName localSheetId="24" name="rubbercorrugate">#REF!</definedName>
    <definedName localSheetId="41" name="ubingranito30">#REF!</definedName>
    <definedName localSheetId="8" name="rapidrant">#REF!</definedName>
    <definedName localSheetId="36" name="URAIAN731">#REF!</definedName>
    <definedName localSheetId="24" name="Closet.ddk">#REF!</definedName>
    <definedName localSheetId="32" name="gmp">#REF!</definedName>
    <definedName localSheetId="30" name="residu">#REF!</definedName>
    <definedName localSheetId="38" name="_________MMM02">#REF!</definedName>
    <definedName localSheetId="23" name="karpetwooldannilon">#REF!</definedName>
    <definedName name="________HAL1">#REF!</definedName>
    <definedName name="FORM611">#REF!</definedName>
    <definedName localSheetId="27" name="bak">#REF!</definedName>
    <definedName localSheetId="27" name="ASPAL">#REF!</definedName>
    <definedName localSheetId="44" name="ppnip">#REF!</definedName>
    <definedName localSheetId="19" name="__HAL4">#REF!</definedName>
    <definedName localSheetId="5" name="Fak">#REF!</definedName>
    <definedName localSheetId="33" name="_LLL03">#REF!</definedName>
    <definedName localSheetId="30" name="nnnnn">#REF!</definedName>
    <definedName localSheetId="34" name="plintubingranito1040">#REF!</definedName>
    <definedName localSheetId="7" name="____DIV4">#REF!</definedName>
    <definedName localSheetId="31" name="ubinwarna30">#REF!</definedName>
    <definedName localSheetId="40" name="pintusunscreenalluminium">#REF!</definedName>
    <definedName localSheetId="17" name="_________DIV4">#REF!</definedName>
    <definedName localSheetId="44" name="__MMM25">#REF!</definedName>
    <definedName localSheetId="8" name="_______MMM03">#REF!</definedName>
    <definedName localSheetId="44" name="__PC50">#REF!</definedName>
    <definedName localSheetId="24" name="_______MMM14">#REF!</definedName>
    <definedName localSheetId="32" name="kayukulim">#REF!</definedName>
    <definedName localSheetId="32" name="cv">#REF!</definedName>
    <definedName name="jj">#REF!</definedName>
    <definedName localSheetId="44" name="waterstop300">#REF!</definedName>
    <definedName localSheetId="21" name="kolombetonpracetak">#REF!</definedName>
    <definedName localSheetId="27" name="Pjgsloof">#REF!</definedName>
    <definedName localSheetId="27" name="__DIV3">#REF!</definedName>
    <definedName name="ppnip">#REF!</definedName>
    <definedName localSheetId="20" name="batukali14">#REF!</definedName>
    <definedName localSheetId="18" name="BM">#REF!</definedName>
    <definedName localSheetId="15" name="kaca.es">#REF!</definedName>
    <definedName localSheetId="8" name="drainase">#REF!</definedName>
    <definedName localSheetId="24" name="R40..">#REF!</definedName>
    <definedName localSheetId="41" name="rooflightfiibreglass">#REF!</definedName>
    <definedName localSheetId="9" name="kuncialfa">#REF!</definedName>
    <definedName localSheetId="39" name="KUANTITAS">#REF!</definedName>
    <definedName localSheetId="42" name="ASET">#REF!</definedName>
    <definedName localSheetId="10" name="engsel4">#REF!</definedName>
    <definedName localSheetId="11" name="catantara">#REF!</definedName>
    <definedName localSheetId="39" name="formica">#REF!</definedName>
    <definedName localSheetId="28" name="profilalumuniumT">#REF!</definedName>
    <definedName localSheetId="25" name="medan5.7">#REF!</definedName>
    <definedName localSheetId="24" name="___DIV6">#REF!</definedName>
    <definedName localSheetId="41" name="Faktorial">#REF!</definedName>
    <definedName localSheetId="44" name="bakkontrol">#REF!</definedName>
    <definedName localSheetId="18" name="R100..">#REF!</definedName>
    <definedName localSheetId="9" name="penduduk">#REF!</definedName>
    <definedName localSheetId="17" name="FORM7614b">#REF!</definedName>
    <definedName localSheetId="32" name="lemvinyl">#REF!</definedName>
    <definedName localSheetId="11" name="_pvc105">#REF!</definedName>
    <definedName localSheetId="15" name="_______DIV4">#REF!</definedName>
    <definedName localSheetId="30" name="b.belah">#REF!</definedName>
    <definedName localSheetId="3" name="____MMM32">#REF!</definedName>
    <definedName localSheetId="5" name="___pc50">#REF!</definedName>
    <definedName name="_________DIV9">#REF!</definedName>
    <definedName localSheetId="17" name="_____LLL03">#REF!</definedName>
    <definedName localSheetId="40" name="Print_Area_MI">#REF!</definedName>
    <definedName localSheetId="33" name="Kekurangan">#REF!</definedName>
    <definedName localSheetId="7" name="_________MMM28">#REF!</definedName>
    <definedName localSheetId="30" name="borneo4.6">#REF!</definedName>
    <definedName localSheetId="3" name="plywood4">#REF!</definedName>
    <definedName localSheetId="4" name="ubinwarna40">#REF!</definedName>
    <definedName localSheetId="44" name="kayutembesu">#REF!</definedName>
    <definedName localSheetId="27" name="kran.ddg">#REF!</definedName>
    <definedName localSheetId="7" name="_HAL4">#REF!</definedName>
    <definedName localSheetId="4" name="got">#REF!</definedName>
    <definedName localSheetId="13" name="Pengadaan">#REF!</definedName>
    <definedName localSheetId="40" name="plintubinwarna1040">#REF!</definedName>
    <definedName localSheetId="4" name="btn">#REF!</definedName>
    <definedName localSheetId="33" name="papanII">#REF!</definedName>
    <definedName localSheetId="32" name="batacote">#REF!</definedName>
    <definedName name="lemvinyl">#REF!</definedName>
    <definedName localSheetId="27" name="tl2x40">#REF!</definedName>
    <definedName localSheetId="7" name="__HAL6">#REF!</definedName>
    <definedName localSheetId="21" name="___LLL02">#REF!</definedName>
    <definedName localSheetId="3" name="nokpaten092">#REF!</definedName>
    <definedName localSheetId="9" name="karpet">#REF!</definedName>
    <definedName localSheetId="12" name="_HAL1">#REF!</definedName>
    <definedName localSheetId="24" name="gmp">#REF!</definedName>
    <definedName localSheetId="9" name="siap1">#REF!</definedName>
    <definedName localSheetId="44" name="_________MMM12">#REF!</definedName>
    <definedName localSheetId="8" name="kayukudakuda">#REF!</definedName>
    <definedName localSheetId="12" name="kaca.es">#REF!</definedName>
    <definedName localSheetId="3" name="jki">#REF!</definedName>
    <definedName localSheetId="41" name="plintubinteraluxkerang1060">#REF!</definedName>
    <definedName localSheetId="3" name="FORM733">#REF!</definedName>
    <definedName localSheetId="23" name="panelbetonpracetak">#REF!</definedName>
    <definedName localSheetId="32" name="pintusunscreenalluminium">#REF!</definedName>
    <definedName localSheetId="3" name="pakuhak15cm">#REF!</definedName>
    <definedName localSheetId="8" name="FORM745">#REF!</definedName>
    <definedName localSheetId="23" name="hollowblok">#REF!</definedName>
    <definedName localSheetId="12" name="batacote">#REF!</definedName>
    <definedName localSheetId="0" name="____DIV4">#REF!</definedName>
    <definedName localSheetId="24" name="____LLL06">#REF!</definedName>
    <definedName localSheetId="6" name="plintubinteraluxmarmer1040">#REF!</definedName>
    <definedName name="________DIV2">#REF!</definedName>
    <definedName localSheetId="19" name="na">#REF!</definedName>
    <definedName localSheetId="3" name="__HAL7">#REF!</definedName>
    <definedName localSheetId="21" name="split2.3">#REF!</definedName>
    <definedName localSheetId="5" name="FORM744">#REF!</definedName>
    <definedName localSheetId="33" name="_pvc105">#REF!</definedName>
    <definedName localSheetId="31" name="_MMM02">#REF!</definedName>
    <definedName localSheetId="44" name="ubinteraluxmarmer60">#REF!</definedName>
    <definedName localSheetId="0" name="Pjgsloof">#REF!</definedName>
    <definedName localSheetId="9" name="total">#REF!</definedName>
    <definedName name="FORM7612c">#REF!</definedName>
    <definedName localSheetId="7" name="______MMM08">#REF!</definedName>
    <definedName localSheetId="36" name="R5..">#REF!</definedName>
    <definedName localSheetId="21" name="___MMM43">#REF!</definedName>
    <definedName localSheetId="17" name="__MMM48">#REF!</definedName>
    <definedName localSheetId="12" name="FORM79mekanis">#REF!</definedName>
    <definedName localSheetId="4" name="hd">#REF!</definedName>
    <definedName localSheetId="10" name="RPHL">#REF!</definedName>
    <definedName localSheetId="17" name="______MMM51">#REF!</definedName>
    <definedName localSheetId="39" name="mowi.ws">#REF!</definedName>
    <definedName localSheetId="23" name="___MMM02">#REF!</definedName>
    <definedName name="___pvc205">#REF!</definedName>
    <definedName localSheetId="12" name="kayualbasiah">#REF!</definedName>
    <definedName localSheetId="27" name="kapursirih">#REF!</definedName>
    <definedName localSheetId="5" name="R20..">#REF!</definedName>
    <definedName localSheetId="24" name="besiprofilWF">#REF!</definedName>
    <definedName localSheetId="28" name="Catbesi">#REF!</definedName>
    <definedName localSheetId="10" name="___pvc205">#REF!</definedName>
    <definedName localSheetId="7" name="Analisa611">#REF!</definedName>
    <definedName localSheetId="25" name="grendel3">#REF!</definedName>
    <definedName localSheetId="18" name="Z">#REF!</definedName>
    <definedName localSheetId="10" name="FORM66PERATA">#REF!</definedName>
    <definedName localSheetId="3" name="batapelapisdinding">#REF!</definedName>
    <definedName localSheetId="30" name="plintubinteraso1030">#REF!</definedName>
    <definedName localSheetId="4" name="Jendelabesibaja">#REF!</definedName>
    <definedName localSheetId="0" name="___pvc05">#REF!</definedName>
    <definedName localSheetId="18" name="batupecah">#REF!</definedName>
    <definedName localSheetId="15" name="URAIANLatasirKL">#REF!</definedName>
    <definedName localSheetId="20" name="ubingranito30">#REF!</definedName>
    <definedName localSheetId="44" name="urugankembali">#REF!</definedName>
    <definedName localSheetId="21" name="R1..">#REF!</definedName>
    <definedName localSheetId="32" name="gentengbeton">#REF!</definedName>
    <definedName localSheetId="41" name="seng30">#REF!</definedName>
    <definedName name="kunci1slag">#REF!</definedName>
    <definedName localSheetId="44" name="bubungangentengkodok">#REF!</definedName>
    <definedName localSheetId="23" name="__MMM03">#REF!</definedName>
    <definedName localSheetId="3" name="pakubulian">#REF!</definedName>
    <definedName localSheetId="24" name="R82..">#REF!</definedName>
    <definedName localSheetId="0" name="______HAL1">#REF!</definedName>
    <definedName localSheetId="42" name="rapidrant">#REF!</definedName>
    <definedName localSheetId="27" name="URAIAN79mekanis">#REF!</definedName>
    <definedName localSheetId="9" name="kacapolos3mm">#REF!</definedName>
    <definedName localSheetId="8" name="catpenutup2kali">#REF!</definedName>
    <definedName localSheetId="13" name="Faktor">#REF!</definedName>
    <definedName localSheetId="21" name="___MMM21">#REF!</definedName>
    <definedName localSheetId="21" name="plywood4">#REF!</definedName>
    <definedName localSheetId="12" name="f.drain">#REF!</definedName>
    <definedName localSheetId="7" name="___LLL10">#REF!</definedName>
    <definedName localSheetId="28" name="semenwarna">#REF!</definedName>
    <definedName localSheetId="15" name="Galam">#REF!</definedName>
    <definedName name="________DIV3">#REF!</definedName>
    <definedName localSheetId="42" name="hollowblok">#REF!</definedName>
    <definedName localSheetId="8" name="grendel4">#REF!</definedName>
    <definedName localSheetId="19" name="_________HAL1">#REF!</definedName>
    <definedName localSheetId="12" name="_LLL03">#REF!</definedName>
    <definedName localSheetId="17" name="_______HAL8">#REF!</definedName>
    <definedName localSheetId="21" name="besi12sii">#REF!</definedName>
    <definedName localSheetId="23" name="beton225r">#REF!</definedName>
    <definedName localSheetId="11" name="___DIV4">#REF!</definedName>
    <definedName localSheetId="24" name="URAIAN632">#REF!</definedName>
    <definedName localSheetId="40" name="__DIV4">#REF!</definedName>
    <definedName localSheetId="3" name="sealer">#REF!</definedName>
    <definedName localSheetId="21" name="________MMM41">#REF!</definedName>
    <definedName localSheetId="20" name="pajak">#REF!</definedName>
    <definedName localSheetId="8" name="R31..">#REF!</definedName>
    <definedName localSheetId="17" name="URAIAN98">#REF!</definedName>
    <definedName localSheetId="21" name="________MMM42">#REF!</definedName>
    <definedName localSheetId="38" name="asbesgelombnang">#REF!</definedName>
    <definedName localSheetId="32" name="BAJA">#REF!</definedName>
    <definedName localSheetId="44" name="B.Jambi">#REF!</definedName>
    <definedName localSheetId="23" name="kran.bbk">#REF!</definedName>
    <definedName localSheetId="21" name="___MMM49">#REF!</definedName>
    <definedName localSheetId="19" name="tes">#REF!</definedName>
    <definedName name="_______MMM01">#REF!</definedName>
    <definedName name="KECAMATAN_KODEOHA">#REF!</definedName>
    <definedName localSheetId="38" name="amplas">#REF!</definedName>
    <definedName localSheetId="42" name="FORM771c">#REF!</definedName>
    <definedName localSheetId="6" name="pakusumbat">#REF!</definedName>
    <definedName localSheetId="34" name="terntang">#REF!</definedName>
    <definedName name="____MMM42">#REF!</definedName>
    <definedName localSheetId="12" name="kaca.p.5">#REF!</definedName>
    <definedName localSheetId="40" name="URAIAN731">#REF!</definedName>
    <definedName localSheetId="34" name="SEKRETARIAT_DPRD">#REF!</definedName>
    <definedName localSheetId="7" name="R99..">#REF!</definedName>
    <definedName name="paku5.7.10">#REF!</definedName>
    <definedName localSheetId="39" name="_____DIV2">#REF!</definedName>
    <definedName localSheetId="34" name="kayuramin">#REF!</definedName>
    <definedName localSheetId="3" name="PT">#REF!</definedName>
    <definedName localSheetId="8" name="Galam">#REF!</definedName>
    <definedName localSheetId="44" name="gypsum.9">#REF!</definedName>
    <definedName localSheetId="32" name="plintubinteraso1030">#REF!</definedName>
    <definedName localSheetId="0" name="marmer">#REF!</definedName>
    <definedName localSheetId="24" name="Analisa709">#REF!</definedName>
    <definedName localSheetId="41" name="asbesgelombnang">#REF!</definedName>
    <definedName localSheetId="6" name="rooflightfiibreglass">#REF!</definedName>
    <definedName localSheetId="31" name="pakubulian">#REF!</definedName>
    <definedName localSheetId="18" name="_____DIV4">#REF!</definedName>
    <definedName localSheetId="23" name="spirtus">#REF!</definedName>
    <definedName localSheetId="12" name="URAIAN631">#REF!</definedName>
    <definedName localSheetId="10" name="waterstop200">#REF!</definedName>
    <definedName localSheetId="21" name="________MMM13">#REF!</definedName>
    <definedName localSheetId="40" name="plintubinteraluxmarmer1030">#REF!</definedName>
    <definedName localSheetId="4" name="__pvc2">#REF!</definedName>
    <definedName localSheetId="36" name="plintubinteraluxkerang1040">#REF!</definedName>
    <definedName localSheetId="7" name="pakuskrup">#REF!</definedName>
    <definedName localSheetId="40" name="medan3.4">#REF!</definedName>
    <definedName localSheetId="3" name="_____HAL2">#REF!</definedName>
    <definedName localSheetId="24" name="Catbesi">#REF!</definedName>
    <definedName localSheetId="28" name="Akustik">#REF!</definedName>
    <definedName localSheetId="11" name="R51..">#REF!</definedName>
    <definedName localSheetId="38" name="__tl2">#REF!</definedName>
    <definedName localSheetId="17" name="R100..">#REF!</definedName>
    <definedName localSheetId="5" name="kategori">#REF!</definedName>
    <definedName localSheetId="5" name="sirlak">#REF!</definedName>
    <definedName localSheetId="6" name="ARI">#REF!</definedName>
    <definedName localSheetId="3" name="papanbulian">#REF!</definedName>
    <definedName name="______MMM18">#REF!</definedName>
    <definedName localSheetId="9" name="parquetjati">#REF!</definedName>
    <definedName localSheetId="24" name="R76..">#REF!</definedName>
    <definedName localSheetId="40" name="jki">#REF!</definedName>
    <definedName localSheetId="20" name="keramik30x30">#REF!</definedName>
    <definedName localSheetId="27" name="BAJA">#REF!</definedName>
    <definedName localSheetId="24" name="gypsum.prf">#REF!</definedName>
    <definedName localSheetId="40" name="__LLL02">#REF!</definedName>
    <definedName localSheetId="44" name="drkeet">#REF!</definedName>
    <definedName localSheetId="24" name="_________MMM54">#REF!</definedName>
    <definedName localSheetId="25" name="Excel_BuiltIn_Print_Titles_10">#REF!</definedName>
    <definedName localSheetId="33" name="PT">#REF!</definedName>
    <definedName localSheetId="44" name="________MMM06">#REF!</definedName>
    <definedName localSheetId="13" name="__MMM01">#REF!</definedName>
    <definedName localSheetId="44" name="_____MMM30">#REF!</definedName>
    <definedName localSheetId="41" name="STRUKTUR">#REF!</definedName>
    <definedName localSheetId="40" name="R4..">#REF!</definedName>
    <definedName localSheetId="31" name="R31..">#REF!</definedName>
    <definedName localSheetId="17" name="kaca.es">#REF!</definedName>
    <definedName localSheetId="17" name="tegel20">#REF!</definedName>
    <definedName localSheetId="3" name="LemAibon">#REF!</definedName>
    <definedName localSheetId="21" name="______LLL07">#REF!</definedName>
    <definedName localSheetId="19" name="gabin_al">#REF!</definedName>
    <definedName localSheetId="8" name="besi13">#REF!</definedName>
    <definedName localSheetId="19" name="sssssss">#REF!</definedName>
    <definedName localSheetId="13" name="URAIAN7612b">#REF!</definedName>
    <definedName localSheetId="23" name="aa">#REF!</definedName>
    <definedName localSheetId="44" name="____MMM23">#REF!</definedName>
    <definedName localSheetId="31" name="akustikarmstrong">#REF!</definedName>
    <definedName localSheetId="7" name="________LLL04">#REF!</definedName>
    <definedName localSheetId="3" name="____HAL3">#REF!</definedName>
    <definedName localSheetId="10" name="kaca3">#REF!</definedName>
    <definedName localSheetId="3" name="ubinteraso30">#REF!</definedName>
    <definedName localSheetId="17" name="_____HAL4">#REF!</definedName>
    <definedName localSheetId="12" name="PT">#REF!</definedName>
    <definedName localSheetId="40" name="kayumarsawa">#REF!</definedName>
    <definedName localSheetId="23" name="URAIAN744">#REF!</definedName>
    <definedName localSheetId="32" name="ubinkeramik1020">#REF!</definedName>
    <definedName localSheetId="4" name="kalkarium">#REF!</definedName>
    <definedName localSheetId="17" name="ls">#REF!</definedName>
    <definedName localSheetId="7" name="________MMM24">#REF!</definedName>
    <definedName localSheetId="36" name="Excel_BuiltIn_Print_Titles_1">#REF!</definedName>
    <definedName localSheetId="24" name="FORM635A">#REF!</definedName>
    <definedName localSheetId="42" name="FORM7610">#REF!</definedName>
    <definedName localSheetId="40" name="platasbes4mm">#REF!</definedName>
    <definedName localSheetId="44" name="stairnzing">#REF!</definedName>
    <definedName localSheetId="32" name="kuncilemari">#REF!</definedName>
    <definedName localSheetId="12" name="kayutembesu">#REF!</definedName>
    <definedName localSheetId="3" name="_________HAL7">#REF!</definedName>
    <definedName localSheetId="17" name="FORM7614e">#REF!</definedName>
    <definedName localSheetId="12" name="kayukamper">#REF!</definedName>
    <definedName localSheetId="21" name="kayuterentang">#REF!</definedName>
    <definedName localSheetId="33" name="ts">#REF!</definedName>
    <definedName localSheetId="5" name="URAIAN7614b">#REF!</definedName>
    <definedName localSheetId="8" name="Kunci2">#REF!</definedName>
    <definedName localSheetId="41" name="__pvc205">#REF!</definedName>
    <definedName localSheetId="44" name="beton175m">#REF!</definedName>
    <definedName localSheetId="3" name="btn">#REF!</definedName>
    <definedName localSheetId="42" name="closedjongkok">#REF!</definedName>
    <definedName localSheetId="9" name="tes">#REF!</definedName>
    <definedName localSheetId="44" name="rollingdoor">#REF!</definedName>
    <definedName localSheetId="24" name="_________MMM49">#REF!</definedName>
    <definedName localSheetId="25" name="pagar2m">#REF!</definedName>
    <definedName localSheetId="21" name="_DIV7">#REF!</definedName>
    <definedName localSheetId="28" name="LAP">#REF!</definedName>
    <definedName localSheetId="39" name="drainase">#REF!</definedName>
    <definedName localSheetId="21" name="_______HAL4">#REF!</definedName>
    <definedName localSheetId="28" name="lb">#REF!</definedName>
    <definedName localSheetId="20" name="kawatnyamuk">#REF!</definedName>
    <definedName localSheetId="3" name="________MMM06">#REF!</definedName>
    <definedName localSheetId="23" name="kawatduri">#REF!</definedName>
    <definedName localSheetId="44" name="_______LLL06">#REF!</definedName>
    <definedName name="amobiotic">#REF!</definedName>
    <definedName localSheetId="24" name="_________MMM46">#REF!</definedName>
    <definedName localSheetId="33" name="residu">#REF!</definedName>
    <definedName localSheetId="3" name="namaabsen">#REF!</definedName>
    <definedName localSheetId="3" name="__MMM07">#REF!</definedName>
    <definedName localSheetId="19" name="catantara">#REF!</definedName>
    <definedName localSheetId="31" name="URAIANLatasirKL">#REF!</definedName>
    <definedName localSheetId="27" name="c.maxi">#REF!</definedName>
    <definedName localSheetId="38" name="yyyyyyy">#REF!</definedName>
    <definedName localSheetId="28" name="R6..">#REF!</definedName>
    <definedName localSheetId="15" name="batuteraso">#REF!</definedName>
    <definedName localSheetId="10" name="TANAH">#REF!</definedName>
    <definedName localSheetId="3" name="________MMM42">#REF!</definedName>
    <definedName localSheetId="19" name="batacote">#REF!</definedName>
    <definedName localSheetId="28" name="pijar15">#REF!</definedName>
    <definedName localSheetId="21" name="_MMM46">#REF!</definedName>
    <definedName localSheetId="36" name="URAIAN22E">#REF!</definedName>
    <definedName localSheetId="3" name="R8..">#REF!</definedName>
    <definedName localSheetId="9" name="FORM7613b">#REF!</definedName>
    <definedName localSheetId="21" name="______MMM20">#REF!</definedName>
    <definedName localSheetId="30" name="AAAAAAA">#REF!</definedName>
    <definedName localSheetId="32" name="URAIAN721">#REF!</definedName>
    <definedName localSheetId="44" name="kuncisilinder">#REF!</definedName>
    <definedName localSheetId="9" name="_DIV3">#REF!</definedName>
    <definedName localSheetId="17" name="__MMM44">#REF!</definedName>
    <definedName localSheetId="11" name="bubunganasbesgelombang">#REF!</definedName>
    <definedName localSheetId="44" name="relpintudorong">#REF!</definedName>
    <definedName localSheetId="41" name="nnnnn">#REF!</definedName>
    <definedName localSheetId="31" name="R100..">#REF!</definedName>
    <definedName localSheetId="21" name="gypsum.9">#REF!</definedName>
    <definedName localSheetId="27" name="tukng">#REF!</definedName>
    <definedName localSheetId="13" name="ppn2.30">#REF!</definedName>
    <definedName localSheetId="27" name="kayuborneo">#REF!</definedName>
    <definedName localSheetId="36" name="_______MMM03">#REF!</definedName>
    <definedName localSheetId="44" name="b.super.5.10">#REF!</definedName>
    <definedName localSheetId="17" name="AASDASD">#REF!</definedName>
    <definedName localSheetId="44" name="kacapatri5">#REF!</definedName>
    <definedName localSheetId="7" name="plastik">#REF!</definedName>
    <definedName localSheetId="17" name="____MMM15">#REF!</definedName>
    <definedName localSheetId="27" name="paving">#REF!</definedName>
    <definedName localSheetId="42" name="URAIAN631">#REF!</definedName>
    <definedName localSheetId="28" name="wallpaper">#REF!</definedName>
    <definedName localSheetId="11" name="Fak">#REF!</definedName>
    <definedName localSheetId="27" name="sssssss">#REF!</definedName>
    <definedName localSheetId="7" name="___MMM20">#REF!</definedName>
    <definedName localSheetId="30" name="parquetjati">#REF!</definedName>
    <definedName localSheetId="4" name="gabin_al">#REF!</definedName>
    <definedName localSheetId="34" name="sssssss">#REF!</definedName>
    <definedName localSheetId="34" name="___DIV2">#REF!</definedName>
    <definedName localSheetId="17" name="waterdrainaksesoris">#REF!</definedName>
    <definedName localSheetId="28" name="eeeeee">#REF!</definedName>
    <definedName localSheetId="28" name="data2">#REF!</definedName>
    <definedName localSheetId="42" name="plywood4">#REF!</definedName>
    <definedName localSheetId="44" name="FORM735">#REF!</definedName>
    <definedName localSheetId="20" name="jurnal">#REF!</definedName>
    <definedName localSheetId="21" name="________MMM16">#REF!</definedName>
    <definedName localSheetId="25" name="y">#REF!</definedName>
    <definedName localSheetId="0" name="urugantanah">#REF!</definedName>
    <definedName localSheetId="19" name="gypsum.prf">#REF!</definedName>
    <definedName localSheetId="10" name="urugan">#REF!</definedName>
    <definedName localSheetId="24" name="_________MMM31">#REF!</definedName>
    <definedName localSheetId="4" name="Per">#REF!</definedName>
    <definedName localSheetId="3" name="water.prof">#REF!</definedName>
    <definedName localSheetId="41" name="nokgentengaspal">#REF!</definedName>
    <definedName localSheetId="40" name="Closet.c420">#REF!</definedName>
    <definedName name="u.cor">#REF!</definedName>
    <definedName localSheetId="4" name="_DIV1">#REF!</definedName>
    <definedName localSheetId="3" name="_____MMM12">#REF!</definedName>
    <definedName localSheetId="41" name="PT">#REF!</definedName>
    <definedName localSheetId="17" name="RPHL">#REF!</definedName>
    <definedName localSheetId="9" name="engsel3">#REF!</definedName>
    <definedName localSheetId="19" name="_DIV1">#REF!</definedName>
    <definedName localSheetId="4" name="waterdrainaksesoris">#REF!</definedName>
    <definedName localSheetId="21" name="_______MMM37">#REF!</definedName>
    <definedName localSheetId="18" name="medan5.7">#REF!</definedName>
    <definedName localSheetId="6" name="vinylasbes">#REF!</definedName>
    <definedName localSheetId="44" name="FORM915">#REF!</definedName>
    <definedName localSheetId="20" name="_____DIV10">#REF!</definedName>
    <definedName localSheetId="24" name="R74..">#REF!</definedName>
    <definedName localSheetId="39" name="Analisa55">#REF!</definedName>
    <definedName localSheetId="34" name="kran.bbk">#REF!</definedName>
    <definedName name="R56..">#REF!</definedName>
    <definedName localSheetId="11" name="lis">#REF!</definedName>
    <definedName localSheetId="0" name="tegelporselen10x20warna">#REF!</definedName>
    <definedName localSheetId="5" name="formica">#REF!</definedName>
    <definedName localSheetId="39" name="papanII">#REF!</definedName>
    <definedName localSheetId="18" name="__Tl1">#REF!</definedName>
    <definedName localSheetId="34" name="JUDUL1">#REF!</definedName>
    <definedName localSheetId="21" name="plintubinteraluxkerang1060">#REF!</definedName>
    <definedName name="FORM8410">#REF!</definedName>
    <definedName localSheetId="18" name="Gypsum">#REF!</definedName>
    <definedName localSheetId="3" name="________MMM09">#REF!</definedName>
    <definedName localSheetId="9" name="aa">#REF!</definedName>
    <definedName localSheetId="20" name="_____DIV1">#REF!</definedName>
    <definedName localSheetId="21" name="kran.ddg">#REF!</definedName>
    <definedName localSheetId="38" name="Kunci1">#REF!</definedName>
    <definedName localSheetId="8" name="nnnnn">#REF!</definedName>
    <definedName localSheetId="21" name="UTAIAN7614c">#REF!</definedName>
    <definedName localSheetId="34" name="sengbjls25">#REF!</definedName>
    <definedName name="Uraian846">#REF!</definedName>
    <definedName localSheetId="15" name="keramik30x30">#REF!</definedName>
    <definedName localSheetId="7" name="___MMM36">#REF!</definedName>
    <definedName localSheetId="33" name="washtafel">#REF!</definedName>
    <definedName localSheetId="28" name="strorox">#REF!</definedName>
    <definedName localSheetId="8" name="seng25">#REF!</definedName>
    <definedName localSheetId="34" name="tegelplinteraso10x30">#REF!</definedName>
    <definedName localSheetId="39" name="____DIV3">#REF!</definedName>
    <definedName localSheetId="12" name="kuncitanam">#REF!</definedName>
    <definedName localSheetId="3" name="__DIV6">#REF!</definedName>
    <definedName localSheetId="13" name="_pvc205">#REF!</definedName>
    <definedName localSheetId="10" name="_____HAL1">#REF!</definedName>
    <definedName localSheetId="34" name="plintkeramikartistik1020">#REF!</definedName>
    <definedName localSheetId="33" name="bubungangentengbesar">#REF!</definedName>
    <definedName localSheetId="13" name="BAJA">#REF!</definedName>
    <definedName localSheetId="42" name="_Tl1">#REF!</definedName>
    <definedName localSheetId="33" name="pakugypsum">#REF!</definedName>
    <definedName localSheetId="24" name="pddk">#REF!</definedName>
    <definedName localSheetId="27" name="_KOP7">#REF!</definedName>
    <definedName localSheetId="38" name="terntang">#REF!</definedName>
    <definedName localSheetId="24" name="__MMM42">#REF!</definedName>
    <definedName localSheetId="7" name="ubinkeramik1515">#REF!</definedName>
    <definedName localSheetId="18" name="d">#REF!</definedName>
    <definedName localSheetId="24" name="catpenutup2kali">#REF!</definedName>
    <definedName localSheetId="41" name="dd">#REF!</definedName>
    <definedName localSheetId="17" name="FORM7614d">#REF!</definedName>
    <definedName localSheetId="3" name="pagarseng2m">#REF!</definedName>
    <definedName localSheetId="36" name="batutempelhitam">#REF!</definedName>
    <definedName localSheetId="25" name="GRC">#REF!</definedName>
    <definedName localSheetId="39" name="kuas">#REF!</definedName>
    <definedName localSheetId="11" name="___HAL3">#REF!</definedName>
    <definedName localSheetId="32" name="keramik20">#REF!</definedName>
    <definedName localSheetId="44" name="_MMM20">#REF!</definedName>
    <definedName localSheetId="25" name="kayuborneo">#REF!</definedName>
    <definedName localSheetId="25" name="pasirpas">#REF!</definedName>
    <definedName localSheetId="0" name="_____HAL3">#REF!</definedName>
    <definedName localSheetId="5" name="FRRDS">#REF!</definedName>
    <definedName localSheetId="27" name="p.bI">#REF!</definedName>
    <definedName localSheetId="21" name="___MMM08">#REF!</definedName>
    <definedName localSheetId="8" name="minyaksolar">#REF!</definedName>
    <definedName localSheetId="20" name="papanjelutung">#REF!</definedName>
    <definedName localSheetId="36" name="coveartistik">#REF!</definedName>
    <definedName name="karpet">#REF!</definedName>
    <definedName localSheetId="8" name="bakcuciteraso">#REF!</definedName>
    <definedName localSheetId="25" name="bak">#REF!</definedName>
    <definedName localSheetId="9" name="catmeni">#REF!</definedName>
    <definedName localSheetId="30" name="grendel4">#REF!</definedName>
    <definedName localSheetId="42" name="amobiotic">#REF!</definedName>
    <definedName localSheetId="21" name="plintubinwarna1020">#REF!</definedName>
    <definedName localSheetId="41" name="FORM66PERATA">#REF!</definedName>
    <definedName localSheetId="3" name="___MMM05">#REF!</definedName>
    <definedName localSheetId="10" name="URAIAN323L">#REF!</definedName>
    <definedName localSheetId="3" name="_________MMM02">#REF!</definedName>
    <definedName localSheetId="18" name="pintulipat">#REF!</definedName>
    <definedName name="FORM772b">#REF!</definedName>
    <definedName localSheetId="42" name="_DIV4">#REF!</definedName>
    <definedName localSheetId="25" name="ktbs">#REF!</definedName>
    <definedName localSheetId="18" name="DSSDD">#REF!</definedName>
    <definedName localSheetId="6" name="L">#REF!</definedName>
    <definedName localSheetId="4" name="______DIV4">#REF!</definedName>
    <definedName localSheetId="24" name="FORM7613a">#REF!</definedName>
    <definedName localSheetId="7" name="tlistrik">#REF!</definedName>
    <definedName localSheetId="3" name="________MMM50">#REF!</definedName>
    <definedName localSheetId="31" name="FORM841">#REF!</definedName>
    <definedName localSheetId="34" name="beton175m">#REF!</definedName>
    <definedName localSheetId="20" name="beton225r">#REF!</definedName>
    <definedName localSheetId="21" name="Analisa70703">#REF!</definedName>
    <definedName localSheetId="44" name="plintubinpcabuabu1030">#REF!</definedName>
    <definedName localSheetId="12" name="SusunanOrg">#REF!</definedName>
    <definedName localSheetId="20" name="R51..">#REF!</definedName>
    <definedName localSheetId="24" name="_MMM06">#REF!</definedName>
    <definedName localSheetId="28" name="FORM7614c">#REF!</definedName>
    <definedName localSheetId="17" name="_______MMM33">#REF!</definedName>
    <definedName localSheetId="3" name="feltexkarpetwool">#REF!</definedName>
    <definedName localSheetId="42" name="kaca.p.5">#REF!</definedName>
    <definedName localSheetId="30" name="multi.18">#REF!</definedName>
    <definedName localSheetId="34" name="ASPAL">#REF!</definedName>
    <definedName localSheetId="21" name="_________HAL2">#REF!</definedName>
    <definedName localSheetId="24" name="__LLL10">#REF!</definedName>
    <definedName localSheetId="8" name="ubinkeramik1020">#REF!</definedName>
    <definedName localSheetId="44" name="bubungangentengbesar">#REF!</definedName>
    <definedName localSheetId="34" name="_DIV1">#REF!</definedName>
    <definedName localSheetId="21" name="URAIAN914">#REF!</definedName>
    <definedName localSheetId="4" name="M">#REF!</definedName>
    <definedName localSheetId="24" name="_________MMM02">#REF!</definedName>
    <definedName localSheetId="24" name="rtrt">#REF!</definedName>
    <definedName localSheetId="8" name="_DIV10">#REF!</definedName>
    <definedName name="s.tukang">#REF!</definedName>
    <definedName localSheetId="40" name="______HAL1">#REF!</definedName>
    <definedName localSheetId="7" name="____HAL3">#REF!</definedName>
    <definedName localSheetId="20" name="bubungangentengbeton">#REF!</definedName>
    <definedName localSheetId="15" name="Minyak">#REF!</definedName>
    <definedName localSheetId="21" name="__MMM35">#REF!</definedName>
    <definedName localSheetId="34" name="metal">#REF!</definedName>
    <definedName localSheetId="40" name="________HAL3">#REF!</definedName>
    <definedName localSheetId="10" name="plintubingranito1040">#REF!</definedName>
    <definedName localSheetId="12" name="pijar15">#REF!</definedName>
    <definedName localSheetId="44" name="besipresstressedpolos">#REF!</definedName>
    <definedName localSheetId="7" name="________MMM21">#REF!</definedName>
    <definedName localSheetId="8" name="plintubinwarna1020">#REF!</definedName>
    <definedName localSheetId="9" name="vinylkaret3030">#REF!</definedName>
    <definedName localSheetId="11" name="kayukulim">#REF!</definedName>
    <definedName localSheetId="9" name="pasirbeton">#REF!</definedName>
    <definedName localSheetId="9" name="spirtus">#REF!</definedName>
    <definedName localSheetId="41" name="_kop5">#REF!</definedName>
    <definedName localSheetId="20" name="beton175R">#REF!</definedName>
    <definedName localSheetId="30" name="MMM17A">#REF!</definedName>
    <definedName localSheetId="7" name="ubinteraluxmarmer40">#REF!</definedName>
    <definedName localSheetId="40" name="eeeeee">#REF!</definedName>
    <definedName localSheetId="3" name="__LLL05">#REF!</definedName>
    <definedName localSheetId="7" name="_____MMM04">#REF!</definedName>
    <definedName localSheetId="4" name="kacapolos5mm">#REF!</definedName>
    <definedName localSheetId="17" name="gymfloor">#REF!</definedName>
    <definedName localSheetId="18" name="floorhardenermastercron">#REF!</definedName>
    <definedName localSheetId="44" name="___HAL2">#REF!</definedName>
    <definedName localSheetId="23" name="aaaaa">#REF!</definedName>
    <definedName localSheetId="15" name="ss">#REF!</definedName>
    <definedName localSheetId="44" name="_MMM43">#REF!</definedName>
    <definedName localSheetId="5" name="Closet.ddk">#REF!</definedName>
    <definedName localSheetId="15" name="pagar2m">#REF!</definedName>
    <definedName localSheetId="27" name="Status">#REF!</definedName>
    <definedName localSheetId="6" name="Lamp">#REF!</definedName>
    <definedName localSheetId="21" name="______HAL2">#REF!</definedName>
    <definedName localSheetId="27" name="jurnal">#REF!</definedName>
    <definedName localSheetId="0" name="plintubinkeramikartistik1020">#REF!</definedName>
    <definedName localSheetId="27" name="URAIAN7614b">#REF!</definedName>
    <definedName localSheetId="15" name="Fak">#REF!</definedName>
    <definedName localSheetId="17" name="tlistrik">#REF!</definedName>
    <definedName localSheetId="17" name="doorstop">#REF!</definedName>
    <definedName localSheetId="38" name="__DIV1">#REF!</definedName>
    <definedName localSheetId="0" name="________DIV4">#REF!</definedName>
    <definedName localSheetId="25" name="__HAL5">#REF!</definedName>
    <definedName localSheetId="3" name="_________LLL06">#REF!</definedName>
    <definedName localSheetId="9" name="flordrain">#REF!</definedName>
    <definedName localSheetId="21" name="grassblok">#REF!</definedName>
    <definedName localSheetId="7" name="tct">#REF!</definedName>
    <definedName localSheetId="32" name="__pvc205">#REF!</definedName>
    <definedName localSheetId="24" name="R17..">#REF!</definedName>
    <definedName localSheetId="9" name="tegelplinteraso10x30">#REF!</definedName>
    <definedName localSheetId="9" name="besijaringkawatbaja">#REF!</definedName>
    <definedName localSheetId="24" name="R60..">#REF!</definedName>
    <definedName localSheetId="19" name="kayutembesu">#REF!</definedName>
    <definedName localSheetId="30" name="URAIAN744">#REF!</definedName>
    <definedName name="Analisa70108">#REF!</definedName>
    <definedName localSheetId="18" name="batapelapisklinker">#REF!</definedName>
    <definedName localSheetId="6" name="MAI">#REF!</definedName>
    <definedName localSheetId="42" name="Print_title">#REF!</definedName>
    <definedName localSheetId="4" name="kuncisilinder">#REF!</definedName>
    <definedName localSheetId="6" name="_LLL01">#REF!</definedName>
    <definedName localSheetId="8" name="R30..">#REF!</definedName>
    <definedName name="URAIAN632">#REF!</definedName>
    <definedName localSheetId="20" name="JUDUL">#REF!</definedName>
    <definedName localSheetId="30" name="_DIV10">#REF!</definedName>
    <definedName localSheetId="4" name="SPJ">#REF!</definedName>
    <definedName localSheetId="3" name="air">#REF!</definedName>
    <definedName localSheetId="7" name="URAIAN95">#REF!</definedName>
    <definedName localSheetId="12" name="jki">#REF!</definedName>
    <definedName localSheetId="5" name="________HAL2">#REF!</definedName>
    <definedName name="FORM919">#REF!</definedName>
    <definedName localSheetId="3" name="R81..">#REF!</definedName>
    <definedName localSheetId="42" name="tm_2415921492">#REF!</definedName>
    <definedName localSheetId="33" name="rooflightfiibreglass">#REF!</definedName>
    <definedName localSheetId="10" name="______HAL2">#REF!</definedName>
    <definedName localSheetId="21" name="KERAMIK30">#REF!</definedName>
    <definedName localSheetId="17" name="_______HAL6">#REF!</definedName>
    <definedName localSheetId="42" name="plintkeramikartistik520">#REF!</definedName>
    <definedName localSheetId="28" name="c.mowi.dlm">#REF!</definedName>
    <definedName localSheetId="10" name="FORM621">#REF!</definedName>
    <definedName localSheetId="36" name="aa">#REF!</definedName>
    <definedName localSheetId="27" name="borneo5.10">#REF!</definedName>
    <definedName localSheetId="21" name="FORM611">#REF!</definedName>
    <definedName localSheetId="34" name="URAIAN7614b">#REF!</definedName>
    <definedName localSheetId="32" name="split1.2">#REF!</definedName>
    <definedName localSheetId="34" name="profilalumuniumT">#REF!</definedName>
    <definedName localSheetId="21" name="cattembok">#REF!</definedName>
    <definedName localSheetId="6" name="_______HAL3">#REF!</definedName>
    <definedName localSheetId="21" name="R6..">#REF!</definedName>
    <definedName localSheetId="23" name="KERAMIK30">#REF!</definedName>
    <definedName localSheetId="44" name="________MMM46">#REF!</definedName>
    <definedName localSheetId="42" name="kompresor">#REF!</definedName>
    <definedName localSheetId="23" name="bubunganasbesgelombang">#REF!</definedName>
    <definedName localSheetId="44" name="dua">#REF!</definedName>
    <definedName localSheetId="21" name="panelbetonpracetak">#REF!</definedName>
    <definedName localSheetId="12" name="ktbs">#REF!</definedName>
    <definedName localSheetId="3" name="___MMM18">#REF!</definedName>
    <definedName localSheetId="36" name="ubinkeramik1515">#REF!</definedName>
    <definedName localSheetId="44" name="__MMM09">#REF!</definedName>
    <definedName localSheetId="3" name="rooflightfiibreglass">#REF!</definedName>
    <definedName localSheetId="3" name="URAIAN772a">#REF!</definedName>
    <definedName localSheetId="21" name="_________MMM07">#REF!</definedName>
    <definedName localSheetId="32" name="___DIV10">#REF!</definedName>
    <definedName localSheetId="38" name="URAIANLatasirKL">#REF!</definedName>
    <definedName localSheetId="36" name="B.Jambi">#REF!</definedName>
    <definedName localSheetId="19" name="bilikbambu">#REF!</definedName>
    <definedName localSheetId="15" name="______DIV4">#REF!</definedName>
    <definedName localSheetId="4" name="__tl2">#REF!</definedName>
    <definedName localSheetId="20" name="URAIAN7614d">#REF!</definedName>
    <definedName localSheetId="42" name="NAMA3">#REF!</definedName>
    <definedName localSheetId="33" name="medan5.7">#REF!</definedName>
    <definedName localSheetId="10" name="kayutembesu">#REF!</definedName>
    <definedName localSheetId="40" name="KUANTITAS">#REF!</definedName>
    <definedName localSheetId="18" name="rincian">#REF!</definedName>
    <definedName localSheetId="13" name="FORM631">#REF!</definedName>
    <definedName localSheetId="7" name="_MMM53">#REF!</definedName>
    <definedName localSheetId="12" name="______MMM03">#REF!</definedName>
    <definedName localSheetId="31" name="kawatduri">#REF!</definedName>
    <definedName localSheetId="39" name="_DIV4">#REF!</definedName>
    <definedName localSheetId="24" name="FORM772d">#REF!</definedName>
    <definedName localSheetId="19" name="__pvc3">#REF!</definedName>
    <definedName localSheetId="41" name="R5..">#REF!</definedName>
    <definedName localSheetId="10" name="SPJ">#REF!</definedName>
    <definedName localSheetId="36" name="FORM732">#REF!</definedName>
    <definedName localSheetId="12" name="URAIAN771a">#REF!</definedName>
    <definedName localSheetId="17" name="________MMM23">#REF!</definedName>
    <definedName localSheetId="39" name="s.warna">#REF!</definedName>
    <definedName localSheetId="40" name="batukali14">#REF!</definedName>
    <definedName localSheetId="23" name="formica">#REF!</definedName>
    <definedName localSheetId="15" name="tl2x40">#REF!</definedName>
    <definedName localSheetId="17" name="karpet">#REF!</definedName>
    <definedName localSheetId="24" name="R2..">#REF!</definedName>
    <definedName localSheetId="19" name="ubingranito40">#REF!</definedName>
    <definedName localSheetId="23" name="kolombetonpracetak">#REF!</definedName>
    <definedName localSheetId="44" name="___MMM16">#REF!</definedName>
    <definedName localSheetId="19" name="______DIV4">#REF!</definedName>
    <definedName localSheetId="19" name="vinylkaret3030">#REF!</definedName>
    <definedName localSheetId="5" name="kawatduri">#REF!</definedName>
    <definedName localSheetId="15" name="__LLL03">#REF!</definedName>
    <definedName localSheetId="4" name="BM">#REF!</definedName>
    <definedName name="borneo4.6">#REF!</definedName>
    <definedName localSheetId="17" name="URAIAN232">#REF!</definedName>
    <definedName localSheetId="3" name="_______MMM26">#REF!</definedName>
    <definedName localSheetId="27" name="SUNGAI_BERTAM">#REF!</definedName>
    <definedName localSheetId="15" name="s.warna">#REF!</definedName>
    <definedName localSheetId="30" name="FORM611">#REF!</definedName>
    <definedName localSheetId="10" name="________MMM02">#REF!</definedName>
    <definedName localSheetId="44" name="________HAL1">#REF!</definedName>
    <definedName localSheetId="31" name="URAIAN621">#REF!</definedName>
    <definedName localSheetId="32" name="R1..">#REF!</definedName>
    <definedName localSheetId="10" name="gymfloor">#REF!</definedName>
    <definedName localSheetId="19" name="kayubulian">#REF!</definedName>
    <definedName localSheetId="19" name="Pengadaan">#REF!</definedName>
    <definedName localSheetId="12" name="ubinkeramik1515">#REF!</definedName>
    <definedName localSheetId="24" name="_________HAL1">#REF!</definedName>
    <definedName name="R83..">#REF!</definedName>
    <definedName localSheetId="5" name="FORM7610">#REF!</definedName>
    <definedName localSheetId="17" name="_______MMM09">#REF!</definedName>
    <definedName localSheetId="11" name="Jendelabesibaja">#REF!</definedName>
    <definedName localSheetId="34" name="sirap">#REF!</definedName>
    <definedName localSheetId="34" name="air">#REF!</definedName>
    <definedName localSheetId="31" name="oemar">#REF!</definedName>
    <definedName localSheetId="27" name="cattembok">#REF!</definedName>
    <definedName name="borneo5.7">#REF!</definedName>
    <definedName localSheetId="44" name="_pvc3">#REF!</definedName>
    <definedName localSheetId="0" name="bilikbambu">#REF!</definedName>
    <definedName localSheetId="0" name="besi10.sii">#REF!</definedName>
    <definedName localSheetId="11" name="pajak">#REF!</definedName>
    <definedName localSheetId="7" name="___MMM16">#REF!</definedName>
    <definedName localSheetId="30" name="_818FA">#REF!</definedName>
    <definedName localSheetId="13" name="_______DIV10">#REF!</definedName>
    <definedName localSheetId="8" name="plintkeramikartistik1020">#REF!</definedName>
    <definedName localSheetId="8" name="bbm">#REF!</definedName>
    <definedName localSheetId="21" name="k.roman.40.40.polos">#REF!</definedName>
    <definedName localSheetId="23" name="koralbeton">#REF!</definedName>
    <definedName localSheetId="12" name="pintusunscreenalluminium">#REF!</definedName>
    <definedName localSheetId="42" name="kawatnyamuk">#REF!</definedName>
    <definedName localSheetId="31" name="MMM17A">#REF!</definedName>
    <definedName name="________MMM03">#REF!</definedName>
    <definedName localSheetId="4" name="URAIAN744">#REF!</definedName>
    <definedName localSheetId="25" name="URAIAN7614d">#REF!</definedName>
    <definedName localSheetId="11" name="FORMLatasirKL">#REF!</definedName>
    <definedName localSheetId="17" name="______LLL11">#REF!</definedName>
    <definedName localSheetId="31" name="URAIAN771c">#REF!</definedName>
    <definedName localSheetId="8" name="jurnal1">#REF!</definedName>
    <definedName localSheetId="38" name="_____HAL1">#REF!</definedName>
    <definedName localSheetId="15" name="sabun">#REF!</definedName>
    <definedName localSheetId="34" name="kawatsengpolos">#REF!</definedName>
    <definedName localSheetId="20" name="Uraian8410">#REF!</definedName>
    <definedName localSheetId="41" name="c.mowi.dlm">#REF!</definedName>
    <definedName localSheetId="7" name="________HAL3">#REF!</definedName>
    <definedName localSheetId="12" name="URAIAN7614d">#REF!</definedName>
    <definedName localSheetId="0" name="f">#REF!</definedName>
    <definedName localSheetId="38" name="plamur.matex">#REF!</definedName>
    <definedName localSheetId="19" name="koralbeton">#REF!</definedName>
    <definedName name="besi6.sii">#REF!</definedName>
    <definedName localSheetId="34" name="FORM323L">#REF!</definedName>
    <definedName localSheetId="7" name="R82..">#REF!</definedName>
    <definedName localSheetId="42" name="roll">#REF!</definedName>
    <definedName localSheetId="42" name="doorstop">#REF!</definedName>
    <definedName localSheetId="7" name="__pvc105">#REF!</definedName>
    <definedName localSheetId="39" name="_________HAL2">#REF!</definedName>
    <definedName localSheetId="24" name="__MMM39">#REF!</definedName>
    <definedName localSheetId="6" name="karpetwooldannilon">#REF!</definedName>
    <definedName localSheetId="18" name="KECAMATAN_KODEOHA">#REF!</definedName>
    <definedName localSheetId="8" name="__LLL01">#REF!</definedName>
    <definedName localSheetId="17" name="____DIV5">#REF!</definedName>
    <definedName localSheetId="34" name="ubingranito40">#REF!</definedName>
    <definedName localSheetId="40" name="besi13">#REF!</definedName>
    <definedName localSheetId="10" name="plintubinwarna1020">#REF!</definedName>
    <definedName localSheetId="32" name="URAIAN621">#REF!</definedName>
    <definedName localSheetId="21" name="_____DIV2">#REF!</definedName>
    <definedName localSheetId="24" name="split2.3">#REF!</definedName>
    <definedName name="_________MMM22">#REF!</definedName>
    <definedName localSheetId="36" name="kuas">#REF!</definedName>
    <definedName localSheetId="39" name="sofboard">#REF!</definedName>
    <definedName localSheetId="44" name="______MMM36">#REF!</definedName>
    <definedName localSheetId="0" name="ubinkeramikartistik520">#REF!</definedName>
    <definedName localSheetId="4" name="_______HAL2">#REF!</definedName>
    <definedName localSheetId="21" name="___MMM37">#REF!</definedName>
    <definedName localSheetId="10" name="lemvinyl">#REF!</definedName>
    <definedName localSheetId="34" name="URAIAN7613b">#REF!</definedName>
    <definedName localSheetId="28" name="Analisa511">#REF!</definedName>
    <definedName localSheetId="3" name="gentengpalentong">#REF!</definedName>
    <definedName localSheetId="24" name="_________MMM32">#REF!</definedName>
    <definedName localSheetId="23" name="plintubinteraluxmarmer1060">#REF!</definedName>
    <definedName localSheetId="8" name="Excel_BuiltIn_Print_Titles_1">#REF!</definedName>
    <definedName localSheetId="24" name="R47..">#REF!</definedName>
    <definedName localSheetId="15" name="plintkeramikartistik1020">#REF!</definedName>
    <definedName localSheetId="21" name="R77..">#REF!</definedName>
    <definedName localSheetId="24" name="_____MMM52">#REF!</definedName>
    <definedName localSheetId="30" name="P">#REF!</definedName>
    <definedName localSheetId="34" name="waterstop200">#REF!</definedName>
    <definedName localSheetId="5" name="________DIV3">#REF!</definedName>
    <definedName localSheetId="30" name="_MMM03">#REF!</definedName>
    <definedName localSheetId="44" name="besi13u">#REF!</definedName>
    <definedName localSheetId="18" name="hcs">#REF!</definedName>
    <definedName localSheetId="10" name="UP">#REF!</definedName>
    <definedName localSheetId="17" name="plintubinpcabuabu1520">#REF!</definedName>
    <definedName localSheetId="15" name="papanbekisting">#REF!</definedName>
    <definedName localSheetId="5" name="URAIAN22E">#REF!</definedName>
    <definedName localSheetId="10" name="platasbes4mm">#REF!</definedName>
    <definedName localSheetId="4" name="kayutembesu">#REF!</definedName>
    <definedName localSheetId="19" name="kuncisilinder">#REF!</definedName>
    <definedName localSheetId="3" name="FORM734">#REF!</definedName>
    <definedName localSheetId="11" name="borneo4.6">#REF!</definedName>
    <definedName localSheetId="23" name="cghj">#REF!</definedName>
    <definedName localSheetId="28" name="___MMM02">#REF!</definedName>
    <definedName localSheetId="10" name="___pc50">#REF!</definedName>
    <definedName localSheetId="44" name="________MMM02">#REF!</definedName>
    <definedName localSheetId="33" name="besi10.sii">#REF!</definedName>
    <definedName localSheetId="32" name="URAIAN7614d">#REF!</definedName>
    <definedName localSheetId="44" name="sealtape">#REF!</definedName>
    <definedName localSheetId="3" name="k.beton">#REF!</definedName>
    <definedName localSheetId="3" name="_________DIV3">#REF!</definedName>
    <definedName localSheetId="4" name="FORMLatasirK">#REF!</definedName>
    <definedName localSheetId="11" name="____HAL2">#REF!</definedName>
    <definedName localSheetId="32" name="R2..">#REF!</definedName>
    <definedName localSheetId="12" name="Kunci2">#REF!</definedName>
    <definedName localSheetId="18" name="R21..">#REF!</definedName>
    <definedName localSheetId="24" name="__MMM19">#REF!</definedName>
    <definedName name="R28..">#REF!</definedName>
    <definedName localSheetId="7" name="NAMA2">#REF!</definedName>
    <definedName localSheetId="24" name="_______MMM44">#REF!</definedName>
    <definedName localSheetId="44" name="__MMM52">#REF!</definedName>
    <definedName localSheetId="42" name="kaca.es">#REF!</definedName>
    <definedName localSheetId="23" name="bakkontrol">#REF!</definedName>
    <definedName localSheetId="19" name="urugan">#REF!</definedName>
    <definedName localSheetId="19" name="hakangin">#REF!</definedName>
    <definedName localSheetId="24" name="kapursirih">#REF!</definedName>
    <definedName localSheetId="21" name="_______DIV3">#REF!</definedName>
    <definedName localSheetId="28" name="floorhardenermastercron">#REF!</definedName>
    <definedName localSheetId="17" name="_______LLL11">#REF!</definedName>
    <definedName localSheetId="17" name="split2.3">#REF!</definedName>
    <definedName localSheetId="6" name="cycllop">#REF!</definedName>
    <definedName localSheetId="41" name="_______DIV3">#REF!</definedName>
    <definedName localSheetId="24" name="batapelapisdinding">#REF!</definedName>
    <definedName localSheetId="21" name="Absen">#REF!</definedName>
    <definedName localSheetId="23" name="pddk">#REF!</definedName>
    <definedName localSheetId="17" name="___MMM33">#REF!</definedName>
    <definedName localSheetId="33" name="bjls25">#REF!</definedName>
    <definedName localSheetId="44" name="Analisa70107">#REF!</definedName>
    <definedName localSheetId="7" name="________HAL1">#REF!</definedName>
    <definedName localSheetId="6" name="Fak">#REF!</definedName>
    <definedName localSheetId="24" name="URAIAN232">#REF!</definedName>
    <definedName localSheetId="8" name="plintubinwarna1040">#REF!</definedName>
    <definedName localSheetId="42" name="sengbjls25">#REF!</definedName>
    <definedName localSheetId="21" name="________DIV9">#REF!</definedName>
    <definedName localSheetId="17" name="__MMM02">#REF!</definedName>
    <definedName localSheetId="33" name="sunloid">#REF!</definedName>
    <definedName localSheetId="10" name="gabin_al">#REF!</definedName>
    <definedName localSheetId="12" name="________HAL3">#REF!</definedName>
    <definedName localSheetId="20" name="URAIAN745">#REF!</definedName>
    <definedName localSheetId="24" name="marmer">#REF!</definedName>
    <definedName localSheetId="12" name="______DIV10">#REF!</definedName>
    <definedName name="_______MMM03">#REF!</definedName>
    <definedName localSheetId="36" name="ktbs">#REF!</definedName>
    <definedName localSheetId="28" name="_DIV1">#REF!</definedName>
    <definedName localSheetId="6" name="alba2.20">#REF!</definedName>
    <definedName localSheetId="5" name="FORM731">#REF!</definedName>
    <definedName localSheetId="21" name="___LLL11">#REF!</definedName>
    <definedName localSheetId="12" name="w.stain">#REF!</definedName>
    <definedName localSheetId="23" name="_____MMM01">#REF!</definedName>
    <definedName localSheetId="44" name="DFFFGGG">#REF!</definedName>
    <definedName localSheetId="21" name="R106..">#REF!</definedName>
    <definedName name="R59..">#REF!</definedName>
    <definedName localSheetId="33" name="stairnzing">#REF!</definedName>
    <definedName localSheetId="17" name="______MMM44">#REF!</definedName>
    <definedName localSheetId="11" name="Z">#REF!</definedName>
    <definedName localSheetId="24" name="profilalumuniumT">#REF!</definedName>
    <definedName localSheetId="4" name="plintubinwarna1040">#REF!</definedName>
    <definedName localSheetId="3" name="beton100kg">#REF!</definedName>
    <definedName name="plintubinteraluxmarmer1040">#REF!</definedName>
    <definedName localSheetId="40" name="__Tl1">#REF!</definedName>
    <definedName localSheetId="28" name="________HAL1">#REF!</definedName>
    <definedName localSheetId="39" name="______MMM01">#REF!</definedName>
    <definedName localSheetId="25" name="Catbesi">#REF!</definedName>
    <definedName localSheetId="33" name="terntang">#REF!</definedName>
    <definedName localSheetId="30" name="______MMM01">#REF!</definedName>
    <definedName localSheetId="44" name="________MMM49">#REF!</definedName>
    <definedName name="Analisa611">#REF!</definedName>
    <definedName localSheetId="42" name="vinylasbes">#REF!</definedName>
    <definedName localSheetId="39" name="begisting">#REF!</definedName>
    <definedName name="_______MMM48">#REF!</definedName>
    <definedName localSheetId="23" name="sirap">#REF!</definedName>
    <definedName localSheetId="20" name="_kop5">#REF!</definedName>
    <definedName localSheetId="13" name="besiprofilWF">#REF!</definedName>
    <definedName localSheetId="21" name="____MMM40">#REF!</definedName>
    <definedName localSheetId="41" name="______DIV4">#REF!</definedName>
    <definedName localSheetId="44" name="floorhardenermastercron">#REF!</definedName>
    <definedName localSheetId="0" name="URAIAN721">#REF!</definedName>
    <definedName name="________MMM20">#REF!</definedName>
    <definedName localSheetId="8" name="kawatduri">#REF!</definedName>
    <definedName localSheetId="34" name="plintubinteraluxmarmer1040">#REF!</definedName>
    <definedName localSheetId="18" name="penduduk">#REF!</definedName>
    <definedName localSheetId="32" name="______MMM02">#REF!</definedName>
    <definedName localSheetId="32" name="plintubingranito1030">#REF!</definedName>
    <definedName localSheetId="39" name="kalkarium">#REF!</definedName>
    <definedName localSheetId="7" name="___LLL03">#REF!</definedName>
    <definedName localSheetId="31" name="gabin_al">#REF!</definedName>
    <definedName localSheetId="21" name="___LLL10">#REF!</definedName>
    <definedName localSheetId="6" name="k.beton">#REF!</definedName>
    <definedName localSheetId="31" name="__HAL5">#REF!</definedName>
    <definedName localSheetId="25" name="kayuterentang">#REF!</definedName>
    <definedName localSheetId="7" name="_DIV1">#REF!</definedName>
    <definedName localSheetId="7" name="R24..">#REF!</definedName>
    <definedName localSheetId="17" name="__MMM28">#REF!</definedName>
    <definedName localSheetId="17" name="______MMM54">#REF!</definedName>
    <definedName localSheetId="23" name="washtafel">#REF!</definedName>
    <definedName localSheetId="5" name="Jendelabesibaja">#REF!</definedName>
    <definedName localSheetId="34" name="stairnzing">#REF!</definedName>
    <definedName localSheetId="4" name="pindahan">#REF!</definedName>
    <definedName localSheetId="36" name="DUDI">#REF!</definedName>
    <definedName localSheetId="9" name="pintualuminium">#REF!</definedName>
    <definedName localSheetId="4" name="vinylasbes">#REF!</definedName>
    <definedName localSheetId="3" name="R48..">#REF!</definedName>
    <definedName localSheetId="7" name="_________LLL09">#REF!</definedName>
    <definedName localSheetId="36" name="FORM771c">#REF!</definedName>
    <definedName localSheetId="13" name="t.sabun">#REF!</definedName>
    <definedName localSheetId="17" name="_________HAL3">#REF!</definedName>
    <definedName localSheetId="23" name="tegelplinteraso10x30">#REF!</definedName>
    <definedName localSheetId="44" name="_________DIV1">#REF!</definedName>
    <definedName localSheetId="34" name="b.belah">#REF!</definedName>
    <definedName localSheetId="44" name="Ker.L13">#REF!</definedName>
    <definedName localSheetId="11" name="nokpaten105">#REF!</definedName>
    <definedName localSheetId="44" name="doorstop">#REF!</definedName>
    <definedName localSheetId="3" name="u.cor">#REF!</definedName>
    <definedName localSheetId="32" name="sirap">#REF!</definedName>
    <definedName localSheetId="17" name="URAIAN633">#REF!</definedName>
    <definedName localSheetId="44" name="PTJW">#REF!</definedName>
    <definedName localSheetId="7" name="_____MMM47">#REF!</definedName>
    <definedName localSheetId="28" name="alangalang">#REF!</definedName>
    <definedName localSheetId="7" name="_____DIV1">#REF!</definedName>
    <definedName localSheetId="8" name="_____MMM02">#REF!</definedName>
    <definedName localSheetId="44" name="_MMM07">#REF!</definedName>
    <definedName localSheetId="23" name="FORM745">#REF!</definedName>
    <definedName localSheetId="21" name="_____DIV1">#REF!</definedName>
    <definedName localSheetId="3" name="R24..">#REF!</definedName>
    <definedName localSheetId="42" name="bjls25">#REF!</definedName>
    <definedName localSheetId="19" name="waterstop200">#REF!</definedName>
    <definedName localSheetId="11" name="pagarseng2m">#REF!</definedName>
    <definedName localSheetId="44" name="pvc3.4.aw">#REF!</definedName>
    <definedName localSheetId="11" name="formica">#REF!</definedName>
    <definedName localSheetId="24" name="_MMM14">#REF!</definedName>
    <definedName localSheetId="30" name="Z">#REF!</definedName>
    <definedName localSheetId="5" name="bubungangentengkodok">#REF!</definedName>
    <definedName localSheetId="28" name="tegel20">#REF!</definedName>
    <definedName localSheetId="15" name="nokpaten105">#REF!</definedName>
    <definedName localSheetId="10" name="plintubinteraluxkerang1060">#REF!</definedName>
    <definedName localSheetId="44" name="______DIV10">#REF!</definedName>
    <definedName localSheetId="3" name="___MMM15">#REF!</definedName>
    <definedName localSheetId="3" name="_MMM30">#REF!</definedName>
    <definedName localSheetId="33" name="pengencer">#REF!</definedName>
    <definedName localSheetId="21" name="____MMM18">#REF!</definedName>
    <definedName localSheetId="44" name="__tl2">#REF!</definedName>
    <definedName localSheetId="24" name="FORM744">#REF!</definedName>
    <definedName localSheetId="41" name="ubinkeramik1033">#REF!</definedName>
    <definedName localSheetId="12" name="cghj">#REF!</definedName>
    <definedName localSheetId="25" name="borneo5.10">#REF!</definedName>
    <definedName localSheetId="44" name="jendelanako">#REF!</definedName>
    <definedName localSheetId="39" name="JA">#REF!</definedName>
    <definedName localSheetId="8" name="profilalumuniumT">#REF!</definedName>
    <definedName name="_______MMM14">#REF!</definedName>
    <definedName localSheetId="39" name="venetionblinds">#REF!</definedName>
    <definedName localSheetId="4" name="kaca5">#REF!</definedName>
    <definedName localSheetId="8" name="panelbetonpracetak">#REF!</definedName>
    <definedName localSheetId="25" name="_DIV10">#REF!</definedName>
    <definedName localSheetId="6" name="aa">#REF!</definedName>
    <definedName localSheetId="7" name="kaca3">#REF!</definedName>
    <definedName localSheetId="12" name="ppn.m.3.20.serut">#REF!</definedName>
    <definedName localSheetId="27" name="rapidrant">#REF!</definedName>
    <definedName localSheetId="30" name="kmp.banjar">#REF!</definedName>
    <definedName localSheetId="41" name="BM">#REF!</definedName>
    <definedName localSheetId="44" name="URAIAN911">#REF!</definedName>
    <definedName localSheetId="28" name="__LLL01">#REF!</definedName>
    <definedName localSheetId="27" name="URAIAN633">#REF!</definedName>
    <definedName localSheetId="15" name="URAIAN732">#REF!</definedName>
    <definedName localSheetId="44" name="URAIAN632">#REF!</definedName>
    <definedName localSheetId="44" name="_MMM38">#REF!</definedName>
    <definedName localSheetId="19" name="amplas">#REF!</definedName>
    <definedName localSheetId="32" name="Print_title">#REF!</definedName>
    <definedName localSheetId="24" name="G.Kramik">#REF!</definedName>
    <definedName localSheetId="27" name="_HAL6">#REF!</definedName>
    <definedName localSheetId="21" name="beton175m">#REF!</definedName>
    <definedName name="_MMM13">#REF!</definedName>
    <definedName localSheetId="21" name="________LLL07">#REF!</definedName>
    <definedName localSheetId="30" name="URAIAN612">#REF!</definedName>
    <definedName localSheetId="42" name="nmdaerah">#REF!</definedName>
    <definedName localSheetId="7" name="aluminiumfoil">#REF!</definedName>
    <definedName localSheetId="38" name="batamerah">#REF!</definedName>
    <definedName localSheetId="39" name="kran.bbk">#REF!</definedName>
    <definedName localSheetId="3" name="__MMM08">#REF!</definedName>
    <definedName localSheetId="27" name="FORM7612c">#REF!</definedName>
    <definedName localSheetId="40" name="jj">#REF!</definedName>
    <definedName localSheetId="38" name="bubungangentengbesar">#REF!</definedName>
    <definedName localSheetId="38" name="plintubinteraluxmarmer1060">#REF!</definedName>
    <definedName localSheetId="13" name="water.prof">#REF!</definedName>
    <definedName localSheetId="17" name="_______DIV7">#REF!</definedName>
    <definedName localSheetId="21" name="tegelporselen">#REF!</definedName>
    <definedName localSheetId="24" name="R98..">#REF!</definedName>
    <definedName localSheetId="21" name="gymfloor">#REF!</definedName>
    <definedName localSheetId="20" name="mlex.w">#REF!</definedName>
    <definedName localSheetId="12" name="_______MMM02">#REF!</definedName>
    <definedName localSheetId="4" name="SUNGAI_BERTAM">#REF!</definedName>
    <definedName localSheetId="32" name="pengencer">#REF!</definedName>
    <definedName localSheetId="20" name="gymfloor">#REF!</definedName>
    <definedName localSheetId="21" name="_DIV1">#REF!</definedName>
    <definedName localSheetId="6" name="jurnal1">#REF!</definedName>
    <definedName localSheetId="0" name="FORM7613c">#REF!</definedName>
    <definedName localSheetId="0" name="ts">#REF!</definedName>
    <definedName localSheetId="24" name="_____MMM08">#REF!</definedName>
    <definedName localSheetId="30" name="engsel3">#REF!</definedName>
    <definedName localSheetId="44" name="FORM611">#REF!</definedName>
    <definedName localSheetId="41" name="kayukruing">#REF!</definedName>
    <definedName localSheetId="27" name="_MMM01">#REF!</definedName>
    <definedName localSheetId="5" name="URAIAN7612c">#REF!</definedName>
    <definedName localSheetId="21" name="pvc.3.mas.d">#REF!</definedName>
    <definedName localSheetId="15" name="GRC">#REF!</definedName>
    <definedName localSheetId="38" name="FORM745">#REF!</definedName>
    <definedName localSheetId="0" name="Pc.50">#REF!</definedName>
    <definedName localSheetId="10" name="URAIAN631">#REF!</definedName>
    <definedName localSheetId="7" name="_______MMM31">#REF!</definedName>
    <definedName localSheetId="3" name="_________MMM44">#REF!</definedName>
    <definedName localSheetId="12" name="pakubulian">#REF!</definedName>
    <definedName localSheetId="40" name="FORM612">#REF!</definedName>
    <definedName localSheetId="23" name="s.tukang">#REF!</definedName>
    <definedName localSheetId="21" name="s.warna">#REF!</definedName>
    <definedName localSheetId="41" name="terasocor">#REF!</definedName>
    <definedName localSheetId="44" name="Z">#REF!</definedName>
    <definedName localSheetId="24" name="SUNGAI_BERTAM">#REF!</definedName>
    <definedName localSheetId="13" name="venetionblinds">#REF!</definedName>
    <definedName localSheetId="25" name="sirap">#REF!</definedName>
    <definedName localSheetId="36" name="besi10.sii">#REF!</definedName>
    <definedName localSheetId="13" name="pindahan">#REF!</definedName>
    <definedName localSheetId="17" name="R89..">#REF!</definedName>
    <definedName name="_______HAL7">#REF!</definedName>
    <definedName localSheetId="25" name="FORM66PERATA">#REF!</definedName>
    <definedName localSheetId="23" name="_818FA">#REF!</definedName>
    <definedName localSheetId="13" name="alba2.20">#REF!</definedName>
    <definedName localSheetId="5" name="psr.trs">#REF!</definedName>
    <definedName localSheetId="0" name="k.ddg.rmn.20.25.pls">#REF!</definedName>
    <definedName localSheetId="0" name="alba2.20">#REF!</definedName>
    <definedName localSheetId="44" name="________HAL7">#REF!</definedName>
    <definedName localSheetId="36" name="u">#REF!</definedName>
    <definedName localSheetId="44" name="________MMM21">#REF!</definedName>
    <definedName name="bubunganstelgelombang108">#REF!</definedName>
    <definedName localSheetId="36" name="Jasa">#REF!</definedName>
    <definedName localSheetId="38" name="_MMM02">#REF!</definedName>
    <definedName localSheetId="12" name="FORM7612b">#REF!</definedName>
    <definedName localSheetId="20" name="Grendel">#REF!</definedName>
    <definedName localSheetId="0" name="________DIV10">#REF!</definedName>
    <definedName localSheetId="7" name="kayutembesu">#REF!</definedName>
    <definedName localSheetId="39" name="xxxxx">#REF!</definedName>
    <definedName localSheetId="0" name="relpintudorong">#REF!</definedName>
    <definedName localSheetId="32" name="aa">#REF!</definedName>
    <definedName localSheetId="3" name="_MMM02">#REF!</definedName>
    <definedName localSheetId="39" name="platasbes4mm">#REF!</definedName>
    <definedName localSheetId="24" name="_____LLL05">#REF!</definedName>
    <definedName localSheetId="9" name="kran.bbk">#REF!</definedName>
    <definedName localSheetId="19" name="______DIV2">#REF!</definedName>
    <definedName localSheetId="21" name="_________MMM23">#REF!</definedName>
    <definedName localSheetId="3" name="________LLL11">#REF!</definedName>
    <definedName localSheetId="39" name="amobiotic">#REF!</definedName>
    <definedName name="_MMM53">#REF!</definedName>
    <definedName localSheetId="18" name="ASISTEN_BIDANG_PEMERINTAHAN">#REF!</definedName>
    <definedName localSheetId="21" name="FORM7613a">#REF!</definedName>
    <definedName localSheetId="42" name="mlex.w">#REF!</definedName>
    <definedName localSheetId="7" name="ramset">#REF!</definedName>
    <definedName localSheetId="33" name="URAIAN79manual">#REF!</definedName>
    <definedName localSheetId="44" name="_____MMM23">#REF!</definedName>
    <definedName localSheetId="44" name="u.bekisting">#REF!</definedName>
    <definedName localSheetId="24" name="____MMM33">#REF!</definedName>
    <definedName localSheetId="3" name="pintulipat">#REF!</definedName>
    <definedName localSheetId="3" name="________HAL3">#REF!</definedName>
    <definedName localSheetId="19" name="URAIAN7614d">#REF!</definedName>
    <definedName localSheetId="39" name="keramik20">#REF!</definedName>
    <definedName localSheetId="3" name="UPAH">#REF!</definedName>
    <definedName localSheetId="24" name="platasbes">#REF!</definedName>
    <definedName localSheetId="24" name="URAIAN772c">#REF!</definedName>
    <definedName localSheetId="11" name="pakusumbat">#REF!</definedName>
    <definedName localSheetId="44" name="_818PK">#REF!</definedName>
    <definedName localSheetId="0" name="FORM7614a">#REF!</definedName>
    <definedName name="______MMM09">#REF!</definedName>
    <definedName localSheetId="36" name="plintkeramikartistik1010">#REF!</definedName>
    <definedName localSheetId="42" name="ls">#REF!</definedName>
    <definedName name="_____MMM15">#REF!</definedName>
    <definedName localSheetId="42" name="__HAL1">#REF!</definedName>
    <definedName localSheetId="40" name="pagarseng2m">#REF!</definedName>
    <definedName localSheetId="10" name="bubungangentengbeton">#REF!</definedName>
    <definedName localSheetId="3" name="ubinwarna20">#REF!</definedName>
    <definedName localSheetId="19" name="medan5.7">#REF!</definedName>
    <definedName localSheetId="27" name="_MMM03">#REF!</definedName>
    <definedName localSheetId="30" name="pakuskrup">#REF!</definedName>
    <definedName localSheetId="3" name="___DIV5">#REF!</definedName>
    <definedName name="_______DIV10">#REF!</definedName>
    <definedName name="____MMM11">#REF!</definedName>
    <definedName localSheetId="17" name="sodaapi">#REF!</definedName>
    <definedName localSheetId="34" name="xxxxx">#REF!</definedName>
    <definedName localSheetId="7" name="batacote">#REF!</definedName>
    <definedName localSheetId="6" name="UTAIAN7614c">#REF!</definedName>
    <definedName name="URAIAN915">#REF!</definedName>
    <definedName localSheetId="12" name="Closet.c420">#REF!</definedName>
    <definedName localSheetId="24" name="R102..">#REF!</definedName>
    <definedName localSheetId="30" name="KERAMIK30">#REF!</definedName>
    <definedName localSheetId="11" name="plintubinteraso1040">#REF!</definedName>
    <definedName localSheetId="0" name="list">#REF!</definedName>
    <definedName localSheetId="17" name="Kekurangan">#REF!</definedName>
    <definedName localSheetId="24" name="FORM636">#REF!</definedName>
    <definedName localSheetId="17" name="_DIV4">#REF!</definedName>
    <definedName localSheetId="9" name="ASET">#REF!</definedName>
    <definedName localSheetId="7" name="_818FA">#REF!</definedName>
    <definedName localSheetId="44" name="_____MMM44">#REF!</definedName>
    <definedName localSheetId="4" name="aaaaa">#REF!</definedName>
    <definedName localSheetId="8" name="sunloid">#REF!</definedName>
    <definedName localSheetId="27" name="nnnnn">#REF!</definedName>
    <definedName localSheetId="18" name="marmer">#REF!</definedName>
    <definedName localSheetId="17" name="____MMM34">#REF!</definedName>
    <definedName localSheetId="4" name="Z">#REF!</definedName>
    <definedName localSheetId="41" name="y">#REF!</definedName>
    <definedName localSheetId="21" name="plintubinpcabuabu1040">#REF!</definedName>
    <definedName localSheetId="3" name="waterstop150">#REF!</definedName>
    <definedName localSheetId="44" name="__MMM411">#REF!</definedName>
    <definedName localSheetId="7" name="R38..">#REF!</definedName>
    <definedName localSheetId="24" name="plintubinpcabuabu1520">#REF!</definedName>
    <definedName localSheetId="19" name="reng">#REF!</definedName>
    <definedName localSheetId="6" name="_MMM03">#REF!</definedName>
    <definedName localSheetId="20" name="Batupuru">#REF!</definedName>
    <definedName localSheetId="4" name="rincian">#REF!</definedName>
    <definedName localSheetId="27" name="sdg">#REF!</definedName>
    <definedName localSheetId="25" name="sssssss">#REF!</definedName>
    <definedName localSheetId="15" name="paku5.7.10">#REF!</definedName>
    <definedName localSheetId="17" name="rincian">#REF!</definedName>
    <definedName name="FORM635A">#REF!</definedName>
    <definedName localSheetId="27" name="papanbekisting">#REF!</definedName>
    <definedName localSheetId="44" name="ubinkeramik2525">#REF!</definedName>
    <definedName localSheetId="27" name="___DIV3">#REF!</definedName>
    <definedName localSheetId="7" name="ubinkeramikartistik520">#REF!</definedName>
    <definedName localSheetId="23" name="sis">#REF!</definedName>
    <definedName localSheetId="11" name="URAIAN731">#REF!</definedName>
    <definedName localSheetId="12" name="kayuborneo">#REF!</definedName>
    <definedName localSheetId="3" name="pijar15">#REF!</definedName>
    <definedName localSheetId="21" name="R71..">#REF!</definedName>
    <definedName localSheetId="44" name="FORMLatasirK">#REF!</definedName>
    <definedName localSheetId="18" name="URAIAN621">#REF!</definedName>
    <definedName localSheetId="25" name="sealer">#REF!</definedName>
    <definedName localSheetId="33" name="kiki">#REF!</definedName>
    <definedName localSheetId="17" name="FORM632">#REF!</definedName>
    <definedName localSheetId="17" name="karung">#REF!</definedName>
    <definedName name="jurnal1">#REF!</definedName>
    <definedName localSheetId="8" name="rincian">#REF!</definedName>
    <definedName localSheetId="8" name="lb">#REF!</definedName>
    <definedName localSheetId="19" name="___DIV3">#REF!</definedName>
    <definedName localSheetId="40" name="____HAL1">#REF!</definedName>
    <definedName localSheetId="31" name="P">#REF!</definedName>
    <definedName localSheetId="41" name="URAIANLatasirK">#REF!</definedName>
    <definedName localSheetId="11" name="______DIV4">#REF!</definedName>
    <definedName localSheetId="7" name="__MMM54">#REF!</definedName>
    <definedName localSheetId="25" name="kayubulian">#REF!</definedName>
    <definedName localSheetId="7" name="____MMM49">#REF!</definedName>
    <definedName localSheetId="31" name="Jendelabesibaja">#REF!</definedName>
    <definedName localSheetId="17" name="_MMM29">#REF!</definedName>
    <definedName localSheetId="28" name="medan5.7">#REF!</definedName>
    <definedName localSheetId="24" name="FORM98">#REF!</definedName>
    <definedName localSheetId="12" name="besi13u">#REF!</definedName>
    <definedName localSheetId="23" name="batutempelhitam">#REF!</definedName>
    <definedName localSheetId="3" name="____MMM48">#REF!</definedName>
    <definedName localSheetId="11" name="ARI">#REF!</definedName>
    <definedName localSheetId="21" name="____LLL10">#REF!</definedName>
    <definedName localSheetId="7" name="R6..">#REF!</definedName>
    <definedName localSheetId="24" name="________MMM44">#REF!</definedName>
    <definedName localSheetId="7" name="Print_Area_MI">#REF!</definedName>
    <definedName localSheetId="13" name="amobiotic">#REF!</definedName>
    <definedName name="pindahan">#REF!</definedName>
    <definedName localSheetId="0" name="bjls25">#REF!</definedName>
    <definedName localSheetId="7" name="______LLL06">#REF!</definedName>
    <definedName localSheetId="19" name="Lamp">#REF!</definedName>
    <definedName localSheetId="10" name="grendeltanam">#REF!</definedName>
    <definedName localSheetId="7" name="URAIAN612">#REF!</definedName>
    <definedName localSheetId="3" name="oemar">#REF!</definedName>
    <definedName localSheetId="3" name="______MMM52">#REF!</definedName>
    <definedName name="R29..">#REF!</definedName>
    <definedName localSheetId="7" name="FORM910">#REF!</definedName>
    <definedName localSheetId="11" name="batapelapisklinker">#REF!</definedName>
    <definedName localSheetId="5" name="terntang">#REF!</definedName>
    <definedName localSheetId="25" name="cendana">#REF!</definedName>
    <definedName localSheetId="23" name="__HAL1">#REF!</definedName>
    <definedName localSheetId="7" name="Analisa612">#REF!</definedName>
    <definedName localSheetId="28" name="_______HAL1">#REF!</definedName>
    <definedName localSheetId="15" name="venetionblinds">#REF!</definedName>
    <definedName localSheetId="15" name="seng25">#REF!</definedName>
    <definedName localSheetId="12" name="pintulipat">#REF!</definedName>
    <definedName localSheetId="28" name="FORM842">#REF!</definedName>
    <definedName localSheetId="17" name="TANAH">#REF!</definedName>
    <definedName localSheetId="18" name="dd">#REF!</definedName>
    <definedName localSheetId="24" name="__HAL5">#REF!</definedName>
    <definedName localSheetId="21" name="pakusumbat">#REF!</definedName>
    <definedName name="kunciselot">#REF!</definedName>
    <definedName localSheetId="17" name="LAINLAIN">#REF!</definedName>
    <definedName localSheetId="31" name="zzz">#REF!</definedName>
    <definedName localSheetId="0" name="beton100kg">#REF!</definedName>
    <definedName localSheetId="21" name="mapel">#REF!</definedName>
    <definedName localSheetId="12" name="kayujati">#REF!</definedName>
    <definedName localSheetId="17" name="________MMM02">#REF!</definedName>
    <definedName localSheetId="32" name="got">#REF!</definedName>
    <definedName localSheetId="3" name="URAIAN734">#REF!</definedName>
    <definedName localSheetId="21" name="R68..">#REF!</definedName>
    <definedName localSheetId="41" name="pakusumbat">#REF!</definedName>
    <definedName localSheetId="42" name="kawatburung">#REF!</definedName>
    <definedName localSheetId="17" name="FORM732">#REF!</definedName>
    <definedName localSheetId="31" name="BAJA">#REF!</definedName>
    <definedName localSheetId="27" name="_____DIV2">#REF!</definedName>
    <definedName localSheetId="8" name="kategori">#REF!</definedName>
    <definedName localSheetId="17" name="__MMM34">#REF!</definedName>
    <definedName localSheetId="28" name="asbesgelombang">#REF!</definedName>
    <definedName localSheetId="15" name="_pvc3">#REF!</definedName>
    <definedName localSheetId="41" name="bubunganasbesnok">#REF!</definedName>
    <definedName localSheetId="0" name="doorstop">#REF!</definedName>
    <definedName localSheetId="8" name="Grendel">#REF!</definedName>
    <definedName localSheetId="10" name="URAIAN621">#REF!</definedName>
    <definedName localSheetId="44" name="KECAMATAN_KODEOHA">#REF!</definedName>
    <definedName name="plintkeramikartistik1010">#REF!</definedName>
    <definedName localSheetId="6" name="BAHU">#REF!</definedName>
    <definedName localSheetId="32" name="______DIV4">#REF!</definedName>
    <definedName localSheetId="31" name="___DIV2">#REF!</definedName>
    <definedName localSheetId="15" name="AGREGAT">#REF!</definedName>
    <definedName localSheetId="6" name="ubinkeramikartistik1020">#REF!</definedName>
    <definedName localSheetId="38" name="papanjelutung">#REF!</definedName>
    <definedName localSheetId="38" name="AAAAAAA">#REF!</definedName>
    <definedName name="klosetjongkok">#REF!</definedName>
    <definedName localSheetId="21" name="data2">#REF!</definedName>
    <definedName localSheetId="19" name="___HAL2">#REF!</definedName>
    <definedName localSheetId="42" name="______HAL2">#REF!</definedName>
    <definedName localSheetId="11" name="besi10.sii">#REF!</definedName>
    <definedName name="hcs">#REF!</definedName>
    <definedName localSheetId="5" name="_LLL01">#REF!</definedName>
    <definedName localSheetId="9" name="sementahanasam">#REF!</definedName>
    <definedName localSheetId="30" name="catpenutup2kali">#REF!</definedName>
    <definedName localSheetId="23" name="_____DIV10">#REF!</definedName>
    <definedName localSheetId="3" name="aaaaa">#REF!</definedName>
    <definedName localSheetId="32" name="kawatduri">#REF!</definedName>
    <definedName localSheetId="24" name="________MMM22">#REF!</definedName>
    <definedName localSheetId="39" name="_DIV10">#REF!</definedName>
    <definedName localSheetId="3" name="sementahanasam">#REF!</definedName>
    <definedName localSheetId="5" name="Tbs">#REF!</definedName>
    <definedName localSheetId="32" name="Excel_BuiltIn_Print_Titles_10">#REF!</definedName>
    <definedName localSheetId="39" name="P">#REF!</definedName>
    <definedName localSheetId="19" name="gmp">#REF!</definedName>
    <definedName localSheetId="44" name="k.rmmn.30.30.pls">#REF!</definedName>
    <definedName localSheetId="27" name="_____MMM01">#REF!</definedName>
    <definedName localSheetId="39" name="____MMM02">#REF!</definedName>
    <definedName name="_________MMM06">#REF!</definedName>
    <definedName localSheetId="7" name="profilalumuniumT">#REF!</definedName>
    <definedName localSheetId="21" name="borneo6.12">#REF!</definedName>
    <definedName localSheetId="33" name="psr.trs">#REF!</definedName>
    <definedName localSheetId="24" name="_________MMM51">#REF!</definedName>
    <definedName localSheetId="5" name="AGREGAT">#REF!</definedName>
    <definedName localSheetId="24" name="__MMM08">#REF!</definedName>
    <definedName localSheetId="39" name="pakuhalus">#REF!</definedName>
    <definedName localSheetId="3" name="__MMM10">#REF!</definedName>
    <definedName localSheetId="24" name="URAIAN744">#REF!</definedName>
    <definedName localSheetId="23" name="BM">#REF!</definedName>
    <definedName localSheetId="24" name="URAIAN734">#REF!</definedName>
    <definedName localSheetId="41" name="bjls30">#REF!</definedName>
    <definedName localSheetId="18" name="kawatsengpolos">#REF!</definedName>
    <definedName localSheetId="31" name="kayudamarlaut">#REF!</definedName>
    <definedName localSheetId="20" name="besiprofilWF">#REF!</definedName>
    <definedName localSheetId="24" name="URAIAN635">#REF!</definedName>
    <definedName localSheetId="25" name="pindahan">#REF!</definedName>
    <definedName localSheetId="8" name="kayubulian">#REF!</definedName>
    <definedName localSheetId="3" name="FORM622">#REF!</definedName>
    <definedName name="borneo6.12">#REF!</definedName>
    <definedName localSheetId="23" name="B.Jambi">#REF!</definedName>
    <definedName name="DUDI">#REF!</definedName>
    <definedName localSheetId="24" name="______MMM15">#REF!</definedName>
    <definedName localSheetId="7" name="URAIAN66">#REF!</definedName>
    <definedName localSheetId="41" name="kayualbasiah">#REF!</definedName>
    <definedName localSheetId="0" name="Psr.psg">#REF!</definedName>
    <definedName localSheetId="6" name="drkeet">#REF!</definedName>
    <definedName localSheetId="3" name="ktct">#REF!</definedName>
    <definedName localSheetId="3" name="___MMM09">#REF!</definedName>
    <definedName localSheetId="38" name="_________DIV10">#REF!</definedName>
    <definedName localSheetId="4" name="_pc40">#REF!</definedName>
    <definedName localSheetId="23" name="wallpaper">#REF!</definedName>
    <definedName name="_MMM29">#REF!</definedName>
    <definedName localSheetId="36" name="URAIAN744">#REF!</definedName>
    <definedName localSheetId="18" name="_________HAL1">#REF!</definedName>
    <definedName localSheetId="7" name="R51..">#REF!</definedName>
    <definedName localSheetId="9" name="____HAL1">#REF!</definedName>
    <definedName localSheetId="7" name="bubunganstelgelombang108">#REF!</definedName>
    <definedName localSheetId="9" name="Galam">#REF!</definedName>
    <definedName localSheetId="27" name="______HAL1">#REF!</definedName>
    <definedName localSheetId="17" name="______MMM42">#REF!</definedName>
    <definedName localSheetId="21" name="bubungangentengmetal">#REF!</definedName>
    <definedName localSheetId="21" name="tky">#REF!</definedName>
    <definedName localSheetId="0" name="meni.kayu">#REF!</definedName>
    <definedName localSheetId="24" name="BM">#REF!</definedName>
    <definedName localSheetId="44" name="multi.4">#REF!</definedName>
    <definedName localSheetId="44" name="___MMM26">#REF!</definedName>
    <definedName localSheetId="40" name="vinylasbes">#REF!</definedName>
    <definedName localSheetId="15" name="kuncitanam">#REF!</definedName>
    <definedName localSheetId="21" name="Tbs">#REF!</definedName>
    <definedName localSheetId="44" name="______MMM25">#REF!</definedName>
    <definedName localSheetId="38" name="teakwood6mm">#REF!</definedName>
    <definedName localSheetId="34" name="ls">#REF!</definedName>
    <definedName localSheetId="17" name="gentengdecrabond">#REF!</definedName>
    <definedName localSheetId="7" name="_MMM45">#REF!</definedName>
    <definedName localSheetId="8" name="siap1">#REF!</definedName>
    <definedName localSheetId="24" name="kacapatri5">#REF!</definedName>
    <definedName localSheetId="20" name="_DIV10">#REF!</definedName>
    <definedName localSheetId="21" name="medan8.15">#REF!</definedName>
    <definedName localSheetId="0" name="SusunanOrg">#REF!</definedName>
    <definedName localSheetId="4" name="_______DIV2">#REF!</definedName>
    <definedName localSheetId="41" name="mowi.ws">#REF!</definedName>
    <definedName localSheetId="44" name="aanstamping">#REF!</definedName>
    <definedName localSheetId="30" name="URAIAN7612c">#REF!</definedName>
    <definedName localSheetId="21" name="_____LLL04">#REF!</definedName>
    <definedName localSheetId="19" name="batapelapisklinker">#REF!</definedName>
    <definedName localSheetId="21" name="sealer">#REF!</definedName>
    <definedName localSheetId="18" name="___HAL2">#REF!</definedName>
    <definedName localSheetId="24" name="kayudamarlaut">#REF!</definedName>
    <definedName localSheetId="28" name="pddk">#REF!</definedName>
    <definedName localSheetId="18" name="URAIAN612">#REF!</definedName>
    <definedName localSheetId="30" name="_______MMM03">#REF!</definedName>
    <definedName localSheetId="7" name="rincian">#REF!</definedName>
    <definedName localSheetId="42" name="urugankembali">#REF!</definedName>
    <definedName localSheetId="0" name="baru">#REF!</definedName>
    <definedName localSheetId="15" name="__LLL01">#REF!</definedName>
    <definedName localSheetId="41" name="R20..">#REF!</definedName>
    <definedName localSheetId="7" name="Analisa661">#REF!</definedName>
    <definedName localSheetId="6" name="FORM323L">#REF!</definedName>
    <definedName localSheetId="3" name="pintugulungbesi">#REF!</definedName>
    <definedName localSheetId="21" name="______MMM14">#REF!</definedName>
    <definedName localSheetId="9" name="tempatcucipiring">#REF!</definedName>
    <definedName localSheetId="42" name="Per">#REF!</definedName>
    <definedName localSheetId="3" name="_________LLL01">#REF!</definedName>
    <definedName localSheetId="6" name="medan5.7">#REF!</definedName>
    <definedName localSheetId="44" name="_______MMM02">#REF!</definedName>
    <definedName localSheetId="9" name="kunci2slag">#REF!</definedName>
    <definedName name="FORM772a">#REF!</definedName>
    <definedName name="________MMM28">#REF!</definedName>
    <definedName name="_________MMM49">#REF!</definedName>
    <definedName localSheetId="30" name="grassblok">#REF!</definedName>
    <definedName localSheetId="32" name="kuncisilinder">#REF!</definedName>
    <definedName localSheetId="38" name="total">#REF!</definedName>
    <definedName localSheetId="9" name="aluminiumfoil">#REF!</definedName>
    <definedName localSheetId="15" name="ubinkeramik1020">#REF!</definedName>
    <definedName localSheetId="21" name="s.tukang">#REF!</definedName>
    <definedName localSheetId="10" name="nokpaten105">#REF!</definedName>
    <definedName localSheetId="32" name="____DIV2">#REF!</definedName>
    <definedName name="URAIAN621">#REF!</definedName>
    <definedName localSheetId="3" name="__pvc3">#REF!</definedName>
    <definedName localSheetId="39" name="besi13">#REF!</definedName>
    <definedName localSheetId="10" name="MASTER">#REF!</definedName>
    <definedName localSheetId="10" name="na">#REF!</definedName>
    <definedName localSheetId="21" name="R93..">#REF!</definedName>
    <definedName localSheetId="7" name="________MMM26">#REF!</definedName>
    <definedName localSheetId="17" name="bakcuciteraso">#REF!</definedName>
    <definedName localSheetId="3" name="________DIV2">#REF!</definedName>
    <definedName localSheetId="17" name="FORM623">#REF!</definedName>
    <definedName localSheetId="24" name="________MMM15">#REF!</definedName>
    <definedName localSheetId="36" name="lp">#REF!</definedName>
    <definedName localSheetId="39" name="kacacermin5">#REF!</definedName>
    <definedName localSheetId="38" name="pakuskrup">#REF!</definedName>
    <definedName localSheetId="5" name="ARI">#REF!</definedName>
    <definedName localSheetId="44" name="________MMM31">#REF!</definedName>
    <definedName name="______MMM28">#REF!</definedName>
    <definedName localSheetId="27" name="parquetjati">#REF!</definedName>
    <definedName localSheetId="4" name="Excel_BuiltIn_Print_Titles_10">#REF!</definedName>
    <definedName localSheetId="17" name="sirap">#REF!</definedName>
    <definedName localSheetId="44" name="kkkk">#REF!</definedName>
    <definedName localSheetId="17" name="beton250m">#REF!</definedName>
    <definedName localSheetId="34" name="Excel_BuiltIn_Print_Area_10">#REF!</definedName>
    <definedName localSheetId="17" name="data2">#REF!</definedName>
    <definedName localSheetId="30" name="d">#REF!</definedName>
    <definedName localSheetId="30" name="sealent">#REF!</definedName>
    <definedName localSheetId="9" name="BPS">#REF!</definedName>
    <definedName localSheetId="44" name="cghj">#REF!</definedName>
    <definedName localSheetId="44" name="______MMM22">#REF!</definedName>
    <definedName localSheetId="25" name="FORM771c">#REF!</definedName>
    <definedName localSheetId="38" name="u.besi">#REF!</definedName>
    <definedName localSheetId="3" name="pintubesibaja">#REF!</definedName>
    <definedName localSheetId="39" name="gggg">#REF!</definedName>
    <definedName localSheetId="24" name="Analisa633">#REF!</definedName>
    <definedName localSheetId="21" name="_MMM39">#REF!</definedName>
    <definedName name="ubinpcabuabu40">#REF!</definedName>
    <definedName localSheetId="6" name="terntang">#REF!</definedName>
    <definedName localSheetId="3" name="wwww">#REF!</definedName>
    <definedName localSheetId="24" name="R55..">#REF!</definedName>
    <definedName localSheetId="44" name="pipabeton">#REF!</definedName>
    <definedName localSheetId="4" name="venetionblinds">#REF!</definedName>
    <definedName localSheetId="5" name="URAIAN7614a">#REF!</definedName>
    <definedName localSheetId="30" name="kunci2slag">#REF!</definedName>
    <definedName localSheetId="27" name="_________MMM01">#REF!</definedName>
    <definedName localSheetId="27" name="rtrt">#REF!</definedName>
    <definedName localSheetId="27" name="urugan">#REF!</definedName>
    <definedName localSheetId="7" name="___LLL05">#REF!</definedName>
    <definedName localSheetId="21" name="drkeet">#REF!</definedName>
    <definedName localSheetId="23" name="roll">#REF!</definedName>
    <definedName localSheetId="6" name="btn">#REF!</definedName>
    <definedName localSheetId="12" name="R41..">#REF!</definedName>
    <definedName localSheetId="12" name="__HAL1">#REF!</definedName>
    <definedName localSheetId="23" name="Pjgsloof">#REF!</definedName>
    <definedName localSheetId="21" name="______MMM15">#REF!</definedName>
    <definedName localSheetId="18" name="________DIV10">#REF!</definedName>
    <definedName localSheetId="24" name="R13..">#REF!</definedName>
    <definedName localSheetId="32" name="menibesi">#REF!</definedName>
    <definedName localSheetId="40" name="_LLL02">#REF!</definedName>
    <definedName localSheetId="15" name="DSSDD">#REF!</definedName>
    <definedName localSheetId="25" name="___DIV10">#REF!</definedName>
    <definedName localSheetId="5" name="besiprofilWF">#REF!</definedName>
    <definedName localSheetId="13" name="URAIAN771b">#REF!</definedName>
    <definedName localSheetId="31" name="bubunganasbesgelombang">#REF!</definedName>
    <definedName localSheetId="10" name="kayukulim">#REF!</definedName>
    <definedName name="URAIAN771c">#REF!</definedName>
    <definedName localSheetId="15" name="ubinkeramik1515">#REF!</definedName>
    <definedName localSheetId="15" name="waterstop200">#REF!</definedName>
    <definedName localSheetId="21" name="_________LLL11">#REF!</definedName>
    <definedName localSheetId="28" name="URAIAN7610">#REF!</definedName>
    <definedName localSheetId="42" name="kali">#REF!</definedName>
    <definedName name="plywood4mm">#REF!</definedName>
    <definedName localSheetId="3" name="FORM771a">#REF!</definedName>
    <definedName localSheetId="19" name="beton.tumbuk">#REF!</definedName>
    <definedName localSheetId="28" name="w">#REF!</definedName>
    <definedName localSheetId="17" name="AGREGAT">#REF!</definedName>
    <definedName localSheetId="8" name="__pvc105">#REF!</definedName>
    <definedName localSheetId="21" name="Gypsum">#REF!</definedName>
    <definedName localSheetId="21" name="gentengbeton">#REF!</definedName>
    <definedName localSheetId="11" name="FORM771c">#REF!</definedName>
    <definedName localSheetId="33" name="URAIAN611">#REF!</definedName>
    <definedName localSheetId="30" name="FORM842">#REF!</definedName>
    <definedName localSheetId="9" name="__HAL1">#REF!</definedName>
    <definedName localSheetId="3" name="kayujati">#REF!</definedName>
    <definedName localSheetId="39" name="__HAL3">#REF!</definedName>
    <definedName localSheetId="8" name="plintubingranito1030">#REF!</definedName>
    <definedName localSheetId="6" name="____DIV4">#REF!</definedName>
    <definedName localSheetId="21" name="______MMM05">#REF!</definedName>
    <definedName localSheetId="23" name="ngsel4">#REF!</definedName>
    <definedName localSheetId="41" name="SPJa">#REF!</definedName>
    <definedName localSheetId="19" name="URAIAN7613a">#REF!</definedName>
    <definedName localSheetId="21" name="_____MMM47">#REF!</definedName>
    <definedName localSheetId="0" name="___pvc205">#REF!</definedName>
    <definedName localSheetId="4" name="kuncilemari">#REF!</definedName>
    <definedName localSheetId="24" name="urugantanah">#REF!</definedName>
    <definedName localSheetId="39" name="____MMM03">#REF!</definedName>
    <definedName localSheetId="3" name="borneo4.6">#REF!</definedName>
    <definedName localSheetId="33" name="d">#REF!</definedName>
    <definedName localSheetId="24" name="hd">#REF!</definedName>
    <definedName localSheetId="3" name="FRRDS">#REF!</definedName>
    <definedName localSheetId="44" name="R37..">#REF!</definedName>
    <definedName localSheetId="9" name="lemvinyl">#REF!</definedName>
    <definedName name="jki">#REF!</definedName>
    <definedName localSheetId="38" name="k.40.40.roman.crk">#REF!</definedName>
    <definedName localSheetId="3" name="ubinmosaik3030">#REF!</definedName>
    <definedName localSheetId="32" name="FORM8410">#REF!</definedName>
    <definedName localSheetId="3" name="Kurs">#REF!</definedName>
    <definedName localSheetId="13" name="KUANTITAS">#REF!</definedName>
    <definedName localSheetId="9" name="_______DIV3">#REF!</definedName>
    <definedName localSheetId="4" name="_____DIV4">#REF!</definedName>
    <definedName localSheetId="7" name="________MMM04">#REF!</definedName>
    <definedName localSheetId="19" name="Galam">#REF!</definedName>
    <definedName localSheetId="5" name="pipatanah">#REF!</definedName>
    <definedName localSheetId="21" name="R99..">#REF!</definedName>
    <definedName localSheetId="44" name="KunciPintu">#REF!</definedName>
    <definedName localSheetId="18" name="_MMM02">#REF!</definedName>
    <definedName localSheetId="44" name="____MMM30">#REF!</definedName>
    <definedName localSheetId="6" name="___MMM03">#REF!</definedName>
    <definedName localSheetId="32" name="kolombetonpracetak">#REF!</definedName>
    <definedName localSheetId="24" name="_____MMM13">#REF!</definedName>
    <definedName localSheetId="11" name="JUDUL1">#REF!</definedName>
    <definedName localSheetId="6" name="kuncisilinder">#REF!</definedName>
    <definedName localSheetId="44" name="_________MMM30">#REF!</definedName>
    <definedName localSheetId="30" name="gali">#REF!</definedName>
    <definedName localSheetId="34" name="__pvc05">#REF!</definedName>
    <definedName localSheetId="28" name="_______DIV10">#REF!</definedName>
    <definedName localSheetId="12" name="FORM633">#REF!</definedName>
    <definedName localSheetId="28" name="URAIAN79mekanis">#REF!</definedName>
    <definedName localSheetId="12" name="JA">#REF!</definedName>
    <definedName localSheetId="21" name="_DIV9">#REF!</definedName>
    <definedName localSheetId="21" name="___HAL8">#REF!</definedName>
    <definedName localSheetId="7" name="vertikalsblinds">#REF!</definedName>
    <definedName localSheetId="40" name="____DIV2">#REF!</definedName>
    <definedName localSheetId="10" name="Nokmetal3mm">#REF!</definedName>
    <definedName localSheetId="10" name="RoolingdoorAlumunium">#REF!</definedName>
    <definedName localSheetId="30" name="_Tl1">#REF!</definedName>
    <definedName localSheetId="36" name="kenek">#REF!</definedName>
    <definedName localSheetId="27" name="jj">#REF!</definedName>
    <definedName name="_________HAL1">#REF!</definedName>
    <definedName localSheetId="36" name="R51..">#REF!</definedName>
    <definedName localSheetId="33" name="yyyyyyy">#REF!</definedName>
    <definedName name="__MMM51">#REF!</definedName>
    <definedName localSheetId="6" name="pintugulungbesi">#REF!</definedName>
    <definedName localSheetId="21" name="kkkk">#REF!</definedName>
    <definedName localSheetId="12" name="____MMM01">#REF!</definedName>
    <definedName localSheetId="24" name="tegelteraso30x30">#REF!</definedName>
    <definedName localSheetId="42" name="______DIV4">#REF!</definedName>
    <definedName localSheetId="38" name="plintubingranito1040">#REF!</definedName>
    <definedName localSheetId="34" name="kacawireglass5">#REF!</definedName>
    <definedName localSheetId="7" name="RINCIANSEWA2">#REF!</definedName>
    <definedName localSheetId="20" name="_____DIV4">#REF!</definedName>
    <definedName localSheetId="3" name="___MMM44">#REF!</definedName>
    <definedName localSheetId="24" name="_MMM01">#REF!</definedName>
    <definedName localSheetId="8" name="kalkarium">#REF!</definedName>
    <definedName localSheetId="21" name="PTJW">#REF!</definedName>
    <definedName name="_____MMM04">#REF!</definedName>
    <definedName localSheetId="10" name="G.Kramik">#REF!</definedName>
    <definedName localSheetId="3" name="Analisa70301">#REF!</definedName>
    <definedName localSheetId="33" name="sengplatbjls28">#REF!</definedName>
    <definedName localSheetId="20" name="sengplatbjls25">#REF!</definedName>
    <definedName localSheetId="13" name="FORM7614b">#REF!</definedName>
    <definedName localSheetId="39" name="gmp">#REF!</definedName>
    <definedName localSheetId="13" name="ubinkeramik1515">#REF!</definedName>
    <definedName localSheetId="23" name="sabun">#REF!</definedName>
    <definedName localSheetId="33" name="penduduk">#REF!</definedName>
    <definedName localSheetId="34" name="_________DIV2">#REF!</definedName>
    <definedName localSheetId="3" name="_____DIV8">#REF!</definedName>
    <definedName name="URAIAN22E">#REF!</definedName>
    <definedName localSheetId="31" name="R1..">#REF!</definedName>
    <definedName localSheetId="3" name="R100..">#REF!</definedName>
    <definedName localSheetId="20" name="mowi.w.shield">#REF!</definedName>
    <definedName localSheetId="24" name="bubungangentengbesar">#REF!</definedName>
    <definedName localSheetId="5" name="URAIAN771c">#REF!</definedName>
    <definedName localSheetId="7" name="________MMM03">#REF!</definedName>
    <definedName localSheetId="41" name="catantara">#REF!</definedName>
    <definedName localSheetId="21" name="_________MMM50">#REF!</definedName>
    <definedName localSheetId="44" name="_____MMM14">#REF!</definedName>
    <definedName localSheetId="9" name="seng25">#REF!</definedName>
    <definedName localSheetId="17" name="hd">#REF!</definedName>
    <definedName localSheetId="21" name="_________LLL10">#REF!</definedName>
    <definedName localSheetId="8" name="papanjelutung">#REF!</definedName>
    <definedName localSheetId="4" name="vinylkaret3030">#REF!</definedName>
    <definedName localSheetId="40" name="mm">#REF!</definedName>
    <definedName localSheetId="36" name="___pvc05">#REF!</definedName>
    <definedName localSheetId="8" name="tky">#REF!</definedName>
    <definedName localSheetId="25" name="kacacermin6">#REF!</definedName>
    <definedName localSheetId="11" name="aluminiumfoil">#REF!</definedName>
    <definedName localSheetId="3" name="___LLL08">#REF!</definedName>
    <definedName localSheetId="31" name="perancahkayu">#REF!</definedName>
    <definedName localSheetId="44" name="_____MMM21">#REF!</definedName>
    <definedName localSheetId="23" name="_________MMM03">#REF!</definedName>
    <definedName localSheetId="10" name="____HAL3">#REF!</definedName>
    <definedName localSheetId="21" name="__DIV6">#REF!</definedName>
    <definedName localSheetId="30" name="___HAL3">#REF!</definedName>
    <definedName localSheetId="4" name="platasbes4mm">#REF!</definedName>
    <definedName localSheetId="17" name="bubunganstelgelombang105">#REF!</definedName>
    <definedName localSheetId="6" name="pipatanah">#REF!</definedName>
    <definedName localSheetId="17" name="_____MMM38">#REF!</definedName>
    <definedName localSheetId="13" name="u.bekisting">#REF!</definedName>
    <definedName localSheetId="28" name="______HAL1">#REF!</definedName>
    <definedName localSheetId="24" name="__Tl1">#REF!</definedName>
    <definedName localSheetId="13" name="borneo5.7">#REF!</definedName>
    <definedName localSheetId="4" name="kiki">#REF!</definedName>
    <definedName localSheetId="19" name="roll">#REF!</definedName>
    <definedName localSheetId="0" name="pddk">#REF!</definedName>
    <definedName localSheetId="8" name="gmp">#REF!</definedName>
    <definedName name="_________MMM411">#REF!</definedName>
    <definedName localSheetId="13" name="gmp">#REF!</definedName>
    <definedName localSheetId="24" name="puzzdilth">#REF!</definedName>
    <definedName localSheetId="25" name="gali">#REF!</definedName>
    <definedName localSheetId="21" name="_________MMM14">#REF!</definedName>
    <definedName localSheetId="40" name="Nokmetal3mm">#REF!</definedName>
    <definedName localSheetId="32" name="MASTER">#REF!</definedName>
    <definedName localSheetId="33" name="DUDI">#REF!</definedName>
    <definedName localSheetId="23" name="Excel_BuiltIn_Print_Titles_10">#REF!</definedName>
    <definedName localSheetId="24" name="________MMM01">#REF!</definedName>
    <definedName name="kayuramin">#REF!</definedName>
    <definedName localSheetId="15" name="data2">#REF!</definedName>
    <definedName localSheetId="32" name="jurnal">#REF!</definedName>
    <definedName localSheetId="28" name="_pc40">#REF!</definedName>
    <definedName localSheetId="10" name="URAIAN744">#REF!</definedName>
    <definedName localSheetId="44" name="R74..">#REF!</definedName>
    <definedName localSheetId="30" name="FORM731">#REF!</definedName>
    <definedName localSheetId="19" name="plintubinteraluxkerang1060">#REF!</definedName>
    <definedName localSheetId="0" name="closedjongkok">#REF!</definedName>
    <definedName localSheetId="11" name="c.maxi">#REF!</definedName>
    <definedName name="_MMM23">#REF!</definedName>
    <definedName localSheetId="31" name="jurnal">#REF!</definedName>
    <definedName localSheetId="18" name="venetionblinds">#REF!</definedName>
    <definedName localSheetId="31" name="_818PK">#REF!</definedName>
    <definedName localSheetId="21" name="GRC">#REF!</definedName>
    <definedName localSheetId="34" name="________DIV1">#REF!</definedName>
    <definedName localSheetId="20" name="lis">#REF!</definedName>
    <definedName localSheetId="40" name="RoolingdoorAlumunium">#REF!</definedName>
    <definedName localSheetId="6" name="klosetjongkok">#REF!</definedName>
    <definedName localSheetId="24" name="R62..">#REF!</definedName>
    <definedName localSheetId="9" name="besi12sii">#REF!</definedName>
    <definedName localSheetId="11" name="FORM731">#REF!</definedName>
    <definedName localSheetId="32" name="borneo4.6">#REF!</definedName>
    <definedName localSheetId="21" name="_________MMM44">#REF!</definedName>
    <definedName localSheetId="34" name="R21..">#REF!</definedName>
    <definedName localSheetId="34" name="Gypsum">#REF!</definedName>
    <definedName localSheetId="3" name="kuncialfa">#REF!</definedName>
    <definedName localSheetId="6" name="e">#REF!</definedName>
    <definedName localSheetId="42" name="lis">#REF!</definedName>
    <definedName localSheetId="15" name="___MMM01">#REF!</definedName>
    <definedName localSheetId="3" name="______MMM09">#REF!</definedName>
    <definedName localSheetId="24" name="amplas">#REF!</definedName>
    <definedName localSheetId="12" name="Skrup">#REF!</definedName>
    <definedName localSheetId="3" name="Fak">#REF!</definedName>
    <definedName localSheetId="27" name="tegelplinpc10x20">#REF!</definedName>
    <definedName localSheetId="30" name="Faktor">#REF!</definedName>
    <definedName localSheetId="34" name="SPJa">#REF!</definedName>
    <definedName localSheetId="0" name="FORM842">#REF!</definedName>
    <definedName localSheetId="7" name="______HAL5">#REF!</definedName>
    <definedName localSheetId="19" name="plywood6mm">#REF!</definedName>
    <definedName localSheetId="28" name="catpenutup">#REF!</definedName>
    <definedName localSheetId="3" name="URAIAN66">#REF!</definedName>
    <definedName localSheetId="4" name="batutempelhitam">#REF!</definedName>
    <definedName localSheetId="7" name="R85..">#REF!</definedName>
    <definedName localSheetId="18" name="ppn2.30">#REF!</definedName>
    <definedName localSheetId="13" name="Overhead">#REF!</definedName>
    <definedName localSheetId="21" name="_HAL7">#REF!</definedName>
    <definedName localSheetId="6" name="besi10.sii">#REF!</definedName>
    <definedName localSheetId="13" name="Papanbouplank">#REF!</definedName>
    <definedName localSheetId="3" name="FORM95">#REF!</definedName>
    <definedName localSheetId="23" name="pa">#REF!</definedName>
    <definedName localSheetId="7" name="____MMM19">#REF!</definedName>
    <definedName localSheetId="34" name="beton225r">#REF!</definedName>
    <definedName localSheetId="11" name="R30..">#REF!</definedName>
    <definedName localSheetId="34" name="_______HAL3">#REF!</definedName>
    <definedName localSheetId="42" name="___DIV10">#REF!</definedName>
    <definedName localSheetId="12" name="Analisa511">#REF!</definedName>
    <definedName localSheetId="21" name="baru">#REF!</definedName>
    <definedName localSheetId="42" name="Analisa511">#REF!</definedName>
    <definedName localSheetId="34" name="URAIAN732">#REF!</definedName>
    <definedName localSheetId="0" name="R41..">#REF!</definedName>
    <definedName localSheetId="34" name="pakubulian">#REF!</definedName>
    <definedName localSheetId="24" name="______DIV5">#REF!</definedName>
    <definedName localSheetId="10" name="vinylkaretklII">#REF!</definedName>
    <definedName localSheetId="41" name="kacacermin6">#REF!</definedName>
    <definedName localSheetId="44" name="UP">#REF!</definedName>
    <definedName localSheetId="7" name="gentengpalentong">#REF!</definedName>
    <definedName localSheetId="38" name="gentengaspal">#REF!</definedName>
    <definedName localSheetId="44" name="_________MMM28">#REF!</definedName>
    <definedName localSheetId="4" name="ttnh">#REF!</definedName>
    <definedName name="RoolingdoorAlumunium">#REF!</definedName>
    <definedName localSheetId="40" name="cycllop">#REF!</definedName>
    <definedName localSheetId="42" name="vinylkaretklII">#REF!</definedName>
    <definedName localSheetId="34" name="kayukudakuda">#REF!</definedName>
    <definedName localSheetId="0" name="kali">#REF!</definedName>
    <definedName localSheetId="11" name="Papanbouplank">#REF!</definedName>
    <definedName localSheetId="20" name="_HAL4">#REF!</definedName>
    <definedName localSheetId="42" name="L">#REF!</definedName>
    <definedName localSheetId="7" name="______DIV6">#REF!</definedName>
    <definedName localSheetId="9" name="__HAL4">#REF!</definedName>
    <definedName localSheetId="44" name="Excel_BuiltIn_Print_Titles_3">#REF!</definedName>
    <definedName localSheetId="3" name="Print_Titles_MI_1">#REF!</definedName>
    <definedName name="floorhardenerferrovak">#REF!</definedName>
    <definedName localSheetId="36" name="Pjgsloof">#REF!</definedName>
    <definedName localSheetId="31" name="_____MMM02">#REF!</definedName>
    <definedName localSheetId="19" name="kiki">#REF!</definedName>
    <definedName localSheetId="44" name="__MMM49">#REF!</definedName>
    <definedName localSheetId="10" name="gmp">#REF!</definedName>
    <definedName localSheetId="34" name="___pvc3">#REF!</definedName>
    <definedName localSheetId="28" name="FORM7612b">#REF!</definedName>
    <definedName localSheetId="11" name="namaabsen">#REF!</definedName>
    <definedName localSheetId="7" name="__HAL3">#REF!</definedName>
    <definedName localSheetId="17" name="FORM912">#REF!</definedName>
    <definedName localSheetId="24" name="Uraian842">#REF!</definedName>
    <definedName localSheetId="4" name="_________MMM02">#REF!</definedName>
    <definedName localSheetId="11" name="plintubinwarna1040">#REF!</definedName>
    <definedName localSheetId="15" name="Excel_BuiltIn_Print_Titles_10">#REF!</definedName>
    <definedName localSheetId="3" name="NAMA2">#REF!</definedName>
    <definedName localSheetId="3" name="________LLL08">#REF!</definedName>
    <definedName localSheetId="42" name="psr.trs">#REF!</definedName>
    <definedName localSheetId="23" name="URAIAN66PERMUKAAN">#REF!</definedName>
    <definedName localSheetId="8" name="jffhauifhauifhe">#REF!</definedName>
    <definedName name="URAIAN721">#REF!</definedName>
    <definedName localSheetId="21" name="B.Aparatur">#REF!</definedName>
    <definedName localSheetId="30" name="minyaksolar">#REF!</definedName>
    <definedName localSheetId="3" name="R29..">#REF!</definedName>
    <definedName localSheetId="44" name="__HAL4">#REF!</definedName>
    <definedName localSheetId="5" name="_________HAL2">#REF!</definedName>
    <definedName localSheetId="25" name="badkip">#REF!</definedName>
    <definedName localSheetId="11" name="keramik20">#REF!</definedName>
    <definedName localSheetId="17" name="sengplatbjls25">#REF!</definedName>
    <definedName localSheetId="34" name="kayuterentang">#REF!</definedName>
    <definedName localSheetId="23" name="________HAL1">#REF!</definedName>
    <definedName localSheetId="24" name="siap1">#REF!</definedName>
    <definedName localSheetId="0" name="_MMM02">#REF!</definedName>
    <definedName localSheetId="17" name="u">#REF!</definedName>
    <definedName localSheetId="39" name="_LLL03">#REF!</definedName>
    <definedName localSheetId="39" name="sengbjls25">#REF!</definedName>
    <definedName localSheetId="20" name="_________DIV2">#REF!</definedName>
    <definedName localSheetId="24" name="_LLL01">#REF!</definedName>
    <definedName localSheetId="24" name="ubinkeramik1520">#REF!</definedName>
    <definedName localSheetId="7" name="_____DIV5">#REF!</definedName>
    <definedName name="FORM7613c">#REF!</definedName>
    <definedName localSheetId="44" name="kayudamarlaut">#REF!</definedName>
    <definedName localSheetId="21" name="catantara">#REF!</definedName>
    <definedName localSheetId="21" name="beton225r">#REF!</definedName>
    <definedName localSheetId="6" name="pagarseng2m">#REF!</definedName>
    <definedName localSheetId="24" name="_____MMM30">#REF!</definedName>
    <definedName name="pipagalvanis">#REF!</definedName>
    <definedName name="R69..">#REF!</definedName>
    <definedName localSheetId="17" name="ktky">#REF!</definedName>
    <definedName localSheetId="3" name="gentengaspal">#REF!</definedName>
    <definedName localSheetId="4" name="kaca.p.5">#REF!</definedName>
    <definedName localSheetId="32" name="baru">#REF!</definedName>
    <definedName localSheetId="17" name="bilikbambu">#REF!</definedName>
    <definedName localSheetId="3" name="__pvc205">#REF!</definedName>
    <definedName localSheetId="36" name="pasirpas">#REF!</definedName>
    <definedName localSheetId="38" name="________HAL1">#REF!</definedName>
    <definedName localSheetId="3" name="R74..">#REF!</definedName>
    <definedName localSheetId="33" name="Aluminium">#REF!</definedName>
    <definedName localSheetId="32" name="FORM7613b">#REF!</definedName>
    <definedName localSheetId="36" name="_____MMM01">#REF!</definedName>
    <definedName localSheetId="6" name="FORM79mekanis">#REF!</definedName>
    <definedName localSheetId="32" name="pa">#REF!</definedName>
    <definedName localSheetId="9" name="ubinkeramik1515">#REF!</definedName>
    <definedName localSheetId="3" name="_MMM37">#REF!</definedName>
    <definedName localSheetId="44" name="_________DIV5">#REF!</definedName>
    <definedName localSheetId="38" name="___DIV3">#REF!</definedName>
    <definedName localSheetId="3" name="FORM7613c">#REF!</definedName>
    <definedName localSheetId="15" name="Gypsum">#REF!</definedName>
    <definedName localSheetId="6" name="Galam">#REF!</definedName>
    <definedName localSheetId="34" name="URAIAN22E">#REF!</definedName>
    <definedName localSheetId="24" name="________MMM06">#REF!</definedName>
    <definedName localSheetId="9" name="marmer">#REF!</definedName>
    <definedName localSheetId="24" name="platasbes4mm">#REF!</definedName>
    <definedName localSheetId="32" name="URAIAN79manual">#REF!</definedName>
    <definedName localSheetId="42" name="Print_Area_MI">#REF!</definedName>
    <definedName localSheetId="0" name="engselangin">#REF!</definedName>
    <definedName localSheetId="11" name="hakangin">#REF!</definedName>
    <definedName localSheetId="30" name="ls">#REF!</definedName>
    <definedName localSheetId="31" name="M">#REF!</definedName>
    <definedName localSheetId="31" name="Akustik">#REF!</definedName>
    <definedName localSheetId="41" name="kompresor">#REF!</definedName>
    <definedName localSheetId="9" name="waterstop150">#REF!</definedName>
    <definedName localSheetId="0" name="NAMA2">#REF!</definedName>
    <definedName localSheetId="21" name="ppnip">#REF!</definedName>
    <definedName name="_____DIV9">#REF!</definedName>
    <definedName localSheetId="6" name="atapaluminiumgelombang055">#REF!</definedName>
    <definedName localSheetId="44" name="parquetjati">#REF!</definedName>
    <definedName localSheetId="11" name="R61..">#REF!</definedName>
    <definedName localSheetId="7" name="______DIV8">#REF!</definedName>
    <definedName localSheetId="21" name="Uraian846">#REF!</definedName>
    <definedName localSheetId="20" name="sis">#REF!</definedName>
    <definedName localSheetId="13" name="R41..">#REF!</definedName>
    <definedName localSheetId="23" name="sssssss">#REF!</definedName>
    <definedName localSheetId="7" name="Excel_BuiltIn_Print_Titles_10">#REF!</definedName>
    <definedName localSheetId="33" name="Ktbt">#REF!</definedName>
    <definedName localSheetId="25" name="kaca5">#REF!</definedName>
    <definedName localSheetId="7" name="FORM66PERATA">#REF!</definedName>
    <definedName localSheetId="11" name="teakwood4mm">#REF!</definedName>
    <definedName localSheetId="4" name="rtrt">#REF!</definedName>
    <definedName localSheetId="39" name="___HAL1">#REF!</definedName>
    <definedName localSheetId="0" name="pp">#REF!</definedName>
    <definedName localSheetId="15" name="leni">#REF!</definedName>
    <definedName localSheetId="12" name="_Tl1">#REF!</definedName>
    <definedName localSheetId="21" name="_LLL01">#REF!</definedName>
    <definedName localSheetId="28" name="Jendelabesibaja">#REF!</definedName>
    <definedName localSheetId="6" name="psr.trs">#REF!</definedName>
    <definedName localSheetId="42" name="URAIAN745">#REF!</definedName>
    <definedName localSheetId="17" name="Psr.psg">#REF!</definedName>
    <definedName localSheetId="34" name="sabun">#REF!</definedName>
    <definedName localSheetId="4" name="R31..">#REF!</definedName>
    <definedName localSheetId="36" name="beton.225m">#REF!</definedName>
    <definedName localSheetId="30" name="pintugulungbesi">#REF!</definedName>
    <definedName localSheetId="18" name="Uraian841">#REF!</definedName>
    <definedName localSheetId="21" name="FORM771d">#REF!</definedName>
    <definedName name="R91..">#REF!</definedName>
    <definedName localSheetId="5" name="RPHL">#REF!</definedName>
    <definedName localSheetId="44" name="___MMM44">#REF!</definedName>
    <definedName localSheetId="28" name="URAIAN731">#REF!</definedName>
    <definedName name="vinylwallcovering">#REF!</definedName>
    <definedName name="gentengaspal">#REF!</definedName>
    <definedName localSheetId="13" name="besi13u">#REF!</definedName>
    <definedName name="Gentengmetal3mm">#REF!</definedName>
    <definedName localSheetId="17" name="_______MMM25">#REF!</definedName>
    <definedName localSheetId="28" name="oke">#REF!</definedName>
    <definedName localSheetId="19" name="Aluminium">#REF!</definedName>
    <definedName localSheetId="41" name="pipabeton">#REF!</definedName>
    <definedName localSheetId="15" name="BAJA">#REF!</definedName>
    <definedName localSheetId="39" name="___MMM02">#REF!</definedName>
    <definedName localSheetId="34" name="R31..">#REF!</definedName>
    <definedName localSheetId="17" name="_____MMM13">#REF!</definedName>
    <definedName localSheetId="21" name="_______MMM41">#REF!</definedName>
    <definedName localSheetId="23" name="medan3.4">#REF!</definedName>
    <definedName localSheetId="31" name="Batupuru">#REF!</definedName>
    <definedName localSheetId="23" name="seng30">#REF!</definedName>
    <definedName localSheetId="23" name="Z">#REF!</definedName>
    <definedName localSheetId="38" name="borneo5.7">#REF!</definedName>
    <definedName localSheetId="28" name="beton175R">#REF!</definedName>
    <definedName localSheetId="3" name="______MMM30">#REF!</definedName>
    <definedName localSheetId="30" name="engsel4">#REF!</definedName>
    <definedName localSheetId="24" name="_______MMM53">#REF!</definedName>
    <definedName localSheetId="15" name="kalkarium">#REF!</definedName>
    <definedName localSheetId="15" name="plintubinwarna1030">#REF!</definedName>
    <definedName localSheetId="17" name="_________HAL1">#REF!</definedName>
    <definedName localSheetId="24" name="_LLL07">#REF!</definedName>
    <definedName localSheetId="5" name="M">#REF!</definedName>
    <definedName localSheetId="21" name="STRUKTUR">#REF!</definedName>
    <definedName localSheetId="17" name="c.maxi">#REF!</definedName>
    <definedName localSheetId="30" name="ASISTEN_BIDANG_PEMERINTAHAN">#REF!</definedName>
    <definedName localSheetId="21" name="batacote">#REF!</definedName>
    <definedName localSheetId="17" name="k.rmn.30.30.crk">#REF!</definedName>
    <definedName name="data2">#REF!</definedName>
    <definedName localSheetId="13" name="Catbesi">#REF!</definedName>
    <definedName localSheetId="0" name="total">#REF!</definedName>
    <definedName localSheetId="21" name="Uraian847">#REF!</definedName>
    <definedName localSheetId="39" name="sabun">#REF!</definedName>
    <definedName localSheetId="32" name="SPJa">#REF!</definedName>
    <definedName localSheetId="7" name="kayubulian">#REF!</definedName>
    <definedName localSheetId="5" name="_____MMM02">#REF!</definedName>
    <definedName localSheetId="20" name="kayujati">#REF!</definedName>
    <definedName localSheetId="40" name="_DIV3">#REF!</definedName>
    <definedName localSheetId="17" name="_LLL11">#REF!</definedName>
    <definedName name="dempul">#REF!</definedName>
    <definedName localSheetId="4" name="ubinwarna20">#REF!</definedName>
    <definedName localSheetId="38" name="sunloid">#REF!</definedName>
    <definedName localSheetId="24" name="engsel3">#REF!</definedName>
    <definedName localSheetId="7" name="kayuterentang">#REF!</definedName>
    <definedName name="_____MMM42">#REF!</definedName>
    <definedName localSheetId="21" name="Analisa70108">#REF!</definedName>
    <definedName localSheetId="10" name="______DIV3">#REF!</definedName>
    <definedName localSheetId="4" name="pakusumbat">#REF!</definedName>
    <definedName localSheetId="21" name="_MMM12">#REF!</definedName>
    <definedName localSheetId="10" name="tegelpc20x20">#REF!</definedName>
    <definedName localSheetId="21" name="FORM65">#REF!</definedName>
    <definedName localSheetId="23" name="plintubinwarna1030">#REF!</definedName>
    <definedName localSheetId="5" name="tegelplinpc10x20">#REF!</definedName>
    <definedName localSheetId="25" name="FORM7612c">#REF!</definedName>
    <definedName localSheetId="7" name="lp">#REF!</definedName>
    <definedName localSheetId="10" name="NAMA2">#REF!</definedName>
    <definedName localSheetId="27" name="BM">#REF!</definedName>
    <definedName localSheetId="24" name="_____HAL1">#REF!</definedName>
    <definedName localSheetId="33" name="FORM66PERMUKAAN">#REF!</definedName>
    <definedName localSheetId="19" name="catmeni">#REF!</definedName>
    <definedName localSheetId="15" name="gentengbeton">#REF!</definedName>
    <definedName localSheetId="13" name="SPJa">#REF!</definedName>
    <definedName localSheetId="30" name="kayukruing">#REF!</definedName>
    <definedName localSheetId="36" name="PT">#REF!</definedName>
    <definedName localSheetId="21" name="hd">#REF!</definedName>
    <definedName localSheetId="25" name="penduduk">#REF!</definedName>
    <definedName localSheetId="30" name="DAYWORKS">#REF!</definedName>
    <definedName localSheetId="11" name="RINCIANSEWA2">#REF!</definedName>
    <definedName localSheetId="10" name="aa">#REF!</definedName>
    <definedName localSheetId="44" name="lb">#REF!</definedName>
    <definedName localSheetId="21" name="_______MMM02">#REF!</definedName>
    <definedName localSheetId="17" name="SEKRETARIAT_DPRD">#REF!</definedName>
    <definedName localSheetId="20" name="plesteran13">#REF!</definedName>
    <definedName localSheetId="25" name="FORM611">#REF!</definedName>
    <definedName localSheetId="34" name="_pvc2">#REF!</definedName>
    <definedName localSheetId="30" name="SPJa">#REF!</definedName>
    <definedName localSheetId="3" name="__MMM13">#REF!</definedName>
    <definedName localSheetId="15" name="urugan">#REF!</definedName>
    <definedName localSheetId="4" name="___pvc05">#REF!</definedName>
    <definedName name="_______MMM19">#REF!</definedName>
    <definedName localSheetId="36" name="kayukudakuda">#REF!</definedName>
    <definedName localSheetId="3" name="_________MMM12">#REF!</definedName>
    <definedName localSheetId="21" name="______MMM03">#REF!</definedName>
    <definedName localSheetId="38" name="B.Jambi">#REF!</definedName>
    <definedName localSheetId="24" name="___pvc3">#REF!</definedName>
    <definedName localSheetId="11" name="________MMM01">#REF!</definedName>
    <definedName localSheetId="4" name="tegelplinpc10x20">#REF!</definedName>
    <definedName localSheetId="42" name="mowi.ws">#REF!</definedName>
    <definedName localSheetId="13" name="_______HAL2">#REF!</definedName>
    <definedName localSheetId="10" name="split1.2">#REF!</definedName>
    <definedName localSheetId="39" name="kapursirih">#REF!</definedName>
    <definedName name="menibesi">#REF!</definedName>
    <definedName localSheetId="25" name="R20..">#REF!</definedName>
    <definedName localSheetId="30" name="MINOR">#REF!</definedName>
    <definedName localSheetId="0" name="__pvc2">#REF!</definedName>
    <definedName localSheetId="7" name="______MMM35">#REF!</definedName>
    <definedName localSheetId="30" name="kunci1slag">#REF!</definedName>
    <definedName localSheetId="21" name="pakuhalus">#REF!</definedName>
    <definedName localSheetId="23" name="___DIV3">#REF!</definedName>
    <definedName localSheetId="13" name="medan5.7">#REF!</definedName>
    <definedName localSheetId="25" name="BAJA">#REF!</definedName>
    <definedName localSheetId="8" name="pintualuminium">#REF!</definedName>
    <definedName localSheetId="3" name="______MMM44">#REF!</definedName>
    <definedName localSheetId="0" name="pakubulian">#REF!</definedName>
    <definedName localSheetId="5" name="kayutembesu">#REF!</definedName>
    <definedName name="__HAL5">#REF!</definedName>
    <definedName localSheetId="20" name="R1..">#REF!</definedName>
    <definedName localSheetId="19" name="engsel4">#REF!</definedName>
    <definedName localSheetId="39" name="t.sabun">#REF!</definedName>
    <definedName localSheetId="7" name="____DIV2">#REF!</definedName>
    <definedName localSheetId="24" name="beton.tumbuk">#REF!</definedName>
    <definedName localSheetId="17" name="namaabsen">#REF!</definedName>
    <definedName localSheetId="9" name="tanahliat">#REF!</definedName>
    <definedName localSheetId="17" name="_____HAL3">#REF!</definedName>
    <definedName localSheetId="40" name="kuas">#REF!</definedName>
    <definedName localSheetId="23" name="pasirbeton">#REF!</definedName>
    <definedName localSheetId="7" name="______MMM37">#REF!</definedName>
    <definedName localSheetId="8" name="s.tukang">#REF!</definedName>
    <definedName localSheetId="17" name="tegelteraso30x30">#REF!</definedName>
    <definedName localSheetId="5" name="papanjelutung">#REF!</definedName>
    <definedName localSheetId="31" name="sofboard">#REF!</definedName>
    <definedName name="relpintudorong">#REF!</definedName>
    <definedName localSheetId="44" name="teakwood9mm">#REF!</definedName>
    <definedName localSheetId="34" name="sealer">#REF!</definedName>
    <definedName localSheetId="21" name="kayumarsawa">#REF!</definedName>
    <definedName name="_________DIV2">#REF!</definedName>
    <definedName localSheetId="30" name="Pc.50">#REF!</definedName>
    <definedName localSheetId="24" name="kayukelas2">#REF!</definedName>
    <definedName localSheetId="11" name="______MMM01">#REF!</definedName>
    <definedName localSheetId="30" name="drkeet">#REF!</definedName>
    <definedName localSheetId="0" name="tbkr">#REF!</definedName>
    <definedName localSheetId="10" name="URAIAN">#REF!</definedName>
    <definedName localSheetId="38" name="KunciPintu">#REF!</definedName>
    <definedName localSheetId="30" name="B.Jambi">#REF!</definedName>
    <definedName localSheetId="21" name="badkip">#REF!</definedName>
    <definedName name="Analisa512">#REF!</definedName>
    <definedName localSheetId="8" name="oemar">#REF!</definedName>
    <definedName localSheetId="17" name="_____MMM28">#REF!</definedName>
    <definedName localSheetId="25" name="plintkeramikartistik1020">#REF!</definedName>
    <definedName localSheetId="27" name="RPHL">#REF!</definedName>
    <definedName localSheetId="10" name="flordrain">#REF!</definedName>
    <definedName localSheetId="6" name="ls">#REF!</definedName>
    <definedName localSheetId="20" name="_DIV4">#REF!</definedName>
    <definedName localSheetId="28" name="RPHL">#REF!</definedName>
    <definedName localSheetId="21" name="borneo5.10">#REF!</definedName>
    <definedName localSheetId="36" name="URAIAN7614a">#REF!</definedName>
    <definedName localSheetId="44" name="R55..">#REF!</definedName>
    <definedName localSheetId="39" name="ubinkeramikartistik1010">#REF!</definedName>
    <definedName localSheetId="28" name="_pvc3">#REF!</definedName>
    <definedName localSheetId="11" name="MASTER">#REF!</definedName>
    <definedName localSheetId="25" name="FORM79mekanis">#REF!</definedName>
    <definedName localSheetId="0" name="nokgentengaspal">#REF!</definedName>
    <definedName localSheetId="15" name="R40..">#REF!</definedName>
    <definedName localSheetId="25" name="plintkeramikartistik520">#REF!</definedName>
    <definedName localSheetId="24" name="plintubinwarna1020">#REF!</definedName>
    <definedName localSheetId="41" name="borneo4.6">#REF!</definedName>
    <definedName localSheetId="36" name="sementahanasam">#REF!</definedName>
    <definedName localSheetId="3" name="_HAL4">#REF!</definedName>
    <definedName localSheetId="3" name="_______MMM05">#REF!</definedName>
    <definedName localSheetId="31" name="ppn2.30">#REF!</definedName>
    <definedName localSheetId="24" name="R63..">#REF!</definedName>
    <definedName localSheetId="17" name="grassblok">#REF!</definedName>
    <definedName localSheetId="17" name="stairnzing">#REF!</definedName>
    <definedName localSheetId="18" name="Jendelabesibaja">#REF!</definedName>
    <definedName name="________HAL8">#REF!</definedName>
    <definedName localSheetId="3" name="R28..">#REF!</definedName>
    <definedName localSheetId="36" name="kran.bbk">#REF!</definedName>
    <definedName localSheetId="36" name="SPJa">#REF!</definedName>
    <definedName localSheetId="30" name="kenek">#REF!</definedName>
    <definedName localSheetId="41" name="____DIV1">#REF!</definedName>
    <definedName localSheetId="23" name="R31..">#REF!</definedName>
    <definedName localSheetId="4" name="w">#REF!</definedName>
    <definedName localSheetId="44" name="_____DIV4">#REF!</definedName>
    <definedName localSheetId="17" name="ubinteraluxkerang40">#REF!</definedName>
    <definedName localSheetId="19" name="_PC50">#REF!</definedName>
    <definedName localSheetId="32" name="engsel4">#REF!</definedName>
    <definedName localSheetId="3" name="beton250r">#REF!</definedName>
    <definedName localSheetId="17" name="SPJa">#REF!</definedName>
    <definedName localSheetId="42" name="pakubulian">#REF!</definedName>
    <definedName localSheetId="40" name="________DIV2">#REF!</definedName>
    <definedName localSheetId="23" name="______MMM03">#REF!</definedName>
    <definedName localSheetId="3" name="FORM98">#REF!</definedName>
    <definedName localSheetId="36" name="BPS">#REF!</definedName>
    <definedName localSheetId="10" name="_DIV10">#REF!</definedName>
    <definedName name="_MMM16">#REF!</definedName>
    <definedName localSheetId="4" name="bubungangentengbeton">#REF!</definedName>
    <definedName localSheetId="3" name="_MMM01">#REF!</definedName>
    <definedName localSheetId="13" name="gggg">#REF!</definedName>
    <definedName localSheetId="25" name="sunloid">#REF!</definedName>
    <definedName localSheetId="21" name="URAIAN323L">#REF!</definedName>
    <definedName localSheetId="30" name="__pvc3">#REF!</definedName>
    <definedName localSheetId="20" name="kaca3">#REF!</definedName>
    <definedName localSheetId="31" name="FORM771b">#REF!</definedName>
    <definedName localSheetId="38" name="semenwarna">#REF!</definedName>
    <definedName localSheetId="24" name="plintkeramikartistik1020">#REF!</definedName>
    <definedName localSheetId="15" name="URAIANLatasirK">#REF!</definedName>
    <definedName localSheetId="17" name="_________MMM22">#REF!</definedName>
    <definedName localSheetId="28" name="badkip">#REF!</definedName>
    <definedName localSheetId="19" name="_______DIV2">#REF!</definedName>
    <definedName localSheetId="30" name="Excel_BuiltIn_Print_Titles_10">#REF!</definedName>
    <definedName name="_DIV10">#REF!</definedName>
    <definedName localSheetId="36" name="tegelplin20x20">#REF!</definedName>
    <definedName localSheetId="3" name="_____MMM21">#REF!</definedName>
    <definedName localSheetId="36" name="kayudamarlaut">#REF!</definedName>
    <definedName localSheetId="0" name="kaca8">#REF!</definedName>
    <definedName localSheetId="21" name="__MMM50">#REF!</definedName>
    <definedName localSheetId="17" name="dua">#REF!</definedName>
    <definedName localSheetId="31" name="split1.2">#REF!</definedName>
    <definedName localSheetId="17" name="___MMM16">#REF!</definedName>
    <definedName localSheetId="13" name="___DIV1">#REF!</definedName>
    <definedName localSheetId="39" name="Per">#REF!</definedName>
    <definedName localSheetId="3" name="GRC">#REF!</definedName>
    <definedName localSheetId="21" name="___MMM06">#REF!</definedName>
    <definedName localSheetId="40" name="closedjongkok">#REF!</definedName>
    <definedName localSheetId="17" name="_________MMM36">#REF!</definedName>
    <definedName localSheetId="19" name="tegelporselen">#REF!</definedName>
    <definedName localSheetId="32" name="RoolingdoorAlumunium">#REF!</definedName>
    <definedName localSheetId="42" name="tegelpc20x20">#REF!</definedName>
    <definedName name="_______MMM49">#REF!</definedName>
    <definedName localSheetId="34" name="residu">#REF!</definedName>
    <definedName localSheetId="24" name="_________MMM23">#REF!</definedName>
    <definedName localSheetId="12" name="SUNGAI_BERTAM">#REF!</definedName>
    <definedName localSheetId="12" name="RINCIANSEWA2">#REF!</definedName>
    <definedName localSheetId="32" name="besi13u">#REF!</definedName>
    <definedName localSheetId="24" name="____DIV3">#REF!</definedName>
    <definedName localSheetId="15" name="Lamp">#REF!</definedName>
    <definedName name="_________MMM32">#REF!</definedName>
    <definedName localSheetId="11" name="grendel3">#REF!</definedName>
    <definedName localSheetId="28" name="des">#REF!</definedName>
    <definedName localSheetId="19" name="gentengdecrabond">#REF!</definedName>
    <definedName localSheetId="3" name="___MMM14">#REF!</definedName>
    <definedName localSheetId="34" name="_818FA">#REF!</definedName>
    <definedName localSheetId="44" name="bjls30">#REF!</definedName>
    <definedName localSheetId="11" name="s.tukang">#REF!</definedName>
    <definedName localSheetId="30" name="_____HAL3">#REF!</definedName>
    <definedName localSheetId="32" name="he">#REF!</definedName>
    <definedName localSheetId="40" name="R31..">#REF!</definedName>
    <definedName localSheetId="12" name="____DIV10">#REF!</definedName>
    <definedName name="bouwplnk">#REF!</definedName>
    <definedName localSheetId="38" name="KECAMATAN_KODEOHA">#REF!</definedName>
    <definedName localSheetId="33" name="__DIV10">#REF!</definedName>
    <definedName localSheetId="34" name="____DIV10">#REF!</definedName>
    <definedName localSheetId="31" name="___DIV3">#REF!</definedName>
    <definedName localSheetId="42" name="R100..">#REF!</definedName>
    <definedName name="______MMM19">#REF!</definedName>
    <definedName localSheetId="0" name="FORM7614c">#REF!</definedName>
    <definedName name="grendel3">#REF!</definedName>
    <definedName localSheetId="36" name="DSSDD">#REF!</definedName>
    <definedName localSheetId="41" name="FORM7613a">#REF!</definedName>
    <definedName localSheetId="6" name="karpet">#REF!</definedName>
    <definedName localSheetId="38" name="plintubingranito1030">#REF!</definedName>
    <definedName localSheetId="7" name="kran.bbk">#REF!</definedName>
    <definedName localSheetId="8" name="waterstop150">#REF!</definedName>
    <definedName localSheetId="18" name="batapelapisdinding">#REF!</definedName>
    <definedName localSheetId="3" name="_________MMM52">#REF!</definedName>
    <definedName localSheetId="44" name="URAIAN7614e">#REF!</definedName>
    <definedName localSheetId="6" name="grendel3">#REF!</definedName>
    <definedName localSheetId="39" name="bjls30">#REF!</definedName>
    <definedName localSheetId="3" name="plintubingranito1030">#REF!</definedName>
    <definedName name="kayukulim">#REF!</definedName>
    <definedName localSheetId="33" name="_pc40">#REF!</definedName>
    <definedName localSheetId="19" name="f">#REF!</definedName>
    <definedName localSheetId="13" name="Batupuru">#REF!</definedName>
    <definedName name="Print_title">#REF!</definedName>
    <definedName localSheetId="21" name="URAIAN744">#REF!</definedName>
    <definedName localSheetId="25" name="lem">#REF!</definedName>
    <definedName localSheetId="30" name="SEKRETARIAT_DPRD">#REF!</definedName>
    <definedName localSheetId="15" name="eeeeee">#REF!</definedName>
    <definedName localSheetId="7" name="_________HAL1">#REF!</definedName>
    <definedName localSheetId="15" name="pddk">#REF!</definedName>
    <definedName localSheetId="12" name="plesteran13">#REF!</definedName>
    <definedName localSheetId="5" name="FORM7612a">#REF!</definedName>
    <definedName localSheetId="11" name="RoolingdoorAlumunium">#REF!</definedName>
    <definedName localSheetId="24" name="c.mowi.luar">#REF!</definedName>
    <definedName localSheetId="7" name="________MMM17">#REF!</definedName>
    <definedName localSheetId="32" name="medan5.7">#REF!</definedName>
    <definedName localSheetId="7" name="URAIAN231">#REF!</definedName>
    <definedName localSheetId="9" name="_818FA">#REF!</definedName>
    <definedName localSheetId="27" name="FORM745">#REF!</definedName>
    <definedName localSheetId="39" name="_818PK">#REF!</definedName>
    <definedName localSheetId="21" name="__MMM23">#REF!</definedName>
    <definedName localSheetId="30" name="_______HAL3">#REF!</definedName>
    <definedName localSheetId="24" name="________MMM25">#REF!</definedName>
    <definedName localSheetId="6" name="aluminiumfoil">#REF!</definedName>
    <definedName localSheetId="40" name="kacapolos3mm">#REF!</definedName>
    <definedName localSheetId="42" name="besi13">#REF!</definedName>
    <definedName localSheetId="38" name="URAIAN7613a">#REF!</definedName>
    <definedName localSheetId="39" name="marmer">#REF!</definedName>
    <definedName name="k.tukang">#REF!</definedName>
    <definedName localSheetId="32" name="kayumarsawa">#REF!</definedName>
    <definedName name="badkip">#REF!</definedName>
    <definedName localSheetId="33" name="_kop6">#REF!</definedName>
    <definedName localSheetId="7" name="FORM846">#REF!</definedName>
    <definedName localSheetId="10" name="plintubinteraso1030">#REF!</definedName>
    <definedName localSheetId="44" name="beton100kg">#REF!</definedName>
    <definedName localSheetId="44" name="____MMM40">#REF!</definedName>
    <definedName localSheetId="13" name="FORM732">#REF!</definedName>
    <definedName localSheetId="42" name="Minyak">#REF!</definedName>
    <definedName localSheetId="27" name="KTM">#REF!</definedName>
    <definedName localSheetId="44" name="R15..">#REF!</definedName>
    <definedName localSheetId="21" name="_________LLL02">#REF!</definedName>
    <definedName localSheetId="27" name="JUDUL1">#REF!</definedName>
    <definedName localSheetId="6" name="floorhardenermastercron">#REF!</definedName>
    <definedName localSheetId="32" name="mm">#REF!</definedName>
    <definedName localSheetId="31" name="URAIAN771a">#REF!</definedName>
    <definedName localSheetId="33" name="________HAL3">#REF!</definedName>
    <definedName localSheetId="39" name="__tl2">#REF!</definedName>
    <definedName localSheetId="3" name="_MMM33">#REF!</definedName>
    <definedName localSheetId="23" name="plesteran13">#REF!</definedName>
    <definedName name="Nokmetal3mm">#REF!</definedName>
    <definedName localSheetId="11" name="tegelplin20x20">#REF!</definedName>
    <definedName localSheetId="25" name="_____HAL3">#REF!</definedName>
    <definedName localSheetId="19" name="FORM7613b">#REF!</definedName>
    <definedName localSheetId="40" name="FORM633">#REF!</definedName>
    <definedName localSheetId="39" name="tempatcucipiring">#REF!</definedName>
    <definedName localSheetId="7" name="__MMM22">#REF!</definedName>
    <definedName localSheetId="30" name="cv">#REF!</definedName>
    <definedName localSheetId="11" name="SUNGAI_BERTAM">#REF!</definedName>
    <definedName localSheetId="5" name="y">#REF!</definedName>
    <definedName localSheetId="36" name="plintubinteraluxmarmer1040">#REF!</definedName>
    <definedName localSheetId="32" name="aluminiumfoil">#REF!</definedName>
    <definedName localSheetId="9" name="Ker.L13">#REF!</definedName>
    <definedName localSheetId="8" name="batuporos">#REF!</definedName>
    <definedName localSheetId="31" name="URAIAN">#REF!</definedName>
    <definedName name="Analisa70608">#REF!</definedName>
    <definedName localSheetId="11" name="_____DIV2">#REF!</definedName>
    <definedName localSheetId="3" name="parquetjati">#REF!</definedName>
    <definedName name="k.rmmn.30.30.pls">#REF!</definedName>
    <definedName localSheetId="21" name="FORM642">#REF!</definedName>
    <definedName localSheetId="3" name="_______DIV4">#REF!</definedName>
    <definedName localSheetId="13" name="nnnnn">#REF!</definedName>
    <definedName localSheetId="44" name="________MMM45">#REF!</definedName>
    <definedName localSheetId="21" name="_LLL04">#REF!</definedName>
    <definedName localSheetId="40" name="URAIAN7613b">#REF!</definedName>
    <definedName localSheetId="39" name="multi.18">#REF!</definedName>
    <definedName localSheetId="40" name="plintubinteraluxkerang1040">#REF!</definedName>
    <definedName localSheetId="10" name="batu.jogja">#REF!</definedName>
    <definedName localSheetId="24" name="_______MMM40">#REF!</definedName>
    <definedName localSheetId="0" name="c.mowi.luar">#REF!</definedName>
    <definedName localSheetId="3" name="_______MMM47">#REF!</definedName>
    <definedName localSheetId="27" name="_______MMM02">#REF!</definedName>
    <definedName localSheetId="30" name="urugan">#REF!</definedName>
    <definedName localSheetId="9" name="kayukamper">#REF!</definedName>
    <definedName localSheetId="40" name="kaca3">#REF!</definedName>
    <definedName localSheetId="15" name="__DIV3">#REF!</definedName>
    <definedName localSheetId="38" name="batugranito">#REF!</definedName>
    <definedName localSheetId="42" name="vernis">#REF!</definedName>
    <definedName localSheetId="15" name="Skrup">#REF!</definedName>
    <definedName localSheetId="36" name="________DIV3">#REF!</definedName>
    <definedName localSheetId="21" name="_____DIV6">#REF!</definedName>
    <definedName localSheetId="39" name="Papanbouplank">#REF!</definedName>
    <definedName name="____DIV1">#REF!</definedName>
    <definedName localSheetId="21" name="R46..">#REF!</definedName>
    <definedName localSheetId="23" name="B.Aparatur">#REF!</definedName>
    <definedName localSheetId="42" name="cv">#REF!</definedName>
    <definedName localSheetId="33" name="Gypsum">#REF!</definedName>
    <definedName localSheetId="10" name="tes">#REF!</definedName>
    <definedName localSheetId="17" name="_______DIV6">#REF!</definedName>
    <definedName localSheetId="10" name="______MMM01">#REF!</definedName>
    <definedName localSheetId="17" name="_MMM04">#REF!</definedName>
    <definedName localSheetId="44" name="c.mowi.luar">#REF!</definedName>
    <definedName localSheetId="33" name="cghj">#REF!</definedName>
    <definedName localSheetId="12" name="plintubinteraluxkerang1060">#REF!</definedName>
    <definedName localSheetId="41" name="teakwood9mm">#REF!</definedName>
    <definedName localSheetId="5" name="_______MMM01">#REF!</definedName>
    <definedName localSheetId="13" name="cendana">#REF!</definedName>
    <definedName localSheetId="31" name="batukali14">#REF!</definedName>
    <definedName localSheetId="24" name="R57..">#REF!</definedName>
    <definedName localSheetId="44" name="pvc3d">#REF!</definedName>
    <definedName localSheetId="19" name="karpet">#REF!</definedName>
    <definedName localSheetId="18" name="gali">#REF!</definedName>
    <definedName localSheetId="44" name="batapelapisklinker">#REF!</definedName>
    <definedName localSheetId="12" name="total">#REF!</definedName>
    <definedName localSheetId="44" name="tegelporselen11x11warna">#REF!</definedName>
    <definedName localSheetId="23" name="_____HAL2">#REF!</definedName>
    <definedName localSheetId="41" name="tempatcucipiring">#REF!</definedName>
    <definedName localSheetId="17" name="_LLL05">#REF!</definedName>
    <definedName localSheetId="23" name="FORMLatasirKL">#REF!</definedName>
    <definedName localSheetId="7" name="_______HAL4">#REF!</definedName>
    <definedName localSheetId="41" name="gypsum.9">#REF!</definedName>
    <definedName localSheetId="12" name="Aluminium">#REF!</definedName>
    <definedName localSheetId="18" name="_______DIV2">#REF!</definedName>
    <definedName localSheetId="5" name="_____DIV10">#REF!</definedName>
    <definedName localSheetId="19" name="URAIAN721">#REF!</definedName>
    <definedName localSheetId="7" name="___MMM28">#REF!</definedName>
    <definedName localSheetId="4" name="jendelanako">#REF!</definedName>
    <definedName localSheetId="17" name="R9..">#REF!</definedName>
    <definedName localSheetId="8" name="asbesgelombnang">#REF!</definedName>
    <definedName localSheetId="30" name="wallpaper">#REF!</definedName>
    <definedName localSheetId="42" name="bubungangentengbesar">#REF!</definedName>
    <definedName localSheetId="24" name="borneo6.12">#REF!</definedName>
    <definedName localSheetId="9" name="kacacermin6">#REF!</definedName>
    <definedName name="Analisa70707">#REF!</definedName>
    <definedName localSheetId="28" name="asbesgelombnang">#REF!</definedName>
    <definedName localSheetId="20" name="G.Kramik">#REF!</definedName>
    <definedName localSheetId="7" name="________MMM39">#REF!</definedName>
    <definedName localSheetId="25" name="UTAIAN7614c">#REF!</definedName>
    <definedName localSheetId="38" name="batuapung">#REF!</definedName>
    <definedName localSheetId="42" name="sealent">#REF!</definedName>
    <definedName localSheetId="27" name="FORMLatasirKL">#REF!</definedName>
    <definedName localSheetId="6" name="plintubinteraluxkerang1040">#REF!</definedName>
    <definedName localSheetId="31" name="floorhardenermastercron">#REF!</definedName>
    <definedName localSheetId="7" name="spirtus">#REF!</definedName>
    <definedName name="_MMM36">#REF!</definedName>
    <definedName localSheetId="27" name="rubbercorrugate">#REF!</definedName>
    <definedName localSheetId="18" name="yyyyyyy">#REF!</definedName>
    <definedName localSheetId="18" name="borneo5.10">#REF!</definedName>
    <definedName localSheetId="27" name="kuncialfa">#REF!</definedName>
    <definedName localSheetId="6" name="_________DIV2">#REF!</definedName>
    <definedName localSheetId="3" name="floorhardenerferrovak">#REF!</definedName>
    <definedName localSheetId="21" name="batuteraso">#REF!</definedName>
    <definedName localSheetId="31" name="y">#REF!</definedName>
    <definedName localSheetId="5" name="mm">#REF!</definedName>
    <definedName localSheetId="9" name="pakubulian">#REF!</definedName>
    <definedName localSheetId="30" name="Minyak">#REF!</definedName>
    <definedName localSheetId="38" name="___MMM03">#REF!</definedName>
    <definedName localSheetId="34" name="FORM7614b">#REF!</definedName>
    <definedName name="beton175R">#REF!</definedName>
    <definedName localSheetId="34" name="rapidrant">#REF!</definedName>
    <definedName localSheetId="0" name="batuporos">#REF!</definedName>
    <definedName localSheetId="12" name="terasocor">#REF!</definedName>
    <definedName localSheetId="44" name="____LLL05">#REF!</definedName>
    <definedName localSheetId="28" name="besi13">#REF!</definedName>
    <definedName localSheetId="39" name="medan5.7">#REF!</definedName>
    <definedName localSheetId="24" name="kawatjaring">#REF!</definedName>
    <definedName localSheetId="23" name="_______DIV10">#REF!</definedName>
    <definedName localSheetId="24" name="kuncitanamkamarmandi">#REF!</definedName>
    <definedName localSheetId="3" name="______MMM08">#REF!</definedName>
    <definedName localSheetId="6" name="ASET">#REF!</definedName>
    <definedName localSheetId="21" name="_______HAL6">#REF!</definedName>
    <definedName localSheetId="7" name="Skrup">#REF!</definedName>
    <definedName localSheetId="34" name="batapelapisklinker">#REF!</definedName>
    <definedName localSheetId="20" name="___MMM03">#REF!</definedName>
    <definedName localSheetId="40" name="_LLL03">#REF!</definedName>
    <definedName localSheetId="11" name="JUDUL">#REF!</definedName>
    <definedName localSheetId="18" name="______MMM03">#REF!</definedName>
    <definedName localSheetId="3" name="_________MMM46">#REF!</definedName>
    <definedName localSheetId="3" name="Aluminium">#REF!</definedName>
    <definedName localSheetId="38" name="____MMM02">#REF!</definedName>
    <definedName localSheetId="7" name="kenek">#REF!</definedName>
    <definedName localSheetId="24" name="Analisa70107">#REF!</definedName>
    <definedName localSheetId="7" name="____MMM24">#REF!</definedName>
    <definedName localSheetId="40" name="R60..">#REF!</definedName>
    <definedName localSheetId="7" name="gypsum.prf">#REF!</definedName>
    <definedName localSheetId="6" name="ubinkeramikartistik520">#REF!</definedName>
    <definedName localSheetId="17" name="_______MMM51">#REF!</definedName>
    <definedName localSheetId="11" name="ppn2.30">#REF!</definedName>
    <definedName localSheetId="7" name="u">#REF!</definedName>
    <definedName localSheetId="11" name="Print_Area_MI">#REF!</definedName>
    <definedName localSheetId="3" name="_______LLL05">#REF!</definedName>
    <definedName localSheetId="9" name="___pvc05">#REF!</definedName>
    <definedName localSheetId="6" name="ubingranito30">#REF!</definedName>
    <definedName localSheetId="30" name="c.mowi.dlm">#REF!</definedName>
    <definedName name="_MMM38">#REF!</definedName>
    <definedName localSheetId="3" name="R37..">#REF!</definedName>
    <definedName localSheetId="31" name="FRRDS">#REF!</definedName>
    <definedName localSheetId="20" name="grendeltanam">#REF!</definedName>
    <definedName localSheetId="38" name="kayuramin">#REF!</definedName>
    <definedName localSheetId="12" name="batapelapisklinker">#REF!</definedName>
    <definedName localSheetId="44" name="_____MMM49">#REF!</definedName>
    <definedName localSheetId="36" name="plintubingranito1030">#REF!</definedName>
    <definedName localSheetId="21" name="na">#REF!</definedName>
    <definedName localSheetId="40" name="__DIV1">#REF!</definedName>
    <definedName localSheetId="44" name="__MMM16">#REF!</definedName>
    <definedName localSheetId="39" name="mlex.w">#REF!</definedName>
    <definedName localSheetId="30" name="s.tukang">#REF!</definedName>
    <definedName localSheetId="23" name="c.mowi.dlm">#REF!</definedName>
    <definedName name="kran.ddg">#REF!</definedName>
    <definedName localSheetId="38" name="___DIV4">#REF!</definedName>
    <definedName localSheetId="21" name="bakkontrol">#REF!</definedName>
    <definedName localSheetId="19" name="besiprofilWF">#REF!</definedName>
    <definedName localSheetId="5" name="teakwood6mm">#REF!</definedName>
    <definedName localSheetId="28" name="ASET">#REF!</definedName>
    <definedName localSheetId="12" name="KT">#REF!</definedName>
    <definedName localSheetId="21" name="gentengmonier">#REF!</definedName>
    <definedName localSheetId="17" name="f">#REF!</definedName>
    <definedName localSheetId="8" name="FORM631">#REF!</definedName>
    <definedName localSheetId="30" name="kapursirih">#REF!</definedName>
    <definedName localSheetId="21" name="Lamp">#REF!</definedName>
    <definedName localSheetId="17" name="URAIAN771c">#REF!</definedName>
    <definedName localSheetId="3" name="batamerah">#REF!</definedName>
    <definedName localSheetId="44" name="________MMM08">#REF!</definedName>
    <definedName name="pipatanah">#REF!</definedName>
    <definedName localSheetId="7" name="______MMM53">#REF!</definedName>
    <definedName localSheetId="32" name="__HAL5">#REF!</definedName>
    <definedName localSheetId="33" name="water.prof">#REF!</definedName>
    <definedName localSheetId="19" name="DFFFGGG">#REF!</definedName>
    <definedName localSheetId="11" name="URAIAN7613c">#REF!</definedName>
    <definedName localSheetId="19" name="kacapolos5mm">#REF!</definedName>
    <definedName localSheetId="23" name="c.maxi">#REF!</definedName>
    <definedName localSheetId="17" name="____MMM47">#REF!</definedName>
    <definedName localSheetId="7" name="________MMM41">#REF!</definedName>
    <definedName localSheetId="0" name="Papanbouplank">#REF!</definedName>
    <definedName localSheetId="7" name="__MMM49">#REF!</definedName>
    <definedName name="batupecah">#REF!</definedName>
    <definedName localSheetId="33" name="ubinkeramik1033">#REF!</definedName>
    <definedName localSheetId="17" name="______MMM25">#REF!</definedName>
    <definedName localSheetId="5" name="____DIV2">#REF!</definedName>
    <definedName localSheetId="18" name="kaca.es">#REF!</definedName>
    <definedName name="____MMM06">#REF!</definedName>
    <definedName localSheetId="7" name="____MMM01">#REF!</definedName>
    <definedName localSheetId="5" name="Minyak">#REF!</definedName>
    <definedName localSheetId="39" name="total">#REF!</definedName>
    <definedName localSheetId="7" name="_______LLL04">#REF!</definedName>
    <definedName localSheetId="12" name="plintubinwarna1040">#REF!</definedName>
    <definedName localSheetId="34" name="keramik20">#REF!</definedName>
    <definedName localSheetId="3" name="URAIAN7612a">#REF!</definedName>
    <definedName localSheetId="38" name="_____DIV10">#REF!</definedName>
    <definedName localSheetId="5" name="rapidrant">#REF!</definedName>
    <definedName localSheetId="12" name="Excel_BuiltIn_Print_Titles_1">#REF!</definedName>
    <definedName localSheetId="24" name="__MMM49">#REF!</definedName>
    <definedName localSheetId="21" name="_LLL07">#REF!</definedName>
    <definedName localSheetId="31" name="jj">#REF!</definedName>
    <definedName localSheetId="32" name="rollingdoor">#REF!</definedName>
    <definedName localSheetId="40" name="reng">#REF!</definedName>
    <definedName name="KUANTITAS">#REF!</definedName>
    <definedName localSheetId="5" name="aa">#REF!</definedName>
    <definedName localSheetId="38" name="____DIV4">#REF!</definedName>
    <definedName localSheetId="32" name="beton225r">#REF!</definedName>
    <definedName localSheetId="21" name="tegelpc20x20">#REF!</definedName>
    <definedName localSheetId="18" name="Batupuru">#REF!</definedName>
    <definedName localSheetId="44" name="kayukulim">#REF!</definedName>
    <definedName localSheetId="31" name="alba2.20">#REF!</definedName>
    <definedName localSheetId="39" name="FORM66PERATA">#REF!</definedName>
    <definedName localSheetId="30" name="jurnal1">#REF!</definedName>
    <definedName localSheetId="27" name="sis">#REF!</definedName>
    <definedName localSheetId="12" name="Pjgsloof">#REF!</definedName>
    <definedName localSheetId="10" name="medan3.4">#REF!</definedName>
    <definedName localSheetId="5" name="FORM842">#REF!</definedName>
    <definedName localSheetId="8" name="kayukelas2">#REF!</definedName>
    <definedName localSheetId="21" name="_____HAL1">#REF!</definedName>
    <definedName localSheetId="39" name="p.kmp.smrd.3.20">#REF!</definedName>
    <definedName localSheetId="3" name="____MMM31">#REF!</definedName>
    <definedName localSheetId="21" name="ubinkeramik2020">#REF!</definedName>
    <definedName localSheetId="7" name="FORM7612a">#REF!</definedName>
    <definedName localSheetId="23" name="s.warna">#REF!</definedName>
    <definedName localSheetId="15" name="FORM7613b">#REF!</definedName>
    <definedName localSheetId="24" name="___LLL09">#REF!</definedName>
    <definedName localSheetId="7" name="FORM611">#REF!</definedName>
    <definedName localSheetId="11" name="jamtandem">#REF!</definedName>
    <definedName localSheetId="17" name="e">#REF!</definedName>
    <definedName localSheetId="8" name="klosetjongkok">#REF!</definedName>
    <definedName localSheetId="28" name="aaaaa">#REF!</definedName>
    <definedName name="_DIV6">#REF!</definedName>
    <definedName localSheetId="44" name="_________MMM17">#REF!</definedName>
    <definedName localSheetId="44" name="___HAL8">#REF!</definedName>
    <definedName localSheetId="44" name="_MMM03">#REF!</definedName>
    <definedName localSheetId="36" name="psr.trs">#REF!</definedName>
    <definedName localSheetId="4" name="jurnal">#REF!</definedName>
    <definedName localSheetId="39" name="rapidrant">#REF!</definedName>
    <definedName localSheetId="33" name="Print_title">#REF!</definedName>
    <definedName localSheetId="38" name="pddk">#REF!</definedName>
    <definedName localSheetId="40" name="badkip">#REF!</definedName>
    <definedName localSheetId="36" name="bubunganasbesnok">#REF!</definedName>
    <definedName localSheetId="44" name="__LLL03">#REF!</definedName>
    <definedName localSheetId="17" name="_MMM28">#REF!</definedName>
    <definedName localSheetId="13" name="kmp.banjar">#REF!</definedName>
    <definedName localSheetId="27" name="keramik40">#REF!</definedName>
    <definedName localSheetId="20" name="kmp.banjar">#REF!</definedName>
    <definedName localSheetId="7" name="___MMM04">#REF!</definedName>
    <definedName localSheetId="27" name="batapelapisklinker">#REF!</definedName>
    <definedName localSheetId="34" name="_____DIV4">#REF!</definedName>
    <definedName localSheetId="17" name="RINCIANSEWA2">#REF!</definedName>
    <definedName localSheetId="7" name="plintubinkeramikartistik1020">#REF!</definedName>
    <definedName localSheetId="38" name="FORM631">#REF!</definedName>
    <definedName localSheetId="32" name="__Tl1">#REF!</definedName>
    <definedName localSheetId="24" name="Pc.50">#REF!</definedName>
    <definedName localSheetId="24" name="G">#REF!</definedName>
    <definedName localSheetId="9" name="____HAL2">#REF!</definedName>
    <definedName localSheetId="18" name="STRUKTUR">#REF!</definedName>
    <definedName localSheetId="33" name="SSSSSSSSSSSSSSSSSSSSSSSSSSSSS">#REF!</definedName>
    <definedName localSheetId="38" name="nokpaten105">#REF!</definedName>
    <definedName localSheetId="38" name="lem">#REF!</definedName>
    <definedName localSheetId="40" name="_pvc3">#REF!</definedName>
    <definedName localSheetId="12" name="plintubinwarna1030">#REF!</definedName>
    <definedName localSheetId="18" name="Excel_BuiltIn_Print_Titles_2">#REF!</definedName>
    <definedName localSheetId="7" name="______DIV1">#REF!</definedName>
    <definedName localSheetId="34" name="mapel">#REF!</definedName>
    <definedName localSheetId="8" name="hollowblok">#REF!</definedName>
    <definedName localSheetId="20" name="tegelplin20x20">#REF!</definedName>
    <definedName localSheetId="4" name="FORM633">#REF!</definedName>
    <definedName localSheetId="21" name="_pvc105">#REF!</definedName>
    <definedName localSheetId="21" name="k.zink">#REF!</definedName>
    <definedName localSheetId="31" name="_PC50">#REF!</definedName>
    <definedName localSheetId="25" name="vinylasbes">#REF!</definedName>
    <definedName localSheetId="17" name="Analisa71106">#REF!</definedName>
    <definedName localSheetId="28" name="plintubinteraso1040">#REF!</definedName>
    <definedName localSheetId="27" name="plintubinteraluxmarmer1040">#REF!</definedName>
    <definedName localSheetId="44" name="________MMM07">#REF!</definedName>
    <definedName localSheetId="17" name="s.warna">#REF!</definedName>
    <definedName localSheetId="25" name="catantara">#REF!</definedName>
    <definedName localSheetId="27" name="__HAL3">#REF!</definedName>
    <definedName localSheetId="8" name="FORM842">#REF!</definedName>
    <definedName localSheetId="23" name="keramik20">#REF!</definedName>
    <definedName localSheetId="6" name="URAIAN771a">#REF!</definedName>
    <definedName localSheetId="18" name="FORM621">#REF!</definedName>
    <definedName localSheetId="24" name="Analisa71511">#REF!</definedName>
    <definedName localSheetId="7" name="besi16u">#REF!</definedName>
    <definedName localSheetId="28" name="URAIAN234L">#REF!</definedName>
    <definedName localSheetId="23" name="ubinwarna40">#REF!</definedName>
    <definedName localSheetId="42" name="_HAL4">#REF!</definedName>
    <definedName localSheetId="36" name="relpintudorong">#REF!</definedName>
    <definedName localSheetId="7" name="papan.m.3.20">#REF!</definedName>
    <definedName localSheetId="40" name="_______DIV3">#REF!</definedName>
    <definedName localSheetId="36" name="_____MMM02">#REF!</definedName>
    <definedName localSheetId="25" name="batuteraso">#REF!</definedName>
    <definedName localSheetId="12" name="dempul">#REF!</definedName>
    <definedName localSheetId="34" name="kaca.es">#REF!</definedName>
    <definedName localSheetId="3" name="____MMM34">#REF!</definedName>
    <definedName localSheetId="7" name="sunloid">#REF!</definedName>
    <definedName localSheetId="21" name="_____MMM40">#REF!</definedName>
    <definedName localSheetId="5" name="plywood4mm">#REF!</definedName>
    <definedName localSheetId="4" name="stairnzing">#REF!</definedName>
    <definedName localSheetId="17" name="URAIAN79manual">#REF!</definedName>
    <definedName localSheetId="41" name="FORM66PERMUKAAN">#REF!</definedName>
    <definedName localSheetId="17" name="________MMM46">#REF!</definedName>
    <definedName localSheetId="33" name="asbesgelombnang">#REF!</definedName>
    <definedName localSheetId="44" name="_LLL01">#REF!</definedName>
    <definedName localSheetId="15" name="tegel20">#REF!</definedName>
    <definedName localSheetId="36" name="urugan">#REF!</definedName>
    <definedName localSheetId="4" name="URAIAN7612a">#REF!</definedName>
    <definedName localSheetId="21" name="____DIV7">#REF!</definedName>
    <definedName localSheetId="40" name="plintubinteraso1030">#REF!</definedName>
    <definedName localSheetId="3" name="______MMM17">#REF!</definedName>
    <definedName localSheetId="3" name="bakcuciteraso">#REF!</definedName>
    <definedName localSheetId="41" name="_____HAL2">#REF!</definedName>
    <definedName localSheetId="12" name="_________MMM02">#REF!</definedName>
    <definedName localSheetId="10" name="water.prof">#REF!</definedName>
    <definedName localSheetId="20" name="c.mowi.luar">#REF!</definedName>
    <definedName localSheetId="42" name="hd">#REF!</definedName>
    <definedName localSheetId="12" name="tbkr">#REF!</definedName>
    <definedName localSheetId="12" name="FORM7614c">#REF!</definedName>
    <definedName localSheetId="31" name="AAAAAAA">#REF!</definedName>
    <definedName localSheetId="17" name="Catbesi">#REF!</definedName>
    <definedName localSheetId="4" name="ASET">#REF!</definedName>
    <definedName localSheetId="17" name="kacacermin6">#REF!</definedName>
    <definedName localSheetId="41" name="plywood4">#REF!</definedName>
    <definedName localSheetId="21" name="___HAL7">#REF!</definedName>
    <definedName localSheetId="3" name="_________DIV2">#REF!</definedName>
    <definedName localSheetId="23" name="__HAL3">#REF!</definedName>
    <definedName localSheetId="8" name="floorhardenerferrovak">#REF!</definedName>
    <definedName name="_______DIV7">#REF!</definedName>
    <definedName localSheetId="8" name="KECAMATAN_KODEOHA">#REF!</definedName>
    <definedName localSheetId="23" name="pintualuminium">#REF!</definedName>
    <definedName localSheetId="38" name="air">#REF!</definedName>
    <definedName localSheetId="6" name="ss">#REF!</definedName>
    <definedName localSheetId="21" name="___MMM13">#REF!</definedName>
    <definedName localSheetId="30" name="papanbekisting">#REF!</definedName>
    <definedName localSheetId="33" name="______MMM03">#REF!</definedName>
    <definedName localSheetId="8" name="mowi.w.shield">#REF!</definedName>
    <definedName localSheetId="42" name="wwww">#REF!</definedName>
    <definedName localSheetId="30" name="SSSSSSSSSSSSSSSSSSSSSSSSSSSSS">#REF!</definedName>
    <definedName localSheetId="25" name="Overhead">#REF!</definedName>
    <definedName localSheetId="34" name="karpetwooldannilon">#REF!</definedName>
    <definedName localSheetId="33" name="floorhardenerferrovak">#REF!</definedName>
    <definedName localSheetId="17" name="___MMM47">#REF!</definedName>
    <definedName localSheetId="4" name="MINOR">#REF!</definedName>
    <definedName localSheetId="34" name="AAAAAAA">#REF!</definedName>
    <definedName localSheetId="17" name="R33..">#REF!</definedName>
    <definedName localSheetId="38" name="_____DIV3">#REF!</definedName>
    <definedName localSheetId="17" name="FORM7610">#REF!</definedName>
    <definedName localSheetId="38" name="grendel3">#REF!</definedName>
    <definedName localSheetId="7" name="____MMM03">#REF!</definedName>
    <definedName localSheetId="36" name="medan3.4">#REF!</definedName>
    <definedName localSheetId="39" name="roster">#REF!</definedName>
    <definedName localSheetId="7" name="ubinteraso30">#REF!</definedName>
    <definedName localSheetId="36" name="urugankembali">#REF!</definedName>
    <definedName localSheetId="18" name="c.mowi.luar">#REF!</definedName>
    <definedName localSheetId="21" name="___MMM51">#REF!</definedName>
    <definedName localSheetId="19" name="_MMM01">#REF!</definedName>
    <definedName localSheetId="15" name="sdg">#REF!</definedName>
    <definedName localSheetId="3" name="URAIAN745">#REF!</definedName>
    <definedName localSheetId="31" name="kayukamper">#REF!</definedName>
    <definedName localSheetId="38" name="koralbeton">#REF!</definedName>
    <definedName localSheetId="30" name="k.beton">#REF!</definedName>
    <definedName localSheetId="44" name="______LLL11">#REF!</definedName>
    <definedName localSheetId="23" name="kuncitanam">#REF!</definedName>
    <definedName localSheetId="18" name="____HAL3">#REF!</definedName>
    <definedName name="hakangin">#REF!</definedName>
    <definedName localSheetId="40" name="R21..">#REF!</definedName>
    <definedName localSheetId="36" name="urugantanah">#REF!</definedName>
    <definedName localSheetId="9" name="URAIAN66PERATA">#REF!</definedName>
    <definedName localSheetId="36" name="MASTER">#REF!</definedName>
    <definedName localSheetId="19" name="urugankembali">#REF!</definedName>
    <definedName localSheetId="3" name="_______MMM08">#REF!</definedName>
    <definedName localSheetId="5" name="panelbetonpracetak">#REF!</definedName>
    <definedName localSheetId="17" name="_____MMM53">#REF!</definedName>
    <definedName localSheetId="24" name="borneo5.10">#REF!</definedName>
    <definedName localSheetId="25" name="floorhardenerferrovak">#REF!</definedName>
    <definedName localSheetId="7" name="_______MMM54">#REF!</definedName>
    <definedName localSheetId="23" name="SUNGAI_BERTAM">#REF!</definedName>
    <definedName localSheetId="24" name="___MMM06">#REF!</definedName>
    <definedName localSheetId="4" name="jffhauifhauifhe">#REF!</definedName>
    <definedName localSheetId="25" name="FORM7613b">#REF!</definedName>
    <definedName name="__LLL06">#REF!</definedName>
    <definedName localSheetId="19" name="SPJa">#REF!</definedName>
    <definedName localSheetId="8" name="_________DIV2">#REF!</definedName>
    <definedName localSheetId="30" name="_pc40">#REF!</definedName>
    <definedName localSheetId="25" name="medan3.4">#REF!</definedName>
    <definedName localSheetId="44" name="y">#REF!</definedName>
    <definedName localSheetId="3" name="cv">#REF!</definedName>
    <definedName localSheetId="0" name="lis">#REF!</definedName>
    <definedName localSheetId="32" name="____HAL3">#REF!</definedName>
    <definedName localSheetId="24" name="R103..">#REF!</definedName>
    <definedName localSheetId="44" name="______MMM04">#REF!</definedName>
    <definedName localSheetId="17" name="closet.jkok">#REF!</definedName>
    <definedName localSheetId="11" name="R3..">#REF!</definedName>
    <definedName localSheetId="44" name="URAIAN916">#REF!</definedName>
    <definedName localSheetId="28" name="R5..">#REF!</definedName>
    <definedName localSheetId="25" name="R31..">#REF!</definedName>
    <definedName localSheetId="21" name="___MMM28">#REF!</definedName>
    <definedName localSheetId="4" name="total">#REF!</definedName>
    <definedName localSheetId="27" name="kaca.es">#REF!</definedName>
    <definedName localSheetId="11" name="jffhauifhauifhe">#REF!</definedName>
    <definedName localSheetId="32" name="___DIV3">#REF!</definedName>
    <definedName localSheetId="36" name="paving">#REF!</definedName>
    <definedName localSheetId="31" name="plywood4mm">#REF!</definedName>
    <definedName localSheetId="32" name="______DIV10">#REF!</definedName>
    <definedName localSheetId="41" name="pagarseng2m">#REF!</definedName>
    <definedName localSheetId="27" name="u">#REF!</definedName>
    <definedName localSheetId="11" name="_pc40">#REF!</definedName>
    <definedName localSheetId="44" name="Psr.psg">#REF!</definedName>
    <definedName localSheetId="27" name="gali">#REF!</definedName>
    <definedName localSheetId="18" name="plintubinwarna1040">#REF!</definedName>
    <definedName name="besi13u">#REF!</definedName>
    <definedName localSheetId="32" name="BPS">#REF!</definedName>
    <definedName localSheetId="42" name="JUDUL1">#REF!</definedName>
    <definedName localSheetId="17" name="besi16sii">#REF!</definedName>
    <definedName localSheetId="11" name="__DIV1">#REF!</definedName>
    <definedName localSheetId="17" name="pvc.3.mas.d">#REF!</definedName>
    <definedName localSheetId="7" name="total">#REF!</definedName>
    <definedName localSheetId="20" name="grendel3">#REF!</definedName>
    <definedName localSheetId="0" name="ubinkeramik1515">#REF!</definedName>
    <definedName localSheetId="44" name="c.mowi.dlm">#REF!</definedName>
    <definedName localSheetId="21" name="_________MMM25">#REF!</definedName>
    <definedName localSheetId="0" name="t.sabun">#REF!</definedName>
    <definedName localSheetId="7" name="_HAL7">#REF!</definedName>
    <definedName localSheetId="13" name="___DIV3">#REF!</definedName>
    <definedName localSheetId="12" name="kenek">#REF!</definedName>
    <definedName localSheetId="24" name="tl2x40">#REF!</definedName>
    <definedName localSheetId="12" name="sabun">#REF!</definedName>
    <definedName localSheetId="5" name="besipresstressedpolos">#REF!</definedName>
    <definedName name="__MMM44">#REF!</definedName>
    <definedName localSheetId="17" name="_MMM41">#REF!</definedName>
    <definedName localSheetId="3" name="_DIV3">#REF!</definedName>
    <definedName localSheetId="8" name="kali">#REF!</definedName>
    <definedName localSheetId="44" name="_LLL02">#REF!</definedName>
    <definedName localSheetId="3" name="reng">#REF!</definedName>
    <definedName localSheetId="17" name="R3..">#REF!</definedName>
    <definedName name="ubinteraluxmarmer60">#REF!</definedName>
    <definedName localSheetId="17" name="batu.jogja">#REF!</definedName>
    <definedName localSheetId="5" name="rtrt">#REF!</definedName>
    <definedName localSheetId="3" name="MINOR">#REF!</definedName>
    <definedName localSheetId="18" name="_____DIV3">#REF!</definedName>
    <definedName localSheetId="18" name="klosetjongkok">#REF!</definedName>
    <definedName name="URAIAN7613c">#REF!</definedName>
    <definedName localSheetId="10" name="pakusumbat">#REF!</definedName>
    <definedName localSheetId="7" name="FORM7612c">#REF!</definedName>
    <definedName name="__MMM48">#REF!</definedName>
    <definedName localSheetId="25" name="URAIAN7614b">#REF!</definedName>
    <definedName localSheetId="23" name="ppn.m.3.20.serut">#REF!</definedName>
    <definedName localSheetId="21" name="Uraian841">#REF!</definedName>
    <definedName name="plintubinteraso1030">#REF!</definedName>
    <definedName localSheetId="23" name="plintkeramikartistik1020">#REF!</definedName>
    <definedName localSheetId="42" name="batuapung">#REF!</definedName>
    <definedName localSheetId="34" name="cycllop">#REF!</definedName>
    <definedName localSheetId="44" name="___MMM33">#REF!</definedName>
    <definedName name="R8..">#REF!</definedName>
    <definedName localSheetId="17" name="plintubinteraso1040">#REF!</definedName>
    <definedName localSheetId="0" name="lb">#REF!</definedName>
    <definedName localSheetId="10" name="____MMM01">#REF!</definedName>
    <definedName localSheetId="3" name="R10..">#REF!</definedName>
    <definedName localSheetId="20" name="_______DIV10">#REF!</definedName>
    <definedName localSheetId="7" name="___DIV4">#REF!</definedName>
    <definedName localSheetId="17" name="R91..">#REF!</definedName>
    <definedName localSheetId="17" name="________MMM45">#REF!</definedName>
    <definedName localSheetId="13" name="Print_title">#REF!</definedName>
    <definedName localSheetId="28" name="__pvc2">#REF!</definedName>
    <definedName localSheetId="17" name="URAIAN231">#REF!</definedName>
    <definedName localSheetId="12" name="__tl2">#REF!</definedName>
    <definedName localSheetId="33" name="c.mowi.dlm">#REF!</definedName>
    <definedName name="_HAL4">#REF!</definedName>
    <definedName localSheetId="19" name="SUNGAI_BERTAM">#REF!</definedName>
    <definedName localSheetId="7" name="______DIV5">#REF!</definedName>
    <definedName localSheetId="5" name="rollingdoor">#REF!</definedName>
    <definedName localSheetId="23" name="Uraian8410">#REF!</definedName>
    <definedName localSheetId="4" name="FORM7613a">#REF!</definedName>
    <definedName localSheetId="42" name="_____HAL3">#REF!</definedName>
    <definedName localSheetId="15" name="y">#REF!</definedName>
    <definedName localSheetId="27" name="______DIV2">#REF!</definedName>
    <definedName localSheetId="33" name="_DIV4">#REF!</definedName>
    <definedName localSheetId="24" name="R56..">#REF!</definedName>
    <definedName localSheetId="32" name="jamtandem">#REF!</definedName>
    <definedName localSheetId="33" name="closedjongkok">#REF!</definedName>
    <definedName localSheetId="23" name="FRRDS">#REF!</definedName>
    <definedName localSheetId="8" name="vertikalsblinds">#REF!</definedName>
    <definedName localSheetId="15" name="penduduk">#REF!</definedName>
    <definedName localSheetId="13" name="ARI">#REF!</definedName>
    <definedName name="______MMM29">#REF!</definedName>
    <definedName localSheetId="9" name="sealer.mowi">#REF!</definedName>
    <definedName localSheetId="15" name="________MMM01">#REF!</definedName>
    <definedName localSheetId="28" name="pakuhak15cm">#REF!</definedName>
    <definedName localSheetId="36" name="batapelapisdinding">#REF!</definedName>
    <definedName localSheetId="5" name="nmdaerah">#REF!</definedName>
    <definedName localSheetId="44" name="______MMM19">#REF!</definedName>
    <definedName name="jendelanako">#REF!</definedName>
    <definedName localSheetId="44" name="______HAL3">#REF!</definedName>
    <definedName localSheetId="20" name="kompresor">#REF!</definedName>
    <definedName localSheetId="41" name="lp">#REF!</definedName>
    <definedName name="multi.6">#REF!</definedName>
    <definedName localSheetId="3" name="__MMM19">#REF!</definedName>
    <definedName localSheetId="3" name="___MMM11">#REF!</definedName>
    <definedName localSheetId="19" name="_kop6">#REF!</definedName>
    <definedName localSheetId="33" name="baru">#REF!</definedName>
    <definedName localSheetId="15" name="badkip">#REF!</definedName>
    <definedName localSheetId="3" name="____MMM22">#REF!</definedName>
    <definedName localSheetId="24" name="____MMM52">#REF!</definedName>
    <definedName localSheetId="21" name="_KOP7">#REF!</definedName>
    <definedName localSheetId="13" name="FORM632">#REF!</definedName>
    <definedName localSheetId="4" name="list">#REF!</definedName>
    <definedName localSheetId="40" name="kawatsengpolos">#REF!</definedName>
    <definedName localSheetId="3" name="R105..">#REF!</definedName>
    <definedName localSheetId="31" name="SPJ">#REF!</definedName>
    <definedName localSheetId="3" name="meni.kayu">#REF!</definedName>
    <definedName localSheetId="8" name="wwww">#REF!</definedName>
    <definedName localSheetId="39" name="Analisa511">#REF!</definedName>
    <definedName localSheetId="9" name="pakugypsum">#REF!</definedName>
    <definedName name="_________MMM14">#REF!</definedName>
    <definedName localSheetId="18" name="____DIV10">#REF!</definedName>
    <definedName localSheetId="20" name="grendel4">#REF!</definedName>
    <definedName localSheetId="20" name="________HAL3">#REF!</definedName>
    <definedName localSheetId="17" name="kayudamarlaut">#REF!</definedName>
    <definedName localSheetId="32" name="JL_NAS">#REF!</definedName>
    <definedName localSheetId="32" name="cendana">#REF!</definedName>
    <definedName localSheetId="44" name="data2">#REF!</definedName>
    <definedName localSheetId="17" name="_________DIV5">#REF!</definedName>
    <definedName localSheetId="9" name="ubinkeramikartistik1010">#REF!</definedName>
    <definedName localSheetId="20" name="__HAL4">#REF!</definedName>
    <definedName localSheetId="12" name="gentengdecrabond">#REF!</definedName>
    <definedName localSheetId="6" name="flordrain">#REF!</definedName>
    <definedName localSheetId="11" name="kawatburung">#REF!</definedName>
    <definedName localSheetId="8" name="FORM621">#REF!</definedName>
    <definedName localSheetId="4" name="tegelplin20x20">#REF!</definedName>
    <definedName localSheetId="5" name="___DIV1">#REF!</definedName>
    <definedName localSheetId="6" name="sirap">#REF!</definedName>
    <definedName localSheetId="0" name="y">#REF!</definedName>
    <definedName localSheetId="44" name="he">#REF!</definedName>
    <definedName name="__MMM31">#REF!</definedName>
    <definedName localSheetId="21" name="_________MMM40">#REF!</definedName>
    <definedName localSheetId="30" name="___MMM03">#REF!</definedName>
    <definedName localSheetId="36" name="amobiotic">#REF!</definedName>
    <definedName localSheetId="10" name="plintkeramikartistik1010">#REF!</definedName>
    <definedName localSheetId="4" name="asbesgelombnang">#REF!</definedName>
    <definedName localSheetId="11" name="_______DIV3">#REF!</definedName>
    <definedName localSheetId="42" name="______DIV2">#REF!</definedName>
    <definedName localSheetId="10" name="_pvc105">#REF!</definedName>
    <definedName localSheetId="39" name="GUIIII">#REF!</definedName>
    <definedName localSheetId="42" name="Akustik">#REF!</definedName>
    <definedName localSheetId="0" name="plintkeramikartistik520">#REF!</definedName>
    <definedName localSheetId="27" name="_____HAL2">#REF!</definedName>
    <definedName localSheetId="34" name="________DIV3">#REF!</definedName>
    <definedName localSheetId="10" name="bakcuciteraso">#REF!</definedName>
    <definedName localSheetId="21" name="plintkeramikartistik520">#REF!</definedName>
    <definedName localSheetId="5" name="oke">#REF!</definedName>
    <definedName localSheetId="38" name="URAIAN744">#REF!</definedName>
    <definedName localSheetId="13" name="beton.tumbuk">#REF!</definedName>
    <definedName localSheetId="33" name="_______MMM02">#REF!</definedName>
    <definedName localSheetId="18" name="mowi.ws">#REF!</definedName>
    <definedName localSheetId="25" name="ubinkeramikartistik520">#REF!</definedName>
    <definedName localSheetId="38" name="nokpaten092">#REF!</definedName>
    <definedName localSheetId="3" name="kayukruing">#REF!</definedName>
    <definedName localSheetId="23" name="tegel20">#REF!</definedName>
    <definedName localSheetId="4" name="sealer.mowi">#REF!</definedName>
    <definedName localSheetId="3" name="___HAL8">#REF!</definedName>
    <definedName localSheetId="32" name="dasar">#REF!</definedName>
    <definedName localSheetId="6" name="pakugypsum">#REF!</definedName>
    <definedName localSheetId="19" name="URAIAN612">#REF!</definedName>
    <definedName localSheetId="44" name="_DIV8">#REF!</definedName>
    <definedName localSheetId="15" name="kayuterentang">#REF!</definedName>
    <definedName localSheetId="41" name="B.Aparatur">#REF!</definedName>
    <definedName name="_pvc205">#REF!</definedName>
    <definedName localSheetId="0" name="_LLL02">#REF!</definedName>
    <definedName localSheetId="0" name="R10..">#REF!</definedName>
    <definedName localSheetId="3" name="_____MMM03">#REF!</definedName>
    <definedName localSheetId="10" name="residu">#REF!</definedName>
    <definedName localSheetId="24" name="ubinmosaik3030">#REF!</definedName>
    <definedName localSheetId="42" name="HP">#REF!</definedName>
    <definedName localSheetId="5" name="Kekurangan">#REF!</definedName>
    <definedName localSheetId="17" name="ubinmosaik3030">#REF!</definedName>
    <definedName localSheetId="20" name="kapursirih">#REF!</definedName>
    <definedName localSheetId="17" name="R39..">#REF!</definedName>
    <definedName localSheetId="38" name="siap1">#REF!</definedName>
    <definedName localSheetId="21" name="bak">#REF!</definedName>
    <definedName localSheetId="44" name="besi13">#REF!</definedName>
    <definedName localSheetId="13" name="__pvc2">#REF!</definedName>
    <definedName localSheetId="4" name="rollingdoor">#REF!</definedName>
    <definedName localSheetId="39" name="R4..">#REF!</definedName>
    <definedName localSheetId="30" name="besipresstressedpolos">#REF!</definedName>
    <definedName localSheetId="15" name="UTAIAN7614c">#REF!</definedName>
    <definedName name="__MMM09">#REF!</definedName>
    <definedName localSheetId="31" name="jamtandem">#REF!</definedName>
    <definedName localSheetId="0" name="bubunganasbesgelombang">#REF!</definedName>
    <definedName localSheetId="25" name="batugranito">#REF!</definedName>
    <definedName localSheetId="17" name="_________MMM29">#REF!</definedName>
    <definedName localSheetId="41" name="drainase">#REF!</definedName>
    <definedName localSheetId="27" name="besi12sii">#REF!</definedName>
    <definedName localSheetId="30" name="__DIV4">#REF!</definedName>
    <definedName localSheetId="21" name="_________MMM24">#REF!</definedName>
    <definedName localSheetId="12" name="URAIAN7613b">#REF!</definedName>
    <definedName localSheetId="44" name="kacawireglass5">#REF!</definedName>
    <definedName localSheetId="17" name="___MMM23">#REF!</definedName>
    <definedName localSheetId="15" name="R21..">#REF!</definedName>
    <definedName localSheetId="3" name="___MMM38">#REF!</definedName>
    <definedName localSheetId="24" name="FORM7612b">#REF!</definedName>
    <definedName localSheetId="3" name="_LLL05">#REF!</definedName>
    <definedName localSheetId="21" name="w">#REF!</definedName>
    <definedName localSheetId="21" name="____MMM06">#REF!</definedName>
    <definedName localSheetId="7" name="___LLL07">#REF!</definedName>
    <definedName localSheetId="0" name="_818PK">#REF!</definedName>
    <definedName localSheetId="11" name="terasocor">#REF!</definedName>
    <definedName localSheetId="19" name="FORM631">#REF!</definedName>
    <definedName localSheetId="17" name="KunciWC">#REF!</definedName>
    <definedName localSheetId="7" name="R20..">#REF!</definedName>
    <definedName localSheetId="38" name="pengencer">#REF!</definedName>
    <definedName localSheetId="36" name="_________DIV1">#REF!</definedName>
    <definedName localSheetId="7" name="strorox">#REF!</definedName>
    <definedName localSheetId="25" name="URAIAN22L">#REF!</definedName>
    <definedName localSheetId="27" name="plintubingranito1030">#REF!</definedName>
    <definedName localSheetId="18" name="pp">#REF!</definedName>
    <definedName localSheetId="23" name="platasbes">#REF!</definedName>
    <definedName localSheetId="7" name="begisting">#REF!</definedName>
    <definedName localSheetId="10" name="besi13u">#REF!</definedName>
    <definedName localSheetId="15" name="kayukulim">#REF!</definedName>
    <definedName localSheetId="12" name="Lamp">#REF!</definedName>
    <definedName localSheetId="44" name="R28..">#REF!</definedName>
    <definedName localSheetId="24" name="_____MMM02">#REF!</definedName>
    <definedName localSheetId="3" name="__MMM45">#REF!</definedName>
    <definedName localSheetId="13" name="batuapung">#REF!</definedName>
    <definedName localSheetId="21" name="sirlak">#REF!</definedName>
    <definedName localSheetId="4" name="NAMA3">#REF!</definedName>
    <definedName localSheetId="7" name="___DIV10">#REF!</definedName>
    <definedName localSheetId="15" name="sengbjls25">#REF!</definedName>
    <definedName localSheetId="9" name="ubinteraso30">#REF!</definedName>
    <definedName localSheetId="31" name="bak">#REF!</definedName>
    <definedName localSheetId="34" name="batutempelhitam">#REF!</definedName>
    <definedName localSheetId="38" name="kacacermin8">#REF!</definedName>
    <definedName localSheetId="4" name="namaabsen">#REF!</definedName>
    <definedName localSheetId="7" name="alangalang">#REF!</definedName>
    <definedName localSheetId="34" name="tky">#REF!</definedName>
    <definedName localSheetId="12" name="pakugypsum">#REF!</definedName>
    <definedName localSheetId="15" name="FORM744">#REF!</definedName>
    <definedName localSheetId="17" name="__MMM39">#REF!</definedName>
    <definedName localSheetId="28" name="list">#REF!</definedName>
    <definedName localSheetId="20" name="________DIV2">#REF!</definedName>
    <definedName localSheetId="24" name="URAIAN21">#REF!</definedName>
    <definedName localSheetId="7" name="kunci2slag">#REF!</definedName>
    <definedName localSheetId="11" name="Excel_BuiltIn_Print_Area_1">#REF!</definedName>
    <definedName localSheetId="7" name="URAIAN7613c">#REF!</definedName>
    <definedName localSheetId="7" name="___pc50">#REF!</definedName>
    <definedName localSheetId="13" name="bilikbambu">#REF!</definedName>
    <definedName localSheetId="24" name="URAIAN79manual">#REF!</definedName>
    <definedName localSheetId="24" name="baru">#REF!</definedName>
    <definedName localSheetId="40" name="aa">#REF!</definedName>
    <definedName localSheetId="33" name="gymfloor">#REF!</definedName>
    <definedName localSheetId="40" name="karpetwooldannilon">#REF!</definedName>
    <definedName localSheetId="44" name="nokgentengaspal">#REF!</definedName>
    <definedName localSheetId="3" name="__MMM11">#REF!</definedName>
    <definedName localSheetId="42" name="Uraian8410">#REF!</definedName>
    <definedName localSheetId="38" name="_pc40">#REF!</definedName>
    <definedName localSheetId="18" name="FORM633">#REF!</definedName>
    <definedName localSheetId="8" name="batutempelhitam">#REF!</definedName>
    <definedName localSheetId="10" name="pintusunscreenalluminium">#REF!</definedName>
    <definedName localSheetId="32" name="FORM7612b">#REF!</definedName>
    <definedName localSheetId="15" name="URAIAN771a">#REF!</definedName>
    <definedName localSheetId="21" name="Z">#REF!</definedName>
    <definedName localSheetId="39" name="_KOP7">#REF!</definedName>
    <definedName localSheetId="0" name="nnnnn">#REF!</definedName>
    <definedName localSheetId="27" name="urugantanah">#REF!</definedName>
    <definedName localSheetId="33" name="pddk">#REF!</definedName>
    <definedName localSheetId="21" name="____MMM21">#REF!</definedName>
    <definedName localSheetId="9" name="____MMM03">#REF!</definedName>
    <definedName name="___DIV7">#REF!</definedName>
    <definedName localSheetId="6" name="grendel4">#REF!</definedName>
    <definedName localSheetId="44" name="gentengdecrabond">#REF!</definedName>
    <definedName localSheetId="28" name="GUIIII">#REF!</definedName>
    <definedName localSheetId="24" name="_LLL05">#REF!</definedName>
    <definedName localSheetId="34" name="______DIV3">#REF!</definedName>
    <definedName localSheetId="7" name="_______MMM42">#REF!</definedName>
    <definedName localSheetId="11" name="URAIAN21">#REF!</definedName>
    <definedName localSheetId="8" name="dd">#REF!</definedName>
    <definedName localSheetId="3" name="______HAL2">#REF!</definedName>
    <definedName localSheetId="15" name="NAMA2">#REF!</definedName>
    <definedName localSheetId="24" name="R101..">#REF!</definedName>
    <definedName localSheetId="7" name="______MMM26">#REF!</definedName>
    <definedName localSheetId="19" name="seng25">#REF!</definedName>
    <definedName localSheetId="41" name="mlex.w">#REF!</definedName>
    <definedName localSheetId="39" name="karpetwooldannilon">#REF!</definedName>
    <definedName localSheetId="21" name="k.beton">#REF!</definedName>
    <definedName localSheetId="4" name="URAIANLatasirK">#REF!</definedName>
    <definedName localSheetId="44" name="_______MMM33">#REF!</definedName>
    <definedName localSheetId="3" name="___MMM35">#REF!</definedName>
    <definedName localSheetId="44" name="_MMM22">#REF!</definedName>
    <definedName name="R57..">#REF!</definedName>
    <definedName localSheetId="9" name="G">#REF!</definedName>
    <definedName localSheetId="5" name="_pvc105">#REF!</definedName>
    <definedName localSheetId="38" name="URAIAN7612a">#REF!</definedName>
    <definedName localSheetId="17" name="________MMM13">#REF!</definedName>
    <definedName localSheetId="27" name="amplas">#REF!</definedName>
    <definedName localSheetId="25" name="parquetjati">#REF!</definedName>
    <definedName localSheetId="0" name="DFFFGGG">#REF!</definedName>
    <definedName localSheetId="21" name="FORM94">#REF!</definedName>
    <definedName localSheetId="33" name="______DIV10">#REF!</definedName>
    <definedName name="________MMM26">#REF!</definedName>
    <definedName localSheetId="7" name="tanahliat">#REF!</definedName>
    <definedName localSheetId="18" name="k.beton">#REF!</definedName>
    <definedName localSheetId="44" name="__pvc05">#REF!</definedName>
    <definedName localSheetId="13" name="kawatnyamuk">#REF!</definedName>
    <definedName localSheetId="13" name="besi13">#REF!</definedName>
    <definedName localSheetId="7" name="ubinpcabuabu40">#REF!</definedName>
    <definedName name="_MMM45">#REF!</definedName>
    <definedName localSheetId="39" name="R51..">#REF!</definedName>
    <definedName localSheetId="19" name="teakwood9mm">#REF!</definedName>
    <definedName localSheetId="40" name="rubbercorrugate">#REF!</definedName>
    <definedName localSheetId="40" name="batapelapisklinker">#REF!</definedName>
    <definedName localSheetId="0" name="FORM633">#REF!</definedName>
    <definedName localSheetId="40" name="list">#REF!</definedName>
    <definedName localSheetId="38" name="FORM771b">#REF!</definedName>
    <definedName localSheetId="21" name="____MMM14">#REF!</definedName>
    <definedName name="medan6.12">#REF!</definedName>
    <definedName localSheetId="41" name="_HAL5">#REF!</definedName>
    <definedName name="Minyak">#REF!</definedName>
    <definedName name="RPHL">#REF!</definedName>
    <definedName localSheetId="24" name="_______MMM31">#REF!</definedName>
    <definedName localSheetId="36" name="dempul">#REF!</definedName>
    <definedName localSheetId="32" name="bouwplnk">#REF!</definedName>
    <definedName localSheetId="8" name="kuncisilinder">#REF!</definedName>
    <definedName localSheetId="33" name="R100..">#REF!</definedName>
    <definedName localSheetId="36" name="marmer">#REF!</definedName>
    <definedName localSheetId="15" name="__DIV4">#REF!</definedName>
    <definedName localSheetId="17" name="tegelporselen15x15">#REF!</definedName>
    <definedName localSheetId="6" name="Skrup">#REF!</definedName>
    <definedName name="_____MMM09">#REF!</definedName>
    <definedName localSheetId="3" name="tanahliat">#REF!</definedName>
    <definedName localSheetId="41" name="___DIV4">#REF!</definedName>
    <definedName localSheetId="8" name="STRUKTUR">#REF!</definedName>
    <definedName localSheetId="31" name="Ktbt">#REF!</definedName>
    <definedName localSheetId="17" name="ubinpcabuabu20">#REF!</definedName>
    <definedName localSheetId="3" name="URAIAN910">#REF!</definedName>
    <definedName localSheetId="6" name="bilikbambu">#REF!</definedName>
    <definedName localSheetId="5" name="amplas">#REF!</definedName>
    <definedName localSheetId="30" name="_____DIV4">#REF!</definedName>
    <definedName localSheetId="6" name="pakusirap">#REF!</definedName>
    <definedName localSheetId="24" name="BAHU">#REF!</definedName>
    <definedName localSheetId="17" name="_______MMM15">#REF!</definedName>
    <definedName localSheetId="27" name="f.drain">#REF!</definedName>
    <definedName localSheetId="44" name="residu">#REF!</definedName>
    <definedName localSheetId="41" name="KT">#REF!</definedName>
    <definedName localSheetId="7" name="lemvinyl">#REF!</definedName>
    <definedName localSheetId="23" name="URAIAN7614b">#REF!</definedName>
    <definedName localSheetId="17" name="gentengaspal">#REF!</definedName>
    <definedName localSheetId="17" name="________MMM48">#REF!</definedName>
    <definedName localSheetId="8" name="URAIAN621">#REF!</definedName>
    <definedName localSheetId="10" name="Tbt">#REF!</definedName>
    <definedName localSheetId="9" name="eeeeee">#REF!</definedName>
    <definedName name="____MMM31">#REF!</definedName>
    <definedName localSheetId="3" name="Gentengmetal3mm">#REF!</definedName>
    <definedName localSheetId="33" name="__tl2">#REF!</definedName>
    <definedName localSheetId="24" name="_______MMM41">#REF!</definedName>
    <definedName localSheetId="28" name="SusunanOrg">#REF!</definedName>
    <definedName localSheetId="23" name="medan5.10">#REF!</definedName>
    <definedName localSheetId="20" name="oemar">#REF!</definedName>
    <definedName localSheetId="41" name="___pc50">#REF!</definedName>
    <definedName name="tegelplinpc10x20">#REF!</definedName>
    <definedName localSheetId="44" name="medan5.7">#REF!</definedName>
    <definedName localSheetId="24" name="________MMM11">#REF!</definedName>
    <definedName localSheetId="32" name="ASPAL">#REF!</definedName>
    <definedName localSheetId="27" name="Excel_BuiltIn_Print_Area_10">#REF!</definedName>
    <definedName localSheetId="7" name="bubungangentengpalentongbesar">#REF!</definedName>
    <definedName name="papan.m.3.20">#REF!</definedName>
    <definedName name="waterstop320">#REF!</definedName>
    <definedName localSheetId="24" name="kuncitanambiasa">#REF!</definedName>
    <definedName localSheetId="7" name="______MMM54">#REF!</definedName>
    <definedName localSheetId="17" name="_818FA">#REF!</definedName>
    <definedName localSheetId="38" name="GRC">#REF!</definedName>
    <definedName localSheetId="33" name="beton100kg">#REF!</definedName>
    <definedName localSheetId="38" name="sdg">#REF!</definedName>
    <definedName localSheetId="28" name="FORM771a">#REF!</definedName>
    <definedName localSheetId="30" name="kacawireglass5">#REF!</definedName>
    <definedName localSheetId="9" name="wwww">#REF!</definedName>
    <definedName localSheetId="17" name="____MMM29">#REF!</definedName>
    <definedName localSheetId="12" name="cycllop">#REF!</definedName>
    <definedName localSheetId="33" name="URAIAN771c">#REF!</definedName>
    <definedName localSheetId="34" name="R60..">#REF!</definedName>
    <definedName localSheetId="5" name="venetionblinds">#REF!</definedName>
    <definedName localSheetId="32" name="kayubulian">#REF!</definedName>
    <definedName localSheetId="11" name="_pvc205">#REF!</definedName>
    <definedName localSheetId="10" name="plintubinwarna1030">#REF!</definedName>
    <definedName localSheetId="3" name="____MMM12">#REF!</definedName>
    <definedName localSheetId="7" name="pagar2m">#REF!</definedName>
    <definedName localSheetId="0" name="formica">#REF!</definedName>
    <definedName localSheetId="21" name="_________HAL4">#REF!</definedName>
    <definedName localSheetId="5" name="_DIV10">#REF!</definedName>
    <definedName name="R100..">#REF!</definedName>
    <definedName localSheetId="10" name="___pvc3">#REF!</definedName>
    <definedName localSheetId="11" name="B.Aparatur">#REF!</definedName>
    <definedName localSheetId="36" name="sengplatbjls28">#REF!</definedName>
    <definedName localSheetId="19" name="kuncitanam">#REF!</definedName>
    <definedName localSheetId="24" name="gentengaspal">#REF!</definedName>
    <definedName localSheetId="8" name="__pvc205">#REF!</definedName>
    <definedName localSheetId="7" name="R89..">#REF!</definedName>
    <definedName localSheetId="44" name="______MMM42">#REF!</definedName>
    <definedName localSheetId="39" name="plastik">#REF!</definedName>
    <definedName localSheetId="10" name="sealer">#REF!</definedName>
    <definedName localSheetId="10" name="plywood4">#REF!</definedName>
    <definedName localSheetId="30" name="batapelapisklinker">#REF!</definedName>
    <definedName localSheetId="23" name="kayukudakuda">#REF!</definedName>
    <definedName localSheetId="7" name="_pp1">#REF!</definedName>
    <definedName localSheetId="5" name="bubunganasbesgelombang">#REF!</definedName>
    <definedName localSheetId="7" name="dasar">#REF!</definedName>
    <definedName localSheetId="9" name="__HAL3">#REF!</definedName>
    <definedName localSheetId="23" name="ASET">#REF!</definedName>
    <definedName localSheetId="3" name="pajak">#REF!</definedName>
    <definedName localSheetId="21" name="Analisa70105">#REF!</definedName>
    <definedName localSheetId="20" name="nmdaerah">#REF!</definedName>
    <definedName localSheetId="24" name="_________MMM45">#REF!</definedName>
    <definedName localSheetId="21" name="FORM919">#REF!</definedName>
    <definedName localSheetId="5" name="mowi.ws">#REF!</definedName>
    <definedName localSheetId="17" name="___LLL07">#REF!</definedName>
    <definedName localSheetId="7" name="______MMM05">#REF!</definedName>
    <definedName localSheetId="27" name="hollowblok">#REF!</definedName>
    <definedName localSheetId="3" name="___MMM36">#REF!</definedName>
    <definedName localSheetId="17" name="FRRDS">#REF!</definedName>
    <definedName localSheetId="0" name="seng30">#REF!</definedName>
    <definedName localSheetId="36" name="plamour">#REF!</definedName>
    <definedName localSheetId="20" name="ARI">#REF!</definedName>
    <definedName localSheetId="42" name="__DIV4">#REF!</definedName>
    <definedName localSheetId="36" name="kalkarium">#REF!</definedName>
    <definedName localSheetId="27" name="______HAL3">#REF!</definedName>
    <definedName localSheetId="28" name="ASPAL">#REF!</definedName>
    <definedName localSheetId="40" name="waterstop150">#REF!</definedName>
    <definedName localSheetId="3" name="___MMM42">#REF!</definedName>
    <definedName localSheetId="8" name="R41..">#REF!</definedName>
    <definedName localSheetId="24" name="dempul">#REF!</definedName>
    <definedName localSheetId="8" name="____DIV1">#REF!</definedName>
    <definedName localSheetId="21" name="_______MMM45">#REF!</definedName>
    <definedName localSheetId="3" name="FORM66PERMUKAAN">#REF!</definedName>
    <definedName name="R40..">#REF!</definedName>
    <definedName localSheetId="13" name="URAIAN66PERMUKAAN">#REF!</definedName>
    <definedName localSheetId="12" name="teakwood9mm">#REF!</definedName>
    <definedName localSheetId="19" name="URAIAN7612c">#REF!</definedName>
    <definedName localSheetId="17" name="panelbetonpracetak">#REF!</definedName>
    <definedName localSheetId="12" name="R40..">#REF!</definedName>
    <definedName localSheetId="42" name="pakusumbat">#REF!</definedName>
    <definedName localSheetId="33" name="FORM612">#REF!</definedName>
    <definedName localSheetId="21" name="__MMM04">#REF!</definedName>
    <definedName localSheetId="44" name="_LLL07">#REF!</definedName>
    <definedName localSheetId="23" name="_____DIV1">#REF!</definedName>
    <definedName localSheetId="21" name="___LLL06">#REF!</definedName>
    <definedName localSheetId="44" name="____MMM28">#REF!</definedName>
    <definedName localSheetId="20" name="plintubinteraluxmarmer1060">#REF!</definedName>
    <definedName localSheetId="13" name="gali">#REF!</definedName>
    <definedName name="pasirpas">#REF!</definedName>
    <definedName name="papanjelutung">#REF!</definedName>
    <definedName localSheetId="9" name="semen50">#REF!</definedName>
    <definedName localSheetId="18" name="kuncilemari">#REF!</definedName>
    <definedName localSheetId="42" name="MASTER">#REF!</definedName>
    <definedName localSheetId="7" name="_______MMM05">#REF!</definedName>
    <definedName localSheetId="32" name="papan.m.3.20">#REF!</definedName>
    <definedName localSheetId="17" name="Grendel">#REF!</definedName>
    <definedName localSheetId="44" name="FORM7612c">#REF!</definedName>
    <definedName localSheetId="3" name="semen50">#REF!</definedName>
    <definedName name="R6..">#REF!</definedName>
    <definedName localSheetId="44" name="plintubingranito1040">#REF!</definedName>
    <definedName localSheetId="24" name="kran.bbk">#REF!</definedName>
    <definedName localSheetId="19" name="leni">#REF!</definedName>
    <definedName localSheetId="30" name="FORM771c">#REF!</definedName>
    <definedName localSheetId="5" name="___pvc05">#REF!</definedName>
    <definedName localSheetId="32" name="ubinkeramikartistik1020">#REF!</definedName>
    <definedName localSheetId="17" name="FORM845">#REF!</definedName>
    <definedName localSheetId="40" name="ubinkeramikartistik1010">#REF!</definedName>
    <definedName localSheetId="31" name="__HAL4">#REF!</definedName>
    <definedName localSheetId="3" name="beton175m">#REF!</definedName>
    <definedName localSheetId="34" name="batamerah">#REF!</definedName>
    <definedName localSheetId="7" name="KunciWC">#REF!</definedName>
    <definedName localSheetId="8" name="plintubinkeramikartistik1020">#REF!</definedName>
    <definedName localSheetId="24" name="URAIAN96">#REF!</definedName>
    <definedName localSheetId="28" name="URAIAN611">#REF!</definedName>
    <definedName localSheetId="0" name="________MMM01">#REF!</definedName>
    <definedName localSheetId="7" name="__MMM45">#REF!</definedName>
    <definedName localSheetId="4" name="L">#REF!</definedName>
    <definedName localSheetId="3" name="KTM">#REF!</definedName>
    <definedName localSheetId="9" name="kayudamarlaut">#REF!</definedName>
    <definedName localSheetId="18" name="URAIAN7612a">#REF!</definedName>
    <definedName localSheetId="9" name="tlistrik">#REF!</definedName>
    <definedName localSheetId="30" name="oke">#REF!</definedName>
    <definedName localSheetId="27" name="___MMM03">#REF!</definedName>
    <definedName localSheetId="32" name="batupecah">#REF!</definedName>
    <definedName localSheetId="27" name="kawatsengpolos">#REF!</definedName>
    <definedName localSheetId="3" name="NAMA3">#REF!</definedName>
    <definedName name="_818FA">#REF!</definedName>
    <definedName localSheetId="38" name="kawatnyamuk">#REF!</definedName>
    <definedName localSheetId="17" name="pvc.0.5.mas.d">#REF!</definedName>
    <definedName localSheetId="4" name="Excel_BuiltIn_Print_Area_10">#REF!</definedName>
    <definedName localSheetId="33" name="RoolingdoorAlumunium">#REF!</definedName>
    <definedName localSheetId="17" name="FORM915">#REF!</definedName>
    <definedName localSheetId="44" name="______MMM45">#REF!</definedName>
    <definedName localSheetId="44" name="________HAL3">#REF!</definedName>
    <definedName localSheetId="39" name="______DIV4">#REF!</definedName>
    <definedName localSheetId="12" name="FORM841">#REF!</definedName>
    <definedName localSheetId="5" name="seng25">#REF!</definedName>
    <definedName localSheetId="24" name="_________MMM18">#REF!</definedName>
    <definedName localSheetId="12" name="plamur.matex">#REF!</definedName>
    <definedName localSheetId="39" name="URAIAN611">#REF!</definedName>
    <definedName localSheetId="44" name="__MMM18">#REF!</definedName>
    <definedName localSheetId="44" name="R51..">#REF!</definedName>
    <definedName localSheetId="4" name="u.bekisting">#REF!</definedName>
    <definedName localSheetId="38" name="sabun">#REF!</definedName>
    <definedName localSheetId="40" name="seng30">#REF!</definedName>
    <definedName localSheetId="4" name="kayubulian">#REF!</definedName>
    <definedName localSheetId="41" name="Closet.c420">#REF!</definedName>
    <definedName localSheetId="7" name="FORM635">#REF!</definedName>
    <definedName localSheetId="44" name="ubinpcabuabu30">#REF!</definedName>
    <definedName localSheetId="19" name="plamur.matex">#REF!</definedName>
    <definedName localSheetId="21" name="URAIAN612">#REF!</definedName>
    <definedName localSheetId="36" name="tegelporselen10x20warna">#REF!</definedName>
    <definedName name="__MMM07">#REF!</definedName>
    <definedName localSheetId="25" name="__DIV1">#REF!</definedName>
    <definedName localSheetId="38" name="bjls25">#REF!</definedName>
    <definedName localSheetId="4" name="___pvc105">#REF!</definedName>
    <definedName localSheetId="19" name="pp">#REF!</definedName>
    <definedName localSheetId="21" name="________MMM31">#REF!</definedName>
    <definedName name="___LLL09">#REF!</definedName>
    <definedName localSheetId="7" name="____MMM37">#REF!</definedName>
    <definedName name="a">#REF!</definedName>
    <definedName localSheetId="31" name="roll">#REF!</definedName>
    <definedName localSheetId="27" name="flordrain">#REF!</definedName>
    <definedName localSheetId="41" name="ubinkeramikartistik1020">#REF!</definedName>
    <definedName localSheetId="11" name="urugan">#REF!</definedName>
    <definedName localSheetId="21" name="______MMM36">#REF!</definedName>
    <definedName localSheetId="25" name="________HAL2">#REF!</definedName>
    <definedName localSheetId="20" name="kayukelas2">#REF!</definedName>
    <definedName localSheetId="6" name="tegelpc20x20">#REF!</definedName>
    <definedName localSheetId="42" name="Kekurangan">#REF!</definedName>
    <definedName localSheetId="27" name="begisting">#REF!</definedName>
    <definedName localSheetId="3" name="R90..">#REF!</definedName>
    <definedName localSheetId="18" name="p.triplek">#REF!</definedName>
    <definedName localSheetId="3" name="________MMM47">#REF!</definedName>
    <definedName localSheetId="8" name="papanII">#REF!</definedName>
    <definedName localSheetId="20" name="engsel3">#REF!</definedName>
    <definedName localSheetId="9" name="DFFFGGG">#REF!</definedName>
    <definedName localSheetId="4" name="cendana">#REF!</definedName>
    <definedName localSheetId="0" name="FORM731">#REF!</definedName>
    <definedName localSheetId="42" name="profilalumuniumT">#REF!</definedName>
    <definedName localSheetId="12" name="_________DIV2">#REF!</definedName>
    <definedName localSheetId="24" name="_______HAL5">#REF!</definedName>
    <definedName localSheetId="0" name="plintubinteraluxkerang1040">#REF!</definedName>
    <definedName localSheetId="32" name="KT">#REF!</definedName>
    <definedName localSheetId="27" name="e">#REF!</definedName>
    <definedName localSheetId="17" name="_LLL02">#REF!</definedName>
    <definedName localSheetId="13" name="pintualuminium">#REF!</definedName>
    <definedName localSheetId="42" name="ubinkeramikartistik520">#REF!</definedName>
    <definedName localSheetId="24" name="____MMM05">#REF!</definedName>
    <definedName localSheetId="10" name="kaca8">#REF!</definedName>
    <definedName localSheetId="44" name="_DIV2">#REF!</definedName>
    <definedName name="tegelpc20x20">#REF!</definedName>
    <definedName localSheetId="42" name="vinylkaret3030">#REF!</definedName>
    <definedName localSheetId="3" name="gentengpaletongbesar">#REF!</definedName>
    <definedName localSheetId="17" name="URAIAN744">#REF!</definedName>
    <definedName localSheetId="12" name="____HAL2">#REF!</definedName>
    <definedName name="q">#REF!</definedName>
    <definedName localSheetId="31" name="R50..">#REF!</definedName>
    <definedName localSheetId="11" name="gentengaspal">#REF!</definedName>
    <definedName localSheetId="38" name="jendelanako">#REF!</definedName>
    <definedName localSheetId="5" name="gentengbeton">#REF!</definedName>
    <definedName localSheetId="30" name="urugankembali">#REF!</definedName>
    <definedName localSheetId="3" name="______MMM11">#REF!</definedName>
    <definedName name="____HAL1">#REF!</definedName>
    <definedName localSheetId="24" name="plintubinteraluxmarmer1060">#REF!</definedName>
    <definedName localSheetId="32" name="_PC50">#REF!</definedName>
    <definedName localSheetId="17" name="cattembok">#REF!</definedName>
    <definedName localSheetId="31" name="Z">#REF!</definedName>
    <definedName localSheetId="11" name="d">#REF!</definedName>
    <definedName localSheetId="33" name="__pvc205">#REF!</definedName>
    <definedName localSheetId="38" name="ppn.m.3.20.serut">#REF!</definedName>
    <definedName localSheetId="23" name="floorhardenermastercron">#REF!</definedName>
    <definedName localSheetId="13" name="SSSSSSSSSSSSSSSSSSSSSSSSSSSSS">#REF!</definedName>
    <definedName localSheetId="24" name="FORM845">#REF!</definedName>
    <definedName localSheetId="17" name="_________DIV2">#REF!</definedName>
    <definedName localSheetId="25" name="ubinkeramik1515">#REF!</definedName>
    <definedName localSheetId="17" name="R104..">#REF!</definedName>
    <definedName localSheetId="20" name="bubunganasbesnok">#REF!</definedName>
    <definedName localSheetId="3" name="kayutembesu">#REF!</definedName>
    <definedName localSheetId="44" name="kategori">#REF!</definedName>
    <definedName localSheetId="21" name="roll">#REF!</definedName>
    <definedName localSheetId="6" name="Tbs">#REF!</definedName>
    <definedName localSheetId="21" name="URAIAN772b">#REF!</definedName>
    <definedName localSheetId="0" name="Catbesi">#REF!</definedName>
    <definedName localSheetId="11" name="FORM732">#REF!</definedName>
    <definedName name="kusen.alum">#REF!</definedName>
    <definedName localSheetId="33" name="URAIAN">#REF!</definedName>
    <definedName localSheetId="24" name="plintubinwarna1030">#REF!</definedName>
    <definedName localSheetId="40" name="__HAL3">#REF!</definedName>
    <definedName localSheetId="36" name="__MMM03">#REF!</definedName>
    <definedName localSheetId="18" name="plintubinteraluxmarmer1060">#REF!</definedName>
    <definedName localSheetId="10" name="_____HAL3">#REF!</definedName>
    <definedName localSheetId="17" name="ubingranito40">#REF!</definedName>
    <definedName localSheetId="44" name="________DIV1">#REF!</definedName>
    <definedName name="FORM844">#REF!</definedName>
    <definedName localSheetId="10" name="R6..">#REF!</definedName>
    <definedName localSheetId="8" name="kuncilemari">#REF!</definedName>
    <definedName name="________MMM10">#REF!</definedName>
    <definedName localSheetId="34" name="________HAL2">#REF!</definedName>
    <definedName localSheetId="33" name="FORM7614a">#REF!</definedName>
    <definedName localSheetId="20" name="plintubingranito1040">#REF!</definedName>
    <definedName localSheetId="34" name="water.prof">#REF!</definedName>
    <definedName localSheetId="21" name="pvc2d">#REF!</definedName>
    <definedName localSheetId="7" name="oke">#REF!</definedName>
    <definedName localSheetId="21" name="_______MMM11">#REF!</definedName>
    <definedName localSheetId="25" name="kacawireglass5">#REF!</definedName>
    <definedName name="____MMM49">#REF!</definedName>
    <definedName localSheetId="15" name="borneo5.10">#REF!</definedName>
    <definedName localSheetId="4" name="FORM7612b">#REF!</definedName>
    <definedName localSheetId="25" name="FORM771b">#REF!</definedName>
    <definedName localSheetId="33" name="GUIIII">#REF!</definedName>
    <definedName localSheetId="33" name="Catbesi">#REF!</definedName>
    <definedName localSheetId="8" name="sengplatbjls24">#REF!</definedName>
    <definedName localSheetId="11" name="___DIV10">#REF!</definedName>
    <definedName localSheetId="6" name="meni.kayu">#REF!</definedName>
    <definedName localSheetId="5" name="Excel_BuiltIn_Print_Area_10">#REF!</definedName>
    <definedName localSheetId="6" name="URAIAN721">#REF!</definedName>
    <definedName localSheetId="11" name="kuncisilinder">#REF!</definedName>
    <definedName localSheetId="3" name="sirap">#REF!</definedName>
    <definedName localSheetId="39" name="URAIAN22E">#REF!</definedName>
    <definedName localSheetId="24" name="Status">#REF!</definedName>
    <definedName localSheetId="28" name="R50..">#REF!</definedName>
    <definedName localSheetId="7" name="__MMM07">#REF!</definedName>
    <definedName localSheetId="9" name="ls">#REF!</definedName>
    <definedName localSheetId="38" name="URAIAN22E">#REF!</definedName>
    <definedName localSheetId="4" name="URAIAN22E">#REF!</definedName>
    <definedName localSheetId="7" name="URAIAN22E">#REF!</definedName>
    <definedName localSheetId="39" name="_MMM02">#REF!</definedName>
    <definedName localSheetId="44" name="R57..">#REF!</definedName>
    <definedName localSheetId="25" name="GUIIII">#REF!</definedName>
    <definedName localSheetId="21" name="URAIAN79mekanis">#REF!</definedName>
    <definedName localSheetId="28" name="terasocor">#REF!</definedName>
    <definedName localSheetId="36" name="________MMM02">#REF!</definedName>
    <definedName localSheetId="7" name="k.tukang">#REF!</definedName>
    <definedName localSheetId="40" name="BM">#REF!</definedName>
    <definedName localSheetId="12" name="vernis">#REF!</definedName>
    <definedName localSheetId="33" name="G.Kramik">#REF!</definedName>
    <definedName localSheetId="24" name="pp">#REF!</definedName>
    <definedName localSheetId="27" name="R61..">#REF!</definedName>
    <definedName localSheetId="41" name="______HAL2">#REF!</definedName>
    <definedName localSheetId="6" name="R20..">#REF!</definedName>
    <definedName localSheetId="3" name="_____MMM07">#REF!</definedName>
    <definedName localSheetId="5" name="batuteraso">#REF!</definedName>
    <definedName name="pagarseng2m">#REF!</definedName>
    <definedName localSheetId="9" name="_______MMM01">#REF!</definedName>
    <definedName localSheetId="11" name="_MMM02">#REF!</definedName>
    <definedName localSheetId="24" name="_____MMM37">#REF!</definedName>
    <definedName localSheetId="28" name="gggg">#REF!</definedName>
    <definedName localSheetId="17" name="____MMM38">#REF!</definedName>
    <definedName localSheetId="15" name="batapelapisklinker">#REF!</definedName>
    <definedName localSheetId="25" name="_____HAL2">#REF!</definedName>
    <definedName localSheetId="8" name="beton175m">#REF!</definedName>
    <definedName localSheetId="40" name="_pvc2">#REF!</definedName>
    <definedName localSheetId="44" name="____LLL08">#REF!</definedName>
    <definedName localSheetId="12" name="ngsel4">#REF!</definedName>
    <definedName localSheetId="32" name="Psr.psg">#REF!</definedName>
    <definedName localSheetId="6" name="pajak">#REF!</definedName>
    <definedName localSheetId="38" name="beton.225m">#REF!</definedName>
    <definedName localSheetId="17" name="___MMM07">#REF!</definedName>
    <definedName localSheetId="39" name="batuporos">#REF!</definedName>
    <definedName localSheetId="7" name="______MMM43">#REF!</definedName>
    <definedName localSheetId="4" name="bubungangentengbesar">#REF!</definedName>
    <definedName localSheetId="21" name="___MMM10">#REF!</definedName>
    <definedName localSheetId="17" name="asbesgelombnang">#REF!</definedName>
    <definedName localSheetId="3" name="____MMM41">#REF!</definedName>
    <definedName localSheetId="33" name="kawatsengpolos">#REF!</definedName>
    <definedName localSheetId="13" name="_PC50">#REF!</definedName>
    <definedName localSheetId="34" name="hollowblok">#REF!</definedName>
    <definedName localSheetId="7" name="__DIV1">#REF!</definedName>
    <definedName localSheetId="9" name="drkeet">#REF!</definedName>
    <definedName localSheetId="0" name="Kekurangan">#REF!</definedName>
    <definedName localSheetId="9" name="FORM771a">#REF!</definedName>
    <definedName localSheetId="0" name="plintubinwarna1020">#REF!</definedName>
    <definedName localSheetId="32" name="na">#REF!</definedName>
    <definedName localSheetId="30" name="__HAL1">#REF!</definedName>
    <definedName localSheetId="17" name="__HAL5">#REF!</definedName>
    <definedName localSheetId="25" name="dasar">#REF!</definedName>
    <definedName localSheetId="6" name="perancahkayu">#REF!</definedName>
    <definedName localSheetId="44" name="bubunganstelgelombang">#REF!</definedName>
    <definedName localSheetId="39" name="rincian">#REF!</definedName>
    <definedName localSheetId="23" name="UPAH">#REF!</definedName>
    <definedName localSheetId="17" name="bakkontrol">#REF!</definedName>
    <definedName localSheetId="3" name="nokpaten108">#REF!</definedName>
    <definedName localSheetId="8" name="pagarseng2m">#REF!</definedName>
    <definedName localSheetId="8" name="jamtandem">#REF!</definedName>
    <definedName localSheetId="25" name="semen50">#REF!</definedName>
    <definedName localSheetId="12" name="_DIV1">#REF!</definedName>
    <definedName localSheetId="24" name="URAIAN721">#REF!</definedName>
    <definedName localSheetId="38" name="washtafel">#REF!</definedName>
    <definedName localSheetId="44" name="___MMM51">#REF!</definedName>
    <definedName localSheetId="17" name="DFFFGGG">#REF!</definedName>
    <definedName localSheetId="24" name="sirap">#REF!</definedName>
    <definedName localSheetId="39" name="grendel3">#REF!</definedName>
    <definedName localSheetId="41" name="plintubinteraso1030">#REF!</definedName>
    <definedName localSheetId="33" name="TANAH">#REF!</definedName>
    <definedName localSheetId="21" name="___MMM41">#REF!</definedName>
    <definedName localSheetId="9" name="keramik30x30">#REF!</definedName>
    <definedName localSheetId="33" name="sealent">#REF!</definedName>
    <definedName localSheetId="44" name="gentengmonier">#REF!</definedName>
    <definedName localSheetId="21" name="URAIAN7613b">#REF!</definedName>
    <definedName localSheetId="17" name="__DIV6">#REF!</definedName>
    <definedName localSheetId="10" name="SEKRETARIAT_DPRD">#REF!</definedName>
    <definedName localSheetId="17" name="pipatanah">#REF!</definedName>
    <definedName localSheetId="8" name="sodaapi">#REF!</definedName>
    <definedName localSheetId="12" name="alangalang">#REF!</definedName>
    <definedName name="___MMM12">#REF!</definedName>
    <definedName name="_______LLL10">#REF!</definedName>
    <definedName localSheetId="34" name="KT">#REF!</definedName>
    <definedName localSheetId="20" name="__pvc3">#REF!</definedName>
    <definedName localSheetId="44" name="_PC50">#REF!</definedName>
    <definedName localSheetId="7" name="____MMM13">#REF!</definedName>
    <definedName localSheetId="3" name="Per">#REF!</definedName>
    <definedName localSheetId="12" name="STRUKTUR">#REF!</definedName>
    <definedName localSheetId="3" name="UTAIAN7614c">#REF!</definedName>
    <definedName localSheetId="15" name="Status">#REF!</definedName>
    <definedName localSheetId="10" name="ARI">#REF!</definedName>
    <definedName localSheetId="21" name="________MMM06">#REF!</definedName>
    <definedName localSheetId="21" name="___MMM50">#REF!</definedName>
    <definedName localSheetId="32" name="tanggal">#REF!</definedName>
    <definedName localSheetId="28" name="siap1">#REF!</definedName>
    <definedName localSheetId="31" name="papanjelutung">#REF!</definedName>
    <definedName localSheetId="24" name="karung">#REF!</definedName>
    <definedName localSheetId="42" name="URAIAN771c">#REF!</definedName>
    <definedName localSheetId="36" name="closedjongkok">#REF!</definedName>
    <definedName localSheetId="3" name="tp80x80">#REF!</definedName>
    <definedName localSheetId="28" name="pintusunscreenalluminium">#REF!</definedName>
    <definedName localSheetId="24" name="____MMM50">#REF!</definedName>
    <definedName localSheetId="7" name="k.ddg.rmn.20.25.pls">#REF!</definedName>
    <definedName localSheetId="24" name="_________HAL7">#REF!</definedName>
    <definedName localSheetId="19" name="nokpaten092">#REF!</definedName>
    <definedName localSheetId="7" name="dd">#REF!</definedName>
    <definedName localSheetId="44" name="_____MMM42">#REF!</definedName>
    <definedName localSheetId="44" name="R49..">#REF!</definedName>
    <definedName name="URAIAN323L">#REF!</definedName>
    <definedName localSheetId="17" name="________MMM26">#REF!</definedName>
    <definedName localSheetId="10" name="URAIAN79mekanis">#REF!</definedName>
    <definedName localSheetId="25" name="ttnh">#REF!</definedName>
    <definedName localSheetId="34" name="_________HAL1">#REF!</definedName>
    <definedName localSheetId="40" name="bilikbambu">#REF!</definedName>
    <definedName localSheetId="23" name="Faktorial">#REF!</definedName>
    <definedName localSheetId="44" name="_________LLL02">#REF!</definedName>
    <definedName localSheetId="21" name="_MMM17">#REF!</definedName>
    <definedName localSheetId="24" name="menibesi">#REF!</definedName>
    <definedName localSheetId="36" name="URAIAN7610">#REF!</definedName>
    <definedName localSheetId="9" name="Fak">#REF!</definedName>
    <definedName localSheetId="12" name="Pengadaan">#REF!</definedName>
    <definedName localSheetId="40" name="cendana">#REF!</definedName>
    <definedName localSheetId="20" name="nnnnn">#REF!</definedName>
    <definedName localSheetId="3" name="________MMM01">#REF!</definedName>
    <definedName localSheetId="6" name="_818FA">#REF!</definedName>
    <definedName localSheetId="6" name="tl2x40">#REF!</definedName>
    <definedName localSheetId="24" name="Analisa70105">#REF!</definedName>
    <definedName localSheetId="38" name="multi.18">#REF!</definedName>
    <definedName localSheetId="36" name="ts">#REF!</definedName>
    <definedName localSheetId="6" name="__Tl1">#REF!</definedName>
    <definedName localSheetId="6" name="FORM632">#REF!</definedName>
    <definedName localSheetId="17" name="____MMM32">#REF!</definedName>
    <definedName localSheetId="42" name="plintubinteraluxmarmer1060">#REF!</definedName>
    <definedName localSheetId="31" name="________DIV4">#REF!</definedName>
    <definedName localSheetId="24" name="_______MMM13">#REF!</definedName>
    <definedName localSheetId="17" name="_DIV6">#REF!</definedName>
    <definedName localSheetId="21" name="eeeeee">#REF!</definedName>
    <definedName localSheetId="5" name="asbesgelombnang">#REF!</definedName>
    <definedName localSheetId="7" name="DPRD_KOLAKA_UTARA">#REF!</definedName>
    <definedName localSheetId="7" name="FORM745">#REF!</definedName>
    <definedName localSheetId="7" name="_____MMM14">#REF!</definedName>
    <definedName localSheetId="5" name="____DIV3">#REF!</definedName>
    <definedName localSheetId="27" name="wwww">#REF!</definedName>
    <definedName localSheetId="25" name="ubinwarna20">#REF!</definedName>
    <definedName localSheetId="39" name="FORM7614b">#REF!</definedName>
    <definedName localSheetId="21" name="_HAL5">#REF!</definedName>
    <definedName localSheetId="38" name="SusunanOrg">#REF!</definedName>
    <definedName localSheetId="40" name="got">#REF!</definedName>
    <definedName localSheetId="6" name="kran.bbk">#REF!</definedName>
    <definedName localSheetId="44" name="________MMM23">#REF!</definedName>
    <definedName localSheetId="3" name="____MMM04">#REF!</definedName>
    <definedName localSheetId="7" name="_____HAL3">#REF!</definedName>
    <definedName localSheetId="41" name="__DIV10">#REF!</definedName>
    <definedName localSheetId="21" name="_________MMM08">#REF!</definedName>
    <definedName localSheetId="44" name="URAIAN66PERMUKAAN">#REF!</definedName>
    <definedName localSheetId="25" name="plintubinteraluxmarmer1040">#REF!</definedName>
    <definedName localSheetId="30" name="_HAL6">#REF!</definedName>
    <definedName localSheetId="44" name="___MMM42">#REF!</definedName>
    <definedName localSheetId="15" name="JUDUL">#REF!</definedName>
    <definedName localSheetId="31" name="batuteraso">#REF!</definedName>
    <definedName localSheetId="25" name="kuncisilinder">#REF!</definedName>
    <definedName localSheetId="3" name="Analisa633">#REF!</definedName>
    <definedName localSheetId="31" name="klosetjongkok">#REF!</definedName>
    <definedName localSheetId="41" name="FORM744">#REF!</definedName>
    <definedName localSheetId="17" name="__LLL09">#REF!</definedName>
    <definedName localSheetId="38" name="____DIV10">#REF!</definedName>
    <definedName localSheetId="32" name="Grendel">#REF!</definedName>
    <definedName localSheetId="9" name="R50..">#REF!</definedName>
    <definedName localSheetId="31" name="bakkontrol">#REF!</definedName>
    <definedName localSheetId="9" name="JA">#REF!</definedName>
    <definedName localSheetId="44" name="URAIAN">#REF!</definedName>
    <definedName localSheetId="7" name="_____LLL02">#REF!</definedName>
    <definedName localSheetId="24" name="kacapolos5mm">#REF!</definedName>
    <definedName name="bubungangentengmonier">#REF!</definedName>
    <definedName localSheetId="21" name="________MMM54">#REF!</definedName>
    <definedName localSheetId="3" name="_________MMM31">#REF!</definedName>
    <definedName localSheetId="9" name="_____MMM02">#REF!</definedName>
    <definedName localSheetId="7" name="pakusirap">#REF!</definedName>
    <definedName localSheetId="21" name="URAIAN7612c">#REF!</definedName>
    <definedName localSheetId="44" name="_____MMM39">#REF!</definedName>
    <definedName localSheetId="21" name="_MMM53">#REF!</definedName>
    <definedName localSheetId="24" name="bubunganstelgelombang105">#REF!</definedName>
    <definedName localSheetId="7" name="______MMM15">#REF!</definedName>
    <definedName localSheetId="25" name="FRRDS">#REF!</definedName>
    <definedName localSheetId="12" name="sealer.mowi">#REF!</definedName>
    <definedName localSheetId="40" name="R3..">#REF!</definedName>
    <definedName localSheetId="41" name="B.Jambi">#REF!</definedName>
    <definedName localSheetId="23" name="kayuborneo">#REF!</definedName>
    <definedName localSheetId="41" name="plastikaerator">#REF!</definedName>
    <definedName localSheetId="12" name="kategori">#REF!</definedName>
    <definedName localSheetId="4" name="beton175m">#REF!</definedName>
    <definedName localSheetId="42" name="ngsel4">#REF!</definedName>
    <definedName localSheetId="4" name="Nok">#REF!</definedName>
    <definedName localSheetId="20" name="Faktor">#REF!</definedName>
    <definedName localSheetId="9" name="_kop6">#REF!</definedName>
    <definedName localSheetId="30" name="Analisa511">#REF!</definedName>
    <definedName localSheetId="19" name="_LLL01">#REF!</definedName>
    <definedName localSheetId="17" name="________DIV5">#REF!</definedName>
    <definedName localSheetId="44" name="gentengpalentong">#REF!</definedName>
    <definedName localSheetId="8" name="Jendelabesibaja">#REF!</definedName>
    <definedName localSheetId="17" name="venetionblinds">#REF!</definedName>
    <definedName localSheetId="38" name="BPS">#REF!</definedName>
    <definedName localSheetId="30" name="marmer">#REF!</definedName>
    <definedName localSheetId="7" name="waterstop250">#REF!</definedName>
    <definedName localSheetId="5" name="kkkk">#REF!</definedName>
    <definedName localSheetId="19" name="pakuskrup">#REF!</definedName>
    <definedName localSheetId="44" name="plamour">#REF!</definedName>
    <definedName localSheetId="34" name="besi13">#REF!</definedName>
    <definedName name="________MMM23">#REF!</definedName>
    <definedName name="________MMM39">#REF!</definedName>
    <definedName localSheetId="38" name="ubinkeramik1020">#REF!</definedName>
    <definedName localSheetId="17" name="_DIV8">#REF!</definedName>
    <definedName name="__MMM24">#REF!</definedName>
    <definedName localSheetId="32" name="springknip">#REF!</definedName>
    <definedName localSheetId="44" name="________MMM44">#REF!</definedName>
    <definedName localSheetId="4" name="___MMM02">#REF!</definedName>
    <definedName localSheetId="38" name="______MMM01">#REF!</definedName>
    <definedName localSheetId="44" name="ubinteraluxkerang30">#REF!</definedName>
    <definedName localSheetId="21" name="_______LLL11">#REF!</definedName>
    <definedName localSheetId="17" name="___MMM26">#REF!</definedName>
    <definedName localSheetId="21" name="R43..">#REF!</definedName>
    <definedName localSheetId="0" name="URAIAN7612b">#REF!</definedName>
    <definedName localSheetId="36" name="tp80x80">#REF!</definedName>
    <definedName localSheetId="44" name="____MMM36">#REF!</definedName>
    <definedName localSheetId="3" name="teakoil">#REF!</definedName>
    <definedName localSheetId="24" name="_____MMM22">#REF!</definedName>
    <definedName localSheetId="39" name="lem">#REF!</definedName>
    <definedName localSheetId="17" name="_________MMM38">#REF!</definedName>
    <definedName localSheetId="8" name="bondbeam">#REF!</definedName>
    <definedName localSheetId="38" name="flordrain">#REF!</definedName>
    <definedName localSheetId="7" name="_____MMM51">#REF!</definedName>
    <definedName localSheetId="34" name="begisting">#REF!</definedName>
    <definedName localSheetId="7" name="_________MMM30">#REF!</definedName>
    <definedName name="Status">#REF!</definedName>
    <definedName localSheetId="44" name="total">#REF!</definedName>
    <definedName localSheetId="33" name="AAAAAAA">#REF!</definedName>
    <definedName localSheetId="8" name="______MMM03">#REF!</definedName>
    <definedName localSheetId="21" name="_________MMM49">#REF!</definedName>
    <definedName localSheetId="21" name="Analisa71003">#REF!</definedName>
    <definedName localSheetId="17" name="u.besi">#REF!</definedName>
    <definedName localSheetId="24" name="________MMM27">#REF!</definedName>
    <definedName localSheetId="19" name="_____DIV10">#REF!</definedName>
    <definedName localSheetId="3" name="__MMM44">#REF!</definedName>
    <definedName localSheetId="17" name="_________MMM03">#REF!</definedName>
    <definedName localSheetId="30" name="Lamp">#REF!</definedName>
    <definedName localSheetId="18" name="Print_Area_MI">#REF!</definedName>
    <definedName localSheetId="11" name="bak">#REF!</definedName>
    <definedName localSheetId="31" name="yyyyyyy">#REF!</definedName>
    <definedName localSheetId="34" name="c.mowi.luar">#REF!</definedName>
    <definedName localSheetId="40" name="tegelpc20x20">#REF!</definedName>
    <definedName localSheetId="40" name="________HAL2">#REF!</definedName>
    <definedName localSheetId="40" name="pakubiasa">#REF!</definedName>
    <definedName localSheetId="4" name="e">#REF!</definedName>
    <definedName localSheetId="42" name="akustikarmstrong">#REF!</definedName>
    <definedName localSheetId="15" name="list">#REF!</definedName>
    <definedName localSheetId="19" name="p.triplek">#REF!</definedName>
    <definedName localSheetId="34" name="medan5.10">#REF!</definedName>
    <definedName localSheetId="24" name="URAIAN94">#REF!</definedName>
    <definedName localSheetId="33" name="LAINLAIN">#REF!</definedName>
    <definedName localSheetId="23" name="pindahan">#REF!</definedName>
    <definedName localSheetId="9" name="kunci1slag">#REF!</definedName>
    <definedName localSheetId="41" name="_____DIV2">#REF!</definedName>
    <definedName localSheetId="4" name="BAJA">#REF!</definedName>
    <definedName localSheetId="7" name="_______DIV5">#REF!</definedName>
    <definedName localSheetId="3" name="Analisa71511">#REF!</definedName>
    <definedName localSheetId="11" name="stairnzing">#REF!</definedName>
    <definedName localSheetId="36" name="JUDUL1">#REF!</definedName>
    <definedName localSheetId="39" name="stairnzing">#REF!</definedName>
    <definedName localSheetId="20" name="u.bekisting">#REF!</definedName>
    <definedName localSheetId="23" name="zzz">#REF!</definedName>
    <definedName localSheetId="33" name="Analisa55">#REF!</definedName>
    <definedName localSheetId="39" name="u">#REF!</definedName>
    <definedName localSheetId="25" name="DSSDD">#REF!</definedName>
    <definedName localSheetId="4" name="DUDI">#REF!</definedName>
    <definedName localSheetId="19" name="he">#REF!</definedName>
    <definedName localSheetId="21" name="rooflightfiibreglass">#REF!</definedName>
    <definedName localSheetId="30" name="URAIANLatasirK">#REF!</definedName>
    <definedName localSheetId="28" name="stairnzing">#REF!</definedName>
    <definedName localSheetId="23" name="ASISTEN_BIDANG_PEMERINTAHAN">#REF!</definedName>
    <definedName localSheetId="3" name="________DIV5">#REF!</definedName>
    <definedName localSheetId="15" name="URAIAN632">#REF!</definedName>
    <definedName localSheetId="0" name="R51..">#REF!</definedName>
    <definedName localSheetId="21" name="______MMM27">#REF!</definedName>
    <definedName localSheetId="12" name="__DIV4">#REF!</definedName>
    <definedName localSheetId="41" name="__DIV3">#REF!</definedName>
    <definedName localSheetId="24" name="URAIAN79mekanis">#REF!</definedName>
    <definedName localSheetId="40" name="kuncialfa">#REF!</definedName>
    <definedName localSheetId="38" name="hollowblok">#REF!</definedName>
    <definedName name="__MMM49">#REF!</definedName>
    <definedName localSheetId="3" name="FORM842">#REF!</definedName>
    <definedName localSheetId="13" name="sengplatbjls28">#REF!</definedName>
    <definedName localSheetId="27" name="dd">#REF!</definedName>
    <definedName localSheetId="5" name="ktky">#REF!</definedName>
    <definedName localSheetId="15" name="_______DIV2">#REF!</definedName>
    <definedName localSheetId="28" name="d">#REF!</definedName>
    <definedName localSheetId="24" name="kacacermin6">#REF!</definedName>
    <definedName localSheetId="17" name="MAI">#REF!</definedName>
    <definedName localSheetId="21" name="Analisa71106">#REF!</definedName>
    <definedName localSheetId="8" name="ubinwarna40">#REF!</definedName>
    <definedName localSheetId="21" name="URAIAN910">#REF!</definedName>
    <definedName localSheetId="30" name="_LLL02">#REF!</definedName>
    <definedName localSheetId="17" name="beton.tumbuk">#REF!</definedName>
    <definedName localSheetId="10" name="tukng">#REF!</definedName>
    <definedName localSheetId="42" name="__DIV10">#REF!</definedName>
    <definedName localSheetId="18" name="air">#REF!</definedName>
    <definedName localSheetId="7" name="_MMM05">#REF!</definedName>
    <definedName localSheetId="17" name="__HAL3">#REF!</definedName>
    <definedName localSheetId="17" name="R30..">#REF!</definedName>
    <definedName localSheetId="17" name="_________DIV10">#REF!</definedName>
    <definedName localSheetId="32" name="tegelplinteraso10x30">#REF!</definedName>
    <definedName localSheetId="44" name="R79..">#REF!</definedName>
    <definedName localSheetId="25" name="FORM632">#REF!</definedName>
    <definedName localSheetId="27" name="beton175m">#REF!</definedName>
    <definedName localSheetId="4" name="URAIAN633">#REF!</definedName>
    <definedName localSheetId="20" name="bak">#REF!</definedName>
    <definedName localSheetId="44" name="______MMM27">#REF!</definedName>
    <definedName localSheetId="34" name="dd">#REF!</definedName>
    <definedName localSheetId="0" name="pakuhak15cm">#REF!</definedName>
    <definedName localSheetId="7" name="_______MMM27">#REF!</definedName>
    <definedName localSheetId="12" name="urugan">#REF!</definedName>
    <definedName localSheetId="24" name="_________MMM29">#REF!</definedName>
    <definedName localSheetId="34" name="rtrt">#REF!</definedName>
    <definedName localSheetId="34" name="seng30">#REF!</definedName>
    <definedName localSheetId="25" name="R5..">#REF!</definedName>
    <definedName localSheetId="3" name="p.kmp.smrd.3.20">#REF!</definedName>
    <definedName localSheetId="17" name="_____MMM41">#REF!</definedName>
    <definedName localSheetId="32" name="ss">#REF!</definedName>
    <definedName localSheetId="38" name="kiki">#REF!</definedName>
    <definedName name="R89..">#REF!</definedName>
    <definedName localSheetId="13" name="lb">#REF!</definedName>
    <definedName localSheetId="25" name="doorcloser">#REF!</definedName>
    <definedName localSheetId="21" name="_________HAL6">#REF!</definedName>
    <definedName localSheetId="8" name="pakubiasa">#REF!</definedName>
    <definedName localSheetId="39" name="GRC">#REF!</definedName>
    <definedName localSheetId="20" name="________DIV10">#REF!</definedName>
    <definedName localSheetId="9" name="leni">#REF!</definedName>
    <definedName localSheetId="32" name="Z">#REF!</definedName>
    <definedName localSheetId="25" name="_________MMM03">#REF!</definedName>
    <definedName localSheetId="21" name="platasbes6mm">#REF!</definedName>
    <definedName localSheetId="24" name="__MMM30">#REF!</definedName>
    <definedName localSheetId="40" name="plamour">#REF!</definedName>
    <definedName localSheetId="5" name="FORM771a">#REF!</definedName>
    <definedName localSheetId="42" name="plintkeramikartistik1020">#REF!</definedName>
    <definedName localSheetId="4" name="penduduk">#REF!</definedName>
    <definedName localSheetId="38" name="plintubinteraso1040">#REF!</definedName>
    <definedName localSheetId="33" name="R5..">#REF!</definedName>
    <definedName localSheetId="24" name="_______HAL6">#REF!</definedName>
    <definedName localSheetId="25" name="M">#REF!</definedName>
    <definedName localSheetId="17" name="_LLL01">#REF!</definedName>
    <definedName localSheetId="44" name="URAIAN79manual">#REF!</definedName>
    <definedName localSheetId="33" name="plintkeramikartistik1010">#REF!</definedName>
    <definedName localSheetId="23" name="plintubingranito1040">#REF!</definedName>
    <definedName localSheetId="24" name="zzz">#REF!</definedName>
    <definedName localSheetId="24" name="_________LLL05">#REF!</definedName>
    <definedName localSheetId="12" name="kawatburung">#REF!</definedName>
    <definedName localSheetId="24" name="______MMM44">#REF!</definedName>
    <definedName localSheetId="13" name="paving">#REF!</definedName>
    <definedName localSheetId="41" name="bondbeam">#REF!</definedName>
    <definedName localSheetId="6" name="u.bekisting">#REF!</definedName>
    <definedName localSheetId="31" name="semenwarna">#REF!</definedName>
    <definedName localSheetId="19" name="URAIAN21">#REF!</definedName>
    <definedName localSheetId="31" name="batuporos">#REF!</definedName>
    <definedName localSheetId="38" name="Pc.50">#REF!</definedName>
    <definedName localSheetId="21" name="NAMA3">#REF!</definedName>
    <definedName localSheetId="44" name="kaca5">#REF!</definedName>
    <definedName localSheetId="0" name="URAIANLatasirK">#REF!</definedName>
    <definedName localSheetId="19" name="mm">#REF!</definedName>
    <definedName localSheetId="41" name="batutempelhitam">#REF!</definedName>
    <definedName localSheetId="40" name="lis">#REF!</definedName>
    <definedName localSheetId="44" name="medan8.15">#REF!</definedName>
    <definedName localSheetId="8" name="URAIAN7613b">#REF!</definedName>
    <definedName localSheetId="27" name="URAIAN7612a">#REF!</definedName>
    <definedName localSheetId="30" name="FORM7613b">#REF!</definedName>
    <definedName localSheetId="25" name="_____DIV2">#REF!</definedName>
    <definedName localSheetId="9" name="_______MMM03">#REF!</definedName>
    <definedName localSheetId="36" name="batuteraso">#REF!</definedName>
    <definedName localSheetId="42" name="seng30">#REF!</definedName>
    <definedName localSheetId="24" name="_______MMM08">#REF!</definedName>
    <definedName localSheetId="5" name="pa">#REF!</definedName>
    <definedName localSheetId="23" name="jffhauifhauifhe">#REF!</definedName>
    <definedName localSheetId="44" name="____LLL11">#REF!</definedName>
    <definedName localSheetId="9" name="pp">#REF!</definedName>
    <definedName name="_____MMM54">#REF!</definedName>
    <definedName name="________LLL01">#REF!</definedName>
    <definedName localSheetId="4" name="f">#REF!</definedName>
    <definedName localSheetId="23" name="_MMM01">#REF!</definedName>
    <definedName localSheetId="11" name="tp80x80">#REF!</definedName>
    <definedName localSheetId="41" name="_________DIV10">#REF!</definedName>
    <definedName localSheetId="19" name="kategori">#REF!</definedName>
    <definedName localSheetId="20" name="_818FA">#REF!</definedName>
    <definedName localSheetId="7" name="_________MMM36">#REF!</definedName>
    <definedName localSheetId="7" name="kawatnyamuk">#REF!</definedName>
    <definedName localSheetId="25" name="____MMM02">#REF!</definedName>
    <definedName localSheetId="24" name="k.rmmn.30.30.pls">#REF!</definedName>
    <definedName localSheetId="30" name="__pvc2">#REF!</definedName>
    <definedName localSheetId="24" name="URAIAN621">#REF!</definedName>
    <definedName localSheetId="9" name="URAIAN7612a">#REF!</definedName>
    <definedName localSheetId="6" name="waterstop200">#REF!</definedName>
    <definedName localSheetId="27" name="__MMM02">#REF!</definedName>
    <definedName localSheetId="12" name="____HAL1">#REF!</definedName>
    <definedName localSheetId="27" name="__pvc05">#REF!</definedName>
    <definedName localSheetId="8" name="pakuhalus">#REF!</definedName>
    <definedName localSheetId="5" name="semenwarna">#REF!</definedName>
    <definedName localSheetId="32" name="plintubinteraluxmarmer1060">#REF!</definedName>
    <definedName localSheetId="30" name="FORM79manual">#REF!</definedName>
    <definedName localSheetId="11" name="R1..">#REF!</definedName>
    <definedName localSheetId="18" name="plintubinteraluxmarmer1030">#REF!</definedName>
    <definedName localSheetId="9" name="______MMM03">#REF!</definedName>
    <definedName localSheetId="17" name="_____MMM411">#REF!</definedName>
    <definedName localSheetId="36" name="kapursirih">#REF!</definedName>
    <definedName localSheetId="5" name="kmp.banjar">#REF!</definedName>
    <definedName localSheetId="9" name="kacacermin5">#REF!</definedName>
    <definedName localSheetId="0" name="GRC">#REF!</definedName>
    <definedName name="waterstop150">#REF!</definedName>
    <definedName localSheetId="5" name="_HAL5">#REF!</definedName>
    <definedName localSheetId="34" name="Faktorial">#REF!</definedName>
    <definedName localSheetId="44" name="karpetwooldannilon">#REF!</definedName>
    <definedName name="__MMM13">#REF!</definedName>
    <definedName localSheetId="12" name="kunci2slag">#REF!</definedName>
    <definedName localSheetId="21" name="kuncitanamkamarmandi">#REF!</definedName>
    <definedName localSheetId="4" name="kran.ddg">#REF!</definedName>
    <definedName localSheetId="3" name="_______HAL3">#REF!</definedName>
    <definedName localSheetId="23" name="jamtandem">#REF!</definedName>
    <definedName localSheetId="28" name="teakwood4mm">#REF!</definedName>
    <definedName localSheetId="24" name="_____HAL6">#REF!</definedName>
    <definedName name="___MMM17">#REF!</definedName>
    <definedName name="FORM771d">#REF!</definedName>
    <definedName localSheetId="24" name="FORM841">#REF!</definedName>
    <definedName name="________HAL7">#REF!</definedName>
    <definedName localSheetId="8" name="tegelporselen">#REF!</definedName>
    <definedName name="_________LLL09">#REF!</definedName>
    <definedName localSheetId="9" name="batukali14">#REF!</definedName>
    <definedName localSheetId="3" name="R26..">#REF!</definedName>
    <definedName localSheetId="21" name="_________MMM43">#REF!</definedName>
    <definedName localSheetId="25" name="pagarseng2m">#REF!</definedName>
    <definedName localSheetId="13" name="teakwood4mm">#REF!</definedName>
    <definedName localSheetId="44" name="______MMM50">#REF!</definedName>
    <definedName localSheetId="24" name="______HAL6">#REF!</definedName>
    <definedName localSheetId="9" name="w">#REF!</definedName>
    <definedName localSheetId="44" name="___pvc3">#REF!</definedName>
    <definedName localSheetId="25" name="__MMM01">#REF!</definedName>
    <definedName localSheetId="23" name="psr.trs">#REF!</definedName>
    <definedName localSheetId="19" name="pindahan">#REF!</definedName>
    <definedName localSheetId="39" name="__LLL02">#REF!</definedName>
    <definedName localSheetId="33" name="dua">#REF!</definedName>
    <definedName localSheetId="19" name="FORM323L">#REF!</definedName>
    <definedName localSheetId="10" name="keramik20">#REF!</definedName>
    <definedName localSheetId="3" name="kaca.p.5">#REF!</definedName>
    <definedName localSheetId="33" name="_________MMM01">#REF!</definedName>
    <definedName localSheetId="5" name="_____DIV3">#REF!</definedName>
    <definedName localSheetId="3" name="__MMM06">#REF!</definedName>
    <definedName localSheetId="44" name="R41..">#REF!</definedName>
    <definedName localSheetId="4" name="badkip">#REF!</definedName>
    <definedName localSheetId="17" name="tegelteraso40x40">#REF!</definedName>
    <definedName localSheetId="21" name="ubinkeramikartistik520">#REF!</definedName>
    <definedName localSheetId="10" name="Pjgsloof">#REF!</definedName>
    <definedName localSheetId="24" name="URAIAN98">#REF!</definedName>
    <definedName localSheetId="15" name="Faktor">#REF!</definedName>
    <definedName localSheetId="21" name="R58..">#REF!</definedName>
    <definedName name="______MMM35">#REF!</definedName>
    <definedName localSheetId="27" name="air">#REF!</definedName>
    <definedName localSheetId="32" name="washtafel">#REF!</definedName>
    <definedName localSheetId="8" name="kayukruing">#REF!</definedName>
    <definedName localSheetId="24" name="SPJa">#REF!</definedName>
    <definedName localSheetId="15" name="papanjelutung">#REF!</definedName>
    <definedName localSheetId="40" name="multi.18">#REF!</definedName>
    <definedName localSheetId="39" name="_________MMM03">#REF!</definedName>
    <definedName localSheetId="25" name="_DIV2">#REF!</definedName>
    <definedName localSheetId="3" name="bjls25">#REF!</definedName>
    <definedName localSheetId="15" name="_________HAL3">#REF!</definedName>
    <definedName localSheetId="31" name="Pjgsloof">#REF!</definedName>
    <definedName localSheetId="21" name="rincian">#REF!</definedName>
    <definedName name="R15..">#REF!</definedName>
    <definedName localSheetId="34" name="MMM17A">#REF!</definedName>
    <definedName localSheetId="27" name="________MMM01">#REF!</definedName>
    <definedName localSheetId="24" name="stairnzing">#REF!</definedName>
    <definedName localSheetId="27" name="___DIV1">#REF!</definedName>
    <definedName localSheetId="7" name="____MMM48">#REF!</definedName>
    <definedName localSheetId="9" name="got">#REF!</definedName>
    <definedName localSheetId="7" name="beton.tumbuk">#REF!</definedName>
    <definedName localSheetId="11" name="URAIAN612">#REF!</definedName>
    <definedName localSheetId="38" name="reng">#REF!</definedName>
    <definedName localSheetId="24" name="catmeni">#REF!</definedName>
    <definedName localSheetId="44" name="kacacermin6">#REF!</definedName>
    <definedName localSheetId="30" name="t.sabun">#REF!</definedName>
    <definedName localSheetId="33" name="kacawireglass5">#REF!</definedName>
    <definedName name="FORM734">#REF!</definedName>
    <definedName localSheetId="24" name="URAIANLatasirKL">#REF!</definedName>
    <definedName localSheetId="36" name="gypsum.9">#REF!</definedName>
    <definedName localSheetId="11" name="_kop5">#REF!</definedName>
    <definedName localSheetId="3" name="ubinwarna30">#REF!</definedName>
    <definedName name="_______MMM35">#REF!</definedName>
    <definedName localSheetId="7" name="________MMM30">#REF!</definedName>
    <definedName localSheetId="31" name="__pvc3">#REF!</definedName>
    <definedName localSheetId="4" name="BPS">#REF!</definedName>
    <definedName localSheetId="19" name="__Tl1">#REF!</definedName>
    <definedName localSheetId="17" name="begisting">#REF!</definedName>
    <definedName localSheetId="39" name="pengencer">#REF!</definedName>
    <definedName localSheetId="20" name="bilikbambu">#REF!</definedName>
    <definedName localSheetId="20" name="engsel4">#REF!</definedName>
    <definedName localSheetId="44" name="k.rmn.30.30.crk">#REF!</definedName>
    <definedName localSheetId="7" name="________LLL03">#REF!</definedName>
    <definedName localSheetId="41" name="gymfloor">#REF!</definedName>
    <definedName localSheetId="15" name="L">#REF!</definedName>
    <definedName localSheetId="38" name="URAIAN771b">#REF!</definedName>
    <definedName localSheetId="27" name="feltexkarpetwool">#REF!</definedName>
    <definedName localSheetId="12" name="URAIAN731">#REF!</definedName>
    <definedName name="paving">#REF!</definedName>
    <definedName localSheetId="38" name="_MMM01">#REF!</definedName>
    <definedName localSheetId="27" name="FORM7612a">#REF!</definedName>
    <definedName localSheetId="27" name="FORM611">#REF!</definedName>
    <definedName localSheetId="13" name="kalkarium">#REF!</definedName>
    <definedName localSheetId="13" name="_DIV4">#REF!</definedName>
    <definedName localSheetId="44" name="___MMM02">#REF!</definedName>
    <definedName localSheetId="44" name="_________MMM43">#REF!</definedName>
    <definedName localSheetId="32" name="plintubinteraluxmarmer1030">#REF!</definedName>
    <definedName localSheetId="3" name="TANAH">#REF!</definedName>
    <definedName localSheetId="25" name="_______DIV2">#REF!</definedName>
    <definedName localSheetId="4" name="gymfloor">#REF!</definedName>
    <definedName localSheetId="8" name="ubinteraso40">#REF!</definedName>
    <definedName localSheetId="24" name="_MMM50">#REF!</definedName>
    <definedName localSheetId="21" name="_______MMM33">#REF!</definedName>
    <definedName localSheetId="12" name="______DIV3">#REF!</definedName>
    <definedName localSheetId="9" name="kayukulim">#REF!</definedName>
    <definedName localSheetId="9" name="_____DIV10">#REF!</definedName>
    <definedName localSheetId="6" name="______DIV3">#REF!</definedName>
    <definedName localSheetId="32" name="kaca3">#REF!</definedName>
    <definedName localSheetId="19" name="Closet.c420">#REF!</definedName>
    <definedName localSheetId="21" name="_______DIV8">#REF!</definedName>
    <definedName localSheetId="7" name="___HAL7">#REF!</definedName>
    <definedName localSheetId="3" name="_________LLL03">#REF!</definedName>
    <definedName name="waterstop230">#REF!</definedName>
    <definedName localSheetId="39" name="kategori">#REF!</definedName>
    <definedName localSheetId="4" name="mapel">#REF!</definedName>
    <definedName localSheetId="7" name="____DIV3">#REF!</definedName>
    <definedName localSheetId="25" name="________MMM02">#REF!</definedName>
    <definedName localSheetId="6" name="kapursirih">#REF!</definedName>
    <definedName localSheetId="3" name="_MMM43">#REF!</definedName>
    <definedName localSheetId="6" name="papanbulian">#REF!</definedName>
    <definedName localSheetId="30" name="platasbes35mm">#REF!</definedName>
    <definedName localSheetId="42" name="kaca3">#REF!</definedName>
    <definedName localSheetId="3" name="R56..">#REF!</definedName>
    <definedName localSheetId="18" name="lemvinyl">#REF!</definedName>
    <definedName localSheetId="12" name="_______HAL1">#REF!</definedName>
    <definedName localSheetId="42" name="meni.kayu">#REF!</definedName>
    <definedName localSheetId="3" name="______MMM39">#REF!</definedName>
    <definedName localSheetId="4" name="RoolingdoorAlumunium">#REF!</definedName>
    <definedName localSheetId="33" name="mlex.w">#REF!</definedName>
    <definedName localSheetId="19" name="cendana">#REF!</definedName>
    <definedName localSheetId="24" name="__MMM06">#REF!</definedName>
    <definedName localSheetId="40" name="Kunci1">#REF!</definedName>
    <definedName localSheetId="0" name="tpipa">#REF!</definedName>
    <definedName localSheetId="28" name="gmp">#REF!</definedName>
    <definedName localSheetId="7" name="__MMM16">#REF!</definedName>
    <definedName localSheetId="20" name="Tbs">#REF!</definedName>
    <definedName localSheetId="27" name="Uraian8410">#REF!</definedName>
    <definedName localSheetId="8" name="MMM17A">#REF!</definedName>
    <definedName localSheetId="17" name="jffhauifhauifhe">#REF!</definedName>
    <definedName localSheetId="3" name="____LLL06">#REF!</definedName>
    <definedName localSheetId="30" name="R41..">#REF!</definedName>
    <definedName localSheetId="17" name="________MMM31">#REF!</definedName>
    <definedName localSheetId="15" name="FRRDS">#REF!</definedName>
    <definedName name="FORM7612a">#REF!</definedName>
    <definedName localSheetId="41" name="kawatduri">#REF!</definedName>
    <definedName localSheetId="30" name="kayutembesu">#REF!</definedName>
    <definedName localSheetId="8" name="kayuramin">#REF!</definedName>
    <definedName localSheetId="44" name="_MMM09">#REF!</definedName>
    <definedName localSheetId="39" name="________MMM02">#REF!</definedName>
    <definedName localSheetId="3" name="________MMM33">#REF!</definedName>
    <definedName localSheetId="31" name="plastik">#REF!</definedName>
    <definedName localSheetId="40" name="total">#REF!</definedName>
    <definedName localSheetId="30" name="bakcuciteraso">#REF!</definedName>
    <definedName localSheetId="13" name="__pvc105">#REF!</definedName>
    <definedName localSheetId="18" name="profilalumuniumT">#REF!</definedName>
    <definedName localSheetId="30" name="________MMM03">#REF!</definedName>
    <definedName localSheetId="38" name="sirlak">#REF!</definedName>
    <definedName localSheetId="42" name="yyyyyyy">#REF!</definedName>
    <definedName localSheetId="3" name="nokstelrata105">#REF!</definedName>
    <definedName localSheetId="15" name="R2..">#REF!</definedName>
    <definedName localSheetId="3" name="________DIV1">#REF!</definedName>
    <definedName localSheetId="15" name="BAHU">#REF!</definedName>
    <definedName localSheetId="31" name="sengplatbjls24">#REF!</definedName>
    <definedName localSheetId="6" name="BM">#REF!</definedName>
    <definedName localSheetId="24" name="R100..">#REF!</definedName>
    <definedName localSheetId="30" name="R51..">#REF!</definedName>
    <definedName name="_MMM06">#REF!</definedName>
    <definedName localSheetId="6" name="beton100kg">#REF!</definedName>
    <definedName localSheetId="11" name="besijaringkawatbaja">#REF!</definedName>
    <definedName localSheetId="32" name="panelbetonpracetak">#REF!</definedName>
    <definedName localSheetId="44" name="___MMM52">#REF!</definedName>
    <definedName localSheetId="10" name="_______DIV4">#REF!</definedName>
    <definedName name="________LLL03">#REF!</definedName>
    <definedName localSheetId="41" name="kayujati">#REF!</definedName>
    <definedName localSheetId="18" name="FORM7612b">#REF!</definedName>
    <definedName localSheetId="20" name="Overhead">#REF!</definedName>
    <definedName localSheetId="23" name="bakcuciteraso">#REF!</definedName>
    <definedName localSheetId="24" name="ubintahanasam">#REF!</definedName>
    <definedName localSheetId="34" name="batuapung">#REF!</definedName>
    <definedName localSheetId="39" name="_DIV1">#REF!</definedName>
    <definedName localSheetId="17" name="Uraian8410">#REF!</definedName>
    <definedName localSheetId="3" name="______HAL8">#REF!</definedName>
    <definedName localSheetId="20" name="plintkeramikartistik1020">#REF!</definedName>
    <definedName localSheetId="32" name="kacacermin6">#REF!</definedName>
    <definedName name="___pc50">#REF!</definedName>
    <definedName localSheetId="17" name="URAIAN914">#REF!</definedName>
    <definedName localSheetId="6" name="_KOP7">#REF!</definedName>
    <definedName localSheetId="17" name="____MMM37">#REF!</definedName>
    <definedName localSheetId="30" name="Kunci1">#REF!</definedName>
    <definedName localSheetId="34" name="teakwood6mm">#REF!</definedName>
    <definedName localSheetId="19" name="flordrain">#REF!</definedName>
    <definedName localSheetId="32" name="RINCIANSEWA2">#REF!</definedName>
    <definedName localSheetId="21" name="URAIAN641L">#REF!</definedName>
    <definedName localSheetId="28" name="beton.225m">#REF!</definedName>
    <definedName name="grendeltanam">#REF!</definedName>
    <definedName localSheetId="23" name="kayukamper">#REF!</definedName>
    <definedName localSheetId="6" name="__HAL3">#REF!</definedName>
    <definedName localSheetId="3" name="___pvc105">#REF!</definedName>
    <definedName localSheetId="23" name="wwww">#REF!</definedName>
    <definedName localSheetId="6" name="_______DIV2">#REF!</definedName>
    <definedName localSheetId="33" name="____DIV2">#REF!</definedName>
    <definedName localSheetId="21" name="aaaa">#REF!</definedName>
    <definedName localSheetId="25" name="s.warna">#REF!</definedName>
    <definedName localSheetId="38" name="kawatharmonika">#REF!</definedName>
    <definedName name="sirlak">#REF!</definedName>
    <definedName localSheetId="38" name="waterstop200">#REF!</definedName>
    <definedName localSheetId="32" name="________MMM01">#REF!</definedName>
    <definedName localSheetId="5" name="amobiotic">#REF!</definedName>
    <definedName localSheetId="28" name="spirtus">#REF!</definedName>
    <definedName localSheetId="10" name="k.beton">#REF!</definedName>
    <definedName localSheetId="24" name="ubinpcabuabu20">#REF!</definedName>
    <definedName localSheetId="7" name="menibesi">#REF!</definedName>
    <definedName name="vinylkaretklII">#REF!</definedName>
    <definedName localSheetId="0" name="spirtus">#REF!</definedName>
    <definedName localSheetId="39" name="Overhead">#REF!</definedName>
    <definedName localSheetId="11" name="ASPAL">#REF!</definedName>
    <definedName localSheetId="38" name="URAIAN633">#REF!</definedName>
    <definedName localSheetId="11" name="_________MMM02">#REF!</definedName>
    <definedName localSheetId="30" name="R4..">#REF!</definedName>
    <definedName localSheetId="7" name="aanstamping">#REF!</definedName>
    <definedName localSheetId="4" name="kategori">#REF!</definedName>
    <definedName localSheetId="24" name="URAIAN7612a">#REF!</definedName>
    <definedName localSheetId="7" name="__HAL5">#REF!</definedName>
    <definedName localSheetId="44" name="___LLL04">#REF!</definedName>
    <definedName localSheetId="13" name="Ker.L13">#REF!</definedName>
    <definedName localSheetId="10" name="Jasa">#REF!</definedName>
    <definedName localSheetId="36" name="URAIAN7613b">#REF!</definedName>
    <definedName localSheetId="5" name="R50..">#REF!</definedName>
    <definedName name="pvc.4.mas.d">#REF!</definedName>
    <definedName localSheetId="3" name="Tbs">#REF!</definedName>
    <definedName localSheetId="41" name="LAP">#REF!</definedName>
    <definedName localSheetId="36" name="Excel_BuiltIn_Print_Area_10">#REF!</definedName>
    <definedName localSheetId="13" name="FORM66PERMUKAAN">#REF!</definedName>
    <definedName localSheetId="34" name="kaca.p.5">#REF!</definedName>
    <definedName localSheetId="34" name="RINCIANSEWA2">#REF!</definedName>
    <definedName localSheetId="21" name="_____MMM30">#REF!</definedName>
    <definedName localSheetId="3" name="pvc.1.M.abu">#REF!</definedName>
    <definedName localSheetId="3" name="__MMM14">#REF!</definedName>
    <definedName localSheetId="20" name="platasbes4mm">#REF!</definedName>
    <definedName localSheetId="7" name="________DIV5">#REF!</definedName>
    <definedName localSheetId="21" name="Galam">#REF!</definedName>
    <definedName localSheetId="10" name="psr.trs">#REF!</definedName>
    <definedName localSheetId="23" name="mowi.w.shield">#REF!</definedName>
    <definedName localSheetId="21" name="_________MMM17">#REF!</definedName>
    <definedName localSheetId="21" name="_________MMM06">#REF!</definedName>
    <definedName localSheetId="5" name="residu">#REF!</definedName>
    <definedName localSheetId="25" name="b.belah">#REF!</definedName>
    <definedName localSheetId="18" name="u">#REF!</definedName>
    <definedName localSheetId="7" name="_________MMM27">#REF!</definedName>
    <definedName localSheetId="17" name="pasirpas">#REF!</definedName>
    <definedName localSheetId="33" name="Pjgsloof">#REF!</definedName>
    <definedName localSheetId="36" name="_LLL03">#REF!</definedName>
    <definedName localSheetId="42" name="URAIAN66PERMUKAAN">#REF!</definedName>
    <definedName localSheetId="17" name="pintubesibaja">#REF!</definedName>
    <definedName localSheetId="33" name="UPAH">#REF!</definedName>
    <definedName name="_MMM22">#REF!</definedName>
    <definedName localSheetId="17" name="KunciPintu">#REF!</definedName>
    <definedName localSheetId="21" name="f">#REF!</definedName>
    <definedName localSheetId="32" name="FORM66PERATA">#REF!</definedName>
    <definedName localSheetId="33" name="URAIAN7614d">#REF!</definedName>
    <definedName localSheetId="17" name="catantara">#REF!</definedName>
    <definedName localSheetId="41" name="___pvc105">#REF!</definedName>
    <definedName localSheetId="24" name="ASISTEN_BIDANG_PEMERINTAHAN">#REF!</definedName>
    <definedName localSheetId="21" name="___MMM09">#REF!</definedName>
    <definedName localSheetId="20" name="ts">#REF!</definedName>
    <definedName localSheetId="32" name="nokpaten105">#REF!</definedName>
    <definedName localSheetId="3" name="kunciselot">#REF!</definedName>
    <definedName localSheetId="31" name="waterstop150">#REF!</definedName>
    <definedName localSheetId="31" name="besipresstressedpolos">#REF!</definedName>
    <definedName localSheetId="13" name="Excel_BuiltIn_Print_Titles_2">#REF!</definedName>
    <definedName localSheetId="17" name="_______MMM10">#REF!</definedName>
    <definedName name="kkkk">#REF!</definedName>
    <definedName name="________MMM35">#REF!</definedName>
    <definedName localSheetId="23" name="kaca8">#REF!</definedName>
    <definedName localSheetId="6" name="batuteraso">#REF!</definedName>
    <definedName localSheetId="0" name="plintubinteraso1030">#REF!</definedName>
    <definedName localSheetId="19" name="R21..">#REF!</definedName>
    <definedName localSheetId="23" name="Galam">#REF!</definedName>
    <definedName localSheetId="33" name="nmdaerah">#REF!</definedName>
    <definedName localSheetId="41" name="data2">#REF!</definedName>
    <definedName localSheetId="28" name="_______MMM01">#REF!</definedName>
    <definedName localSheetId="20" name="kunci1slag">#REF!</definedName>
    <definedName localSheetId="17" name="___pvc205">#REF!</definedName>
    <definedName localSheetId="23" name="ASPAL">#REF!</definedName>
    <definedName localSheetId="21" name="_________HAL3">#REF!</definedName>
    <definedName localSheetId="18" name="keramik20">#REF!</definedName>
    <definedName localSheetId="21" name="URAIAN95">#REF!</definedName>
    <definedName localSheetId="3" name="bakkontrol">#REF!</definedName>
    <definedName name="AAAAAAA">#REF!</definedName>
    <definedName name="lp">#REF!</definedName>
    <definedName localSheetId="40" name="ubinkeramik1020">#REF!</definedName>
    <definedName localSheetId="12" name="data2">#REF!</definedName>
    <definedName localSheetId="28" name="URAIAN744">#REF!</definedName>
    <definedName name="_____MMM35">#REF!</definedName>
    <definedName localSheetId="13" name="___MMM03">#REF!</definedName>
    <definedName localSheetId="44" name="DPRD_KOLAKA_UTARA">#REF!</definedName>
    <definedName localSheetId="25" name="________DIV1">#REF!</definedName>
    <definedName localSheetId="15" name="UP">#REF!</definedName>
    <definedName localSheetId="44" name="_______MMM47">#REF!</definedName>
    <definedName localSheetId="0" name="_pvc3">#REF!</definedName>
    <definedName localSheetId="38" name="e">#REF!</definedName>
    <definedName localSheetId="15" name="URAIAN7610">#REF!</definedName>
    <definedName localSheetId="33" name="gentengaspal">#REF!</definedName>
    <definedName localSheetId="3" name="_____MMM20">#REF!</definedName>
    <definedName localSheetId="15" name="__MMM02">#REF!</definedName>
    <definedName localSheetId="13" name="koralbeton">#REF!</definedName>
    <definedName localSheetId="44" name="_______MMM09">#REF!</definedName>
    <definedName localSheetId="21" name="URAIAN66PERATA">#REF!</definedName>
    <definedName localSheetId="41" name="besipresstressedpolos">#REF!</definedName>
    <definedName localSheetId="42" name="plesteran13">#REF!</definedName>
    <definedName localSheetId="10" name="_____MMM03">#REF!</definedName>
    <definedName localSheetId="24" name="yyyyyyy">#REF!</definedName>
    <definedName name="___MMM30">#REF!</definedName>
    <definedName localSheetId="44" name="vinylwallcovering">#REF!</definedName>
    <definedName localSheetId="27" name="Print_title">#REF!</definedName>
    <definedName localSheetId="21" name="papan.m.3.20">#REF!</definedName>
    <definedName localSheetId="41" name="GUIIII">#REF!</definedName>
    <definedName localSheetId="24" name="Ker.L13">#REF!</definedName>
    <definedName localSheetId="34" name="____HAL2">#REF!</definedName>
    <definedName localSheetId="20" name="FORM632">#REF!</definedName>
    <definedName localSheetId="13" name="kacacermin6">#REF!</definedName>
    <definedName name="___MMM21">#REF!</definedName>
    <definedName localSheetId="17" name="_MMM17">#REF!</definedName>
    <definedName localSheetId="30" name="rincian">#REF!</definedName>
    <definedName localSheetId="21" name="_______MMM48">#REF!</definedName>
    <definedName localSheetId="3" name="R13..">#REF!</definedName>
    <definedName localSheetId="9" name="koralbeton">#REF!</definedName>
    <definedName localSheetId="30" name="Fak">#REF!</definedName>
    <definedName localSheetId="8" name="plywood4mm">#REF!</definedName>
    <definedName localSheetId="15" name="ubinteraso40">#REF!</definedName>
    <definedName localSheetId="6" name="_kop5">#REF!</definedName>
    <definedName localSheetId="40" name="__LLL03">#REF!</definedName>
    <definedName localSheetId="18" name="__MMM02">#REF!</definedName>
    <definedName localSheetId="8" name="ubinkeramik1515">#REF!</definedName>
    <definedName localSheetId="39" name="___pvc105">#REF!</definedName>
    <definedName localSheetId="3" name="____MMM19">#REF!</definedName>
    <definedName localSheetId="17" name="kunci1slag">#REF!</definedName>
    <definedName localSheetId="10" name="_________MMM01">#REF!</definedName>
    <definedName localSheetId="5" name="FORM7612c">#REF!</definedName>
    <definedName localSheetId="3" name="Excel_BuiltIn_Print_Area_10">#REF!</definedName>
    <definedName localSheetId="21" name="FORM66">#REF!</definedName>
    <definedName localSheetId="42" name="plamour">#REF!</definedName>
    <definedName localSheetId="42" name="_______HAL2">#REF!</definedName>
    <definedName localSheetId="15" name="FORM632">#REF!</definedName>
    <definedName localSheetId="27" name="pakuhak15cm">#REF!</definedName>
    <definedName localSheetId="7" name="plintubinpcabuabu1040">#REF!</definedName>
    <definedName localSheetId="15" name="amobiotic">#REF!</definedName>
    <definedName localSheetId="10" name="rincian">#REF!</definedName>
    <definedName name="Closet.c420">#REF!</definedName>
    <definedName name="_________MMM04">#REF!</definedName>
    <definedName localSheetId="0" name="KunciPintu">#REF!</definedName>
    <definedName localSheetId="30" name="plintubinwarna1030">#REF!</definedName>
    <definedName localSheetId="18" name="KT">#REF!</definedName>
    <definedName localSheetId="21" name="_pvc2">#REF!</definedName>
    <definedName localSheetId="24" name="pvc.2.5.Mas.d">#REF!</definedName>
    <definedName localSheetId="34" name="_______DIV4">#REF!</definedName>
    <definedName localSheetId="44" name="reng">#REF!</definedName>
    <definedName localSheetId="32" name="batapelapisklinker">#REF!</definedName>
    <definedName localSheetId="11" name="batapelapisdinding">#REF!</definedName>
    <definedName name="R65..">#REF!</definedName>
    <definedName localSheetId="44" name="_MMM11">#REF!</definedName>
    <definedName localSheetId="23" name="__DIV2">#REF!</definedName>
    <definedName name="____DIV4">#REF!</definedName>
    <definedName localSheetId="41" name="kayuterentang">#REF!</definedName>
    <definedName localSheetId="31" name="jendelanako">#REF!</definedName>
    <definedName localSheetId="3" name="platasbes35mm">#REF!</definedName>
    <definedName localSheetId="23" name="URAIAN79manual">#REF!</definedName>
    <definedName name="URAIAN771a">#REF!</definedName>
    <definedName localSheetId="44" name="R13..">#REF!</definedName>
    <definedName localSheetId="17" name="Gentengmetal3mm">#REF!</definedName>
    <definedName localSheetId="30" name="jamtandem">#REF!</definedName>
    <definedName localSheetId="40" name="strorox">#REF!</definedName>
    <definedName localSheetId="24" name="R90..">#REF!</definedName>
    <definedName localSheetId="27" name="kalkarium">#REF!</definedName>
    <definedName localSheetId="9" name="rtrt">#REF!</definedName>
    <definedName localSheetId="24" name="FORM745">#REF!</definedName>
    <definedName localSheetId="19" name="R60..">#REF!</definedName>
    <definedName localSheetId="11" name="FORMLatasirK">#REF!</definedName>
    <definedName localSheetId="40" name="_____MMM02">#REF!</definedName>
    <definedName localSheetId="8" name="f">#REF!</definedName>
    <definedName localSheetId="41" name="pipagalvanis">#REF!</definedName>
    <definedName localSheetId="11" name="ASISTEN_BIDANG_PEMERINTAHAN">#REF!</definedName>
    <definedName localSheetId="34" name="Status">#REF!</definedName>
    <definedName localSheetId="44" name="ubinteraluxmarmer40">#REF!</definedName>
    <definedName localSheetId="28" name="URAIAN732">#REF!</definedName>
    <definedName localSheetId="17" name="___DIV7">#REF!</definedName>
    <definedName localSheetId="21" name="b.super.5.10">#REF!</definedName>
    <definedName localSheetId="3" name="kaca5">#REF!</definedName>
    <definedName localSheetId="25" name="plywood4">#REF!</definedName>
    <definedName localSheetId="17" name="Ktbt">#REF!</definedName>
    <definedName localSheetId="10" name="_________HAL1">#REF!</definedName>
    <definedName localSheetId="39" name="atapaluminiumgelombang055">#REF!</definedName>
    <definedName localSheetId="17" name="URAIAN7614b">#REF!</definedName>
    <definedName localSheetId="20" name="kran.bbk">#REF!</definedName>
    <definedName localSheetId="13" name="engsel3">#REF!</definedName>
    <definedName localSheetId="24" name="P">#REF!</definedName>
    <definedName localSheetId="31" name="tegelplin20x20">#REF!</definedName>
    <definedName localSheetId="20" name="_______MMM01">#REF!</definedName>
    <definedName localSheetId="44" name="_____HAL2">#REF!</definedName>
    <definedName localSheetId="0" name="___MMM02">#REF!</definedName>
    <definedName localSheetId="19" name="grendel4">#REF!</definedName>
    <definedName localSheetId="25" name="AAAAAAA">#REF!</definedName>
    <definedName localSheetId="44" name="Jasa">#REF!</definedName>
    <definedName localSheetId="39" name="Tbt">#REF!</definedName>
    <definedName localSheetId="34" name="kali">#REF!</definedName>
    <definedName localSheetId="27" name="vinylkaret3030">#REF!</definedName>
    <definedName localSheetId="36" name="Pengadaan">#REF!</definedName>
    <definedName localSheetId="6" name="FORM631">#REF!</definedName>
    <definedName localSheetId="36" name="vinylkaret3030">#REF!</definedName>
    <definedName localSheetId="17" name="UP">#REF!</definedName>
    <definedName localSheetId="41" name="residu">#REF!</definedName>
    <definedName localSheetId="9" name="hakangin">#REF!</definedName>
    <definedName localSheetId="17" name="FORM642">#REF!</definedName>
    <definedName localSheetId="11" name="venetionblinds">#REF!</definedName>
    <definedName localSheetId="13" name="Uraian841">#REF!</definedName>
    <definedName name="____MMM33">#REF!</definedName>
    <definedName localSheetId="34" name="sunloid">#REF!</definedName>
    <definedName localSheetId="31" name="kayualbasiah">#REF!</definedName>
    <definedName localSheetId="17" name="URAIAN632">#REF!</definedName>
    <definedName localSheetId="40" name="a">#REF!</definedName>
    <definedName localSheetId="34" name="closedjongkok">#REF!</definedName>
    <definedName localSheetId="9" name="sengplatbjls24">#REF!</definedName>
    <definedName localSheetId="25" name="_____DIV3">#REF!</definedName>
    <definedName localSheetId="27" name="_pp1">#REF!</definedName>
    <definedName localSheetId="38" name="_pvc3">#REF!</definedName>
    <definedName localSheetId="41" name="AAAAAAA">#REF!</definedName>
    <definedName localSheetId="20" name="residu">#REF!</definedName>
    <definedName localSheetId="0" name="pipagalvanis">#REF!</definedName>
    <definedName localSheetId="17" name="_DIV10">#REF!</definedName>
    <definedName localSheetId="17" name="platasbes5mm">#REF!</definedName>
    <definedName localSheetId="27" name="FORM633">#REF!</definedName>
    <definedName localSheetId="41" name="kuncilemari">#REF!</definedName>
    <definedName localSheetId="40" name="HP">#REF!</definedName>
    <definedName localSheetId="11" name="borneo5.7">#REF!</definedName>
    <definedName localSheetId="41" name="________MMM03">#REF!</definedName>
    <definedName localSheetId="0" name="URAIAN7612c">#REF!</definedName>
    <definedName localSheetId="17" name="FORM733">#REF!</definedName>
    <definedName localSheetId="10" name="FORM323L">#REF!</definedName>
    <definedName localSheetId="7" name="_____MMM24">#REF!</definedName>
    <definedName localSheetId="3" name="_________DIV1">#REF!</definedName>
    <definedName localSheetId="21" name="__MMM41">#REF!</definedName>
    <definedName name="Batas16.21">#REF!</definedName>
    <definedName localSheetId="28" name="FORM323L">#REF!</definedName>
    <definedName localSheetId="7" name="cendana">#REF!</definedName>
    <definedName localSheetId="30" name="__pvc05">#REF!</definedName>
    <definedName localSheetId="10" name="tempatcucipiring">#REF!</definedName>
    <definedName localSheetId="24" name="sssssss">#REF!</definedName>
    <definedName localSheetId="41" name="_DIV3">#REF!</definedName>
    <definedName localSheetId="18" name="pasirbeton">#REF!</definedName>
    <definedName localSheetId="44" name="asbesgelombang">#REF!</definedName>
    <definedName localSheetId="25" name="waterstop150">#REF!</definedName>
    <definedName localSheetId="7" name="__tl2">#REF!</definedName>
    <definedName localSheetId="36" name="beton175R">#REF!</definedName>
    <definedName name="_______HAL5">#REF!</definedName>
    <definedName localSheetId="30" name="lp">#REF!</definedName>
    <definedName localSheetId="44" name="Excel_BuiltIn_Print_Area_1">#REF!</definedName>
    <definedName name="URAIAN7613a">#REF!</definedName>
    <definedName localSheetId="21" name="plintubinteraluxmarmer1030">#REF!</definedName>
    <definedName localSheetId="10" name="gentengbeton">#REF!</definedName>
    <definedName localSheetId="28" name="medan3.4">#REF!</definedName>
    <definedName localSheetId="34" name="kayukulim">#REF!</definedName>
    <definedName name="cattembok">#REF!</definedName>
    <definedName localSheetId="31" name="______DIV10">#REF!</definedName>
    <definedName localSheetId="38" name="R61..">#REF!</definedName>
    <definedName localSheetId="7" name="__MMM08">#REF!</definedName>
    <definedName localSheetId="21" name="bubunganstelgelombang108">#REF!</definedName>
    <definedName localSheetId="4" name="catantara">#REF!</definedName>
    <definedName localSheetId="8" name="URAIAN79manual">#REF!</definedName>
    <definedName localSheetId="7" name="_______MMM48">#REF!</definedName>
    <definedName localSheetId="8" name="catpenutup">#REF!</definedName>
    <definedName localSheetId="5" name="u">#REF!</definedName>
    <definedName localSheetId="34" name="aaaa">#REF!</definedName>
    <definedName localSheetId="44" name="FORM66PERATA">#REF!</definedName>
    <definedName localSheetId="7" name="________MMM23">#REF!</definedName>
    <definedName localSheetId="44" name="_HAL1">#REF!</definedName>
    <definedName localSheetId="44" name="FORM733">#REF!</definedName>
    <definedName name="multi.9">#REF!</definedName>
    <definedName localSheetId="44" name="FORM918">#REF!</definedName>
    <definedName localSheetId="18" name="__HAL5">#REF!</definedName>
    <definedName localSheetId="3" name="URAIAN641L">#REF!</definedName>
    <definedName localSheetId="28" name="__HAL1">#REF!</definedName>
    <definedName localSheetId="21" name="_MMM09">#REF!</definedName>
    <definedName localSheetId="0" name="hcs">#REF!</definedName>
    <definedName localSheetId="7" name="____HAL4">#REF!</definedName>
    <definedName localSheetId="27" name="siap1">#REF!</definedName>
    <definedName localSheetId="36" name="URAIAN745">#REF!</definedName>
    <definedName localSheetId="33" name="_MMM02">#REF!</definedName>
    <definedName localSheetId="41" name="FORM7612b">#REF!</definedName>
    <definedName localSheetId="23" name="UTAIAN7614c">#REF!</definedName>
    <definedName localSheetId="28" name="R30..">#REF!</definedName>
    <definedName localSheetId="0" name="nokpaten105">#REF!</definedName>
    <definedName localSheetId="28" name="batupecah">#REF!</definedName>
    <definedName localSheetId="12" name="got">#REF!</definedName>
    <definedName localSheetId="24" name="______MMM34">#REF!</definedName>
    <definedName localSheetId="13" name="catantara">#REF!</definedName>
    <definedName localSheetId="34" name="jamtandem">#REF!</definedName>
    <definedName localSheetId="21" name="Excel_BuiltIn_Print_Titles_5">#REF!</definedName>
    <definedName localSheetId="3" name="URAIAN233">#REF!</definedName>
    <definedName name="ubinteraluxkerang40">#REF!</definedName>
    <definedName localSheetId="42" name="kiki">#REF!</definedName>
    <definedName localSheetId="36" name="pintugulungbesi">#REF!</definedName>
    <definedName localSheetId="7" name="__MMM411">#REF!</definedName>
    <definedName name="________MMM06">#REF!</definedName>
    <definedName localSheetId="40" name="URAIAN7614a">#REF!</definedName>
    <definedName localSheetId="34" name="besijaringkawatbaja">#REF!</definedName>
    <definedName localSheetId="4" name="tegelplinteraso10x30">#REF!</definedName>
    <definedName localSheetId="12" name="batupecah">#REF!</definedName>
    <definedName localSheetId="11" name="pakubiasa">#REF!</definedName>
    <definedName localSheetId="21" name="besiprofilWF">#REF!</definedName>
    <definedName localSheetId="4" name="Psr.psg">#REF!</definedName>
    <definedName localSheetId="8" name="TANAH">#REF!</definedName>
    <definedName name="______MMM52">#REF!</definedName>
    <definedName localSheetId="15" name="_______HAL1">#REF!</definedName>
    <definedName localSheetId="44" name="____MMM13">#REF!</definedName>
    <definedName localSheetId="39" name="__DIV2">#REF!</definedName>
    <definedName localSheetId="40" name="Uraian8410">#REF!</definedName>
    <definedName localSheetId="8" name="________DIV4">#REF!</definedName>
    <definedName localSheetId="30" name="sdg">#REF!</definedName>
    <definedName localSheetId="20" name="URAIAN79manual">#REF!</definedName>
    <definedName localSheetId="33" name="lem">#REF!</definedName>
    <definedName localSheetId="34" name="_______DIV10">#REF!</definedName>
    <definedName localSheetId="27" name="Grendel">#REF!</definedName>
    <definedName localSheetId="44" name="_MMM35">#REF!</definedName>
    <definedName localSheetId="44" name="________DIV2">#REF!</definedName>
    <definedName localSheetId="17" name="nokpaten092">#REF!</definedName>
    <definedName name="_______MMM23">#REF!</definedName>
    <definedName localSheetId="44" name="DAYWORKS">#REF!</definedName>
    <definedName localSheetId="44" name="_______MMM31">#REF!</definedName>
    <definedName localSheetId="19" name="doorholder">#REF!</definedName>
    <definedName localSheetId="6" name="multi.18">#REF!</definedName>
    <definedName localSheetId="33" name="____DIV3">#REF!</definedName>
    <definedName localSheetId="44" name="_________LLL08">#REF!</definedName>
    <definedName localSheetId="28" name="FORM631">#REF!</definedName>
    <definedName localSheetId="7" name="__MMM15">#REF!</definedName>
    <definedName localSheetId="24" name="B.Jambi">#REF!</definedName>
    <definedName localSheetId="5" name="__Tl1">#REF!</definedName>
    <definedName localSheetId="41" name="R100..">#REF!</definedName>
    <definedName localSheetId="44" name="MMM17A">#REF!</definedName>
    <definedName localSheetId="41" name="Akustik">#REF!</definedName>
    <definedName localSheetId="0" name="data2">#REF!</definedName>
    <definedName localSheetId="8" name="Uraian842">#REF!</definedName>
    <definedName localSheetId="31" name="___DIV10">#REF!</definedName>
    <definedName localSheetId="21" name="sis">#REF!</definedName>
    <definedName localSheetId="15" name="____MMM03">#REF!</definedName>
    <definedName localSheetId="23" name="gali">#REF!</definedName>
    <definedName localSheetId="3" name="R80..">#REF!</definedName>
    <definedName localSheetId="21" name="__MMM03">#REF!</definedName>
    <definedName localSheetId="44" name="______MMM07">#REF!</definedName>
    <definedName localSheetId="3" name="Catbesi">#REF!</definedName>
    <definedName localSheetId="40" name="URAIAN21">#REF!</definedName>
    <definedName localSheetId="3" name="_____MMM13">#REF!</definedName>
    <definedName localSheetId="7" name="____MMM40">#REF!</definedName>
    <definedName localSheetId="12" name="pasirbeton">#REF!</definedName>
    <definedName localSheetId="27" name="kuas">#REF!</definedName>
    <definedName localSheetId="42" name="p.triplek">#REF!</definedName>
    <definedName name="_____LLL07">#REF!</definedName>
    <definedName localSheetId="19" name="c.mowi.luar">#REF!</definedName>
    <definedName localSheetId="33" name="kkkk">#REF!</definedName>
    <definedName localSheetId="9" name="lis">#REF!</definedName>
    <definedName localSheetId="27" name="MAI">#REF!</definedName>
    <definedName localSheetId="36" name="pipabeton">#REF!</definedName>
    <definedName localSheetId="10" name="kayumarsawa">#REF!</definedName>
    <definedName localSheetId="15" name="bubungangentengbeton">#REF!</definedName>
    <definedName localSheetId="33" name="______DIV1">#REF!</definedName>
    <definedName localSheetId="42" name="PT">#REF!</definedName>
    <definedName localSheetId="41" name="________MMM01">#REF!</definedName>
    <definedName localSheetId="3" name="___MMM12">#REF!</definedName>
    <definedName name="__pvc205">#REF!</definedName>
    <definedName localSheetId="7" name="besiprofilWF">#REF!</definedName>
    <definedName localSheetId="11" name="R41..">#REF!</definedName>
    <definedName localSheetId="7" name="batupecah">#REF!</definedName>
    <definedName localSheetId="17" name="R54..">#REF!</definedName>
    <definedName localSheetId="41" name="plintkeramikartistik520">#REF!</definedName>
    <definedName localSheetId="40" name="ss">#REF!</definedName>
    <definedName localSheetId="8" name="lis">#REF!</definedName>
    <definedName localSheetId="21" name="_______MMM21">#REF!</definedName>
    <definedName localSheetId="23" name="pakubulian">#REF!</definedName>
    <definedName localSheetId="33" name="pasirsilika">#REF!</definedName>
    <definedName localSheetId="36" name="batacote">#REF!</definedName>
    <definedName localSheetId="18" name="FORM732">#REF!</definedName>
    <definedName localSheetId="17" name="hollowblok">#REF!</definedName>
    <definedName localSheetId="32" name="_______DIV2">#REF!</definedName>
    <definedName localSheetId="34" name="coveartistik">#REF!</definedName>
    <definedName localSheetId="4" name="_MMM01">#REF!</definedName>
    <definedName localSheetId="18" name="ss">#REF!</definedName>
    <definedName localSheetId="6" name="beton175m">#REF!</definedName>
    <definedName localSheetId="11" name="KECAMATAN_KODEOHA">#REF!</definedName>
    <definedName localSheetId="25" name="SPJa">#REF!</definedName>
    <definedName localSheetId="8" name="pa">#REF!</definedName>
    <definedName localSheetId="10" name="cattembok">#REF!</definedName>
    <definedName localSheetId="21" name="____MMM26">#REF!</definedName>
    <definedName localSheetId="41" name="Status">#REF!</definedName>
    <definedName localSheetId="21" name="____MMM35">#REF!</definedName>
    <definedName localSheetId="5" name="pagar2m">#REF!</definedName>
    <definedName localSheetId="3" name="__LLL10">#REF!</definedName>
    <definedName localSheetId="44" name="__MMM13">#REF!</definedName>
    <definedName localSheetId="24" name="kiki">#REF!</definedName>
    <definedName localSheetId="24" name="_____DIV10">#REF!</definedName>
    <definedName localSheetId="42" name="_______DIV10">#REF!</definedName>
    <definedName localSheetId="44" name="platasbes4mm">#REF!</definedName>
    <definedName localSheetId="0" name="_KOP7">#REF!</definedName>
    <definedName localSheetId="41" name="________DIV1">#REF!</definedName>
    <definedName name="URAIAN732">#REF!</definedName>
    <definedName localSheetId="21" name="lp">#REF!</definedName>
    <definedName localSheetId="33" name="nokpaten105">#REF!</definedName>
    <definedName localSheetId="28" name="__HAL3">#REF!</definedName>
    <definedName localSheetId="28" name="pipagalvanis">#REF!</definedName>
    <definedName localSheetId="19" name="pipatanah">#REF!</definedName>
    <definedName localSheetId="17" name="_MMM15">#REF!</definedName>
    <definedName localSheetId="24" name="KTM">#REF!</definedName>
    <definedName localSheetId="13" name="____DIV1">#REF!</definedName>
    <definedName localSheetId="17" name="_DIV2">#REF!</definedName>
    <definedName localSheetId="41" name="tegelplinpc10x20">#REF!</definedName>
    <definedName localSheetId="12" name="Analisa55">#REF!</definedName>
    <definedName localSheetId="4" name="___DIV4">#REF!</definedName>
    <definedName localSheetId="38" name="FORM79mekanis">#REF!</definedName>
    <definedName localSheetId="27" name="tegelporselen">#REF!</definedName>
    <definedName localSheetId="7" name="R71..">#REF!</definedName>
    <definedName localSheetId="41" name="urugan">#REF!</definedName>
    <definedName localSheetId="8" name="_kop5">#REF!</definedName>
    <definedName name="____MMM28">#REF!</definedName>
    <definedName localSheetId="20" name="URAIANLatasirKL">#REF!</definedName>
    <definedName localSheetId="13" name="dua">#REF!</definedName>
    <definedName localSheetId="0" name="FORM611">#REF!</definedName>
    <definedName localSheetId="33" name="FORM771c">#REF!</definedName>
    <definedName localSheetId="15" name="ktky">#REF!</definedName>
    <definedName localSheetId="12" name="jj">#REF!</definedName>
    <definedName localSheetId="32" name="Print_Area_MI">#REF!</definedName>
    <definedName localSheetId="40" name="gmp">#REF!</definedName>
    <definedName localSheetId="27" name="spirtus">#REF!</definedName>
    <definedName localSheetId="9" name="kayukelas2">#REF!</definedName>
    <definedName localSheetId="40" name="kran.bbk">#REF!</definedName>
    <definedName localSheetId="42" name="engsel3">#REF!</definedName>
    <definedName localSheetId="40" name="leni">#REF!</definedName>
    <definedName localSheetId="42" name="ttnh">#REF!</definedName>
    <definedName localSheetId="38" name="Faktorial">#REF!</definedName>
    <definedName name="sengplatbjls24">#REF!</definedName>
    <definedName localSheetId="36" name="kali">#REF!</definedName>
    <definedName localSheetId="9" name="c.mowi.dlm">#REF!</definedName>
    <definedName localSheetId="30" name="k.40.40.roman.crk">#REF!</definedName>
    <definedName localSheetId="6" name="FORMLatasirK">#REF!</definedName>
    <definedName localSheetId="6" name="Nokmetal3mm">#REF!</definedName>
    <definedName localSheetId="44" name="_______MMM01">#REF!</definedName>
    <definedName localSheetId="9" name="terntang">#REF!</definedName>
    <definedName localSheetId="5" name="kawatburung">#REF!</definedName>
    <definedName localSheetId="3" name="__HAL4">#REF!</definedName>
    <definedName localSheetId="10" name="URAIAN7612a">#REF!</definedName>
    <definedName localSheetId="39" name="hd">#REF!</definedName>
    <definedName localSheetId="15" name="hcs">#REF!</definedName>
    <definedName localSheetId="7" name="Minyak">#REF!</definedName>
    <definedName localSheetId="17" name="ubinpcabuabu40">#REF!</definedName>
    <definedName localSheetId="42" name="FORM7614a">#REF!</definedName>
    <definedName name="Overhead">#REF!</definedName>
    <definedName localSheetId="31" name="medan5.7">#REF!</definedName>
    <definedName localSheetId="17" name="________DIV6">#REF!</definedName>
    <definedName localSheetId="21" name="FORM79mekanis">#REF!</definedName>
    <definedName localSheetId="9" name="URAIAN79mekanis">#REF!</definedName>
    <definedName localSheetId="8" name="Per">#REF!</definedName>
    <definedName localSheetId="39" name="URAIAN732">#REF!</definedName>
    <definedName localSheetId="31" name="_LLL03">#REF!</definedName>
    <definedName localSheetId="20" name="kunci2slag">#REF!</definedName>
    <definedName name="pakugypsum">#REF!</definedName>
    <definedName localSheetId="5" name="kaca3">#REF!</definedName>
    <definedName localSheetId="11" name="profilalumuniumT">#REF!</definedName>
    <definedName localSheetId="31" name="pengencer">#REF!</definedName>
    <definedName name="__HAL1">#REF!</definedName>
    <definedName localSheetId="3" name="R49..">#REF!</definedName>
    <definedName localSheetId="30" name="______MMM03">#REF!</definedName>
    <definedName localSheetId="36" name="feltexkarpetwool">#REF!</definedName>
    <definedName localSheetId="6" name="MMM17A">#REF!</definedName>
    <definedName localSheetId="33" name="pintusunscreenalluminium">#REF!</definedName>
    <definedName localSheetId="30" name="JA">#REF!</definedName>
    <definedName localSheetId="13" name="ubinwarna30">#REF!</definedName>
    <definedName localSheetId="31" name="kacawireglass5">#REF!</definedName>
    <definedName localSheetId="20" name="Jasa">#REF!</definedName>
    <definedName localSheetId="19" name="klosetjongkok">#REF!</definedName>
    <definedName localSheetId="4" name="SPJa">#REF!</definedName>
    <definedName localSheetId="11" name="Excel_BuiltIn_Print_Titles_10">#REF!</definedName>
    <definedName localSheetId="40" name="sealent">#REF!</definedName>
    <definedName localSheetId="21" name="_MMM41">#REF!</definedName>
    <definedName localSheetId="34" name="FORM7613c">#REF!</definedName>
    <definedName localSheetId="36" name="p.triplek">#REF!</definedName>
    <definedName localSheetId="24" name="FORM847">#REF!</definedName>
    <definedName name="tegelporselen15x15warna">#REF!</definedName>
    <definedName localSheetId="24" name="________HAL5">#REF!</definedName>
    <definedName localSheetId="17" name="__MMM11">#REF!</definedName>
    <definedName localSheetId="38" name="_LLL02">#REF!</definedName>
    <definedName localSheetId="24" name="ubinkeramik3333">#REF!</definedName>
    <definedName localSheetId="25" name="k.40.40.roman.crk">#REF!</definedName>
    <definedName localSheetId="41" name="Faktor">#REF!</definedName>
    <definedName localSheetId="44" name="venetionblinds">#REF!</definedName>
    <definedName localSheetId="41" name="ubinkeramikartistik1010">#REF!</definedName>
    <definedName localSheetId="3" name="plamur.matex">#REF!</definedName>
    <definedName localSheetId="24" name="pakuhalus">#REF!</definedName>
    <definedName localSheetId="38" name="Excel_BuiltIn_Print_Area_10">#REF!</definedName>
    <definedName localSheetId="20" name="FORM621">#REF!</definedName>
    <definedName localSheetId="24" name="_______MMM34">#REF!</definedName>
    <definedName localSheetId="17" name="p.triplek">#REF!</definedName>
    <definedName localSheetId="36" name="_________MMM03">#REF!</definedName>
    <definedName localSheetId="6" name="URAIAN621">#REF!</definedName>
    <definedName localSheetId="7" name="cv">#REF!</definedName>
    <definedName localSheetId="31" name="doorcloser">#REF!</definedName>
    <definedName localSheetId="36" name="_______DIV4">#REF!</definedName>
    <definedName localSheetId="15" name="plintubinteraso1030">#REF!</definedName>
    <definedName localSheetId="12" name="____DIV2">#REF!</definedName>
    <definedName localSheetId="30" name="___HAL1">#REF!</definedName>
    <definedName localSheetId="17" name="_________MMM16">#REF!</definedName>
    <definedName localSheetId="8" name="bouwplnk">#REF!</definedName>
    <definedName localSheetId="8" name="BAHU">#REF!</definedName>
    <definedName localSheetId="30" name="URAIAN7614a">#REF!</definedName>
    <definedName localSheetId="23" name="URAIAN7613a">#REF!</definedName>
    <definedName localSheetId="25" name="MASTER">#REF!</definedName>
    <definedName localSheetId="13" name="k.40.40.roman.crk">#REF!</definedName>
    <definedName localSheetId="42" name="M">#REF!</definedName>
    <definedName localSheetId="28" name="pa">#REF!</definedName>
    <definedName localSheetId="24" name="URAIAN651">#REF!</definedName>
    <definedName name="_________MMM52">#REF!</definedName>
    <definedName localSheetId="24" name="___HAL8">#REF!</definedName>
    <definedName localSheetId="17" name="mapel">#REF!</definedName>
    <definedName localSheetId="17" name="_____MMM39">#REF!</definedName>
    <definedName localSheetId="7" name="pvc.2.5.Mas.d">#REF!</definedName>
    <definedName localSheetId="38" name="teakwood9mm">#REF!</definedName>
    <definedName localSheetId="12" name="_____HAL1">#REF!</definedName>
    <definedName localSheetId="41" name="waterstop200">#REF!</definedName>
    <definedName localSheetId="28" name="jurnal">#REF!</definedName>
    <definedName localSheetId="20" name="MAI">#REF!</definedName>
    <definedName localSheetId="17" name="________LLL10">#REF!</definedName>
    <definedName localSheetId="44" name="____LLL06">#REF!</definedName>
    <definedName localSheetId="17" name="waterstop250">#REF!</definedName>
    <definedName localSheetId="44" name="JA">#REF!</definedName>
    <definedName localSheetId="13" name="SPJ">#REF!</definedName>
    <definedName localSheetId="25" name="lemvinyl">#REF!</definedName>
    <definedName name="_______MMM16">#REF!</definedName>
    <definedName localSheetId="27" name="kayutembesu">#REF!</definedName>
    <definedName localSheetId="42" name="______DIV1">#REF!</definedName>
    <definedName localSheetId="34" name="Kunci1">#REF!</definedName>
    <definedName localSheetId="24" name="_________MMM40">#REF!</definedName>
    <definedName localSheetId="10" name="bubunganasbesnok">#REF!</definedName>
    <definedName localSheetId="30" name="____DIV1">#REF!</definedName>
    <definedName localSheetId="38" name="URAIAN21">#REF!</definedName>
    <definedName localSheetId="17" name="kayukruing">#REF!</definedName>
    <definedName localSheetId="31" name="doorholder">#REF!</definedName>
    <definedName localSheetId="10" name="pipagalvanis">#REF!</definedName>
    <definedName localSheetId="30" name="batu.jogja">#REF!</definedName>
    <definedName localSheetId="19" name="URAIANLatasirKL">#REF!</definedName>
    <definedName localSheetId="39" name="gymfloor">#REF!</definedName>
    <definedName localSheetId="44" name="_DIV9">#REF!</definedName>
    <definedName localSheetId="6" name="rincian">#REF!</definedName>
    <definedName localSheetId="17" name="____MMM43">#REF!</definedName>
    <definedName localSheetId="25" name="ramset">#REF!</definedName>
    <definedName localSheetId="10" name="ppn2.30">#REF!</definedName>
    <definedName localSheetId="17" name="____LLL02">#REF!</definedName>
    <definedName localSheetId="39" name="k.beton">#REF!</definedName>
    <definedName localSheetId="30" name="GUIIII">#REF!</definedName>
    <definedName localSheetId="31" name="kran.bbk">#REF!</definedName>
    <definedName localSheetId="28" name="s.tukang">#REF!</definedName>
    <definedName localSheetId="39" name="____HAL2">#REF!</definedName>
    <definedName localSheetId="31" name="kuncilemari">#REF!</definedName>
    <definedName localSheetId="32" name="tegelplinpc10x20">#REF!</definedName>
    <definedName name="URAIAN735">#REF!</definedName>
    <definedName localSheetId="44" name="dempul">#REF!</definedName>
    <definedName localSheetId="3" name="_______LLL02">#REF!</definedName>
    <definedName localSheetId="20" name="a">#REF!</definedName>
    <definedName localSheetId="11" name="keramik30x30">#REF!</definedName>
    <definedName localSheetId="21" name="_________MMM37">#REF!</definedName>
    <definedName localSheetId="13" name="___MMM02">#REF!</definedName>
    <definedName localSheetId="38" name="Z">#REF!</definedName>
    <definedName localSheetId="21" name="ubinwarna20">#REF!</definedName>
    <definedName localSheetId="12" name="ubingranito30">#REF!</definedName>
    <definedName localSheetId="25" name="B.Jambi">#REF!</definedName>
    <definedName localSheetId="21" name="_HAL4">#REF!</definedName>
    <definedName localSheetId="7" name="plintubinteraluxmarmer1040">#REF!</definedName>
    <definedName localSheetId="8" name="tegelpc20x20">#REF!</definedName>
    <definedName localSheetId="8" name="ktky">#REF!</definedName>
    <definedName localSheetId="21" name="_MMM06">#REF!</definedName>
    <definedName localSheetId="12" name="Faktor">#REF!</definedName>
    <definedName localSheetId="13" name="p.bI">#REF!</definedName>
    <definedName localSheetId="17" name="tegelporselen11x11warna">#REF!</definedName>
    <definedName localSheetId="13" name="pintulipat">#REF!</definedName>
    <definedName name="______LLL10">#REF!</definedName>
    <definedName localSheetId="5" name="SSSSSSSSSSSSSSSSSSSSSSSSSSSSS">#REF!</definedName>
    <definedName localSheetId="44" name="_________HAL8">#REF!</definedName>
    <definedName localSheetId="15" name="___DIV10">#REF!</definedName>
    <definedName localSheetId="20" name="URAIAN7613a">#REF!</definedName>
    <definedName localSheetId="19" name="formica">#REF!</definedName>
    <definedName localSheetId="39" name="Psr.psg">#REF!</definedName>
    <definedName localSheetId="21" name="_______HAL8">#REF!</definedName>
    <definedName localSheetId="5" name="__HAL1">#REF!</definedName>
    <definedName localSheetId="9" name="______MMM01">#REF!</definedName>
    <definedName localSheetId="0" name="tanahliat">#REF!</definedName>
    <definedName localSheetId="24" name="platasbes6mm">#REF!</definedName>
    <definedName localSheetId="19" name="baru">#REF!</definedName>
    <definedName localSheetId="6" name="__HAL4">#REF!</definedName>
    <definedName localSheetId="17" name="____HAL8">#REF!</definedName>
    <definedName localSheetId="15" name="batuapung">#REF!</definedName>
    <definedName localSheetId="4" name="pakuhalus">#REF!</definedName>
    <definedName localSheetId="7" name="kuas">#REF!</definedName>
    <definedName localSheetId="39" name="btn">#REF!</definedName>
    <definedName localSheetId="28" name="ubinkeramikartistik520">#REF!</definedName>
    <definedName localSheetId="44" name="ramset">#REF!</definedName>
    <definedName localSheetId="44" name="____MMM05">#REF!</definedName>
    <definedName localSheetId="42" name="ubinkeramik1033">#REF!</definedName>
    <definedName localSheetId="38" name="STRUKTUR">#REF!</definedName>
    <definedName localSheetId="10" name="sodaapi">#REF!</definedName>
    <definedName localSheetId="4" name="Closet.ddk">#REF!</definedName>
    <definedName localSheetId="25" name="vinylkaretklII">#REF!</definedName>
    <definedName localSheetId="6" name="_pp1">#REF!</definedName>
    <definedName localSheetId="18" name="FORM611">#REF!</definedName>
    <definedName localSheetId="13" name="mowi.ws">#REF!</definedName>
    <definedName name="Pjgsloof">#REF!</definedName>
    <definedName localSheetId="10" name="pintulipat">#REF!</definedName>
    <definedName localSheetId="7" name="closet.jkok">#REF!</definedName>
    <definedName localSheetId="17" name="kawatharmonika">#REF!</definedName>
    <definedName localSheetId="18" name="FORMLatasirK">#REF!</definedName>
    <definedName localSheetId="4" name="batuteraso">#REF!</definedName>
    <definedName localSheetId="18" name="ubinwarna30">#REF!</definedName>
    <definedName name="R80..">#REF!</definedName>
    <definedName localSheetId="18" name="pasirpas">#REF!</definedName>
    <definedName localSheetId="17" name="_____LLL07">#REF!</definedName>
    <definedName localSheetId="3" name="ktbs">#REF!</definedName>
    <definedName localSheetId="27" name="_________MMM02">#REF!</definedName>
    <definedName localSheetId="21" name="R67..">#REF!</definedName>
    <definedName localSheetId="10" name="________DIV4">#REF!</definedName>
    <definedName localSheetId="18" name="__HAL1">#REF!</definedName>
    <definedName localSheetId="3" name="w.stain">#REF!</definedName>
    <definedName localSheetId="7" name="koralbeton">#REF!</definedName>
    <definedName localSheetId="24" name="pasirpas">#REF!</definedName>
    <definedName localSheetId="19" name="bubungangentengkodok">#REF!</definedName>
    <definedName localSheetId="42" name="_____DIV2">#REF!</definedName>
    <definedName localSheetId="9" name="_kop5">#REF!</definedName>
    <definedName localSheetId="4" name="bubunganasbesgelombang">#REF!</definedName>
    <definedName localSheetId="41" name="grendeltanam">#REF!</definedName>
    <definedName localSheetId="13" name="ttnh">#REF!</definedName>
    <definedName localSheetId="34" name="grendeltanam">#REF!</definedName>
    <definedName localSheetId="23" name="engselangin">#REF!</definedName>
    <definedName localSheetId="27" name="R1..">#REF!</definedName>
    <definedName localSheetId="33" name="alba2.20">#REF!</definedName>
    <definedName localSheetId="30" name="pijar15">#REF!</definedName>
    <definedName localSheetId="27" name="____HAL1">#REF!</definedName>
    <definedName localSheetId="28" name="ngsel4">#REF!</definedName>
    <definedName localSheetId="7" name="R76..">#REF!</definedName>
    <definedName localSheetId="7" name="kacawireglass5">#REF!</definedName>
    <definedName localSheetId="27" name="LAP">#REF!</definedName>
    <definedName localSheetId="44" name="waterstop320">#REF!</definedName>
    <definedName localSheetId="42" name="plamur.matex">#REF!</definedName>
    <definedName localSheetId="38" name="MATERIAL">#REF!</definedName>
    <definedName localSheetId="5" name="R5..">#REF!</definedName>
    <definedName localSheetId="0" name="_pvc2">#REF!</definedName>
    <definedName localSheetId="25" name="kolombetonpracetak">#REF!</definedName>
    <definedName localSheetId="9" name="jj">#REF!</definedName>
    <definedName localSheetId="11" name="p.triplek">#REF!</definedName>
    <definedName localSheetId="30" name="terasocor">#REF!</definedName>
    <definedName localSheetId="7" name="_________MMM19">#REF!</definedName>
    <definedName localSheetId="24" name="_____HAL2">#REF!</definedName>
    <definedName localSheetId="30" name="baru">#REF!</definedName>
    <definedName localSheetId="0" name="cycllop">#REF!</definedName>
    <definedName localSheetId="3" name="_______MMM37">#REF!</definedName>
    <definedName localSheetId="19" name="R1..">#REF!</definedName>
    <definedName localSheetId="7" name="kacacermin5">#REF!</definedName>
    <definedName localSheetId="3" name="k.lnt.rmn.20.20.pls">#REF!</definedName>
    <definedName localSheetId="20" name="pagar2m">#REF!</definedName>
    <definedName localSheetId="19" name="FORM612">#REF!</definedName>
    <definedName localSheetId="15" name="Pjgsloof">#REF!</definedName>
    <definedName localSheetId="41" name="p.triplek">#REF!</definedName>
    <definedName localSheetId="28" name="ts">#REF!</definedName>
    <definedName localSheetId="21" name="kayukamper">#REF!</definedName>
    <definedName localSheetId="36" name="URAIAN611">#REF!</definedName>
    <definedName localSheetId="21" name="tct">#REF!</definedName>
    <definedName localSheetId="33" name="cycllop">#REF!</definedName>
    <definedName localSheetId="33" name="R50..">#REF!</definedName>
    <definedName localSheetId="39" name="grendel4">#REF!</definedName>
    <definedName localSheetId="3" name="ubinkeramik1033">#REF!</definedName>
    <definedName localSheetId="33" name="ngsel4">#REF!</definedName>
    <definedName localSheetId="30" name="rtrt">#REF!</definedName>
    <definedName localSheetId="7" name="pintulipat">#REF!</definedName>
    <definedName localSheetId="25" name="HP">#REF!</definedName>
    <definedName localSheetId="32" name="ls">#REF!</definedName>
    <definedName localSheetId="21" name="Uraian844">#REF!</definedName>
    <definedName localSheetId="9" name="ubinkeramik1033">#REF!</definedName>
    <definedName localSheetId="27" name="bubungangentengbesar">#REF!</definedName>
    <definedName localSheetId="38" name="batapelapisdinding">#REF!</definedName>
    <definedName localSheetId="44" name="R5..">#REF!</definedName>
    <definedName localSheetId="13" name="URAIAN7610">#REF!</definedName>
    <definedName localSheetId="34" name="Excel_BuiltIn_Print_Area_1">#REF!</definedName>
    <definedName localSheetId="34" name="______DIV4">#REF!</definedName>
    <definedName localSheetId="10" name="URAIANLatasirKL">#REF!</definedName>
    <definedName localSheetId="32" name="waterstop230">#REF!</definedName>
    <definedName localSheetId="7" name="_______DIV8">#REF!</definedName>
    <definedName localSheetId="36" name="___DIV10">#REF!</definedName>
    <definedName localSheetId="12" name="Excel_BuiltIn_Print_Area_10">#REF!</definedName>
    <definedName localSheetId="28" name="__DIV10">#REF!</definedName>
    <definedName localSheetId="11" name="plintubinwarna1030">#REF!</definedName>
    <definedName localSheetId="9" name="rollingdoor">#REF!</definedName>
    <definedName localSheetId="6" name="pintulipat">#REF!</definedName>
    <definedName localSheetId="0" name="______DIV4">#REF!</definedName>
    <definedName localSheetId="8" name="yyyyyyy">#REF!</definedName>
    <definedName localSheetId="44" name="URAIAN915">#REF!</definedName>
    <definedName localSheetId="42" name="lem">#REF!</definedName>
    <definedName localSheetId="44" name="FORM771b">#REF!</definedName>
    <definedName localSheetId="12" name="Overhead">#REF!</definedName>
    <definedName localSheetId="3" name="pakuskrup">#REF!</definedName>
    <definedName localSheetId="3" name="pvc.2.mas.d">#REF!</definedName>
    <definedName localSheetId="44" name="oke">#REF!</definedName>
    <definedName localSheetId="38" name="__DIV10">#REF!</definedName>
    <definedName localSheetId="38" name="kacapolos3mm">#REF!</definedName>
    <definedName localSheetId="21" name="__DIV9">#REF!</definedName>
    <definedName localSheetId="24" name="SEKRETARIAT_DPRD">#REF!</definedName>
    <definedName localSheetId="11" name="lem">#REF!</definedName>
    <definedName localSheetId="20" name="tes">#REF!</definedName>
    <definedName localSheetId="39" name="ubinkeramik1020">#REF!</definedName>
    <definedName localSheetId="12" name="FORM7614a">#REF!</definedName>
    <definedName localSheetId="20" name="_818PK">#REF!</definedName>
    <definedName localSheetId="23" name="HP">#REF!</definedName>
    <definedName name="______MMM49">#REF!</definedName>
    <definedName localSheetId="39" name="kawatsengpolos">#REF!</definedName>
    <definedName localSheetId="4" name="__MMM03">#REF!</definedName>
    <definedName localSheetId="42" name="besi10.sii">#REF!</definedName>
    <definedName localSheetId="20" name="ttnh">#REF!</definedName>
    <definedName localSheetId="32" name="catmeni">#REF!</definedName>
    <definedName localSheetId="4" name="KT">#REF!</definedName>
    <definedName localSheetId="31" name="pakuhak15cm">#REF!</definedName>
    <definedName localSheetId="6" name="___DIV1">#REF!</definedName>
    <definedName localSheetId="18" name="pengencer">#REF!</definedName>
    <definedName localSheetId="39" name="kacacermin8">#REF!</definedName>
    <definedName localSheetId="18" name="__pvc05">#REF!</definedName>
    <definedName localSheetId="38" name="psr.trs">#REF!</definedName>
    <definedName localSheetId="36" name="_kop6">#REF!</definedName>
    <definedName localSheetId="11" name="f">#REF!</definedName>
    <definedName localSheetId="17" name="R1..">#REF!</definedName>
    <definedName localSheetId="4" name="bilikbambu">#REF!</definedName>
    <definedName localSheetId="17" name="_MMM06">#REF!</definedName>
    <definedName localSheetId="3" name="______MMM15">#REF!</definedName>
    <definedName localSheetId="10" name="___HAL3">#REF!</definedName>
    <definedName localSheetId="21" name="_MMM51">#REF!</definedName>
    <definedName localSheetId="6" name="KUANTITAS">#REF!</definedName>
    <definedName localSheetId="17" name="_MMM39">#REF!</definedName>
    <definedName localSheetId="20" name="doorcloser">#REF!</definedName>
    <definedName localSheetId="17" name="FORM631">#REF!</definedName>
    <definedName localSheetId="10" name="FORM721">#REF!</definedName>
    <definedName localSheetId="36" name="____MMM02">#REF!</definedName>
    <definedName localSheetId="3" name="R42..">#REF!</definedName>
    <definedName localSheetId="25" name="____HAL2">#REF!</definedName>
    <definedName localSheetId="11" name="k.ddg.20.25.rmn.crk">#REF!</definedName>
    <definedName localSheetId="44" name="lis">#REF!</definedName>
    <definedName localSheetId="25" name="_LLL03">#REF!</definedName>
    <definedName localSheetId="19" name="kawatharmonika">#REF!</definedName>
    <definedName localSheetId="17" name="__MMM09">#REF!</definedName>
    <definedName localSheetId="18" name="asbesgelombang">#REF!</definedName>
    <definedName localSheetId="7" name="R101..">#REF!</definedName>
    <definedName localSheetId="32" name="KECAMATAN_KODEOHA">#REF!</definedName>
    <definedName localSheetId="24" name="semenwarna">#REF!</definedName>
    <definedName localSheetId="6" name="URAIAN771b">#REF!</definedName>
    <definedName localSheetId="24" name="jki">#REF!</definedName>
    <definedName localSheetId="24" name="___pc50">#REF!</definedName>
    <definedName localSheetId="42" name="urugantanah">#REF!</definedName>
    <definedName localSheetId="25" name="AGREGAT">#REF!</definedName>
    <definedName localSheetId="21" name="FORM911">#REF!</definedName>
    <definedName localSheetId="13" name="_kop6">#REF!</definedName>
    <definedName localSheetId="44" name="________MMM19">#REF!</definedName>
    <definedName localSheetId="19" name="grassblok">#REF!</definedName>
    <definedName localSheetId="31" name="URAIAN745">#REF!</definedName>
    <definedName localSheetId="41" name="________HAL1">#REF!</definedName>
    <definedName localSheetId="30" name="pindahan">#REF!</definedName>
    <definedName localSheetId="33" name="B.Aparatur">#REF!</definedName>
    <definedName localSheetId="25" name="feltexkarpetwool">#REF!</definedName>
    <definedName localSheetId="4" name="________DIV10">#REF!</definedName>
    <definedName localSheetId="41" name="G.Kramik">#REF!</definedName>
    <definedName localSheetId="8" name="_______HAL2">#REF!</definedName>
    <definedName localSheetId="34" name="R10..">#REF!</definedName>
    <definedName localSheetId="41" name="DAYWORKS">#REF!</definedName>
    <definedName localSheetId="44" name="________LLL07">#REF!</definedName>
    <definedName localSheetId="36" name="UPAH">#REF!</definedName>
    <definedName localSheetId="40" name="jurnal1">#REF!</definedName>
    <definedName localSheetId="12" name="lb">#REF!</definedName>
    <definedName localSheetId="9" name="k.beton">#REF!</definedName>
    <definedName localSheetId="30" name="DUDI">#REF!</definedName>
    <definedName localSheetId="24" name="sabun">#REF!</definedName>
    <definedName localSheetId="13" name="______HAL3">#REF!</definedName>
    <definedName name="R94..">#REF!</definedName>
    <definedName localSheetId="11" name="_____DIV1">#REF!</definedName>
    <definedName localSheetId="7" name="bubungangentengbesar">#REF!</definedName>
    <definedName name="ubinpcabuabu20">#REF!</definedName>
    <definedName localSheetId="21" name="R70..">#REF!</definedName>
    <definedName localSheetId="42" name="w">#REF!</definedName>
    <definedName localSheetId="34" name="mowi.w.shield">#REF!</definedName>
    <definedName localSheetId="5" name="tegel20">#REF!</definedName>
    <definedName name="___MMM06">#REF!</definedName>
    <definedName localSheetId="42" name="_____HAL1">#REF!</definedName>
    <definedName localSheetId="28" name="rtrt">#REF!</definedName>
    <definedName localSheetId="32" name="pajak">#REF!</definedName>
    <definedName localSheetId="40" name="batuteraso">#REF!</definedName>
    <definedName localSheetId="17" name="__MMM46">#REF!</definedName>
    <definedName localSheetId="13" name="_________MMM03">#REF!</definedName>
    <definedName localSheetId="19" name="Skrup">#REF!</definedName>
    <definedName localSheetId="19" name="pintubesibaja">#REF!</definedName>
    <definedName localSheetId="6" name="Analisa511">#REF!</definedName>
    <definedName name="___DIV1">#REF!</definedName>
    <definedName localSheetId="32" name="Aluminium">#REF!</definedName>
    <definedName name="_____MMM32">#REF!</definedName>
    <definedName localSheetId="36" name="M">#REF!</definedName>
    <definedName localSheetId="21" name="__HAL3">#REF!</definedName>
    <definedName localSheetId="18" name="____DIV3">#REF!</definedName>
    <definedName name="__MMM41">#REF!</definedName>
    <definedName localSheetId="10" name="asbesgelombang">#REF!</definedName>
    <definedName localSheetId="3" name="pvc1.2.aw">#REF!</definedName>
    <definedName localSheetId="15" name="k.beton">#REF!</definedName>
    <definedName localSheetId="44" name="bilikbambu">#REF!</definedName>
    <definedName localSheetId="21" name="R96..">#REF!</definedName>
    <definedName name="gentengpalentongbesar">#REF!</definedName>
    <definedName localSheetId="34" name="reng">#REF!</definedName>
    <definedName localSheetId="25" name="_HAL6">#REF!</definedName>
    <definedName localSheetId="20" name="_________HAL3">#REF!</definedName>
    <definedName localSheetId="28" name="c.maxi">#REF!</definedName>
    <definedName localSheetId="0" name="___pvc105">#REF!</definedName>
    <definedName localSheetId="32" name="psr.trs">#REF!</definedName>
    <definedName localSheetId="18" name="leni">#REF!</definedName>
    <definedName localSheetId="18" name="pintualuminium">#REF!</definedName>
    <definedName localSheetId="39" name="AGREGAT">#REF!</definedName>
    <definedName localSheetId="44" name="teakwood4mm">#REF!</definedName>
    <definedName localSheetId="13" name="ngsel4">#REF!</definedName>
    <definedName name="_____LLL11">#REF!</definedName>
    <definedName localSheetId="34" name="______DIV2">#REF!</definedName>
    <definedName localSheetId="7" name="R36..">#REF!</definedName>
    <definedName localSheetId="4" name="R30..">#REF!</definedName>
    <definedName localSheetId="17" name="______MMM13">#REF!</definedName>
    <definedName name="______DIV10">#REF!</definedName>
    <definedName localSheetId="41" name="_______MMM01">#REF!</definedName>
    <definedName localSheetId="32" name="rincian">#REF!</definedName>
    <definedName name="p.bI">#REF!</definedName>
    <definedName localSheetId="24" name="FORM79mekanis">#REF!</definedName>
    <definedName localSheetId="12" name="MAI">#REF!</definedName>
    <definedName localSheetId="17" name="gypsum.prf">#REF!</definedName>
    <definedName name="_____MMM38">#REF!</definedName>
    <definedName localSheetId="11" name="panelbetonpracetak">#REF!</definedName>
    <definedName localSheetId="36" name="_______DIV2">#REF!</definedName>
    <definedName localSheetId="24" name="tukng">#REF!</definedName>
    <definedName name="Uraian847">#REF!</definedName>
    <definedName localSheetId="33" name="klosetjongkok">#REF!</definedName>
    <definedName localSheetId="24" name="_______MMM26">#REF!</definedName>
    <definedName localSheetId="24" name="______LLL08">#REF!</definedName>
    <definedName localSheetId="19" name="beton175R">#REF!</definedName>
    <definedName localSheetId="24" name="ubinteraluxmarmer30">#REF!</definedName>
    <definedName localSheetId="24" name="kunci2slag">#REF!</definedName>
    <definedName localSheetId="20" name="ubinteraso40">#REF!</definedName>
    <definedName localSheetId="17" name="_________MMM28">#REF!</definedName>
    <definedName localSheetId="38" name="_____MMM01">#REF!</definedName>
    <definedName localSheetId="18" name="__DIV10">#REF!</definedName>
    <definedName localSheetId="34" name="BPS">#REF!</definedName>
    <definedName localSheetId="40" name="Aluminium">#REF!</definedName>
    <definedName localSheetId="11" name="R21..">#REF!</definedName>
    <definedName localSheetId="31" name="_LLL02">#REF!</definedName>
    <definedName localSheetId="12" name="________MMM01">#REF!</definedName>
    <definedName localSheetId="5" name="_______DIV2">#REF!</definedName>
    <definedName localSheetId="24" name="________MMM05">#REF!</definedName>
    <definedName localSheetId="7" name="kuncitanambiasa">#REF!</definedName>
    <definedName localSheetId="19" name="BM">#REF!</definedName>
    <definedName localSheetId="11" name="pengencer">#REF!</definedName>
    <definedName localSheetId="9" name="semenwarna">#REF!</definedName>
    <definedName localSheetId="38" name="vinylkaret3030">#REF!</definedName>
    <definedName localSheetId="21" name="plywood4mm">#REF!</definedName>
    <definedName localSheetId="34" name="__tl2">#REF!</definedName>
    <definedName localSheetId="25" name="doorstop">#REF!</definedName>
    <definedName localSheetId="4" name="besi12sii">#REF!</definedName>
    <definedName name="R27..">#REF!</definedName>
    <definedName localSheetId="7" name="_________MMM38">#REF!</definedName>
    <definedName localSheetId="38" name="d">#REF!</definedName>
    <definedName name="___DIV8">#REF!</definedName>
    <definedName localSheetId="21" name="______MMM06">#REF!</definedName>
    <definedName localSheetId="24" name="tegelporselen20x20warna">#REF!</definedName>
    <definedName localSheetId="8" name="__HAL4">#REF!</definedName>
    <definedName localSheetId="38" name="_DIV2">#REF!</definedName>
    <definedName localSheetId="10" name="beton175R">#REF!</definedName>
    <definedName localSheetId="0" name="URAIAN79manual">#REF!</definedName>
    <definedName localSheetId="6" name="kayukulim">#REF!</definedName>
    <definedName localSheetId="40" name="Galam">#REF!</definedName>
    <definedName localSheetId="31" name="SUNGAI_BERTAM">#REF!</definedName>
    <definedName localSheetId="38" name="Grendel">#REF!</definedName>
    <definedName localSheetId="10" name="____MMM02">#REF!</definedName>
    <definedName localSheetId="40" name="SSSSSSSSSSSSSSSSSSSSSSSSSSSSS">#REF!</definedName>
    <definedName localSheetId="4" name="FORM7614b">#REF!</definedName>
    <definedName localSheetId="12" name="URAIAN323L">#REF!</definedName>
    <definedName name="b.super.5.10">#REF!</definedName>
    <definedName localSheetId="33" name="atapaluminiumgelombang055">#REF!</definedName>
    <definedName localSheetId="21" name="jurnal">#REF!</definedName>
    <definedName localSheetId="0" name="_______MMM03">#REF!</definedName>
    <definedName localSheetId="3" name="PU">#REF!</definedName>
    <definedName localSheetId="30" name="kawatnyamuk">#REF!</definedName>
    <definedName localSheetId="9" name="R3..">#REF!</definedName>
    <definedName localSheetId="19" name="batugranito">#REF!</definedName>
    <definedName localSheetId="6" name="________DIV2">#REF!</definedName>
    <definedName localSheetId="21" name="__pc40">#REF!</definedName>
    <definedName localSheetId="4" name="terasocor">#REF!</definedName>
    <definedName localSheetId="0" name="R100..">#REF!</definedName>
    <definedName localSheetId="12" name="siap1">#REF!</definedName>
    <definedName localSheetId="4" name="plintubinteraluxkerang1060">#REF!</definedName>
    <definedName localSheetId="42" name="dd">#REF!</definedName>
    <definedName localSheetId="3" name="____MMM43">#REF!</definedName>
    <definedName localSheetId="28" name="got">#REF!</definedName>
    <definedName localSheetId="21" name="KT">#REF!</definedName>
    <definedName localSheetId="38" name="FORM732">#REF!</definedName>
    <definedName localSheetId="23" name="G">#REF!</definedName>
    <definedName localSheetId="15" name="______DIV1">#REF!</definedName>
    <definedName localSheetId="24" name="________LLL11">#REF!</definedName>
    <definedName localSheetId="40" name="kayukulim">#REF!</definedName>
    <definedName localSheetId="5" name="strorox">#REF!</definedName>
    <definedName localSheetId="21" name="ppnm">#REF!</definedName>
    <definedName localSheetId="18" name="JUDUL1">#REF!</definedName>
    <definedName localSheetId="7" name="Analisa70703">#REF!</definedName>
    <definedName localSheetId="13" name="RoolingdoorAlumunium">#REF!</definedName>
    <definedName localSheetId="7" name="_MMM40">#REF!</definedName>
    <definedName localSheetId="7" name="___pvc3">#REF!</definedName>
    <definedName localSheetId="42" name="teakwood6mm">#REF!</definedName>
    <definedName localSheetId="3" name="___MMM51">#REF!</definedName>
    <definedName localSheetId="7" name="waterstop200">#REF!</definedName>
    <definedName localSheetId="17" name="____MMM12">#REF!</definedName>
    <definedName localSheetId="12" name="URAIAN7614b">#REF!</definedName>
    <definedName localSheetId="3" name="pakubiasa">#REF!</definedName>
    <definedName localSheetId="3" name="_____MMM08">#REF!</definedName>
    <definedName localSheetId="4" name="kayukelas2">#REF!</definedName>
    <definedName localSheetId="8" name="G.Kramik">#REF!</definedName>
    <definedName localSheetId="39" name="penduduk">#REF!</definedName>
    <definedName localSheetId="6" name="______DIV2">#REF!</definedName>
    <definedName localSheetId="8" name="karpetwooldannilon">#REF!</definedName>
    <definedName localSheetId="32" name="Minyak">#REF!</definedName>
    <definedName localSheetId="8" name="medan5.10">#REF!</definedName>
    <definedName localSheetId="33" name="w.stain">#REF!</definedName>
    <definedName localSheetId="24" name="___MMM11">#REF!</definedName>
    <definedName localSheetId="8" name="sirap">#REF!</definedName>
    <definedName localSheetId="24" name="______MMM52">#REF!</definedName>
    <definedName localSheetId="24" name="__MMM54">#REF!</definedName>
    <definedName localSheetId="9" name="FORM611">#REF!</definedName>
    <definedName name="FORM7614c">#REF!</definedName>
    <definedName localSheetId="21" name="Kekurangan">#REF!</definedName>
    <definedName localSheetId="30" name="mapel">#REF!</definedName>
    <definedName localSheetId="42" name="____DIV1">#REF!</definedName>
    <definedName localSheetId="3" name="__LLL04">#REF!</definedName>
    <definedName localSheetId="44" name="R47..">#REF!</definedName>
    <definedName localSheetId="6" name="kacacermin6">#REF!</definedName>
    <definedName localSheetId="21" name="_________MMM22">#REF!</definedName>
    <definedName localSheetId="15" name="Excel_BuiltIn_Print_Titles_1">#REF!</definedName>
    <definedName localSheetId="27" name="kaca12">#REF!</definedName>
    <definedName localSheetId="39" name="na">#REF!</definedName>
    <definedName localSheetId="17" name="_Tl1">#REF!</definedName>
    <definedName localSheetId="3" name="_________HAL8">#REF!</definedName>
    <definedName localSheetId="17" name="plintubinteraluxmarmer1040">#REF!</definedName>
    <definedName localSheetId="4" name="alba2.20">#REF!</definedName>
    <definedName localSheetId="44" name="__pvc3">#REF!</definedName>
    <definedName localSheetId="42" name="Ker.L13">#REF!</definedName>
    <definedName localSheetId="24" name="Skrup">#REF!</definedName>
    <definedName localSheetId="36" name="____DIV10">#REF!</definedName>
    <definedName localSheetId="36" name="ASISTEN_BIDANG_PEMERINTAHAN">#REF!</definedName>
    <definedName localSheetId="40" name="Print_title">#REF!</definedName>
    <definedName localSheetId="15" name="ppn.m.3.20.serut">#REF!</definedName>
    <definedName localSheetId="34" name="eeeeee">#REF!</definedName>
    <definedName localSheetId="31" name="profilalumuniumT">#REF!</definedName>
    <definedName localSheetId="34" name="kayuborneo">#REF!</definedName>
    <definedName localSheetId="3" name="AAAAAAA">#REF!</definedName>
    <definedName localSheetId="13" name="ASISTEN_BIDANG_PEMERINTAHAN">#REF!</definedName>
    <definedName localSheetId="25" name="__HAL1">#REF!</definedName>
    <definedName localSheetId="5" name="_KOP7">#REF!</definedName>
    <definedName localSheetId="13" name="tlistrik">#REF!</definedName>
    <definedName localSheetId="9" name="Meni">#REF!</definedName>
    <definedName localSheetId="39" name="SPJ">#REF!</definedName>
    <definedName localSheetId="25" name="kayukelas2">#REF!</definedName>
    <definedName localSheetId="8" name="vinylasbes">#REF!</definedName>
    <definedName localSheetId="21" name="__MMM16">#REF!</definedName>
    <definedName localSheetId="9" name="k.ddg.20.25.rmn.crk">#REF!</definedName>
    <definedName localSheetId="33" name="_________DIV2">#REF!</definedName>
    <definedName localSheetId="39" name="__pvc3">#REF!</definedName>
    <definedName localSheetId="40" name="gabin_al">#REF!</definedName>
    <definedName localSheetId="24" name="keramik20">#REF!</definedName>
    <definedName localSheetId="36" name="sengbjls25">#REF!</definedName>
    <definedName localSheetId="5" name="kayukelas2">#REF!</definedName>
    <definedName localSheetId="24" name="pvc3.4.aw">#REF!</definedName>
    <definedName localSheetId="44" name="___LLL02">#REF!</definedName>
    <definedName localSheetId="25" name="tes">#REF!</definedName>
    <definedName localSheetId="30" name="DSSDD">#REF!</definedName>
    <definedName localSheetId="7" name="_____DIV10">#REF!</definedName>
    <definedName localSheetId="36" name="________MMM01">#REF!</definedName>
    <definedName localSheetId="23" name="plintubinwarna1020">#REF!</definedName>
    <definedName localSheetId="0" name="_________DIV2">#REF!</definedName>
    <definedName localSheetId="17" name="plintubingranito1030">#REF!</definedName>
    <definedName localSheetId="27" name="_DIV1">#REF!</definedName>
    <definedName localSheetId="39" name="sealent">#REF!</definedName>
    <definedName localSheetId="28" name="Tbs">#REF!</definedName>
    <definedName name="___MMM52">#REF!</definedName>
    <definedName localSheetId="24" name="ubinteraluxkerang40">#REF!</definedName>
    <definedName name="_____MMM23">#REF!</definedName>
    <definedName localSheetId="44" name="_MMM51">#REF!</definedName>
    <definedName localSheetId="21" name="borneo4.6">#REF!</definedName>
    <definedName localSheetId="20" name="__HAL1">#REF!</definedName>
    <definedName localSheetId="17" name="Ker.L13">#REF!</definedName>
    <definedName localSheetId="36" name="tegelplinteraso10x30">#REF!</definedName>
    <definedName localSheetId="0" name="medan5.7">#REF!</definedName>
    <definedName localSheetId="27" name="URAIAN22E">#REF!</definedName>
    <definedName localSheetId="30" name="____MMM03">#REF!</definedName>
    <definedName localSheetId="28" name="_____HAL2">#REF!</definedName>
    <definedName localSheetId="30" name="beton225r">#REF!</definedName>
    <definedName localSheetId="21" name="_MMM33">#REF!</definedName>
    <definedName localSheetId="38" name="DFFFGGG">#REF!</definedName>
    <definedName localSheetId="3" name="formica">#REF!</definedName>
    <definedName localSheetId="5" name="plywood6mm">#REF!</definedName>
    <definedName localSheetId="44" name="R54..">#REF!</definedName>
    <definedName localSheetId="8" name="__HAL1">#REF!</definedName>
    <definedName localSheetId="36" name="sdg">#REF!</definedName>
    <definedName localSheetId="33" name="URAIAN7612a">#REF!</definedName>
    <definedName localSheetId="32" name="ramset">#REF!</definedName>
    <definedName localSheetId="19" name="________DIV2">#REF!</definedName>
    <definedName localSheetId="42" name="pajak">#REF!</definedName>
    <definedName localSheetId="17" name="_____MMM25">#REF!</definedName>
    <definedName localSheetId="7" name="_________MMM34">#REF!</definedName>
    <definedName name="_______DIV9">#REF!</definedName>
    <definedName localSheetId="5" name="FORM79mekanis">#REF!</definedName>
    <definedName localSheetId="6" name="FORM66PERMUKAAN">#REF!</definedName>
    <definedName name="R107..">#REF!</definedName>
    <definedName localSheetId="30" name="asbesgelombang">#REF!</definedName>
    <definedName localSheetId="21" name="________MMM03">#REF!</definedName>
    <definedName localSheetId="19" name="ASPAL">#REF!</definedName>
    <definedName name="Analisa70107">#REF!</definedName>
    <definedName localSheetId="9" name="DSSDD">#REF!</definedName>
    <definedName localSheetId="0" name="gmp">#REF!</definedName>
    <definedName localSheetId="15" name="FORM7612b">#REF!</definedName>
    <definedName localSheetId="3" name="__MMM46">#REF!</definedName>
    <definedName localSheetId="5" name="_______MMM02">#REF!</definedName>
    <definedName localSheetId="6" name="panelbetonpracetak">#REF!</definedName>
    <definedName localSheetId="3" name="list">#REF!</definedName>
    <definedName localSheetId="33" name="plintubinteraluxmarmer1030">#REF!</definedName>
    <definedName localSheetId="4" name="URAIAN731">#REF!</definedName>
    <definedName localSheetId="36" name="pakubulian">#REF!</definedName>
    <definedName localSheetId="3" name="_________MMM21">#REF!</definedName>
    <definedName localSheetId="39" name="gentengaspal">#REF!</definedName>
    <definedName localSheetId="7" name="batutempelhitam">#REF!</definedName>
    <definedName localSheetId="34" name="mm">#REF!</definedName>
    <definedName localSheetId="20" name="URAIAN323L">#REF!</definedName>
    <definedName localSheetId="12" name="kayukruing">#REF!</definedName>
    <definedName localSheetId="30" name="BPS">#REF!</definedName>
    <definedName localSheetId="18" name="FORM771b">#REF!</definedName>
    <definedName localSheetId="7" name="asbesgelombang">#REF!</definedName>
    <definedName localSheetId="38" name="rapidrant">#REF!</definedName>
    <definedName localSheetId="25" name="mm">#REF!</definedName>
    <definedName localSheetId="44" name="pvc.2.mas.d">#REF!</definedName>
    <definedName localSheetId="11" name="Meni">#REF!</definedName>
    <definedName localSheetId="6" name="__HAL1">#REF!</definedName>
    <definedName localSheetId="12" name="R2..">#REF!</definedName>
    <definedName localSheetId="0" name="_________DIV10">#REF!</definedName>
    <definedName localSheetId="41" name="karpetwooldannilon">#REF!</definedName>
    <definedName localSheetId="12" name="__LLL03">#REF!</definedName>
    <definedName localSheetId="13" name="gentengdecrabond">#REF!</definedName>
    <definedName localSheetId="3" name="_MMM50">#REF!</definedName>
    <definedName localSheetId="36" name="R41..">#REF!</definedName>
    <definedName localSheetId="17" name="plintubinpcabuabu1040">#REF!</definedName>
    <definedName localSheetId="3" name="________LLL03">#REF!</definedName>
    <definedName localSheetId="41" name="URAIAN732">#REF!</definedName>
    <definedName localSheetId="6" name="KTM">#REF!</definedName>
    <definedName localSheetId="32" name="besi10.sii">#REF!</definedName>
    <definedName localSheetId="33" name="RPHL">#REF!</definedName>
    <definedName localSheetId="0" name="aa">#REF!</definedName>
    <definedName localSheetId="3" name="_MMM49">#REF!</definedName>
    <definedName localSheetId="36" name="_HAL6">#REF!</definedName>
    <definedName localSheetId="24" name="bubungangentengmonier">#REF!</definedName>
    <definedName localSheetId="25" name="pasirsilika">#REF!</definedName>
    <definedName localSheetId="17" name="_______MMM13">#REF!</definedName>
    <definedName localSheetId="17" name="FORM918">#REF!</definedName>
    <definedName localSheetId="3" name="_DIV7">#REF!</definedName>
    <definedName localSheetId="5" name="keramik30x30">#REF!</definedName>
    <definedName localSheetId="44" name="___MMM36">#REF!</definedName>
    <definedName localSheetId="44" name="_LLL11">#REF!</definedName>
    <definedName localSheetId="38" name="platasbes35mm">#REF!</definedName>
    <definedName localSheetId="21" name="URAIAN96">#REF!</definedName>
    <definedName localSheetId="28" name="FORM7610">#REF!</definedName>
    <definedName localSheetId="10" name="_KOP7">#REF!</definedName>
    <definedName localSheetId="7" name="DUDI">#REF!</definedName>
    <definedName localSheetId="32" name="R10..">#REF!</definedName>
    <definedName localSheetId="30" name="sabun">#REF!</definedName>
    <definedName localSheetId="7" name="__DIV10">#REF!</definedName>
    <definedName localSheetId="9" name="Excel_BuiltIn_Print_Titles_10">#REF!</definedName>
    <definedName localSheetId="3" name="__tl2">#REF!</definedName>
    <definedName localSheetId="31" name="________MMM02">#REF!</definedName>
    <definedName localSheetId="38" name="baru">#REF!</definedName>
    <definedName localSheetId="13" name="kaca3">#REF!</definedName>
    <definedName localSheetId="21" name="URAIAN94">#REF!</definedName>
    <definedName localSheetId="27" name="data2">#REF!</definedName>
    <definedName localSheetId="23" name="borneo4.6">#REF!</definedName>
    <definedName localSheetId="3" name="Grendel">#REF!</definedName>
    <definedName localSheetId="21" name="c.maxi">#REF!</definedName>
    <definedName localSheetId="12" name="batuporos">#REF!</definedName>
    <definedName localSheetId="44" name="ktky">#REF!</definedName>
    <definedName localSheetId="38" name="_____MMM02">#REF!</definedName>
    <definedName localSheetId="4" name="waterstop200">#REF!</definedName>
    <definedName localSheetId="3" name="ubinteraluxmarmer60">#REF!</definedName>
    <definedName localSheetId="44" name="___MMM23">#REF!</definedName>
    <definedName localSheetId="7" name="tegelplin20x20">#REF!</definedName>
    <definedName localSheetId="44" name="________LLL06">#REF!</definedName>
    <definedName localSheetId="33" name="R61..">#REF!</definedName>
    <definedName localSheetId="15" name="lp">#REF!</definedName>
    <definedName localSheetId="23" name="strorox">#REF!</definedName>
    <definedName localSheetId="3" name="ubinkeramikartistik520">#REF!</definedName>
    <definedName localSheetId="19" name="tp80x80">#REF!</definedName>
    <definedName localSheetId="19" name="aaaa">#REF!</definedName>
    <definedName localSheetId="0" name="batu.jogja">#REF!</definedName>
    <definedName localSheetId="21" name="______LLL03">#REF!</definedName>
    <definedName localSheetId="5" name="URAIAN66PERMUKAAN">#REF!</definedName>
    <definedName localSheetId="36" name="BM">#REF!</definedName>
    <definedName localSheetId="20" name="lb">#REF!</definedName>
    <definedName localSheetId="17" name="___HAL8">#REF!</definedName>
    <definedName localSheetId="15" name="hd">#REF!</definedName>
    <definedName localSheetId="24" name="Uraian847">#REF!</definedName>
    <definedName localSheetId="15" name="pakusirap">#REF!</definedName>
    <definedName localSheetId="7" name="platasbes">#REF!</definedName>
    <definedName localSheetId="44" name="flordrain">#REF!</definedName>
    <definedName localSheetId="38" name="______HAL2">#REF!</definedName>
    <definedName localSheetId="36" name="STRUKTUR">#REF!</definedName>
    <definedName localSheetId="3" name="panelbetonpracetak">#REF!</definedName>
    <definedName localSheetId="15" name="k.40.40.roman.crk">#REF!</definedName>
    <definedName localSheetId="5" name="DAYWORKS">#REF!</definedName>
    <definedName localSheetId="3" name="_________MMM29">#REF!</definedName>
    <definedName localSheetId="36" name="namaabsen">#REF!</definedName>
    <definedName localSheetId="33" name="___MMM01">#REF!</definedName>
    <definedName localSheetId="5" name="R41..">#REF!</definedName>
    <definedName name="waterstop250">#REF!</definedName>
    <definedName localSheetId="23" name="namaabsen">#REF!</definedName>
    <definedName localSheetId="4" name="R21..">#REF!</definedName>
    <definedName localSheetId="17" name="________MMM47">#REF!</definedName>
    <definedName localSheetId="38" name="_______MMM01">#REF!</definedName>
    <definedName localSheetId="41" name="KTM">#REF!</definedName>
    <definedName localSheetId="3" name="_____MMM46">#REF!</definedName>
    <definedName localSheetId="44" name="_____MMM13">#REF!</definedName>
    <definedName localSheetId="40" name="___MMM01">#REF!</definedName>
    <definedName localSheetId="24" name="R1..">#REF!</definedName>
    <definedName localSheetId="21" name="R51..">#REF!</definedName>
    <definedName localSheetId="34" name="Batupuru">#REF!</definedName>
    <definedName localSheetId="24" name="____MMM18">#REF!</definedName>
    <definedName localSheetId="15" name="kunciselot">#REF!</definedName>
    <definedName localSheetId="41" name="ASPAL">#REF!</definedName>
    <definedName localSheetId="7" name="________MMM40">#REF!</definedName>
    <definedName localSheetId="27" name="pintusunscreenalluminium">#REF!</definedName>
    <definedName localSheetId="44" name="R4..">#REF!</definedName>
    <definedName localSheetId="27" name="SEKRETARIAT_DPRD">#REF!</definedName>
    <definedName localSheetId="24" name="_pc40">#REF!</definedName>
    <definedName localSheetId="24" name="________MMM53">#REF!</definedName>
    <definedName localSheetId="9" name="pintusunscreenalluminium">#REF!</definedName>
    <definedName localSheetId="15" name="URAIAN7614b">#REF!</definedName>
    <definedName localSheetId="6" name="RPHL">#REF!</definedName>
    <definedName localSheetId="41" name="tukng">#REF!</definedName>
    <definedName localSheetId="32" name="wwww">#REF!</definedName>
    <definedName localSheetId="18" name="____MMM01">#REF!</definedName>
    <definedName localSheetId="23" name="_____DIV2">#REF!</definedName>
    <definedName localSheetId="31" name="_pvc205">#REF!</definedName>
    <definedName localSheetId="15" name="jj">#REF!</definedName>
    <definedName name="_______DIV6">#REF!</definedName>
    <definedName localSheetId="21" name="___MMM52">#REF!</definedName>
    <definedName localSheetId="44" name="R18..">#REF!</definedName>
    <definedName localSheetId="44" name="URAIAN65">#REF!</definedName>
    <definedName localSheetId="7" name="__MMM47">#REF!</definedName>
    <definedName localSheetId="27" name="psr.trs">#REF!</definedName>
    <definedName localSheetId="30" name="______MMM02">#REF!</definedName>
    <definedName localSheetId="11" name="R100..">#REF!</definedName>
    <definedName localSheetId="6" name="SusunanOrg">#REF!</definedName>
    <definedName localSheetId="3" name="_MMM39">#REF!</definedName>
    <definedName localSheetId="6" name="ubinkeramik1033">#REF!</definedName>
    <definedName localSheetId="4" name="nokpaten092">#REF!</definedName>
    <definedName localSheetId="7" name="JUDUL1">#REF!</definedName>
    <definedName localSheetId="5" name="____HAL3">#REF!</definedName>
    <definedName localSheetId="41" name="engselangin">#REF!</definedName>
    <definedName localSheetId="13" name="panelbetonpracetak">#REF!</definedName>
    <definedName localSheetId="3" name="_____MMM37">#REF!</definedName>
    <definedName localSheetId="7" name="URAIAN731">#REF!</definedName>
    <definedName localSheetId="44" name="________MMM40">#REF!</definedName>
    <definedName localSheetId="20" name="kayudamarlaut">#REF!</definedName>
    <definedName localSheetId="27" name="gabin_al">#REF!</definedName>
    <definedName localSheetId="12" name="tpipa">#REF!</definedName>
    <definedName localSheetId="42" name="URAIAN744">#REF!</definedName>
    <definedName localSheetId="12" name="kuncisilinder">#REF!</definedName>
    <definedName localSheetId="28" name="_____MMM02">#REF!</definedName>
    <definedName localSheetId="17" name="_MMM32">#REF!</definedName>
    <definedName localSheetId="33" name="_________DIV1">#REF!</definedName>
    <definedName localSheetId="3" name="profilalumuniumT">#REF!</definedName>
    <definedName localSheetId="0" name="stairnzing">#REF!</definedName>
    <definedName localSheetId="39" name="ASPAL">#REF!</definedName>
    <definedName localSheetId="4" name="DAYWORKS">#REF!</definedName>
    <definedName localSheetId="34" name="papanjelutung">#REF!</definedName>
    <definedName localSheetId="15" name="medan5.10">#REF!</definedName>
    <definedName localSheetId="19" name="FORM8410">#REF!</definedName>
    <definedName localSheetId="3" name="_________HAL5">#REF!</definedName>
    <definedName localSheetId="27" name="sealent">#REF!</definedName>
    <definedName localSheetId="19" name="jurnal1">#REF!</definedName>
    <definedName localSheetId="7" name="___MMM44">#REF!</definedName>
    <definedName localSheetId="4" name="kuas">#REF!</definedName>
    <definedName localSheetId="9" name="Excel_BuiltIn_Print_Titles_2">#REF!</definedName>
    <definedName localSheetId="3" name="FORM96">#REF!</definedName>
    <definedName localSheetId="6" name="Uraian841">#REF!</definedName>
    <definedName localSheetId="40" name="UP">#REF!</definedName>
    <definedName name="bubungangentengkodok">#REF!</definedName>
    <definedName localSheetId="36" name="pakubiasa">#REF!</definedName>
    <definedName localSheetId="33" name="keramik20">#REF!</definedName>
    <definedName localSheetId="40" name="papanjelutung">#REF!</definedName>
    <definedName localSheetId="4" name="mowi.w.shield">#REF!</definedName>
    <definedName localSheetId="3" name="_DIV8">#REF!</definedName>
    <definedName localSheetId="7" name="_DIV5">#REF!</definedName>
    <definedName localSheetId="7" name="Kunci2">#REF!</definedName>
    <definedName localSheetId="3" name="URAIAN621">#REF!</definedName>
    <definedName localSheetId="21" name="_______MMM411">#REF!</definedName>
    <definedName localSheetId="20" name="DUDI">#REF!</definedName>
    <definedName name="FORM636">#REF!</definedName>
    <definedName localSheetId="13" name="doorcloser">#REF!</definedName>
    <definedName localSheetId="0" name="kawatduri">#REF!</definedName>
    <definedName localSheetId="7" name="___MMM50">#REF!</definedName>
    <definedName localSheetId="6" name="catmeni">#REF!</definedName>
    <definedName localSheetId="31" name="Psr.psg">#REF!</definedName>
    <definedName localSheetId="39" name="Ker.L13">#REF!</definedName>
    <definedName localSheetId="20" name="p.bI">#REF!</definedName>
    <definedName localSheetId="27" name="____DIV3">#REF!</definedName>
    <definedName localSheetId="12" name="UP">#REF!</definedName>
    <definedName localSheetId="23" name="siap1">#REF!</definedName>
    <definedName localSheetId="25" name="________DIV4">#REF!</definedName>
    <definedName localSheetId="0" name="URAIAN633">#REF!</definedName>
    <definedName localSheetId="17" name="R82..">#REF!</definedName>
    <definedName localSheetId="40" name="FORMLatasirKL">#REF!</definedName>
    <definedName localSheetId="33" name="plintkeramikartistik520">#REF!</definedName>
    <definedName localSheetId="0" name="________MMM03">#REF!</definedName>
    <definedName localSheetId="33" name="_______DIV1">#REF!</definedName>
    <definedName name="SSSSSSSSSSSSSSSSSSSSSSSSSSSSS">#REF!</definedName>
    <definedName localSheetId="24" name="Excel_BuiltIn_Print_Titles_5">#REF!</definedName>
    <definedName localSheetId="24" name="URAIAN612">#REF!</definedName>
    <definedName localSheetId="20" name="stairnzing">#REF!</definedName>
    <definedName localSheetId="32" name="gymfloor">#REF!</definedName>
    <definedName localSheetId="20" name="drainase">#REF!</definedName>
    <definedName localSheetId="19" name="wallpaper">#REF!</definedName>
    <definedName localSheetId="32" name="batuporos">#REF!</definedName>
    <definedName localSheetId="11" name="ubinkeramik1033">#REF!</definedName>
    <definedName localSheetId="28" name="kaca.es">#REF!</definedName>
    <definedName localSheetId="41" name="jamtandem">#REF!</definedName>
    <definedName localSheetId="7" name="_________MMM02">#REF!</definedName>
    <definedName localSheetId="28" name="FORM7614b">#REF!</definedName>
    <definedName localSheetId="30" name="R2..">#REF!</definedName>
    <definedName localSheetId="36" name="__pvc2">#REF!</definedName>
    <definedName localSheetId="36" name="_pvc2">#REF!</definedName>
    <definedName localSheetId="7" name="__MMM35">#REF!</definedName>
    <definedName localSheetId="36" name="Closet.ddk">#REF!</definedName>
    <definedName localSheetId="5" name="washtafel">#REF!</definedName>
    <definedName localSheetId="21" name="hakangin">#REF!</definedName>
    <definedName localSheetId="3" name="_____MMM49">#REF!</definedName>
    <definedName localSheetId="12" name="_____MMM03">#REF!</definedName>
    <definedName localSheetId="21" name="air">#REF!</definedName>
    <definedName localSheetId="10" name="Galam">#REF!</definedName>
    <definedName localSheetId="11" name="pipatanah">#REF!</definedName>
    <definedName localSheetId="7" name="_____MMM18">#REF!</definedName>
    <definedName localSheetId="12" name="URAIAN632">#REF!</definedName>
    <definedName localSheetId="10" name="he">#REF!</definedName>
    <definedName localSheetId="15" name="pa">#REF!</definedName>
    <definedName localSheetId="18" name="________HAL3">#REF!</definedName>
    <definedName name="_HAL6">#REF!</definedName>
    <definedName localSheetId="32" name="__pvc05">#REF!</definedName>
    <definedName localSheetId="11" name="BAJA">#REF!</definedName>
    <definedName localSheetId="19" name="URAIAN632">#REF!</definedName>
    <definedName localSheetId="8" name="M">#REF!</definedName>
    <definedName localSheetId="33" name="URAIAN234L">#REF!</definedName>
    <definedName localSheetId="28" name="atapaluminiumgelombang055">#REF!</definedName>
    <definedName localSheetId="28" name="rooflightfiibreglass">#REF!</definedName>
    <definedName localSheetId="36" name="_______HAL1">#REF!</definedName>
    <definedName localSheetId="15" name="batutempelhitam">#REF!</definedName>
    <definedName localSheetId="44" name="R107..">#REF!</definedName>
    <definedName localSheetId="42" name="URAIAN7614a">#REF!</definedName>
    <definedName localSheetId="30" name="__HAL4">#REF!</definedName>
    <definedName localSheetId="23" name="kayukelas2">#REF!</definedName>
    <definedName localSheetId="13" name="_pvc2">#REF!</definedName>
    <definedName localSheetId="3" name="waterdrainaksesoris">#REF!</definedName>
    <definedName localSheetId="18" name="_DIV2">#REF!</definedName>
    <definedName localSheetId="3" name="_____HAL4">#REF!</definedName>
    <definedName localSheetId="20" name="papan.m.3.20">#REF!</definedName>
    <definedName localSheetId="30" name="vinylkaretklII">#REF!</definedName>
    <definedName localSheetId="7" name="_______MMM06">#REF!</definedName>
    <definedName localSheetId="0" name="ubingranito30">#REF!</definedName>
    <definedName localSheetId="44" name="__HAL7">#REF!</definedName>
    <definedName name="Faktorial">#REF!</definedName>
    <definedName localSheetId="41" name="FORM7612a">#REF!</definedName>
    <definedName localSheetId="39" name="________DIV4">#REF!</definedName>
    <definedName localSheetId="8" name="_DIV1">#REF!</definedName>
    <definedName localSheetId="0" name="cattembok">#REF!</definedName>
    <definedName localSheetId="25" name="beton.tumbuk">#REF!</definedName>
    <definedName localSheetId="17" name="lb">#REF!</definedName>
    <definedName localSheetId="42" name="tukng">#REF!</definedName>
    <definedName localSheetId="32" name="jffhauifhauifhe">#REF!</definedName>
    <definedName localSheetId="9" name="FORM7614b">#REF!</definedName>
    <definedName localSheetId="42" name="GRC">#REF!</definedName>
    <definedName localSheetId="33" name="___pc50">#REF!</definedName>
    <definedName localSheetId="31" name="gentengaspal">#REF!</definedName>
    <definedName localSheetId="10" name="___MMM03">#REF!</definedName>
    <definedName localSheetId="10" name="ramset">#REF!</definedName>
    <definedName localSheetId="20" name="DSSDD">#REF!</definedName>
    <definedName localSheetId="10" name="___pvc05">#REF!</definedName>
    <definedName localSheetId="25" name="RPHL">#REF!</definedName>
    <definedName localSheetId="3" name="_____LLL09">#REF!</definedName>
    <definedName localSheetId="39" name="zzz">#REF!</definedName>
    <definedName localSheetId="18" name="FORM7614c">#REF!</definedName>
    <definedName localSheetId="41" name="medan3.4">#REF!</definedName>
    <definedName localSheetId="4" name="sengplatbjls28">#REF!</definedName>
    <definedName localSheetId="10" name="air">#REF!</definedName>
    <definedName localSheetId="19" name="mlex.w">#REF!</definedName>
    <definedName name="_________HAL7">#REF!</definedName>
    <definedName localSheetId="40" name="ARI">#REF!</definedName>
    <definedName localSheetId="4" name="___pc50">#REF!</definedName>
    <definedName localSheetId="3" name="akustikarmstrong">#REF!</definedName>
    <definedName localSheetId="44" name="__MMM05">#REF!</definedName>
    <definedName localSheetId="15" name="URAIAN66PERATA">#REF!</definedName>
    <definedName localSheetId="19" name="beton100kg">#REF!</definedName>
    <definedName localSheetId="44" name="_MMM15">#REF!</definedName>
    <definedName name="_______MMM31">#REF!</definedName>
    <definedName localSheetId="42" name="_________HAL2">#REF!</definedName>
    <definedName localSheetId="28" name="________HAL2">#REF!</definedName>
    <definedName localSheetId="21" name="kayubulian">#REF!</definedName>
    <definedName localSheetId="31" name="Papanbouplank">#REF!</definedName>
    <definedName localSheetId="5" name="_HAL4">#REF!</definedName>
    <definedName localSheetId="24" name="Analisa70301">#REF!</definedName>
    <definedName name="__DIV8">#REF!</definedName>
    <definedName localSheetId="24" name="___MMM22">#REF!</definedName>
    <definedName localSheetId="17" name="___MMM35">#REF!</definedName>
    <definedName localSheetId="3" name="R57..">#REF!</definedName>
    <definedName name="c.vinilex.sjs">#REF!</definedName>
    <definedName localSheetId="20" name="R100..">#REF!</definedName>
    <definedName localSheetId="0" name="hakangin">#REF!</definedName>
    <definedName localSheetId="38" name="kayudamarlaut">#REF!</definedName>
    <definedName localSheetId="17" name="URAIAN611">#REF!</definedName>
    <definedName localSheetId="9" name="gypsum.9">#REF!</definedName>
    <definedName localSheetId="10" name="tegelplinpc10x20">#REF!</definedName>
    <definedName localSheetId="32" name="a">#REF!</definedName>
    <definedName localSheetId="44" name="________MMM26">#REF!</definedName>
    <definedName localSheetId="4" name="kayukruing">#REF!</definedName>
    <definedName localSheetId="18" name="w.stain">#REF!</definedName>
    <definedName localSheetId="21" name="pp">#REF!</definedName>
    <definedName localSheetId="24" name="R69..">#REF!</definedName>
    <definedName localSheetId="17" name="c.mowi.luar">#REF!</definedName>
    <definedName localSheetId="21" name="FORM96">#REF!</definedName>
    <definedName localSheetId="7" name="Analisa70108">#REF!</definedName>
    <definedName localSheetId="9" name="____DIV2">#REF!</definedName>
    <definedName name="___MMM01">#REF!</definedName>
    <definedName localSheetId="44" name="_____MMM53">#REF!</definedName>
    <definedName localSheetId="20" name="RoolingdoorAlumunium">#REF!</definedName>
    <definedName localSheetId="40" name="parquetjati">#REF!</definedName>
    <definedName localSheetId="36" name="R31..">#REF!</definedName>
    <definedName name="________MMM34">#REF!</definedName>
    <definedName localSheetId="31" name="doorstop">#REF!</definedName>
    <definedName localSheetId="44" name="______MMM13">#REF!</definedName>
    <definedName localSheetId="24" name="URAIAN916">#REF!</definedName>
    <definedName localSheetId="0" name="URAIAN7614b">#REF!</definedName>
    <definedName name="batuteraso">#REF!</definedName>
    <definedName localSheetId="32" name="______HAL2">#REF!</definedName>
    <definedName localSheetId="33" name="___MMM03">#REF!</definedName>
    <definedName localSheetId="25" name="kali">#REF!</definedName>
    <definedName localSheetId="24" name="ppnip">#REF!</definedName>
    <definedName localSheetId="13" name="platasbes4mm">#REF!</definedName>
    <definedName localSheetId="15" name="rincian">#REF!</definedName>
    <definedName localSheetId="19" name="URAIAN621">#REF!</definedName>
    <definedName localSheetId="6" name="URAIAN633">#REF!</definedName>
    <definedName localSheetId="34" name="platasbes4mm">#REF!</definedName>
    <definedName localSheetId="44" name="kuas">#REF!</definedName>
    <definedName localSheetId="33" name="air">#REF!</definedName>
    <definedName localSheetId="5" name="ubinkeramik1020">#REF!</definedName>
    <definedName localSheetId="7" name="e">#REF!</definedName>
    <definedName localSheetId="15" name="___DIV2">#REF!</definedName>
    <definedName localSheetId="8" name="______HAL1">#REF!</definedName>
    <definedName localSheetId="41" name="tes">#REF!</definedName>
    <definedName localSheetId="23" name="residu">#REF!</definedName>
    <definedName localSheetId="21" name="__MMM47">#REF!</definedName>
    <definedName localSheetId="3" name="___MMM41">#REF!</definedName>
    <definedName name="__MMM36">#REF!</definedName>
    <definedName localSheetId="42" name="R40..">#REF!</definedName>
    <definedName localSheetId="24" name="_MMM12">#REF!</definedName>
    <definedName localSheetId="0" name="_PC50">#REF!</definedName>
    <definedName localSheetId="17" name="_________LLL01">#REF!</definedName>
    <definedName localSheetId="27" name="wallpaper">#REF!</definedName>
    <definedName localSheetId="24" name="_______DIV7">#REF!</definedName>
    <definedName localSheetId="23" name="pintusunscreenalluminium">#REF!</definedName>
    <definedName localSheetId="13" name="______DIV1">#REF!</definedName>
    <definedName localSheetId="7" name="__MMM40">#REF!</definedName>
    <definedName localSheetId="28" name="RoolingdoorAlumunium">#REF!</definedName>
    <definedName localSheetId="12" name="R1..">#REF!</definedName>
    <definedName localSheetId="39" name="catmeni">#REF!</definedName>
    <definedName localSheetId="44" name="______LLL02">#REF!</definedName>
    <definedName localSheetId="38" name="batapelapisklinker">#REF!</definedName>
    <definedName localSheetId="41" name="ss">#REF!</definedName>
    <definedName localSheetId="17" name="_MMM03">#REF!</definedName>
    <definedName localSheetId="20" name="u.besi">#REF!</definedName>
    <definedName localSheetId="7" name="beton100kg">#REF!</definedName>
    <definedName localSheetId="32" name="URAIAN7612c">#REF!</definedName>
    <definedName localSheetId="12" name="gentengaspal">#REF!</definedName>
    <definedName localSheetId="31" name="k.40.40.roman.crk">#REF!</definedName>
    <definedName localSheetId="38" name="__Tl1">#REF!</definedName>
    <definedName localSheetId="40" name="kuncilemari">#REF!</definedName>
    <definedName localSheetId="3" name="FORM623">#REF!</definedName>
    <definedName localSheetId="19" name="Psr.psg">#REF!</definedName>
    <definedName localSheetId="30" name="f">#REF!</definedName>
    <definedName localSheetId="19" name="tegel20">#REF!</definedName>
    <definedName localSheetId="33" name="w">#REF!</definedName>
    <definedName localSheetId="24" name="___MMM35">#REF!</definedName>
    <definedName localSheetId="7" name="BPS">#REF!</definedName>
    <definedName localSheetId="30" name="k.ddg.20.25.rmn.crk">#REF!</definedName>
    <definedName localSheetId="24" name="pakugypsum">#REF!</definedName>
    <definedName localSheetId="31" name="Lamp">#REF!</definedName>
    <definedName localSheetId="17" name="_____LLL10">#REF!</definedName>
    <definedName localSheetId="25" name="kacapolos3mm">#REF!</definedName>
    <definedName localSheetId="0" name="tegelporselen">#REF!</definedName>
    <definedName localSheetId="31" name="LAINLAIN">#REF!</definedName>
    <definedName localSheetId="21" name="medan5.7">#REF!</definedName>
    <definedName localSheetId="18" name="______HAL1">#REF!</definedName>
    <definedName localSheetId="32" name="FORM721">#REF!</definedName>
    <definedName localSheetId="4" name="URAIAN79manual">#REF!</definedName>
    <definedName localSheetId="17" name="plintubinteraluxkerang1040">#REF!</definedName>
    <definedName localSheetId="4" name="_pvc205">#REF!</definedName>
    <definedName localSheetId="42" name="P">#REF!</definedName>
    <definedName name="___MMM35">#REF!</definedName>
    <definedName localSheetId="32" name="batukali14">#REF!</definedName>
    <definedName localSheetId="13" name="papanjelutung">#REF!</definedName>
    <definedName localSheetId="32" name="__DIV1">#REF!</definedName>
    <definedName localSheetId="8" name="kayualbasiah">#REF!</definedName>
    <definedName localSheetId="0" name="mlex.w">#REF!</definedName>
    <definedName localSheetId="21" name="plintkeramikartistik1020">#REF!</definedName>
    <definedName localSheetId="7" name="_________MMM33">#REF!</definedName>
    <definedName localSheetId="32" name="URAIAN79mekanis">#REF!</definedName>
    <definedName localSheetId="7" name="R15..">#REF!</definedName>
    <definedName localSheetId="17" name="_____MMM40">#REF!</definedName>
    <definedName localSheetId="24" name="seng25">#REF!</definedName>
    <definedName localSheetId="30" name="URAIAN323L">#REF!</definedName>
    <definedName localSheetId="40" name="sengplatbjls24">#REF!</definedName>
    <definedName localSheetId="10" name="_MMM02">#REF!</definedName>
    <definedName localSheetId="4" name="nokpaten105">#REF!</definedName>
    <definedName localSheetId="6" name="mm">#REF!</definedName>
    <definedName localSheetId="44" name="_MMM54">#REF!</definedName>
    <definedName localSheetId="44" name="kuncialfa">#REF!</definedName>
    <definedName localSheetId="38" name="besi13">#REF!</definedName>
    <definedName localSheetId="19" name="besi13u">#REF!</definedName>
    <definedName localSheetId="36" name="Print_Area_MI">#REF!</definedName>
    <definedName localSheetId="33" name="eeeeee">#REF!</definedName>
    <definedName localSheetId="41" name="vertikalsblinds">#REF!</definedName>
    <definedName localSheetId="17" name="alangalang">#REF!</definedName>
    <definedName localSheetId="44" name="Analisa71106">#REF!</definedName>
    <definedName localSheetId="44" name="pvc2d">#REF!</definedName>
    <definedName localSheetId="5" name="reng">#REF!</definedName>
    <definedName localSheetId="33" name="_kop5">#REF!</definedName>
    <definedName localSheetId="19" name="tky">#REF!</definedName>
    <definedName localSheetId="8" name="springknip">#REF!</definedName>
    <definedName localSheetId="28" name="__Tl1">#REF!</definedName>
    <definedName localSheetId="6" name="doorcloser">#REF!</definedName>
    <definedName localSheetId="23" name="doorcloser">#REF!</definedName>
    <definedName localSheetId="25" name="batukali14">#REF!</definedName>
    <definedName localSheetId="7" name="URAIAN7614e">#REF!</definedName>
    <definedName localSheetId="15" name="_______DIV3">#REF!</definedName>
    <definedName localSheetId="7" name="_MMM39">#REF!</definedName>
    <definedName localSheetId="36" name="besi12sii">#REF!</definedName>
    <definedName name="lisplafond">#REF!</definedName>
    <definedName localSheetId="42" name="Skrup">#REF!</definedName>
    <definedName localSheetId="19" name="URAIAN79manual">#REF!</definedName>
    <definedName localSheetId="7" name="bbm">#REF!</definedName>
    <definedName localSheetId="21" name="________MMM15">#REF!</definedName>
    <definedName localSheetId="32" name="_________HAL3">#REF!</definedName>
    <definedName localSheetId="30" name="_pvc3">#REF!</definedName>
    <definedName localSheetId="20" name="______MMM02">#REF!</definedName>
    <definedName localSheetId="6" name="Excel_BuiltIn_Print_Titles_10">#REF!</definedName>
    <definedName localSheetId="7" name="__MMM10">#REF!</definedName>
    <definedName localSheetId="20" name="Excel_BuiltIn_Print_Area_10">#REF!</definedName>
    <definedName localSheetId="38" name="water.prof">#REF!</definedName>
    <definedName localSheetId="18" name="atapaluminiumgelombang055">#REF!</definedName>
    <definedName localSheetId="24" name="batacote">#REF!</definedName>
    <definedName localSheetId="24" name="_______MMM06">#REF!</definedName>
    <definedName localSheetId="27" name="_Tl1">#REF!</definedName>
    <definedName localSheetId="40" name="pakubulian">#REF!</definedName>
    <definedName localSheetId="0" name="sealer.mowi">#REF!</definedName>
    <definedName localSheetId="20" name="_________DIV1">#REF!</definedName>
    <definedName localSheetId="27" name="FORMLatasirK">#REF!</definedName>
    <definedName localSheetId="42" name="Excel_BuiltIn_Print_Titles_1">#REF!</definedName>
    <definedName localSheetId="8" name="residu">#REF!</definedName>
    <definedName localSheetId="17" name="tegelporselen10x20warna">#REF!</definedName>
    <definedName localSheetId="10" name="FORM841">#REF!</definedName>
    <definedName localSheetId="24" name="_______LLL09">#REF!</definedName>
    <definedName localSheetId="42" name="_HAL6">#REF!</definedName>
    <definedName localSheetId="24" name="ppnm">#REF!</definedName>
    <definedName localSheetId="19" name="ss">#REF!</definedName>
    <definedName localSheetId="23" name="tes">#REF!</definedName>
    <definedName localSheetId="28" name="___MMM03">#REF!</definedName>
    <definedName localSheetId="31" name="reng">#REF!</definedName>
    <definedName localSheetId="24" name="_______DIV2">#REF!</definedName>
    <definedName localSheetId="44" name="Analisa612">#REF!</definedName>
    <definedName localSheetId="25" name="__MMM02">#REF!</definedName>
    <definedName localSheetId="5" name="engsel3">#REF!</definedName>
    <definedName localSheetId="33" name="URAIANLatasirKL">#REF!</definedName>
    <definedName localSheetId="41" name="leni">#REF!</definedName>
    <definedName localSheetId="15" name="FORM7613c">#REF!</definedName>
    <definedName localSheetId="3" name="R12..">#REF!</definedName>
    <definedName localSheetId="30" name="tegelpc20x20">#REF!</definedName>
    <definedName localSheetId="21" name="FORM631">#REF!</definedName>
    <definedName localSheetId="3" name="__pvc05">#REF!</definedName>
    <definedName localSheetId="10" name="FORMLatasirK">#REF!</definedName>
    <definedName localSheetId="41" name="FORM7610">#REF!</definedName>
    <definedName localSheetId="44" name="_LLL09">#REF!</definedName>
    <definedName localSheetId="17" name="c.vinilex.sjs">#REF!</definedName>
    <definedName localSheetId="28" name="__DIV4">#REF!</definedName>
    <definedName localSheetId="21" name="____MMM36">#REF!</definedName>
    <definedName localSheetId="10" name="__HAL4">#REF!</definedName>
    <definedName name="_DIV3">#REF!</definedName>
    <definedName localSheetId="31" name="KERAMIK30">#REF!</definedName>
    <definedName localSheetId="42" name="URAIAN732">#REF!</definedName>
    <definedName localSheetId="33" name="nnnnn">#REF!</definedName>
    <definedName name="rosterterawang">#REF!</definedName>
    <definedName localSheetId="36" name="_________DIV2">#REF!</definedName>
    <definedName localSheetId="24" name="______MMM33">#REF!</definedName>
    <definedName localSheetId="30" name="p.kmp.smrd.3.20">#REF!</definedName>
    <definedName localSheetId="18" name="relpintudorong">#REF!</definedName>
    <definedName localSheetId="36" name="sirap">#REF!</definedName>
    <definedName localSheetId="17" name="_________MMM26">#REF!</definedName>
    <definedName localSheetId="31" name="des">#REF!</definedName>
    <definedName localSheetId="0" name="URAIAN632">#REF!</definedName>
    <definedName localSheetId="44" name="pindahan">#REF!</definedName>
    <definedName localSheetId="28" name="KERAMIK30">#REF!</definedName>
    <definedName localSheetId="42" name="t.sabun">#REF!</definedName>
    <definedName localSheetId="31" name="cycllop">#REF!</definedName>
    <definedName localSheetId="31" name="kacapolos5mm">#REF!</definedName>
    <definedName localSheetId="24" name="FORM735">#REF!</definedName>
    <definedName localSheetId="3" name="_______MMM11">#REF!</definedName>
    <definedName localSheetId="5" name="ts">#REF!</definedName>
    <definedName localSheetId="7" name="_________MMM20">#REF!</definedName>
    <definedName localSheetId="24" name="_____MMM48">#REF!</definedName>
    <definedName localSheetId="7" name="vernis">#REF!</definedName>
    <definedName localSheetId="42" name="ASPAL">#REF!</definedName>
    <definedName localSheetId="12" name="u">#REF!</definedName>
    <definedName localSheetId="44" name="URAIAN7612a">#REF!</definedName>
    <definedName localSheetId="18" name="LAINLAIN">#REF!</definedName>
    <definedName localSheetId="0" name="______MMM03">#REF!</definedName>
    <definedName localSheetId="24" name="FORM846">#REF!</definedName>
    <definedName localSheetId="24" name="__MMM48">#REF!</definedName>
    <definedName localSheetId="17" name="____LLL10">#REF!</definedName>
    <definedName localSheetId="25" name="__HAL4">#REF!</definedName>
    <definedName localSheetId="13" name="bak">#REF!</definedName>
    <definedName localSheetId="44" name="________MMM51">#REF!</definedName>
    <definedName localSheetId="27" name="pakubulian">#REF!</definedName>
    <definedName localSheetId="28" name="HP">#REF!</definedName>
    <definedName localSheetId="23" name="Closet.ddk">#REF!</definedName>
    <definedName localSheetId="33" name="Kunci1">#REF!</definedName>
    <definedName localSheetId="3" name="________HAL4">#REF!</definedName>
    <definedName localSheetId="36" name="_DIV10">#REF!</definedName>
    <definedName localSheetId="40" name="______DIV1">#REF!</definedName>
    <definedName localSheetId="13" name="HP">#REF!</definedName>
    <definedName localSheetId="39" name="_PC50">#REF!</definedName>
    <definedName localSheetId="31" name="BM">#REF!</definedName>
    <definedName localSheetId="25" name="paku5.7.10">#REF!</definedName>
    <definedName name="Akustik">#REF!</definedName>
    <definedName localSheetId="3" name="sodaapi">#REF!</definedName>
    <definedName localSheetId="10" name="LAP">#REF!</definedName>
    <definedName localSheetId="40" name="____HAL2">#REF!</definedName>
    <definedName localSheetId="18" name="_818FA">#REF!</definedName>
    <definedName localSheetId="34" name="FORM79mekanis">#REF!</definedName>
    <definedName localSheetId="17" name="______LLL09">#REF!</definedName>
    <definedName localSheetId="32" name="Kunci1">#REF!</definedName>
    <definedName localSheetId="44" name="pvc.4.mas.d">#REF!</definedName>
    <definedName localSheetId="24" name="_____MMM05">#REF!</definedName>
    <definedName localSheetId="33" name="___pvc3">#REF!</definedName>
    <definedName localSheetId="19" name="ubinkeramikartistik1010">#REF!</definedName>
    <definedName localSheetId="42" name="pintusunscreenalluminium">#REF!</definedName>
    <definedName localSheetId="17" name="URAIAN621">#REF!</definedName>
    <definedName localSheetId="27" name="hcs">#REF!</definedName>
    <definedName name="R5..">#REF!</definedName>
    <definedName localSheetId="32" name="coveartistik">#REF!</definedName>
    <definedName localSheetId="5" name="___pvc205">#REF!</definedName>
    <definedName localSheetId="24" name="__LLL09">#REF!</definedName>
    <definedName localSheetId="21" name="pengencer">#REF!</definedName>
    <definedName localSheetId="18" name="Pengadaan">#REF!</definedName>
    <definedName localSheetId="40" name="URAIAN632">#REF!</definedName>
    <definedName localSheetId="11" name="ubinkeramikartistik1010">#REF!</definedName>
    <definedName localSheetId="6" name="___HAL1">#REF!</definedName>
    <definedName localSheetId="12" name="R60..">#REF!</definedName>
    <definedName localSheetId="8" name="FORM7612c">#REF!</definedName>
    <definedName localSheetId="12" name="parquetjati">#REF!</definedName>
    <definedName localSheetId="23" name="KUANTITAS">#REF!</definedName>
    <definedName localSheetId="3" name="kuncitanamkamarmandi">#REF!</definedName>
    <definedName localSheetId="33" name="kacacermin8">#REF!</definedName>
    <definedName localSheetId="36" name="NAMA2">#REF!</definedName>
    <definedName localSheetId="6" name="STRUKTUR">#REF!</definedName>
    <definedName localSheetId="17" name="rooflightfiibreglass">#REF!</definedName>
    <definedName localSheetId="24" name="Analisa631">#REF!</definedName>
    <definedName localSheetId="21" name="__HAL5">#REF!</definedName>
    <definedName localSheetId="9" name="_818PK">#REF!</definedName>
    <definedName localSheetId="36" name="baru">#REF!</definedName>
    <definedName localSheetId="40" name="NAMA3">#REF!</definedName>
    <definedName localSheetId="17" name="Uraian845">#REF!</definedName>
    <definedName localSheetId="17" name="ktbs">#REF!</definedName>
    <definedName localSheetId="24" name="_______MMM37">#REF!</definedName>
    <definedName localSheetId="25" name="URAIAN721">#REF!</definedName>
    <definedName localSheetId="23" name="_____HAL3">#REF!</definedName>
    <definedName localSheetId="27" name="FORM744">#REF!</definedName>
    <definedName localSheetId="44" name="______HAL8">#REF!</definedName>
    <definedName localSheetId="21" name="kuncitanam">#REF!</definedName>
    <definedName localSheetId="10" name="_______MMM02">#REF!</definedName>
    <definedName localSheetId="7" name="MAI">#REF!</definedName>
    <definedName localSheetId="27" name="gentengaspal">#REF!</definedName>
    <definedName localSheetId="9" name="JUDUL1">#REF!</definedName>
    <definedName localSheetId="36" name="_HAL1">#REF!</definedName>
    <definedName localSheetId="17" name="doorholder">#REF!</definedName>
    <definedName localSheetId="25" name="URAIANLatasirKL">#REF!</definedName>
    <definedName localSheetId="24" name="_____MMM14">#REF!</definedName>
    <definedName localSheetId="15" name="w.stain">#REF!</definedName>
    <definedName localSheetId="28" name="borneo5.10">#REF!</definedName>
    <definedName localSheetId="44" name="__pc40">#REF!</definedName>
    <definedName localSheetId="7" name="________HAL2">#REF!</definedName>
    <definedName localSheetId="3" name="________MMM27">#REF!</definedName>
    <definedName localSheetId="18" name="aluminiumfoil">#REF!</definedName>
    <definedName localSheetId="32" name="_______HAL2">#REF!</definedName>
    <definedName localSheetId="40" name="bouwplnk">#REF!</definedName>
    <definedName localSheetId="5" name="floorhardenerferrovak">#REF!</definedName>
    <definedName name="tegelplin20x20">#REF!</definedName>
    <definedName localSheetId="44" name="pvc4d">#REF!</definedName>
    <definedName localSheetId="34" name="R6..">#REF!</definedName>
    <definedName localSheetId="9" name="teakwood6mm">#REF!</definedName>
    <definedName localSheetId="30" name="kuncilemari">#REF!</definedName>
    <definedName localSheetId="41" name="ttnh">#REF!</definedName>
    <definedName localSheetId="28" name="water.prof">#REF!</definedName>
    <definedName localSheetId="30" name="___pc50">#REF!</definedName>
    <definedName localSheetId="7" name="bubunganasbesnok">#REF!</definedName>
    <definedName localSheetId="17" name="FORM917">#REF!</definedName>
    <definedName localSheetId="4" name="__DIV4">#REF!</definedName>
    <definedName localSheetId="42" name="batugranito">#REF!</definedName>
    <definedName name="R62..">#REF!</definedName>
    <definedName localSheetId="42" name="kaca5">#REF!</definedName>
    <definedName localSheetId="21" name="_________LLL06">#REF!</definedName>
    <definedName localSheetId="21" name="____DIV3">#REF!</definedName>
    <definedName localSheetId="24" name="__MMM13">#REF!</definedName>
    <definedName name="Meni">#REF!</definedName>
    <definedName localSheetId="3" name="pvc.4.mas.d">#REF!</definedName>
    <definedName localSheetId="44" name="___MMM11">#REF!</definedName>
    <definedName localSheetId="7" name="Analisa70301">#REF!</definedName>
    <definedName localSheetId="44" name="pajak">#REF!</definedName>
    <definedName localSheetId="27" name="__HAL4">#REF!</definedName>
    <definedName localSheetId="32" name="kayukamper">#REF!</definedName>
    <definedName localSheetId="19" name="relpintudorong">#REF!</definedName>
    <definedName localSheetId="18" name="water.prof">#REF!</definedName>
    <definedName localSheetId="13" name="borneo4.6">#REF!</definedName>
    <definedName localSheetId="15" name="FORM7613a">#REF!</definedName>
    <definedName localSheetId="3" name="MASTER">#REF!</definedName>
    <definedName localSheetId="40" name="_DIV2">#REF!</definedName>
    <definedName localSheetId="24" name="___LLL08">#REF!</definedName>
    <definedName localSheetId="38" name="floorhardenermastercron">#REF!</definedName>
    <definedName localSheetId="25" name="______HAL2">#REF!</definedName>
    <definedName localSheetId="33" name="cattembok">#REF!</definedName>
    <definedName localSheetId="20" name="_____MMM01">#REF!</definedName>
    <definedName localSheetId="31" name="MATERIAL">#REF!</definedName>
    <definedName localSheetId="23" name="URAIAN7612a">#REF!</definedName>
    <definedName localSheetId="7" name="_DIV7">#REF!</definedName>
    <definedName localSheetId="23" name="gabin_al">#REF!</definedName>
    <definedName localSheetId="3" name="___MMM37">#REF!</definedName>
    <definedName localSheetId="30" name="_____HAL1">#REF!</definedName>
    <definedName localSheetId="0" name="__pvc05">#REF!</definedName>
    <definedName localSheetId="40" name="w">#REF!</definedName>
    <definedName localSheetId="28" name="URAIAN771b">#REF!</definedName>
    <definedName localSheetId="38" name="catantara">#REF!</definedName>
    <definedName localSheetId="11" name="k.40.40.roman.crk">#REF!</definedName>
    <definedName localSheetId="28" name="MATERIAL">#REF!</definedName>
    <definedName localSheetId="44" name="R81..">#REF!</definedName>
    <definedName localSheetId="25" name="plintubinwarna1040">#REF!</definedName>
    <definedName localSheetId="38" name="ubinteraso30">#REF!</definedName>
    <definedName localSheetId="28" name="___DIV10">#REF!</definedName>
    <definedName localSheetId="42" name="________DIV10">#REF!</definedName>
    <definedName localSheetId="5" name="KT">#REF!</definedName>
    <definedName localSheetId="19" name="kapursirih">#REF!</definedName>
    <definedName localSheetId="7" name="URAIAN634">#REF!</definedName>
    <definedName localSheetId="40" name="wwww">#REF!</definedName>
    <definedName localSheetId="17" name="RoolingdoorAlumunium">#REF!</definedName>
    <definedName localSheetId="4" name="tl2x40">#REF!</definedName>
    <definedName localSheetId="40" name="batuporos">#REF!</definedName>
    <definedName localSheetId="27" name="SPJa">#REF!</definedName>
    <definedName localSheetId="28" name="Pc.50">#REF!</definedName>
    <definedName name="URAIAN771d">#REF!</definedName>
    <definedName localSheetId="3" name="_DIV1">#REF!</definedName>
    <definedName localSheetId="25" name="springknip">#REF!</definedName>
    <definedName localSheetId="15" name="sengplatbjls25">#REF!</definedName>
    <definedName localSheetId="23" name="kuncisilinder">#REF!</definedName>
    <definedName localSheetId="21" name="__MMM32">#REF!</definedName>
    <definedName localSheetId="34" name="FORM7610">#REF!</definedName>
    <definedName localSheetId="24" name="________MMM12">#REF!</definedName>
    <definedName localSheetId="31" name="Nokmetal3mm">#REF!</definedName>
    <definedName localSheetId="4" name="FORM731">#REF!</definedName>
    <definedName localSheetId="44" name="Analisa634">#REF!</definedName>
    <definedName localSheetId="30" name="_818PK">#REF!</definedName>
    <definedName localSheetId="15" name="PT">#REF!</definedName>
    <definedName localSheetId="42" name="k.ddg.rmn.20.25.pls">#REF!</definedName>
    <definedName localSheetId="8" name="urugantanah">#REF!</definedName>
    <definedName localSheetId="3" name="_________MMM04">#REF!</definedName>
    <definedName localSheetId="0" name="___MMM03">#REF!</definedName>
    <definedName localSheetId="30" name="________DIV3">#REF!</definedName>
    <definedName localSheetId="17" name="Analisa512">#REF!</definedName>
    <definedName localSheetId="9" name="kalkarium">#REF!</definedName>
    <definedName localSheetId="23" name="pakuhalus">#REF!</definedName>
    <definedName localSheetId="11" name="FORM7613b">#REF!</definedName>
    <definedName localSheetId="19" name="data2">#REF!</definedName>
    <definedName localSheetId="24" name="_________MMM33">#REF!</definedName>
    <definedName localSheetId="10" name="_________DIV1">#REF!</definedName>
    <definedName localSheetId="23" name="tegelporselen10x20warna">#REF!</definedName>
    <definedName localSheetId="10" name="sirap">#REF!</definedName>
    <definedName localSheetId="30" name="k.ddg.rmn.20.25.pls">#REF!</definedName>
    <definedName localSheetId="12" name="_pvc2">#REF!</definedName>
    <definedName localSheetId="9" name="kunciselot">#REF!</definedName>
    <definedName localSheetId="40" name="batapelapisdinding">#REF!</definedName>
    <definedName name="he">#REF!</definedName>
    <definedName localSheetId="38" name="pagarseng2m">#REF!</definedName>
    <definedName localSheetId="24" name="_MMM27">#REF!</definedName>
    <definedName localSheetId="7" name="URAIAN745">#REF!</definedName>
    <definedName localSheetId="38" name="zzz">#REF!</definedName>
    <definedName localSheetId="17" name="__MMM16">#REF!</definedName>
    <definedName localSheetId="12" name="alba2.20">#REF!</definedName>
    <definedName localSheetId="4" name="sengplatbjls24">#REF!</definedName>
    <definedName localSheetId="3" name="tegelteraso40x40">#REF!</definedName>
    <definedName localSheetId="9" name="jffhauifhauifhe">#REF!</definedName>
    <definedName localSheetId="44" name="besi10.sii">#REF!</definedName>
    <definedName localSheetId="25" name="DAYWORKS">#REF!</definedName>
    <definedName localSheetId="40" name="platasbes">#REF!</definedName>
    <definedName localSheetId="23" name="sengplatbjls24">#REF!</definedName>
    <definedName localSheetId="3" name="_______MMM39">#REF!</definedName>
    <definedName name="sealer.mowi">#REF!</definedName>
    <definedName name="FORM913">#REF!</definedName>
    <definedName localSheetId="32" name="data2">#REF!</definedName>
    <definedName localSheetId="36" name="teakwood6mm">#REF!</definedName>
    <definedName localSheetId="8" name="closedjongkok">#REF!</definedName>
    <definedName name="Lamp">#REF!</definedName>
    <definedName localSheetId="21" name="_________LLL03">#REF!</definedName>
    <definedName localSheetId="19" name="FRRDS">#REF!</definedName>
    <definedName localSheetId="15" name="lb">#REF!</definedName>
    <definedName localSheetId="23" name="Print_title">#REF!</definedName>
    <definedName localSheetId="6" name="________HAL3">#REF!</definedName>
    <definedName localSheetId="31" name="URAIAN7612c">#REF!</definedName>
    <definedName localSheetId="17" name="________LLL01">#REF!</definedName>
    <definedName localSheetId="3" name="R27..">#REF!</definedName>
    <definedName localSheetId="12" name="papanII">#REF!</definedName>
    <definedName localSheetId="4" name="R10..">#REF!</definedName>
    <definedName localSheetId="40" name="LAP">#REF!</definedName>
    <definedName localSheetId="24" name="_______MMM02">#REF!</definedName>
    <definedName localSheetId="21" name="asbesgelombang">#REF!</definedName>
    <definedName localSheetId="21" name="Excel_BuiltIn_Print_Titles_1">#REF!</definedName>
    <definedName name="URAIAN98">#REF!</definedName>
    <definedName localSheetId="4" name="MAI">#REF!</definedName>
    <definedName localSheetId="27" name="B.Jambi">#REF!</definedName>
    <definedName localSheetId="36" name="__HAL1">#REF!</definedName>
    <definedName localSheetId="4" name="formica">#REF!</definedName>
    <definedName localSheetId="5" name="plastikaerator">#REF!</definedName>
    <definedName localSheetId="10" name="got">#REF!</definedName>
    <definedName localSheetId="18" name="ubinkeramikartistik1020">#REF!</definedName>
    <definedName name="platasbes6mm">#REF!</definedName>
    <definedName localSheetId="27" name="catmeni">#REF!</definedName>
    <definedName localSheetId="13" name="dempul">#REF!</definedName>
    <definedName localSheetId="5" name="gggg">#REF!</definedName>
    <definedName localSheetId="10" name="B.Jambi">#REF!</definedName>
    <definedName localSheetId="25" name="FORMLatasirKL">#REF!</definedName>
    <definedName localSheetId="25" name="MMM17A">#REF!</definedName>
    <definedName localSheetId="24" name="_MMM23">#REF!</definedName>
    <definedName localSheetId="5" name="rincian">#REF!</definedName>
    <definedName localSheetId="15" name="sealent">#REF!</definedName>
    <definedName localSheetId="12" name="tanahliat">#REF!</definedName>
    <definedName localSheetId="19" name="GRC">#REF!</definedName>
    <definedName localSheetId="24" name="______MMM31">#REF!</definedName>
    <definedName name="________DIV9">#REF!</definedName>
    <definedName localSheetId="15" name="klosetjongkok">#REF!</definedName>
    <definedName localSheetId="10" name="plintkeramikartistik1020">#REF!</definedName>
    <definedName localSheetId="24" name="pasirbeton">#REF!</definedName>
    <definedName localSheetId="3" name="_______LLL10">#REF!</definedName>
    <definedName name="ppnm">#REF!</definedName>
    <definedName localSheetId="27" name="bondbeam">#REF!</definedName>
    <definedName localSheetId="23" name="KT">#REF!</definedName>
    <definedName localSheetId="11" name="URAIAN22E">#REF!</definedName>
    <definedName localSheetId="33" name="ubingranito40">#REF!</definedName>
    <definedName localSheetId="5" name="papanbulian">#REF!</definedName>
    <definedName localSheetId="38" name="Uraian8410">#REF!</definedName>
    <definedName localSheetId="42" name="karpetwooldannilon">#REF!</definedName>
    <definedName localSheetId="13" name="___pvc3">#REF!</definedName>
    <definedName localSheetId="7" name="URAIAN7610">#REF!</definedName>
    <definedName localSheetId="5" name="ASET">#REF!</definedName>
    <definedName localSheetId="34" name="medan5.7">#REF!</definedName>
    <definedName localSheetId="17" name="kali">#REF!</definedName>
    <definedName localSheetId="27" name="gymfloor">#REF!</definedName>
    <definedName localSheetId="30" name="URAIAN22L">#REF!</definedName>
    <definedName localSheetId="7" name="_MMM21">#REF!</definedName>
    <definedName localSheetId="10" name="pasirsilika">#REF!</definedName>
    <definedName localSheetId="21" name="kategori">#REF!</definedName>
    <definedName localSheetId="32" name="seng30">#REF!</definedName>
    <definedName localSheetId="32" name="k.ddg.rmn.20.25.pls">#REF!</definedName>
    <definedName localSheetId="7" name="________MMM32">#REF!</definedName>
    <definedName localSheetId="39" name="f.drain">#REF!</definedName>
    <definedName localSheetId="33" name="URAIAN7614b">#REF!</definedName>
    <definedName localSheetId="36" name="yyyyyyy">#REF!</definedName>
    <definedName localSheetId="21" name="vernis">#REF!</definedName>
    <definedName localSheetId="7" name="URAIAN7614a">#REF!</definedName>
    <definedName localSheetId="0" name="FORM771c">#REF!</definedName>
    <definedName localSheetId="19" name="KTM">#REF!</definedName>
    <definedName localSheetId="36" name="kawatnyamuk">#REF!</definedName>
    <definedName localSheetId="42" name="URAIAN7614b">#REF!</definedName>
    <definedName localSheetId="17" name="FORM721">#REF!</definedName>
    <definedName localSheetId="3" name="rtrt">#REF!</definedName>
    <definedName localSheetId="40" name="tpipa">#REF!</definedName>
    <definedName localSheetId="31" name="p.triplek">#REF!</definedName>
    <definedName localSheetId="18" name="panelbetonpracetak">#REF!</definedName>
    <definedName localSheetId="34" name="kenek">#REF!</definedName>
    <definedName localSheetId="44" name="_______MMM28">#REF!</definedName>
    <definedName localSheetId="8" name="sengplatbjls25">#REF!</definedName>
    <definedName localSheetId="28" name="kayukulim">#REF!</definedName>
    <definedName localSheetId="9" name="split1.2">#REF!</definedName>
    <definedName localSheetId="9" name="_______DIV1">#REF!</definedName>
    <definedName localSheetId="44" name="________MMM41">#REF!</definedName>
    <definedName name="___MMM10">#REF!</definedName>
    <definedName localSheetId="15" name="platasbes4mm">#REF!</definedName>
    <definedName localSheetId="36" name="besipresstressedpolos">#REF!</definedName>
    <definedName localSheetId="38" name="FORM7613a">#REF!</definedName>
    <definedName localSheetId="21" name="ubinteraluxmarmer60">#REF!</definedName>
    <definedName localSheetId="21" name="______MMM24">#REF!</definedName>
    <definedName localSheetId="23" name="kunciselot">#REF!</definedName>
    <definedName localSheetId="11" name="asbesgelombnang">#REF!</definedName>
    <definedName localSheetId="15" name="sssssss">#REF!</definedName>
    <definedName localSheetId="15" name="siap1">#REF!</definedName>
    <definedName localSheetId="3" name="_____MMM27">#REF!</definedName>
    <definedName localSheetId="27" name="BPS">#REF!</definedName>
    <definedName localSheetId="42" name="___HAL1">#REF!</definedName>
    <definedName localSheetId="8" name="___MMM01">#REF!</definedName>
    <definedName localSheetId="28" name="bubungangentengkodok">#REF!</definedName>
    <definedName localSheetId="38" name="doorstop">#REF!</definedName>
    <definedName localSheetId="25" name="________DIV10">#REF!</definedName>
    <definedName localSheetId="32" name="drkeet">#REF!</definedName>
    <definedName localSheetId="12" name="tanggal">#REF!</definedName>
    <definedName localSheetId="3" name="plastikaerator">#REF!</definedName>
    <definedName localSheetId="21" name="___MMM45">#REF!</definedName>
    <definedName localSheetId="12" name="kayukudakuda">#REF!</definedName>
    <definedName localSheetId="34" name="KECAMATAN_KODEOHA">#REF!</definedName>
    <definedName localSheetId="34" name="URAIAN631">#REF!</definedName>
    <definedName localSheetId="21" name="Analisa634">#REF!</definedName>
    <definedName localSheetId="23" name="bak">#REF!</definedName>
    <definedName localSheetId="38" name="plastik">#REF!</definedName>
    <definedName localSheetId="33" name="seng25">#REF!</definedName>
    <definedName localSheetId="24" name="R20..">#REF!</definedName>
    <definedName localSheetId="21" name="R28..">#REF!</definedName>
    <definedName localSheetId="17" name="_MMM10">#REF!</definedName>
    <definedName localSheetId="6" name="Catbesi">#REF!</definedName>
    <definedName localSheetId="3" name="_pvc3">#REF!</definedName>
    <definedName localSheetId="24" name="_______MMM47">#REF!</definedName>
    <definedName localSheetId="33" name="tegelporselen">#REF!</definedName>
    <definedName localSheetId="13" name="k.beton">#REF!</definedName>
    <definedName localSheetId="31" name="ttnh">#REF!</definedName>
    <definedName localSheetId="18" name="pakubiasa">#REF!</definedName>
    <definedName localSheetId="32" name="R5..">#REF!</definedName>
    <definedName localSheetId="7" name="_______MMM22">#REF!</definedName>
    <definedName localSheetId="31" name="_____MMM03">#REF!</definedName>
    <definedName localSheetId="21" name="____MMM411">#REF!</definedName>
    <definedName localSheetId="9" name="multi.18">#REF!</definedName>
    <definedName localSheetId="24" name="besijaringkawatbaja">#REF!</definedName>
    <definedName localSheetId="24" name="_pvc3">#REF!</definedName>
    <definedName localSheetId="10" name="LAINLAIN">#REF!</definedName>
    <definedName localSheetId="13" name="grassblok">#REF!</definedName>
    <definedName localSheetId="31" name="u">#REF!</definedName>
    <definedName localSheetId="21" name="__MMM06">#REF!</definedName>
    <definedName localSheetId="27" name="__LLL02">#REF!</definedName>
    <definedName localSheetId="27" name="ubinkeramik1515">#REF!</definedName>
    <definedName localSheetId="32" name="URAIAN7610">#REF!</definedName>
    <definedName localSheetId="5" name="plesteran13">#REF!</definedName>
    <definedName localSheetId="40" name="R61..">#REF!</definedName>
    <definedName localSheetId="8" name="___DIV4">#REF!</definedName>
    <definedName localSheetId="31" name="___pvc2">#REF!</definedName>
    <definedName localSheetId="44" name="_______MMM34">#REF!</definedName>
    <definedName localSheetId="33" name="panelbetonpracetak">#REF!</definedName>
    <definedName localSheetId="19" name="pijar15">#REF!</definedName>
    <definedName localSheetId="18" name="kran.ddg">#REF!</definedName>
    <definedName localSheetId="9" name="papanbekisting">#REF!</definedName>
    <definedName localSheetId="17" name="________MMM44">#REF!</definedName>
    <definedName localSheetId="4" name="kawatharmonika">#REF!</definedName>
    <definedName localSheetId="5" name="_________MMM03">#REF!</definedName>
    <definedName localSheetId="24" name="_______MMM46">#REF!</definedName>
    <definedName localSheetId="21" name="_____MMM08">#REF!</definedName>
    <definedName localSheetId="42" name="batamerah">#REF!</definedName>
    <definedName localSheetId="11" name="kunciselot">#REF!</definedName>
    <definedName localSheetId="44" name="kuncitanamantik">#REF!</definedName>
    <definedName localSheetId="28" name="jki">#REF!</definedName>
    <definedName localSheetId="0" name="DUDI">#REF!</definedName>
    <definedName localSheetId="3" name="Analisa661">#REF!</definedName>
    <definedName localSheetId="10" name="batamerah">#REF!</definedName>
    <definedName localSheetId="12" name="rubbercorrugate">#REF!</definedName>
    <definedName localSheetId="19" name="Kunci1">#REF!</definedName>
    <definedName localSheetId="44" name="______HAL1">#REF!</definedName>
    <definedName localSheetId="19" name="FORM732">#REF!</definedName>
    <definedName localSheetId="8" name="R10..">#REF!</definedName>
    <definedName localSheetId="25" name="tegelporselen10x20warna">#REF!</definedName>
    <definedName localSheetId="0" name="Skrup">#REF!</definedName>
    <definedName localSheetId="17" name="mlex.w">#REF!</definedName>
    <definedName localSheetId="27" name="MINOR">#REF!</definedName>
    <definedName localSheetId="3" name="________HAL2">#REF!</definedName>
    <definedName localSheetId="39" name="___MMM01">#REF!</definedName>
    <definedName localSheetId="24" name="cattembok">#REF!</definedName>
    <definedName localSheetId="44" name="q">#REF!</definedName>
    <definedName localSheetId="4" name="springknip">#REF!</definedName>
    <definedName localSheetId="13" name="_pvc3">#REF!</definedName>
    <definedName localSheetId="9" name="besi13">#REF!</definedName>
    <definedName localSheetId="44" name="menibesi">#REF!</definedName>
    <definedName localSheetId="3" name="bubungangentengmonier">#REF!</definedName>
    <definedName localSheetId="21" name="waterstop230">#REF!</definedName>
    <definedName localSheetId="7" name="plintubinteraluxkerang1060">#REF!</definedName>
    <definedName localSheetId="13" name="FORM79mekanis">#REF!</definedName>
    <definedName localSheetId="31" name="gentengdecrabond">#REF!</definedName>
    <definedName name="papanbekisting">#REF!</definedName>
    <definedName localSheetId="32" name="BAHU">#REF!</definedName>
    <definedName localSheetId="31" name="kawatburung">#REF!</definedName>
    <definedName localSheetId="33" name="pakusumbat">#REF!</definedName>
    <definedName localSheetId="24" name="aanstamping">#REF!</definedName>
    <definedName localSheetId="8" name="kaca5">#REF!</definedName>
    <definedName localSheetId="20" name="R10..">#REF!</definedName>
    <definedName localSheetId="8" name="pasirpas">#REF!</definedName>
    <definedName localSheetId="24" name="FORM910">#REF!</definedName>
    <definedName localSheetId="19" name="______MMM03">#REF!</definedName>
    <definedName localSheetId="21" name="keramik30x30">#REF!</definedName>
    <definedName localSheetId="38" name="leni">#REF!</definedName>
    <definedName localSheetId="33" name="__pvc105">#REF!</definedName>
    <definedName localSheetId="34" name="Analisa55">#REF!</definedName>
    <definedName localSheetId="13" name="pipatanah">#REF!</definedName>
    <definedName localSheetId="15" name="drainase">#REF!</definedName>
    <definedName localSheetId="7" name="q">#REF!</definedName>
    <definedName localSheetId="33" name="borneo5.10">#REF!</definedName>
    <definedName localSheetId="19" name="FORM7612b">#REF!</definedName>
    <definedName localSheetId="21" name="batutempelhitam">#REF!</definedName>
    <definedName localSheetId="15" name="jki">#REF!</definedName>
    <definedName localSheetId="17" name="_________HAL8">#REF!</definedName>
    <definedName localSheetId="44" name="R90..">#REF!</definedName>
    <definedName localSheetId="8" name="_____DIV3">#REF!</definedName>
    <definedName localSheetId="23" name="tl2x40">#REF!</definedName>
    <definedName name="_______HAL1">#REF!</definedName>
    <definedName localSheetId="31" name="rooflightfiibreglass">#REF!</definedName>
    <definedName localSheetId="44" name="____DIV5">#REF!</definedName>
    <definedName localSheetId="39" name="R6..">#REF!</definedName>
    <definedName localSheetId="17" name="___MMM12">#REF!</definedName>
    <definedName localSheetId="21" name="R65..">#REF!</definedName>
    <definedName localSheetId="25" name="coveartistik">#REF!</definedName>
    <definedName localSheetId="27" name="kawatharmonika">#REF!</definedName>
    <definedName localSheetId="7" name="____LLL09">#REF!</definedName>
    <definedName localSheetId="19" name="seng30">#REF!</definedName>
    <definedName localSheetId="33" name="___pvc2">#REF!</definedName>
    <definedName localSheetId="42" name="sengplatbjls28">#REF!</definedName>
    <definedName localSheetId="40" name="Papanbouplank">#REF!</definedName>
    <definedName localSheetId="25" name="bouwplnk">#REF!</definedName>
    <definedName localSheetId="27" name="_______DIV3">#REF!</definedName>
    <definedName localSheetId="17" name="FORM771a">#REF!</definedName>
    <definedName localSheetId="41" name="sealer">#REF!</definedName>
    <definedName localSheetId="9" name="plintubinteraluxkerang1040">#REF!</definedName>
    <definedName localSheetId="21" name="BAHU">#REF!</definedName>
    <definedName localSheetId="3" name="plintubinteraluxkerang1040">#REF!</definedName>
    <definedName localSheetId="23" name="ubinteraso40">#REF!</definedName>
    <definedName localSheetId="24" name="________LLL07">#REF!</definedName>
    <definedName localSheetId="5" name="_____MMM03">#REF!</definedName>
    <definedName localSheetId="25" name="_PC50">#REF!</definedName>
    <definedName localSheetId="15" name="KunciPintu">#REF!</definedName>
    <definedName localSheetId="13" name="kayukruing">#REF!</definedName>
    <definedName localSheetId="42" name="MINOR">#REF!</definedName>
    <definedName localSheetId="44" name="lp">#REF!</definedName>
    <definedName localSheetId="39" name="URAIAN7613c">#REF!</definedName>
    <definedName localSheetId="12" name="pengencer">#REF!</definedName>
    <definedName localSheetId="19" name="plintkeramikartistik520">#REF!</definedName>
    <definedName localSheetId="23" name="_____MMM03">#REF!</definedName>
    <definedName localSheetId="7" name="__MMM26">#REF!</definedName>
    <definedName localSheetId="39" name="_LLL02">#REF!</definedName>
    <definedName localSheetId="40" name="___pvc3">#REF!</definedName>
    <definedName localSheetId="34" name="_DIV10">#REF!</definedName>
    <definedName localSheetId="36" name="atapaluminiumgelombang055">#REF!</definedName>
    <definedName localSheetId="38" name="Excel_BuiltIn_Print_Area_1">#REF!</definedName>
    <definedName localSheetId="8" name="doorcloser">#REF!</definedName>
    <definedName localSheetId="3" name="plintubinpcabuabu1520">#REF!</definedName>
    <definedName localSheetId="21" name="medan6.12">#REF!</definedName>
    <definedName localSheetId="34" name="R100..">#REF!</definedName>
    <definedName localSheetId="24" name="___DIV9">#REF!</definedName>
    <definedName localSheetId="8" name="Uraian841">#REF!</definedName>
    <definedName localSheetId="33" name="tegel20">#REF!</definedName>
    <definedName localSheetId="0" name="catantara">#REF!</definedName>
    <definedName localSheetId="34" name="k.ddg.rmn.20.25.pls">#REF!</definedName>
    <definedName localSheetId="17" name="__DIV5">#REF!</definedName>
    <definedName localSheetId="7" name="___MMM19">#REF!</definedName>
    <definedName localSheetId="19" name="kayukudakuda">#REF!</definedName>
    <definedName localSheetId="38" name="lis">#REF!</definedName>
    <definedName localSheetId="6" name="paving">#REF!</definedName>
    <definedName localSheetId="9" name="u.bekisting">#REF!</definedName>
    <definedName localSheetId="17" name="gentengmetal">#REF!</definedName>
    <definedName name="________DIV8">#REF!</definedName>
    <definedName localSheetId="19" name="psr.trs">#REF!</definedName>
    <definedName localSheetId="39" name="teakwood4mm">#REF!</definedName>
    <definedName localSheetId="8" name="sdg">#REF!</definedName>
    <definedName localSheetId="42" name="Nok">#REF!</definedName>
    <definedName localSheetId="34" name="plintkeramikartistik520">#REF!</definedName>
    <definedName localSheetId="24" name="___MMM16">#REF!</definedName>
    <definedName localSheetId="13" name="URAIAN7614a">#REF!</definedName>
    <definedName localSheetId="40" name="sdg">#REF!</definedName>
    <definedName localSheetId="17" name="gentengpalentong">#REF!</definedName>
    <definedName localSheetId="8" name="_kop6">#REF!</definedName>
    <definedName localSheetId="3" name="_MMM53">#REF!</definedName>
    <definedName localSheetId="31" name="kalkarium">#REF!</definedName>
    <definedName localSheetId="42" name="ktbs">#REF!</definedName>
    <definedName localSheetId="21" name="_________MMM33">#REF!</definedName>
    <definedName localSheetId="27" name="closedjongkok">#REF!</definedName>
    <definedName localSheetId="25" name="kayukruing">#REF!</definedName>
    <definedName localSheetId="36" name="Minyak">#REF!</definedName>
    <definedName localSheetId="34" name="B.Jambi">#REF!</definedName>
    <definedName localSheetId="23" name="kapursirih">#REF!</definedName>
    <definedName localSheetId="12" name="Pc.50">#REF!</definedName>
    <definedName localSheetId="38" name="u.bekisting">#REF!</definedName>
    <definedName localSheetId="36" name="DFFFGGG">#REF!</definedName>
    <definedName localSheetId="39" name="pddk">#REF!</definedName>
    <definedName localSheetId="27" name="_LLL02">#REF!</definedName>
    <definedName localSheetId="42" name="AGREGAT">#REF!</definedName>
    <definedName localSheetId="39" name="split1.2">#REF!</definedName>
    <definedName localSheetId="31" name="BPS">#REF!</definedName>
    <definedName localSheetId="17" name="_pc40">#REF!</definedName>
    <definedName localSheetId="38" name="na">#REF!</definedName>
    <definedName localSheetId="0" name="P">#REF!</definedName>
    <definedName localSheetId="34" name="c.maxi">#REF!</definedName>
    <definedName localSheetId="10" name="Meni">#REF!</definedName>
    <definedName localSheetId="24" name="____MMM32">#REF!</definedName>
    <definedName localSheetId="34" name="kapursirih">#REF!</definedName>
    <definedName name="_MMM50">#REF!</definedName>
    <definedName localSheetId="41" name="split2.3">#REF!</definedName>
    <definedName localSheetId="44" name="R52..">#REF!</definedName>
    <definedName localSheetId="44" name="__MMM48">#REF!</definedName>
    <definedName localSheetId="9" name="KTM">#REF!</definedName>
    <definedName localSheetId="3" name="_MMM08">#REF!</definedName>
    <definedName localSheetId="4" name="batugranito">#REF!</definedName>
    <definedName localSheetId="42" name="Fak">#REF!</definedName>
    <definedName localSheetId="44" name="BPS">#REF!</definedName>
    <definedName localSheetId="5" name="pijar15">#REF!</definedName>
    <definedName localSheetId="44" name="___MMM41">#REF!</definedName>
    <definedName name="____MMM21">#REF!</definedName>
    <definedName localSheetId="41" name="penduduk">#REF!</definedName>
    <definedName localSheetId="24" name="c.vinilex.dlm">#REF!</definedName>
    <definedName localSheetId="17" name="___MMM03">#REF!</definedName>
    <definedName localSheetId="33" name="__LLL03">#REF!</definedName>
    <definedName localSheetId="32" name="tlistrik">#REF!</definedName>
    <definedName localSheetId="9" name="_____MMM01">#REF!</definedName>
    <definedName localSheetId="7" name="grendel4">#REF!</definedName>
    <definedName localSheetId="24" name="_____LLL03">#REF!</definedName>
    <definedName localSheetId="24" name="_MMM19">#REF!</definedName>
    <definedName localSheetId="21" name="penduduk">#REF!</definedName>
    <definedName localSheetId="8" name="hd">#REF!</definedName>
    <definedName localSheetId="34" name="FORM66PERATA">#REF!</definedName>
    <definedName localSheetId="15" name="koralbeton">#REF!</definedName>
    <definedName localSheetId="15" name="e">#REF!</definedName>
    <definedName localSheetId="28" name="ls">#REF!</definedName>
    <definedName localSheetId="20" name="roll">#REF!</definedName>
    <definedName localSheetId="39" name="URAIAN631">#REF!</definedName>
    <definedName localSheetId="21" name="_____MMM31">#REF!</definedName>
    <definedName name="FORM771a">#REF!</definedName>
    <definedName localSheetId="27" name="ubinkeramikartistik1010">#REF!</definedName>
    <definedName name="_kop5">#REF!</definedName>
    <definedName localSheetId="25" name="R51..">#REF!</definedName>
    <definedName localSheetId="0" name="___pc50">#REF!</definedName>
    <definedName localSheetId="41" name="plesteran13">#REF!</definedName>
    <definedName localSheetId="18" name="FORM7612a">#REF!</definedName>
    <definedName localSheetId="19" name="FORM771a">#REF!</definedName>
    <definedName localSheetId="28" name="FORM611">#REF!</definedName>
    <definedName localSheetId="5" name="Batupuru">#REF!</definedName>
    <definedName localSheetId="41" name="sengplatbjls24">#REF!</definedName>
    <definedName localSheetId="27" name="kunci1slag">#REF!</definedName>
    <definedName localSheetId="19" name="R2..">#REF!</definedName>
    <definedName localSheetId="40" name="gali">#REF!</definedName>
    <definedName localSheetId="9" name="grassblok">#REF!</definedName>
    <definedName localSheetId="21" name="________HAL5">#REF!</definedName>
    <definedName localSheetId="28" name="_DIV2">#REF!</definedName>
    <definedName localSheetId="17" name="JL_NAS">#REF!</definedName>
    <definedName localSheetId="15" name="____DIV2">#REF!</definedName>
    <definedName localSheetId="44" name="URAIAN96">#REF!</definedName>
    <definedName localSheetId="24" name="kolombetonpracetak">#REF!</definedName>
    <definedName name="___HAL2">#REF!</definedName>
    <definedName name="________DIV7">#REF!</definedName>
    <definedName localSheetId="30" name="_______DIV1">#REF!</definedName>
    <definedName localSheetId="11" name="______HAL1">#REF!</definedName>
    <definedName localSheetId="9" name="FORM79manual">#REF!</definedName>
    <definedName localSheetId="42" name="u.besi">#REF!</definedName>
    <definedName localSheetId="15" name="parquetjati">#REF!</definedName>
    <definedName localSheetId="21" name="kusen">#REF!</definedName>
    <definedName localSheetId="30" name="bubunganasbesgelombang">#REF!</definedName>
    <definedName localSheetId="36" name="SUNGAI_BERTAM">#REF!</definedName>
    <definedName localSheetId="7" name="gali">#REF!</definedName>
    <definedName localSheetId="0" name="air">#REF!</definedName>
    <definedName localSheetId="19" name="___MMM01">#REF!</definedName>
    <definedName localSheetId="5" name="kacacermin5">#REF!</definedName>
    <definedName localSheetId="36" name="________DIV4">#REF!</definedName>
    <definedName localSheetId="31" name="plintubinteraluxkerang1060">#REF!</definedName>
    <definedName name="________LLL08">#REF!</definedName>
    <definedName localSheetId="40" name="Tbs">#REF!</definedName>
    <definedName localSheetId="0" name="Faktor">#REF!</definedName>
    <definedName localSheetId="6" name="pengencer">#REF!</definedName>
    <definedName localSheetId="0" name="vinylkaret3030">#REF!</definedName>
    <definedName localSheetId="33" name="plintubinteraluxkerang1060">#REF!</definedName>
    <definedName localSheetId="40" name="kompresor">#REF!</definedName>
    <definedName localSheetId="18" name="__HAL3">#REF!</definedName>
    <definedName localSheetId="8" name="___pc50">#REF!</definedName>
    <definedName localSheetId="6" name="FORM7613b">#REF!</definedName>
    <definedName localSheetId="32" name="kenek">#REF!</definedName>
    <definedName localSheetId="21" name="Print_Area_MI">#REF!</definedName>
    <definedName localSheetId="5" name="vinylkaretklII">#REF!</definedName>
    <definedName localSheetId="7" name="____MMM06">#REF!</definedName>
    <definedName localSheetId="32" name="plintubinteraluxmarmer1040">#REF!</definedName>
    <definedName localSheetId="4" name="besipresstressedpolos">#REF!</definedName>
    <definedName localSheetId="15" name="asbesgelombang">#REF!</definedName>
    <definedName localSheetId="17" name="__MMM50">#REF!</definedName>
    <definedName localSheetId="19" name="kmp.banjar">#REF!</definedName>
    <definedName localSheetId="27" name="venetionblinds">#REF!</definedName>
    <definedName localSheetId="20" name="batuteraso">#REF!</definedName>
    <definedName localSheetId="18" name="tegel20">#REF!</definedName>
    <definedName localSheetId="25" name="Excel_BuiltIn_Print_Area_10">#REF!</definedName>
    <definedName localSheetId="7" name="___MMM08">#REF!</definedName>
    <definedName localSheetId="41" name="________HAL2">#REF!</definedName>
    <definedName localSheetId="39" name="__LLL03">#REF!</definedName>
    <definedName localSheetId="13" name="catpenutup">#REF!</definedName>
    <definedName localSheetId="36" name="siap1">#REF!</definedName>
    <definedName localSheetId="30" name="split1.2">#REF!</definedName>
    <definedName localSheetId="24" name="plintubinpcabuabu1030">#REF!</definedName>
    <definedName localSheetId="44" name="beton.225m">#REF!</definedName>
    <definedName localSheetId="27" name="reng">#REF!</definedName>
    <definedName localSheetId="5" name="Overhead">#REF!</definedName>
    <definedName localSheetId="34" name="pakugypsum">#REF!</definedName>
    <definedName localSheetId="13" name="washtafel">#REF!</definedName>
    <definedName localSheetId="24" name="__DIV6">#REF!</definedName>
    <definedName localSheetId="24" name="_________MMM53">#REF!</definedName>
    <definedName localSheetId="15" name="zzz">#REF!</definedName>
    <definedName localSheetId="5" name="___MMM01">#REF!</definedName>
    <definedName localSheetId="0" name="vinylasbes">#REF!</definedName>
    <definedName localSheetId="13" name="bubunganasbesnok">#REF!</definedName>
    <definedName localSheetId="12" name="kran.bbk">#REF!</definedName>
    <definedName name="______MMM27">#REF!</definedName>
    <definedName localSheetId="30" name="Per">#REF!</definedName>
    <definedName localSheetId="18" name="__LLL03">#REF!</definedName>
    <definedName localSheetId="9" name="___MMM02">#REF!</definedName>
    <definedName localSheetId="28" name="ktbs">#REF!</definedName>
    <definedName localSheetId="30" name="FRRDS">#REF!</definedName>
    <definedName localSheetId="11" name="cendana">#REF!</definedName>
    <definedName localSheetId="8" name="__DIV10">#REF!</definedName>
    <definedName localSheetId="34" name="FORM721">#REF!</definedName>
    <definedName localSheetId="20" name="bakcuciteraso">#REF!</definedName>
    <definedName localSheetId="18" name="grassblok">#REF!</definedName>
    <definedName name="kunci2slag">#REF!</definedName>
    <definedName localSheetId="21" name="_MMM31">#REF!</definedName>
    <definedName localSheetId="44" name="klosetjongkok">#REF!</definedName>
    <definedName localSheetId="18" name="FORM7613c">#REF!</definedName>
    <definedName localSheetId="36" name="k.ddg.20.25.rmn.crk">#REF!</definedName>
    <definedName localSheetId="34" name="URAIANLatasirK">#REF!</definedName>
    <definedName localSheetId="7" name="______MMM27">#REF!</definedName>
    <definedName localSheetId="39" name="Catbesi">#REF!</definedName>
    <definedName localSheetId="27" name="URAIAN631">#REF!</definedName>
    <definedName localSheetId="12" name="________HAL2">#REF!</definedName>
    <definedName localSheetId="13" name="roster">#REF!</definedName>
    <definedName localSheetId="24" name="________HAL4">#REF!</definedName>
    <definedName localSheetId="12" name="pakusumbat">#REF!</definedName>
    <definedName localSheetId="3" name="aa">#REF!</definedName>
    <definedName localSheetId="20" name="ubinkeramik1515">#REF!</definedName>
    <definedName localSheetId="12" name="FORM745">#REF!</definedName>
    <definedName localSheetId="21" name="_MMM411">#REF!</definedName>
    <definedName localSheetId="7" name="______LLL11">#REF!</definedName>
    <definedName localSheetId="3" name="Analisa71003">#REF!</definedName>
    <definedName localSheetId="38" name="kayumarsawa">#REF!</definedName>
    <definedName localSheetId="21" name="URAIAN735">#REF!</definedName>
    <definedName name="ARI">#REF!</definedName>
    <definedName localSheetId="13" name="NAMA2">#REF!</definedName>
    <definedName localSheetId="34" name="______DIV10">#REF!</definedName>
    <definedName localSheetId="41" name="perancahkayu">#REF!</definedName>
    <definedName localSheetId="3" name="_______MMM02">#REF!</definedName>
    <definedName localSheetId="24" name="pipabeton">#REF!</definedName>
    <definedName localSheetId="7" name="ppnm">#REF!</definedName>
    <definedName localSheetId="36" name="Papanbouplank">#REF!</definedName>
    <definedName localSheetId="17" name="___MMM51">#REF!</definedName>
    <definedName localSheetId="36" name="kacapolos3mm">#REF!</definedName>
    <definedName localSheetId="38" name="pakuhak15cm">#REF!</definedName>
    <definedName localSheetId="10" name="___HAL2">#REF!</definedName>
    <definedName localSheetId="13" name="pipagalvanis">#REF!</definedName>
    <definedName localSheetId="21" name="sirap">#REF!</definedName>
    <definedName localSheetId="31" name="___DIV4">#REF!</definedName>
    <definedName localSheetId="44" name="___MMM03">#REF!</definedName>
    <definedName localSheetId="12" name="Excel_BuiltIn_Print_Titles_10">#REF!</definedName>
    <definedName localSheetId="41" name="_LLL03">#REF!</definedName>
    <definedName localSheetId="8" name="FORM7614b">#REF!</definedName>
    <definedName localSheetId="5" name="G">#REF!</definedName>
    <definedName localSheetId="4" name="_________DIV2">#REF!</definedName>
    <definedName localSheetId="30" name="URAIAN771b">#REF!</definedName>
    <definedName name="___MMM08">#REF!</definedName>
    <definedName localSheetId="8" name="URAIAN745">#REF!</definedName>
    <definedName localSheetId="28" name="ss">#REF!</definedName>
    <definedName localSheetId="20" name="rapidrant">#REF!</definedName>
    <definedName localSheetId="11" name="ls">#REF!</definedName>
    <definedName localSheetId="20" name="dempul">#REF!</definedName>
    <definedName localSheetId="6" name="kran.ddg">#REF!</definedName>
    <definedName localSheetId="28" name="lis">#REF!</definedName>
    <definedName localSheetId="8" name="URAIAN7614b">#REF!</definedName>
    <definedName localSheetId="21" name="urugankembali">#REF!</definedName>
    <definedName localSheetId="19" name="Papanbouplank">#REF!</definedName>
    <definedName localSheetId="18" name="kayukruing">#REF!</definedName>
    <definedName localSheetId="39" name="URAIAN7614a">#REF!</definedName>
    <definedName localSheetId="3" name="multi.9">#REF!</definedName>
    <definedName localSheetId="24" name="ubinteraluxmarmer60">#REF!</definedName>
    <definedName localSheetId="40" name="cv">#REF!</definedName>
    <definedName localSheetId="4" name="tp80x80">#REF!</definedName>
    <definedName localSheetId="44" name="plintubinteraluxkerang1040">#REF!</definedName>
    <definedName localSheetId="21" name="ubinteraso40">#REF!</definedName>
    <definedName localSheetId="20" name="karpetwooldannilon">#REF!</definedName>
    <definedName localSheetId="24" name="__LLL11">#REF!</definedName>
    <definedName localSheetId="7" name="_DIV6">#REF!</definedName>
    <definedName localSheetId="18" name="___DIV1">#REF!</definedName>
    <definedName localSheetId="7" name="a">#REF!</definedName>
    <definedName localSheetId="30" name="kaca.p.5">#REF!</definedName>
    <definedName localSheetId="42" name="got">#REF!</definedName>
    <definedName localSheetId="3" name="RPHL">#REF!</definedName>
    <definedName localSheetId="44" name="_________HAL3">#REF!</definedName>
    <definedName localSheetId="17" name="R92..">#REF!</definedName>
    <definedName localSheetId="7" name="_____MMM33">#REF!</definedName>
    <definedName localSheetId="24" name="___MMM12">#REF!</definedName>
    <definedName localSheetId="27" name="NAMA3">#REF!</definedName>
    <definedName localSheetId="23" name="semenwarna">#REF!</definedName>
    <definedName localSheetId="18" name="Papanbouplank">#REF!</definedName>
    <definedName localSheetId="3" name="ASPAL">#REF!</definedName>
    <definedName localSheetId="11" name="______DIV3">#REF!</definedName>
    <definedName localSheetId="23" name="kacawireglass5">#REF!</definedName>
    <definedName localSheetId="21" name="_______HAL1">#REF!</definedName>
    <definedName localSheetId="41" name="P">#REF!</definedName>
    <definedName localSheetId="19" name="lis">#REF!</definedName>
    <definedName name="R48..">#REF!</definedName>
    <definedName localSheetId="30" name="___DIV2">#REF!</definedName>
    <definedName localSheetId="40" name="kacacermin6">#REF!</definedName>
    <definedName localSheetId="24" name="__LLL02">#REF!</definedName>
    <definedName localSheetId="36" name="papanjelutung">#REF!</definedName>
    <definedName name="btn">#REF!</definedName>
    <definedName localSheetId="24" name="__pvc05">#REF!</definedName>
    <definedName localSheetId="10" name="dua">#REF!</definedName>
    <definedName localSheetId="13" name="pagar2m">#REF!</definedName>
    <definedName localSheetId="15" name="ubingranito40">#REF!</definedName>
    <definedName localSheetId="40" name="Pjgsloof">#REF!</definedName>
    <definedName localSheetId="33" name="kali">#REF!</definedName>
    <definedName localSheetId="21" name="sunloid">#REF!</definedName>
    <definedName localSheetId="17" name="_____MMM14">#REF!</definedName>
    <definedName localSheetId="20" name="_______MMM03">#REF!</definedName>
    <definedName localSheetId="40" name="stairnzing">#REF!</definedName>
    <definedName localSheetId="17" name="Analisa70301">#REF!</definedName>
    <definedName localSheetId="41" name="medan5.10">#REF!</definedName>
    <definedName localSheetId="11" name="hollowblok">#REF!</definedName>
    <definedName localSheetId="6" name="__HAL5">#REF!</definedName>
    <definedName localSheetId="24" name="batuteraso">#REF!</definedName>
    <definedName localSheetId="24" name="________MMM09">#REF!</definedName>
    <definedName localSheetId="24" name="___LLL05">#REF!</definedName>
    <definedName localSheetId="27" name="beton.tumbuk">#REF!</definedName>
    <definedName localSheetId="39" name="kunci1slag">#REF!</definedName>
    <definedName localSheetId="18" name="sdg">#REF!</definedName>
    <definedName localSheetId="4" name="waterstop150">#REF!</definedName>
    <definedName localSheetId="12" name="_pp1">#REF!</definedName>
    <definedName localSheetId="42" name="FORM7612c">#REF!</definedName>
    <definedName localSheetId="24" name="lis">#REF!</definedName>
    <definedName localSheetId="44" name="sodaapi">#REF!</definedName>
    <definedName localSheetId="7" name="URAIAN636">#REF!</definedName>
    <definedName localSheetId="17" name="FORM841">#REF!</definedName>
    <definedName localSheetId="21" name="Analisa661">#REF!</definedName>
    <definedName localSheetId="11" name="Overhead">#REF!</definedName>
    <definedName localSheetId="7" name="tegelplinpc10x20">#REF!</definedName>
    <definedName localSheetId="27" name="URAIAN721">#REF!</definedName>
    <definedName localSheetId="18" name="R1..">#REF!</definedName>
    <definedName localSheetId="13" name="eeeeee">#REF!</definedName>
    <definedName localSheetId="20" name="medan3.4">#REF!</definedName>
    <definedName localSheetId="9" name="ubinwarna40">#REF!</definedName>
    <definedName localSheetId="44" name="URAIAN732">#REF!</definedName>
    <definedName localSheetId="44" name="besi16u">#REF!</definedName>
    <definedName localSheetId="18" name="feltexkarpetwool">#REF!</definedName>
    <definedName localSheetId="23" name="_pvc3">#REF!</definedName>
    <definedName localSheetId="41" name="UPAH">#REF!</definedName>
    <definedName localSheetId="7" name="FORM641L">#REF!</definedName>
    <definedName localSheetId="36" name="sealer">#REF!</definedName>
    <definedName localSheetId="8" name="NAMA3">#REF!</definedName>
    <definedName localSheetId="7" name="__DIV7">#REF!</definedName>
    <definedName localSheetId="27" name="FORM721">#REF!</definedName>
    <definedName name="_________LLL11">#REF!</definedName>
    <definedName localSheetId="28" name="kapursirih">#REF!</definedName>
    <definedName localSheetId="11" name="DUDI">#REF!</definedName>
    <definedName localSheetId="19" name="tegelpc20x20">#REF!</definedName>
    <definedName localSheetId="7" name="_________HAL4">#REF!</definedName>
    <definedName localSheetId="17" name="_MMM411">#REF!</definedName>
    <definedName localSheetId="36" name="kompresor">#REF!</definedName>
    <definedName localSheetId="17" name="Pc.50">#REF!</definedName>
    <definedName localSheetId="21" name="kacawireglass5">#REF!</definedName>
    <definedName localSheetId="3" name="gymfloor">#REF!</definedName>
    <definedName localSheetId="3" name="karpetwooldannilon">#REF!</definedName>
    <definedName localSheetId="38" name="R40..">#REF!</definedName>
    <definedName localSheetId="0" name="koralbeton">#REF!</definedName>
    <definedName localSheetId="23" name="FORM744">#REF!</definedName>
    <definedName localSheetId="7" name="k.zink">#REF!</definedName>
    <definedName localSheetId="6" name="URAIAN323L">#REF!</definedName>
    <definedName name="_DIV7">#REF!</definedName>
    <definedName localSheetId="3" name="URAIAN913">#REF!</definedName>
    <definedName name="_________HAL3">#REF!</definedName>
    <definedName name="_________LLL03">#REF!</definedName>
    <definedName localSheetId="18" name="springknip">#REF!</definedName>
    <definedName localSheetId="18" name="____MMM03">#REF!</definedName>
    <definedName localSheetId="27" name="catantara">#REF!</definedName>
    <definedName localSheetId="31" name="papan.m.3.20">#REF!</definedName>
    <definedName localSheetId="32" name="roll">#REF!</definedName>
    <definedName localSheetId="24" name="metal">#REF!</definedName>
    <definedName localSheetId="0" name="_LLL01">#REF!</definedName>
    <definedName localSheetId="21" name="stairnzing">#REF!</definedName>
    <definedName localSheetId="23" name="URAIAN323L">#REF!</definedName>
    <definedName localSheetId="41" name="______HAL1">#REF!</definedName>
    <definedName name="closet.jkok">#REF!</definedName>
    <definedName localSheetId="11" name="URAIAN721">#REF!</definedName>
    <definedName localSheetId="36" name="FORM745">#REF!</definedName>
    <definedName localSheetId="20" name="____DIV2">#REF!</definedName>
    <definedName localSheetId="24" name="kacacermin8">#REF!</definedName>
    <definedName localSheetId="11" name="____HAL3">#REF!</definedName>
    <definedName localSheetId="34" name="__LLL02">#REF!</definedName>
    <definedName name="e">#REF!</definedName>
    <definedName localSheetId="21" name="R52..">#REF!</definedName>
    <definedName localSheetId="44" name="tukng">#REF!</definedName>
    <definedName localSheetId="3" name="______MMM53">#REF!</definedName>
    <definedName localSheetId="12" name="kolombetonpracetak">#REF!</definedName>
    <definedName localSheetId="13" name="______HAL1">#REF!</definedName>
    <definedName localSheetId="21" name="bubungangentengpalentongbesar">#REF!</definedName>
    <definedName localSheetId="4" name="kacacermin8">#REF!</definedName>
    <definedName localSheetId="15" name="bak">#REF!</definedName>
    <definedName localSheetId="21" name="ubingranito40">#REF!</definedName>
    <definedName localSheetId="34" name="pintulipat">#REF!</definedName>
    <definedName localSheetId="32" name="wallpaper">#REF!</definedName>
    <definedName localSheetId="42" name="pasirpas">#REF!</definedName>
    <definedName localSheetId="32" name="stairnzing">#REF!</definedName>
    <definedName localSheetId="24" name="_________MMM37">#REF!</definedName>
    <definedName localSheetId="17" name="R37..">#REF!</definedName>
    <definedName localSheetId="25" name="p.triplek">#REF!</definedName>
    <definedName localSheetId="38" name="_________DIV2">#REF!</definedName>
    <definedName localSheetId="31" name="URAIAN79manual">#REF!</definedName>
    <definedName localSheetId="3" name="________LLL02">#REF!</definedName>
    <definedName localSheetId="8" name="R1..">#REF!</definedName>
    <definedName localSheetId="44" name="plintubinteraluxmarmer1030">#REF!</definedName>
    <definedName localSheetId="44" name="___HAL7">#REF!</definedName>
    <definedName localSheetId="0" name="_______HAL2">#REF!</definedName>
    <definedName localSheetId="38" name="kayutembesu">#REF!</definedName>
    <definedName localSheetId="24" name="Jendelabesibaja">#REF!</definedName>
    <definedName localSheetId="39" name="URAIAN7612a">#REF!</definedName>
    <definedName localSheetId="7" name="gentengbeton">#REF!</definedName>
    <definedName localSheetId="36" name="doorstop">#REF!</definedName>
    <definedName localSheetId="4" name="rooflightfiibreglass">#REF!</definedName>
    <definedName localSheetId="24" name="_____LLL04">#REF!</definedName>
    <definedName localSheetId="38" name="c.maxi">#REF!</definedName>
    <definedName localSheetId="41" name="pasirsilika">#REF!</definedName>
    <definedName localSheetId="6" name="JA">#REF!</definedName>
    <definedName localSheetId="18" name="_pvc2">#REF!</definedName>
    <definedName localSheetId="30" name="NAMA3">#REF!</definedName>
    <definedName name="__DIV3">#REF!</definedName>
    <definedName localSheetId="34" name="tl2x40">#REF!</definedName>
    <definedName localSheetId="36" name="_____DIV4">#REF!</definedName>
    <definedName localSheetId="28" name="kuncisilinder">#REF!</definedName>
    <definedName localSheetId="5" name="HP">#REF!</definedName>
    <definedName localSheetId="24" name="___LLL10">#REF!</definedName>
    <definedName localSheetId="4" name="tanahliat">#REF!</definedName>
    <definedName localSheetId="33" name="ubinkeramikartistik1010">#REF!</definedName>
    <definedName localSheetId="21" name="____DIV2">#REF!</definedName>
    <definedName localSheetId="42" name="kayualbasiah">#REF!</definedName>
    <definedName localSheetId="7" name="_________MMM04">#REF!</definedName>
    <definedName localSheetId="5" name="tegelplin20x20">#REF!</definedName>
    <definedName localSheetId="24" name="___MMM14">#REF!</definedName>
    <definedName name="ubinkeramik2525">#REF!</definedName>
    <definedName localSheetId="4" name="GUIIII">#REF!</definedName>
    <definedName localSheetId="28" name="FORM745">#REF!</definedName>
    <definedName localSheetId="41" name="washtafel">#REF!</definedName>
    <definedName localSheetId="36" name="vinylasbes">#REF!</definedName>
    <definedName localSheetId="15" name="R60..">#REF!</definedName>
    <definedName localSheetId="19" name="URAIAN7614a">#REF!</definedName>
    <definedName localSheetId="41" name="ubinteraso30">#REF!</definedName>
    <definedName localSheetId="18" name="DUDI">#REF!</definedName>
    <definedName localSheetId="44" name="tct">#REF!</definedName>
    <definedName localSheetId="20" name="profilalumuniumT">#REF!</definedName>
    <definedName localSheetId="23" name="_________HAL2">#REF!</definedName>
    <definedName localSheetId="21" name="R74..">#REF!</definedName>
    <definedName localSheetId="19" name="ppn2.30">#REF!</definedName>
    <definedName name="_______MMM45">#REF!</definedName>
    <definedName localSheetId="31" name="_______DIV10">#REF!</definedName>
    <definedName localSheetId="30" name="air">#REF!</definedName>
    <definedName localSheetId="28" name="pakugypsum">#REF!</definedName>
    <definedName localSheetId="32" name="plintubinteraluxkerang1040">#REF!</definedName>
    <definedName localSheetId="10" name="pijar15">#REF!</definedName>
    <definedName localSheetId="31" name="formica">#REF!</definedName>
    <definedName localSheetId="24" name="tegelplinteraso10x30">#REF!</definedName>
    <definedName localSheetId="17" name="medan3.4">#REF!</definedName>
    <definedName localSheetId="13" name="ktky">#REF!</definedName>
    <definedName localSheetId="15" name="URAIAN7612c">#REF!</definedName>
    <definedName localSheetId="18" name="URAIAN744">#REF!</definedName>
    <definedName localSheetId="17" name="________MMM08">#REF!</definedName>
    <definedName localSheetId="34" name="URAIAN323L">#REF!</definedName>
    <definedName localSheetId="10" name="URAIAN771b">#REF!</definedName>
    <definedName localSheetId="7" name="__MMM11">#REF!</definedName>
    <definedName localSheetId="40" name="aaaa">#REF!</definedName>
    <definedName localSheetId="17" name="___MMM02">#REF!</definedName>
    <definedName localSheetId="39" name="u.bekisting">#REF!</definedName>
    <definedName localSheetId="3" name="______MMM31">#REF!</definedName>
    <definedName localSheetId="21" name="RINCIANSEWA2">#REF!</definedName>
    <definedName localSheetId="27" name="BAHU">#REF!</definedName>
    <definedName localSheetId="28" name="tegelplin20x20">#REF!</definedName>
    <definedName localSheetId="17" name="kuas">#REF!</definedName>
    <definedName localSheetId="41" name="kuncisilinder">#REF!</definedName>
    <definedName localSheetId="27" name="____HAL3">#REF!</definedName>
    <definedName name="_______MMM02">#REF!</definedName>
    <definedName localSheetId="40" name="_DIV1">#REF!</definedName>
    <definedName localSheetId="9" name="doorholder">#REF!</definedName>
    <definedName localSheetId="21" name="_MMM50">#REF!</definedName>
    <definedName localSheetId="38" name="strorox">#REF!</definedName>
    <definedName localSheetId="17" name="R74..">#REF!</definedName>
    <definedName name="besi16sii">#REF!</definedName>
    <definedName localSheetId="21" name="URAIANLatasirK">#REF!</definedName>
    <definedName localSheetId="6" name="URAIAN7612a">#REF!</definedName>
    <definedName localSheetId="21" name="_________MMM11">#REF!</definedName>
    <definedName name="ubingranito40">#REF!</definedName>
    <definedName localSheetId="40" name="hd">#REF!</definedName>
    <definedName name="____MMM47">#REF!</definedName>
    <definedName localSheetId="36" name="aluminiumfoil">#REF!</definedName>
    <definedName localSheetId="21" name="URAIAN772a">#REF!</definedName>
    <definedName localSheetId="18" name="URAIAN">#REF!</definedName>
    <definedName localSheetId="11" name="ktbs">#REF!</definedName>
    <definedName localSheetId="24" name="__LLL05">#REF!</definedName>
    <definedName localSheetId="7" name="tegelporselen15x15warna">#REF!</definedName>
    <definedName localSheetId="24" name="URAIAN7613a">#REF!</definedName>
    <definedName localSheetId="19" name="_____MMM03">#REF!</definedName>
    <definedName localSheetId="40" name="spirtus">#REF!</definedName>
    <definedName localSheetId="28" name="ramset">#REF!</definedName>
    <definedName localSheetId="7" name="URAIAN914">#REF!</definedName>
    <definedName localSheetId="9" name="___DIV1">#REF!</definedName>
    <definedName localSheetId="3" name="URAIAN732">#REF!</definedName>
    <definedName localSheetId="17" name="__MMM27">#REF!</definedName>
    <definedName localSheetId="10" name="sementahanasam">#REF!</definedName>
    <definedName localSheetId="27" name="pintualuminium">#REF!</definedName>
    <definedName localSheetId="24" name="MMM35A">#REF!</definedName>
    <definedName localSheetId="39" name="Ktbt">#REF!</definedName>
    <definedName localSheetId="27" name="grassblok">#REF!</definedName>
    <definedName localSheetId="40" name="f.drain">#REF!</definedName>
    <definedName localSheetId="3" name="drkeet">#REF!</definedName>
    <definedName localSheetId="23" name="Nok">#REF!</definedName>
    <definedName localSheetId="13" name="gypsum.9">#REF!</definedName>
    <definedName localSheetId="28" name="______MMM03">#REF!</definedName>
    <definedName localSheetId="10" name="_______HAL1">#REF!</definedName>
    <definedName localSheetId="21" name="pasirbeton">#REF!</definedName>
    <definedName localSheetId="3" name="________MMM02">#REF!</definedName>
    <definedName localSheetId="3" name="_______MMM01">#REF!</definedName>
    <definedName localSheetId="30" name="____HAL2">#REF!</definedName>
    <definedName localSheetId="17" name="B.Publik">#REF!</definedName>
    <definedName localSheetId="7" name="_________MMM39">#REF!</definedName>
    <definedName localSheetId="17" name="tanahliat">#REF!</definedName>
    <definedName localSheetId="3" name="engsel3">#REF!</definedName>
    <definedName localSheetId="10" name="FORM732">#REF!</definedName>
    <definedName localSheetId="11" name="vernis">#REF!</definedName>
    <definedName localSheetId="42" name="sengplatbjls25">#REF!</definedName>
    <definedName localSheetId="38" name="a">#REF!</definedName>
    <definedName localSheetId="3" name="pipagalvanis">#REF!</definedName>
    <definedName localSheetId="33" name="_tl2">#REF!</definedName>
    <definedName localSheetId="30" name="plintubinwarna1040">#REF!</definedName>
    <definedName localSheetId="34" name="tegelplin20x20">#REF!</definedName>
    <definedName localSheetId="3" name="Uraian8410">#REF!</definedName>
    <definedName localSheetId="31" name="u.besi">#REF!</definedName>
    <definedName localSheetId="4" name="pakugypsum">#REF!</definedName>
    <definedName localSheetId="0" name="M">#REF!</definedName>
    <definedName localSheetId="13" name="a">#REF!</definedName>
    <definedName localSheetId="13" name="Aluminium">#REF!</definedName>
    <definedName localSheetId="44" name="FORM842">#REF!</definedName>
    <definedName localSheetId="5" name="pintusunscreenalluminium">#REF!</definedName>
    <definedName localSheetId="31" name="gali">#REF!</definedName>
    <definedName localSheetId="3" name="R2..">#REF!</definedName>
    <definedName localSheetId="12" name="yyyyyyy">#REF!</definedName>
    <definedName localSheetId="30" name="FORM745">#REF!</definedName>
    <definedName localSheetId="3" name="sssssss">#REF!</definedName>
    <definedName localSheetId="44" name="Uraian847">#REF!</definedName>
    <definedName name="Excel_BuiltIn_Print_Titles_10">#REF!</definedName>
    <definedName localSheetId="21" name="c.vinilex.dlm">#REF!</definedName>
    <definedName localSheetId="44" name="ubintahanasam">#REF!</definedName>
    <definedName localSheetId="13" name="stairnzing">#REF!</definedName>
    <definedName localSheetId="24" name="__DIV2">#REF!</definedName>
    <definedName localSheetId="33" name="FORM721">#REF!</definedName>
    <definedName localSheetId="15" name="DUDI">#REF!</definedName>
    <definedName localSheetId="21" name="begisting">#REF!</definedName>
    <definedName localSheetId="30" name="batapelapisdinding">#REF!</definedName>
    <definedName localSheetId="36" name="__MMM02">#REF!</definedName>
    <definedName localSheetId="18" name="beton225r">#REF!</definedName>
    <definedName name="pvc3d">#REF!</definedName>
    <definedName localSheetId="9" name="URAIAN744">#REF!</definedName>
    <definedName localSheetId="17" name="Kurs">#REF!</definedName>
    <definedName localSheetId="44" name="___MMM17">#REF!</definedName>
    <definedName localSheetId="4" name="papanII">#REF!</definedName>
    <definedName localSheetId="34" name="Closet.ddk">#REF!</definedName>
    <definedName localSheetId="24" name="_____DIV8">#REF!</definedName>
    <definedName localSheetId="18" name="FORM7613b">#REF!</definedName>
    <definedName localSheetId="38" name="Tbt">#REF!</definedName>
    <definedName localSheetId="0" name="____DIV3">#REF!</definedName>
    <definedName name="FORM731">#REF!</definedName>
    <definedName localSheetId="25" name="FORM633">#REF!</definedName>
    <definedName localSheetId="36" name="plintubinteraso1030">#REF!</definedName>
    <definedName localSheetId="3" name="____MMM25">#REF!</definedName>
    <definedName localSheetId="33" name="dd">#REF!</definedName>
    <definedName localSheetId="34" name="y">#REF!</definedName>
    <definedName localSheetId="36" name="_______MMM01">#REF!</definedName>
    <definedName localSheetId="36" name="catantara">#REF!</definedName>
    <definedName localSheetId="17" name="borneo6.12">#REF!</definedName>
    <definedName localSheetId="28" name="split1.2">#REF!</definedName>
    <definedName name="plintubinteraluxmarmer1030">#REF!</definedName>
    <definedName localSheetId="4" name="_DIV4">#REF!</definedName>
    <definedName localSheetId="11" name="teakwood9mm">#REF!</definedName>
    <definedName localSheetId="7" name="_____MMM45">#REF!</definedName>
    <definedName localSheetId="17" name="________MMM15">#REF!</definedName>
    <definedName localSheetId="31" name="_HAL1">#REF!</definedName>
    <definedName localSheetId="7" name="____MMM18">#REF!</definedName>
    <definedName localSheetId="3" name="___MMM07">#REF!</definedName>
    <definedName localSheetId="24" name="________MMM21">#REF!</definedName>
    <definedName localSheetId="21" name="_________MMM27">#REF!</definedName>
    <definedName localSheetId="25" name="____DIV1">#REF!</definedName>
    <definedName localSheetId="24" name="_____LLL08">#REF!</definedName>
    <definedName localSheetId="36" name="plywood4mm">#REF!</definedName>
    <definedName localSheetId="0" name="yyyyyyy">#REF!</definedName>
    <definedName localSheetId="3" name="_____MMM02">#REF!</definedName>
    <definedName localSheetId="11" name="rubbercorrugate">#REF!</definedName>
    <definedName localSheetId="21" name="_______MMM49">#REF!</definedName>
    <definedName localSheetId="10" name="roll">#REF!</definedName>
    <definedName localSheetId="23" name="kuncilemari">#REF!</definedName>
    <definedName localSheetId="24" name="wwww">#REF!</definedName>
    <definedName localSheetId="39" name="_MMM01">#REF!</definedName>
    <definedName localSheetId="40" name="bubungangentengbesar">#REF!</definedName>
    <definedName localSheetId="44" name="ubinkeramikartistik1020">#REF!</definedName>
    <definedName localSheetId="44" name="_________LLL07">#REF!</definedName>
    <definedName localSheetId="25" name="kawatnyamuk">#REF!</definedName>
    <definedName localSheetId="20" name="plywood6mm">#REF!</definedName>
    <definedName localSheetId="40" name="BPS">#REF!</definedName>
    <definedName localSheetId="7" name="R28..">#REF!</definedName>
    <definedName localSheetId="24" name="___MMM28">#REF!</definedName>
    <definedName localSheetId="28" name="Excel_BuiltIn_Print_Titles_2">#REF!</definedName>
    <definedName localSheetId="8" name="____MMM03">#REF!</definedName>
    <definedName localSheetId="7" name="R3..">#REF!</definedName>
    <definedName localSheetId="12" name="Batupuru">#REF!</definedName>
    <definedName localSheetId="10" name="batugranito">#REF!</definedName>
    <definedName localSheetId="38" name="seng30">#REF!</definedName>
    <definedName localSheetId="3" name="nnnnn">#REF!</definedName>
    <definedName localSheetId="21" name="__MMM52">#REF!</definedName>
    <definedName localSheetId="10" name="_______DIV3">#REF!</definedName>
    <definedName localSheetId="32" name="MAI">#REF!</definedName>
    <definedName localSheetId="30" name="___pvc05">#REF!</definedName>
    <definedName localSheetId="9" name="_____HAL1">#REF!</definedName>
    <definedName localSheetId="18" name="formica">#REF!</definedName>
    <definedName localSheetId="42" name="_____MMM03">#REF!</definedName>
    <definedName localSheetId="30" name="menibesi">#REF!</definedName>
    <definedName localSheetId="38" name="pakusumbat">#REF!</definedName>
    <definedName localSheetId="11" name="________HAL3">#REF!</definedName>
    <definedName localSheetId="7" name="R5..">#REF!</definedName>
    <definedName localSheetId="30" name="URAIAN21">#REF!</definedName>
    <definedName localSheetId="40" name="Lamp">#REF!</definedName>
    <definedName localSheetId="8" name="gentengdecrabond">#REF!</definedName>
    <definedName localSheetId="40" name="Nok">#REF!</definedName>
    <definedName localSheetId="15" name="______HAL2">#REF!</definedName>
    <definedName localSheetId="3" name="strorox">#REF!</definedName>
    <definedName localSheetId="20" name="dasar">#REF!</definedName>
    <definedName localSheetId="30" name="____MMM01">#REF!</definedName>
    <definedName localSheetId="44" name="FORM744">#REF!</definedName>
    <definedName localSheetId="11" name="kapursirih">#REF!</definedName>
    <definedName localSheetId="12" name="Gypsum">#REF!</definedName>
    <definedName localSheetId="6" name="________HAL1">#REF!</definedName>
    <definedName localSheetId="33" name="plintubinteraluxmarmer1040">#REF!</definedName>
    <definedName localSheetId="8" name="gali">#REF!</definedName>
    <definedName localSheetId="21" name="_________MMM48">#REF!</definedName>
    <definedName localSheetId="13" name="plesteran13">#REF!</definedName>
    <definedName localSheetId="17" name="______DIV9">#REF!</definedName>
    <definedName localSheetId="30" name="ktky">#REF!</definedName>
    <definedName localSheetId="23" name="___MMM03">#REF!</definedName>
    <definedName name="tegelporselen11x11warna">#REF!</definedName>
    <definedName localSheetId="25" name="besi12sii">#REF!</definedName>
    <definedName localSheetId="17" name="_MMM07">#REF!</definedName>
    <definedName localSheetId="24" name="_________LLL02">#REF!</definedName>
    <definedName localSheetId="13" name="gabin_al">#REF!</definedName>
    <definedName localSheetId="27" name="coveartistik">#REF!</definedName>
    <definedName localSheetId="36" name="oemar">#REF!</definedName>
    <definedName localSheetId="44" name="bouwplnk">#REF!</definedName>
    <definedName localSheetId="33" name="_______DIV4">#REF!</definedName>
    <definedName localSheetId="11" name="Skrup">#REF!</definedName>
    <definedName localSheetId="36" name="___MMM03">#REF!</definedName>
    <definedName localSheetId="42" name="waterstop230">#REF!</definedName>
    <definedName localSheetId="6" name="____DIV3">#REF!</definedName>
    <definedName name="catpenutup2kali">#REF!</definedName>
    <definedName localSheetId="13" name="sunloid">#REF!</definedName>
    <definedName localSheetId="17" name="__MMM01">#REF!</definedName>
    <definedName localSheetId="21" name="R61..">#REF!</definedName>
    <definedName localSheetId="44" name="_________LLL11">#REF!</definedName>
    <definedName localSheetId="28" name="_HAL5">#REF!</definedName>
    <definedName localSheetId="27" name="kawatduri">#REF!</definedName>
    <definedName localSheetId="41" name="URAIAN21">#REF!</definedName>
    <definedName localSheetId="5" name="URAIAN7613a">#REF!</definedName>
    <definedName localSheetId="44" name="seng30">#REF!</definedName>
    <definedName localSheetId="38" name="xxxxx">#REF!</definedName>
    <definedName localSheetId="11" name="gypsum.9">#REF!</definedName>
    <definedName localSheetId="31" name="_______DIV1">#REF!</definedName>
    <definedName localSheetId="31" name="Excel_BuiltIn_Print_Area_10">#REF!</definedName>
    <definedName localSheetId="31" name="besijaringkawatbaja">#REF!</definedName>
    <definedName localSheetId="23" name="plintubingranito1030">#REF!</definedName>
    <definedName localSheetId="15" name="FORM611">#REF!</definedName>
    <definedName name="URAIAN95">#REF!</definedName>
    <definedName localSheetId="27" name="eeeeee">#REF!</definedName>
    <definedName localSheetId="28" name="____DIV2">#REF!</definedName>
    <definedName localSheetId="13" name="____MMM03">#REF!</definedName>
    <definedName localSheetId="3" name="waterstop230">#REF!</definedName>
    <definedName localSheetId="3" name="FORM7610">#REF!</definedName>
    <definedName localSheetId="28" name="ubinkeramikartistik1010">#REF!</definedName>
    <definedName localSheetId="7" name="URAIAN96">#REF!</definedName>
    <definedName localSheetId="30" name="gabin_al">#REF!</definedName>
    <definedName localSheetId="36" name="pasirbeton">#REF!</definedName>
    <definedName localSheetId="5" name="cattembok">#REF!</definedName>
    <definedName localSheetId="33" name="batutempelhitam">#REF!</definedName>
    <definedName localSheetId="0" name="papanbekisting">#REF!</definedName>
    <definedName localSheetId="27" name="RINCIANSEWA2">#REF!</definedName>
    <definedName localSheetId="21" name="drainase">#REF!</definedName>
    <definedName localSheetId="15" name="MINOR">#REF!</definedName>
    <definedName localSheetId="44" name="k.lnt.rmn.20.20.pls">#REF!</definedName>
    <definedName localSheetId="25" name="kuas">#REF!</definedName>
    <definedName localSheetId="5" name="paku5.7.10">#REF!</definedName>
    <definedName localSheetId="18" name="lp">#REF!</definedName>
    <definedName name="_______MMM33">#REF!</definedName>
    <definedName localSheetId="44" name="keramik30x30">#REF!</definedName>
    <definedName name="Uraian842">#REF!</definedName>
    <definedName name="papanII">#REF!</definedName>
    <definedName localSheetId="27" name="kiki">#REF!</definedName>
    <definedName localSheetId="15" name="mowi.ws">#REF!</definedName>
    <definedName localSheetId="17" name="________DIV3">#REF!</definedName>
    <definedName localSheetId="33" name="R10..">#REF!</definedName>
    <definedName localSheetId="19" name="c.maxi">#REF!</definedName>
    <definedName localSheetId="12" name="pddk">#REF!</definedName>
    <definedName localSheetId="19" name="lb">#REF!</definedName>
    <definedName localSheetId="39" name="cattembok">#REF!</definedName>
    <definedName localSheetId="12" name="e">#REF!</definedName>
    <definedName localSheetId="20" name="URAIAN612">#REF!</definedName>
    <definedName localSheetId="32" name="d">#REF!</definedName>
    <definedName localSheetId="33" name="urugan">#REF!</definedName>
    <definedName localSheetId="3" name="_818FA">#REF!</definedName>
    <definedName localSheetId="21" name="_MMM11">#REF!</definedName>
    <definedName name="_______MMM36">#REF!</definedName>
    <definedName localSheetId="17" name="FORM8410">#REF!</definedName>
    <definedName localSheetId="41" name="_________HAL3">#REF!</definedName>
    <definedName localSheetId="42" name="aluminiumfoil">#REF!</definedName>
    <definedName localSheetId="27" name="jamtandem">#REF!</definedName>
    <definedName name="__MMM38">#REF!</definedName>
    <definedName localSheetId="10" name="__MMM03">#REF!</definedName>
    <definedName localSheetId="19" name="kawatnyamuk">#REF!</definedName>
    <definedName localSheetId="7" name="_______DIV1">#REF!</definedName>
    <definedName name="FORM721">#REF!</definedName>
    <definedName localSheetId="3" name="R104..">#REF!</definedName>
    <definedName localSheetId="18" name="cghj">#REF!</definedName>
    <definedName localSheetId="33" name="besi13u">#REF!</definedName>
    <definedName localSheetId="4" name="URAIAN632">#REF!</definedName>
    <definedName localSheetId="36" name="waterdrainaksesoris">#REF!</definedName>
    <definedName localSheetId="7" name="______MMM09">#REF!</definedName>
    <definedName localSheetId="30" name="batutempelhitam">#REF!</definedName>
    <definedName localSheetId="7" name="URAIAN631">#REF!</definedName>
    <definedName localSheetId="44" name="plamur.matex">#REF!</definedName>
    <definedName localSheetId="44" name="R85..">#REF!</definedName>
    <definedName localSheetId="34" name="Minyak">#REF!</definedName>
    <definedName localSheetId="7" name="_____HAL2">#REF!</definedName>
    <definedName localSheetId="38" name="_____DIV2">#REF!</definedName>
    <definedName localSheetId="21" name="kuncilemari">#REF!</definedName>
    <definedName localSheetId="8" name="URAIAN7613a">#REF!</definedName>
    <definedName localSheetId="41" name="URAIAN7614b">#REF!</definedName>
    <definedName localSheetId="0" name="waterstop200">#REF!</definedName>
    <definedName localSheetId="3" name="URAIAN7613a">#REF!</definedName>
    <definedName localSheetId="21" name="R98..">#REF!</definedName>
    <definedName localSheetId="7" name="FORM636">#REF!</definedName>
    <definedName localSheetId="18" name="R20..">#REF!</definedName>
    <definedName localSheetId="7" name="Galam">#REF!</definedName>
    <definedName localSheetId="25" name="__tl2">#REF!</definedName>
    <definedName localSheetId="17" name="______MMM52">#REF!</definedName>
    <definedName localSheetId="41" name="Print_Area_MI">#REF!</definedName>
    <definedName localSheetId="0" name="FORMLatasirK">#REF!</definedName>
    <definedName localSheetId="9" name="_MMM03">#REF!</definedName>
    <definedName localSheetId="38" name="pakugypsum">#REF!</definedName>
    <definedName localSheetId="41" name="kaca3">#REF!</definedName>
    <definedName localSheetId="36" name="s.warna">#REF!</definedName>
    <definedName localSheetId="17" name="____MMM40">#REF!</definedName>
    <definedName localSheetId="11" name="engselangin">#REF!</definedName>
    <definedName localSheetId="31" name="jki">#REF!</definedName>
    <definedName localSheetId="41" name="jffhauifhauifhe">#REF!</definedName>
    <definedName localSheetId="4" name="FORM771c">#REF!</definedName>
    <definedName localSheetId="10" name="vertikalsblinds">#REF!</definedName>
    <definedName localSheetId="13" name="__DIV1">#REF!</definedName>
    <definedName localSheetId="9" name="kuas">#REF!</definedName>
    <definedName localSheetId="24" name="__pvc2">#REF!</definedName>
    <definedName localSheetId="25" name="URAIAN79mekanis">#REF!</definedName>
    <definedName localSheetId="23" name="amplas">#REF!</definedName>
    <definedName localSheetId="8" name="Pc.50">#REF!</definedName>
    <definedName localSheetId="3" name="y">#REF!</definedName>
    <definedName localSheetId="25" name="Papanbouplank">#REF!</definedName>
    <definedName localSheetId="21" name="k.40.40.roman.crk">#REF!</definedName>
    <definedName localSheetId="17" name="ubinkeramik1515">#REF!</definedName>
    <definedName localSheetId="41" name="sengplatbjls28">#REF!</definedName>
    <definedName name="platasbes35mm">#REF!</definedName>
    <definedName localSheetId="12" name="pintubesibaja">#REF!</definedName>
    <definedName localSheetId="31" name="___pvc3">#REF!</definedName>
    <definedName localSheetId="11" name="URAIAN79mekanis">#REF!</definedName>
    <definedName localSheetId="10" name="koralbeton">#REF!</definedName>
    <definedName localSheetId="24" name="____MMM44">#REF!</definedName>
    <definedName localSheetId="36" name="mowi.w.shield">#REF!</definedName>
    <definedName localSheetId="44" name="_________LLL06">#REF!</definedName>
    <definedName localSheetId="8" name="split1.2">#REF!</definedName>
    <definedName localSheetId="27" name="kayukulim">#REF!</definedName>
    <definedName localSheetId="38" name="begisting">#REF!</definedName>
    <definedName localSheetId="31" name="plintubinteraso1040">#REF!</definedName>
    <definedName localSheetId="5" name="ubinteraso30">#REF!</definedName>
    <definedName localSheetId="10" name="plywood4mm">#REF!</definedName>
    <definedName localSheetId="7" name="plintubingranito1040">#REF!</definedName>
    <definedName localSheetId="12" name="kayumarsawa">#REF!</definedName>
    <definedName localSheetId="24" name="___MMM21">#REF!</definedName>
    <definedName localSheetId="31" name="batugranito">#REF!</definedName>
    <definedName localSheetId="10" name="hd">#REF!</definedName>
    <definedName localSheetId="32" name="feltexkarpetwool">#REF!</definedName>
    <definedName localSheetId="41" name="FORM631">#REF!</definedName>
    <definedName localSheetId="42" name="rubbercorrugate">#REF!</definedName>
    <definedName localSheetId="3" name="besijaringkawatbaja">#REF!</definedName>
    <definedName localSheetId="32" name="_KOP7">#REF!</definedName>
    <definedName localSheetId="40" name="Excel_BuiltIn_Print_Area_10">#REF!</definedName>
    <definedName localSheetId="40" name="papan.m.3.20">#REF!</definedName>
    <definedName localSheetId="41" name="ubinwarna30">#REF!</definedName>
    <definedName localSheetId="19" name="_______HAL2">#REF!</definedName>
    <definedName localSheetId="15" name="grassblok">#REF!</definedName>
    <definedName localSheetId="39" name="___DIV10">#REF!</definedName>
    <definedName localSheetId="27" name="_PC50">#REF!</definedName>
    <definedName localSheetId="25" name="Kunci2">#REF!</definedName>
    <definedName localSheetId="5" name="ubinteraso40">#REF!</definedName>
    <definedName localSheetId="8" name="bjls25">#REF!</definedName>
    <definedName localSheetId="12" name="bubunganasbesnok">#REF!</definedName>
    <definedName localSheetId="33" name="e">#REF!</definedName>
    <definedName localSheetId="42" name="reng">#REF!</definedName>
    <definedName localSheetId="28" name="tanggal">#REF!</definedName>
    <definedName localSheetId="11" name="URAIAN234L">#REF!</definedName>
    <definedName localSheetId="27" name="FORM621">#REF!</definedName>
    <definedName localSheetId="21" name="FORM842">#REF!</definedName>
    <definedName localSheetId="0" name="kategori">#REF!</definedName>
    <definedName localSheetId="25" name="Per">#REF!</definedName>
    <definedName localSheetId="9" name="kran.ddg">#REF!</definedName>
    <definedName localSheetId="24" name="cv">#REF!</definedName>
    <definedName localSheetId="20" name="_____MMM02">#REF!</definedName>
    <definedName localSheetId="27" name="FORM731">#REF!</definedName>
    <definedName localSheetId="13" name="doorholder">#REF!</definedName>
    <definedName localSheetId="21" name="k.rmmn.30.30.pls">#REF!</definedName>
    <definedName localSheetId="7" name="___HAL2">#REF!</definedName>
    <definedName localSheetId="38" name="mowi.ws">#REF!</definedName>
    <definedName localSheetId="4" name="__HAL3">#REF!</definedName>
    <definedName localSheetId="7" name="____MMM43">#REF!</definedName>
    <definedName name="___pvc3">#REF!</definedName>
    <definedName localSheetId="3" name="_____DIV9">#REF!</definedName>
    <definedName localSheetId="24" name="__MMM34">#REF!</definedName>
    <definedName localSheetId="21" name="_________MMM29">#REF!</definedName>
    <definedName localSheetId="15" name="sengplatbjls28">#REF!</definedName>
    <definedName localSheetId="12" name="floorhardenerferrovak">#REF!</definedName>
    <definedName localSheetId="3" name="bondbeam">#REF!</definedName>
    <definedName localSheetId="23" name="urugankembali">#REF!</definedName>
    <definedName localSheetId="24" name="amobiotic">#REF!</definedName>
    <definedName localSheetId="15" name="Nokmetal3mm">#REF!</definedName>
    <definedName localSheetId="39" name="pajak">#REF!</definedName>
    <definedName localSheetId="40" name="URAIAN745">#REF!</definedName>
    <definedName localSheetId="11" name="total">#REF!</definedName>
    <definedName localSheetId="20" name="GRC">#REF!</definedName>
    <definedName localSheetId="5" name="ls">#REF!</definedName>
    <definedName localSheetId="6" name="ubinkeramikartistik1010">#REF!</definedName>
    <definedName localSheetId="21" name="lisplafond">#REF!</definedName>
    <definedName localSheetId="39" name="Print_title">#REF!</definedName>
    <definedName localSheetId="7" name="_______MMM46">#REF!</definedName>
    <definedName localSheetId="32" name="_HAL4">#REF!</definedName>
    <definedName localSheetId="11" name="B.Jambi">#REF!</definedName>
    <definedName localSheetId="38" name="medan5.10">#REF!</definedName>
    <definedName localSheetId="12" name="beton225r">#REF!</definedName>
    <definedName localSheetId="24" name="FORMLatasirK">#REF!</definedName>
    <definedName localSheetId="17" name="_MMM46">#REF!</definedName>
    <definedName localSheetId="40" name="Tbt">#REF!</definedName>
    <definedName localSheetId="11" name="FORM7612a">#REF!</definedName>
    <definedName localSheetId="3" name="kuncisilinder">#REF!</definedName>
    <definedName localSheetId="25" name="sofboard">#REF!</definedName>
    <definedName localSheetId="5" name="drainase">#REF!</definedName>
    <definedName localSheetId="41" name="URAIAN66PERMUKAAN">#REF!</definedName>
    <definedName localSheetId="4" name="borneo5.10">#REF!</definedName>
    <definedName localSheetId="25" name="plintubinteraso1040">#REF!</definedName>
    <definedName localSheetId="32" name="URAIANLatasirKL">#REF!</definedName>
    <definedName localSheetId="11" name="L">#REF!</definedName>
    <definedName localSheetId="6" name="MINOR">#REF!</definedName>
    <definedName localSheetId="44" name="R73..">#REF!</definedName>
    <definedName localSheetId="19" name="bubunganasbesnok">#REF!</definedName>
    <definedName localSheetId="19" name="ARI">#REF!</definedName>
    <definedName localSheetId="28" name="R10..">#REF!</definedName>
    <definedName localSheetId="3" name="RoolingdoorAlumunium">#REF!</definedName>
    <definedName localSheetId="7" name="flordrain">#REF!</definedName>
    <definedName localSheetId="39" name="____DIV4">#REF!</definedName>
    <definedName localSheetId="3" name="________MMM29">#REF!</definedName>
    <definedName localSheetId="32" name="kapursirih">#REF!</definedName>
    <definedName localSheetId="5" name="Pjgsloof">#REF!</definedName>
    <definedName localSheetId="20" name="kayukulim">#REF!</definedName>
    <definedName localSheetId="34" name="bjls30">#REF!</definedName>
    <definedName localSheetId="41" name="R60..">#REF!</definedName>
    <definedName localSheetId="21" name="_MMM34">#REF!</definedName>
    <definedName localSheetId="39" name="plintubinkeramikartistik1020">#REF!</definedName>
    <definedName localSheetId="8" name="kaca.es">#REF!</definedName>
    <definedName localSheetId="24" name="_______DIV3">#REF!</definedName>
    <definedName localSheetId="39" name="borneo5.7">#REF!</definedName>
    <definedName localSheetId="17" name="______LLL07">#REF!</definedName>
    <definedName localSheetId="21" name="______MMM42">#REF!</definedName>
    <definedName localSheetId="42" name="cendana">#REF!</definedName>
    <definedName localSheetId="17" name="___LLL09">#REF!</definedName>
    <definedName localSheetId="0" name="__LLL01">#REF!</definedName>
    <definedName localSheetId="15" name="________HAL1">#REF!</definedName>
    <definedName localSheetId="44" name="formica">#REF!</definedName>
    <definedName localSheetId="25" name="catpenutup2kali">#REF!</definedName>
    <definedName localSheetId="8" name="_______HAL3">#REF!</definedName>
    <definedName localSheetId="0" name="jendelanako">#REF!</definedName>
    <definedName name="______LLL02">#REF!</definedName>
    <definedName localSheetId="7" name="R29..">#REF!</definedName>
    <definedName localSheetId="7" name="FORM731">#REF!</definedName>
    <definedName localSheetId="20" name="kawatsengpolos">#REF!</definedName>
    <definedName localSheetId="6" name="borneo4.6">#REF!</definedName>
    <definedName localSheetId="21" name="_MMM25">#REF!</definedName>
    <definedName localSheetId="36" name="_______HAL2">#REF!</definedName>
    <definedName localSheetId="41" name="oemar">#REF!</definedName>
    <definedName localSheetId="5" name="_______DIV1">#REF!</definedName>
    <definedName localSheetId="0" name="__pvc205">#REF!</definedName>
    <definedName localSheetId="28" name="KunciPintu">#REF!</definedName>
    <definedName localSheetId="31" name="pp">#REF!</definedName>
    <definedName localSheetId="3" name="pvc1.2.wav.aw">#REF!</definedName>
    <definedName localSheetId="0" name="pasirbeton">#REF!</definedName>
    <definedName localSheetId="38" name="URAIAN234L">#REF!</definedName>
    <definedName localSheetId="11" name="______HAL3">#REF!</definedName>
    <definedName name="closedjongkok">#REF!</definedName>
    <definedName localSheetId="30" name="KTM">#REF!</definedName>
    <definedName localSheetId="21" name="_____MMM29">#REF!</definedName>
    <definedName localSheetId="30" name="dua">#REF!</definedName>
    <definedName localSheetId="7" name="_DIV2">#REF!</definedName>
    <definedName localSheetId="9" name="sealent">#REF!</definedName>
    <definedName localSheetId="6" name="tlistrik">#REF!</definedName>
    <definedName name="nokstelrata105">#REF!</definedName>
    <definedName localSheetId="33" name="LAP">#REF!</definedName>
    <definedName localSheetId="27" name="___pvc05">#REF!</definedName>
    <definedName localSheetId="15" name="tegelporselen">#REF!</definedName>
    <definedName localSheetId="28" name="__tl2">#REF!</definedName>
    <definedName localSheetId="27" name="gentengbeton">#REF!</definedName>
    <definedName name="residu">#REF!</definedName>
    <definedName localSheetId="39" name="nnnnn">#REF!</definedName>
    <definedName localSheetId="10" name="kaca.es">#REF!</definedName>
    <definedName localSheetId="44" name="_________MMM05">#REF!</definedName>
    <definedName localSheetId="9" name="rubbercorrugate">#REF!</definedName>
    <definedName localSheetId="10" name="cycllop">#REF!</definedName>
    <definedName localSheetId="32" name="besi12sii">#REF!</definedName>
    <definedName localSheetId="36" name="URAIAN771a">#REF!</definedName>
    <definedName localSheetId="4" name="kayukudakuda">#REF!</definedName>
    <definedName localSheetId="4" name="marmer">#REF!</definedName>
    <definedName localSheetId="42" name="G">#REF!</definedName>
    <definedName localSheetId="7" name="mapel">#REF!</definedName>
    <definedName localSheetId="24" name="R61..">#REF!</definedName>
    <definedName localSheetId="34" name="P">#REF!</definedName>
    <definedName localSheetId="31" name="FORMLatasirK">#REF!</definedName>
    <definedName localSheetId="18" name="c.mowi.dlm">#REF!</definedName>
    <definedName localSheetId="7" name="___MMM411">#REF!</definedName>
    <definedName localSheetId="23" name="oke">#REF!</definedName>
    <definedName localSheetId="13" name="kompresor">#REF!</definedName>
    <definedName localSheetId="21" name="lis">#REF!</definedName>
    <definedName localSheetId="21" name="__DIV8">#REF!</definedName>
    <definedName localSheetId="17" name="_______LLL09">#REF!</definedName>
    <definedName localSheetId="18" name="___pc50">#REF!</definedName>
    <definedName localSheetId="44" name="________MMM09">#REF!</definedName>
    <definedName localSheetId="24" name="______LLL10">#REF!</definedName>
    <definedName localSheetId="28" name="borneo4.6">#REF!</definedName>
    <definedName localSheetId="39" name="a">#REF!</definedName>
    <definedName localSheetId="21" name="sengplatbjls24">#REF!</definedName>
    <definedName localSheetId="44" name="Analisa611">#REF!</definedName>
    <definedName localSheetId="20" name="__DIV4">#REF!</definedName>
    <definedName localSheetId="3" name="URAIAN79mekanis">#REF!</definedName>
    <definedName localSheetId="44" name="_MMM41">#REF!</definedName>
    <definedName localSheetId="23" name="karpet">#REF!</definedName>
    <definedName localSheetId="3" name="R107..">#REF!</definedName>
    <definedName localSheetId="3" name="URAIAN915">#REF!</definedName>
    <definedName localSheetId="5" name="doorcloser">#REF!</definedName>
    <definedName name="__LLL10">#REF!</definedName>
    <definedName name="________MMM19">#REF!</definedName>
    <definedName localSheetId="42" name="R60..">#REF!</definedName>
    <definedName localSheetId="31" name="URAIAN632">#REF!</definedName>
    <definedName localSheetId="8" name="he">#REF!</definedName>
    <definedName localSheetId="27" name="dasar">#REF!</definedName>
    <definedName localSheetId="6" name="dd">#REF!</definedName>
    <definedName localSheetId="38" name="sengplatbjls25">#REF!</definedName>
    <definedName localSheetId="8" name="FORM66PERATA">#REF!</definedName>
    <definedName localSheetId="42" name="minyaksolar">#REF!</definedName>
    <definedName localSheetId="21" name="____LLL06">#REF!</definedName>
    <definedName localSheetId="13" name="FORM7614a">#REF!</definedName>
    <definedName localSheetId="4" name="ubinteraso40">#REF!</definedName>
    <definedName localSheetId="15" name="FORMLatasirKL">#REF!</definedName>
    <definedName localSheetId="25" name="___pvc3">#REF!</definedName>
    <definedName localSheetId="23" name="URAIAN">#REF!</definedName>
    <definedName localSheetId="9" name="plintubingranito1040">#REF!</definedName>
    <definedName localSheetId="0" name="_____DIV4">#REF!</definedName>
    <definedName localSheetId="30" name="__MMM03">#REF!</definedName>
    <definedName localSheetId="30" name="pajak">#REF!</definedName>
    <definedName localSheetId="41" name="na">#REF!</definedName>
    <definedName localSheetId="23" name="penduduk">#REF!</definedName>
    <definedName localSheetId="5" name="Ktbt">#REF!</definedName>
    <definedName localSheetId="8" name="besi10.sii">#REF!</definedName>
    <definedName localSheetId="25" name="drainase">#REF!</definedName>
    <definedName localSheetId="19" name="medan3.4">#REF!</definedName>
    <definedName localSheetId="0" name="amplas">#REF!</definedName>
    <definedName localSheetId="21" name="dasar">#REF!</definedName>
    <definedName localSheetId="36" name="doorcloser">#REF!</definedName>
    <definedName localSheetId="11" name="pagar2m">#REF!</definedName>
    <definedName name="gypsum.9">#REF!</definedName>
    <definedName localSheetId="41" name="____DIV4">#REF!</definedName>
    <definedName localSheetId="9" name="Minyak">#REF!</definedName>
    <definedName localSheetId="25" name="pintubesibaja">#REF!</definedName>
    <definedName localSheetId="32" name="karpetwooldannilon">#REF!</definedName>
    <definedName localSheetId="5" name="URAIAN771b">#REF!</definedName>
    <definedName localSheetId="28" name="kayukamper">#REF!</definedName>
    <definedName localSheetId="30" name="_pvc2">#REF!</definedName>
    <definedName localSheetId="17" name="_______MMM40">#REF!</definedName>
    <definedName localSheetId="6" name="dempul">#REF!</definedName>
    <definedName localSheetId="44" name="beton225r">#REF!</definedName>
    <definedName localSheetId="19" name="URAIANLatasirK">#REF!</definedName>
    <definedName localSheetId="36" name="_______DIV1">#REF!</definedName>
    <definedName localSheetId="28" name="bjls25">#REF!</definedName>
    <definedName localSheetId="28" name="Ker.L13">#REF!</definedName>
    <definedName localSheetId="7" name="URAIAN97">#REF!</definedName>
    <definedName localSheetId="42" name="_________MMM01">#REF!</definedName>
    <definedName localSheetId="34" name="hakangin">#REF!</definedName>
    <definedName localSheetId="17" name="___MMM25">#REF!</definedName>
    <definedName localSheetId="34" name="_HAL5">#REF!</definedName>
    <definedName localSheetId="7" name="s.warna">#REF!</definedName>
    <definedName localSheetId="36" name="URAIAN621">#REF!</definedName>
    <definedName localSheetId="42" name="penduduk">#REF!</definedName>
    <definedName localSheetId="7" name="R43..">#REF!</definedName>
    <definedName localSheetId="15" name="Meni">#REF!</definedName>
    <definedName localSheetId="3" name="kuas">#REF!</definedName>
    <definedName localSheetId="12" name="UTAIAN7614c">#REF!</definedName>
    <definedName localSheetId="7" name="____MMM42">#REF!</definedName>
    <definedName localSheetId="15" name="________MMM02">#REF!</definedName>
    <definedName localSheetId="17" name="waterstop200">#REF!</definedName>
    <definedName localSheetId="31" name="__Tl1">#REF!</definedName>
    <definedName localSheetId="4" name="FORM79mekanis">#REF!</definedName>
    <definedName localSheetId="9" name="kayuborneo">#REF!</definedName>
    <definedName localSheetId="0" name="gali">#REF!</definedName>
    <definedName localSheetId="19" name="NAMA2">#REF!</definedName>
    <definedName localSheetId="17" name="k.lnt.rmn.20.20.crk">#REF!</definedName>
    <definedName localSheetId="40" name="______DIV3">#REF!</definedName>
    <definedName localSheetId="24" name="____DIV5">#REF!</definedName>
    <definedName localSheetId="17" name="plintkeramikartistik1020">#REF!</definedName>
    <definedName localSheetId="3" name="_________MMM17">#REF!</definedName>
    <definedName localSheetId="31" name="tl2x40">#REF!</definedName>
    <definedName localSheetId="44" name="HP">#REF!</definedName>
    <definedName localSheetId="32" name="FORM771c">#REF!</definedName>
    <definedName localSheetId="42" name="Pc.50">#REF!</definedName>
    <definedName localSheetId="41" name="__HAL4">#REF!</definedName>
    <definedName localSheetId="39" name="_____DIV1">#REF!</definedName>
    <definedName localSheetId="3" name="MMM35A">#REF!</definedName>
    <definedName localSheetId="31" name="pakuskrup">#REF!</definedName>
    <definedName localSheetId="9" name="zzz">#REF!</definedName>
    <definedName localSheetId="7" name="R74..">#REF!</definedName>
    <definedName name="sengplatbjls28">#REF!</definedName>
    <definedName localSheetId="10" name="ubingranito40">#REF!</definedName>
    <definedName localSheetId="42" name="gentengdecrabond">#REF!</definedName>
    <definedName name="_________LLL01">#REF!</definedName>
    <definedName localSheetId="18" name="a">#REF!</definedName>
    <definedName localSheetId="34" name="asbesgelombang">#REF!</definedName>
    <definedName localSheetId="18" name="coveartistik">#REF!</definedName>
    <definedName localSheetId="23" name="R6..">#REF!</definedName>
    <definedName localSheetId="12" name="ARI">#REF!</definedName>
    <definedName localSheetId="23" name="kategori">#REF!</definedName>
    <definedName localSheetId="5" name="FORM745">#REF!</definedName>
    <definedName localSheetId="32" name="plintubinwarna1020">#REF!</definedName>
    <definedName localSheetId="24" name="plintubingranito1030">#REF!</definedName>
    <definedName localSheetId="25" name="R4..">#REF!</definedName>
    <definedName localSheetId="11" name="FORM633">#REF!</definedName>
    <definedName localSheetId="9" name="R4..">#REF!</definedName>
    <definedName localSheetId="10" name="p.bI">#REF!</definedName>
    <definedName localSheetId="0" name="Ktbt">#REF!</definedName>
    <definedName localSheetId="17" name="_____MMM44">#REF!</definedName>
    <definedName localSheetId="28" name="sengplatbjls28">#REF!</definedName>
    <definedName localSheetId="7" name="urugantanah">#REF!</definedName>
    <definedName localSheetId="9" name="URAIAN7613a">#REF!</definedName>
    <definedName localSheetId="21" name="______MMM23">#REF!</definedName>
    <definedName localSheetId="36" name="sssssss">#REF!</definedName>
    <definedName localSheetId="4" name="R61..">#REF!</definedName>
    <definedName localSheetId="24" name="_____MMM15">#REF!</definedName>
    <definedName localSheetId="31" name="tegelporselen10x20warna">#REF!</definedName>
    <definedName name="pvc1.2.wav.aw">#REF!</definedName>
    <definedName localSheetId="7" name="___MMM31">#REF!</definedName>
    <definedName localSheetId="24" name="bjls30">#REF!</definedName>
    <definedName localSheetId="40" name="____MMM01">#REF!</definedName>
    <definedName localSheetId="32" name="R61..">#REF!</definedName>
    <definedName localSheetId="7" name="Nokmetal3mm">#REF!</definedName>
    <definedName localSheetId="30" name="FORM631">#REF!</definedName>
    <definedName localSheetId="28" name="R20..">#REF!</definedName>
    <definedName localSheetId="38" name="__DIV3">#REF!</definedName>
    <definedName localSheetId="3" name="_______MMM50">#REF!</definedName>
    <definedName localSheetId="27" name="_pc40">#REF!</definedName>
    <definedName localSheetId="32" name="kran.ddg">#REF!</definedName>
    <definedName localSheetId="34" name="pakuskrup">#REF!</definedName>
    <definedName name="kacawireglass5">#REF!</definedName>
    <definedName localSheetId="3" name="______HAL5">#REF!</definedName>
    <definedName localSheetId="33" name="kran.ddg">#REF!</definedName>
    <definedName localSheetId="27" name="u.bekisting">#REF!</definedName>
    <definedName name="_______HAL6">#REF!</definedName>
    <definedName localSheetId="7" name="kunci1slag">#REF!</definedName>
    <definedName localSheetId="34" name="kayukruing">#REF!</definedName>
    <definedName localSheetId="32" name="hakangin">#REF!</definedName>
    <definedName localSheetId="0" name="_pvc105">#REF!</definedName>
    <definedName name="sealent">#REF!</definedName>
    <definedName localSheetId="6" name="kacacermin8">#REF!</definedName>
    <definedName localSheetId="18" name="oke">#REF!</definedName>
    <definedName localSheetId="39" name="lis">#REF!</definedName>
    <definedName localSheetId="39" name="aaaaa">#REF!</definedName>
    <definedName localSheetId="24" name="e">#REF!</definedName>
    <definedName localSheetId="25" name="_LLL02">#REF!</definedName>
    <definedName localSheetId="42" name="kayukelas2">#REF!</definedName>
    <definedName localSheetId="20" name="___DIV2">#REF!</definedName>
    <definedName localSheetId="20" name="beton.225m">#REF!</definedName>
    <definedName localSheetId="15" name="KECAMATAN_KODEOHA">#REF!</definedName>
    <definedName localSheetId="0" name="terasocor">#REF!</definedName>
    <definedName localSheetId="41" name="kayukudakuda">#REF!</definedName>
    <definedName localSheetId="10" name="pasirbeton">#REF!</definedName>
    <definedName localSheetId="25" name="cattembok">#REF!</definedName>
    <definedName localSheetId="30" name="Kunci2">#REF!</definedName>
    <definedName localSheetId="21" name="Papanbouplank">#REF!</definedName>
    <definedName localSheetId="5" name="kacapolos3mm">#REF!</definedName>
    <definedName localSheetId="9" name="kategori">#REF!</definedName>
    <definedName localSheetId="8" name="borneo5.10">#REF!</definedName>
    <definedName localSheetId="8" name="cendana">#REF!</definedName>
    <definedName localSheetId="5" name="FORM732">#REF!</definedName>
    <definedName localSheetId="21" name="_______LLL09">#REF!</definedName>
    <definedName localSheetId="40" name="medan5.10">#REF!</definedName>
    <definedName localSheetId="7" name="___MMM21">#REF!</definedName>
    <definedName localSheetId="32" name="Analisa512">#REF!</definedName>
    <definedName localSheetId="40" name="kacacermin8">#REF!</definedName>
    <definedName localSheetId="44" name="ubinwarna40">#REF!</definedName>
    <definedName localSheetId="32" name="asbesgelombang">#REF!</definedName>
    <definedName localSheetId="44" name="__MMM10">#REF!</definedName>
    <definedName localSheetId="6" name="MATERIAL">#REF!</definedName>
    <definedName localSheetId="17" name="engseljendela">#REF!</definedName>
    <definedName localSheetId="3" name="FORM66PERATA">#REF!</definedName>
    <definedName localSheetId="21" name="ts">#REF!</definedName>
    <definedName localSheetId="17" name="_MMM37">#REF!</definedName>
    <definedName localSheetId="40" name="Jasa">#REF!</definedName>
    <definedName name="_________MMM09">#REF!</definedName>
    <definedName localSheetId="40" name="URAIANLatasirK">#REF!</definedName>
    <definedName localSheetId="7" name="________MMM49">#REF!</definedName>
    <definedName localSheetId="0" name="kayuramin">#REF!</definedName>
    <definedName localSheetId="8" name="grendeltanam">#REF!</definedName>
    <definedName localSheetId="44" name="__DIV10">#REF!</definedName>
    <definedName localSheetId="11" name="split2.3">#REF!</definedName>
    <definedName localSheetId="40" name="s.warna">#REF!</definedName>
    <definedName localSheetId="20" name="wwww">#REF!</definedName>
    <definedName localSheetId="25" name="borneo4.6">#REF!</definedName>
    <definedName localSheetId="5" name="_MMM03">#REF!</definedName>
    <definedName localSheetId="44" name="bubunganstelgelombang105">#REF!</definedName>
    <definedName localSheetId="41" name="rubbercorrugate">#REF!</definedName>
    <definedName localSheetId="21" name="gentengpaletong">#REF!</definedName>
    <definedName localSheetId="11" name="Kunci2">#REF!</definedName>
    <definedName localSheetId="36" name="AAAAAAA">#REF!</definedName>
    <definedName localSheetId="39" name="cycllop">#REF!</definedName>
    <definedName name="FORM7613a">#REF!</definedName>
    <definedName localSheetId="36" name="____HAL1">#REF!</definedName>
    <definedName localSheetId="3" name="FORM916">#REF!</definedName>
    <definedName localSheetId="44" name="_________LLL10">#REF!</definedName>
    <definedName localSheetId="39" name="FORMLatasirKL">#REF!</definedName>
    <definedName localSheetId="24" name="FORM66PERATA">#REF!</definedName>
    <definedName localSheetId="7" name="R58..">#REF!</definedName>
    <definedName localSheetId="40" name="u.besi">#REF!</definedName>
    <definedName localSheetId="24" name="_________MMM27">#REF!</definedName>
    <definedName localSheetId="17" name="tegelpc20x20">#REF!</definedName>
    <definedName localSheetId="36" name="___DIV3">#REF!</definedName>
    <definedName localSheetId="7" name="_______LLL05">#REF!</definedName>
    <definedName name="Excel_BuiltIn_Print_Titles_5">#REF!</definedName>
    <definedName localSheetId="12" name="water.prof">#REF!</definedName>
    <definedName localSheetId="38" name="rtrt">#REF!</definedName>
    <definedName localSheetId="7" name="grassblok">#REF!</definedName>
    <definedName localSheetId="33" name="Papanbouplank">#REF!</definedName>
    <definedName localSheetId="8" name="ASPAL">#REF!</definedName>
    <definedName localSheetId="19" name="metal">#REF!</definedName>
    <definedName localSheetId="28" name="b.belah">#REF!</definedName>
    <definedName localSheetId="20" name="ktky">#REF!</definedName>
    <definedName localSheetId="44" name="_____HAL1">#REF!</definedName>
    <definedName localSheetId="15" name="___DIV1">#REF!</definedName>
    <definedName localSheetId="21" name="__MMM15">#REF!</definedName>
    <definedName localSheetId="3" name="R25..">#REF!</definedName>
    <definedName localSheetId="20" name="URAIANLatasirK">#REF!</definedName>
    <definedName localSheetId="5" name="FORM633">#REF!</definedName>
    <definedName localSheetId="18" name="_pvc3">#REF!</definedName>
    <definedName localSheetId="8" name="R61..">#REF!</definedName>
    <definedName localSheetId="10" name="FORM7610">#REF!</definedName>
    <definedName name="SusunanOrg">#REF!</definedName>
    <definedName localSheetId="11" name="R2..">#REF!</definedName>
    <definedName localSheetId="27" name="plywood4mm">#REF!</definedName>
    <definedName localSheetId="31" name="eeeeee">#REF!</definedName>
    <definedName localSheetId="27" name="_LLL03">#REF!</definedName>
    <definedName localSheetId="17" name="R94..">#REF!</definedName>
    <definedName localSheetId="3" name="______MMM51">#REF!</definedName>
    <definedName localSheetId="18" name="lis">#REF!</definedName>
    <definedName localSheetId="3" name="KUANTITAS">#REF!</definedName>
    <definedName localSheetId="27" name="Psr.psg">#REF!</definedName>
    <definedName localSheetId="6" name="kawatnyamuk">#REF!</definedName>
    <definedName localSheetId="28" name="platasbes">#REF!</definedName>
    <definedName localSheetId="20" name="FORM7612c">#REF!</definedName>
    <definedName name="__HAL7">#REF!</definedName>
    <definedName localSheetId="12" name="__pvc2">#REF!</definedName>
    <definedName localSheetId="44" name="_______MMM29">#REF!</definedName>
    <definedName localSheetId="23" name="batuapung">#REF!</definedName>
    <definedName localSheetId="20" name="feltexkarpetwool">#REF!</definedName>
    <definedName localSheetId="12" name="f">#REF!</definedName>
    <definedName localSheetId="27" name="JL_NAS">#REF!</definedName>
    <definedName localSheetId="25" name="ubinkeramik1020">#REF!</definedName>
    <definedName localSheetId="17" name="k.ddg.rmn.20.25.pls">#REF!</definedName>
    <definedName localSheetId="40" name="_______HAL2">#REF!</definedName>
    <definedName localSheetId="3" name="_________MMM28">#REF!</definedName>
    <definedName localSheetId="6" name="_DIV10">#REF!</definedName>
    <definedName localSheetId="15" name="______HAL3">#REF!</definedName>
    <definedName localSheetId="7" name="R63..">#REF!</definedName>
    <definedName localSheetId="21" name="_MMM52">#REF!</definedName>
    <definedName name="tanggal">#REF!</definedName>
    <definedName localSheetId="41" name="_MMM01">#REF!</definedName>
    <definedName localSheetId="27" name="plintubinteraso1040">#REF!</definedName>
    <definedName localSheetId="21" name="R7..">#REF!</definedName>
    <definedName localSheetId="24" name="___LLL03">#REF!</definedName>
    <definedName localSheetId="9" name="URAIAN234L">#REF!</definedName>
    <definedName localSheetId="25" name="Pengadaan">#REF!</definedName>
    <definedName localSheetId="38" name="KUANTITAS">#REF!</definedName>
    <definedName localSheetId="36" name="__LLL02">#REF!</definedName>
    <definedName localSheetId="3" name="Analisa70707">#REF!</definedName>
    <definedName localSheetId="7" name="M">#REF!</definedName>
    <definedName localSheetId="17" name="_______LLL06">#REF!</definedName>
    <definedName localSheetId="27" name="pasirsilika">#REF!</definedName>
    <definedName localSheetId="18" name="platasbes35mm">#REF!</definedName>
    <definedName localSheetId="21" name="FORM745">#REF!</definedName>
    <definedName localSheetId="19" name="____HAL1">#REF!</definedName>
    <definedName localSheetId="11" name="__HAL1">#REF!</definedName>
    <definedName localSheetId="38" name="residu">#REF!</definedName>
    <definedName localSheetId="8" name="______MMM02">#REF!</definedName>
    <definedName localSheetId="21" name="_________LLL04">#REF!</definedName>
    <definedName localSheetId="17" name="bubunganstelgelombang108">#REF!</definedName>
    <definedName localSheetId="11" name="_kop6">#REF!</definedName>
    <definedName name="__MMM11">#REF!</definedName>
    <definedName localSheetId="13" name="pijar15">#REF!</definedName>
    <definedName localSheetId="13" name="FORM771a">#REF!</definedName>
    <definedName localSheetId="4" name="urugantanah">#REF!</definedName>
    <definedName localSheetId="7" name="______LLL03">#REF!</definedName>
    <definedName localSheetId="6" name="nokpaten092">#REF!</definedName>
    <definedName localSheetId="33" name="__pvc2">#REF!</definedName>
    <definedName localSheetId="34" name="_kop6">#REF!</definedName>
    <definedName localSheetId="34" name="plintubinwarna1040">#REF!</definedName>
    <definedName localSheetId="31" name="B.Aparatur">#REF!</definedName>
    <definedName localSheetId="6" name="ubinwarna30">#REF!</definedName>
    <definedName localSheetId="5" name="pakuhak15cm">#REF!</definedName>
    <definedName localSheetId="17" name="plywood9mm">#REF!</definedName>
    <definedName localSheetId="11" name="rincian">#REF!</definedName>
    <definedName localSheetId="11" name="Faktor">#REF!</definedName>
    <definedName localSheetId="38" name="_________HAL3">#REF!</definedName>
    <definedName localSheetId="18" name="URAIAN79mekanis">#REF!</definedName>
    <definedName localSheetId="21" name="gentengaspal">#REF!</definedName>
    <definedName localSheetId="24" name="FORM918">#REF!</definedName>
    <definedName localSheetId="7" name="oemar">#REF!</definedName>
    <definedName localSheetId="27" name="R6..">#REF!</definedName>
    <definedName localSheetId="34" name="DSSDD">#REF!</definedName>
    <definedName localSheetId="17" name="__DIV4">#REF!</definedName>
    <definedName localSheetId="44" name="__MMM35">#REF!</definedName>
    <definedName localSheetId="24" name="besi16sii">#REF!</definedName>
    <definedName localSheetId="21" name="_______MMM08">#REF!</definedName>
    <definedName localSheetId="9" name="pakubiasa">#REF!</definedName>
    <definedName localSheetId="20" name="sealer.mowi">#REF!</definedName>
    <definedName localSheetId="40" name="tanahliat">#REF!</definedName>
    <definedName localSheetId="5" name="batapelapisdinding">#REF!</definedName>
    <definedName localSheetId="11" name="vinylkaretklII">#REF!</definedName>
    <definedName localSheetId="21" name="FORM623">#REF!</definedName>
    <definedName localSheetId="7" name="URAIAN66PERATA">#REF!</definedName>
    <definedName localSheetId="31" name="tky">#REF!</definedName>
    <definedName localSheetId="13" name="_________MMM01">#REF!</definedName>
    <definedName localSheetId="33" name="Excel_BuiltIn_Print_Titles_1">#REF!</definedName>
    <definedName localSheetId="10" name="Ktbt">#REF!</definedName>
    <definedName localSheetId="20" name="zzz">#REF!</definedName>
    <definedName localSheetId="18" name="URAIAN66PERMUKAAN">#REF!</definedName>
    <definedName localSheetId="17" name="tempatcucipiring">#REF!</definedName>
    <definedName name="___MMM34">#REF!</definedName>
    <definedName localSheetId="28" name="________DIV4">#REF!</definedName>
    <definedName localSheetId="25" name="catpenutup">#REF!</definedName>
    <definedName localSheetId="36" name="R61..">#REF!</definedName>
    <definedName localSheetId="13" name="pakugypsum">#REF!</definedName>
    <definedName localSheetId="4" name="TANAH">#REF!</definedName>
    <definedName localSheetId="31" name="a">#REF!</definedName>
    <definedName localSheetId="0" name="Kunci1">#REF!</definedName>
    <definedName localSheetId="0" name="beton175m">#REF!</definedName>
    <definedName localSheetId="0" name="dasar">#REF!</definedName>
    <definedName localSheetId="10" name="R5..">#REF!</definedName>
    <definedName localSheetId="19" name="FORM66PERMUKAAN">#REF!</definedName>
    <definedName localSheetId="42" name="_PC50">#REF!</definedName>
    <definedName localSheetId="21" name="MASTER">#REF!</definedName>
    <definedName localSheetId="25" name="Jasa">#REF!</definedName>
    <definedName localSheetId="28" name="teakwood6mm">#REF!</definedName>
    <definedName localSheetId="20" name="SUNGAI_BERTAM">#REF!</definedName>
    <definedName localSheetId="28" name="Kekurangan">#REF!</definedName>
    <definedName localSheetId="8" name="koralbeton">#REF!</definedName>
    <definedName localSheetId="44" name="Analisa511">#REF!</definedName>
    <definedName localSheetId="12" name="bubungangentengbesar">#REF!</definedName>
    <definedName localSheetId="28" name="yyyyyyy">#REF!</definedName>
    <definedName localSheetId="39" name="_______DIV2">#REF!</definedName>
    <definedName localSheetId="9" name="FORM7613c">#REF!</definedName>
    <definedName localSheetId="42" name="RoolingdoorAlumunium">#REF!</definedName>
    <definedName localSheetId="19" name="________DIV1">#REF!</definedName>
    <definedName localSheetId="5" name="URAIAN7613c">#REF!</definedName>
    <definedName localSheetId="3" name="____MMM24">#REF!</definedName>
    <definedName localSheetId="15" name="metal">#REF!</definedName>
    <definedName localSheetId="17" name="_________MMM40">#REF!</definedName>
    <definedName localSheetId="38" name="___pc50">#REF!</definedName>
    <definedName localSheetId="30" name="_pvc205">#REF!</definedName>
    <definedName localSheetId="5" name="Z">#REF!</definedName>
    <definedName localSheetId="44" name="_LLL05">#REF!</definedName>
    <definedName localSheetId="32" name="gggg">#REF!</definedName>
    <definedName localSheetId="42" name="Catbesi">#REF!</definedName>
    <definedName localSheetId="25" name="pakuhalus">#REF!</definedName>
    <definedName localSheetId="13" name="dasar">#REF!</definedName>
    <definedName localSheetId="44" name="FORM95">#REF!</definedName>
    <definedName localSheetId="15" name="ts">#REF!</definedName>
    <definedName localSheetId="17" name="____MMM02">#REF!</definedName>
    <definedName localSheetId="20" name="s.tukang">#REF!</definedName>
    <definedName localSheetId="44" name="R29..">#REF!</definedName>
    <definedName localSheetId="33" name="____DIV4">#REF!</definedName>
    <definedName localSheetId="38" name="kran.ddg">#REF!</definedName>
    <definedName localSheetId="10" name="baru">#REF!</definedName>
    <definedName localSheetId="12" name="beton.tumbuk">#REF!</definedName>
    <definedName localSheetId="11" name="URAIAN7614a">#REF!</definedName>
    <definedName localSheetId="44" name="______MMM02">#REF!</definedName>
    <definedName localSheetId="12" name="pipagalvanis">#REF!</definedName>
    <definedName localSheetId="24" name="_DIV3">#REF!</definedName>
    <definedName localSheetId="17" name="______LLL05">#REF!</definedName>
    <definedName localSheetId="17" name="_MMM34">#REF!</definedName>
    <definedName localSheetId="21" name="URAIAN22E">#REF!</definedName>
    <definedName localSheetId="44" name="kawatduri">#REF!</definedName>
    <definedName localSheetId="32" name="ppn2.30">#REF!</definedName>
    <definedName localSheetId="24" name="keramik40">#REF!</definedName>
    <definedName localSheetId="25" name="c.mowi.dlm">#REF!</definedName>
    <definedName localSheetId="42" name="kayukruing">#REF!</definedName>
    <definedName localSheetId="3" name="kawatburung">#REF!</definedName>
    <definedName localSheetId="20" name="split1.2">#REF!</definedName>
    <definedName localSheetId="24" name="FORM7614a">#REF!</definedName>
    <definedName localSheetId="7" name="JA">#REF!</definedName>
    <definedName localSheetId="21" name="URAIANLatasirKL">#REF!</definedName>
    <definedName localSheetId="32" name="kawatburung">#REF!</definedName>
    <definedName localSheetId="17" name="_MMM12">#REF!</definedName>
    <definedName localSheetId="23" name="batamerah">#REF!</definedName>
    <definedName localSheetId="5" name="bubungangentengbeton">#REF!</definedName>
    <definedName localSheetId="28" name="menibesi">#REF!</definedName>
    <definedName localSheetId="34" name="DFFFGGG">#REF!</definedName>
    <definedName localSheetId="21" name="FORM66PERATA">#REF!</definedName>
    <definedName localSheetId="23" name="tm_2415921492">#REF!</definedName>
    <definedName name="R103..">#REF!</definedName>
    <definedName localSheetId="21" name="multi.9">#REF!</definedName>
    <definedName localSheetId="28" name="R51..">#REF!</definedName>
    <definedName localSheetId="33" name="tanahliat">#REF!</definedName>
    <definedName localSheetId="7" name="medan6.12">#REF!</definedName>
    <definedName localSheetId="21" name="siap1">#REF!</definedName>
    <definedName localSheetId="44" name="gggg">#REF!</definedName>
    <definedName localSheetId="5" name="jurnal">#REF!</definedName>
    <definedName name="Plywood9">#REF!</definedName>
    <definedName localSheetId="21" name="_________MMM30">#REF!</definedName>
    <definedName localSheetId="36" name="wwww">#REF!</definedName>
    <definedName name="tegelteraso40x40">#REF!</definedName>
    <definedName localSheetId="30" name="papanjelutung">#REF!</definedName>
    <definedName name="batukali14">#REF!</definedName>
    <definedName localSheetId="9" name="URAIAN7614a">#REF!</definedName>
    <definedName localSheetId="41" name="kuas">#REF!</definedName>
    <definedName localSheetId="15" name="besipresstressedpolos">#REF!</definedName>
    <definedName localSheetId="44" name="URAIAN772d">#REF!</definedName>
    <definedName localSheetId="17" name="kenek">#REF!</definedName>
    <definedName localSheetId="40" name="kayubulian">#REF!</definedName>
    <definedName name="pakugalvanis">#REF!</definedName>
    <definedName localSheetId="44" name="terasocor">#REF!</definedName>
    <definedName localSheetId="36" name="UTAIAN7614c">#REF!</definedName>
    <definedName localSheetId="11" name="_HAL4">#REF!</definedName>
    <definedName localSheetId="40" name="Meni">#REF!</definedName>
    <definedName name="__LLL01">#REF!</definedName>
    <definedName localSheetId="21" name="________MMM30">#REF!</definedName>
    <definedName localSheetId="21" name="____MMM11">#REF!</definedName>
    <definedName localSheetId="38" name="______DIV2">#REF!</definedName>
    <definedName localSheetId="0" name="batukali14">#REF!</definedName>
    <definedName localSheetId="39" name="plintubinwarna1040">#REF!</definedName>
    <definedName localSheetId="17" name="_______MMM19">#REF!</definedName>
    <definedName localSheetId="23" name="FORM79manual">#REF!</definedName>
    <definedName localSheetId="42" name="batuporos">#REF!</definedName>
    <definedName localSheetId="32" name="STRUKTUR">#REF!</definedName>
    <definedName localSheetId="10" name="kalkarium">#REF!</definedName>
    <definedName localSheetId="21" name="___DIV9">#REF!</definedName>
    <definedName localSheetId="17" name="_______MMM24">#REF!</definedName>
    <definedName localSheetId="39" name="pakugypsum">#REF!</definedName>
    <definedName localSheetId="13" name="grendel3">#REF!</definedName>
    <definedName localSheetId="28" name="SUNGAI_BERTAM">#REF!</definedName>
    <definedName localSheetId="21" name="semenwarna">#REF!</definedName>
    <definedName localSheetId="10" name="badkip">#REF!</definedName>
    <definedName localSheetId="18" name="Pc.50">#REF!</definedName>
    <definedName localSheetId="5" name="R6..">#REF!</definedName>
    <definedName localSheetId="21" name="beton100kg">#REF!</definedName>
    <definedName localSheetId="24" name="_MMM52">#REF!</definedName>
    <definedName localSheetId="39" name="medan3.4">#REF!</definedName>
    <definedName localSheetId="24" name="FORM912">#REF!</definedName>
    <definedName localSheetId="10" name="DUDI">#REF!</definedName>
    <definedName localSheetId="10" name="_____DIV2">#REF!</definedName>
    <definedName localSheetId="42" name="FORM7612b">#REF!</definedName>
    <definedName localSheetId="4" name="Analisa511">#REF!</definedName>
    <definedName localSheetId="0" name="HP">#REF!</definedName>
    <definedName localSheetId="36" name="_________MMM01">#REF!</definedName>
    <definedName localSheetId="15" name="FORM8410">#REF!</definedName>
    <definedName localSheetId="34" name="e">#REF!</definedName>
    <definedName name="ktbs">#REF!</definedName>
    <definedName localSheetId="23" name="grendel3">#REF!</definedName>
    <definedName localSheetId="7" name="__DIV5">#REF!</definedName>
    <definedName localSheetId="21" name="_________MMM39">#REF!</definedName>
    <definedName localSheetId="23" name="_pp1">#REF!</definedName>
    <definedName localSheetId="31" name="meni.kayu">#REF!</definedName>
    <definedName localSheetId="20" name="___pvc205">#REF!</definedName>
    <definedName localSheetId="3" name="______LLL05">#REF!</definedName>
    <definedName localSheetId="24" name="kayutembesu">#REF!</definedName>
    <definedName localSheetId="32" name="sabun">#REF!</definedName>
    <definedName localSheetId="21" name="_______MMM15">#REF!</definedName>
    <definedName localSheetId="13" name="kuncitanam">#REF!</definedName>
    <definedName localSheetId="9" name="plintubinteraso1030">#REF!</definedName>
    <definedName name="______LLL04">#REF!</definedName>
    <definedName localSheetId="6" name="pasirbeton">#REF!</definedName>
    <definedName localSheetId="3" name="________LLL09">#REF!</definedName>
    <definedName localSheetId="12" name="nnnnn">#REF!</definedName>
    <definedName localSheetId="44" name="R19..">#REF!</definedName>
    <definedName localSheetId="20" name="sealer">#REF!</definedName>
    <definedName localSheetId="34" name="menibesi">#REF!</definedName>
    <definedName localSheetId="23" name="vernis">#REF!</definedName>
    <definedName localSheetId="13" name="metal">#REF!</definedName>
    <definedName localSheetId="17" name="R13..">#REF!</definedName>
    <definedName localSheetId="17" name="_________MMM31">#REF!</definedName>
    <definedName localSheetId="31" name="URAIAN612">#REF!</definedName>
    <definedName localSheetId="30" name="perancahkayu">#REF!</definedName>
    <definedName localSheetId="0" name="_HAL6">#REF!</definedName>
    <definedName localSheetId="41" name="Excel_BuiltIn_Print_Titles_10">#REF!</definedName>
    <definedName localSheetId="33" name="tegelpc20x20">#REF!</definedName>
    <definedName localSheetId="8" name="borneo4.6">#REF!</definedName>
    <definedName localSheetId="24" name="plintkeramikartistik520">#REF!</definedName>
    <definedName localSheetId="3" name="________LLL01">#REF!</definedName>
    <definedName localSheetId="21" name="beton175R">#REF!</definedName>
    <definedName localSheetId="5" name="NAMA3">#REF!</definedName>
    <definedName localSheetId="20" name="_______DIV3">#REF!</definedName>
    <definedName localSheetId="6" name="rapidrant">#REF!</definedName>
    <definedName localSheetId="3" name="xxxxx">#REF!</definedName>
    <definedName localSheetId="17" name="Uraian842">#REF!</definedName>
    <definedName localSheetId="28" name="_LLL03">#REF!</definedName>
    <definedName localSheetId="8" name="_LLL01">#REF!</definedName>
    <definedName localSheetId="19" name="sis">#REF!</definedName>
    <definedName localSheetId="24" name="sengbjls25">#REF!</definedName>
    <definedName localSheetId="28" name="JA">#REF!</definedName>
    <definedName name="URAIAN744">#REF!</definedName>
    <definedName localSheetId="32" name="_pvc105">#REF!</definedName>
    <definedName name="f.drain">#REF!</definedName>
    <definedName localSheetId="40" name="FORM631">#REF!</definedName>
    <definedName localSheetId="42" name="________HAL3">#REF!</definedName>
    <definedName localSheetId="40" name="____MMM02">#REF!</definedName>
    <definedName localSheetId="17" name="_________LLL02">#REF!</definedName>
    <definedName localSheetId="5" name="URAIAN7613b">#REF!</definedName>
    <definedName name="_________MMM10">#REF!</definedName>
    <definedName localSheetId="10" name="Uraian841">#REF!</definedName>
    <definedName localSheetId="6" name="LAINLAIN">#REF!</definedName>
    <definedName name="kawatburung">#REF!</definedName>
    <definedName localSheetId="24" name="______MMM53">#REF!</definedName>
    <definedName localSheetId="5" name="urugan">#REF!</definedName>
    <definedName localSheetId="17" name="_______MMM53">#REF!</definedName>
    <definedName localSheetId="38" name="plamour">#REF!</definedName>
    <definedName localSheetId="34" name="drainase">#REF!</definedName>
    <definedName localSheetId="42" name="URAIAN7614d">#REF!</definedName>
    <definedName localSheetId="3" name="_________MMM50">#REF!</definedName>
    <definedName localSheetId="19" name="bubungangentengbesar">#REF!</definedName>
    <definedName localSheetId="21" name="plintubinteraso1030">#REF!</definedName>
    <definedName localSheetId="20" name="_DIV2">#REF!</definedName>
    <definedName localSheetId="24" name="________MMM32">#REF!</definedName>
    <definedName localSheetId="6" name="amobiotic">#REF!</definedName>
    <definedName localSheetId="30" name="kacacermin6">#REF!</definedName>
    <definedName localSheetId="9" name="R1..">#REF!</definedName>
    <definedName localSheetId="5" name="___HAL2">#REF!</definedName>
    <definedName localSheetId="42" name="data2">#REF!</definedName>
    <definedName localSheetId="11" name="Excel_BuiltIn_Print_Titles_2">#REF!</definedName>
    <definedName localSheetId="19" name="ppn.m.3.20.serut">#REF!</definedName>
    <definedName localSheetId="27" name="kawatnyamuk">#REF!</definedName>
    <definedName localSheetId="7" name="R4..">#REF!</definedName>
    <definedName localSheetId="32" name="____DIV3">#REF!</definedName>
    <definedName localSheetId="18" name="R2..">#REF!</definedName>
    <definedName localSheetId="21" name="URAIAN634">#REF!</definedName>
    <definedName localSheetId="0" name="BM">#REF!</definedName>
    <definedName localSheetId="3" name="____MMM17">#REF!</definedName>
    <definedName localSheetId="44" name="____MMM411">#REF!</definedName>
    <definedName localSheetId="33" name="__MMM01">#REF!</definedName>
    <definedName localSheetId="18" name="plintubinwarna1020">#REF!</definedName>
    <definedName localSheetId="31" name="Analisa512">#REF!</definedName>
    <definedName localSheetId="31" name="bubungangentengbeton">#REF!</definedName>
    <definedName localSheetId="3" name="plywood6mm">#REF!</definedName>
    <definedName localSheetId="32" name="batamerah">#REF!</definedName>
    <definedName localSheetId="15" name="FORM79mekanis">#REF!</definedName>
    <definedName localSheetId="5" name="R10..">#REF!</definedName>
    <definedName localSheetId="7" name="______LLL05">#REF!</definedName>
    <definedName localSheetId="13" name="bbm">#REF!</definedName>
    <definedName localSheetId="19" name="ubinkeramikartistik520">#REF!</definedName>
    <definedName localSheetId="13" name="coveartistik">#REF!</definedName>
    <definedName localSheetId="42" name="_______MMM01">#REF!</definedName>
    <definedName localSheetId="3" name="_________MMM03">#REF!</definedName>
    <definedName localSheetId="21" name="plywood9mm">#REF!</definedName>
    <definedName localSheetId="28" name="Excel_BuiltIn_Print_Titles_10">#REF!</definedName>
    <definedName localSheetId="4" name="dua">#REF!</definedName>
    <definedName localSheetId="44" name="___MMM18">#REF!</definedName>
    <definedName localSheetId="7" name="penduduk">#REF!</definedName>
    <definedName localSheetId="6" name="Kunci2">#REF!</definedName>
    <definedName localSheetId="30" name="plastikaerator">#REF!</definedName>
    <definedName localSheetId="39" name="URAIAN22L">#REF!</definedName>
    <definedName localSheetId="23" name="_pc40">#REF!</definedName>
    <definedName localSheetId="30" name="_____DIV2">#REF!</definedName>
    <definedName name="platasbes5mm">#REF!</definedName>
    <definedName localSheetId="13" name="floorhardenermastercron">#REF!</definedName>
    <definedName localSheetId="36" name="_pvc3">#REF!</definedName>
    <definedName localSheetId="25" name="___MMM02">#REF!</definedName>
    <definedName localSheetId="7" name="FORM96">#REF!</definedName>
    <definedName localSheetId="44" name="_______MMM17">#REF!</definedName>
    <definedName localSheetId="27" name="ubinkeramikartistik520">#REF!</definedName>
    <definedName localSheetId="7" name="k.rmmn.30.30.pls">#REF!</definedName>
    <definedName localSheetId="28" name="sis">#REF!</definedName>
    <definedName localSheetId="21" name="_______MMM04">#REF!</definedName>
    <definedName localSheetId="34" name="plintkeramikartistik1010">#REF!</definedName>
    <definedName localSheetId="17" name="sengplatbjls28">#REF!</definedName>
    <definedName localSheetId="21" name="___pvc2">#REF!</definedName>
    <definedName localSheetId="40" name="batugranito">#REF!</definedName>
    <definedName localSheetId="24" name="______MMM05">#REF!</definedName>
    <definedName localSheetId="41" name="batamerah">#REF!</definedName>
    <definedName localSheetId="40" name="_____DIV3">#REF!</definedName>
    <definedName name="tukng">#REF!</definedName>
    <definedName localSheetId="5" name="MMM17A">#REF!</definedName>
    <definedName localSheetId="0" name="tegelplinpc10x20">#REF!</definedName>
    <definedName localSheetId="3" name="_______MMM31">#REF!</definedName>
    <definedName localSheetId="6" name="________HAL2">#REF!</definedName>
    <definedName localSheetId="7" name="Gypsum">#REF!</definedName>
    <definedName localSheetId="41" name="___MMM02">#REF!</definedName>
    <definedName localSheetId="15" name="_____DIV10">#REF!</definedName>
    <definedName name="P">#REF!</definedName>
    <definedName localSheetId="24" name="URAIAN918">#REF!</definedName>
    <definedName localSheetId="21" name="_PC50">#REF!</definedName>
    <definedName localSheetId="19" name="URAIAN66PERATA">#REF!</definedName>
    <definedName localSheetId="17" name="ppnip">#REF!</definedName>
    <definedName localSheetId="9" name="Per">#REF!</definedName>
    <definedName localSheetId="44" name="________MMM22">#REF!</definedName>
    <definedName localSheetId="38" name="______MMM02">#REF!</definedName>
    <definedName localSheetId="24" name="URAIAN231">#REF!</definedName>
    <definedName localSheetId="3" name="FORM611">#REF!</definedName>
    <definedName localSheetId="28" name="_pvc2">#REF!</definedName>
    <definedName localSheetId="28" name="P">#REF!</definedName>
    <definedName localSheetId="6" name="asbesgelombang">#REF!</definedName>
    <definedName localSheetId="23" name="FORM7614c">#REF!</definedName>
    <definedName name="URAIAN233">#REF!</definedName>
    <definedName localSheetId="41" name="batapelapisdinding">#REF!</definedName>
    <definedName localSheetId="7" name="ktky">#REF!</definedName>
    <definedName localSheetId="23" name="ktbs">#REF!</definedName>
    <definedName localSheetId="39" name="URAIAN7613a">#REF!</definedName>
    <definedName localSheetId="41" name="semenwarna">#REF!</definedName>
    <definedName localSheetId="8" name="FORM633">#REF!</definedName>
    <definedName localSheetId="3" name="R23..">#REF!</definedName>
    <definedName localSheetId="8" name="des">#REF!</definedName>
    <definedName localSheetId="38" name="URAIAN7612c">#REF!</definedName>
    <definedName localSheetId="36" name="tbkr">#REF!</definedName>
    <definedName name="______HAL1">#REF!</definedName>
    <definedName localSheetId="44" name="pijar15">#REF!</definedName>
    <definedName localSheetId="3" name="FORM97">#REF!</definedName>
    <definedName localSheetId="19" name="____DIV3">#REF!</definedName>
    <definedName localSheetId="28" name="kayubulian">#REF!</definedName>
    <definedName localSheetId="44" name="tegelplin20x20">#REF!</definedName>
    <definedName localSheetId="12" name="engsel4">#REF!</definedName>
    <definedName localSheetId="12" name="he">#REF!</definedName>
    <definedName localSheetId="32" name="platasbes4mm">#REF!</definedName>
    <definedName localSheetId="13" name="mapel">#REF!</definedName>
    <definedName localSheetId="8" name="beton175R">#REF!</definedName>
    <definedName localSheetId="32" name="URAIAN745">#REF!</definedName>
    <definedName localSheetId="6" name="__MMM03">#REF!</definedName>
    <definedName localSheetId="24" name="________DIV6">#REF!</definedName>
    <definedName localSheetId="27" name="bakkontrol">#REF!</definedName>
    <definedName localSheetId="31" name="FORM7612c">#REF!</definedName>
    <definedName localSheetId="4" name="FORM7612c">#REF!</definedName>
    <definedName localSheetId="33" name="plamour">#REF!</definedName>
    <definedName localSheetId="11" name="wwww">#REF!</definedName>
    <definedName localSheetId="42" name="btn">#REF!</definedName>
    <definedName name="tegelporselen11x11">#REF!</definedName>
    <definedName localSheetId="6" name="R100..">#REF!</definedName>
    <definedName localSheetId="36" name="w.stain">#REF!</definedName>
    <definedName localSheetId="27" name="kaca3">#REF!</definedName>
    <definedName localSheetId="18" name="siap1">#REF!</definedName>
    <definedName localSheetId="20" name="pakusirap">#REF!</definedName>
    <definedName localSheetId="32" name="____MMM02">#REF!</definedName>
    <definedName localSheetId="6" name="sealent">#REF!</definedName>
    <definedName localSheetId="0" name="TANAH">#REF!</definedName>
    <definedName localSheetId="40" name="rapidrant">#REF!</definedName>
    <definedName localSheetId="41" name="_____HAL1">#REF!</definedName>
    <definedName localSheetId="36" name="DAYWORKS">#REF!</definedName>
    <definedName localSheetId="44" name="R68..">#REF!</definedName>
    <definedName localSheetId="30" name="rapidrant">#REF!</definedName>
    <definedName localSheetId="7" name="kusen.alum">#REF!</definedName>
    <definedName localSheetId="5" name="p.triplek">#REF!</definedName>
    <definedName localSheetId="7" name="beton225r">#REF!</definedName>
    <definedName localSheetId="3" name="_____DIV7">#REF!</definedName>
    <definedName localSheetId="11" name="pindahan">#REF!</definedName>
    <definedName localSheetId="21" name="___MMM25">#REF!</definedName>
    <definedName localSheetId="24" name="URAIAN635A">#REF!</definedName>
    <definedName localSheetId="10" name="Gypsum">#REF!</definedName>
    <definedName localSheetId="24" name="kuncialfa">#REF!</definedName>
    <definedName localSheetId="20" name="URAIAN66PERMUKAAN">#REF!</definedName>
    <definedName localSheetId="24" name="__PC50">#REF!</definedName>
    <definedName localSheetId="44" name="__Tl1">#REF!</definedName>
    <definedName localSheetId="4" name="keramik40">#REF!</definedName>
    <definedName localSheetId="24" name="____DIV6">#REF!</definedName>
    <definedName localSheetId="3" name="_________HAL2">#REF!</definedName>
    <definedName localSheetId="25" name="Nokmetal3mm">#REF!</definedName>
    <definedName localSheetId="8" name="Ktbt">#REF!</definedName>
    <definedName name="platasbes">#REF!</definedName>
    <definedName localSheetId="7" name="bubunganasbesgelombang">#REF!</definedName>
    <definedName localSheetId="28" name="KTM">#REF!</definedName>
    <definedName localSheetId="44" name="FORM910">#REF!</definedName>
    <definedName localSheetId="6" name="tky">#REF!</definedName>
    <definedName localSheetId="41" name="meni.kayu">#REF!</definedName>
    <definedName localSheetId="17" name="_________MMM46">#REF!</definedName>
    <definedName localSheetId="38" name="__HAL5">#REF!</definedName>
    <definedName localSheetId="17" name="________HAL1">#REF!</definedName>
    <definedName localSheetId="7" name="____LLL10">#REF!</definedName>
    <definedName localSheetId="38" name="papanbulian">#REF!</definedName>
    <definedName localSheetId="44" name="sengplatbjls25">#REF!</definedName>
    <definedName name="________MMM29">#REF!</definedName>
    <definedName localSheetId="44" name="___HAL1">#REF!</definedName>
    <definedName localSheetId="31" name="__DIV10">#REF!</definedName>
    <definedName localSheetId="7" name="pvc1.2.wav.aw">#REF!</definedName>
    <definedName localSheetId="6" name="_HAL5">#REF!</definedName>
    <definedName localSheetId="0" name="KT">#REF!</definedName>
    <definedName localSheetId="34" name="_______HAL1">#REF!</definedName>
    <definedName localSheetId="25" name="_pp1">#REF!</definedName>
    <definedName localSheetId="7" name="_________MMM26">#REF!</definedName>
    <definedName localSheetId="21" name="URAIAN733">#REF!</definedName>
    <definedName localSheetId="44" name="_____MMM05">#REF!</definedName>
    <definedName localSheetId="11" name="________HAL1">#REF!</definedName>
    <definedName localSheetId="20" name="batu.jogja">#REF!</definedName>
    <definedName localSheetId="8" name="k.beton">#REF!</definedName>
    <definedName localSheetId="24" name="R14..">#REF!</definedName>
    <definedName localSheetId="6" name="FORMLatasirKL">#REF!</definedName>
    <definedName localSheetId="17" name="beton175m">#REF!</definedName>
    <definedName localSheetId="24" name="______MMM24">#REF!</definedName>
    <definedName localSheetId="3" name="____DIV2">#REF!</definedName>
    <definedName localSheetId="9" name="seng30">#REF!</definedName>
    <definedName localSheetId="44" name="_______LLL11">#REF!</definedName>
    <definedName localSheetId="31" name="gypsum.9">#REF!</definedName>
    <definedName localSheetId="30" name="FORM841">#REF!</definedName>
    <definedName localSheetId="23" name="rollingdoor">#REF!</definedName>
    <definedName localSheetId="21" name="_MMM05">#REF!</definedName>
    <definedName localSheetId="10" name="Closet.c420">#REF!</definedName>
    <definedName localSheetId="7" name="u.besi">#REF!</definedName>
    <definedName localSheetId="30" name="reng">#REF!</definedName>
    <definedName localSheetId="21" name="q">#REF!</definedName>
    <definedName name="____HAL2">#REF!</definedName>
    <definedName localSheetId="0" name="pajak">#REF!</definedName>
    <definedName localSheetId="40" name="bjls30">#REF!</definedName>
    <definedName localSheetId="31" name="______HAL2">#REF!</definedName>
    <definedName localSheetId="30" name="FORM8410">#REF!</definedName>
    <definedName localSheetId="18" name="urugan">#REF!</definedName>
    <definedName localSheetId="17" name="________MMM03">#REF!</definedName>
    <definedName name="URAIAN7612b">#REF!</definedName>
    <definedName localSheetId="20" name="aaaaa">#REF!</definedName>
    <definedName localSheetId="34" name="kaca8">#REF!</definedName>
    <definedName localSheetId="28" name="_LLL01">#REF!</definedName>
    <definedName localSheetId="24" name="FORM621">#REF!</definedName>
    <definedName localSheetId="30" name="kuncisilinder">#REF!</definedName>
    <definedName localSheetId="6" name="wwww">#REF!</definedName>
    <definedName localSheetId="27" name="ttnh">#REF!</definedName>
    <definedName localSheetId="36" name="ubingranito40">#REF!</definedName>
    <definedName localSheetId="40" name="URAIAN22E">#REF!</definedName>
    <definedName localSheetId="31" name="p.bI">#REF!</definedName>
    <definedName localSheetId="33" name="URAIAN7610">#REF!</definedName>
    <definedName localSheetId="20" name="waterstop200">#REF!</definedName>
    <definedName localSheetId="24" name="_________HAL8">#REF!</definedName>
    <definedName localSheetId="41" name="p.bI">#REF!</definedName>
    <definedName localSheetId="38" name="bubunganasbesnok">#REF!</definedName>
    <definedName localSheetId="40" name="k.beton">#REF!</definedName>
    <definedName localSheetId="12" name="DAYWORKS">#REF!</definedName>
    <definedName name="_Ibr1">#REF!</definedName>
    <definedName localSheetId="21" name="___LLL01">#REF!</definedName>
    <definedName localSheetId="44" name="_______MMM04">#REF!</definedName>
    <definedName localSheetId="19" name="cattembok">#REF!</definedName>
    <definedName localSheetId="5" name="rubbercorrugate">#REF!</definedName>
    <definedName localSheetId="18" name="URAIAN631">#REF!</definedName>
    <definedName localSheetId="24" name="_MMM05">#REF!</definedName>
    <definedName localSheetId="6" name="_______MMM03">#REF!</definedName>
    <definedName localSheetId="39" name="c.maxi">#REF!</definedName>
    <definedName localSheetId="0" name="_kop6">#REF!</definedName>
    <definedName localSheetId="12" name="pp">#REF!</definedName>
    <definedName localSheetId="44" name="sirlak">#REF!</definedName>
    <definedName localSheetId="6" name="__pvc105">#REF!</definedName>
    <definedName localSheetId="24" name="spirtus">#REF!</definedName>
    <definedName localSheetId="0" name="besi12sii">#REF!</definedName>
    <definedName localSheetId="5" name="___DIV3">#REF!</definedName>
    <definedName localSheetId="20" name="namaabsen">#REF!</definedName>
    <definedName localSheetId="18" name="FORM323L">#REF!</definedName>
    <definedName localSheetId="7" name="_____MMM37">#REF!</definedName>
    <definedName localSheetId="7" name="____MMM47">#REF!</definedName>
    <definedName localSheetId="8" name="pakusumbat">#REF!</definedName>
    <definedName localSheetId="19" name="stairnzing">#REF!</definedName>
    <definedName localSheetId="38" name="RoolingdoorAlumunium">#REF!</definedName>
    <definedName localSheetId="32" name="pijar15">#REF!</definedName>
    <definedName localSheetId="21" name="Kurs">#REF!</definedName>
    <definedName name="dasar">#REF!</definedName>
    <definedName localSheetId="11" name="JA">#REF!</definedName>
    <definedName localSheetId="27" name="kaca.p.5">#REF!</definedName>
    <definedName localSheetId="27" name="amobiotic">#REF!</definedName>
    <definedName localSheetId="13" name="_tl2">#REF!</definedName>
    <definedName localSheetId="3" name="__MMM36">#REF!</definedName>
    <definedName localSheetId="31" name="__MMM01">#REF!</definedName>
    <definedName localSheetId="11" name="FORM612">#REF!</definedName>
    <definedName localSheetId="28" name="_DIV3">#REF!</definedName>
    <definedName localSheetId="17" name="____MMM06">#REF!</definedName>
    <definedName localSheetId="39" name="dempul">#REF!</definedName>
    <definedName localSheetId="40" name="kaca5">#REF!</definedName>
    <definedName localSheetId="30" name="teakwood6mm">#REF!</definedName>
    <definedName localSheetId="13" name="___HAL3">#REF!</definedName>
    <definedName localSheetId="42" name="plintubinwarna1030">#REF!</definedName>
    <definedName localSheetId="11" name="__DIV3">#REF!</definedName>
    <definedName localSheetId="42" name="besipresstressedpolos">#REF!</definedName>
    <definedName localSheetId="44" name="___DIV8">#REF!</definedName>
    <definedName localSheetId="20" name="M">#REF!</definedName>
    <definedName localSheetId="42" name="R5..">#REF!</definedName>
    <definedName name="sssssss">#REF!</definedName>
    <definedName localSheetId="17" name="sealer.mowi">#REF!</definedName>
    <definedName localSheetId="21" name="______LLL05">#REF!</definedName>
    <definedName localSheetId="21" name="p.kmp.smrd.3.20">#REF!</definedName>
    <definedName localSheetId="25" name="___DIV3">#REF!</definedName>
    <definedName localSheetId="12" name="BAJA">#REF!</definedName>
    <definedName localSheetId="18" name="plintubinwarna1030">#REF!</definedName>
    <definedName localSheetId="4" name="lis">#REF!</definedName>
    <definedName localSheetId="38" name="URAIAN612">#REF!</definedName>
    <definedName localSheetId="25" name="_____MMM02">#REF!</definedName>
    <definedName localSheetId="6" name="hcs">#REF!</definedName>
    <definedName localSheetId="20" name="_Tl1">#REF!</definedName>
    <definedName localSheetId="17" name="URAIAN66PERATA">#REF!</definedName>
    <definedName localSheetId="34" name="pintualuminium">#REF!</definedName>
    <definedName localSheetId="10" name="KunciPintu">#REF!</definedName>
    <definedName localSheetId="19" name="Analisa55">#REF!</definedName>
    <definedName localSheetId="33" name="bjls30">#REF!</definedName>
    <definedName localSheetId="7" name="_MMM16">#REF!</definedName>
    <definedName localSheetId="28" name="drkeet">#REF!</definedName>
    <definedName localSheetId="12" name="tky">#REF!</definedName>
    <definedName localSheetId="23" name="pagar2m">#REF!</definedName>
    <definedName localSheetId="19" name="ngsel4">#REF!</definedName>
    <definedName localSheetId="25" name="pp">#REF!</definedName>
    <definedName localSheetId="41" name="___HAL2">#REF!</definedName>
    <definedName localSheetId="9" name="FORM79mekanis">#REF!</definedName>
    <definedName localSheetId="38" name="ubinteraso40">#REF!</definedName>
    <definedName localSheetId="44" name="_____LLL01">#REF!</definedName>
    <definedName localSheetId="27" name="__Tl1">#REF!</definedName>
    <definedName localSheetId="34" name="Skrup">#REF!</definedName>
    <definedName localSheetId="20" name="_____MMM03">#REF!</definedName>
    <definedName localSheetId="24" name="_____MMM06">#REF!</definedName>
    <definedName localSheetId="36" name="FORM721">#REF!</definedName>
    <definedName localSheetId="32" name="doorstop">#REF!</definedName>
    <definedName name="______MMM23">#REF!</definedName>
    <definedName localSheetId="27" name="engsel3">#REF!</definedName>
    <definedName localSheetId="17" name="_________MMM27">#REF!</definedName>
    <definedName localSheetId="23" name="na">#REF!</definedName>
    <definedName localSheetId="7" name="___DIV7">#REF!</definedName>
    <definedName localSheetId="24" name="bubunganasbesgelombang">#REF!</definedName>
    <definedName localSheetId="21" name="pasirpas">#REF!</definedName>
    <definedName localSheetId="3" name="________MMM22">#REF!</definedName>
    <definedName localSheetId="7" name="________DIV10">#REF!</definedName>
    <definedName localSheetId="18" name="tegelporselen">#REF!</definedName>
    <definedName localSheetId="5" name="borneo4.6">#REF!</definedName>
    <definedName name="_LLL08">#REF!</definedName>
    <definedName localSheetId="12" name="ss">#REF!</definedName>
    <definedName localSheetId="32" name="FORM79mekanis">#REF!</definedName>
    <definedName localSheetId="4" name="w.stain">#REF!</definedName>
    <definedName localSheetId="21" name="__Tl1">#REF!</definedName>
    <definedName localSheetId="6" name="DUDI">#REF!</definedName>
    <definedName localSheetId="12" name="URAIAN732">#REF!</definedName>
    <definedName localSheetId="42" name="__tl2">#REF!</definedName>
    <definedName localSheetId="10" name="R10..">#REF!</definedName>
    <definedName localSheetId="21" name="______MMM51">#REF!</definedName>
    <definedName localSheetId="24" name="waterstop150">#REF!</definedName>
    <definedName localSheetId="15" name="medan5.7">#REF!</definedName>
    <definedName localSheetId="8" name="Fak">#REF!</definedName>
    <definedName localSheetId="9" name="vinylasbes">#REF!</definedName>
    <definedName localSheetId="3" name="kacawireglass5">#REF!</definedName>
    <definedName localSheetId="32" name="URAIAN22L">#REF!</definedName>
    <definedName localSheetId="36" name="mapel">#REF!</definedName>
    <definedName name="pddk">#REF!</definedName>
    <definedName localSheetId="12" name="______MMM01">#REF!</definedName>
    <definedName localSheetId="3" name="rincian">#REF!</definedName>
    <definedName localSheetId="28" name="plintubinteraluxkerang1040">#REF!</definedName>
    <definedName localSheetId="19" name="marmer">#REF!</definedName>
    <definedName localSheetId="17" name="R26..">#REF!</definedName>
    <definedName localSheetId="39" name="kran.ddg">#REF!</definedName>
    <definedName localSheetId="4" name="platasbes">#REF!</definedName>
    <definedName localSheetId="39" name="doorstop">#REF!</definedName>
    <definedName localSheetId="7" name="reng">#REF!</definedName>
    <definedName localSheetId="44" name="FORM94">#REF!</definedName>
    <definedName name="________MMM52">#REF!</definedName>
    <definedName localSheetId="34" name="oke">#REF!</definedName>
    <definedName localSheetId="32" name="__DIV10">#REF!</definedName>
    <definedName localSheetId="5" name="JA">#REF!</definedName>
    <definedName localSheetId="0" name="plintubingranito1030">#REF!</definedName>
    <definedName localSheetId="17" name="______LLL10">#REF!</definedName>
    <definedName localSheetId="17" name="____DIV9">#REF!</definedName>
    <definedName localSheetId="20" name="_MMM02">#REF!</definedName>
    <definedName localSheetId="38" name="__pvc05">#REF!</definedName>
    <definedName localSheetId="34" name="kmp.banjar">#REF!</definedName>
    <definedName localSheetId="39" name="ngsel4">#REF!</definedName>
    <definedName localSheetId="9" name="jamtandem">#REF!</definedName>
    <definedName localSheetId="20" name="bjls30">#REF!</definedName>
    <definedName localSheetId="8" name="_MMM01">#REF!</definedName>
    <definedName localSheetId="3" name="__DIV2">#REF!</definedName>
    <definedName localSheetId="21" name="Excel_BuiltIn_Print_Area_1">#REF!</definedName>
    <definedName localSheetId="13" name="B.Aparatur">#REF!</definedName>
    <definedName localSheetId="32" name="JUDUL1">#REF!</definedName>
    <definedName localSheetId="41" name="_HAL4">#REF!</definedName>
    <definedName localSheetId="9" name="vernis">#REF!</definedName>
    <definedName localSheetId="20" name="pakuhalus">#REF!</definedName>
    <definedName localSheetId="5" name="Nokmetal3mm">#REF!</definedName>
    <definedName localSheetId="38" name="_______HAL3">#REF!</definedName>
    <definedName localSheetId="17" name="_________MMM12">#REF!</definedName>
    <definedName localSheetId="11" name="____DIV2">#REF!</definedName>
    <definedName localSheetId="0" name="_DIV1">#REF!</definedName>
    <definedName localSheetId="42" name="kawatduri">#REF!</definedName>
    <definedName localSheetId="38" name="______DIV3">#REF!</definedName>
    <definedName localSheetId="15" name="Aluminium">#REF!</definedName>
    <definedName name="_MMM26">#REF!</definedName>
    <definedName localSheetId="31" name="dasar">#REF!</definedName>
    <definedName name="MMM35A">#REF!</definedName>
    <definedName localSheetId="24" name="___MMM26">#REF!</definedName>
    <definedName localSheetId="10" name="R31..">#REF!</definedName>
    <definedName localSheetId="44" name="tegelporselen10x20warna">#REF!</definedName>
    <definedName localSheetId="39" name="_______MMM03">#REF!</definedName>
    <definedName localSheetId="13" name="__pvc3">#REF!</definedName>
    <definedName localSheetId="33" name="_LLL01">#REF!</definedName>
    <definedName localSheetId="6" name="gabin_al">#REF!</definedName>
    <definedName localSheetId="4" name="_HAL6">#REF!</definedName>
    <definedName localSheetId="6" name="pagar2m">#REF!</definedName>
    <definedName localSheetId="8" name="URAIANLatasirK">#REF!</definedName>
    <definedName localSheetId="12" name="bjls25">#REF!</definedName>
    <definedName name="FORM79mekanis">#REF!</definedName>
    <definedName localSheetId="41" name="sirlak">#REF!</definedName>
    <definedName localSheetId="7" name="R48..">#REF!</definedName>
    <definedName localSheetId="11" name="aaaaa">#REF!</definedName>
    <definedName localSheetId="25" name="URAIAN621">#REF!</definedName>
    <definedName localSheetId="23" name="_______HAL3">#REF!</definedName>
    <definedName localSheetId="21" name="bouwplnk">#REF!</definedName>
    <definedName localSheetId="39" name="tbkr">#REF!</definedName>
    <definedName localSheetId="7" name="URAIAN734">#REF!</definedName>
    <definedName localSheetId="21" name="___MMM04">#REF!</definedName>
    <definedName localSheetId="3" name="_________MMM22">#REF!</definedName>
    <definedName localSheetId="5" name="platasbes35mm">#REF!</definedName>
    <definedName localSheetId="30" name="bubunganasbesnok">#REF!</definedName>
    <definedName localSheetId="36" name="JA">#REF!</definedName>
    <definedName localSheetId="18" name="URAIAN611">#REF!</definedName>
    <definedName localSheetId="39" name="pintugulungbesi">#REF!</definedName>
    <definedName localSheetId="32" name="UPAH">#REF!</definedName>
    <definedName localSheetId="31" name="sengplatbjls25">#REF!</definedName>
    <definedName localSheetId="7" name="R78..">#REF!</definedName>
    <definedName localSheetId="21" name="terntang">#REF!</definedName>
    <definedName localSheetId="3" name="______LLL08">#REF!</definedName>
    <definedName localSheetId="21" name="___MMM38">#REF!</definedName>
    <definedName localSheetId="20" name="ubinkeramik1020">#REF!</definedName>
    <definedName localSheetId="36" name="split2.3">#REF!</definedName>
    <definedName localSheetId="6" name="gggg">#REF!</definedName>
    <definedName localSheetId="4" name="RINCIANSEWA2">#REF!</definedName>
    <definedName localSheetId="0" name="grassblok">#REF!</definedName>
    <definedName localSheetId="34" name="URAIAN21">#REF!</definedName>
    <definedName localSheetId="18" name="R40..">#REF!</definedName>
    <definedName localSheetId="42" name="plintkeramikartistik1010">#REF!</definedName>
    <definedName localSheetId="24" name="FORM611">#REF!</definedName>
    <definedName localSheetId="3" name="puzzdilth">#REF!</definedName>
    <definedName localSheetId="17" name="pa">#REF!</definedName>
    <definedName localSheetId="27" name="alangalang">#REF!</definedName>
    <definedName localSheetId="34" name="ktky">#REF!</definedName>
    <definedName localSheetId="21" name="_____MMM13">#REF!</definedName>
    <definedName localSheetId="27" name="kacacermin8">#REF!</definedName>
    <definedName localSheetId="17" name="ubinkeramikartistik1020">#REF!</definedName>
    <definedName localSheetId="24" name="kuncitanamantik">#REF!</definedName>
    <definedName localSheetId="23" name="Print_Area_MI">#REF!</definedName>
    <definedName localSheetId="32" name="KERAMIK30">#REF!</definedName>
    <definedName localSheetId="33" name="KunciPintu">#REF!</definedName>
    <definedName localSheetId="24" name="bondbeam">#REF!</definedName>
    <definedName localSheetId="25" name="Fak">#REF!</definedName>
    <definedName localSheetId="21" name="_____MMM25">#REF!</definedName>
    <definedName localSheetId="7" name="__MMM33">#REF!</definedName>
    <definedName localSheetId="31" name="catmeni">#REF!</definedName>
    <definedName localSheetId="5" name="URAIAN21">#REF!</definedName>
    <definedName localSheetId="6" name="sirlak">#REF!</definedName>
    <definedName localSheetId="27" name="plintubinwarna1030">#REF!</definedName>
    <definedName localSheetId="13" name="___DIV10">#REF!</definedName>
    <definedName localSheetId="4" name="besiprofilWF">#REF!</definedName>
    <definedName localSheetId="27" name="RoolingdoorAlumunium">#REF!</definedName>
    <definedName localSheetId="11" name="sealer">#REF!</definedName>
    <definedName localSheetId="40" name="SusunanOrg">#REF!</definedName>
    <definedName localSheetId="23" name="pipabeton">#REF!</definedName>
    <definedName localSheetId="6" name="seng30">#REF!</definedName>
    <definedName localSheetId="15" name="URAIAN7613b">#REF!</definedName>
    <definedName name="ts">#REF!</definedName>
    <definedName localSheetId="28" name="Batupuru">#REF!</definedName>
    <definedName localSheetId="32" name="___HAL3">#REF!</definedName>
    <definedName name="URAIAN7612c">#REF!</definedName>
    <definedName localSheetId="18" name="b.belah">#REF!</definedName>
    <definedName localSheetId="36" name="RoolingdoorAlumunium">#REF!</definedName>
    <definedName localSheetId="0" name="besijaringkawatbaja">#REF!</definedName>
    <definedName localSheetId="8" name="ubingranito40">#REF!</definedName>
    <definedName localSheetId="25" name="plintubinteraluxmarmer1060">#REF!</definedName>
    <definedName localSheetId="3" name="plintkeramikartistik1020">#REF!</definedName>
    <definedName name="_____MMM14">#REF!</definedName>
    <definedName localSheetId="36" name="_DIV3">#REF!</definedName>
    <definedName localSheetId="3" name="______MMM01">#REF!</definedName>
    <definedName localSheetId="30" name="batuporos">#REF!</definedName>
    <definedName localSheetId="39" name="sis">#REF!</definedName>
    <definedName localSheetId="24" name="___LLL06">#REF!</definedName>
    <definedName localSheetId="11" name="ubinteraso30">#REF!</definedName>
    <definedName localSheetId="21" name="___HAL3">#REF!</definedName>
    <definedName localSheetId="24" name="_____DIV4">#REF!</definedName>
    <definedName localSheetId="9" name="jki">#REF!</definedName>
    <definedName localSheetId="3" name="LAINLAIN">#REF!</definedName>
    <definedName localSheetId="36" name="URAIAN771b">#REF!</definedName>
    <definedName localSheetId="3" name="__MMM49">#REF!</definedName>
    <definedName localSheetId="33" name="borneo5.7">#REF!</definedName>
    <definedName localSheetId="44" name="plintubinpcabuabu1520">#REF!</definedName>
    <definedName localSheetId="38" name="kunci2slag">#REF!</definedName>
    <definedName localSheetId="11" name="plamour">#REF!</definedName>
    <definedName localSheetId="20" name="waterstop150">#REF!</definedName>
    <definedName localSheetId="39" name="___DIV4">#REF!</definedName>
    <definedName localSheetId="12" name="FORM79manual">#REF!</definedName>
    <definedName localSheetId="21" name="___pvc3">#REF!</definedName>
    <definedName name="___MMM29">#REF!</definedName>
    <definedName localSheetId="12" name="kacacermin6">#REF!</definedName>
    <definedName localSheetId="7" name="papanII">#REF!</definedName>
    <definedName localSheetId="21" name="_____DIV9">#REF!</definedName>
    <definedName localSheetId="13" name="_______MMM03">#REF!</definedName>
    <definedName localSheetId="21" name="__MMM20">#REF!</definedName>
    <definedName name="bbm">#REF!</definedName>
    <definedName localSheetId="28" name="KT">#REF!</definedName>
    <definedName localSheetId="24" name="_________MMM43">#REF!</definedName>
    <definedName localSheetId="3" name="R109..">#REF!</definedName>
    <definedName localSheetId="28" name="besi10.sii">#REF!</definedName>
    <definedName localSheetId="40" name="tegelporselen">#REF!</definedName>
    <definedName localSheetId="3" name="Analisa512">#REF!</definedName>
    <definedName localSheetId="10" name="Print_title">#REF!</definedName>
    <definedName localSheetId="18" name="_Tl1">#REF!</definedName>
    <definedName localSheetId="0" name="mowi.w.shield">#REF!</definedName>
    <definedName localSheetId="44" name="vernis">#REF!</definedName>
    <definedName localSheetId="42" name="_pvc2">#REF!</definedName>
    <definedName localSheetId="42" name="tpipa">#REF!</definedName>
    <definedName name="FORM612">#REF!</definedName>
    <definedName localSheetId="17" name="batukali14">#REF!</definedName>
    <definedName localSheetId="0" name="____MMM01">#REF!</definedName>
    <definedName localSheetId="44" name="_MMM05">#REF!</definedName>
    <definedName localSheetId="21" name="____MMM03">#REF!</definedName>
    <definedName localSheetId="36" name="s.tukang">#REF!</definedName>
    <definedName localSheetId="44" name="Batas16.21">#REF!</definedName>
    <definedName localSheetId="13" name="_MMM03">#REF!</definedName>
    <definedName localSheetId="39" name="c.mowi.dlm">#REF!</definedName>
    <definedName localSheetId="24" name="pakugalvanis">#REF!</definedName>
    <definedName localSheetId="38" name="FORM7613c">#REF!</definedName>
    <definedName localSheetId="11" name="URAIAN611">#REF!</definedName>
    <definedName localSheetId="41" name="URAIAN22E">#REF!</definedName>
    <definedName localSheetId="25" name="URAIAN66PERATA">#REF!</definedName>
    <definedName localSheetId="19" name="plywood4">#REF!</definedName>
    <definedName name="Jasa">#REF!</definedName>
    <definedName localSheetId="13" name="JUDUL1">#REF!</definedName>
    <definedName localSheetId="7" name="_MMM49">#REF!</definedName>
    <definedName localSheetId="42" name="terntang">#REF!</definedName>
    <definedName localSheetId="24" name="________MMM54">#REF!</definedName>
    <definedName localSheetId="28" name="_PC50">#REF!</definedName>
    <definedName localSheetId="5" name="plintubinwarna1030">#REF!</definedName>
    <definedName localSheetId="11" name="ubinkeramik1020">#REF!</definedName>
    <definedName localSheetId="17" name="_______LLL10">#REF!</definedName>
    <definedName localSheetId="17" name="borneo4.6">#REF!</definedName>
    <definedName localSheetId="32" name="rapidrant">#REF!</definedName>
    <definedName localSheetId="19" name="besi12sii">#REF!</definedName>
    <definedName localSheetId="36" name="G.Kramik">#REF!</definedName>
    <definedName localSheetId="44" name="_________LLL09">#REF!</definedName>
    <definedName localSheetId="25" name="R2..">#REF!</definedName>
    <definedName localSheetId="19" name="L">#REF!</definedName>
    <definedName localSheetId="3" name="______LLL07">#REF!</definedName>
    <definedName localSheetId="13" name="nokpaten092">#REF!</definedName>
    <definedName localSheetId="39" name="__MMM01">#REF!</definedName>
    <definedName localSheetId="17" name="_________MMM30">#REF!</definedName>
    <definedName localSheetId="0" name="beton225r">#REF!</definedName>
    <definedName localSheetId="39" name="ttnh">#REF!</definedName>
    <definedName localSheetId="8" name="kawatnyamuk">#REF!</definedName>
    <definedName name="Analisa661">#REF!</definedName>
    <definedName localSheetId="17" name="PT">#REF!</definedName>
    <definedName localSheetId="44" name="__MMM17">#REF!</definedName>
    <definedName localSheetId="10" name="__Tl1">#REF!</definedName>
    <definedName localSheetId="38" name="JL_NAS">#REF!</definedName>
    <definedName localSheetId="6" name="urugan">#REF!</definedName>
    <definedName localSheetId="12" name="Akustik">#REF!</definedName>
    <definedName localSheetId="25" name="URAIAN7613c">#REF!</definedName>
    <definedName localSheetId="4" name="tpipa">#REF!</definedName>
    <definedName localSheetId="21" name="besi13u">#REF!</definedName>
    <definedName localSheetId="5" name="_____HAL3">#REF!</definedName>
    <definedName localSheetId="33" name="kuncitanam">#REF!</definedName>
    <definedName localSheetId="21" name="___MMM11">#REF!</definedName>
    <definedName localSheetId="38" name="wallpaper">#REF!</definedName>
    <definedName localSheetId="4" name="_KOP7">#REF!</definedName>
    <definedName localSheetId="23" name="plintubinteraso1030">#REF!</definedName>
    <definedName localSheetId="10" name="_DIV2">#REF!</definedName>
    <definedName localSheetId="7" name="bjls30">#REF!</definedName>
    <definedName localSheetId="34" name="___DIV1">#REF!</definedName>
    <definedName localSheetId="9" name="FORM7614c">#REF!</definedName>
    <definedName localSheetId="11" name="kawatharmonika">#REF!</definedName>
    <definedName localSheetId="30" name="vernis">#REF!</definedName>
    <definedName localSheetId="4" name="SusunanOrg">#REF!</definedName>
    <definedName localSheetId="28" name="R3..">#REF!</definedName>
    <definedName localSheetId="30" name="ubingranito30">#REF!</definedName>
    <definedName localSheetId="38" name="bubunganasbesgelombang">#REF!</definedName>
    <definedName localSheetId="25" name="medan5.10">#REF!</definedName>
    <definedName localSheetId="31" name="ubinkeramik1033">#REF!</definedName>
    <definedName localSheetId="12" name="hollowblok">#REF!</definedName>
    <definedName name="plastikaerator">#REF!</definedName>
    <definedName localSheetId="17" name="_________DIV8">#REF!</definedName>
    <definedName localSheetId="23" name="batapelapisklinker">#REF!</definedName>
    <definedName name="____MMM19">#REF!</definedName>
    <definedName localSheetId="13" name="pakuskrup">#REF!</definedName>
    <definedName localSheetId="40" name="c.mowi.luar">#REF!</definedName>
    <definedName localSheetId="31" name="_MMM03">#REF!</definedName>
    <definedName localSheetId="19" name="zzz">#REF!</definedName>
    <definedName localSheetId="18" name="plesteran13">#REF!</definedName>
    <definedName localSheetId="20" name="sdg">#REF!</definedName>
    <definedName localSheetId="42" name="waterstop200">#REF!</definedName>
    <definedName localSheetId="19" name="_HAL5">#REF!</definedName>
    <definedName localSheetId="24" name="aluminiumfoil">#REF!</definedName>
    <definedName localSheetId="19" name="___HAL3">#REF!</definedName>
    <definedName localSheetId="17" name="___LLL01">#REF!</definedName>
    <definedName localSheetId="24" name="FORM633">#REF!</definedName>
    <definedName localSheetId="25" name="G">#REF!</definedName>
    <definedName localSheetId="41" name="___DIV10">#REF!</definedName>
    <definedName localSheetId="39" name="p.bI">#REF!</definedName>
    <definedName localSheetId="6" name="gali">#REF!</definedName>
    <definedName localSheetId="44" name="_____MMM48">#REF!</definedName>
    <definedName localSheetId="36" name="FORM7612c">#REF!</definedName>
    <definedName localSheetId="17" name="___LLL03">#REF!</definedName>
    <definedName localSheetId="25" name="Pjgsloof">#REF!</definedName>
    <definedName localSheetId="17" name="_____MMM27">#REF!</definedName>
    <definedName name="__HAL8">#REF!</definedName>
    <definedName localSheetId="9" name="URAIAN721">#REF!</definedName>
    <definedName localSheetId="21" name="______MMM45">#REF!</definedName>
    <definedName localSheetId="34" name="__pvc105">#REF!</definedName>
    <definedName localSheetId="33" name="_____HAL3">#REF!</definedName>
    <definedName name="vinylasbes">#REF!</definedName>
    <definedName localSheetId="17" name="k.beton">#REF!</definedName>
    <definedName localSheetId="31" name="t.sabun">#REF!</definedName>
    <definedName localSheetId="30" name="catmeni">#REF!</definedName>
    <definedName localSheetId="17" name="_________LLL06">#REF!</definedName>
    <definedName localSheetId="33" name="URAIAN771b">#REF!</definedName>
    <definedName localSheetId="17" name="URAIAN917">#REF!</definedName>
    <definedName localSheetId="17" name="URAIAN">#REF!</definedName>
    <definedName localSheetId="21" name="kran.bbk">#REF!</definedName>
    <definedName localSheetId="32" name="FORM7614c">#REF!</definedName>
    <definedName localSheetId="4" name="relpintudorong">#REF!</definedName>
    <definedName localSheetId="6" name="KunciPintu">#REF!</definedName>
    <definedName localSheetId="7" name="__MMM44">#REF!</definedName>
    <definedName localSheetId="40" name="R50..">#REF!</definedName>
    <definedName localSheetId="13" name="Jendelabesibaja">#REF!</definedName>
    <definedName localSheetId="23" name="______MMM01">#REF!</definedName>
    <definedName localSheetId="28" name="____DIV1">#REF!</definedName>
    <definedName localSheetId="24" name="f.drain">#REF!</definedName>
    <definedName localSheetId="34" name="________HAL1">#REF!</definedName>
    <definedName localSheetId="17" name="R58..">#REF!</definedName>
    <definedName localSheetId="30" name="pddk">#REF!</definedName>
    <definedName localSheetId="12" name="______DIV1">#REF!</definedName>
    <definedName localSheetId="31" name="Uraian8410">#REF!</definedName>
    <definedName localSheetId="9" name="pipatanah">#REF!</definedName>
    <definedName localSheetId="13" name="_________DIV2">#REF!</definedName>
    <definedName localSheetId="23" name="URAIAN7613b">#REF!</definedName>
    <definedName localSheetId="17" name="R27..">#REF!</definedName>
    <definedName localSheetId="15" name="KT">#REF!</definedName>
    <definedName localSheetId="12" name="plintubingranito1040">#REF!</definedName>
    <definedName localSheetId="28" name="cattembok">#REF!</definedName>
    <definedName localSheetId="11" name="_______DIV2">#REF!</definedName>
    <definedName localSheetId="8" name="spirtus">#REF!</definedName>
    <definedName localSheetId="31" name="________MMM01">#REF!</definedName>
    <definedName localSheetId="11" name="Uraian842">#REF!</definedName>
    <definedName localSheetId="21" name="_________LLL01">#REF!</definedName>
    <definedName localSheetId="8" name="mm">#REF!</definedName>
    <definedName localSheetId="27" name="FORM7612b">#REF!</definedName>
    <definedName localSheetId="13" name="bouwplnk">#REF!</definedName>
    <definedName localSheetId="31" name="grassblok">#REF!</definedName>
    <definedName localSheetId="10" name="ubingranito30">#REF!</definedName>
    <definedName localSheetId="8" name="Papanbouplank">#REF!</definedName>
    <definedName localSheetId="39" name="kiki">#REF!</definedName>
    <definedName localSheetId="44" name="dd">#REF!</definedName>
    <definedName localSheetId="30" name="tegel20">#REF!</definedName>
    <definedName localSheetId="15" name="JL_NAS">#REF!</definedName>
    <definedName localSheetId="21" name="_______HAL7">#REF!</definedName>
    <definedName localSheetId="9" name="Faktorial">#REF!</definedName>
    <definedName localSheetId="3" name="__LLL07">#REF!</definedName>
    <definedName localSheetId="30" name="rooflightfiibreglass">#REF!</definedName>
    <definedName localSheetId="10" name="_____DIV1">#REF!</definedName>
    <definedName localSheetId="18" name="tegelporselen10x20warna">#REF!</definedName>
    <definedName localSheetId="3" name="Analisa71106">#REF!</definedName>
    <definedName localSheetId="33" name="borneo4.6">#REF!</definedName>
    <definedName localSheetId="33" name="URAIAN22L">#REF!</definedName>
    <definedName localSheetId="31" name="kayutembesu">#REF!</definedName>
    <definedName localSheetId="3" name="_________DIV4">#REF!</definedName>
    <definedName localSheetId="17" name="____LLL04">#REF!</definedName>
    <definedName localSheetId="23" name="____HAL2">#REF!</definedName>
    <definedName localSheetId="5" name="____MMM03">#REF!</definedName>
    <definedName localSheetId="41" name="Jendelabesibaja">#REF!</definedName>
    <definedName localSheetId="33" name="____DIV10">#REF!</definedName>
    <definedName localSheetId="0" name="Faktorial">#REF!</definedName>
    <definedName localSheetId="18" name="sis">#REF!</definedName>
    <definedName localSheetId="39" name="________HAL3">#REF!</definedName>
    <definedName localSheetId="13" name="roll">#REF!</definedName>
    <definedName localSheetId="21" name="_MMM54">#REF!</definedName>
    <definedName localSheetId="17" name="beton225r">#REF!</definedName>
    <definedName name="Kekurangan">#REF!</definedName>
    <definedName localSheetId="19" name="Minyak">#REF!</definedName>
    <definedName localSheetId="23" name="batugranito">#REF!</definedName>
    <definedName localSheetId="10" name="tm_2415921492">#REF!</definedName>
    <definedName localSheetId="44" name="__LLL09">#REF!</definedName>
    <definedName localSheetId="27" name="R21..">#REF!</definedName>
    <definedName localSheetId="24" name="R36..">#REF!</definedName>
    <definedName localSheetId="4" name="roll">#REF!</definedName>
    <definedName localSheetId="7" name="__MMM30">#REF!</definedName>
    <definedName localSheetId="40" name="_kop6">#REF!</definedName>
    <definedName localSheetId="19" name="rollingdoor">#REF!</definedName>
    <definedName localSheetId="23" name="leni">#REF!</definedName>
    <definedName localSheetId="17" name="_MMM48">#REF!</definedName>
    <definedName localSheetId="6" name="URAIAN7613a">#REF!</definedName>
    <definedName localSheetId="44" name="____MMM08">#REF!</definedName>
    <definedName localSheetId="8" name="plintubinteraluxkerang1040">#REF!</definedName>
    <definedName localSheetId="21" name="________MMM46">#REF!</definedName>
    <definedName localSheetId="10" name="R50..">#REF!</definedName>
    <definedName localSheetId="23" name="keramik40">#REF!</definedName>
    <definedName localSheetId="24" name="MINOR">#REF!</definedName>
    <definedName localSheetId="15" name="beton.225m">#REF!</definedName>
    <definedName localSheetId="11" name="dd">#REF!</definedName>
    <definedName localSheetId="24" name="xxxxx">#REF!</definedName>
    <definedName localSheetId="17" name="FORM66">#REF!</definedName>
    <definedName localSheetId="44" name="kuncilemari">#REF!</definedName>
    <definedName localSheetId="40" name="mowi.ws">#REF!</definedName>
    <definedName localSheetId="44" name="______MMM54">#REF!</definedName>
    <definedName localSheetId="36" name="SEKRETARIAT_DPRD">#REF!</definedName>
    <definedName localSheetId="34" name="penduduk">#REF!</definedName>
    <definedName localSheetId="17" name="___MMM48">#REF!</definedName>
    <definedName localSheetId="0" name="metal">#REF!</definedName>
    <definedName localSheetId="21" name="_____MMM48">#REF!</definedName>
    <definedName localSheetId="24" name="dua">#REF!</definedName>
    <definedName localSheetId="27" name="JUDUL">#REF!</definedName>
    <definedName localSheetId="4" name="URAIAN66PERMUKAAN">#REF!</definedName>
    <definedName localSheetId="23" name="FORM7613a">#REF!</definedName>
    <definedName localSheetId="23" name="DAYWORKS">#REF!</definedName>
    <definedName localSheetId="3" name="MMM17A">#REF!</definedName>
    <definedName localSheetId="44" name="batacote">#REF!</definedName>
    <definedName name="keramik30x30">#REF!</definedName>
    <definedName localSheetId="24" name="Besi1Kg">#REF!</definedName>
    <definedName localSheetId="15" name="kacapolos5mm">#REF!</definedName>
    <definedName localSheetId="4" name="pajak">#REF!</definedName>
    <definedName localSheetId="3" name="_________MMM35">#REF!</definedName>
    <definedName localSheetId="38" name="minyaksolar">#REF!</definedName>
    <definedName localSheetId="0" name="sirlak">#REF!</definedName>
    <definedName localSheetId="27" name="kacawireglass5">#REF!</definedName>
    <definedName localSheetId="34" name="__LLL01">#REF!</definedName>
    <definedName localSheetId="36" name="hd">#REF!</definedName>
    <definedName localSheetId="31" name="________DIV3">#REF!</definedName>
    <definedName localSheetId="24" name="__MMM20">#REF!</definedName>
    <definedName localSheetId="38" name="tpipa">#REF!</definedName>
    <definedName localSheetId="30" name="pipatanah">#REF!</definedName>
    <definedName localSheetId="31" name="Per">#REF!</definedName>
    <definedName localSheetId="3" name="doorholder">#REF!</definedName>
    <definedName localSheetId="44" name="rtrt">#REF!</definedName>
    <definedName localSheetId="31" name="Uraian842">#REF!</definedName>
    <definedName localSheetId="25" name="siap1">#REF!</definedName>
    <definedName localSheetId="44" name="STRUKTUR">#REF!</definedName>
    <definedName localSheetId="8" name="________HAL2">#REF!</definedName>
    <definedName localSheetId="18" name="RINCIANSEWA2">#REF!</definedName>
    <definedName localSheetId="44" name="_____MMM52">#REF!</definedName>
    <definedName localSheetId="20" name="parquetjati">#REF!</definedName>
    <definedName localSheetId="8" name="plintubinwarna1030">#REF!</definedName>
    <definedName localSheetId="44" name="URAIAN636">#REF!</definedName>
    <definedName localSheetId="30" name="URAIAN7614d">#REF!</definedName>
    <definedName localSheetId="19" name="________HAL3">#REF!</definedName>
    <definedName localSheetId="10" name="kuncisilinder">#REF!</definedName>
    <definedName localSheetId="19" name="FORM633">#REF!</definedName>
    <definedName localSheetId="33" name="tky">#REF!</definedName>
    <definedName name="engsel4">#REF!</definedName>
    <definedName localSheetId="21" name="kaca.p.5">#REF!</definedName>
    <definedName localSheetId="9" name="UTAIAN7614c">#REF!</definedName>
    <definedName localSheetId="4" name="t.sabun">#REF!</definedName>
    <definedName localSheetId="41" name="R2..">#REF!</definedName>
    <definedName localSheetId="18" name="AAAAAAA">#REF!</definedName>
    <definedName localSheetId="27" name="_____MMM03">#REF!</definedName>
    <definedName localSheetId="17" name="__MMM43">#REF!</definedName>
    <definedName localSheetId="36" name="URAIAN7614b">#REF!</definedName>
    <definedName localSheetId="28" name="drainase">#REF!</definedName>
    <definedName localSheetId="4" name="bak">#REF!</definedName>
    <definedName localSheetId="32" name="k.40.40.roman.crk">#REF!</definedName>
    <definedName localSheetId="7" name="URAIAN917">#REF!</definedName>
    <definedName localSheetId="17" name="sealer.vini">#REF!</definedName>
    <definedName localSheetId="31" name="ktky">#REF!</definedName>
    <definedName localSheetId="17" name="rosterterawang">#REF!</definedName>
    <definedName localSheetId="39" name="kayubulian">#REF!</definedName>
    <definedName localSheetId="44" name="____DIV4">#REF!</definedName>
    <definedName localSheetId="10" name="gypsum.prf">#REF!</definedName>
    <definedName localSheetId="44" name="_______MMM53">#REF!</definedName>
    <definedName localSheetId="28" name="URAIAN7612c">#REF!</definedName>
    <definedName localSheetId="23" name="seng25">#REF!</definedName>
    <definedName localSheetId="28" name="bakkontrol">#REF!</definedName>
    <definedName localSheetId="32" name="terntang">#REF!</definedName>
    <definedName localSheetId="10" name="borneo5.7">#REF!</definedName>
    <definedName localSheetId="31" name="aaaa">#REF!</definedName>
    <definedName localSheetId="7" name="_____LLL01">#REF!</definedName>
    <definedName localSheetId="10" name="teakwood6mm">#REF!</definedName>
    <definedName localSheetId="6" name="beton225r">#REF!</definedName>
    <definedName localSheetId="11" name="feltexkarpetwool">#REF!</definedName>
    <definedName localSheetId="3" name="______MMM29">#REF!</definedName>
    <definedName localSheetId="3" name="ubinkeramikartistik1010">#REF!</definedName>
    <definedName localSheetId="42" name="_pp1">#REF!</definedName>
    <definedName localSheetId="28" name="_____HAL1">#REF!</definedName>
    <definedName localSheetId="15" name="kran.ddg">#REF!</definedName>
    <definedName localSheetId="44" name="_____HAL6">#REF!</definedName>
    <definedName localSheetId="34" name="split1.2">#REF!</definedName>
    <definedName localSheetId="24" name="R75..">#REF!</definedName>
    <definedName localSheetId="24" name="_______LLL03">#REF!</definedName>
    <definedName localSheetId="20" name="KUANTITAS">#REF!</definedName>
    <definedName localSheetId="21" name="______MMM02">#REF!</definedName>
    <definedName localSheetId="17" name="______MMM11">#REF!</definedName>
    <definedName localSheetId="20" name="Uraian842">#REF!</definedName>
    <definedName localSheetId="17" name="_____DIV8">#REF!</definedName>
    <definedName localSheetId="3" name="asbesgelombnang">#REF!</definedName>
    <definedName localSheetId="20" name="eeeeee">#REF!</definedName>
    <definedName localSheetId="6" name="besipresstressedpolos">#REF!</definedName>
    <definedName localSheetId="32" name="mapel">#REF!</definedName>
    <definedName localSheetId="17" name="URAIAN735">#REF!</definedName>
    <definedName localSheetId="11" name="marmer">#REF!</definedName>
    <definedName localSheetId="4" name="______DIV1">#REF!</definedName>
    <definedName localSheetId="11" name="FORM7614a">#REF!</definedName>
    <definedName localSheetId="44" name="____DIV1">#REF!</definedName>
    <definedName localSheetId="32" name="ubinkeramik1033">#REF!</definedName>
    <definedName localSheetId="36" name="tegelpc20x20">#REF!</definedName>
    <definedName localSheetId="24" name="Analisa512">#REF!</definedName>
    <definedName localSheetId="24" name="besi19u">#REF!</definedName>
    <definedName localSheetId="7" name="pakuhak15cm">#REF!</definedName>
    <definedName localSheetId="40" name="_____DIV1">#REF!</definedName>
    <definedName localSheetId="44" name="kunci1slag">#REF!</definedName>
    <definedName localSheetId="24" name="__MMM15">#REF!</definedName>
    <definedName localSheetId="3" name="___MMM34">#REF!</definedName>
    <definedName localSheetId="13" name="_______DIV3">#REF!</definedName>
    <definedName localSheetId="40" name="besi10.sii">#REF!</definedName>
    <definedName localSheetId="24" name="R46..">#REF!</definedName>
    <definedName localSheetId="3" name="kacapatri5">#REF!</definedName>
    <definedName localSheetId="28" name="kaca12">#REF!</definedName>
    <definedName localSheetId="40" name="Kekurangan">#REF!</definedName>
    <definedName localSheetId="36" name="Nok">#REF!</definedName>
    <definedName localSheetId="28" name="Analisa512">#REF!</definedName>
    <definedName localSheetId="24" name="R79..">#REF!</definedName>
    <definedName localSheetId="11" name="R5..">#REF!</definedName>
    <definedName localSheetId="36" name="ppn.m.3.20.serut">#REF!</definedName>
    <definedName localSheetId="34" name="____DIV4">#REF!</definedName>
    <definedName localSheetId="7" name="lisplafond">#REF!</definedName>
    <definedName localSheetId="21" name="___pvc105">#REF!</definedName>
    <definedName localSheetId="3" name="AGREGAT">#REF!</definedName>
    <definedName localSheetId="11" name="KERAMIK30">#REF!</definedName>
    <definedName localSheetId="42" name="atapaluminiumgelombang055">#REF!</definedName>
    <definedName name="FORMLatasirKL">#REF!</definedName>
    <definedName localSheetId="17" name="_______LLL03">#REF!</definedName>
    <definedName localSheetId="24" name="_____MMM28">#REF!</definedName>
    <definedName localSheetId="25" name="kaca3">#REF!</definedName>
    <definedName localSheetId="5" name="nnnnn">#REF!</definedName>
    <definedName localSheetId="0" name="kayualbasiah">#REF!</definedName>
    <definedName localSheetId="21" name="______MMM33">#REF!</definedName>
    <definedName localSheetId="34" name="Analisa512">#REF!</definedName>
    <definedName localSheetId="40" name="Per">#REF!</definedName>
    <definedName localSheetId="7" name="residu">#REF!</definedName>
    <definedName localSheetId="7" name="__MMM02">#REF!</definedName>
    <definedName localSheetId="23" name="MASTER">#REF!</definedName>
    <definedName localSheetId="7" name="______MMM13">#REF!</definedName>
    <definedName localSheetId="3" name="_MMM17">#REF!</definedName>
    <definedName localSheetId="23" name="Jendelabesibaja">#REF!</definedName>
    <definedName localSheetId="7" name="kayukruing">#REF!</definedName>
    <definedName localSheetId="36" name="gmp">#REF!</definedName>
    <definedName localSheetId="10" name="Excel_BuiltIn_Print_Area_1">#REF!</definedName>
    <definedName localSheetId="28" name="FORMLatasirKL">#REF!</definedName>
    <definedName localSheetId="24" name="TANAH">#REF!</definedName>
    <definedName localSheetId="30" name="plamour">#REF!</definedName>
    <definedName localSheetId="4" name="y">#REF!</definedName>
    <definedName localSheetId="17" name="FORM7614a">#REF!</definedName>
    <definedName localSheetId="20" name="btn">#REF!</definedName>
    <definedName localSheetId="24" name="______MMM42">#REF!</definedName>
    <definedName localSheetId="21" name="______MMM12">#REF!</definedName>
    <definedName localSheetId="21" name="Analisa612">#REF!</definedName>
    <definedName localSheetId="7" name="______LLL09">#REF!</definedName>
    <definedName localSheetId="39" name="__DIV10">#REF!</definedName>
    <definedName localSheetId="21" name="DFFFGGG">#REF!</definedName>
    <definedName localSheetId="20" name="karpet">#REF!</definedName>
    <definedName localSheetId="6" name="plamour">#REF!</definedName>
    <definedName localSheetId="6" name="FORM744">#REF!</definedName>
    <definedName localSheetId="7" name="urugankembali">#REF!</definedName>
    <definedName localSheetId="24" name="pintulipat">#REF!</definedName>
    <definedName localSheetId="39" name="paving">#REF!</definedName>
    <definedName localSheetId="9" name="Pjgsloof">#REF!</definedName>
    <definedName localSheetId="3" name="_____MMM18">#REF!</definedName>
    <definedName localSheetId="6" name="Pengadaan">#REF!</definedName>
    <definedName localSheetId="44" name="_______DIV6">#REF!</definedName>
    <definedName localSheetId="18" name="wallpaper">#REF!</definedName>
    <definedName localSheetId="5" name="parquetjati">#REF!</definedName>
    <definedName localSheetId="17" name="R93..">#REF!</definedName>
    <definedName localSheetId="24" name="atapaluminiumgelombang055">#REF!</definedName>
    <definedName localSheetId="10" name="Aluminium">#REF!</definedName>
    <definedName localSheetId="18" name="ubinwarna40">#REF!</definedName>
    <definedName localSheetId="40" name="GRC">#REF!</definedName>
    <definedName localSheetId="7" name="Print_Titles_MI">#REF!</definedName>
    <definedName localSheetId="3" name="_MMM35">#REF!</definedName>
    <definedName name="URAIANLatasirK">#REF!</definedName>
    <definedName localSheetId="6" name="FORM7612b">#REF!</definedName>
    <definedName localSheetId="21" name="__MMM08">#REF!</definedName>
    <definedName localSheetId="44" name="___LLL06">#REF!</definedName>
    <definedName name="__tl2">#REF!</definedName>
    <definedName localSheetId="44" name="____MMM15">#REF!</definedName>
    <definedName localSheetId="18" name="_MMM03">#REF!</definedName>
    <definedName localSheetId="41" name="terntang">#REF!</definedName>
    <definedName localSheetId="24" name="STRUKTUR">#REF!</definedName>
    <definedName localSheetId="7" name="_pvc05">#REF!</definedName>
    <definedName localSheetId="8" name="bjls30">#REF!</definedName>
    <definedName localSheetId="6" name="______MMM01">#REF!</definedName>
    <definedName localSheetId="7" name="______LLL04">#REF!</definedName>
    <definedName localSheetId="41" name="FORM721">#REF!</definedName>
    <definedName localSheetId="17" name="_______MMM28">#REF!</definedName>
    <definedName localSheetId="17" name="Analisa70608">#REF!</definedName>
    <definedName localSheetId="24" name="total">#REF!</definedName>
    <definedName localSheetId="38" name="dasar">#REF!</definedName>
    <definedName name="pintugulungbesi">#REF!</definedName>
    <definedName localSheetId="33" name="vinylasbes">#REF!</definedName>
    <definedName localSheetId="41" name="SPJ">#REF!</definedName>
    <definedName localSheetId="21" name="FORM846">#REF!</definedName>
    <definedName localSheetId="3" name="___HAL5">#REF!</definedName>
    <definedName localSheetId="17" name="R96..">#REF!</definedName>
    <definedName localSheetId="17" name="URAIAN772a">#REF!</definedName>
    <definedName localSheetId="34" name="yyyyyyy">#REF!</definedName>
    <definedName localSheetId="7" name="___DIV9">#REF!</definedName>
    <definedName localSheetId="24" name="__LLL06">#REF!</definedName>
    <definedName localSheetId="24" name="URAIAN913">#REF!</definedName>
    <definedName localSheetId="44" name="air">#REF!</definedName>
    <definedName localSheetId="44" name="___LLL11">#REF!</definedName>
    <definedName localSheetId="24" name="Plywood9">#REF!</definedName>
    <definedName localSheetId="23" name="______DIV2">#REF!</definedName>
    <definedName localSheetId="21" name="_____MMM41">#REF!</definedName>
    <definedName name="ppn.m.3.20.serut">#REF!</definedName>
    <definedName localSheetId="31" name="tlistrik">#REF!</definedName>
    <definedName localSheetId="24" name="______MMM08">#REF!</definedName>
    <definedName localSheetId="21" name="____MMM42">#REF!</definedName>
    <definedName localSheetId="44" name="bubungangentengbeton">#REF!</definedName>
    <definedName localSheetId="21" name="_MMM37">#REF!</definedName>
    <definedName localSheetId="9" name="_LLL01">#REF!</definedName>
    <definedName name="_pvc3">#REF!</definedName>
    <definedName localSheetId="21" name="___DIV4">#REF!</definedName>
    <definedName localSheetId="33" name="begisting">#REF!</definedName>
    <definedName localSheetId="7" name="__pvc05">#REF!</definedName>
    <definedName localSheetId="19" name="Nokmetal3mm">#REF!</definedName>
    <definedName localSheetId="21" name="pakuhak15cm">#REF!</definedName>
    <definedName localSheetId="7" name="__LLL11">#REF!</definedName>
    <definedName localSheetId="18" name="mapel">#REF!</definedName>
    <definedName localSheetId="3" name="_______MMM52">#REF!</definedName>
    <definedName name="siap1">#REF!</definedName>
    <definedName localSheetId="15" name="kuncialfa">#REF!</definedName>
    <definedName localSheetId="11" name="minyaksolar">#REF!</definedName>
    <definedName localSheetId="20" name="FORM79mekanis">#REF!</definedName>
    <definedName localSheetId="13" name="lemvinyl">#REF!</definedName>
    <definedName localSheetId="0" name="________DIV2">#REF!</definedName>
    <definedName localSheetId="4" name="gentengaspal">#REF!</definedName>
    <definedName localSheetId="21" name="sealer.vini">#REF!</definedName>
    <definedName localSheetId="30" name="waterdrainaksesoris">#REF!</definedName>
    <definedName localSheetId="30" name="JL_NAS">#REF!</definedName>
    <definedName localSheetId="10" name="gentengaspal">#REF!</definedName>
    <definedName localSheetId="28" name="SEKRETARIAT_DPRD">#REF!</definedName>
    <definedName localSheetId="42" name="marmer">#REF!</definedName>
    <definedName localSheetId="36" name="kaca3">#REF!</definedName>
    <definedName localSheetId="44" name="FORM651">#REF!</definedName>
    <definedName localSheetId="24" name="_______LLL04">#REF!</definedName>
    <definedName name="URAIAN918">#REF!</definedName>
    <definedName localSheetId="21" name="Closet.c420">#REF!</definedName>
    <definedName localSheetId="21" name="______MMM37">#REF!</definedName>
    <definedName localSheetId="7" name="________LLL05">#REF!</definedName>
    <definedName localSheetId="10" name="tegelplin20x20">#REF!</definedName>
    <definedName localSheetId="10" name="besiprofilWF">#REF!</definedName>
    <definedName localSheetId="20" name="FORM771a">#REF!</definedName>
    <definedName localSheetId="3" name="_MMM20">#REF!</definedName>
    <definedName localSheetId="8" name="___pvc2">#REF!</definedName>
    <definedName localSheetId="28" name="parquetjati">#REF!</definedName>
    <definedName localSheetId="36" name="tanggal">#REF!</definedName>
    <definedName localSheetId="23" name="catmeni">#REF!</definedName>
    <definedName localSheetId="20" name="batapelapisdinding">#REF!</definedName>
    <definedName localSheetId="3" name="_________MMM37">#REF!</definedName>
    <definedName localSheetId="15" name="vertikalsblinds">#REF!</definedName>
    <definedName localSheetId="23" name="G.Kramik">#REF!</definedName>
    <definedName localSheetId="40" name="Pc.50">#REF!</definedName>
    <definedName localSheetId="13" name="__LLL02">#REF!</definedName>
    <definedName localSheetId="5" name="medan5.7">#REF!</definedName>
    <definedName localSheetId="19" name="bubunganasbesgelombang">#REF!</definedName>
    <definedName localSheetId="42" name="URAIAN323L">#REF!</definedName>
    <definedName name="beton.225m">#REF!</definedName>
    <definedName localSheetId="34" name="alba2.20">#REF!</definedName>
    <definedName localSheetId="0" name="kenek">#REF!</definedName>
    <definedName localSheetId="7" name="STRUKTUR">#REF!</definedName>
    <definedName name="____MMM34">#REF!</definedName>
    <definedName localSheetId="9" name="R100..">#REF!</definedName>
    <definedName localSheetId="24" name="URAIAN66">#REF!</definedName>
    <definedName localSheetId="32" name="residu">#REF!</definedName>
    <definedName localSheetId="7" name="_________DIV7">#REF!</definedName>
    <definedName localSheetId="38" name="_______DIV1">#REF!</definedName>
    <definedName localSheetId="28" name="ubinkeramik1515">#REF!</definedName>
    <definedName localSheetId="36" name="sengplatbjls24">#REF!</definedName>
    <definedName localSheetId="6" name="_DIV3">#REF!</definedName>
    <definedName localSheetId="3" name="___MMM43">#REF!</definedName>
    <definedName localSheetId="41" name="FORM7613b">#REF!</definedName>
    <definedName localSheetId="23" name="tempatcucipiring">#REF!</definedName>
    <definedName localSheetId="39" name="URAIAN745">#REF!</definedName>
    <definedName localSheetId="42" name="Kunci2">#REF!</definedName>
    <definedName localSheetId="32" name="kuncialfa">#REF!</definedName>
    <definedName localSheetId="10" name="terasocor">#REF!</definedName>
    <definedName localSheetId="7" name="_LLL06">#REF!</definedName>
    <definedName localSheetId="3" name="R51..">#REF!</definedName>
    <definedName localSheetId="44" name="___MMM25">#REF!</definedName>
    <definedName localSheetId="28" name="sofboard">#REF!</definedName>
    <definedName localSheetId="28" name="ktky">#REF!</definedName>
    <definedName localSheetId="5" name="ubinkeramikartistik520">#REF!</definedName>
    <definedName localSheetId="39" name="R10..">#REF!</definedName>
    <definedName localSheetId="27" name="kali">#REF!</definedName>
    <definedName localSheetId="5" name="sengplatbjls28">#REF!</definedName>
    <definedName localSheetId="13" name="ubingranito30">#REF!</definedName>
    <definedName localSheetId="44" name="___DIV9">#REF!</definedName>
    <definedName localSheetId="24" name="jurnal1">#REF!</definedName>
    <definedName localSheetId="44" name="pintubesibaja">#REF!</definedName>
    <definedName localSheetId="17" name="grendel4">#REF!</definedName>
    <definedName localSheetId="15" name="besijaringkawatbaja">#REF!</definedName>
    <definedName localSheetId="38" name="G.Kramik">#REF!</definedName>
    <definedName localSheetId="9" name="_pvc3">#REF!</definedName>
    <definedName localSheetId="17" name="R90..">#REF!</definedName>
    <definedName localSheetId="3" name="___DIV7">#REF!</definedName>
    <definedName localSheetId="24" name="_______MMM38">#REF!</definedName>
    <definedName localSheetId="11" name="catpenutup2kali">#REF!</definedName>
    <definedName localSheetId="4" name="hcs">#REF!</definedName>
    <definedName localSheetId="21" name="____MMM22">#REF!</definedName>
    <definedName localSheetId="4" name="_pvc2">#REF!</definedName>
    <definedName localSheetId="33" name="FORM7614c">#REF!</definedName>
    <definedName localSheetId="28" name="ubinwarna30">#REF!</definedName>
    <definedName localSheetId="28" name="URAIAN7612a">#REF!</definedName>
    <definedName localSheetId="44" name="_________MMM13">#REF!</definedName>
    <definedName localSheetId="0" name="_LLL03">#REF!</definedName>
    <definedName localSheetId="17" name="__LLL03">#REF!</definedName>
    <definedName localSheetId="21" name="pakugalvanis">#REF!</definedName>
    <definedName localSheetId="32" name="zzz">#REF!</definedName>
    <definedName localSheetId="25" name="KTM">#REF!</definedName>
    <definedName localSheetId="36" name="R30..">#REF!</definedName>
    <definedName localSheetId="44" name="___MMM37">#REF!</definedName>
    <definedName localSheetId="44" name="____LLL03">#REF!</definedName>
    <definedName localSheetId="41" name="bakcuciteraso">#REF!</definedName>
    <definedName localSheetId="24" name="JUDUL1">#REF!</definedName>
    <definedName localSheetId="19" name="URAIAN7612b">#REF!</definedName>
    <definedName name="cycllop">#REF!</definedName>
    <definedName localSheetId="31" name="Excel_BuiltIn_Print_Area_1">#REF!</definedName>
    <definedName localSheetId="18" name="___pvc105">#REF!</definedName>
    <definedName localSheetId="17" name="_____HAL6">#REF!</definedName>
    <definedName localSheetId="44" name="____MMM21">#REF!</definedName>
    <definedName localSheetId="6" name="Excel_BuiltIn_Print_Titles_1">#REF!</definedName>
    <definedName localSheetId="41" name="sofboard">#REF!</definedName>
    <definedName localSheetId="40" name="he">#REF!</definedName>
    <definedName localSheetId="0" name="plintkeramikartistik1010">#REF!</definedName>
    <definedName localSheetId="27" name="ss">#REF!</definedName>
    <definedName localSheetId="44" name="besijaringkawatbaja">#REF!</definedName>
    <definedName localSheetId="33" name="ubinkeramik1515">#REF!</definedName>
    <definedName localSheetId="21" name="kayukulim">#REF!</definedName>
    <definedName localSheetId="4" name="_______MMM02">#REF!</definedName>
    <definedName localSheetId="44" name="_MMM34">#REF!</definedName>
    <definedName localSheetId="38" name="___pvc105">#REF!</definedName>
    <definedName localSheetId="30" name="______HAL3">#REF!</definedName>
    <definedName localSheetId="8" name="terntang">#REF!</definedName>
    <definedName localSheetId="5" name="paving">#REF!</definedName>
    <definedName localSheetId="31" name="URAIAN731">#REF!</definedName>
    <definedName localSheetId="7" name="KunciPintu">#REF!</definedName>
    <definedName localSheetId="9" name="sabun">#REF!</definedName>
    <definedName localSheetId="13" name="Tbt">#REF!</definedName>
    <definedName localSheetId="36" name="Status">#REF!</definedName>
    <definedName localSheetId="17" name="leni">#REF!</definedName>
    <definedName localSheetId="5" name="tbkr">#REF!</definedName>
    <definedName localSheetId="10" name="cendana">#REF!</definedName>
    <definedName localSheetId="24" name="gentengbeton">#REF!</definedName>
    <definedName localSheetId="44" name="________MMM39">#REF!</definedName>
    <definedName localSheetId="18" name="_________MMM03">#REF!</definedName>
    <definedName localSheetId="23" name="cv">#REF!</definedName>
    <definedName localSheetId="18" name="_pc40">#REF!</definedName>
    <definedName localSheetId="36" name="plintubinteraluxmarmer1030">#REF!</definedName>
    <definedName localSheetId="7" name="_HAL1">#REF!</definedName>
    <definedName localSheetId="36" name="leni">#REF!</definedName>
    <definedName localSheetId="19" name="Closet.ddk">#REF!</definedName>
    <definedName localSheetId="24" name="_LLL03">#REF!</definedName>
    <definedName localSheetId="30" name="dempul">#REF!</definedName>
    <definedName localSheetId="28" name="p.triplek">#REF!</definedName>
    <definedName localSheetId="21" name="___MMM30">#REF!</definedName>
    <definedName localSheetId="44" name="_Ibr1">#REF!</definedName>
    <definedName localSheetId="6" name="sis">#REF!</definedName>
    <definedName localSheetId="8" name="bubunganasbesgelombang">#REF!</definedName>
    <definedName localSheetId="42" name="bak">#REF!</definedName>
    <definedName localSheetId="12" name="a">#REF!</definedName>
    <definedName localSheetId="38" name="_818PK">#REF!</definedName>
    <definedName localSheetId="5" name="kayukamper">#REF!</definedName>
    <definedName localSheetId="21" name="____MMM08">#REF!</definedName>
    <definedName localSheetId="28" name="FORM744">#REF!</definedName>
    <definedName localSheetId="21" name="__MMM40">#REF!</definedName>
    <definedName localSheetId="0" name="pengencer">#REF!</definedName>
    <definedName localSheetId="7" name="Analisa70702">#REF!</definedName>
    <definedName localSheetId="4" name="gypsum.9">#REF!</definedName>
    <definedName localSheetId="0" name="_kop5">#REF!</definedName>
    <definedName localSheetId="18" name="__DIV3">#REF!</definedName>
    <definedName localSheetId="44" name="________MMM05">#REF!</definedName>
    <definedName localSheetId="5" name="DSSDD">#REF!</definedName>
    <definedName localSheetId="7" name="hd">#REF!</definedName>
    <definedName localSheetId="39" name="bubunganasbesgelombang">#REF!</definedName>
    <definedName localSheetId="24" name="______MMM50">#REF!</definedName>
    <definedName localSheetId="3" name="JUDUL1">#REF!</definedName>
    <definedName localSheetId="27" name="__LLL03">#REF!</definedName>
    <definedName localSheetId="34" name="_________MMM01">#REF!</definedName>
    <definedName localSheetId="28" name="kawatsengpolos">#REF!</definedName>
    <definedName localSheetId="9" name="TANAH">#REF!</definedName>
    <definedName localSheetId="7" name="kawatjaring">#REF!</definedName>
    <definedName localSheetId="10" name="________DIV1">#REF!</definedName>
    <definedName localSheetId="34" name="ppn2.30">#REF!</definedName>
    <definedName localSheetId="3" name="FORM771b">#REF!</definedName>
    <definedName localSheetId="8" name="FORM771c">#REF!</definedName>
    <definedName localSheetId="0" name="__DIV2">#REF!</definedName>
    <definedName localSheetId="13" name="bjls25">#REF!</definedName>
    <definedName localSheetId="7" name="_LLL04">#REF!</definedName>
    <definedName localSheetId="7" name="sis">#REF!</definedName>
    <definedName localSheetId="28" name="bjls30">#REF!</definedName>
    <definedName localSheetId="12" name="___MMM03">#REF!</definedName>
    <definedName localSheetId="33" name="split2.3">#REF!</definedName>
    <definedName localSheetId="13" name="B.Jambi">#REF!</definedName>
    <definedName localSheetId="21" name="pakupancing">#REF!</definedName>
    <definedName localSheetId="34" name="cghj">#REF!</definedName>
    <definedName localSheetId="44" name="____MMM39">#REF!</definedName>
    <definedName localSheetId="3" name="________MMM08">#REF!</definedName>
    <definedName localSheetId="5" name="URAIAN612">#REF!</definedName>
    <definedName localSheetId="44" name="_pvc05">#REF!</definedName>
    <definedName localSheetId="39" name="MASTER">#REF!</definedName>
    <definedName localSheetId="31" name="plamur.matex">#REF!</definedName>
    <definedName localSheetId="21" name="d">#REF!</definedName>
    <definedName localSheetId="40" name="kayualbasiah">#REF!</definedName>
    <definedName localSheetId="9" name="floorhardenerferrovak">#REF!</definedName>
    <definedName localSheetId="23" name="baru">#REF!</definedName>
    <definedName localSheetId="20" name="FORM7614a">#REF!</definedName>
    <definedName localSheetId="4" name="______HAL1">#REF!</definedName>
    <definedName localSheetId="36" name="_PC50">#REF!</definedName>
    <definedName localSheetId="27" name="URAIAN621">#REF!</definedName>
    <definedName localSheetId="7" name="kacacermin6">#REF!</definedName>
    <definedName localSheetId="40" name="batupecah">#REF!</definedName>
    <definedName localSheetId="7" name="_________MMM08">#REF!</definedName>
    <definedName localSheetId="27" name="water.prof">#REF!</definedName>
    <definedName localSheetId="17" name="k.roman.40.40.polos">#REF!</definedName>
    <definedName localSheetId="34" name="k.ddg.20.25.rmn.crk">#REF!</definedName>
    <definedName localSheetId="0" name="Tbt">#REF!</definedName>
    <definedName localSheetId="40" name="URAIAN66PERATA">#REF!</definedName>
    <definedName localSheetId="36" name="kunci2slag">#REF!</definedName>
    <definedName localSheetId="10" name="btn">#REF!</definedName>
    <definedName localSheetId="41" name="URAIAN66PERATA">#REF!</definedName>
    <definedName localSheetId="44" name="plywood6mm">#REF!</definedName>
    <definedName localSheetId="15" name="URAIAN744">#REF!</definedName>
    <definedName localSheetId="21" name="____MMM51">#REF!</definedName>
    <definedName localSheetId="5" name="sssssss">#REF!</definedName>
    <definedName localSheetId="25" name="ktky">#REF!</definedName>
    <definedName localSheetId="24" name="urugan">#REF!</definedName>
    <definedName localSheetId="24" name="d">#REF!</definedName>
    <definedName localSheetId="41" name="Catbesi">#REF!</definedName>
    <definedName localSheetId="36" name="waterstop150">#REF!</definedName>
    <definedName localSheetId="24" name="_______MMM01">#REF!</definedName>
    <definedName localSheetId="17" name="plintubinteraluxmarmer1060">#REF!</definedName>
    <definedName localSheetId="12" name="__pvc3">#REF!</definedName>
    <definedName localSheetId="13" name="minyaksolar">#REF!</definedName>
    <definedName localSheetId="6" name="______MMM02">#REF!</definedName>
    <definedName localSheetId="7" name="_________MMM06">#REF!</definedName>
    <definedName localSheetId="18" name="tempatcucipiring">#REF!</definedName>
    <definedName localSheetId="27" name="bjls30">#REF!</definedName>
    <definedName localSheetId="9" name="URAIAN632">#REF!</definedName>
    <definedName localSheetId="8" name="_________HAL1">#REF!</definedName>
    <definedName localSheetId="44" name="plywood9mm">#REF!</definedName>
    <definedName localSheetId="28" name="kayualbasiah">#REF!</definedName>
    <definedName localSheetId="34" name="Galam">#REF!</definedName>
    <definedName localSheetId="17" name="Nokmetal3mm">#REF!</definedName>
    <definedName localSheetId="12" name="R100..">#REF!</definedName>
    <definedName localSheetId="15" name="tegelplin20x20">#REF!</definedName>
    <definedName localSheetId="36" name="Kunci1">#REF!</definedName>
    <definedName localSheetId="40" name="w.stain">#REF!</definedName>
    <definedName localSheetId="17" name="______MMM04">#REF!</definedName>
    <definedName localSheetId="5" name="beton.225m">#REF!</definedName>
    <definedName localSheetId="11" name="beton.tumbuk">#REF!</definedName>
    <definedName name="PT">#REF!</definedName>
    <definedName localSheetId="38" name="URAIAN7614a">#REF!</definedName>
    <definedName localSheetId="17" name="FORM95">#REF!</definedName>
    <definedName localSheetId="19" name="KERAMIK30">#REF!</definedName>
    <definedName localSheetId="44" name="________MMM28">#REF!</definedName>
    <definedName name="Ker.L13">#REF!</definedName>
    <definedName name="R86..">#REF!</definedName>
    <definedName localSheetId="9" name="feltexkarpetwool">#REF!</definedName>
    <definedName localSheetId="31" name="URAIAN22E">#REF!</definedName>
    <definedName localSheetId="12" name="ts">#REF!</definedName>
    <definedName localSheetId="17" name="____LLL07">#REF!</definedName>
    <definedName localSheetId="4" name="________HAL2">#REF!</definedName>
    <definedName localSheetId="3" name="bubunganstelgelombang">#REF!</definedName>
    <definedName localSheetId="17" name="gentengpaletong">#REF!</definedName>
    <definedName localSheetId="3" name="_MMM32">#REF!</definedName>
    <definedName localSheetId="13" name="________MMM02">#REF!</definedName>
    <definedName localSheetId="44" name="____LLL02">#REF!</definedName>
    <definedName localSheetId="42" name="URAIAN7610">#REF!</definedName>
    <definedName localSheetId="18" name="catpenutup">#REF!</definedName>
    <definedName localSheetId="38" name="pintubesibaja">#REF!</definedName>
    <definedName localSheetId="28" name="sdg">#REF!</definedName>
    <definedName localSheetId="19" name="FORM744">#REF!</definedName>
    <definedName localSheetId="36" name="Batupuru">#REF!</definedName>
    <definedName localSheetId="15" name="JUDUL1">#REF!</definedName>
    <definedName localSheetId="24" name="he">#REF!</definedName>
    <definedName localSheetId="24" name="plintubingranito1040">#REF!</definedName>
    <definedName localSheetId="10" name="Uraian8410">#REF!</definedName>
    <definedName localSheetId="3" name="SEKRETARIAT_DPRD">#REF!</definedName>
    <definedName localSheetId="9" name="____HAL3">#REF!</definedName>
    <definedName localSheetId="42" name="FORM731">#REF!</definedName>
    <definedName localSheetId="3" name="R70..">#REF!</definedName>
    <definedName localSheetId="39" name="LAP">#REF!</definedName>
    <definedName localSheetId="24" name="________MMM50">#REF!</definedName>
    <definedName localSheetId="4" name="tes">#REF!</definedName>
    <definedName localSheetId="20" name="ubinwarna30">#REF!</definedName>
    <definedName localSheetId="24" name="_______HAL3">#REF!</definedName>
    <definedName localSheetId="12" name="___HAL2">#REF!</definedName>
    <definedName localSheetId="17" name="ubinkeramik2020">#REF!</definedName>
    <definedName localSheetId="20" name="FORM8410">#REF!</definedName>
    <definedName localSheetId="5" name="nokgentengaspal">#REF!</definedName>
    <definedName localSheetId="40" name="begisting">#REF!</definedName>
    <definedName localSheetId="21" name="__MMM21">#REF!</definedName>
    <definedName localSheetId="42" name="namaabsen">#REF!</definedName>
    <definedName localSheetId="24" name="B.Publik">#REF!</definedName>
    <definedName localSheetId="21" name="________MMM48">#REF!</definedName>
    <definedName localSheetId="11" name="tegelplinpc10x20">#REF!</definedName>
    <definedName localSheetId="32" name="___pvc105">#REF!</definedName>
    <definedName localSheetId="13" name="pakusumbat">#REF!</definedName>
    <definedName localSheetId="24" name="FORM7614e">#REF!</definedName>
    <definedName localSheetId="8" name="zzz">#REF!</definedName>
    <definedName localSheetId="32" name="kaca.es">#REF!</definedName>
    <definedName localSheetId="36" name="_pc40">#REF!</definedName>
    <definedName name="kuncitanam">#REF!</definedName>
    <definedName localSheetId="21" name="R92..">#REF!</definedName>
    <definedName localSheetId="23" name="parquetjati">#REF!</definedName>
    <definedName localSheetId="39" name="plintubinwarna1020">#REF!</definedName>
    <definedName localSheetId="44" name="R8..">#REF!</definedName>
    <definedName localSheetId="30" name="FORM323L">#REF!</definedName>
    <definedName localSheetId="8" name="beton100kg">#REF!</definedName>
    <definedName localSheetId="3" name="_______MMM29">#REF!</definedName>
    <definedName localSheetId="8" name="gggg">#REF!</definedName>
    <definedName localSheetId="41" name="strorox">#REF!</definedName>
    <definedName localSheetId="9" name="_DIV4">#REF!</definedName>
    <definedName localSheetId="24" name="grendel3">#REF!</definedName>
    <definedName localSheetId="7" name="___MMM13">#REF!</definedName>
    <definedName localSheetId="41" name="SEKRETARIAT_DPRD">#REF!</definedName>
    <definedName localSheetId="13" name="rollingdoor">#REF!</definedName>
    <definedName localSheetId="7" name="vinylwallcovering">#REF!</definedName>
    <definedName localSheetId="20" name="PT">#REF!</definedName>
    <definedName localSheetId="18" name="pddk">#REF!</definedName>
    <definedName localSheetId="24" name="____HAL1">#REF!</definedName>
    <definedName localSheetId="40" name="hcs">#REF!</definedName>
    <definedName localSheetId="40" name="baru">#REF!</definedName>
    <definedName name="____MMM04">#REF!</definedName>
    <definedName localSheetId="28" name="plintkeramikartistik1020">#REF!</definedName>
    <definedName localSheetId="11" name="__pvc205">#REF!</definedName>
    <definedName localSheetId="9" name="URAIAN7614d">#REF!</definedName>
    <definedName localSheetId="41" name="Uraian842">#REF!</definedName>
    <definedName localSheetId="21" name="ubinmosaik3030">#REF!</definedName>
    <definedName localSheetId="15" name="pasirsilika">#REF!</definedName>
    <definedName localSheetId="5" name="_______DIV4">#REF!</definedName>
    <definedName localSheetId="27" name="URAIAN7613c">#REF!</definedName>
    <definedName localSheetId="39" name="menibesi">#REF!</definedName>
    <definedName localSheetId="24" name="grassblok">#REF!</definedName>
    <definedName localSheetId="24" name="URAIAN22L">#REF!</definedName>
    <definedName localSheetId="34" name="Ktbt">#REF!</definedName>
    <definedName localSheetId="4" name="FORM7614a">#REF!</definedName>
    <definedName localSheetId="17" name="ubinkeramikartistik1010">#REF!</definedName>
    <definedName name="sealer">#REF!</definedName>
    <definedName localSheetId="5" name="sealer">#REF!</definedName>
    <definedName localSheetId="18" name="URAIAN721">#REF!</definedName>
    <definedName localSheetId="21" name="ubinpcabuabu30">#REF!</definedName>
    <definedName localSheetId="36" name="paku5.7.10">#REF!</definedName>
    <definedName localSheetId="9" name="R51..">#REF!</definedName>
    <definedName localSheetId="8" name="asbesgelombang">#REF!</definedName>
    <definedName localSheetId="28" name="bakcuciteraso">#REF!</definedName>
    <definedName localSheetId="44" name="_________MMM34">#REF!</definedName>
    <definedName localSheetId="42" name="plintubinwarna1020">#REF!</definedName>
    <definedName localSheetId="30" name="washtafel">#REF!</definedName>
    <definedName localSheetId="21" name="R94..">#REF!</definedName>
    <definedName localSheetId="12" name="KunciPintu">#REF!</definedName>
    <definedName localSheetId="19" name="kayudamarlaut">#REF!</definedName>
    <definedName name="R88..">#REF!</definedName>
    <definedName localSheetId="24" name="FORM917">#REF!</definedName>
    <definedName localSheetId="21" name="plintubingranito1030">#REF!</definedName>
    <definedName localSheetId="21" name="URAIAN21">#REF!</definedName>
    <definedName localSheetId="7" name="___HAL6">#REF!</definedName>
    <definedName localSheetId="17" name="relpintudorong">#REF!</definedName>
    <definedName localSheetId="11" name="medan5.10">#REF!</definedName>
    <definedName localSheetId="44" name="FORM919">#REF!</definedName>
    <definedName localSheetId="21" name="____MMM48">#REF!</definedName>
    <definedName localSheetId="24" name="tegelporselen15x15">#REF!</definedName>
    <definedName localSheetId="36" name="JUDUL">#REF!</definedName>
    <definedName localSheetId="17" name="kalkarium">#REF!</definedName>
    <definedName localSheetId="3" name="teakwood4mm">#REF!</definedName>
    <definedName localSheetId="34" name="catpenutup2kali">#REF!</definedName>
    <definedName localSheetId="36" name="FORM632">#REF!</definedName>
    <definedName localSheetId="8" name="__DIV3">#REF!</definedName>
    <definedName localSheetId="9" name="bjls30">#REF!</definedName>
    <definedName localSheetId="3" name="tegelporselen">#REF!</definedName>
    <definedName localSheetId="7" name="___MMM41">#REF!</definedName>
    <definedName localSheetId="8" name="Aluminium">#REF!</definedName>
    <definedName localSheetId="24" name="_________MMM25">#REF!</definedName>
    <definedName localSheetId="9" name="Faktor">#REF!</definedName>
    <definedName localSheetId="21" name="__pvc205">#REF!</definedName>
    <definedName localSheetId="19" name="aaaaa">#REF!</definedName>
    <definedName localSheetId="12" name="vinylkaretklII">#REF!</definedName>
    <definedName localSheetId="11" name="kayubulian">#REF!</definedName>
    <definedName localSheetId="40" name="__MMM01">#REF!</definedName>
    <definedName localSheetId="8" name="tes">#REF!</definedName>
    <definedName localSheetId="38" name="Nokmetal3mm">#REF!</definedName>
    <definedName localSheetId="6" name="semenwarna">#REF!</definedName>
    <definedName localSheetId="25" name="R3..">#REF!</definedName>
    <definedName localSheetId="27" name="AGREGAT">#REF!</definedName>
    <definedName localSheetId="3" name="___DIV3">#REF!</definedName>
    <definedName localSheetId="42" name="grendel3">#REF!</definedName>
    <definedName localSheetId="12" name="kaca8">#REF!</definedName>
    <definedName localSheetId="33" name="UTAIAN7614c">#REF!</definedName>
    <definedName localSheetId="7" name="_______MMM36">#REF!</definedName>
    <definedName localSheetId="44" name="Minyak">#REF!</definedName>
    <definedName localSheetId="24" name="________MMM42">#REF!</definedName>
    <definedName localSheetId="41" name="kayudamarlaut">#REF!</definedName>
    <definedName localSheetId="24" name="ubinkeramikantislip3333">#REF!</definedName>
    <definedName localSheetId="9" name="paku5.7.10">#REF!</definedName>
    <definedName localSheetId="21" name="_______LLL08">#REF!</definedName>
    <definedName localSheetId="6" name="______HAL1">#REF!</definedName>
    <definedName name="kiki">#REF!</definedName>
    <definedName localSheetId="31" name="Gypsum">#REF!</definedName>
    <definedName localSheetId="21" name="______LLL10">#REF!</definedName>
    <definedName localSheetId="24" name="_______LLL07">#REF!</definedName>
    <definedName name="_____HAL7">#REF!</definedName>
    <definedName localSheetId="18" name="beton175m">#REF!</definedName>
    <definedName localSheetId="38" name="springknip">#REF!</definedName>
    <definedName localSheetId="15" name="_MMM03">#REF!</definedName>
    <definedName localSheetId="18" name="perancahkayu">#REF!</definedName>
    <definedName name="__LLL08">#REF!</definedName>
    <definedName name="_____LLL04">#REF!</definedName>
    <definedName localSheetId="7" name="________MMM36">#REF!</definedName>
    <definedName localSheetId="28" name="pp">#REF!</definedName>
    <definedName localSheetId="34" name="_MMM03">#REF!</definedName>
    <definedName localSheetId="8" name="__DIV4">#REF!</definedName>
    <definedName localSheetId="0" name="JL_NAS">#REF!</definedName>
    <definedName localSheetId="3" name="_______HAL1">#REF!</definedName>
    <definedName localSheetId="39" name="G">#REF!</definedName>
    <definedName localSheetId="21" name="______LLL08">#REF!</definedName>
    <definedName localSheetId="27" name="_DIV10">#REF!</definedName>
    <definedName localSheetId="39" name="minyaksolar">#REF!</definedName>
    <definedName localSheetId="20" name="SEKRETARIAT_DPRD">#REF!</definedName>
    <definedName localSheetId="4" name="flordrain">#REF!</definedName>
    <definedName localSheetId="34" name="strorox">#REF!</definedName>
    <definedName localSheetId="44" name="_MMM06">#REF!</definedName>
    <definedName localSheetId="9" name="xxxxx">#REF!</definedName>
    <definedName localSheetId="15" name="URAIAN79mekanis">#REF!</definedName>
    <definedName localSheetId="5" name="STRUKTUR">#REF!</definedName>
    <definedName localSheetId="12" name="sengbjls25">#REF!</definedName>
    <definedName localSheetId="39" name="tegelporselen10x20warna">#REF!</definedName>
    <definedName localSheetId="38" name="tukng">#REF!</definedName>
    <definedName localSheetId="9" name="pintulipat">#REF!</definedName>
    <definedName localSheetId="44" name="__MMM54">#REF!</definedName>
    <definedName localSheetId="7" name="_______MMM28">#REF!</definedName>
    <definedName localSheetId="33" name="FORM66PERATA">#REF!</definedName>
    <definedName localSheetId="6" name="gentengaspal">#REF!</definedName>
    <definedName localSheetId="30" name="_______HAL2">#REF!</definedName>
    <definedName localSheetId="44" name="____MMM34">#REF!</definedName>
    <definedName localSheetId="8" name="plywood4">#REF!</definedName>
    <definedName localSheetId="28" name="___DIV4">#REF!</definedName>
    <definedName localSheetId="44" name="________MMM35">#REF!</definedName>
    <definedName localSheetId="3" name="____MMM07">#REF!</definedName>
    <definedName localSheetId="36" name="ubinteraso30">#REF!</definedName>
    <definedName localSheetId="36" name="plesteran13">#REF!</definedName>
    <definedName localSheetId="10" name="bilikbambu">#REF!</definedName>
    <definedName localSheetId="9" name="FORM631">#REF!</definedName>
    <definedName localSheetId="21" name="_DIV5">#REF!</definedName>
    <definedName name="R82..">#REF!</definedName>
    <definedName localSheetId="30" name="he">#REF!</definedName>
    <definedName localSheetId="15" name="cghj">#REF!</definedName>
    <definedName localSheetId="32" name="FORM7613c">#REF!</definedName>
    <definedName localSheetId="24" name="ubinkeramik1515">#REF!</definedName>
    <definedName localSheetId="42" name="pintualuminium">#REF!</definedName>
    <definedName localSheetId="28" name="UP">#REF!</definedName>
    <definedName localSheetId="36" name="R6..">#REF!</definedName>
    <definedName localSheetId="0" name="plintubingranito1040">#REF!</definedName>
    <definedName localSheetId="32" name="FORM7614a">#REF!</definedName>
    <definedName localSheetId="24" name="lp">#REF!</definedName>
    <definedName localSheetId="40" name="d">#REF!</definedName>
    <definedName localSheetId="40" name="Batupuru">#REF!</definedName>
    <definedName localSheetId="24" name="__MMM09">#REF!</definedName>
    <definedName localSheetId="17" name="jamtandem">#REF!</definedName>
    <definedName name="_______MMM28">#REF!</definedName>
    <definedName localSheetId="34" name="aaaaa">#REF!</definedName>
    <definedName localSheetId="10" name="Excel_BuiltIn_Print_Titles_1">#REF!</definedName>
    <definedName localSheetId="3" name="FORM7612c">#REF!</definedName>
    <definedName localSheetId="8" name="RPHL">#REF!</definedName>
    <definedName localSheetId="11" name="R31..">#REF!</definedName>
    <definedName localSheetId="9" name="________HAL1">#REF!</definedName>
    <definedName localSheetId="7" name="URAIAN94">#REF!</definedName>
    <definedName localSheetId="7" name="FORMLatasirKL">#REF!</definedName>
    <definedName localSheetId="28" name="rollingdoor">#REF!</definedName>
    <definedName localSheetId="44" name="pakubulian">#REF!</definedName>
    <definedName localSheetId="7" name="FORM622">#REF!</definedName>
    <definedName localSheetId="11" name="batukali14">#REF!</definedName>
    <definedName localSheetId="7" name="borneo5.7">#REF!</definedName>
    <definedName localSheetId="27" name="URAIAN7614d">#REF!</definedName>
    <definedName localSheetId="8" name="pengencer">#REF!</definedName>
    <definedName localSheetId="3" name="____MMM27">#REF!</definedName>
    <definedName localSheetId="44" name="UPAH">#REF!</definedName>
    <definedName localSheetId="44" name="_pvc105">#REF!</definedName>
    <definedName localSheetId="44" name="plintubinteraluxkerang1060">#REF!</definedName>
    <definedName localSheetId="9" name="URAIAN7612c">#REF!</definedName>
    <definedName localSheetId="6" name="borneo5.7">#REF!</definedName>
    <definedName localSheetId="30" name="gentengaspal">#REF!</definedName>
    <definedName localSheetId="24" name="R71..">#REF!</definedName>
    <definedName localSheetId="40" name="pasirbeton">#REF!</definedName>
    <definedName localSheetId="32" name="des">#REF!</definedName>
    <definedName localSheetId="25" name="koralbeton">#REF!</definedName>
    <definedName localSheetId="6" name="_pc40">#REF!</definedName>
    <definedName localSheetId="31" name="Pc.50">#REF!</definedName>
    <definedName name="___DIV6">#REF!</definedName>
    <definedName localSheetId="38" name="R1..">#REF!</definedName>
    <definedName localSheetId="7" name="R70..">#REF!</definedName>
    <definedName localSheetId="25" name="pakuhak15cm">#REF!</definedName>
    <definedName localSheetId="23" name="FORM323L">#REF!</definedName>
    <definedName localSheetId="31" name="Kunci1">#REF!</definedName>
    <definedName localSheetId="34" name="URAIAN234L">#REF!</definedName>
    <definedName localSheetId="41" name="batapelapisklinker">#REF!</definedName>
    <definedName localSheetId="11" name="___HAL1">#REF!</definedName>
    <definedName localSheetId="39" name="R21..">#REF!</definedName>
    <definedName localSheetId="33" name="gmp">#REF!</definedName>
    <definedName localSheetId="24" name="R107..">#REF!</definedName>
    <definedName localSheetId="7" name="_DIV8">#REF!</definedName>
    <definedName localSheetId="8" name="pajak">#REF!</definedName>
    <definedName localSheetId="11" name="tukng">#REF!</definedName>
    <definedName localSheetId="31" name="pagarseng2m">#REF!</definedName>
    <definedName localSheetId="13" name="URAIAN611">#REF!</definedName>
    <definedName localSheetId="4" name="bondbeam">#REF!</definedName>
    <definedName localSheetId="44" name="___DIV5">#REF!</definedName>
    <definedName localSheetId="7" name="R31..">#REF!</definedName>
    <definedName localSheetId="20" name="bjls25">#REF!</definedName>
    <definedName localSheetId="28" name="bubunganasbesgelombang">#REF!</definedName>
    <definedName localSheetId="17" name="______MMM48">#REF!</definedName>
    <definedName localSheetId="32" name="Pc.50">#REF!</definedName>
    <definedName localSheetId="5" name="sengplatbjls25">#REF!</definedName>
    <definedName localSheetId="44" name="__MMM14">#REF!</definedName>
    <definedName localSheetId="18" name="batutempelhitam">#REF!</definedName>
    <definedName localSheetId="9" name="teakwood4mm">#REF!</definedName>
    <definedName name="___LLL02">#REF!</definedName>
    <definedName localSheetId="6" name="nokpaten105">#REF!</definedName>
    <definedName localSheetId="23" name="pintulipat">#REF!</definedName>
    <definedName localSheetId="23" name="____DIV3">#REF!</definedName>
    <definedName localSheetId="13" name="URAIAN771c">#REF!</definedName>
    <definedName localSheetId="7" name="FORM94">#REF!</definedName>
    <definedName localSheetId="19" name="parquetjati">#REF!</definedName>
    <definedName localSheetId="42" name="gabin_al">#REF!</definedName>
    <definedName localSheetId="44" name="pakubiasa">#REF!</definedName>
    <definedName localSheetId="18" name="tl2x40">#REF!</definedName>
    <definedName localSheetId="30" name="_HAL4">#REF!</definedName>
    <definedName localSheetId="21" name="____HAL4">#REF!</definedName>
    <definedName localSheetId="11" name="c.mowi.dlm">#REF!</definedName>
    <definedName localSheetId="28" name="_________DIV10">#REF!</definedName>
    <definedName localSheetId="3" name="R83..">#REF!</definedName>
    <definedName localSheetId="25" name="paving">#REF!</definedName>
    <definedName localSheetId="12" name="perancahkayu">#REF!</definedName>
    <definedName localSheetId="3" name="________MMM28">#REF!</definedName>
    <definedName localSheetId="36" name="_MMM01">#REF!</definedName>
    <definedName name="LemAibon">#REF!</definedName>
    <definedName localSheetId="25" name="beton175R">#REF!</definedName>
    <definedName localSheetId="3" name="______DIV9">#REF!</definedName>
    <definedName localSheetId="3" name="______MMM13">#REF!</definedName>
    <definedName localSheetId="10" name="URAIAN22L">#REF!</definedName>
    <definedName localSheetId="11" name="URAIAN771a">#REF!</definedName>
    <definedName localSheetId="11" name="FORM7613c">#REF!</definedName>
    <definedName localSheetId="12" name="________DIV1">#REF!</definedName>
    <definedName localSheetId="13" name="kaca5">#REF!</definedName>
    <definedName name="______MMM47">#REF!</definedName>
    <definedName localSheetId="6" name="sdg">#REF!</definedName>
    <definedName name="batu.jogja">#REF!</definedName>
    <definedName localSheetId="4" name="_____HAL1">#REF!</definedName>
    <definedName localSheetId="32" name="pakuhak15cm">#REF!</definedName>
    <definedName name="_____LLL03">#REF!</definedName>
    <definedName localSheetId="31" name="closedjongkok">#REF!</definedName>
    <definedName name="gentengpaletong">#REF!</definedName>
    <definedName localSheetId="28" name="Status">#REF!</definedName>
    <definedName localSheetId="38" name="split1.2">#REF!</definedName>
    <definedName localSheetId="3" name="URAIAN66PERATA">#REF!</definedName>
    <definedName localSheetId="44" name="____MMM17">#REF!</definedName>
    <definedName localSheetId="25" name="sirlak">#REF!</definedName>
    <definedName localSheetId="18" name="R31..">#REF!</definedName>
    <definedName localSheetId="24" name="_____MMM54">#REF!</definedName>
    <definedName localSheetId="24" name="________MMM33">#REF!</definedName>
    <definedName localSheetId="32" name="cghj">#REF!</definedName>
    <definedName localSheetId="17" name="R57..">#REF!</definedName>
    <definedName localSheetId="23" name="pijar15">#REF!</definedName>
    <definedName name="________MMM11">#REF!</definedName>
    <definedName localSheetId="20" name="keramik40">#REF!</definedName>
    <definedName localSheetId="5" name="sunloid">#REF!</definedName>
    <definedName localSheetId="7" name="plintubingranito1030">#REF!</definedName>
    <definedName localSheetId="11" name="STRUKTUR">#REF!</definedName>
    <definedName localSheetId="20" name="platasbes35mm">#REF!</definedName>
    <definedName localSheetId="7" name="SUNGAI_BERTAM">#REF!</definedName>
    <definedName localSheetId="44" name="siap1">#REF!</definedName>
    <definedName localSheetId="17" name="SPJ">#REF!</definedName>
    <definedName localSheetId="39" name="hollowblok">#REF!</definedName>
    <definedName localSheetId="27" name="plamour">#REF!</definedName>
    <definedName localSheetId="28" name="bak">#REF!</definedName>
    <definedName localSheetId="3" name="_____MMM04">#REF!</definedName>
    <definedName localSheetId="15" name="________HAL2">#REF!</definedName>
    <definedName localSheetId="6" name="bubungangentengbeton">#REF!</definedName>
    <definedName localSheetId="32" name="NAMA2">#REF!</definedName>
    <definedName localSheetId="4" name="_kop5">#REF!</definedName>
    <definedName localSheetId="0" name="FORM744">#REF!</definedName>
    <definedName localSheetId="5" name="tl2x40">#REF!</definedName>
    <definedName localSheetId="24" name="_____MMM36">#REF!</definedName>
    <definedName localSheetId="17" name="tpipa">#REF!</definedName>
    <definedName localSheetId="9" name="AAAAAAA">#REF!</definedName>
    <definedName localSheetId="7" name="R81..">#REF!</definedName>
    <definedName localSheetId="20" name="Fak">#REF!</definedName>
    <definedName localSheetId="0" name="rubbercorrugate">#REF!</definedName>
    <definedName localSheetId="3" name="DUDI">#REF!</definedName>
    <definedName localSheetId="44" name="_________MMM15">#REF!</definedName>
    <definedName localSheetId="20" name="tanahliat">#REF!</definedName>
    <definedName localSheetId="20" name="AGREGAT">#REF!</definedName>
    <definedName localSheetId="30" name="Aluminium">#REF!</definedName>
    <definedName localSheetId="21" name="R14..">#REF!</definedName>
    <definedName localSheetId="3" name="DFFFGGG">#REF!</definedName>
    <definedName localSheetId="9" name="sofboard">#REF!</definedName>
    <definedName localSheetId="36" name="____MMM03">#REF!</definedName>
    <definedName localSheetId="32" name="ubinwarna30">#REF!</definedName>
    <definedName localSheetId="34" name="sofboard">#REF!</definedName>
    <definedName localSheetId="4" name="paku5.7.10">#REF!</definedName>
    <definedName localSheetId="7" name="pakubiasa">#REF!</definedName>
    <definedName localSheetId="38" name="pipabeton">#REF!</definedName>
    <definedName localSheetId="13" name="urugankembali">#REF!</definedName>
    <definedName localSheetId="28" name="__MMM02">#REF!</definedName>
    <definedName localSheetId="8" name="_DIV2">#REF!</definedName>
    <definedName localSheetId="32" name="asbesgelombnang">#REF!</definedName>
    <definedName localSheetId="31" name="kaca5">#REF!</definedName>
    <definedName localSheetId="33" name="_HAL4">#REF!</definedName>
    <definedName localSheetId="11" name="_______DIV10">#REF!</definedName>
    <definedName localSheetId="13" name="besijaringkawatbaja">#REF!</definedName>
    <definedName localSheetId="7" name="sengplatbjls28">#REF!</definedName>
    <definedName localSheetId="7" name="________MMM51">#REF!</definedName>
    <definedName localSheetId="3" name="_______MMM09">#REF!</definedName>
    <definedName localSheetId="19" name="JA">#REF!</definedName>
    <definedName localSheetId="20" name="k.beton">#REF!</definedName>
    <definedName localSheetId="3" name="_Ibr1">#REF!</definedName>
    <definedName localSheetId="34" name="plamur.matex">#REF!</definedName>
    <definedName localSheetId="24" name="_pp1">#REF!</definedName>
    <definedName localSheetId="41" name="nokpaten092">#REF!</definedName>
    <definedName localSheetId="36" name="pasirsilika">#REF!</definedName>
    <definedName localSheetId="10" name="__pvc2">#REF!</definedName>
    <definedName localSheetId="8" name="vinylkaretklII">#REF!</definedName>
    <definedName localSheetId="30" name="PT">#REF!</definedName>
    <definedName localSheetId="38" name="___HAL2">#REF!</definedName>
    <definedName localSheetId="19" name="________HAL1">#REF!</definedName>
    <definedName localSheetId="36" name="______MMM02">#REF!</definedName>
    <definedName localSheetId="20" name="Excel_BuiltIn_Print_Titles_1">#REF!</definedName>
    <definedName localSheetId="40" name="bubungangentengbeton">#REF!</definedName>
    <definedName localSheetId="27" name="FORM842">#REF!</definedName>
    <definedName localSheetId="18" name="_________HAL3">#REF!</definedName>
    <definedName localSheetId="32" name="hcs">#REF!</definedName>
    <definedName localSheetId="30" name="URAIAN66PERMUKAAN">#REF!</definedName>
    <definedName localSheetId="27" name="besiprofilWF">#REF!</definedName>
    <definedName localSheetId="44" name="______MMM38">#REF!</definedName>
    <definedName localSheetId="18" name="roster">#REF!</definedName>
    <definedName localSheetId="42" name="R31..">#REF!</definedName>
    <definedName localSheetId="36" name="asbesgelombang">#REF!</definedName>
    <definedName localSheetId="6" name="catpenutup">#REF!</definedName>
    <definedName localSheetId="11" name="KunciPintu">#REF!</definedName>
    <definedName localSheetId="7" name="plintubinteraluxmarmer1060">#REF!</definedName>
    <definedName localSheetId="7" name="borneo6.12">#REF!</definedName>
    <definedName localSheetId="24" name="tpipa">#REF!</definedName>
    <definedName localSheetId="24" name="___DIV4">#REF!</definedName>
    <definedName localSheetId="32" name="Tbt">#REF!</definedName>
    <definedName name="_________DIV8">#REF!</definedName>
    <definedName localSheetId="42" name="____HAL3">#REF!</definedName>
    <definedName localSheetId="19" name="FORM7613c">#REF!</definedName>
    <definedName localSheetId="12" name="__DIV1">#REF!</definedName>
    <definedName localSheetId="17" name="_________LLL03">#REF!</definedName>
    <definedName localSheetId="28" name="Nokmetal3mm">#REF!</definedName>
    <definedName localSheetId="17" name="R79..">#REF!</definedName>
    <definedName localSheetId="3" name="_________HAL3">#REF!</definedName>
    <definedName localSheetId="31" name="FORM731">#REF!</definedName>
    <definedName name="R81..">#REF!</definedName>
    <definedName localSheetId="34" name="waterdrainaksesoris">#REF!</definedName>
    <definedName name="__MMM37">#REF!</definedName>
    <definedName localSheetId="24" name="flordrain">#REF!</definedName>
    <definedName localSheetId="19" name="air">#REF!</definedName>
    <definedName localSheetId="38" name="SPJa">#REF!</definedName>
    <definedName localSheetId="36" name="tanahliat">#REF!</definedName>
    <definedName localSheetId="8" name="jurnal">#REF!</definedName>
    <definedName localSheetId="25" name="______MMM03">#REF!</definedName>
    <definedName localSheetId="28" name="plintubinteraluxkerang1060">#REF!</definedName>
    <definedName name="URAIAN772a">#REF!</definedName>
    <definedName localSheetId="19" name="semenwarna">#REF!</definedName>
    <definedName localSheetId="39" name="meni.kayu">#REF!</definedName>
    <definedName localSheetId="9" name="_MMM02">#REF!</definedName>
    <definedName name="ubinpcabuabu30">#REF!</definedName>
    <definedName localSheetId="25" name="plamour">#REF!</definedName>
    <definedName localSheetId="25" name="Galam">#REF!</definedName>
    <definedName localSheetId="19" name="sirap">#REF!</definedName>
    <definedName localSheetId="42" name="jj">#REF!</definedName>
    <definedName localSheetId="9" name="aaaaa">#REF!</definedName>
    <definedName localSheetId="38" name="URAIAN771a">#REF!</definedName>
    <definedName localSheetId="12" name="c.mowi.dlm">#REF!</definedName>
    <definedName localSheetId="24" name="bubungangentengbeton">#REF!</definedName>
    <definedName localSheetId="9" name="baru">#REF!</definedName>
    <definedName localSheetId="44" name="____MMM35">#REF!</definedName>
    <definedName localSheetId="7" name="Analisa634">#REF!</definedName>
    <definedName localSheetId="7" name="___LLL02">#REF!</definedName>
    <definedName localSheetId="10" name="medan5.10">#REF!</definedName>
    <definedName localSheetId="17" name="______MMM22">#REF!</definedName>
    <definedName localSheetId="34" name="ppn.m.3.20.serut">#REF!</definedName>
    <definedName localSheetId="17" name="_____DIV9">#REF!</definedName>
    <definedName localSheetId="21" name="__MMM26">#REF!</definedName>
    <definedName localSheetId="0" name="R3..">#REF!</definedName>
    <definedName localSheetId="10" name="sealer.mowi">#REF!</definedName>
    <definedName localSheetId="17" name="springknip">#REF!</definedName>
    <definedName localSheetId="21" name="lemvinyl">#REF!</definedName>
    <definedName name="___MMM18">#REF!</definedName>
    <definedName localSheetId="21" name="floorhardenerferrovak">#REF!</definedName>
    <definedName localSheetId="24" name="____DIV7">#REF!</definedName>
    <definedName localSheetId="15" name="p.kmp.smrd.3.20">#REF!</definedName>
    <definedName localSheetId="27" name="URAIAN7614a">#REF!</definedName>
    <definedName localSheetId="39" name="_HAL5">#REF!</definedName>
    <definedName localSheetId="41" name="_DIV4">#REF!</definedName>
    <definedName localSheetId="33" name="RINCIANSEWA2">#REF!</definedName>
    <definedName localSheetId="44" name="FORMLatasirKL">#REF!</definedName>
    <definedName localSheetId="17" name="pagar2m">#REF!</definedName>
    <definedName localSheetId="10" name="f.drain">#REF!</definedName>
    <definedName localSheetId="28" name="rapidrant">#REF!</definedName>
    <definedName localSheetId="27" name="lis">#REF!</definedName>
    <definedName localSheetId="17" name="____DIV10">#REF!</definedName>
    <definedName localSheetId="7" name="FORM99">#REF!</definedName>
    <definedName localSheetId="8" name="Faktor">#REF!</definedName>
    <definedName localSheetId="12" name="formica">#REF!</definedName>
    <definedName localSheetId="25" name="jurnal">#REF!</definedName>
    <definedName localSheetId="7" name="R44..">#REF!</definedName>
    <definedName localSheetId="9" name="URAIANLatasirKL">#REF!</definedName>
    <definedName localSheetId="42" name="____DIV4">#REF!</definedName>
    <definedName localSheetId="31" name="FORM721">#REF!</definedName>
    <definedName localSheetId="21" name="_______MMM53">#REF!</definedName>
    <definedName localSheetId="39" name="URAIAN79mekanis">#REF!</definedName>
    <definedName localSheetId="40" name="___MMM02">#REF!</definedName>
    <definedName localSheetId="27" name="multi.18">#REF!</definedName>
    <definedName localSheetId="13" name="asbesgelombnang">#REF!</definedName>
    <definedName localSheetId="30" name="roster">#REF!</definedName>
    <definedName localSheetId="34" name="kayudamarlaut">#REF!</definedName>
    <definedName localSheetId="44" name="borneo4.6">#REF!</definedName>
    <definedName localSheetId="18" name="__MMM01">#REF!</definedName>
    <definedName localSheetId="27" name="FORM7613b">#REF!</definedName>
    <definedName localSheetId="42" name="pindahan">#REF!</definedName>
    <definedName localSheetId="40" name="drkeet">#REF!</definedName>
    <definedName localSheetId="11" name="gali">#REF!</definedName>
    <definedName localSheetId="38" name="batukali14">#REF!</definedName>
    <definedName localSheetId="24" name="Nok">#REF!</definedName>
    <definedName localSheetId="33" name="aluminiumfoil">#REF!</definedName>
    <definedName localSheetId="12" name="semenwarna">#REF!</definedName>
    <definedName localSheetId="17" name="__MMM14">#REF!</definedName>
    <definedName localSheetId="23" name="terasocor">#REF!</definedName>
    <definedName localSheetId="28" name="platasbes4mm">#REF!</definedName>
    <definedName localSheetId="40" name="_______MMM01">#REF!</definedName>
    <definedName localSheetId="9" name="meni.kayu">#REF!</definedName>
    <definedName localSheetId="21" name="waterstop300">#REF!</definedName>
    <definedName localSheetId="18" name="beton100kg">#REF!</definedName>
    <definedName localSheetId="23" name="ktky">#REF!</definedName>
    <definedName localSheetId="24" name="FORM65">#REF!</definedName>
    <definedName localSheetId="42" name="LAINLAIN">#REF!</definedName>
    <definedName localSheetId="40" name="ngsel4">#REF!</definedName>
    <definedName localSheetId="5" name="keramik20">#REF!</definedName>
    <definedName localSheetId="12" name="Tbs">#REF!</definedName>
    <definedName localSheetId="4" name="kuncialfa">#REF!</definedName>
    <definedName localSheetId="3" name="_____LLL03">#REF!</definedName>
    <definedName localSheetId="19" name="STRUKTUR">#REF!</definedName>
    <definedName localSheetId="42" name="bubunganasbesnok">#REF!</definedName>
    <definedName localSheetId="30" name="split2.3">#REF!</definedName>
    <definedName localSheetId="24" name="R78..">#REF!</definedName>
    <definedName name="FORM847">#REF!</definedName>
    <definedName localSheetId="18" name="FORMLatasirKL">#REF!</definedName>
    <definedName localSheetId="27" name="ngsel4">#REF!</definedName>
    <definedName localSheetId="10" name="kapursirih">#REF!</definedName>
    <definedName localSheetId="17" name="URAIAN94">#REF!</definedName>
    <definedName localSheetId="44" name="_____MMM28">#REF!</definedName>
    <definedName localSheetId="44" name="URAIAN744">#REF!</definedName>
    <definedName localSheetId="11" name="pintusunscreenalluminium">#REF!</definedName>
    <definedName localSheetId="40" name="plastik">#REF!</definedName>
    <definedName localSheetId="34" name="URAIAN79manual">#REF!</definedName>
    <definedName localSheetId="10" name="p.kmp.smrd.3.20">#REF!</definedName>
    <definedName localSheetId="27" name="karpet">#REF!</definedName>
    <definedName name="__DIV1">#REF!</definedName>
    <definedName localSheetId="30" name="URAIAN732">#REF!</definedName>
    <definedName name="LAP">#REF!</definedName>
    <definedName localSheetId="44" name="pvc.2.5.Mas.d">#REF!</definedName>
    <definedName localSheetId="38" name="FORM7614c">#REF!</definedName>
    <definedName localSheetId="36" name="floorhardenermastercron">#REF!</definedName>
    <definedName localSheetId="10" name="KTM">#REF!</definedName>
    <definedName localSheetId="7" name="________MMM08">#REF!</definedName>
    <definedName localSheetId="4" name="______DIV10">#REF!</definedName>
    <definedName localSheetId="7" name="engselpintu">#REF!</definedName>
    <definedName localSheetId="32" name="___pc50">#REF!</definedName>
    <definedName name="______MMM14">#REF!</definedName>
    <definedName localSheetId="21" name="_LLL05">#REF!</definedName>
    <definedName localSheetId="4" name="R3..">#REF!</definedName>
    <definedName localSheetId="44" name="URAIAN771c">#REF!</definedName>
    <definedName localSheetId="24" name="vinylasbes">#REF!</definedName>
    <definedName localSheetId="11" name="kuas">#REF!</definedName>
    <definedName localSheetId="4" name="JL_NAS">#REF!</definedName>
    <definedName localSheetId="7" name="URAIAN623">#REF!</definedName>
    <definedName localSheetId="23" name="jendelanako">#REF!</definedName>
    <definedName localSheetId="4" name="k.beton">#REF!</definedName>
    <definedName localSheetId="23" name="______HAL2">#REF!</definedName>
    <definedName localSheetId="36" name="ramset">#REF!</definedName>
    <definedName localSheetId="0" name="Jasa">#REF!</definedName>
    <definedName localSheetId="17" name="total">#REF!</definedName>
    <definedName localSheetId="17" name="aa">#REF!</definedName>
    <definedName localSheetId="12" name="__LLL01">#REF!</definedName>
    <definedName localSheetId="7" name="____MMM25">#REF!</definedName>
    <definedName localSheetId="9" name="plintubinteraso1040">#REF!</definedName>
    <definedName localSheetId="24" name="multi.6">#REF!</definedName>
    <definedName localSheetId="17" name="roll">#REF!</definedName>
    <definedName localSheetId="34" name="___pvc2">#REF!</definedName>
    <definedName localSheetId="7" name="ubinkeramik2020">#REF!</definedName>
    <definedName localSheetId="19" name="RPHL">#REF!</definedName>
    <definedName localSheetId="17" name="_________MMM11">#REF!</definedName>
    <definedName localSheetId="19" name="drainase">#REF!</definedName>
    <definedName localSheetId="25" name="SPJ">#REF!</definedName>
    <definedName localSheetId="39" name="_DIV2">#REF!</definedName>
    <definedName localSheetId="17" name="URAIAN916">#REF!</definedName>
    <definedName localSheetId="8" name="tegelplinpc10x20">#REF!</definedName>
    <definedName localSheetId="33" name="URAIAN7612b">#REF!</definedName>
    <definedName localSheetId="7" name="Ker.L13">#REF!</definedName>
    <definedName localSheetId="21" name="plastikaerator">#REF!</definedName>
    <definedName localSheetId="8" name="Tbt">#REF!</definedName>
    <definedName localSheetId="27" name="__pvc105">#REF!</definedName>
    <definedName localSheetId="20" name="URAIAN7612c">#REF!</definedName>
    <definedName localSheetId="11" name="______DIV1">#REF!</definedName>
    <definedName localSheetId="3" name="______MMM411">#REF!</definedName>
    <definedName localSheetId="39" name="gali">#REF!</definedName>
    <definedName localSheetId="7" name="_____MMM48">#REF!</definedName>
    <definedName localSheetId="30" name="amplas">#REF!</definedName>
    <definedName localSheetId="17" name="_________MMM01">#REF!</definedName>
    <definedName localSheetId="44" name="____MMM06">#REF!</definedName>
    <definedName localSheetId="17" name="Jendelabesibaja">#REF!</definedName>
    <definedName localSheetId="44" name="pvc.1.M.abu">#REF!</definedName>
    <definedName localSheetId="28" name="catantara">#REF!</definedName>
    <definedName localSheetId="5" name="_____HAL2">#REF!</definedName>
    <definedName localSheetId="20" name="_HAL5">#REF!</definedName>
    <definedName localSheetId="23" name="_DIV1">#REF!</definedName>
    <definedName localSheetId="38" name="FORM79manual">#REF!</definedName>
    <definedName name="FORM912">#REF!</definedName>
    <definedName localSheetId="3" name="_____MMM35">#REF!</definedName>
    <definedName localSheetId="27" name="__LLL01">#REF!</definedName>
    <definedName localSheetId="12" name="pipatanah">#REF!</definedName>
    <definedName localSheetId="34" name="batapelapisdinding">#REF!</definedName>
    <definedName localSheetId="10" name="lp">#REF!</definedName>
    <definedName localSheetId="6" name="total">#REF!</definedName>
    <definedName localSheetId="24" name="________MMM47">#REF!</definedName>
    <definedName localSheetId="13" name="BPS">#REF!</definedName>
    <definedName name="floorhardenermastercron">#REF!</definedName>
    <definedName localSheetId="0" name="_________HAL1">#REF!</definedName>
    <definedName localSheetId="44" name="R93..">#REF!</definedName>
    <definedName localSheetId="23" name="_pvc105">#REF!</definedName>
    <definedName localSheetId="39" name="list">#REF!</definedName>
    <definedName localSheetId="0" name="batacote">#REF!</definedName>
    <definedName localSheetId="5" name="_______HAL1">#REF!</definedName>
    <definedName localSheetId="9" name="Batupuru">#REF!</definedName>
    <definedName localSheetId="44" name="FORM912">#REF!</definedName>
    <definedName localSheetId="44" name="________LLL08">#REF!</definedName>
    <definedName localSheetId="13" name="kayujati">#REF!</definedName>
    <definedName name="gymfloor">#REF!</definedName>
    <definedName localSheetId="7" name="BM">#REF!</definedName>
    <definedName localSheetId="27" name="______HAL2">#REF!</definedName>
    <definedName localSheetId="44" name="___MMM50">#REF!</definedName>
    <definedName localSheetId="19" name="_____HAL1">#REF!</definedName>
    <definedName localSheetId="34" name="__DIV10">#REF!</definedName>
    <definedName localSheetId="28" name="_MMM01">#REF!</definedName>
    <definedName localSheetId="30" name="__tl2">#REF!</definedName>
    <definedName localSheetId="31" name="SPJa">#REF!</definedName>
    <definedName localSheetId="38" name="Excel_BuiltIn_Print_Titles_2">#REF!</definedName>
    <definedName localSheetId="36" name="URAIAN7612c">#REF!</definedName>
    <definedName localSheetId="15" name="_________MMM01">#REF!</definedName>
    <definedName name="________HAL2">#REF!</definedName>
    <definedName localSheetId="24" name="FORM7613b">#REF!</definedName>
    <definedName localSheetId="31" name="waterdrainaksesoris">#REF!</definedName>
    <definedName localSheetId="3" name="____MMM50">#REF!</definedName>
    <definedName localSheetId="24" name="___DIV5">#REF!</definedName>
    <definedName localSheetId="24" name="___MMM50">#REF!</definedName>
    <definedName localSheetId="21" name="_________MMM36">#REF!</definedName>
    <definedName localSheetId="6" name="dua">#REF!</definedName>
    <definedName localSheetId="24" name="jurnal">#REF!</definedName>
    <definedName localSheetId="39" name="borneo4.6">#REF!</definedName>
    <definedName localSheetId="20" name="wallpaper">#REF!</definedName>
    <definedName localSheetId="33" name="_______DIV10">#REF!</definedName>
    <definedName localSheetId="42" name="tky">#REF!</definedName>
    <definedName localSheetId="41" name="URAIAN7613a">#REF!</definedName>
    <definedName localSheetId="24" name="R108..">#REF!</definedName>
    <definedName localSheetId="3" name="ASISTEN_BIDANG_PEMERINTAHAN">#REF!</definedName>
    <definedName localSheetId="27" name="semen50">#REF!</definedName>
    <definedName localSheetId="44" name="kusen">#REF!</definedName>
    <definedName localSheetId="24" name="________DIV9">#REF!</definedName>
    <definedName localSheetId="28" name="_______HAL3">#REF!</definedName>
    <definedName localSheetId="11" name="mlex.w">#REF!</definedName>
    <definedName localSheetId="7" name="p.triplek">#REF!</definedName>
    <definedName localSheetId="31" name="____DIV1">#REF!</definedName>
    <definedName localSheetId="15" name="__DIV10">#REF!</definedName>
    <definedName localSheetId="7" name="_____MMM02">#REF!</definedName>
    <definedName localSheetId="41" name="pddk">#REF!</definedName>
    <definedName localSheetId="38" name="_____DIV4">#REF!</definedName>
    <definedName name="______MMM01">#REF!</definedName>
    <definedName localSheetId="27" name="asbesgelombang">#REF!</definedName>
    <definedName localSheetId="7" name="ubinteraso40">#REF!</definedName>
    <definedName localSheetId="32" name="dempul">#REF!</definedName>
    <definedName localSheetId="7" name="pintugulungbesi">#REF!</definedName>
    <definedName localSheetId="12" name="pipabeton">#REF!</definedName>
    <definedName localSheetId="18" name="vinylkaret3030">#REF!</definedName>
    <definedName localSheetId="34" name="alangalang">#REF!</definedName>
    <definedName localSheetId="17" name="pakugalvanis">#REF!</definedName>
    <definedName localSheetId="42" name="kunci2slag">#REF!</definedName>
    <definedName localSheetId="13" name="_____MMM01">#REF!</definedName>
    <definedName localSheetId="24" name="gentengpalentong">#REF!</definedName>
    <definedName localSheetId="24" name="__HAL6">#REF!</definedName>
    <definedName localSheetId="42" name="asbesgelombnang">#REF!</definedName>
    <definedName localSheetId="13" name="tbkr">#REF!</definedName>
    <definedName localSheetId="44" name="alba2.20">#REF!</definedName>
    <definedName localSheetId="31" name="gypsum.prf">#REF!</definedName>
    <definedName name="L">#REF!</definedName>
    <definedName localSheetId="4" name="kkkk">#REF!</definedName>
    <definedName localSheetId="23" name="pintubesibaja">#REF!</definedName>
    <definedName localSheetId="19" name="vinylkaretklII">#REF!</definedName>
    <definedName localSheetId="24" name="_______MMM50">#REF!</definedName>
    <definedName localSheetId="8" name="b.belah">#REF!</definedName>
    <definedName localSheetId="23" name="_MMM02">#REF!</definedName>
    <definedName localSheetId="24" name="URAIAN7614d">#REF!</definedName>
    <definedName localSheetId="5" name="URAIAN621">#REF!</definedName>
    <definedName name="tegelporselen10x20warna">#REF!</definedName>
    <definedName localSheetId="27" name="Galam">#REF!</definedName>
    <definedName localSheetId="44" name="ss">#REF!</definedName>
    <definedName localSheetId="40" name="nokpaten092">#REF!</definedName>
    <definedName localSheetId="11" name="___pvc205">#REF!</definedName>
    <definedName localSheetId="19" name="w.stain">#REF!</definedName>
    <definedName name="R97..">#REF!</definedName>
    <definedName localSheetId="38" name="aluminiumfoil">#REF!</definedName>
    <definedName localSheetId="41" name="beton225r">#REF!</definedName>
    <definedName localSheetId="33" name="pagarseng2m">#REF!</definedName>
    <definedName localSheetId="15" name="batupecah">#REF!</definedName>
    <definedName localSheetId="4" name="____DIV4">#REF!</definedName>
    <definedName localSheetId="21" name="B.Jambi">#REF!</definedName>
    <definedName localSheetId="4" name="kayuterentang">#REF!</definedName>
    <definedName localSheetId="5" name="sabun">#REF!</definedName>
    <definedName name="psr.trs">#REF!</definedName>
    <definedName localSheetId="24" name="kayuramin">#REF!</definedName>
    <definedName localSheetId="7" name="___MMM22">#REF!</definedName>
    <definedName localSheetId="19" name="u.besi">#REF!</definedName>
    <definedName localSheetId="36" name="nokpaten092">#REF!</definedName>
    <definedName localSheetId="27" name="k.40.40.roman.crk">#REF!</definedName>
    <definedName localSheetId="0" name="plywood4mm">#REF!</definedName>
    <definedName localSheetId="21" name="R26..">#REF!</definedName>
    <definedName localSheetId="17" name="__DIV2">#REF!</definedName>
    <definedName localSheetId="25" name="_______HAL1">#REF!</definedName>
    <definedName localSheetId="36" name="mlex.w">#REF!</definedName>
    <definedName localSheetId="23" name="pakusumbat">#REF!</definedName>
    <definedName localSheetId="44" name="________MMM411">#REF!</definedName>
    <definedName localSheetId="40" name="R1..">#REF!</definedName>
    <definedName localSheetId="3" name="____MMM13">#REF!</definedName>
    <definedName localSheetId="25" name="t.sabun">#REF!</definedName>
    <definedName localSheetId="11" name="drkeet">#REF!</definedName>
    <definedName localSheetId="44" name="FORM745">#REF!</definedName>
    <definedName localSheetId="0" name="bubungangentengkodok">#REF!</definedName>
    <definedName localSheetId="41" name="siap1">#REF!</definedName>
    <definedName localSheetId="17" name="u.cor">#REF!</definedName>
    <definedName localSheetId="32" name="__HAL1">#REF!</definedName>
    <definedName localSheetId="5" name="btn">#REF!</definedName>
    <definedName localSheetId="21" name="Analisa70614">#REF!</definedName>
    <definedName localSheetId="44" name="_______MMM39">#REF!</definedName>
    <definedName localSheetId="20" name="FORM771b">#REF!</definedName>
    <definedName localSheetId="21" name="_____MMM411">#REF!</definedName>
    <definedName localSheetId="17" name="______MMM40">#REF!</definedName>
    <definedName localSheetId="27" name="beton175R">#REF!</definedName>
    <definedName localSheetId="18" name="_KOP7">#REF!</definedName>
    <definedName localSheetId="17" name="______HAL7">#REF!</definedName>
    <definedName localSheetId="42" name="medan5.7">#REF!</definedName>
    <definedName localSheetId="38" name="kalkarium">#REF!</definedName>
    <definedName localSheetId="5" name="Galam">#REF!</definedName>
    <definedName localSheetId="20" name="plintubinteraso1040">#REF!</definedName>
    <definedName name="_________MMM27">#REF!</definedName>
    <definedName localSheetId="34" name="______HAL3">#REF!</definedName>
    <definedName localSheetId="19" name="tegelplinteraso10x30">#REF!</definedName>
    <definedName localSheetId="3" name="______MMM35">#REF!</definedName>
    <definedName localSheetId="38" name="pasirsilika">#REF!</definedName>
    <definedName localSheetId="44" name="ktct">#REF!</definedName>
    <definedName localSheetId="11" name="seng25">#REF!</definedName>
    <definedName localSheetId="25" name="KERAMIK30">#REF!</definedName>
    <definedName localSheetId="12" name="R61..">#REF!</definedName>
    <definedName localSheetId="23" name="JA">#REF!</definedName>
    <definedName localSheetId="8" name="BM">#REF!</definedName>
    <definedName localSheetId="21" name="______MMM26">#REF!</definedName>
    <definedName localSheetId="39" name="tp80x80">#REF!</definedName>
    <definedName localSheetId="3" name="Nok">#REF!</definedName>
    <definedName localSheetId="31" name="kaca12">#REF!</definedName>
    <definedName localSheetId="13" name="kaca.p.5">#REF!</definedName>
    <definedName localSheetId="23" name="ubinkeramik1515">#REF!</definedName>
    <definedName localSheetId="17" name="jurnal1">#REF!</definedName>
    <definedName localSheetId="30" name="__DIV2">#REF!</definedName>
    <definedName localSheetId="10" name="____MMM03">#REF!</definedName>
    <definedName localSheetId="18" name="FORM7610">#REF!</definedName>
    <definedName localSheetId="24" name="_____MMM39">#REF!</definedName>
    <definedName localSheetId="4" name="Faktorial">#REF!</definedName>
    <definedName localSheetId="39" name="_________MMM01">#REF!</definedName>
    <definedName localSheetId="32" name="Per">#REF!</definedName>
    <definedName localSheetId="19" name="batuteraso">#REF!</definedName>
    <definedName localSheetId="31" name="_____DIV1">#REF!</definedName>
    <definedName localSheetId="32" name="engselangin">#REF!</definedName>
    <definedName localSheetId="17" name="URAIAN323L">#REF!</definedName>
    <definedName localSheetId="17" name="____MMM23">#REF!</definedName>
    <definedName localSheetId="39" name="batutempelhitam">#REF!</definedName>
    <definedName name="__MMM54">#REF!</definedName>
    <definedName localSheetId="13" name="akustikarmstrong">#REF!</definedName>
    <definedName localSheetId="27" name="KECAMATAN_KODEOHA">#REF!</definedName>
    <definedName localSheetId="17" name="pagarseng2m">#REF!</definedName>
    <definedName localSheetId="4" name="tky">#REF!</definedName>
    <definedName localSheetId="20" name="plamur.matex">#REF!</definedName>
    <definedName localSheetId="15" name="URAIAN323L">#REF!</definedName>
    <definedName localSheetId="17" name="BM">#REF!</definedName>
    <definedName localSheetId="40" name="papanbulian">#REF!</definedName>
    <definedName localSheetId="11" name="papanjelutung">#REF!</definedName>
    <definedName localSheetId="38" name="waterdrainaksesoris">#REF!</definedName>
    <definedName localSheetId="7" name="sssssss">#REF!</definedName>
    <definedName localSheetId="7" name="_________MMM41">#REF!</definedName>
    <definedName localSheetId="17" name="GUIIII">#REF!</definedName>
    <definedName localSheetId="24" name="_______MMM27">#REF!</definedName>
    <definedName localSheetId="25" name="______MMM01">#REF!</definedName>
    <definedName localSheetId="11" name="f.drain">#REF!</definedName>
    <definedName localSheetId="27" name="URAIAN732">#REF!</definedName>
    <definedName localSheetId="42" name="pagar2m">#REF!</definedName>
    <definedName localSheetId="36" name="platasbes35mm">#REF!</definedName>
    <definedName localSheetId="36" name="tegel20">#REF!</definedName>
    <definedName localSheetId="44" name="pvc.0.5.mas.d">#REF!</definedName>
    <definedName localSheetId="30" name="B.Aparatur">#REF!</definedName>
    <definedName localSheetId="0" name="____MMM02">#REF!</definedName>
    <definedName localSheetId="44" name="grendel3">#REF!</definedName>
    <definedName localSheetId="21" name="aaaaa">#REF!</definedName>
    <definedName localSheetId="7" name="kayudamarlaut">#REF!</definedName>
    <definedName localSheetId="0" name="k.40.40.roman.crk">#REF!</definedName>
    <definedName localSheetId="34" name="Uraian8410">#REF!</definedName>
    <definedName localSheetId="24" name="URAIAN633">#REF!</definedName>
    <definedName name="Batupuru">#REF!</definedName>
    <definedName localSheetId="7" name="keramik20">#REF!</definedName>
    <definedName localSheetId="40" name="kolombetonpracetak">#REF!</definedName>
    <definedName localSheetId="15" name="pakubiasa">#REF!</definedName>
    <definedName localSheetId="7" name="SPJa">#REF!</definedName>
    <definedName localSheetId="24" name="_________MMM04">#REF!</definedName>
    <definedName localSheetId="33" name="ktky">#REF!</definedName>
    <definedName localSheetId="24" name="______MMM411">#REF!</definedName>
    <definedName localSheetId="8" name="URAIAN22L">#REF!</definedName>
    <definedName localSheetId="12" name="hd">#REF!</definedName>
    <definedName localSheetId="42" name="floorhardenermastercron">#REF!</definedName>
    <definedName localSheetId="24" name="_____MMM41">#REF!</definedName>
    <definedName localSheetId="30" name="kayukelas2">#REF!</definedName>
    <definedName localSheetId="9" name="bubungangentengbeton">#REF!</definedName>
    <definedName localSheetId="0" name="besi13">#REF!</definedName>
    <definedName localSheetId="27" name="Per">#REF!</definedName>
    <definedName localSheetId="0" name="ubinwarna30">#REF!</definedName>
    <definedName localSheetId="39" name="_____HAL3">#REF!</definedName>
    <definedName localSheetId="6" name="pipabeton">#REF!</definedName>
    <definedName localSheetId="3" name="k.roman.40.40.polos">#REF!</definedName>
    <definedName localSheetId="24" name="_______MMM05">#REF!</definedName>
    <definedName localSheetId="42" name="venetionblinds">#REF!</definedName>
    <definedName localSheetId="19" name="___pvc105">#REF!</definedName>
    <definedName localSheetId="9" name="______HAL3">#REF!</definedName>
    <definedName localSheetId="23" name="tegelporselen">#REF!</definedName>
    <definedName localSheetId="40" name="JL_NAS">#REF!</definedName>
    <definedName localSheetId="44" name="ABC">#REF!</definedName>
    <definedName localSheetId="38" name="bakcuciteraso">#REF!</definedName>
    <definedName localSheetId="24" name="___MMM24">#REF!</definedName>
    <definedName localSheetId="18" name="akustikarmstrong">#REF!</definedName>
    <definedName localSheetId="4" name="_LLL02">#REF!</definedName>
    <definedName localSheetId="41" name="URAIAN22L">#REF!</definedName>
    <definedName localSheetId="38" name="_____HAL2">#REF!</definedName>
    <definedName localSheetId="12" name="Status">#REF!</definedName>
    <definedName localSheetId="24" name="________MMM10">#REF!</definedName>
    <definedName localSheetId="4" name="__DIV3">#REF!</definedName>
    <definedName localSheetId="34" name="Closet.c420">#REF!</definedName>
    <definedName localSheetId="40" name="besi13u">#REF!</definedName>
    <definedName localSheetId="3" name="_______MMM15">#REF!</definedName>
    <definedName localSheetId="44" name="____MMM48">#REF!</definedName>
    <definedName localSheetId="39" name="_pvc3">#REF!</definedName>
    <definedName localSheetId="13" name="_pp1">#REF!</definedName>
    <definedName localSheetId="30" name="URAIAN79mekanis">#REF!</definedName>
    <definedName localSheetId="17" name="nokstelrata092">#REF!</definedName>
    <definedName name="FORM65">#REF!</definedName>
    <definedName localSheetId="21" name="_______MMM22">#REF!</definedName>
    <definedName localSheetId="17" name="FORM96">#REF!</definedName>
    <definedName localSheetId="24" name="pakubiasa">#REF!</definedName>
    <definedName localSheetId="21" name="aanstamping">#REF!</definedName>
    <definedName localSheetId="24" name="Analisa71003">#REF!</definedName>
    <definedName name="___MMM44">#REF!</definedName>
    <definedName localSheetId="40" name="R41..">#REF!</definedName>
    <definedName localSheetId="20" name="R30..">#REF!</definedName>
    <definedName localSheetId="41" name="_KOP7">#REF!</definedName>
    <definedName localSheetId="40" name="R2..">#REF!</definedName>
    <definedName name="____DIV8">#REF!</definedName>
    <definedName localSheetId="12" name="cattembok">#REF!</definedName>
    <definedName localSheetId="18" name="batu.jogja">#REF!</definedName>
    <definedName localSheetId="5" name="relpintudorong">#REF!</definedName>
    <definedName localSheetId="10" name="kayukudakuda">#REF!</definedName>
    <definedName localSheetId="21" name="lem">#REF!</definedName>
    <definedName localSheetId="10" name="URAIAN22E">#REF!</definedName>
    <definedName localSheetId="39" name="plintubinteraluxkerang1040">#REF!</definedName>
    <definedName localSheetId="21" name="R81..">#REF!</definedName>
    <definedName localSheetId="31" name="_______DIV2">#REF!</definedName>
    <definedName localSheetId="17" name="_MMM44">#REF!</definedName>
    <definedName localSheetId="39" name="FORM7612a">#REF!</definedName>
    <definedName localSheetId="12" name="____MMM02">#REF!</definedName>
    <definedName localSheetId="21" name="FORM771a">#REF!</definedName>
    <definedName localSheetId="0" name="ARI">#REF!</definedName>
    <definedName localSheetId="18" name="kuncitanam">#REF!</definedName>
    <definedName name="Analisa70702">#REF!</definedName>
    <definedName localSheetId="7" name="__MMM43">#REF!</definedName>
    <definedName localSheetId="18" name="________MMM01">#REF!</definedName>
    <definedName localSheetId="32" name="URAIAN7613c">#REF!</definedName>
    <definedName localSheetId="15" name="FORM621">#REF!</definedName>
    <definedName localSheetId="40" name="gentengbeton">#REF!</definedName>
    <definedName localSheetId="28" name="ppn.m.3.20.serut">#REF!</definedName>
    <definedName localSheetId="21" name="teakwood6mm">#REF!</definedName>
    <definedName localSheetId="20" name="seng30">#REF!</definedName>
    <definedName localSheetId="6" name="kaca.es">#REF!</definedName>
    <definedName localSheetId="39" name="ls">#REF!</definedName>
    <definedName localSheetId="8" name="FORM323L">#REF!</definedName>
    <definedName localSheetId="17" name="FORM7612a">#REF!</definedName>
    <definedName localSheetId="44" name="beton.tumbuk">#REF!</definedName>
    <definedName localSheetId="10" name="Akustik">#REF!</definedName>
    <definedName localSheetId="33" name="_________MMM03">#REF!</definedName>
    <definedName localSheetId="17" name="kayujati">#REF!</definedName>
    <definedName localSheetId="7" name="jurnal1">#REF!</definedName>
    <definedName localSheetId="7" name="_LLL10">#REF!</definedName>
    <definedName localSheetId="38" name="coveartistik">#REF!</definedName>
    <definedName localSheetId="3" name="c.mowi.luar">#REF!</definedName>
    <definedName localSheetId="24" name="_________DIV6">#REF!</definedName>
    <definedName localSheetId="3" name="Galam">#REF!</definedName>
    <definedName localSheetId="27" name="besi13u">#REF!</definedName>
    <definedName localSheetId="27" name="hd">#REF!</definedName>
    <definedName localSheetId="3" name="URAIAN916">#REF!</definedName>
    <definedName localSheetId="6" name="Pjgsloof">#REF!</definedName>
    <definedName localSheetId="19" name="JUDUL">#REF!</definedName>
    <definedName localSheetId="32" name="__HAL3">#REF!</definedName>
    <definedName localSheetId="21" name="lb">#REF!</definedName>
    <definedName localSheetId="8" name="URAIAN631">#REF!</definedName>
    <definedName localSheetId="19" name="SPJ">#REF!</definedName>
    <definedName localSheetId="33" name="pasirbeton">#REF!</definedName>
    <definedName localSheetId="44" name="bak">#REF!</definedName>
    <definedName localSheetId="9" name="ubinwarna30">#REF!</definedName>
    <definedName localSheetId="20" name="terasocor">#REF!</definedName>
    <definedName localSheetId="33" name="Overhead">#REF!</definedName>
    <definedName localSheetId="27" name="URAIAN771a">#REF!</definedName>
    <definedName localSheetId="5" name="MINOR">#REF!</definedName>
    <definedName name="__MMM411">#REF!</definedName>
    <definedName localSheetId="15" name="bubunganasbesnok">#REF!</definedName>
    <definedName localSheetId="0" name="keramik40">#REF!</definedName>
    <definedName localSheetId="12" name="kunci1slag">#REF!</definedName>
    <definedName localSheetId="17" name="platasbes35mm">#REF!</definedName>
    <definedName localSheetId="18" name="plintubinteraso1040">#REF!</definedName>
    <definedName localSheetId="40" name="_____HAL1">#REF!</definedName>
    <definedName localSheetId="7" name="R53..">#REF!</definedName>
    <definedName localSheetId="39" name="_Tl1">#REF!</definedName>
    <definedName localSheetId="3" name="______LLL01">#REF!</definedName>
    <definedName localSheetId="28" name="f.drain">#REF!</definedName>
    <definedName localSheetId="15" name="semen50">#REF!</definedName>
    <definedName localSheetId="7" name="Excel_BuiltIn_Print_Area_10">#REF!</definedName>
    <definedName localSheetId="3" name="__MMM01">#REF!</definedName>
    <definedName localSheetId="4" name="batuporos">#REF!</definedName>
    <definedName localSheetId="3" name="_____MMM40">#REF!</definedName>
    <definedName localSheetId="5" name="tempatcucipiring">#REF!</definedName>
    <definedName localSheetId="32" name="URAIAN66PERATA">#REF!</definedName>
    <definedName localSheetId="8" name="Status">#REF!</definedName>
    <definedName name="Absen">#REF!</definedName>
    <definedName localSheetId="25" name="Meni">#REF!</definedName>
    <definedName localSheetId="38" name="MMM17A">#REF!</definedName>
    <definedName localSheetId="12" name="ubinwarna20">#REF!</definedName>
    <definedName localSheetId="9" name="URAIAN771a">#REF!</definedName>
    <definedName localSheetId="39" name="bak">#REF!</definedName>
    <definedName localSheetId="8" name="BPS">#REF!</definedName>
    <definedName localSheetId="21" name="R20..">#REF!</definedName>
    <definedName localSheetId="33" name="HP">#REF!</definedName>
    <definedName localSheetId="21" name="___MMM35">#REF!</definedName>
    <definedName localSheetId="19" name="DSSDD">#REF!</definedName>
    <definedName localSheetId="21" name="mlex.w">#REF!</definedName>
    <definedName localSheetId="25" name="keramik20">#REF!</definedName>
    <definedName localSheetId="40" name="__HAL4">#REF!</definedName>
    <definedName localSheetId="41" name="Kunci2">#REF!</definedName>
    <definedName localSheetId="44" name="LAINLAIN">#REF!</definedName>
    <definedName localSheetId="5" name="karpet">#REF!</definedName>
    <definedName localSheetId="39" name="semen50">#REF!</definedName>
    <definedName localSheetId="30" name="kaca12">#REF!</definedName>
    <definedName localSheetId="25" name="FORM771a">#REF!</definedName>
    <definedName localSheetId="21" name="R2..">#REF!</definedName>
    <definedName localSheetId="44" name="_MMM23">#REF!</definedName>
    <definedName localSheetId="8" name="btn">#REF!</definedName>
    <definedName localSheetId="8" name="pakuskrup">#REF!</definedName>
    <definedName localSheetId="17" name="bubungangentengmetal">#REF!</definedName>
    <definedName localSheetId="38" name="bak">#REF!</definedName>
    <definedName localSheetId="44" name="______MMM44">#REF!</definedName>
    <definedName localSheetId="3" name="FORM847">#REF!</definedName>
    <definedName localSheetId="3" name="batacote">#REF!</definedName>
    <definedName localSheetId="28" name="bbm">#REF!</definedName>
    <definedName localSheetId="30" name="R30..">#REF!</definedName>
    <definedName localSheetId="23" name="R30..">#REF!</definedName>
    <definedName localSheetId="21" name="sengplatbjls25">#REF!</definedName>
    <definedName localSheetId="44" name="_____MMM11">#REF!</definedName>
    <definedName localSheetId="18" name="___DIV4">#REF!</definedName>
    <definedName localSheetId="39" name="urugan">#REF!</definedName>
    <definedName localSheetId="11" name="kaca.es">#REF!</definedName>
    <definedName localSheetId="7" name="waterstop300">#REF!</definedName>
    <definedName localSheetId="34" name="Excel_BuiltIn_Print_Titles_2">#REF!</definedName>
    <definedName localSheetId="3" name="hcs">#REF!</definedName>
    <definedName localSheetId="11" name="___MMM03">#REF!</definedName>
    <definedName localSheetId="7" name="air">#REF!</definedName>
    <definedName localSheetId="6" name="plintubinteraso1030">#REF!</definedName>
    <definedName localSheetId="23" name="ubinteraso30">#REF!</definedName>
    <definedName localSheetId="33" name="seng30">#REF!</definedName>
    <definedName localSheetId="41" name="plastik">#REF!</definedName>
    <definedName localSheetId="7" name="engseljendela">#REF!</definedName>
    <definedName localSheetId="18" name="nnnnn">#REF!</definedName>
    <definedName localSheetId="24" name="beton250m">#REF!</definedName>
    <definedName localSheetId="7" name="__MMM42">#REF!</definedName>
    <definedName localSheetId="24" name="FORM632">#REF!</definedName>
    <definedName name="_______MMM17">#REF!</definedName>
    <definedName localSheetId="11" name="doorcloser">#REF!</definedName>
    <definedName localSheetId="20" name="atapaluminiumgelombang055">#REF!</definedName>
    <definedName localSheetId="36" name="MAI">#REF!</definedName>
    <definedName localSheetId="5" name="spirtus">#REF!</definedName>
    <definedName localSheetId="39" name="des">#REF!</definedName>
    <definedName localSheetId="19" name="______DIV10">#REF!</definedName>
    <definedName localSheetId="6" name="bubungangentengkodok">#REF!</definedName>
    <definedName localSheetId="21" name="Excel_BuiltIn_Print_Titles_3">#REF!</definedName>
    <definedName localSheetId="28" name="URAIAN21">#REF!</definedName>
    <definedName localSheetId="36" name="Uraian842">#REF!</definedName>
    <definedName localSheetId="4" name="R41..">#REF!</definedName>
    <definedName localSheetId="17" name="FORM772b">#REF!</definedName>
    <definedName localSheetId="17" name="____MMM18">#REF!</definedName>
    <definedName localSheetId="15" name="vinylkaretklII">#REF!</definedName>
    <definedName name="pagar2m">#REF!</definedName>
    <definedName localSheetId="17" name="____MMM10">#REF!</definedName>
    <definedName localSheetId="3" name="___LLL10">#REF!</definedName>
    <definedName name="Aluminium">#REF!</definedName>
    <definedName localSheetId="32" name="__LLL01">#REF!</definedName>
    <definedName localSheetId="4" name="___pvc2">#REF!</definedName>
    <definedName localSheetId="0" name="batuteraso">#REF!</definedName>
    <definedName name="________LLL02">#REF!</definedName>
    <definedName localSheetId="19" name="MASTER">#REF!</definedName>
    <definedName localSheetId="40" name="sssssss">#REF!</definedName>
    <definedName localSheetId="32" name="FORM632">#REF!</definedName>
    <definedName localSheetId="3" name="____MMM42">#REF!</definedName>
    <definedName localSheetId="20" name="cv">#REF!</definedName>
    <definedName localSheetId="9" name="___DIV4">#REF!</definedName>
    <definedName localSheetId="24" name="____DIV9">#REF!</definedName>
    <definedName localSheetId="38" name="grassblok">#REF!</definedName>
    <definedName localSheetId="10" name="plamour">#REF!</definedName>
    <definedName name="R47..">#REF!</definedName>
    <definedName name="________MMM31">#REF!</definedName>
    <definedName localSheetId="7" name="R25..">#REF!</definedName>
    <definedName localSheetId="28" name="hd">#REF!</definedName>
    <definedName localSheetId="15" name="_kop5">#REF!</definedName>
    <definedName localSheetId="7" name="__Tl1">#REF!</definedName>
    <definedName localSheetId="17" name="___LLL06">#REF!</definedName>
    <definedName localSheetId="24" name="_____MMM11">#REF!</definedName>
    <definedName localSheetId="0" name="URAIAN7613c">#REF!</definedName>
    <definedName localSheetId="7" name="Uraian845">#REF!</definedName>
    <definedName name="ubinkeramikartistik520">#REF!</definedName>
    <definedName localSheetId="21" name="___DIV3">#REF!</definedName>
    <definedName localSheetId="0" name="RINCIANSEWA2">#REF!</definedName>
    <definedName localSheetId="7" name="__MMM25">#REF!</definedName>
    <definedName localSheetId="5" name="menibesi">#REF!</definedName>
    <definedName localSheetId="20" name="BPS">#REF!</definedName>
    <definedName localSheetId="7" name="URAIAN916">#REF!</definedName>
    <definedName localSheetId="24" name="R26..">#REF!</definedName>
    <definedName localSheetId="28" name="URAIAN771c">#REF!</definedName>
    <definedName localSheetId="15" name="batacote">#REF!</definedName>
    <definedName localSheetId="32" name="amplas">#REF!</definedName>
    <definedName localSheetId="4" name="tempatcucipiring">#REF!</definedName>
    <definedName localSheetId="9" name="NAMA3">#REF!</definedName>
    <definedName localSheetId="9" name="des">#REF!</definedName>
    <definedName localSheetId="17" name="________LLL05">#REF!</definedName>
    <definedName localSheetId="39" name="kaca12">#REF!</definedName>
    <definedName localSheetId="21" name="R66..">#REF!</definedName>
    <definedName name="_____MMM37">#REF!</definedName>
    <definedName localSheetId="17" name="_______MMM12">#REF!</definedName>
    <definedName localSheetId="17" name="_MMM49">#REF!</definedName>
    <definedName localSheetId="38" name="_______MMM03">#REF!</definedName>
    <definedName localSheetId="25" name="plintubingranito1040">#REF!</definedName>
    <definedName localSheetId="30" name="tlistrik">#REF!</definedName>
    <definedName localSheetId="18" name="AGREGAT">#REF!</definedName>
    <definedName localSheetId="18" name="grendel3">#REF!</definedName>
    <definedName localSheetId="33" name="FORM731">#REF!</definedName>
    <definedName localSheetId="12" name="papanjelutung">#REF!</definedName>
    <definedName localSheetId="21" name="______MMM52">#REF!</definedName>
    <definedName localSheetId="39" name="kayukudakuda">#REF!</definedName>
    <definedName localSheetId="18" name="gentengbeton">#REF!</definedName>
    <definedName localSheetId="8" name="Nok">#REF!</definedName>
    <definedName localSheetId="27" name="KUANTITAS">#REF!</definedName>
    <definedName localSheetId="32" name="URAIAN7614a">#REF!</definedName>
    <definedName localSheetId="44" name="_____MMM25">#REF!</definedName>
    <definedName localSheetId="17" name="klosetjongkok">#REF!</definedName>
    <definedName localSheetId="12" name="kawatharmonika">#REF!</definedName>
    <definedName localSheetId="44" name="pddk">#REF!</definedName>
    <definedName localSheetId="34" name="venetionblinds">#REF!</definedName>
    <definedName localSheetId="13" name="____DIV10">#REF!</definedName>
    <definedName localSheetId="42" name="_________DIV2">#REF!</definedName>
    <definedName localSheetId="34" name="gabin_al">#REF!</definedName>
    <definedName localSheetId="44" name="___MMM15">#REF!</definedName>
    <definedName localSheetId="11" name="beton175m">#REF!</definedName>
    <definedName localSheetId="10" name="_MMM01">#REF!</definedName>
    <definedName localSheetId="27" name="FORM612">#REF!</definedName>
    <definedName localSheetId="3" name="_MMM07">#REF!</definedName>
    <definedName localSheetId="38" name="pakusirap">#REF!</definedName>
    <definedName name="k.ddg.20.25.rmn.crk">#REF!</definedName>
    <definedName localSheetId="44" name="ppnm">#REF!</definedName>
    <definedName localSheetId="13" name="baru">#REF!</definedName>
    <definedName localSheetId="9" name="gali">#REF!</definedName>
    <definedName localSheetId="44" name="_____MMM32">#REF!</definedName>
    <definedName localSheetId="3" name="__MMM12">#REF!</definedName>
    <definedName localSheetId="17" name="FORM79manual">#REF!</definedName>
    <definedName name="bubungangentengbesar">#REF!</definedName>
    <definedName localSheetId="3" name="gentengkodok">#REF!</definedName>
    <definedName localSheetId="25" name="MINOR">#REF!</definedName>
    <definedName localSheetId="7" name="coveartistik">#REF!</definedName>
    <definedName localSheetId="41" name="MINOR">#REF!</definedName>
    <definedName localSheetId="25" name="seng30">#REF!</definedName>
    <definedName localSheetId="3" name="_MMM05">#REF!</definedName>
    <definedName localSheetId="44" name="_MMM40">#REF!</definedName>
    <definedName localSheetId="28" name="catpenutup2kali">#REF!</definedName>
    <definedName localSheetId="3" name="________MMM39">#REF!</definedName>
    <definedName localSheetId="6" name="c.maxi">#REF!</definedName>
    <definedName name="URAIAN7610">#REF!</definedName>
    <definedName localSheetId="12" name="R50..">#REF!</definedName>
    <definedName localSheetId="6" name="vinylkaret3030">#REF!</definedName>
    <definedName localSheetId="39" name="beton175m">#REF!</definedName>
    <definedName localSheetId="19" name="kaca5">#REF!</definedName>
    <definedName localSheetId="7" name="_____MMM36">#REF!</definedName>
    <definedName localSheetId="41" name="__LLL01">#REF!</definedName>
    <definedName name="_____MMM03">#REF!</definedName>
    <definedName localSheetId="42" name="rtrt">#REF!</definedName>
    <definedName localSheetId="18" name="____HAL1">#REF!</definedName>
    <definedName name="_____HAL6">#REF!</definedName>
    <definedName localSheetId="17" name="Analisa612">#REF!</definedName>
    <definedName localSheetId="39" name="_pvc2">#REF!</definedName>
    <definedName localSheetId="0" name="ppn2.30">#REF!</definedName>
    <definedName localSheetId="44" name="plintubinteraso1040">#REF!</definedName>
    <definedName localSheetId="0" name="Closet.c420">#REF!</definedName>
    <definedName localSheetId="41" name="____MMM02">#REF!</definedName>
    <definedName localSheetId="30" name="tky">#REF!</definedName>
    <definedName localSheetId="17" name="terasocor">#REF!</definedName>
    <definedName localSheetId="17" name="minyaksolar">#REF!</definedName>
    <definedName localSheetId="15" name="sirlak">#REF!</definedName>
    <definedName name="plintubinkeramikartistik1020">#REF!</definedName>
    <definedName localSheetId="31" name="___MMM02">#REF!</definedName>
    <definedName localSheetId="11" name="kayuterentang">#REF!</definedName>
    <definedName name="ktky">#REF!</definedName>
    <definedName localSheetId="8" name="______DIV2">#REF!</definedName>
    <definedName localSheetId="5" name="gentengdecrabond">#REF!</definedName>
    <definedName localSheetId="3" name="R21..">#REF!</definedName>
    <definedName localSheetId="4" name="kayuborneo">#REF!</definedName>
    <definedName name="alangalang">#REF!</definedName>
    <definedName localSheetId="17" name="na">#REF!</definedName>
    <definedName localSheetId="20" name="total">#REF!</definedName>
    <definedName name="_________MMM33">#REF!</definedName>
    <definedName localSheetId="19" name="pddk">#REF!</definedName>
    <definedName localSheetId="24" name="R65..">#REF!</definedName>
    <definedName localSheetId="41" name="profilalumuniumT">#REF!</definedName>
    <definedName localSheetId="3" name="_________MMM27">#REF!</definedName>
    <definedName localSheetId="3" name="Uraian847">#REF!</definedName>
    <definedName localSheetId="27" name="teakwood9mm">#REF!</definedName>
    <definedName localSheetId="12" name="engsel3">#REF!</definedName>
    <definedName localSheetId="12" name="ubinkeramik1033">#REF!</definedName>
    <definedName localSheetId="34" name="Papanbouplank">#REF!</definedName>
    <definedName localSheetId="42" name="URAIAN633">#REF!</definedName>
    <definedName localSheetId="44" name="ubinkeramik1515">#REF!</definedName>
    <definedName localSheetId="41" name="Galam">#REF!</definedName>
    <definedName localSheetId="31" name="_______HAL3">#REF!</definedName>
    <definedName localSheetId="7" name="_MMM46">#REF!</definedName>
    <definedName localSheetId="42" name="grassblok">#REF!</definedName>
    <definedName localSheetId="36" name="kayuramin">#REF!</definedName>
    <definedName localSheetId="7" name="_______MMM13">#REF!</definedName>
    <definedName name="engselangin">#REF!</definedName>
    <definedName localSheetId="42" name="______MMM03">#REF!</definedName>
    <definedName localSheetId="18" name="_________MMM02">#REF!</definedName>
    <definedName name="NAMA3">#REF!</definedName>
    <definedName localSheetId="19" name="k.beton">#REF!</definedName>
    <definedName localSheetId="33" name="Galam">#REF!</definedName>
    <definedName localSheetId="34" name="borneo5.7">#REF!</definedName>
    <definedName localSheetId="30" name="water.prof">#REF!</definedName>
    <definedName localSheetId="8" name="Faktorial">#REF!</definedName>
    <definedName localSheetId="3" name="_________LLL08">#REF!</definedName>
    <definedName localSheetId="23" name="batupecah">#REF!</definedName>
    <definedName localSheetId="42" name="R30..">#REF!</definedName>
    <definedName localSheetId="3" name="mowi.ws">#REF!</definedName>
    <definedName localSheetId="33" name="SPJa">#REF!</definedName>
    <definedName localSheetId="30" name="SusunanOrg">#REF!</definedName>
    <definedName localSheetId="15" name="kawatduri">#REF!</definedName>
    <definedName localSheetId="10" name="JA">#REF!</definedName>
    <definedName localSheetId="6" name="Faktorial">#REF!</definedName>
    <definedName localSheetId="44" name="FORM7614d">#REF!</definedName>
    <definedName localSheetId="5" name="papanII">#REF!</definedName>
    <definedName localSheetId="30" name="BAJA">#REF!</definedName>
    <definedName localSheetId="0" name="dua">#REF!</definedName>
    <definedName localSheetId="34" name="___MMM03">#REF!</definedName>
    <definedName localSheetId="24" name="______MMM32">#REF!</definedName>
    <definedName localSheetId="5" name="hcs">#REF!</definedName>
    <definedName localSheetId="24" name="_____MMM29">#REF!</definedName>
    <definedName localSheetId="34" name="wallpaper">#REF!</definedName>
    <definedName localSheetId="20" name="Print_title">#REF!</definedName>
    <definedName localSheetId="13" name="________MMM01">#REF!</definedName>
    <definedName localSheetId="24" name="__HAL7">#REF!</definedName>
    <definedName localSheetId="12" name="NAMA3">#REF!</definedName>
    <definedName localSheetId="44" name="URAIAN7613c">#REF!</definedName>
    <definedName localSheetId="21" name="FORM621">#REF!</definedName>
    <definedName localSheetId="23" name="ubingranito30">#REF!</definedName>
    <definedName localSheetId="7" name="plamour">#REF!</definedName>
    <definedName localSheetId="25" name="pakusumbat">#REF!</definedName>
    <definedName localSheetId="33" name="Analisa512">#REF!</definedName>
    <definedName localSheetId="3" name="kapursirih">#REF!</definedName>
    <definedName localSheetId="3" name="_______MMM30">#REF!</definedName>
    <definedName localSheetId="19" name="_____HAL3">#REF!</definedName>
    <definedName localSheetId="20" name="penduduk">#REF!</definedName>
    <definedName localSheetId="6" name="SUNGAI_BERTAM">#REF!</definedName>
    <definedName localSheetId="24" name="R77..">#REF!</definedName>
    <definedName localSheetId="41" name="beton.225m">#REF!</definedName>
    <definedName localSheetId="12" name="tm_2415921492">#REF!</definedName>
    <definedName localSheetId="42" name="grendel4">#REF!</definedName>
    <definedName name="___MMM28">#REF!</definedName>
    <definedName localSheetId="3" name="FORM635A">#REF!</definedName>
    <definedName localSheetId="27" name="kayumarsawa">#REF!</definedName>
    <definedName localSheetId="17" name="dd">#REF!</definedName>
    <definedName localSheetId="44" name="______HAL5">#REF!</definedName>
    <definedName localSheetId="24" name="______MMM43">#REF!</definedName>
    <definedName localSheetId="15" name="ubinteraso30">#REF!</definedName>
    <definedName localSheetId="7" name="_MMM48">#REF!</definedName>
    <definedName localSheetId="0" name="STRUKTUR">#REF!</definedName>
    <definedName localSheetId="24" name="_________HAL6">#REF!</definedName>
    <definedName localSheetId="21" name="Analisa512">#REF!</definedName>
    <definedName localSheetId="13" name="URAIAN7614d">#REF!</definedName>
    <definedName localSheetId="41" name="kkkk">#REF!</definedName>
    <definedName localSheetId="27" name="UTAIAN7614c">#REF!</definedName>
    <definedName localSheetId="32" name="FORM631">#REF!</definedName>
    <definedName localSheetId="17" name="FORM79mekanis">#REF!</definedName>
    <definedName localSheetId="9" name="Gypsum">#REF!</definedName>
    <definedName localSheetId="44" name="______MMM14">#REF!</definedName>
    <definedName localSheetId="13" name="FORM66PERATA">#REF!</definedName>
    <definedName localSheetId="44" name="__MMM15">#REF!</definedName>
    <definedName localSheetId="23" name="besi13">#REF!</definedName>
    <definedName localSheetId="12" name="URAIAN7613c">#REF!</definedName>
    <definedName localSheetId="20" name="strorox">#REF!</definedName>
    <definedName localSheetId="36" name="mowi.ws">#REF!</definedName>
    <definedName localSheetId="24" name="___MMM29">#REF!</definedName>
    <definedName localSheetId="6" name="LAP">#REF!</definedName>
    <definedName localSheetId="25" name="URAIAN771c">#REF!</definedName>
    <definedName localSheetId="39" name="R40..">#REF!</definedName>
    <definedName localSheetId="11" name="kayualbasiah">#REF!</definedName>
    <definedName localSheetId="21" name="tpipa">#REF!</definedName>
    <definedName localSheetId="21" name="sssssss">#REF!</definedName>
    <definedName localSheetId="5" name="pakuhalus">#REF!</definedName>
    <definedName name="URAIAN651">#REF!</definedName>
    <definedName localSheetId="38" name="rooflightfiibreglass">#REF!</definedName>
    <definedName localSheetId="25" name="formica">#REF!</definedName>
    <definedName localSheetId="5" name="FORM66PERMUKAAN">#REF!</definedName>
    <definedName localSheetId="31" name="Nok">#REF!</definedName>
    <definedName localSheetId="3" name="sengbjls25">#REF!</definedName>
    <definedName localSheetId="38" name="des">#REF!</definedName>
    <definedName name="FORM7614d">#REF!</definedName>
    <definedName localSheetId="32" name="semenwarna">#REF!</definedName>
    <definedName localSheetId="34" name="ubinkeramikartistik1020">#REF!</definedName>
    <definedName localSheetId="36" name="data2">#REF!</definedName>
    <definedName localSheetId="3" name="_____MMM36">#REF!</definedName>
    <definedName localSheetId="42" name="_LLL02">#REF!</definedName>
    <definedName localSheetId="30" name="catpenutup">#REF!</definedName>
    <definedName localSheetId="42" name="____DIV2">#REF!</definedName>
    <definedName localSheetId="23" name="_______HAL1">#REF!</definedName>
    <definedName localSheetId="17" name="__MMM15">#REF!</definedName>
    <definedName localSheetId="7" name="FORM919">#REF!</definedName>
    <definedName localSheetId="28" name="_____MMM03">#REF!</definedName>
    <definedName localSheetId="36" name="MATERIAL">#REF!</definedName>
    <definedName localSheetId="5" name="________MMM01">#REF!</definedName>
    <definedName localSheetId="42" name="engselangin">#REF!</definedName>
    <definedName localSheetId="7" name="______DIV10">#REF!</definedName>
    <definedName localSheetId="17" name="_______MMM17">#REF!</definedName>
    <definedName localSheetId="44" name="Meni">#REF!</definedName>
    <definedName localSheetId="25" name="____DIV10">#REF!</definedName>
    <definedName name="sementahanasam">#REF!</definedName>
    <definedName localSheetId="9" name="beton175R">#REF!</definedName>
    <definedName localSheetId="33" name="kuncilemari">#REF!</definedName>
    <definedName name="URAIAN914">#REF!</definedName>
    <definedName localSheetId="18" name="jurnal1">#REF!</definedName>
    <definedName localSheetId="42" name="dua">#REF!</definedName>
    <definedName localSheetId="17" name="_tl2">#REF!</definedName>
    <definedName localSheetId="19" name="____DIV2">#REF!</definedName>
    <definedName localSheetId="5" name="pp">#REF!</definedName>
    <definedName name="_______MMM52">#REF!</definedName>
    <definedName localSheetId="28" name="lp">#REF!</definedName>
    <definedName localSheetId="0" name="FORMLatasirKL">#REF!</definedName>
    <definedName localSheetId="17" name="NAMA2">#REF!</definedName>
    <definedName name="gentengmetal">#REF!</definedName>
    <definedName localSheetId="17" name="URAIAN631">#REF!</definedName>
    <definedName localSheetId="39" name="URAIAN323L">#REF!</definedName>
    <definedName localSheetId="32" name="R30..">#REF!</definedName>
    <definedName localSheetId="13" name="keramik20">#REF!</definedName>
    <definedName localSheetId="44" name="URAIAN622">#REF!</definedName>
    <definedName localSheetId="11" name="KTM">#REF!</definedName>
    <definedName localSheetId="42" name="plintubinteraluxkerang1040">#REF!</definedName>
    <definedName name="______HAL8">#REF!</definedName>
    <definedName localSheetId="23" name="w">#REF!</definedName>
    <definedName localSheetId="3" name="kategori">#REF!</definedName>
    <definedName localSheetId="19" name="_______DIV1">#REF!</definedName>
    <definedName name="______MMM38">#REF!</definedName>
    <definedName localSheetId="4" name="plywood4">#REF!</definedName>
    <definedName localSheetId="30" name="nokpaten105">#REF!</definedName>
    <definedName localSheetId="7" name="beton250m">#REF!</definedName>
    <definedName localSheetId="39" name="__pvc2">#REF!</definedName>
    <definedName localSheetId="36" name="besi13u">#REF!</definedName>
    <definedName localSheetId="32" name="Lamp">#REF!</definedName>
    <definedName localSheetId="44" name="kayuborneo">#REF!</definedName>
    <definedName localSheetId="25" name="Psr.psg">#REF!</definedName>
    <definedName localSheetId="38" name="MASTER">#REF!</definedName>
    <definedName localSheetId="36" name="Skrup">#REF!</definedName>
    <definedName localSheetId="28" name="coveartistik">#REF!</definedName>
    <definedName localSheetId="25" name="pijar15">#REF!</definedName>
    <definedName localSheetId="21" name="R30..">#REF!</definedName>
    <definedName localSheetId="21" name="_______MMM39">#REF!</definedName>
    <definedName name="___HAL1">#REF!</definedName>
    <definedName localSheetId="4" name="_______MMM01">#REF!</definedName>
    <definedName localSheetId="27" name="__DIV10">#REF!</definedName>
    <definedName localSheetId="7" name="________MMM47">#REF!</definedName>
    <definedName localSheetId="40" name="kacapolos5mm">#REF!</definedName>
    <definedName localSheetId="3" name="_________DIV8">#REF!</definedName>
    <definedName localSheetId="24" name="beton225r">#REF!</definedName>
    <definedName localSheetId="17" name="____MMM39">#REF!</definedName>
    <definedName localSheetId="40" name="profilalumuniumT">#REF!</definedName>
    <definedName localSheetId="17" name="kuncitanamantik">#REF!</definedName>
    <definedName localSheetId="3" name="bak">#REF!</definedName>
    <definedName localSheetId="42" name="___pvc205">#REF!</definedName>
    <definedName localSheetId="17" name="catpenutup2kali">#REF!</definedName>
    <definedName localSheetId="12" name="tp80x80">#REF!</definedName>
    <definedName localSheetId="0" name="aaaaa">#REF!</definedName>
    <definedName localSheetId="33" name="__pvc05">#REF!</definedName>
    <definedName localSheetId="6" name="pa">#REF!</definedName>
    <definedName localSheetId="24" name="_MMM33">#REF!</definedName>
    <definedName localSheetId="33" name="____MMM01">#REF!</definedName>
    <definedName localSheetId="38" name="R100..">#REF!</definedName>
    <definedName localSheetId="32" name="teakwood6mm">#REF!</definedName>
    <definedName localSheetId="40" name="ktky">#REF!</definedName>
    <definedName localSheetId="8" name="FORM7614a">#REF!</definedName>
    <definedName localSheetId="33" name="doorcloser">#REF!</definedName>
    <definedName localSheetId="31" name="kayuterentang">#REF!</definedName>
    <definedName localSheetId="7" name="___MMM06">#REF!</definedName>
    <definedName localSheetId="17" name="URAIAN7613b">#REF!</definedName>
    <definedName localSheetId="21" name="pintubesibaja">#REF!</definedName>
    <definedName localSheetId="44" name="kuncitanamkamarmandi">#REF!</definedName>
    <definedName localSheetId="38" name="__HAL1">#REF!</definedName>
    <definedName localSheetId="42" name="KunciPintu">#REF!</definedName>
    <definedName localSheetId="19" name="rubbercorrugate">#REF!</definedName>
    <definedName name="_MMM04">#REF!</definedName>
    <definedName localSheetId="10" name="tlistrik">#REF!</definedName>
    <definedName localSheetId="0" name="URAIAN7613b">#REF!</definedName>
    <definedName localSheetId="7" name="vinylasbes">#REF!</definedName>
    <definedName localSheetId="44" name="R31..">#REF!</definedName>
    <definedName localSheetId="20" name="marmer">#REF!</definedName>
    <definedName localSheetId="33" name="lis">#REF!</definedName>
    <definedName localSheetId="3" name="_MMM09">#REF!</definedName>
    <definedName localSheetId="44" name="R95..">#REF!</definedName>
    <definedName localSheetId="42" name="Uraian841">#REF!</definedName>
    <definedName localSheetId="44" name="____DIV10">#REF!</definedName>
    <definedName localSheetId="17" name="ubinteraluxkerang30">#REF!</definedName>
    <definedName localSheetId="23" name="batacote">#REF!</definedName>
    <definedName localSheetId="10" name="split2.3">#REF!</definedName>
    <definedName localSheetId="21" name="___MMM15">#REF!</definedName>
    <definedName name="_________MMM53">#REF!</definedName>
    <definedName localSheetId="3" name="kali">#REF!</definedName>
    <definedName localSheetId="7" name="ubingranito40">#REF!</definedName>
    <definedName localSheetId="25" name="TANAH">#REF!</definedName>
    <definedName localSheetId="20" name="URAIAN632">#REF!</definedName>
    <definedName localSheetId="11" name="cycllop">#REF!</definedName>
    <definedName localSheetId="28" name="________DIV10">#REF!</definedName>
    <definedName name="ubintahanasam">#REF!</definedName>
    <definedName localSheetId="9" name="beton.tumbuk">#REF!</definedName>
    <definedName localSheetId="30" name="AGREGAT">#REF!</definedName>
    <definedName localSheetId="3" name="tegelporselen11x11warna">#REF!</definedName>
    <definedName localSheetId="5" name="borneo5.10">#REF!</definedName>
    <definedName localSheetId="32" name="URAIAN66PERMUKAAN">#REF!</definedName>
    <definedName localSheetId="25" name="besijaringkawatbaja">#REF!</definedName>
    <definedName name="_____MMM26">#REF!</definedName>
    <definedName localSheetId="44" name="pasirbeton">#REF!</definedName>
    <definedName localSheetId="30" name="kali">#REF!</definedName>
    <definedName localSheetId="23" name="URAIAN631">#REF!</definedName>
    <definedName localSheetId="36" name="bjls25">#REF!</definedName>
    <definedName localSheetId="20" name="waterdrainaksesoris">#REF!</definedName>
    <definedName localSheetId="19" name="ASET">#REF!</definedName>
    <definedName localSheetId="0" name="batamerah">#REF!</definedName>
    <definedName localSheetId="8" name="pindahan">#REF!</definedName>
    <definedName localSheetId="13" name="____HAL2">#REF!</definedName>
    <definedName localSheetId="23" name="MAI">#REF!</definedName>
    <definedName localSheetId="18" name="tky">#REF!</definedName>
    <definedName localSheetId="7" name="BAHU">#REF!</definedName>
    <definedName localSheetId="21" name="ubinkeramikartistik1020">#REF!</definedName>
    <definedName localSheetId="11" name="plamur.matex">#REF!</definedName>
    <definedName localSheetId="13" name="parquetjati">#REF!</definedName>
    <definedName localSheetId="20" name="plintubingranito1030">#REF!</definedName>
    <definedName localSheetId="6" name="RoolingdoorAlumunium">#REF!</definedName>
    <definedName localSheetId="12" name="_MMM01">#REF!</definedName>
    <definedName localSheetId="6" name="_____DIV10">#REF!</definedName>
    <definedName localSheetId="36" name="jamtandem">#REF!</definedName>
    <definedName localSheetId="11" name="_pp1">#REF!</definedName>
    <definedName localSheetId="44" name="________MMM12">#REF!</definedName>
    <definedName localSheetId="44" name="FORM79manual">#REF!</definedName>
    <definedName localSheetId="44" name="_________MMM48">#REF!</definedName>
    <definedName localSheetId="18" name="_LLL02">#REF!</definedName>
    <definedName localSheetId="21" name="pvc.2.5.Mas.d">#REF!</definedName>
    <definedName name="_MMM42">#REF!</definedName>
    <definedName localSheetId="40" name="URAIAN7610">#REF!</definedName>
    <definedName localSheetId="13" name="Nok">#REF!</definedName>
    <definedName localSheetId="11" name="URAIAN632">#REF!</definedName>
    <definedName localSheetId="27" name="_________DIV1">#REF!</definedName>
    <definedName localSheetId="20" name="RINCIANSEWA2">#REF!</definedName>
    <definedName localSheetId="36" name="jendelanako">#REF!</definedName>
    <definedName localSheetId="39" name="FORM7612b">#REF!</definedName>
    <definedName localSheetId="6" name="kompresor">#REF!</definedName>
    <definedName localSheetId="17" name="__MMM45">#REF!</definedName>
    <definedName name="_______LLL06">#REF!</definedName>
    <definedName localSheetId="28" name="pakuhalus">#REF!</definedName>
    <definedName localSheetId="39" name="Excel_BuiltIn_Print_Titles_1">#REF!</definedName>
    <definedName localSheetId="3" name="medan5.10">#REF!</definedName>
    <definedName localSheetId="40" name="bakkontrol">#REF!</definedName>
    <definedName localSheetId="4" name="AAAAAAA">#REF!</definedName>
    <definedName localSheetId="7" name="R13..">#REF!</definedName>
    <definedName localSheetId="31" name="sssssss">#REF!</definedName>
    <definedName localSheetId="10" name="platasbes35mm">#REF!</definedName>
    <definedName localSheetId="15" name="pakusumbat">#REF!</definedName>
    <definedName localSheetId="44" name="kompresor">#REF!</definedName>
    <definedName localSheetId="8" name="gentengaspal">#REF!</definedName>
    <definedName localSheetId="0" name="kran.bbk">#REF!</definedName>
    <definedName localSheetId="44" name="FORM635">#REF!</definedName>
    <definedName localSheetId="10" name="floorhardenermastercron">#REF!</definedName>
    <definedName localSheetId="38" name="badkip">#REF!</definedName>
    <definedName localSheetId="7" name="________DIV9">#REF!</definedName>
    <definedName localSheetId="28" name="_LLL02">#REF!</definedName>
    <definedName localSheetId="34" name="wwww">#REF!</definedName>
    <definedName localSheetId="18" name="sealent">#REF!</definedName>
    <definedName localSheetId="19" name="___MMM03">#REF!</definedName>
    <definedName localSheetId="3" name="JL_NAS">#REF!</definedName>
    <definedName localSheetId="7" name="rtrt">#REF!</definedName>
    <definedName localSheetId="3" name="R39..">#REF!</definedName>
    <definedName localSheetId="17" name="___MMM36">#REF!</definedName>
    <definedName localSheetId="5" name="medan5.10">#REF!</definedName>
    <definedName localSheetId="42" name="R20..">#REF!</definedName>
    <definedName localSheetId="9" name="URAIAN22E">#REF!</definedName>
    <definedName localSheetId="44" name="________MMM17">#REF!</definedName>
    <definedName localSheetId="30" name="pasirbeton">#REF!</definedName>
    <definedName localSheetId="3" name="bubunganstelgelombang108">#REF!</definedName>
    <definedName localSheetId="40" name="URAIAN771c">#REF!</definedName>
    <definedName name="R46..">#REF!</definedName>
    <definedName localSheetId="38" name="namaabsen">#REF!</definedName>
    <definedName localSheetId="13" name="Fak">#REF!</definedName>
    <definedName localSheetId="12" name="coveartistik">#REF!</definedName>
    <definedName localSheetId="18" name="gabin_al">#REF!</definedName>
    <definedName localSheetId="31" name="alangalang">#REF!</definedName>
    <definedName localSheetId="17" name="kmp.banjar">#REF!</definedName>
    <definedName localSheetId="7" name="Excel_BuiltIn_Print_Area_1">#REF!</definedName>
    <definedName localSheetId="30" name="pakusumbat">#REF!</definedName>
    <definedName localSheetId="0" name="Aluminium">#REF!</definedName>
    <definedName localSheetId="18" name="waterstop230">#REF!</definedName>
    <definedName localSheetId="25" name="Status">#REF!</definedName>
    <definedName name="RINCIANSEWA2">#REF!</definedName>
    <definedName localSheetId="17" name="______LLL02">#REF!</definedName>
    <definedName localSheetId="13" name="ubinkeramik1020">#REF!</definedName>
    <definedName localSheetId="20" name="tegelplinteraso10x30">#REF!</definedName>
    <definedName localSheetId="34" name="pp">#REF!</definedName>
    <definedName localSheetId="8" name="KUANTITAS">#REF!</definedName>
    <definedName localSheetId="39" name="ubingranito30">#REF!</definedName>
    <definedName localSheetId="38" name="___pvc205">#REF!</definedName>
    <definedName name="_______MMM12">#REF!</definedName>
    <definedName localSheetId="44" name="_______MMM41">#REF!</definedName>
    <definedName localSheetId="39" name="kayudamarlaut">#REF!</definedName>
    <definedName localSheetId="3" name="______DIV1">#REF!</definedName>
    <definedName localSheetId="3" name="batupecah">#REF!</definedName>
    <definedName localSheetId="6" name="FORM745">#REF!</definedName>
    <definedName localSheetId="21" name="__DIV5">#REF!</definedName>
    <definedName name="___DIV9">#REF!</definedName>
    <definedName localSheetId="25" name="____HAL1">#REF!</definedName>
    <definedName localSheetId="10" name="_PC50">#REF!</definedName>
    <definedName localSheetId="18" name="sengplatbjls24">#REF!</definedName>
    <definedName localSheetId="27" name="___pvc205">#REF!</definedName>
    <definedName name="kompresor">#REF!</definedName>
    <definedName localSheetId="24" name="teakwood4mm">#REF!</definedName>
    <definedName localSheetId="17" name="gabin_al">#REF!</definedName>
    <definedName localSheetId="44" name="URAIAN633">#REF!</definedName>
    <definedName localSheetId="9" name="MAI">#REF!</definedName>
    <definedName localSheetId="31" name="tegelplinteraso10x30">#REF!</definedName>
    <definedName localSheetId="13" name="kacacermin5">#REF!</definedName>
    <definedName localSheetId="10" name="____DIV1">#REF!</definedName>
    <definedName localSheetId="5" name="kayukudakuda">#REF!</definedName>
    <definedName localSheetId="3" name="_______LLL03">#REF!</definedName>
    <definedName localSheetId="18" name="besi13u">#REF!</definedName>
    <definedName localSheetId="0" name="Analisa55">#REF!</definedName>
    <definedName localSheetId="10" name="plastikaerator">#REF!</definedName>
    <definedName name="____DIV9">#REF!</definedName>
    <definedName localSheetId="39" name="ubinkeramikartistik1020">#REF!</definedName>
    <definedName localSheetId="24" name="multi.18">#REF!</definedName>
    <definedName localSheetId="24" name="_______MMM22">#REF!</definedName>
    <definedName localSheetId="7" name="Fak">#REF!</definedName>
    <definedName localSheetId="3" name="b.super.5.10">#REF!</definedName>
    <definedName localSheetId="13" name="beton175R">#REF!</definedName>
    <definedName localSheetId="40" name="___HAL2">#REF!</definedName>
    <definedName localSheetId="33" name="papanbekisting">#REF!</definedName>
    <definedName localSheetId="33" name="profilalumuniumT">#REF!</definedName>
    <definedName localSheetId="30" name="mm">#REF!</definedName>
    <definedName localSheetId="15" name="karpet">#REF!</definedName>
    <definedName name="beton175m">#REF!</definedName>
    <definedName localSheetId="12" name="badkip">#REF!</definedName>
    <definedName localSheetId="39" name="kuncitanam">#REF!</definedName>
    <definedName localSheetId="17" name="_________DIV7">#REF!</definedName>
    <definedName localSheetId="30" name="dasar">#REF!</definedName>
    <definedName localSheetId="30" name="URAIAN7610">#REF!</definedName>
    <definedName localSheetId="31" name="begisting">#REF!</definedName>
    <definedName localSheetId="44" name="____MMM16">#REF!</definedName>
    <definedName localSheetId="44" name="_MMM52">#REF!</definedName>
    <definedName localSheetId="24" name="_______MMM35">#REF!</definedName>
    <definedName localSheetId="24" name="pakuskrup">#REF!</definedName>
    <definedName localSheetId="0" name="na">#REF!</definedName>
    <definedName localSheetId="24" name="kayujati">#REF!</definedName>
    <definedName localSheetId="38" name="__MMM01">#REF!</definedName>
    <definedName localSheetId="13" name="spirtus">#REF!</definedName>
    <definedName localSheetId="13" name="jurnal1">#REF!</definedName>
    <definedName localSheetId="38" name="Pengadaan">#REF!</definedName>
    <definedName localSheetId="17" name="nokpaten105">#REF!</definedName>
    <definedName localSheetId="33" name="ubingranito30">#REF!</definedName>
    <definedName localSheetId="42" name="KECAMATAN_KODEOHA">#REF!</definedName>
    <definedName localSheetId="10" name="Jendelabesibaja">#REF!</definedName>
    <definedName localSheetId="34" name="roll">#REF!</definedName>
    <definedName localSheetId="41" name="vinylasbes">#REF!</definedName>
    <definedName localSheetId="21" name="____MMM15">#REF!</definedName>
    <definedName localSheetId="7" name="___MMM54">#REF!</definedName>
    <definedName localSheetId="44" name="_MMM39">#REF!</definedName>
    <definedName localSheetId="32" name="gentengaspal">#REF!</definedName>
    <definedName localSheetId="17" name="_______HAL3">#REF!</definedName>
    <definedName name="waterdrainaksesoris">#REF!</definedName>
    <definedName localSheetId="3" name="____LLL01">#REF!</definedName>
    <definedName localSheetId="17" name="plesteran13">#REF!</definedName>
    <definedName localSheetId="17" name="cghj">#REF!</definedName>
    <definedName localSheetId="3" name="tct">#REF!</definedName>
    <definedName localSheetId="28" name="kunci1slag">#REF!</definedName>
    <definedName localSheetId="44" name="____MMM12">#REF!</definedName>
    <definedName localSheetId="3" name="___MMM30">#REF!</definedName>
    <definedName localSheetId="12" name="pasirsilika">#REF!</definedName>
    <definedName localSheetId="24" name="GRC">#REF!</definedName>
    <definedName localSheetId="3" name="_________MMM48">#REF!</definedName>
    <definedName localSheetId="24" name="__MMM44">#REF!</definedName>
    <definedName localSheetId="0" name="p.bI">#REF!</definedName>
    <definedName localSheetId="24" name="________MMM07">#REF!</definedName>
    <definedName localSheetId="44" name="________MMM33">#REF!</definedName>
    <definedName name="___LLL08">#REF!</definedName>
    <definedName localSheetId="4" name="kayualbasiah">#REF!</definedName>
    <definedName localSheetId="33" name="aaaaa">#REF!</definedName>
    <definedName localSheetId="21" name="MATERIAL">#REF!</definedName>
    <definedName localSheetId="24" name="URAIANLatasirK">#REF!</definedName>
    <definedName localSheetId="19" name="___DIV4">#REF!</definedName>
    <definedName localSheetId="9" name="grendel4">#REF!</definedName>
    <definedName localSheetId="41" name="gggg">#REF!</definedName>
    <definedName localSheetId="7" name="plintubinpcabuabu1520">#REF!</definedName>
    <definedName localSheetId="21" name="_____MMM26">#REF!</definedName>
    <definedName localSheetId="11" name="besi13u">#REF!</definedName>
    <definedName localSheetId="21" name="_____MMM44">#REF!</definedName>
    <definedName name="aluminiumfoil">#REF!</definedName>
    <definedName localSheetId="41" name="formica">#REF!</definedName>
    <definedName localSheetId="20" name="_________HAL2">#REF!</definedName>
    <definedName localSheetId="25" name="sengplatbjls24">#REF!</definedName>
    <definedName localSheetId="19" name="nnnnn">#REF!</definedName>
    <definedName localSheetId="31" name="tukng">#REF!</definedName>
    <definedName localSheetId="19" name="KUANTITAS">#REF!</definedName>
    <definedName localSheetId="12" name="tegelplinpc10x20">#REF!</definedName>
    <definedName localSheetId="11" name="______DIV2">#REF!</definedName>
    <definedName localSheetId="4" name="G">#REF!</definedName>
    <definedName localSheetId="15" name="________HAL3">#REF!</definedName>
    <definedName localSheetId="32" name="ubingranito30">#REF!</definedName>
    <definedName localSheetId="17" name="__MMM20">#REF!</definedName>
    <definedName localSheetId="42" name="JUDUL">#REF!</definedName>
    <definedName localSheetId="41" name="ubinteraso40">#REF!</definedName>
    <definedName localSheetId="41" name="__LLL02">#REF!</definedName>
    <definedName localSheetId="40" name="_______DIV4">#REF!</definedName>
    <definedName localSheetId="41" name="pipatanah">#REF!</definedName>
    <definedName name="MOBILISASI">#REF!</definedName>
    <definedName localSheetId="31" name="relpintudorong">#REF!</definedName>
    <definedName localSheetId="34" name="flordrain">#REF!</definedName>
    <definedName name="kuncialfa">#REF!</definedName>
    <definedName localSheetId="13" name="plintubinteraluxmarmer1060">#REF!</definedName>
    <definedName localSheetId="19" name="paving">#REF!</definedName>
    <definedName localSheetId="7" name="_____LLL05">#REF!</definedName>
    <definedName localSheetId="38" name="Catbesi">#REF!</definedName>
    <definedName localSheetId="17" name="R106..">#REF!</definedName>
    <definedName localSheetId="6" name="seng25">#REF!</definedName>
    <definedName localSheetId="34" name="gentengbeton">#REF!</definedName>
    <definedName localSheetId="6" name="_______DIV4">#REF!</definedName>
    <definedName localSheetId="17" name="______LLL03">#REF!</definedName>
    <definedName localSheetId="19" name="Tbt">#REF!</definedName>
    <definedName localSheetId="24" name="FORM634">#REF!</definedName>
    <definedName localSheetId="40" name="waterstop200">#REF!</definedName>
    <definedName localSheetId="0" name="pakusirap">#REF!</definedName>
    <definedName localSheetId="10" name="MMM17A">#REF!</definedName>
    <definedName localSheetId="33" name="_____MMM02">#REF!</definedName>
    <definedName localSheetId="25" name="____HAL3">#REF!</definedName>
    <definedName localSheetId="24" name="tky">#REF!</definedName>
    <definedName localSheetId="18" name="______HAL2">#REF!</definedName>
    <definedName localSheetId="0" name="BAHU">#REF!</definedName>
    <definedName localSheetId="31" name="hd">#REF!</definedName>
    <definedName localSheetId="24" name="catpenutup">#REF!</definedName>
    <definedName localSheetId="24" name="medan8.15">#REF!</definedName>
    <definedName localSheetId="32" name="batugranito">#REF!</definedName>
    <definedName localSheetId="34" name="batukali14">#REF!</definedName>
    <definedName localSheetId="44" name="gentengpalentongbesar">#REF!</definedName>
    <definedName localSheetId="27" name="platasbes4mm">#REF!</definedName>
    <definedName localSheetId="15" name="________DIV1">#REF!</definedName>
    <definedName localSheetId="24" name="_______MMM07">#REF!</definedName>
    <definedName localSheetId="6" name="____MMM03">#REF!</definedName>
    <definedName localSheetId="18" name="kaca12">#REF!</definedName>
    <definedName localSheetId="5" name="mlex.w">#REF!</definedName>
    <definedName localSheetId="24" name="______DIV8">#REF!</definedName>
    <definedName localSheetId="0" name="he">#REF!</definedName>
    <definedName localSheetId="0" name="alangalang">#REF!</definedName>
    <definedName localSheetId="33" name="Pc.50">#REF!</definedName>
    <definedName localSheetId="40" name="KECAMATAN_KODEOHA">#REF!</definedName>
    <definedName localSheetId="6" name="kaca.p.5">#REF!</definedName>
    <definedName localSheetId="28" name="FORM632">#REF!</definedName>
    <definedName localSheetId="34" name="doorcloser">#REF!</definedName>
    <definedName localSheetId="21" name="Meni">#REF!</definedName>
    <definedName localSheetId="33" name="beton.225m">#REF!</definedName>
    <definedName localSheetId="5" name="plintubinteraluxkerang1040">#REF!</definedName>
    <definedName localSheetId="40" name="paving">#REF!</definedName>
    <definedName localSheetId="5" name="_kop5">#REF!</definedName>
    <definedName localSheetId="25" name="rtrt">#REF!</definedName>
    <definedName localSheetId="32" name="_tl2">#REF!</definedName>
    <definedName localSheetId="4" name="Batupuru">#REF!</definedName>
    <definedName localSheetId="44" name="platasbes6mm">#REF!</definedName>
    <definedName localSheetId="33" name="FORM7610">#REF!</definedName>
    <definedName localSheetId="24" name="a">#REF!</definedName>
    <definedName localSheetId="19" name="FORM841">#REF!</definedName>
    <definedName localSheetId="13" name="Nokmetal3mm">#REF!</definedName>
    <definedName localSheetId="3" name="_MMM06">#REF!</definedName>
    <definedName localSheetId="11" name="kacapolos5mm">#REF!</definedName>
    <definedName localSheetId="24" name="___HAL6">#REF!</definedName>
    <definedName localSheetId="17" name="bouwplnk">#REF!</definedName>
    <definedName localSheetId="7" name="R46..">#REF!</definedName>
    <definedName localSheetId="25" name="FORMLatasirK">#REF!</definedName>
    <definedName name="asbesgelombang">#REF!</definedName>
    <definedName localSheetId="13" name="FORM611">#REF!</definedName>
    <definedName localSheetId="21" name="Excel_BuiltIn_Print_Titles_2">#REF!</definedName>
    <definedName localSheetId="36" name="MMM17A">#REF!</definedName>
    <definedName localSheetId="9" name="SEKRETARIAT_DPRD">#REF!</definedName>
    <definedName localSheetId="31" name="URAIAN631">#REF!</definedName>
    <definedName localSheetId="32" name="__pvc3">#REF!</definedName>
    <definedName localSheetId="42" name="gmp">#REF!</definedName>
    <definedName localSheetId="21" name="__LLL03">#REF!</definedName>
    <definedName localSheetId="27" name="URAIAN7612b">#REF!</definedName>
    <definedName localSheetId="11" name="FORM7612b">#REF!</definedName>
    <definedName localSheetId="20" name="_______HAL2">#REF!</definedName>
    <definedName localSheetId="41" name="FORM79mekanis">#REF!</definedName>
    <definedName localSheetId="44" name="_______DIV7">#REF!</definedName>
    <definedName localSheetId="18" name="pajak">#REF!</definedName>
    <definedName localSheetId="25" name="baru">#REF!</definedName>
    <definedName localSheetId="18" name="_tl2">#REF!</definedName>
    <definedName localSheetId="44" name="plintubinpcabuabu1040">#REF!</definedName>
    <definedName localSheetId="24" name="B.Aparatur">#REF!</definedName>
    <definedName name="____MMM18">#REF!</definedName>
    <definedName localSheetId="38" name="Uraian842">#REF!</definedName>
    <definedName localSheetId="20" name="begisting">#REF!</definedName>
    <definedName localSheetId="39" name="vinylkaretklII">#REF!</definedName>
    <definedName localSheetId="17" name="KERAMIK30">#REF!</definedName>
    <definedName localSheetId="21" name="pakuskrup">#REF!</definedName>
    <definedName localSheetId="10" name="tbkr">#REF!</definedName>
    <definedName name="______HAL4">#REF!</definedName>
    <definedName localSheetId="17" name="Nok">#REF!</definedName>
    <definedName localSheetId="36" name="Analisa511">#REF!</definedName>
    <definedName localSheetId="15" name="pengencer">#REF!</definedName>
    <definedName localSheetId="30" name="FORM7614b">#REF!</definedName>
    <definedName localSheetId="24" name="c.vinilex.sjs">#REF!</definedName>
    <definedName localSheetId="18" name="sementahanasam">#REF!</definedName>
    <definedName localSheetId="5" name="vinylkaret3030">#REF!</definedName>
    <definedName localSheetId="21" name="______HAL4">#REF!</definedName>
    <definedName localSheetId="13" name="kuncisilinder">#REF!</definedName>
    <definedName localSheetId="8" name="waterdrainaksesoris">#REF!</definedName>
    <definedName localSheetId="23" name="plamur.matex">#REF!</definedName>
    <definedName localSheetId="21" name="AAAAAAA">#REF!</definedName>
    <definedName localSheetId="25" name="_______DIV4">#REF!</definedName>
    <definedName localSheetId="25" name="des">#REF!</definedName>
    <definedName localSheetId="27" name="plastik">#REF!</definedName>
    <definedName localSheetId="33" name="R40..">#REF!</definedName>
    <definedName localSheetId="10" name="Faktor">#REF!</definedName>
    <definedName localSheetId="3" name="___LLL03">#REF!</definedName>
    <definedName localSheetId="17" name="FORM914">#REF!</definedName>
    <definedName localSheetId="7" name="___MMM18">#REF!</definedName>
    <definedName localSheetId="42" name="LAP">#REF!</definedName>
    <definedName localSheetId="41" name="jki">#REF!</definedName>
    <definedName localSheetId="38" name="cv">#REF!</definedName>
    <definedName localSheetId="38" name="engselangin">#REF!</definedName>
    <definedName localSheetId="17" name="R62..">#REF!</definedName>
    <definedName localSheetId="27" name="___HAL1">#REF!</definedName>
    <definedName localSheetId="4" name="gggg">#REF!</definedName>
    <definedName localSheetId="36" name="papanbekisting">#REF!</definedName>
    <definedName localSheetId="5" name="des">#REF!</definedName>
    <definedName localSheetId="17" name="batapelapisdinding">#REF!</definedName>
    <definedName localSheetId="18" name="KTM">#REF!</definedName>
    <definedName name="_pp1">#REF!</definedName>
    <definedName localSheetId="3" name="_MMM52">#REF!</definedName>
    <definedName localSheetId="19" name="____MMM01">#REF!</definedName>
    <definedName localSheetId="44" name="FORM642">#REF!</definedName>
    <definedName localSheetId="21" name="URAIAN772d">#REF!</definedName>
    <definedName localSheetId="34" name="URAIAN612">#REF!</definedName>
    <definedName localSheetId="12" name="d">#REF!</definedName>
    <definedName localSheetId="31" name="plintubinteraluxkerang1040">#REF!</definedName>
    <definedName localSheetId="44" name="R3..">#REF!</definedName>
    <definedName localSheetId="3" name="URAIAN733">#REF!</definedName>
    <definedName localSheetId="24" name="____MMM12">#REF!</definedName>
    <definedName localSheetId="12" name="c.maxi">#REF!</definedName>
    <definedName localSheetId="17" name="URAIAN912">#REF!</definedName>
    <definedName localSheetId="17" name="sofboard">#REF!</definedName>
    <definedName localSheetId="10" name="______DIV1">#REF!</definedName>
    <definedName localSheetId="3" name="______MMM50">#REF!</definedName>
    <definedName localSheetId="17" name="urugankembali">#REF!</definedName>
    <definedName localSheetId="5" name="nokpaten092">#REF!</definedName>
    <definedName localSheetId="21" name="_______MMM50">#REF!</definedName>
    <definedName localSheetId="21" name="tes">#REF!</definedName>
    <definedName localSheetId="44" name="_______MMM52">#REF!</definedName>
    <definedName localSheetId="11" name="__LLL02">#REF!</definedName>
    <definedName name="______LLL06">#REF!</definedName>
    <definedName name="__MMM08">#REF!</definedName>
    <definedName localSheetId="39" name="vinylasbes">#REF!</definedName>
    <definedName localSheetId="17" name="G.Kramik">#REF!</definedName>
    <definedName localSheetId="25" name="kayukudakuda">#REF!</definedName>
    <definedName localSheetId="41" name="papanbulian">#REF!</definedName>
    <definedName localSheetId="36" name="Pc.50">#REF!</definedName>
    <definedName localSheetId="11" name="____DIV10">#REF!</definedName>
    <definedName localSheetId="15" name="medan3.4">#REF!</definedName>
    <definedName localSheetId="36" name="______DIV4">#REF!</definedName>
    <definedName localSheetId="38" name="kayukudakuda">#REF!</definedName>
    <definedName localSheetId="3" name="ubinpcabuabu30">#REF!</definedName>
    <definedName localSheetId="0" name="catpenutup">#REF!</definedName>
    <definedName localSheetId="38" name="Meni">#REF!</definedName>
    <definedName localSheetId="7" name="_________HAL3">#REF!</definedName>
    <definedName localSheetId="12" name="_LLL01">#REF!</definedName>
    <definedName localSheetId="44" name="______DIV5">#REF!</definedName>
    <definedName localSheetId="21" name="KunciPintu">#REF!</definedName>
    <definedName localSheetId="0" name="Analisa512">#REF!</definedName>
    <definedName localSheetId="21" name="_________MMM19">#REF!</definedName>
    <definedName localSheetId="41" name="keramik30x30">#REF!</definedName>
    <definedName localSheetId="32" name="kiki">#REF!</definedName>
    <definedName localSheetId="3" name="_______MMM21">#REF!</definedName>
    <definedName localSheetId="9" name="__Tl1">#REF!</definedName>
    <definedName localSheetId="19" name="Status">#REF!</definedName>
    <definedName localSheetId="23" name="_LLL01">#REF!</definedName>
    <definedName localSheetId="10" name="URAIAN7613c">#REF!</definedName>
    <definedName localSheetId="13" name="d">#REF!</definedName>
    <definedName localSheetId="11" name="kayuramin">#REF!</definedName>
    <definedName localSheetId="44" name="R83..">#REF!</definedName>
    <definedName localSheetId="20" name="_______DIV2">#REF!</definedName>
    <definedName localSheetId="36" name="__pvc05">#REF!</definedName>
    <definedName localSheetId="5" name="URAIAN631">#REF!</definedName>
    <definedName localSheetId="30" name="______DIV10">#REF!</definedName>
    <definedName localSheetId="4" name="batapelapisdinding">#REF!</definedName>
    <definedName localSheetId="7" name="_________DIV6">#REF!</definedName>
    <definedName localSheetId="19" name="_____HAL2">#REF!</definedName>
    <definedName localSheetId="3" name="venetionblinds">#REF!</definedName>
    <definedName localSheetId="21" name="R25..">#REF!</definedName>
    <definedName localSheetId="21" name="______MMM25">#REF!</definedName>
    <definedName localSheetId="3" name="cycllop">#REF!</definedName>
    <definedName localSheetId="19" name="yyyyyyy">#REF!</definedName>
    <definedName localSheetId="6" name="cghj">#REF!</definedName>
    <definedName name="FORM914">#REF!</definedName>
    <definedName localSheetId="18" name="jamtandem">#REF!</definedName>
    <definedName localSheetId="5" name="Pc.50">#REF!</definedName>
    <definedName localSheetId="21" name="__MMM51">#REF!</definedName>
    <definedName localSheetId="40" name="__DIV10">#REF!</definedName>
    <definedName localSheetId="24" name="ubinkeramik1020">#REF!</definedName>
    <definedName localSheetId="8" name="sirlak">#REF!</definedName>
    <definedName localSheetId="21" name="____DIV6">#REF!</definedName>
    <definedName name="Uraian841">#REF!</definedName>
    <definedName localSheetId="39" name="tpipa">#REF!</definedName>
    <definedName localSheetId="12" name="panelbetonpracetak">#REF!</definedName>
    <definedName localSheetId="17" name="_________MMM06">#REF!</definedName>
    <definedName localSheetId="25" name="URAIAN745">#REF!</definedName>
    <definedName localSheetId="23" name="tukng">#REF!</definedName>
    <definedName localSheetId="6" name="batacote">#REF!</definedName>
    <definedName localSheetId="40" name="FORM7610">#REF!</definedName>
    <definedName localSheetId="21" name="________MMM02">#REF!</definedName>
    <definedName localSheetId="31" name="_pc40">#REF!</definedName>
    <definedName localSheetId="17" name="FORM99">#REF!</definedName>
    <definedName localSheetId="44" name="_______DIV1">#REF!</definedName>
    <definedName localSheetId="10" name="besi10.sii">#REF!</definedName>
    <definedName localSheetId="17" name="LAP">#REF!</definedName>
    <definedName localSheetId="21" name="jj">#REF!</definedName>
    <definedName localSheetId="12" name="Jasa">#REF!</definedName>
    <definedName localSheetId="33" name="kayutembesu">#REF!</definedName>
    <definedName localSheetId="7" name="FORM847">#REF!</definedName>
    <definedName localSheetId="3" name="lisplafond">#REF!</definedName>
    <definedName localSheetId="6" name="G">#REF!</definedName>
    <definedName localSheetId="17" name="rtrt">#REF!</definedName>
    <definedName localSheetId="34" name="kacacermin6">#REF!</definedName>
    <definedName localSheetId="24" name="sis">#REF!</definedName>
    <definedName localSheetId="17" name="__pvc3">#REF!</definedName>
    <definedName localSheetId="17" name="_____MMM15">#REF!</definedName>
    <definedName localSheetId="4" name="_LLL01">#REF!</definedName>
    <definedName localSheetId="3" name="nokpaten105">#REF!</definedName>
    <definedName localSheetId="34" name="feltexkarpetwool">#REF!</definedName>
    <definedName localSheetId="42" name="URAIAN621">#REF!</definedName>
    <definedName localSheetId="17" name="________MMM411">#REF!</definedName>
    <definedName localSheetId="42" name="tanahliat">#REF!</definedName>
    <definedName localSheetId="10" name="pindahan">#REF!</definedName>
    <definedName localSheetId="41" name="_______HAL2">#REF!</definedName>
    <definedName localSheetId="44" name="__DIV1">#REF!</definedName>
    <definedName localSheetId="9" name="R10..">#REF!</definedName>
    <definedName localSheetId="44" name="____MMM52">#REF!</definedName>
    <definedName localSheetId="12" name="_HAL4">#REF!</definedName>
    <definedName localSheetId="25" name="FORM732">#REF!</definedName>
    <definedName localSheetId="20" name="Per">#REF!</definedName>
    <definedName localSheetId="25" name="tegelplin20x20">#REF!</definedName>
    <definedName localSheetId="24" name="JA">#REF!</definedName>
    <definedName localSheetId="21" name="__MMM30">#REF!</definedName>
    <definedName localSheetId="10" name="kenek">#REF!</definedName>
    <definedName localSheetId="11" name="TANAH">#REF!</definedName>
    <definedName localSheetId="13" name="AAAAAAA">#REF!</definedName>
    <definedName localSheetId="27" name="tky">#REF!</definedName>
    <definedName localSheetId="15" name="rapidrant">#REF!</definedName>
    <definedName localSheetId="34" name="FORM841">#REF!</definedName>
    <definedName localSheetId="17" name="keramik40">#REF!</definedName>
    <definedName localSheetId="5" name="ubinkeramik1033">#REF!</definedName>
    <definedName localSheetId="10" name="dempul">#REF!</definedName>
    <definedName localSheetId="11" name="G.Kramik">#REF!</definedName>
    <definedName localSheetId="33" name="Uraian842">#REF!</definedName>
    <definedName localSheetId="24" name="__MMM51">#REF!</definedName>
    <definedName localSheetId="28" name="ubingranito40">#REF!</definedName>
    <definedName localSheetId="21" name="__MMM27">#REF!</definedName>
    <definedName localSheetId="42" name="BM">#REF!</definedName>
    <definedName localSheetId="12" name="bakkontrol">#REF!</definedName>
    <definedName localSheetId="42" name="MMM17A">#REF!</definedName>
    <definedName localSheetId="32" name="tegelplin20x20">#REF!</definedName>
    <definedName localSheetId="38" name="_________DIV1">#REF!</definedName>
    <definedName localSheetId="23" name="paku5.7.10">#REF!</definedName>
    <definedName localSheetId="15" name="pintulipat">#REF!</definedName>
    <definedName localSheetId="34" name="pddk">#REF!</definedName>
    <definedName localSheetId="36" name="FORM7614a">#REF!</definedName>
    <definedName localSheetId="5" name="_DIV1">#REF!</definedName>
    <definedName localSheetId="21" name="_____MMM21">#REF!</definedName>
    <definedName localSheetId="36" name="plintubinteraluxkerang1060">#REF!</definedName>
    <definedName localSheetId="12" name="______DIV4">#REF!</definedName>
    <definedName localSheetId="7" name="_MMM20">#REF!</definedName>
    <definedName localSheetId="7" name="_____MMM40">#REF!</definedName>
    <definedName localSheetId="25" name="URAIAN632">#REF!</definedName>
    <definedName localSheetId="21" name="________MMM51">#REF!</definedName>
    <definedName localSheetId="38" name="pakubiasa">#REF!</definedName>
    <definedName localSheetId="18" name="_______HAL3">#REF!</definedName>
    <definedName localSheetId="23" name="Catbesi">#REF!</definedName>
    <definedName localSheetId="30" name="batamerah">#REF!</definedName>
    <definedName name="pvc3.4.aw">#REF!</definedName>
    <definedName localSheetId="23" name="URAIAN731">#REF!</definedName>
    <definedName localSheetId="17" name="pijar15">#REF!</definedName>
    <definedName localSheetId="31" name="FORM323L">#REF!</definedName>
    <definedName localSheetId="33" name="total">#REF!</definedName>
    <definedName localSheetId="44" name="______DIV1">#REF!</definedName>
    <definedName localSheetId="0" name="R30..">#REF!</definedName>
    <definedName localSheetId="41" name="Nok">#REF!</definedName>
    <definedName localSheetId="31" name="pakubiasa">#REF!</definedName>
    <definedName localSheetId="23" name="R40..">#REF!</definedName>
    <definedName localSheetId="6" name="lemvinyl">#REF!</definedName>
    <definedName localSheetId="38" name="____MMM03">#REF!</definedName>
    <definedName localSheetId="34" name="plamour">#REF!</definedName>
    <definedName localSheetId="15" name="__pvc05">#REF!</definedName>
    <definedName localSheetId="19" name="KT">#REF!</definedName>
    <definedName name="_________DIV1">#REF!</definedName>
    <definedName name="___MMM50">#REF!</definedName>
    <definedName localSheetId="34" name="_DIV2">#REF!</definedName>
    <definedName localSheetId="39" name="kuncialfa">#REF!</definedName>
    <definedName localSheetId="15" name="keramik40">#REF!</definedName>
    <definedName localSheetId="28" name="hakangin">#REF!</definedName>
    <definedName localSheetId="7" name="rollingdoor">#REF!</definedName>
    <definedName localSheetId="41" name="cattembok">#REF!</definedName>
    <definedName localSheetId="23" name="besi12sii">#REF!</definedName>
    <definedName localSheetId="44" name="_______MMM11">#REF!</definedName>
    <definedName localSheetId="21" name="springknip">#REF!</definedName>
    <definedName localSheetId="3" name="SSSSSSSSSSSSSSSSSSSSSSSSSSSSS">#REF!</definedName>
    <definedName localSheetId="31" name="asbesgelombang">#REF!</definedName>
    <definedName localSheetId="7" name="pakusumbat">#REF!</definedName>
    <definedName localSheetId="12" name="kayudamarlaut">#REF!</definedName>
    <definedName localSheetId="39" name="cghj">#REF!</definedName>
    <definedName localSheetId="6" name="FORM841">#REF!</definedName>
    <definedName localSheetId="12" name="akustikarmstrong">#REF!</definedName>
    <definedName localSheetId="41" name="ktky">#REF!</definedName>
    <definedName localSheetId="12" name="B.Jambi">#REF!</definedName>
    <definedName localSheetId="19" name="URAIAN732">#REF!</definedName>
    <definedName localSheetId="3" name="URAIAN771c">#REF!</definedName>
    <definedName localSheetId="7" name="_________HAL6">#REF!</definedName>
    <definedName localSheetId="24" name="KERAMIK30">#REF!</definedName>
    <definedName localSheetId="0" name="split2.3">#REF!</definedName>
    <definedName localSheetId="4" name="_________HAL3">#REF!</definedName>
    <definedName localSheetId="44" name="_________MMM52">#REF!</definedName>
    <definedName localSheetId="40" name="p.kmp.smrd.3.20">#REF!</definedName>
    <definedName localSheetId="31" name="_DIV2">#REF!</definedName>
    <definedName localSheetId="7" name="FORM7610">#REF!</definedName>
    <definedName localSheetId="7" name="kacapolos5mm">#REF!</definedName>
    <definedName localSheetId="21" name="FORM7612b">#REF!</definedName>
    <definedName localSheetId="38" name="Excel_BuiltIn_Print_Titles_10">#REF!</definedName>
    <definedName localSheetId="20" name="_______MMM02">#REF!</definedName>
    <definedName name="_______MMM07">#REF!</definedName>
    <definedName localSheetId="4" name="MASTER">#REF!</definedName>
    <definedName localSheetId="28" name="JUDUL1">#REF!</definedName>
    <definedName localSheetId="10" name="kran.bbk">#REF!</definedName>
    <definedName localSheetId="25" name="plintkeramikartistik1010">#REF!</definedName>
    <definedName name="kalkarium">#REF!</definedName>
    <definedName localSheetId="24" name="gypsum.9">#REF!</definedName>
    <definedName localSheetId="20" name="BM">#REF!</definedName>
    <definedName localSheetId="7" name="Analisa8405">#REF!</definedName>
    <definedName localSheetId="0" name="batapelapisdinding">#REF!</definedName>
    <definedName localSheetId="6" name="R4..">#REF!</definedName>
    <definedName localSheetId="17" name="____MMM411">#REF!</definedName>
    <definedName localSheetId="28" name="residu">#REF!</definedName>
    <definedName localSheetId="24" name="RPHL">#REF!</definedName>
    <definedName localSheetId="24" name="_pvc205">#REF!</definedName>
    <definedName localSheetId="5" name="Papanbouplank">#REF!</definedName>
    <definedName localSheetId="30" name="_DIV3">#REF!</definedName>
    <definedName localSheetId="6" name="___pc50">#REF!</definedName>
    <definedName localSheetId="13" name="plastik">#REF!</definedName>
    <definedName localSheetId="21" name="__MMM14">#REF!</definedName>
    <definedName localSheetId="41" name="FORM732">#REF!</definedName>
    <definedName localSheetId="28" name="plintubinteraso1030">#REF!</definedName>
    <definedName localSheetId="8" name="pp">#REF!</definedName>
    <definedName localSheetId="0" name="GUIIII">#REF!</definedName>
    <definedName localSheetId="11" name="parquetjati">#REF!</definedName>
    <definedName localSheetId="7" name="sengbjls25">#REF!</definedName>
    <definedName localSheetId="39" name="batamerah">#REF!</definedName>
    <definedName localSheetId="3" name="__MMM02">#REF!</definedName>
    <definedName localSheetId="20" name="semenwarna">#REF!</definedName>
    <definedName localSheetId="3" name="__LLL01">#REF!</definedName>
    <definedName localSheetId="15" name="R61..">#REF!</definedName>
    <definedName localSheetId="44" name="_______MMM30">#REF!</definedName>
    <definedName localSheetId="21" name="gggg">#REF!</definedName>
    <definedName localSheetId="6" name="parquetjati">#REF!</definedName>
    <definedName localSheetId="0" name="kayubulian">#REF!</definedName>
    <definedName localSheetId="42" name="drainase">#REF!</definedName>
    <definedName localSheetId="33" name="tegelporselen10x20warna">#REF!</definedName>
    <definedName localSheetId="36" name="tpipa">#REF!</definedName>
    <definedName localSheetId="7" name="________MMM16">#REF!</definedName>
    <definedName localSheetId="32" name="___pvc205">#REF!</definedName>
    <definedName localSheetId="18" name="vertikalsblinds">#REF!</definedName>
    <definedName localSheetId="31" name="URAIAN21">#REF!</definedName>
    <definedName localSheetId="8" name="FORM721">#REF!</definedName>
    <definedName localSheetId="19" name="__pvc105">#REF!</definedName>
    <definedName name="besijaringkawatbaja">#REF!</definedName>
    <definedName localSheetId="33" name="_________HAL3">#REF!</definedName>
    <definedName localSheetId="38" name="p.triplek">#REF!</definedName>
    <definedName localSheetId="17" name="_DIV1">#REF!</definedName>
    <definedName localSheetId="7" name="URAIAN">#REF!</definedName>
    <definedName localSheetId="13" name="f.drain">#REF!</definedName>
    <definedName localSheetId="27" name="Jasa">#REF!</definedName>
    <definedName localSheetId="44" name="__HAL8">#REF!</definedName>
    <definedName localSheetId="9" name="kapursirih">#REF!</definedName>
    <definedName localSheetId="6" name="pp">#REF!</definedName>
    <definedName localSheetId="24" name="___MMM17">#REF!</definedName>
    <definedName name="___MMM39">#REF!</definedName>
    <definedName localSheetId="38" name="FORM7614b">#REF!</definedName>
    <definedName localSheetId="19" name="_____DIV3">#REF!</definedName>
    <definedName localSheetId="7" name="URAIAN771d">#REF!</definedName>
    <definedName localSheetId="3" name="pvc.3.mas.d">#REF!</definedName>
    <definedName localSheetId="24" name="______DIV2">#REF!</definedName>
    <definedName localSheetId="21" name="bubungangentengbeton">#REF!</definedName>
    <definedName localSheetId="44" name="_________HAL6">#REF!</definedName>
    <definedName localSheetId="24" name="_______MMM51">#REF!</definedName>
    <definedName localSheetId="41" name="yyyyyyy">#REF!</definedName>
    <definedName localSheetId="7" name="tpipa">#REF!</definedName>
    <definedName localSheetId="33" name="pakuhalus">#REF!</definedName>
    <definedName localSheetId="3" name="FORM79manual">#REF!</definedName>
    <definedName localSheetId="27" name="R40..">#REF!</definedName>
    <definedName localSheetId="13" name="tegelporselen">#REF!</definedName>
    <definedName localSheetId="12" name="___DIV10">#REF!</definedName>
    <definedName localSheetId="21" name="_________DIV6">#REF!</definedName>
    <definedName localSheetId="17" name="URAIAN734">#REF!</definedName>
    <definedName localSheetId="20" name="kacapolos3mm">#REF!</definedName>
    <definedName localSheetId="10" name="URAIAN79manual">#REF!</definedName>
    <definedName localSheetId="19" name="URAIAN66PERMUKAAN">#REF!</definedName>
    <definedName localSheetId="4" name="wwww">#REF!</definedName>
    <definedName localSheetId="11" name="Kekurangan">#REF!</definedName>
    <definedName localSheetId="21" name="_MMM32">#REF!</definedName>
    <definedName localSheetId="7" name="_________DIV2">#REF!</definedName>
    <definedName localSheetId="12" name="s.tukang">#REF!</definedName>
    <definedName name="BPS">#REF!</definedName>
    <definedName localSheetId="7" name="________DIV6">#REF!</definedName>
    <definedName localSheetId="25" name="_pvc3">#REF!</definedName>
    <definedName localSheetId="3" name="________MMM03">#REF!</definedName>
    <definedName localSheetId="44" name="__MMM43">#REF!</definedName>
    <definedName localSheetId="17" name="R47..">#REF!</definedName>
    <definedName localSheetId="32" name="Gypsum">#REF!</definedName>
    <definedName localSheetId="19" name="platasbes35mm">#REF!</definedName>
    <definedName localSheetId="13" name="sealer">#REF!</definedName>
    <definedName name="bubunganasbesnok">#REF!</definedName>
    <definedName localSheetId="12" name="plywood4">#REF!</definedName>
    <definedName localSheetId="17" name="oemar">#REF!</definedName>
    <definedName localSheetId="17" name="________MMM32">#REF!</definedName>
    <definedName localSheetId="24" name="R42..">#REF!</definedName>
    <definedName localSheetId="9" name="residu">#REF!</definedName>
    <definedName localSheetId="15" name="_pvc2">#REF!</definedName>
    <definedName localSheetId="38" name="besiprofilWF">#REF!</definedName>
    <definedName localSheetId="24" name="kayukamper">#REF!</definedName>
    <definedName localSheetId="13" name="ktbs">#REF!</definedName>
    <definedName localSheetId="3" name="_____MMM05">#REF!</definedName>
    <definedName localSheetId="21" name="______MMM07">#REF!</definedName>
    <definedName localSheetId="17" name="R7..">#REF!</definedName>
    <definedName name="________MMM21">#REF!</definedName>
    <definedName localSheetId="0" name="___DIV1">#REF!</definedName>
    <definedName localSheetId="44" name="URAIAN919">#REF!</definedName>
    <definedName localSheetId="38" name="plintubinwarna1030">#REF!</definedName>
    <definedName localSheetId="21" name="R87..">#REF!</definedName>
    <definedName localSheetId="34" name="keramik30x30">#REF!</definedName>
    <definedName localSheetId="25" name="_____MMM01">#REF!</definedName>
    <definedName localSheetId="28" name="kacacermin8">#REF!</definedName>
    <definedName localSheetId="40" name="G.Kramik">#REF!</definedName>
    <definedName localSheetId="11" name="ubinkeramikartistik1020">#REF!</definedName>
    <definedName localSheetId="44" name="penduduk">#REF!</definedName>
    <definedName localSheetId="38" name="_DIV1">#REF!</definedName>
    <definedName localSheetId="18" name="mowi.w.shield">#REF!</definedName>
    <definedName localSheetId="4" name="xxxxx">#REF!</definedName>
    <definedName localSheetId="12" name="bak">#REF!</definedName>
    <definedName localSheetId="41" name="flordrain">#REF!</definedName>
    <definedName localSheetId="9" name="__LLL03">#REF!</definedName>
    <definedName localSheetId="5" name="ubingranito30">#REF!</definedName>
    <definedName localSheetId="9" name="______HAL1">#REF!</definedName>
    <definedName localSheetId="0" name="Per">#REF!</definedName>
    <definedName localSheetId="13" name="FORM841">#REF!</definedName>
    <definedName localSheetId="3" name="Analisa70108">#REF!</definedName>
    <definedName localSheetId="27" name="ubingranito40">#REF!</definedName>
    <definedName localSheetId="7" name="____DIV10">#REF!</definedName>
    <definedName localSheetId="13" name="DUDI">#REF!</definedName>
    <definedName localSheetId="39" name="___HAL2">#REF!</definedName>
    <definedName localSheetId="0" name="reng">#REF!</definedName>
    <definedName localSheetId="4" name="bbm">#REF!</definedName>
    <definedName localSheetId="7" name="_________MMM45">#REF!</definedName>
    <definedName localSheetId="3" name="beton175R">#REF!</definedName>
    <definedName localSheetId="23" name="URAIAN632">#REF!</definedName>
    <definedName localSheetId="30" name="floorhardenerferrovak">#REF!</definedName>
    <definedName localSheetId="32" name="kran.bbk">#REF!</definedName>
    <definedName localSheetId="23" name="klosetjongkok">#REF!</definedName>
    <definedName localSheetId="31" name="p.kmp.smrd.3.20">#REF!</definedName>
    <definedName localSheetId="31" name="borneo5.7">#REF!</definedName>
    <definedName localSheetId="40" name="pakugypsum">#REF!</definedName>
    <definedName localSheetId="3" name="URAIAN772c">#REF!</definedName>
    <definedName localSheetId="28" name="pintubesibaja">#REF!</definedName>
    <definedName localSheetId="27" name="batugranito">#REF!</definedName>
    <definedName localSheetId="21" name="______LLL11">#REF!</definedName>
    <definedName localSheetId="20" name="pipatanah">#REF!</definedName>
    <definedName localSheetId="28" name="akustikarmstrong">#REF!</definedName>
    <definedName localSheetId="39" name="papan.m.3.20">#REF!</definedName>
    <definedName localSheetId="8" name="keramik30x30">#REF!</definedName>
    <definedName localSheetId="0" name="KERAMIK30">#REF!</definedName>
    <definedName name="kaca3">#REF!</definedName>
    <definedName name="_________LLL04">#REF!</definedName>
    <definedName localSheetId="28" name="______DIV1">#REF!</definedName>
    <definedName localSheetId="30" name="_________HAL2">#REF!</definedName>
    <definedName localSheetId="3" name="___MMM24">#REF!</definedName>
    <definedName localSheetId="6" name="tegelporselen10x20warna">#REF!</definedName>
    <definedName localSheetId="38" name="MAI">#REF!</definedName>
    <definedName localSheetId="38" name="ASET">#REF!</definedName>
    <definedName localSheetId="10" name="FORM7613a">#REF!</definedName>
    <definedName localSheetId="7" name="UTAIAN7614c">#REF!</definedName>
    <definedName localSheetId="8" name="pintubesibaja">#REF!</definedName>
    <definedName localSheetId="24" name="plintubinteraso1030">#REF!</definedName>
    <definedName localSheetId="44" name="_________MMM26">#REF!</definedName>
    <definedName localSheetId="24" name="____MMM39">#REF!</definedName>
    <definedName localSheetId="17" name="Kunci2">#REF!</definedName>
    <definedName localSheetId="21" name="_____MMM46">#REF!</definedName>
    <definedName localSheetId="8" name="sengbjls25">#REF!</definedName>
    <definedName localSheetId="10" name="_____DIV3">#REF!</definedName>
    <definedName localSheetId="0" name="coveartistik">#REF!</definedName>
    <definedName localSheetId="9" name="Closet.ddk">#REF!</definedName>
    <definedName localSheetId="31" name="__HAL1">#REF!</definedName>
    <definedName localSheetId="3" name="_______DIV8">#REF!</definedName>
    <definedName name="springknip">#REF!</definedName>
    <definedName localSheetId="13" name="semenwarna">#REF!</definedName>
    <definedName localSheetId="30" name="Ker.L13">#REF!</definedName>
    <definedName localSheetId="38" name="Psr.psg">#REF!</definedName>
    <definedName localSheetId="0" name="pakuhalus">#REF!</definedName>
    <definedName localSheetId="21" name="URAIAN721">#REF!</definedName>
    <definedName localSheetId="27" name="plintubinwarna1020">#REF!</definedName>
    <definedName localSheetId="0" name="ls">#REF!</definedName>
    <definedName localSheetId="21" name="nokpaten105">#REF!</definedName>
    <definedName localSheetId="42" name="list">#REF!</definedName>
    <definedName name="FORM621">#REF!</definedName>
    <definedName localSheetId="42" name="d">#REF!</definedName>
    <definedName localSheetId="10" name="_LLL02">#REF!</definedName>
    <definedName localSheetId="3" name="________LLL07">#REF!</definedName>
    <definedName localSheetId="24" name="____HAL8">#REF!</definedName>
    <definedName localSheetId="24" name="reng">#REF!</definedName>
    <definedName localSheetId="34" name="marmer">#REF!</definedName>
    <definedName localSheetId="41" name="p.kmp.smrd.3.20">#REF!</definedName>
    <definedName localSheetId="10" name="pakubiasa">#REF!</definedName>
    <definedName localSheetId="21" name="R57..">#REF!</definedName>
    <definedName localSheetId="32" name="c.mowi.luar">#REF!</definedName>
    <definedName localSheetId="34" name="FORM7614a">#REF!</definedName>
    <definedName localSheetId="41" name="tegelporselen10x20warna">#REF!</definedName>
    <definedName name="_MMM21">#REF!</definedName>
    <definedName localSheetId="32" name="alba2.20">#REF!</definedName>
    <definedName localSheetId="21" name="URAIAN911">#REF!</definedName>
    <definedName localSheetId="3" name="gypsum.9">#REF!</definedName>
    <definedName localSheetId="7" name="______DIV3">#REF!</definedName>
    <definedName localSheetId="34" name="URAIAN7612b">#REF!</definedName>
    <definedName localSheetId="0" name="tegelpc20x20">#REF!</definedName>
    <definedName localSheetId="39" name="URAIAN771a">#REF!</definedName>
    <definedName localSheetId="30" name="springknip">#REF!</definedName>
    <definedName localSheetId="13" name="urugantanah">#REF!</definedName>
    <definedName localSheetId="10" name="___HAL1">#REF!</definedName>
    <definedName localSheetId="17" name="____HAL4">#REF!</definedName>
    <definedName localSheetId="13" name="_________HAL3">#REF!</definedName>
    <definedName localSheetId="30" name="sementahanasam">#REF!</definedName>
    <definedName localSheetId="31" name="______MMM02">#REF!</definedName>
    <definedName localSheetId="3" name="_______HAL4">#REF!</definedName>
    <definedName localSheetId="21" name="_______MMM18">#REF!</definedName>
    <definedName localSheetId="21" name="______MMM43">#REF!</definedName>
    <definedName localSheetId="28" name="k.beton">#REF!</definedName>
    <definedName localSheetId="44" name="R91..">#REF!</definedName>
    <definedName localSheetId="18" name="R61..">#REF!</definedName>
    <definedName localSheetId="34" name="_______MMM01">#REF!</definedName>
    <definedName localSheetId="6" name="sssssss">#REF!</definedName>
    <definedName localSheetId="36" name="Faktor">#REF!</definedName>
    <definedName localSheetId="5" name="aluminiumfoil">#REF!</definedName>
    <definedName localSheetId="21" name="kayutembesu">#REF!</definedName>
    <definedName localSheetId="44" name="ts">#REF!</definedName>
    <definedName localSheetId="17" name="FORM745">#REF!</definedName>
    <definedName localSheetId="36" name="waterstop200">#REF!</definedName>
    <definedName localSheetId="13" name="URAIAN771a">#REF!</definedName>
    <definedName localSheetId="11" name="borneo5.10">#REF!</definedName>
    <definedName localSheetId="41" name="pintubesibaja">#REF!</definedName>
    <definedName localSheetId="18" name="sirap">#REF!</definedName>
    <definedName localSheetId="21" name="__pvc2">#REF!</definedName>
    <definedName localSheetId="3" name="__MMM04">#REF!</definedName>
    <definedName localSheetId="27" name="kawatburung">#REF!</definedName>
    <definedName localSheetId="19" name="closedjongkok">#REF!</definedName>
    <definedName localSheetId="19" name="minyaksolar">#REF!</definedName>
    <definedName localSheetId="21" name="FORM772b">#REF!</definedName>
    <definedName localSheetId="12" name="kacapolos3mm">#REF!</definedName>
    <definedName localSheetId="20" name="________DIV1">#REF!</definedName>
    <definedName localSheetId="18" name="beton.tumbuk">#REF!</definedName>
    <definedName localSheetId="21" name="waterstop250">#REF!</definedName>
    <definedName localSheetId="44" name="NAMA3">#REF!</definedName>
    <definedName localSheetId="32" name="vernis">#REF!</definedName>
    <definedName localSheetId="10" name="________HAL1">#REF!</definedName>
    <definedName localSheetId="12" name="kali">#REF!</definedName>
    <definedName localSheetId="44" name="____LLL01">#REF!</definedName>
    <definedName localSheetId="23" name="gymfloor">#REF!</definedName>
    <definedName localSheetId="11" name="kkkk">#REF!</definedName>
    <definedName localSheetId="34" name="URAIAN771c">#REF!</definedName>
    <definedName localSheetId="17" name="________MMM43">#REF!</definedName>
    <definedName localSheetId="7" name="URAIAN651">#REF!</definedName>
    <definedName localSheetId="9" name="jurnal">#REF!</definedName>
    <definedName localSheetId="18" name="kawatburung">#REF!</definedName>
    <definedName localSheetId="40" name="urugantanah">#REF!</definedName>
    <definedName localSheetId="15" name="_______HAL3">#REF!</definedName>
    <definedName localSheetId="15" name="yyyyyyy">#REF!</definedName>
    <definedName localSheetId="21" name="URAIAN232">#REF!</definedName>
    <definedName localSheetId="11" name="waterdrainaksesoris">#REF!</definedName>
    <definedName localSheetId="21" name="________MMM38">#REF!</definedName>
    <definedName localSheetId="10" name="reng">#REF!</definedName>
    <definedName name="________MMM12">#REF!</definedName>
    <definedName localSheetId="7" name="____LLL03">#REF!</definedName>
    <definedName localSheetId="30" name="FORM79mekanis">#REF!</definedName>
    <definedName name="________MMM43">#REF!</definedName>
    <definedName localSheetId="20" name="ubinkeramikartistik520">#REF!</definedName>
    <definedName localSheetId="3" name="URAIAN7610">#REF!</definedName>
    <definedName localSheetId="24" name="________LLL09">#REF!</definedName>
    <definedName localSheetId="39" name="Excel_BuiltIn_Print_Area_10">#REF!</definedName>
    <definedName localSheetId="3" name="_______MMM45">#REF!</definedName>
    <definedName localSheetId="34" name="_818PK">#REF!</definedName>
    <definedName localSheetId="8" name="nokpaten105">#REF!</definedName>
    <definedName localSheetId="9" name="tegelplin20x20">#REF!</definedName>
    <definedName localSheetId="20" name="FORM612">#REF!</definedName>
    <definedName localSheetId="41" name="MASTER">#REF!</definedName>
    <definedName localSheetId="5" name="u.besi">#REF!</definedName>
    <definedName localSheetId="39" name="besi13u">#REF!</definedName>
    <definedName localSheetId="24" name="R19..">#REF!</definedName>
    <definedName localSheetId="39" name="namaabsen">#REF!</definedName>
    <definedName localSheetId="34" name="drkeet">#REF!</definedName>
    <definedName localSheetId="9" name="papanII">#REF!</definedName>
    <definedName localSheetId="13" name="gymfloor">#REF!</definedName>
    <definedName localSheetId="27" name="tm_2415921492">#REF!</definedName>
    <definedName localSheetId="24" name="________MMM19">#REF!</definedName>
    <definedName localSheetId="33" name="_________HAL1">#REF!</definedName>
    <definedName localSheetId="11" name="________DIV3">#REF!</definedName>
    <definedName localSheetId="21" name="Analisa70608">#REF!</definedName>
    <definedName localSheetId="44" name="hakangin">#REF!</definedName>
    <definedName localSheetId="34" name="ubinwarna20">#REF!</definedName>
    <definedName localSheetId="0" name="sengplatbjls24">#REF!</definedName>
    <definedName localSheetId="44" name="FORM99">#REF!</definedName>
    <definedName localSheetId="36" name="pakuhak15cm">#REF!</definedName>
    <definedName localSheetId="34" name="MATERIAL">#REF!</definedName>
    <definedName localSheetId="4" name="hakangin">#REF!</definedName>
    <definedName localSheetId="11" name="amobiotic">#REF!</definedName>
    <definedName localSheetId="17" name="________DIV1">#REF!</definedName>
    <definedName localSheetId="17" name="____MMM42">#REF!</definedName>
    <definedName localSheetId="20" name="URAIAN7614b">#REF!</definedName>
    <definedName localSheetId="23" name="SPJa">#REF!</definedName>
    <definedName localSheetId="31" name="___MMM01">#REF!</definedName>
    <definedName localSheetId="12" name="keramik40">#REF!</definedName>
    <definedName name="tempatcucipiring">#REF!</definedName>
    <definedName name="_____MMM20">#REF!</definedName>
    <definedName localSheetId="38" name="FORM721">#REF!</definedName>
    <definedName localSheetId="12" name="jffhauifhauifhe">#REF!</definedName>
    <definedName localSheetId="44" name="R99..">#REF!</definedName>
    <definedName localSheetId="21" name="beton.225m">#REF!</definedName>
    <definedName localSheetId="4" name="kaca12">#REF!</definedName>
    <definedName localSheetId="27" name="G.Kramik">#REF!</definedName>
    <definedName localSheetId="12" name="drkeet">#REF!</definedName>
    <definedName localSheetId="17" name="y">#REF!</definedName>
    <definedName name="____MMM29">#REF!</definedName>
    <definedName localSheetId="18" name="semen50">#REF!</definedName>
    <definedName localSheetId="10" name="u">#REF!</definedName>
    <definedName localSheetId="24" name="R6..">#REF!</definedName>
    <definedName localSheetId="41" name="amobiotic">#REF!</definedName>
    <definedName localSheetId="17" name="sealtape">#REF!</definedName>
    <definedName localSheetId="3" name="_MMM27">#REF!</definedName>
    <definedName localSheetId="20" name="borneo4.6">#REF!</definedName>
    <definedName localSheetId="8" name="cv">#REF!</definedName>
    <definedName localSheetId="25" name="_________MMM01">#REF!</definedName>
    <definedName localSheetId="32" name="Nok">#REF!</definedName>
    <definedName localSheetId="21" name="kawatnyamuk">#REF!</definedName>
    <definedName localSheetId="5" name="dd">#REF!</definedName>
    <definedName name="plywood4">#REF!</definedName>
    <definedName localSheetId="21" name="___HAL4">#REF!</definedName>
    <definedName localSheetId="17" name="_LLL03">#REF!</definedName>
    <definedName localSheetId="7" name="roster">#REF!</definedName>
    <definedName localSheetId="13" name="Uraian842">#REF!</definedName>
    <definedName localSheetId="44" name="_______MMM37">#REF!</definedName>
    <definedName name="_________MMM36">#REF!</definedName>
    <definedName localSheetId="39" name="___pvc205">#REF!</definedName>
    <definedName localSheetId="28" name="kunciselot">#REF!</definedName>
    <definedName localSheetId="33" name="t.sabun">#REF!</definedName>
    <definedName localSheetId="32" name="tempatcucipiring">#REF!</definedName>
    <definedName localSheetId="6" name="_tl2">#REF!</definedName>
    <definedName localSheetId="34" name="urugan">#REF!</definedName>
    <definedName localSheetId="31" name="ubinwarna40">#REF!</definedName>
    <definedName localSheetId="10" name="ss">#REF!</definedName>
    <definedName localSheetId="21" name="________MMM25">#REF!</definedName>
    <definedName localSheetId="44" name="bubungangentengpalentong">#REF!</definedName>
    <definedName localSheetId="7" name="puzzdilth">#REF!</definedName>
    <definedName localSheetId="31" name="pasirpas">#REF!</definedName>
    <definedName localSheetId="5" name="______MMM01">#REF!</definedName>
    <definedName localSheetId="31" name="____DIV4">#REF!</definedName>
    <definedName localSheetId="10" name="ktky">#REF!</definedName>
    <definedName localSheetId="10" name="plintubinteraluxmarmer1040">#REF!</definedName>
    <definedName localSheetId="9" name="______DIV4">#REF!</definedName>
    <definedName localSheetId="23" name="sirlak">#REF!</definedName>
    <definedName localSheetId="39" name="lemvinyl">#REF!</definedName>
    <definedName localSheetId="10" name="_HAL4">#REF!</definedName>
    <definedName localSheetId="30" name="beton.tumbuk">#REF!</definedName>
    <definedName localSheetId="18" name="URAIAN21">#REF!</definedName>
    <definedName localSheetId="42" name="FORM632">#REF!</definedName>
    <definedName localSheetId="7" name="relpintudorong">#REF!</definedName>
    <definedName localSheetId="10" name="sofboard">#REF!</definedName>
    <definedName localSheetId="11" name="penduduk">#REF!</definedName>
    <definedName localSheetId="21" name="___MMM27">#REF!</definedName>
    <definedName localSheetId="32" name="batapelapisdinding">#REF!</definedName>
    <definedName localSheetId="3" name="___MMM31">#REF!</definedName>
    <definedName localSheetId="18" name="hakangin">#REF!</definedName>
    <definedName localSheetId="6" name="venetionblinds">#REF!</definedName>
    <definedName localSheetId="13" name="ubinkeramikartistik1020">#REF!</definedName>
    <definedName localSheetId="42" name="pddk">#REF!</definedName>
    <definedName localSheetId="20" name="URAIAN633">#REF!</definedName>
    <definedName localSheetId="4" name="batapelapisklinker">#REF!</definedName>
    <definedName localSheetId="21" name="yyyyyyy">#REF!</definedName>
    <definedName localSheetId="36" name="__DIV2">#REF!</definedName>
    <definedName localSheetId="15" name="FORM612">#REF!</definedName>
    <definedName localSheetId="18" name="B.Jambi">#REF!</definedName>
    <definedName localSheetId="32" name="FORM79manual">#REF!</definedName>
    <definedName localSheetId="18" name="kacacermin8">#REF!</definedName>
    <definedName localSheetId="0" name="c.mowi.dlm">#REF!</definedName>
    <definedName localSheetId="32" name="ppn.m.3.20.serut">#REF!</definedName>
    <definedName localSheetId="21" name="_MMM01">#REF!</definedName>
    <definedName localSheetId="10" name="mapel">#REF!</definedName>
    <definedName localSheetId="4" name="kunciselot">#REF!</definedName>
    <definedName localSheetId="42" name="kayudamarlaut">#REF!</definedName>
    <definedName localSheetId="30" name="nmdaerah">#REF!</definedName>
    <definedName localSheetId="41" name="_LLL02">#REF!</definedName>
    <definedName localSheetId="21" name="a">#REF!</definedName>
    <definedName localSheetId="21" name="mowi.ws">#REF!</definedName>
    <definedName localSheetId="18" name="asbesgelombnang">#REF!</definedName>
    <definedName localSheetId="31" name="R41..">#REF!</definedName>
    <definedName localSheetId="7" name="plastikaerator">#REF!</definedName>
    <definedName localSheetId="27" name="________DIV3">#REF!</definedName>
    <definedName localSheetId="24" name="____LLL09">#REF!</definedName>
    <definedName localSheetId="20" name="xxxxx">#REF!</definedName>
    <definedName localSheetId="7" name="_LLL05">#REF!</definedName>
    <definedName localSheetId="24" name="_MMM13">#REF!</definedName>
    <definedName name="____MMM10">#REF!</definedName>
    <definedName localSheetId="0" name="URAIAN621">#REF!</definedName>
    <definedName localSheetId="44" name="__MMM19">#REF!</definedName>
    <definedName localSheetId="34" name="______HAL1">#REF!</definedName>
    <definedName localSheetId="3" name="________MMM14">#REF!</definedName>
    <definedName localSheetId="33" name="_pvc205">#REF!</definedName>
    <definedName localSheetId="4" name="f.drain">#REF!</definedName>
    <definedName localSheetId="21" name="RoolingdoorAlumunium">#REF!</definedName>
    <definedName localSheetId="9" name="FORM7612a">#REF!</definedName>
    <definedName localSheetId="15" name="__pvc2">#REF!</definedName>
    <definedName localSheetId="27" name="sunloid">#REF!</definedName>
    <definedName localSheetId="24" name="________HAL2">#REF!</definedName>
    <definedName localSheetId="10" name="catpenutup">#REF!</definedName>
    <definedName localSheetId="15" name="__LLL02">#REF!</definedName>
    <definedName localSheetId="12" name="FORM7610">#REF!</definedName>
    <definedName localSheetId="31" name="medan3.4">#REF!</definedName>
    <definedName localSheetId="4" name="ARI">#REF!</definedName>
    <definedName localSheetId="38" name="Pjgsloof">#REF!</definedName>
    <definedName localSheetId="38" name="y">#REF!</definedName>
    <definedName localSheetId="17" name="URAIAN22L">#REF!</definedName>
    <definedName localSheetId="8" name="Uraian8410">#REF!</definedName>
    <definedName localSheetId="24" name="URAIAN7613c">#REF!</definedName>
    <definedName localSheetId="23" name="FORM632">#REF!</definedName>
    <definedName localSheetId="24" name="R30..">#REF!</definedName>
    <definedName localSheetId="13" name="wwww">#REF!</definedName>
    <definedName localSheetId="0" name="Analisa511">#REF!</definedName>
    <definedName localSheetId="24" name="R16..">#REF!</definedName>
    <definedName localSheetId="44" name="kawatkassa">#REF!</definedName>
    <definedName localSheetId="24" name="DPRD_KOLAKA_UTARA">#REF!</definedName>
    <definedName localSheetId="30" name="kayuborneo">#REF!</definedName>
    <definedName localSheetId="17" name="batacote">#REF!</definedName>
    <definedName localSheetId="12" name="_MMM02">#REF!</definedName>
    <definedName localSheetId="13" name="he">#REF!</definedName>
    <definedName localSheetId="17" name="_MMM43">#REF!</definedName>
    <definedName localSheetId="7" name="terntang">#REF!</definedName>
    <definedName localSheetId="23" name="waterdrainaksesoris">#REF!</definedName>
    <definedName localSheetId="3" name="kuncitanam">#REF!</definedName>
    <definedName localSheetId="42" name="p.bI">#REF!</definedName>
    <definedName localSheetId="12" name="marmer">#REF!</definedName>
    <definedName name="_______MMM27">#REF!</definedName>
    <definedName localSheetId="36" name="water.prof">#REF!</definedName>
    <definedName localSheetId="3" name="R6..">#REF!</definedName>
    <definedName localSheetId="13" name="FORM744">#REF!</definedName>
    <definedName localSheetId="19" name="FORM7612c">#REF!</definedName>
    <definedName localSheetId="36" name="_pvc205">#REF!</definedName>
    <definedName localSheetId="7" name="ASET">#REF!</definedName>
    <definedName localSheetId="12" name="NAMA2">#REF!</definedName>
    <definedName localSheetId="13" name="G">#REF!</definedName>
    <definedName localSheetId="24" name="URAIAN611">#REF!</definedName>
    <definedName localSheetId="44" name="URAIAN98">#REF!</definedName>
    <definedName localSheetId="9" name="_______DIV2">#REF!</definedName>
    <definedName localSheetId="0" name="kacacermin6">#REF!</definedName>
    <definedName localSheetId="5" name="bouwplnk">#REF!</definedName>
    <definedName localSheetId="3" name="karpet">#REF!</definedName>
    <definedName localSheetId="33" name="___HAL3">#REF!</definedName>
    <definedName localSheetId="21" name="__MMM28">#REF!</definedName>
    <definedName localSheetId="20" name="______DIV1">#REF!</definedName>
    <definedName localSheetId="10" name="catmeni">#REF!</definedName>
    <definedName localSheetId="25" name="pipabeton">#REF!</definedName>
    <definedName localSheetId="3" name="_MMM40">#REF!</definedName>
    <definedName localSheetId="21" name="u">#REF!</definedName>
    <definedName localSheetId="31" name="panelbetonpracetak">#REF!</definedName>
    <definedName localSheetId="25" name="alba2.20">#REF!</definedName>
    <definedName localSheetId="39" name="FORM631">#REF!</definedName>
    <definedName localSheetId="8" name="______MMM01">#REF!</definedName>
    <definedName localSheetId="38" name="___HAL3">#REF!</definedName>
    <definedName localSheetId="24" name="FORM99">#REF!</definedName>
    <definedName localSheetId="33" name="Psr.psg">#REF!</definedName>
    <definedName localSheetId="17" name="kaca5">#REF!</definedName>
    <definedName localSheetId="34" name="t.sabun">#REF!</definedName>
    <definedName name="_____DIV6">#REF!</definedName>
    <definedName localSheetId="32" name="URAIAN631">#REF!</definedName>
    <definedName name="kawatduri">#REF!</definedName>
    <definedName localSheetId="44" name="____MMM29">#REF!</definedName>
    <definedName localSheetId="19" name="Batupuru">#REF!</definedName>
    <definedName localSheetId="13" name="_HAL1">#REF!</definedName>
    <definedName localSheetId="20" name="metal">#REF!</definedName>
    <definedName localSheetId="8" name="multi.18">#REF!</definedName>
    <definedName localSheetId="34" name="pakuhak15cm">#REF!</definedName>
    <definedName localSheetId="15" name="URAIAN612">#REF!</definedName>
    <definedName localSheetId="3" name="URAIAN66PERMUKAAN">#REF!</definedName>
    <definedName localSheetId="34" name="R51..">#REF!</definedName>
    <definedName localSheetId="10" name="Z">#REF!</definedName>
    <definedName localSheetId="23" name="papanII">#REF!</definedName>
    <definedName localSheetId="27" name="R100..">#REF!</definedName>
    <definedName localSheetId="23" name="split1.2">#REF!</definedName>
    <definedName localSheetId="8" name="FORM7613c">#REF!</definedName>
    <definedName localSheetId="7" name="R12..">#REF!</definedName>
    <definedName localSheetId="0" name="___HAL1">#REF!</definedName>
    <definedName localSheetId="32" name="URAIAN731">#REF!</definedName>
    <definedName localSheetId="39" name="_____DIV4">#REF!</definedName>
    <definedName localSheetId="11" name="k.beton">#REF!</definedName>
    <definedName localSheetId="21" name="LAINLAIN">#REF!</definedName>
    <definedName localSheetId="44" name="f.drain">#REF!</definedName>
    <definedName localSheetId="17" name="Print_title">#REF!</definedName>
    <definedName name="Analisa71003">#REF!</definedName>
    <definedName localSheetId="21" name="he">#REF!</definedName>
    <definedName localSheetId="39" name="___DIV3">#REF!</definedName>
    <definedName localSheetId="24" name="URAIAN771b">#REF!</definedName>
    <definedName localSheetId="24" name="R3..">#REF!</definedName>
    <definedName localSheetId="12" name="Meni">#REF!</definedName>
    <definedName localSheetId="7" name="URAIAN641L">#REF!</definedName>
    <definedName localSheetId="5" name="bjls30">#REF!</definedName>
    <definedName localSheetId="28" name="cghj">#REF!</definedName>
    <definedName localSheetId="41" name="ppn.m.3.20.serut">#REF!</definedName>
    <definedName localSheetId="42" name="Batupuru">#REF!</definedName>
    <definedName localSheetId="40" name="ubingranito30">#REF!</definedName>
    <definedName localSheetId="34" name="amobiotic">#REF!</definedName>
    <definedName localSheetId="31" name="jffhauifhauifhe">#REF!</definedName>
    <definedName localSheetId="10" name="besi12sii">#REF!</definedName>
    <definedName localSheetId="3" name="URAIAN912">#REF!</definedName>
    <definedName name="________MMM18">#REF!</definedName>
    <definedName localSheetId="3" name="URAIAN611">#REF!</definedName>
    <definedName localSheetId="39" name="beton.225m">#REF!</definedName>
    <definedName localSheetId="27" name="rollingdoor">#REF!</definedName>
    <definedName localSheetId="10" name="plintubinteraso1040">#REF!</definedName>
    <definedName localSheetId="7" name="__MMM23">#REF!</definedName>
    <definedName localSheetId="40" name="grendel4">#REF!</definedName>
    <definedName localSheetId="19" name="terasocor">#REF!</definedName>
    <definedName localSheetId="32" name="nmdaerah">#REF!</definedName>
    <definedName localSheetId="15" name="_DIV1">#REF!</definedName>
    <definedName localSheetId="7" name="__MMM52">#REF!</definedName>
    <definedName localSheetId="23" name="Faktor">#REF!</definedName>
    <definedName localSheetId="24" name="kawatburung">#REF!</definedName>
    <definedName localSheetId="24" name="__MMM16">#REF!</definedName>
    <definedName localSheetId="11" name="bjls30">#REF!</definedName>
    <definedName localSheetId="30" name="ttnh">#REF!</definedName>
    <definedName localSheetId="44" name="___pvc05">#REF!</definedName>
    <definedName localSheetId="19" name="UP">#REF!</definedName>
    <definedName localSheetId="39" name="DSSDD">#REF!</definedName>
    <definedName localSheetId="7" name="____MMM34">#REF!</definedName>
    <definedName localSheetId="21" name="_________DIV1">#REF!</definedName>
    <definedName name="____MMM22">#REF!</definedName>
    <definedName localSheetId="15" name="ASET">#REF!</definedName>
    <definedName localSheetId="12" name="_KOP7">#REF!</definedName>
    <definedName localSheetId="5" name="waterstop200">#REF!</definedName>
    <definedName name="________MMM27">#REF!</definedName>
    <definedName localSheetId="9" name="DAYWORKS">#REF!</definedName>
    <definedName localSheetId="9" name="waterstop230">#REF!</definedName>
    <definedName localSheetId="27" name="lem">#REF!</definedName>
    <definedName localSheetId="24" name="___MMM411">#REF!</definedName>
    <definedName localSheetId="42" name="_______DIV3">#REF!</definedName>
    <definedName localSheetId="15" name="URAIAN771c">#REF!</definedName>
    <definedName localSheetId="10" name="URAIAN611">#REF!</definedName>
    <definedName localSheetId="27" name="sengbjls25">#REF!</definedName>
    <definedName localSheetId="7" name="R35..">#REF!</definedName>
    <definedName localSheetId="17" name="___LLL02">#REF!</definedName>
    <definedName name="p.triplek">#REF!</definedName>
    <definedName localSheetId="11" name="catpenutup">#REF!</definedName>
    <definedName localSheetId="24" name="R4..">#REF!</definedName>
    <definedName localSheetId="44" name="______MMM51">#REF!</definedName>
    <definedName localSheetId="32" name="plastik">#REF!</definedName>
    <definedName localSheetId="3" name="u">#REF!</definedName>
    <definedName localSheetId="12" name="URAIAN79mekanis">#REF!</definedName>
    <definedName localSheetId="5" name="kawatnyamuk">#REF!</definedName>
    <definedName localSheetId="36" name="plastikaerator">#REF!</definedName>
    <definedName name="batuapung">#REF!</definedName>
    <definedName localSheetId="15" name="alangalang">#REF!</definedName>
    <definedName localSheetId="17" name="kacapatri5">#REF!</definedName>
    <definedName localSheetId="3" name="R45..">#REF!</definedName>
    <definedName localSheetId="3" name="_________MMM411">#REF!</definedName>
    <definedName localSheetId="40" name="KunciPintu">#REF!</definedName>
    <definedName localSheetId="39" name="KERAMIK30">#REF!</definedName>
    <definedName localSheetId="4" name="plastik">#REF!</definedName>
    <definedName localSheetId="38" name="beton100kg">#REF!</definedName>
    <definedName localSheetId="13" name="sementahanasam">#REF!</definedName>
    <definedName localSheetId="21" name="gentengkodok">#REF!</definedName>
    <definedName localSheetId="34" name="___pvc105">#REF!</definedName>
    <definedName localSheetId="3" name="Analisa55">#REF!</definedName>
    <definedName localSheetId="12" name="paving">#REF!</definedName>
    <definedName localSheetId="44" name="____MMM43">#REF!</definedName>
    <definedName localSheetId="5" name="batapelapisklinker">#REF!</definedName>
    <definedName localSheetId="7" name="bubunganstelgelombang">#REF!</definedName>
    <definedName localSheetId="44" name="kali">#REF!</definedName>
    <definedName localSheetId="39" name="catantara">#REF!</definedName>
    <definedName localSheetId="23" name="_Tl1">#REF!</definedName>
    <definedName localSheetId="38" name="URAIAN7613c">#REF!</definedName>
    <definedName localSheetId="24" name="karpet">#REF!</definedName>
    <definedName localSheetId="7" name="FORM916">#REF!</definedName>
    <definedName localSheetId="24" name="kaca8">#REF!</definedName>
    <definedName localSheetId="28" name="gypsum.9">#REF!</definedName>
    <definedName localSheetId="21" name="Analisa70706">#REF!</definedName>
    <definedName localSheetId="32" name="oke">#REF!</definedName>
    <definedName localSheetId="5" name="pintualuminium">#REF!</definedName>
    <definedName localSheetId="17" name="_________DIV9">#REF!</definedName>
    <definedName localSheetId="0" name="_______MMM01">#REF!</definedName>
    <definedName localSheetId="41" name="___DIV2">#REF!</definedName>
    <definedName localSheetId="7" name="pakugalvanis">#REF!</definedName>
    <definedName localSheetId="19" name="URAIAN731">#REF!</definedName>
    <definedName localSheetId="44" name="________MMM25">#REF!</definedName>
    <definedName localSheetId="18" name="Tbt">#REF!</definedName>
    <definedName localSheetId="8" name="PT">#REF!</definedName>
    <definedName localSheetId="17" name="beton250r">#REF!</definedName>
    <definedName localSheetId="31" name="________DIV2">#REF!</definedName>
    <definedName localSheetId="6" name="rubbercorrugate">#REF!</definedName>
    <definedName localSheetId="42" name="_HAL5">#REF!</definedName>
    <definedName localSheetId="20" name="___pvc2">#REF!</definedName>
    <definedName localSheetId="38" name="kawatduri">#REF!</definedName>
    <definedName localSheetId="42" name="besi12sii">#REF!</definedName>
    <definedName localSheetId="9" name="nnnnn">#REF!</definedName>
    <definedName name="plintubinwarna1040">#REF!</definedName>
    <definedName localSheetId="30" name="plintubinteraluxkerang1060">#REF!</definedName>
    <definedName localSheetId="3" name="Print_title">#REF!</definedName>
    <definedName localSheetId="44" name="______MMM47">#REF!</definedName>
    <definedName localSheetId="20" name="Psr.psg">#REF!</definedName>
    <definedName localSheetId="7" name="________MMM43">#REF!</definedName>
    <definedName localSheetId="15" name="R31..">#REF!</definedName>
    <definedName localSheetId="8" name="___MMM03">#REF!</definedName>
    <definedName localSheetId="44" name="w.stain">#REF!</definedName>
    <definedName localSheetId="17" name="batasuper">#REF!</definedName>
    <definedName localSheetId="34" name="NAMA3">#REF!</definedName>
    <definedName localSheetId="40" name="cattembok">#REF!</definedName>
    <definedName localSheetId="10" name="pajak">#REF!</definedName>
    <definedName localSheetId="24" name="______DIV1">#REF!</definedName>
    <definedName localSheetId="15" name="Per">#REF!</definedName>
    <definedName localSheetId="24" name="___MMM54">#REF!</definedName>
    <definedName localSheetId="21" name="________MMM37">#REF!</definedName>
    <definedName localSheetId="7" name="__LLL08">#REF!</definedName>
    <definedName localSheetId="28" name="__HAL5">#REF!</definedName>
    <definedName localSheetId="21" name="__LLL07">#REF!</definedName>
    <definedName localSheetId="17" name="R42..">#REF!</definedName>
    <definedName localSheetId="21" name="__LLL04">#REF!</definedName>
    <definedName localSheetId="44" name="__pvc2">#REF!</definedName>
    <definedName localSheetId="18" name="______DIV2">#REF!</definedName>
    <definedName localSheetId="21" name="Kunci1">#REF!</definedName>
    <definedName localSheetId="0" name="Gypsum">#REF!</definedName>
    <definedName localSheetId="39" name="FORM771a">#REF!</definedName>
    <definedName localSheetId="17" name="FORM634">#REF!</definedName>
    <definedName localSheetId="25" name="kunciselot">#REF!</definedName>
    <definedName localSheetId="3" name="_____MMM47">#REF!</definedName>
    <definedName localSheetId="39" name="feltexkarpetwool">#REF!</definedName>
    <definedName localSheetId="25" name="ubinkeramik1033">#REF!</definedName>
    <definedName localSheetId="21" name="relpintudorong">#REF!</definedName>
    <definedName localSheetId="7" name="___MMM46">#REF!</definedName>
    <definedName localSheetId="28" name="btn">#REF!</definedName>
    <definedName localSheetId="3" name="k.rmn.30.30.crk">#REF!</definedName>
    <definedName localSheetId="3" name="Analisa709">#REF!</definedName>
    <definedName localSheetId="8" name="FORM8410">#REF!</definedName>
    <definedName localSheetId="44" name="vinylmotifkembang">#REF!</definedName>
    <definedName localSheetId="6" name="_______DIV3">#REF!</definedName>
    <definedName localSheetId="20" name="kayukruing">#REF!</definedName>
    <definedName localSheetId="8" name="_______DIV10">#REF!</definedName>
    <definedName name="____MMM08">#REF!</definedName>
    <definedName localSheetId="25" name="UPAH">#REF!</definedName>
    <definedName localSheetId="12" name="p.triplek">#REF!</definedName>
    <definedName localSheetId="3" name="tpipa">#REF!</definedName>
    <definedName localSheetId="11" name="Gypsum">#REF!</definedName>
    <definedName localSheetId="21" name="grendeltanam">#REF!</definedName>
    <definedName name="_______MMM08">#REF!</definedName>
    <definedName localSheetId="33" name="kacapolos5mm">#REF!</definedName>
    <definedName localSheetId="21" name="__LLL02">#REF!</definedName>
    <definedName localSheetId="13" name="aaaaa">#REF!</definedName>
    <definedName localSheetId="3" name="catpenutup2kali">#REF!</definedName>
    <definedName localSheetId="24" name="plintubinteraluxkerang1040">#REF!</definedName>
    <definedName localSheetId="17" name="________DIV8">#REF!</definedName>
    <definedName name="________DIV1">#REF!</definedName>
    <definedName name="_____MMM53">#REF!</definedName>
    <definedName localSheetId="28" name="floorhardenerferrovak">#REF!</definedName>
    <definedName localSheetId="34" name="ASET">#REF!</definedName>
    <definedName localSheetId="20" name="__pvc2">#REF!</definedName>
    <definedName name="puzzdilth">#REF!</definedName>
    <definedName localSheetId="3" name="pintusunscreenalluminium">#REF!</definedName>
    <definedName localSheetId="18" name="zzz">#REF!</definedName>
    <definedName localSheetId="17" name="___LLL11">#REF!</definedName>
    <definedName localSheetId="7" name="Analisa70707">#REF!</definedName>
    <definedName name="rooflightfiibreglass">#REF!</definedName>
    <definedName localSheetId="24" name="beton175R">#REF!</definedName>
    <definedName localSheetId="4" name="__pvc05">#REF!</definedName>
    <definedName localSheetId="33" name="STRUKTUR">#REF!</definedName>
    <definedName localSheetId="15" name="kunci2slag">#REF!</definedName>
    <definedName localSheetId="10" name="kmp.banjar">#REF!</definedName>
    <definedName localSheetId="9" name="JL_NAS">#REF!</definedName>
    <definedName localSheetId="25" name="FORM7614b">#REF!</definedName>
    <definedName localSheetId="44" name="Analisa55">#REF!</definedName>
    <definedName localSheetId="3" name="kacacermin6">#REF!</definedName>
    <definedName localSheetId="21" name="URAIAN66">#REF!</definedName>
    <definedName localSheetId="21" name="_MMM30">#REF!</definedName>
    <definedName localSheetId="27" name="sealer.mowi">#REF!</definedName>
    <definedName localSheetId="24" name="tegelporselen11x11warna">#REF!</definedName>
    <definedName localSheetId="8" name="namaabsen">#REF!</definedName>
    <definedName localSheetId="42" name="ubingranito30">#REF!</definedName>
    <definedName localSheetId="39" name="kayukruing">#REF!</definedName>
    <definedName localSheetId="20" name="plintubinteraluxkerang1060">#REF!</definedName>
    <definedName localSheetId="20" name="roster">#REF!</definedName>
    <definedName name="aaaaaaaaaaa">#REF!</definedName>
    <definedName localSheetId="19" name="eeeeee">#REF!</definedName>
    <definedName localSheetId="5" name="u.bekisting">#REF!</definedName>
    <definedName localSheetId="27" name="R20..">#REF!</definedName>
    <definedName localSheetId="24" name="____MMM04">#REF!</definedName>
    <definedName localSheetId="17" name="KTM">#REF!</definedName>
    <definedName localSheetId="24" name="___MMM07">#REF!</definedName>
    <definedName localSheetId="0" name="__DIV4">#REF!</definedName>
    <definedName localSheetId="21" name="_____DIV5">#REF!</definedName>
    <definedName localSheetId="8" name="baru">#REF!</definedName>
    <definedName localSheetId="39" name="bouwplnk">#REF!</definedName>
    <definedName localSheetId="18" name="JL_NAS">#REF!</definedName>
    <definedName localSheetId="44" name="Kurs">#REF!</definedName>
    <definedName localSheetId="24" name="____HAL4">#REF!</definedName>
    <definedName localSheetId="27" name="penduduk">#REF!</definedName>
    <definedName localSheetId="21" name="DAYWORKS">#REF!</definedName>
    <definedName localSheetId="12" name="_____DIV1">#REF!</definedName>
    <definedName localSheetId="8" name="terasocor">#REF!</definedName>
    <definedName localSheetId="12" name="kayukelas2">#REF!</definedName>
    <definedName localSheetId="44" name="________MMM30">#REF!</definedName>
    <definedName localSheetId="21" name="Analisa55">#REF!</definedName>
    <definedName localSheetId="34" name="s.warna">#REF!</definedName>
    <definedName localSheetId="44" name="FORM7614a">#REF!</definedName>
    <definedName localSheetId="21" name="__MMM46">#REF!</definedName>
    <definedName localSheetId="8" name="________DIV1">#REF!</definedName>
    <definedName localSheetId="44" name="_tl2">#REF!</definedName>
    <definedName localSheetId="10" name="FORM611">#REF!</definedName>
    <definedName localSheetId="21" name="________DIV4">#REF!</definedName>
    <definedName localSheetId="3" name="_______DIV5">#REF!</definedName>
    <definedName localSheetId="28" name="DSSDD">#REF!</definedName>
    <definedName localSheetId="44" name="bubunganstelgelombang108">#REF!</definedName>
    <definedName localSheetId="15" name="tm_2415921492">#REF!</definedName>
    <definedName localSheetId="39" name="plintubinwarna1030">#REF!</definedName>
    <definedName localSheetId="11" name="e">#REF!</definedName>
    <definedName localSheetId="10" name="URAIAN731">#REF!</definedName>
    <definedName localSheetId="39" name="mapel">#REF!</definedName>
    <definedName name="R98..">#REF!</definedName>
    <definedName localSheetId="31" name="tpipa">#REF!</definedName>
    <definedName localSheetId="20" name="__MMM01">#REF!</definedName>
    <definedName name="__pvc2">#REF!</definedName>
    <definedName localSheetId="21" name="_____MMM28">#REF!</definedName>
    <definedName localSheetId="6" name="grendeltanam">#REF!</definedName>
    <definedName localSheetId="3" name="URAIAN94">#REF!</definedName>
    <definedName localSheetId="13" name="catpenutup2kali">#REF!</definedName>
    <definedName localSheetId="18" name="FORM721">#REF!</definedName>
    <definedName localSheetId="33" name="ARI">#REF!</definedName>
    <definedName localSheetId="18" name="eeeeee">#REF!</definedName>
    <definedName localSheetId="28" name="___pvc205">#REF!</definedName>
    <definedName localSheetId="28" name="platasbes35mm">#REF!</definedName>
    <definedName localSheetId="40" name="k.ddg.20.25.rmn.crk">#REF!</definedName>
    <definedName localSheetId="33" name="FORMLatasirKL">#REF!</definedName>
    <definedName localSheetId="3" name="_____MMM22">#REF!</definedName>
    <definedName localSheetId="21" name="kawatburung">#REF!</definedName>
    <definedName localSheetId="23" name="beton.225m">#REF!</definedName>
    <definedName localSheetId="33" name="semenwarna">#REF!</definedName>
    <definedName localSheetId="10" name="kawatburung">#REF!</definedName>
    <definedName localSheetId="15" name="ngsel4">#REF!</definedName>
    <definedName localSheetId="15" name="LAP">#REF!</definedName>
    <definedName localSheetId="24" name="_MMM35">#REF!</definedName>
    <definedName localSheetId="21" name="_____MMM03">#REF!</definedName>
    <definedName localSheetId="3" name="_____HAL3">#REF!</definedName>
    <definedName localSheetId="41" name="s.warna">#REF!</definedName>
    <definedName localSheetId="6" name="keramik20">#REF!</definedName>
    <definedName localSheetId="44" name="kayukamper">#REF!</definedName>
    <definedName localSheetId="17" name="pddk">#REF!</definedName>
    <definedName localSheetId="18" name="pakubulian">#REF!</definedName>
    <definedName localSheetId="32" name="rubbercorrugate">#REF!</definedName>
    <definedName localSheetId="33" name="____HAL3">#REF!</definedName>
    <definedName localSheetId="13" name="plamour">#REF!</definedName>
    <definedName localSheetId="21" name="washtafel">#REF!</definedName>
    <definedName localSheetId="30" name="Closet.ddk">#REF!</definedName>
    <definedName localSheetId="12" name="__pvc05">#REF!</definedName>
    <definedName localSheetId="28" name="_______HAL2">#REF!</definedName>
    <definedName localSheetId="36" name="sirlak">#REF!</definedName>
    <definedName name="_MMM05">#REF!</definedName>
    <definedName localSheetId="10" name="FORM7614c">#REF!</definedName>
    <definedName localSheetId="17" name="_________MMM49">#REF!</definedName>
    <definedName localSheetId="30" name="URAIAN771a">#REF!</definedName>
    <definedName localSheetId="27" name="___DIV10">#REF!</definedName>
    <definedName localSheetId="33" name="_pp1">#REF!</definedName>
    <definedName localSheetId="44" name="_pp1">#REF!</definedName>
    <definedName localSheetId="40" name="e">#REF!</definedName>
    <definedName localSheetId="44" name="feltexkarpetwool">#REF!</definedName>
    <definedName localSheetId="36" name="ubinteraso40">#REF!</definedName>
    <definedName localSheetId="31" name="pipabeton">#REF!</definedName>
    <definedName localSheetId="0" name="mowi.ws">#REF!</definedName>
    <definedName name="___MMM03">#REF!</definedName>
    <definedName localSheetId="8" name="batapelapisdinding">#REF!</definedName>
    <definedName localSheetId="44" name="_______LLL09">#REF!</definedName>
    <definedName localSheetId="13" name="R50..">#REF!</definedName>
    <definedName localSheetId="38" name="FORM841">#REF!</definedName>
    <definedName localSheetId="13" name="kayuborneo">#REF!</definedName>
    <definedName localSheetId="38" name="RINCIANSEWA2">#REF!</definedName>
    <definedName localSheetId="13" name="Pjgsloof">#REF!</definedName>
    <definedName localSheetId="11" name="_________HAL2">#REF!</definedName>
    <definedName localSheetId="31" name="_pp1">#REF!</definedName>
    <definedName localSheetId="28" name="minyaksolar">#REF!</definedName>
    <definedName localSheetId="40" name="_________HAL3">#REF!</definedName>
    <definedName localSheetId="8" name="total">#REF!</definedName>
    <definedName localSheetId="42" name="kayutembesu">#REF!</definedName>
    <definedName localSheetId="39" name="kayuramin">#REF!</definedName>
    <definedName localSheetId="24" name="___MMM05">#REF!</definedName>
    <definedName localSheetId="23" name="______DIV4">#REF!</definedName>
    <definedName localSheetId="44" name="_____MMM04">#REF!</definedName>
    <definedName localSheetId="17" name="dasar">#REF!</definedName>
    <definedName localSheetId="17" name="jki">#REF!</definedName>
    <definedName localSheetId="6" name="plintubinteraso1040">#REF!</definedName>
    <definedName localSheetId="21" name="ubinkeramikartistik1010">#REF!</definedName>
    <definedName localSheetId="24" name="nmdaerah">#REF!</definedName>
    <definedName localSheetId="7" name="______MMM14">#REF!</definedName>
    <definedName localSheetId="31" name="spirtus">#REF!</definedName>
    <definedName localSheetId="12" name="plintubinkeramikartistik1020">#REF!</definedName>
    <definedName name="kapursirih">#REF!</definedName>
    <definedName localSheetId="34" name="besi10.sii">#REF!</definedName>
    <definedName localSheetId="38" name="ubingranito30">#REF!</definedName>
    <definedName localSheetId="21" name="________MMM28">#REF!</definedName>
    <definedName localSheetId="28" name="sementahanasam">#REF!</definedName>
    <definedName localSheetId="10" name="lb">#REF!</definedName>
    <definedName localSheetId="7" name="doorstop">#REF!</definedName>
    <definedName localSheetId="41" name="sunloid">#REF!</definedName>
    <definedName localSheetId="40" name="gggg">#REF!</definedName>
    <definedName localSheetId="21" name="_________DIV4">#REF!</definedName>
    <definedName localSheetId="12" name="DFFFGGG">#REF!</definedName>
    <definedName localSheetId="11" name="Analisa511">#REF!</definedName>
    <definedName localSheetId="11" name="dasar">#REF!</definedName>
    <definedName localSheetId="11" name="__pvc3">#REF!</definedName>
    <definedName localSheetId="24" name="___DIV8">#REF!</definedName>
    <definedName name="_____MMM21">#REF!</definedName>
    <definedName name="___MMM32">#REF!</definedName>
    <definedName localSheetId="23" name="ubingranito40">#REF!</definedName>
    <definedName localSheetId="17" name="___MMM43">#REF!</definedName>
    <definedName localSheetId="8" name="__MMM02">#REF!</definedName>
    <definedName localSheetId="40" name="menibesi">#REF!</definedName>
    <definedName localSheetId="23" name="batuporos">#REF!</definedName>
    <definedName localSheetId="41" name="FORM771a">#REF!</definedName>
    <definedName localSheetId="13" name="ASPAL">#REF!</definedName>
    <definedName name="_____MMM34">#REF!</definedName>
    <definedName localSheetId="8" name="pipagalvanis">#REF!</definedName>
    <definedName localSheetId="6" name="platasbes35mm">#REF!</definedName>
    <definedName localSheetId="19" name="pipagalvanis">#REF!</definedName>
    <definedName localSheetId="0" name="RPHL">#REF!</definedName>
    <definedName localSheetId="42" name="kayukulim">#REF!</definedName>
    <definedName localSheetId="18" name="bondbeam">#REF!</definedName>
    <definedName localSheetId="3" name="FORM79mekanis">#REF!</definedName>
    <definedName localSheetId="13" name="_______DIV4">#REF!</definedName>
    <definedName localSheetId="5" name="got">#REF!</definedName>
    <definedName localSheetId="7" name="URAIAN7613a">#REF!</definedName>
    <definedName localSheetId="31" name="siap1">#REF!</definedName>
    <definedName localSheetId="40" name="plintubinkeramikartistik1020">#REF!</definedName>
    <definedName localSheetId="24" name="R91..">#REF!</definedName>
    <definedName localSheetId="23" name="catantara">#REF!</definedName>
    <definedName localSheetId="32" name="besipresstressedpolos">#REF!</definedName>
    <definedName localSheetId="24" name="_________MMM05">#REF!</definedName>
    <definedName localSheetId="40" name="terntang">#REF!</definedName>
    <definedName localSheetId="7" name="Plywood9">#REF!</definedName>
    <definedName localSheetId="21" name="___MMM39">#REF!</definedName>
    <definedName localSheetId="3" name="ubinkeramik2525">#REF!</definedName>
    <definedName localSheetId="19" name="__DIV2">#REF!</definedName>
    <definedName localSheetId="7" name="R90..">#REF!</definedName>
    <definedName localSheetId="32" name="hd">#REF!</definedName>
    <definedName localSheetId="24" name="pipatanah">#REF!</definedName>
    <definedName localSheetId="40" name="___HAL1">#REF!</definedName>
    <definedName localSheetId="15" name="____DIV10">#REF!</definedName>
    <definedName localSheetId="3" name="plintubinwarna1020">#REF!</definedName>
    <definedName localSheetId="38" name="vertikalsblinds">#REF!</definedName>
    <definedName name="_MMM07">#REF!</definedName>
    <definedName localSheetId="18" name="_HAL6">#REF!</definedName>
    <definedName name="_______MMM10">#REF!</definedName>
    <definedName localSheetId="31" name="Pengadaan">#REF!</definedName>
    <definedName localSheetId="3" name="_MMM51">#REF!</definedName>
    <definedName localSheetId="17" name="________MMM28">#REF!</definedName>
    <definedName localSheetId="7" name="_____MMM01">#REF!</definedName>
    <definedName name="_____MMM19">#REF!</definedName>
    <definedName localSheetId="24" name="R25..">#REF!</definedName>
    <definedName localSheetId="30" name="metal">#REF!</definedName>
    <definedName localSheetId="24" name="Print_Titles_MI">#REF!</definedName>
    <definedName localSheetId="17" name="___HAL2">#REF!</definedName>
    <definedName localSheetId="24" name="URAIAN919">#REF!</definedName>
    <definedName localSheetId="7" name="_DIV4">#REF!</definedName>
    <definedName localSheetId="15" name="namaabsen">#REF!</definedName>
    <definedName localSheetId="12" name="metal">#REF!</definedName>
    <definedName localSheetId="39" name="ppn2.30">#REF!</definedName>
    <definedName localSheetId="6" name="Faktor">#REF!</definedName>
    <definedName localSheetId="44" name="URAIAN772c">#REF!</definedName>
    <definedName localSheetId="12" name="FORM612">#REF!</definedName>
    <definedName localSheetId="3" name="_MMM13">#REF!</definedName>
    <definedName localSheetId="3" name="URAIAN634">#REF!</definedName>
    <definedName localSheetId="20" name="papanII">#REF!</definedName>
    <definedName localSheetId="15" name="SPJa">#REF!</definedName>
    <definedName localSheetId="44" name="________MMM10">#REF!</definedName>
    <definedName localSheetId="23" name="kacacermin6">#REF!</definedName>
    <definedName localSheetId="21" name="bilikbambu">#REF!</definedName>
    <definedName localSheetId="44" name="PU">#REF!</definedName>
    <definedName localSheetId="21" name="besi8sii">#REF!</definedName>
    <definedName localSheetId="0" name="u.besi">#REF!</definedName>
    <definedName localSheetId="21" name="_________DIV3">#REF!</definedName>
    <definedName localSheetId="21" name="_____HAL8">#REF!</definedName>
    <definedName localSheetId="15" name="__MMM01">#REF!</definedName>
    <definedName localSheetId="18" name="_818PK">#REF!</definedName>
    <definedName name="pvc.2.5.Mas.d">#REF!</definedName>
    <definedName localSheetId="4" name="KTM">#REF!</definedName>
    <definedName localSheetId="4" name="plintubinwarna1030">#REF!</definedName>
    <definedName localSheetId="41" name="beton.tumbuk">#REF!</definedName>
    <definedName localSheetId="30" name="Ktbt">#REF!</definedName>
    <definedName localSheetId="9" name="URAIAN611">#REF!</definedName>
    <definedName name="_______MMM40">#REF!</definedName>
    <definedName localSheetId="33" name="Grendel">#REF!</definedName>
    <definedName localSheetId="23" name="URAIAN79mekanis">#REF!</definedName>
    <definedName localSheetId="4" name="nokgentengaspal">#REF!</definedName>
    <definedName localSheetId="3" name="URAIAN98">#REF!</definedName>
    <definedName localSheetId="11" name="LAINLAIN">#REF!</definedName>
    <definedName localSheetId="7" name="_818PK">#REF!</definedName>
    <definedName name="__DIV2">#REF!</definedName>
    <definedName localSheetId="4" name="________MMM01">#REF!</definedName>
    <definedName localSheetId="24" name="R7..">#REF!</definedName>
    <definedName localSheetId="17" name="plintkeramikartistik520">#REF!</definedName>
    <definedName localSheetId="38" name="plintkeramikartistik1020">#REF!</definedName>
    <definedName localSheetId="4" name="__HAL4">#REF!</definedName>
    <definedName localSheetId="13" name="grendel4">#REF!</definedName>
    <definedName localSheetId="40" name="________DIV10">#REF!</definedName>
    <definedName localSheetId="21" name="____HAL8">#REF!</definedName>
    <definedName localSheetId="7" name="kuncitanam">#REF!</definedName>
    <definedName localSheetId="21" name="UPAH">#REF!</definedName>
    <definedName localSheetId="32" name="kkkk">#REF!</definedName>
    <definedName localSheetId="11" name="doorholder">#REF!</definedName>
    <definedName localSheetId="44" name="________MMM20">#REF!</definedName>
    <definedName localSheetId="25" name="s.tukang">#REF!</definedName>
    <definedName localSheetId="13" name="plintubinteraso1040">#REF!</definedName>
    <definedName localSheetId="44" name="plintubinteraluxmarmer1060">#REF!</definedName>
    <definedName localSheetId="0" name="AGREGAT">#REF!</definedName>
    <definedName localSheetId="40" name="FORM7614b">#REF!</definedName>
    <definedName localSheetId="17" name="pajak">#REF!</definedName>
    <definedName localSheetId="25" name="___MMM01">#REF!</definedName>
    <definedName localSheetId="20" name="y">#REF!</definedName>
    <definedName localSheetId="12" name="rapidrant">#REF!</definedName>
    <definedName localSheetId="7" name="R86..">#REF!</definedName>
    <definedName localSheetId="4" name="dasar">#REF!</definedName>
    <definedName localSheetId="5" name="__pvc3">#REF!</definedName>
    <definedName name="karpetwooldannilon">#REF!</definedName>
    <definedName name="platasbes4mm">#REF!</definedName>
    <definedName localSheetId="17" name="waterstop230">#REF!</definedName>
    <definedName localSheetId="20" name="__MMM03">#REF!</definedName>
    <definedName localSheetId="30" name="tpipa">#REF!</definedName>
    <definedName localSheetId="11" name="UPAH">#REF!</definedName>
    <definedName localSheetId="30" name="pintualuminium">#REF!</definedName>
    <definedName localSheetId="0" name="__LLL03">#REF!</definedName>
    <definedName localSheetId="30" name="_HAL5">#REF!</definedName>
    <definedName localSheetId="41" name="FORM7614b">#REF!</definedName>
    <definedName localSheetId="13" name="pintugulungbesi">#REF!</definedName>
    <definedName localSheetId="5" name="_______HAL2">#REF!</definedName>
    <definedName localSheetId="32" name="kayuramin">#REF!</definedName>
    <definedName localSheetId="8" name="paving">#REF!</definedName>
    <definedName localSheetId="7" name="karung">#REF!</definedName>
    <definedName name="___MMM15">#REF!</definedName>
    <definedName localSheetId="38" name="aaaaa">#REF!</definedName>
    <definedName localSheetId="17" name="R21..">#REF!</definedName>
    <definedName localSheetId="4" name="URAIAN771c">#REF!</definedName>
    <definedName localSheetId="40" name="rtrt">#REF!</definedName>
    <definedName localSheetId="44" name="tegelporselen15x15warna">#REF!</definedName>
    <definedName localSheetId="17" name="___MMM34">#REF!</definedName>
    <definedName localSheetId="32" name="______DIV1">#REF!</definedName>
    <definedName localSheetId="10" name="semen50">#REF!</definedName>
    <definedName localSheetId="20" name="jamtandem">#REF!</definedName>
    <definedName localSheetId="40" name="plywood4">#REF!</definedName>
    <definedName localSheetId="39" name="FORM323L">#REF!</definedName>
    <definedName localSheetId="25" name="Faktorial">#REF!</definedName>
    <definedName localSheetId="24" name="s.tukang">#REF!</definedName>
    <definedName localSheetId="17" name="_____MMM08">#REF!</definedName>
    <definedName name="asbesgelombnang">#REF!</definedName>
    <definedName name="_____HAL8">#REF!</definedName>
    <definedName localSheetId="12" name="pakuhalus">#REF!</definedName>
    <definedName localSheetId="32" name="_MMM02">#REF!</definedName>
    <definedName localSheetId="41" name="pintusunscreenalluminium">#REF!</definedName>
    <definedName localSheetId="30" name="UTAIAN7614c">#REF!</definedName>
    <definedName localSheetId="40" name="tegelporselen10x20warna">#REF!</definedName>
    <definedName localSheetId="18" name="Tbs">#REF!</definedName>
    <definedName localSheetId="10" name="batapelapisklinker">#REF!</definedName>
    <definedName localSheetId="5" name="SUNGAI_BERTAM">#REF!</definedName>
    <definedName localSheetId="42" name="R41..">#REF!</definedName>
    <definedName localSheetId="3" name="FORM7614e">#REF!</definedName>
    <definedName localSheetId="30" name="FORM7610">#REF!</definedName>
    <definedName localSheetId="41" name="KERAMIK30">#REF!</definedName>
    <definedName localSheetId="36" name="rubbercorrugate">#REF!</definedName>
    <definedName localSheetId="8" name="beton225r">#REF!</definedName>
    <definedName localSheetId="39" name="Pengadaan">#REF!</definedName>
    <definedName localSheetId="24" name="bubungangentengkodok">#REF!</definedName>
    <definedName name="________HAL4">#REF!</definedName>
    <definedName localSheetId="24" name="_____MMM25">#REF!</definedName>
    <definedName name="R67..">#REF!</definedName>
    <definedName localSheetId="25" name="batapelapisklinker">#REF!</definedName>
    <definedName localSheetId="6" name="sengplatbjls28">#REF!</definedName>
    <definedName localSheetId="6" name="data2">#REF!</definedName>
    <definedName localSheetId="24" name="_MMM02">#REF!</definedName>
    <definedName localSheetId="13" name="w.stain">#REF!</definedName>
    <definedName localSheetId="3" name="___HAL3">#REF!</definedName>
    <definedName localSheetId="25" name="G.Kramik">#REF!</definedName>
    <definedName localSheetId="31" name="dempul">#REF!</definedName>
    <definedName localSheetId="30" name="kayualbasiah">#REF!</definedName>
    <definedName localSheetId="23" name="_818PK">#REF!</definedName>
    <definedName name="R30..">#REF!</definedName>
    <definedName localSheetId="38" name="sssssss">#REF!</definedName>
    <definedName localSheetId="30" name="Jasa">#REF!</definedName>
    <definedName localSheetId="21" name="_______MMM09">#REF!</definedName>
    <definedName localSheetId="25" name="_DIV1">#REF!</definedName>
    <definedName localSheetId="28" name="perancahkayu">#REF!</definedName>
    <definedName localSheetId="23" name="kawatsengpolos">#REF!</definedName>
    <definedName localSheetId="13" name="Gypsum">#REF!</definedName>
    <definedName localSheetId="21" name="nokpaten108">#REF!</definedName>
    <definedName localSheetId="12" name="URAIAN234L">#REF!</definedName>
    <definedName localSheetId="44" name="___LLL03">#REF!</definedName>
    <definedName localSheetId="44" name="____MMM26">#REF!</definedName>
    <definedName localSheetId="15" name="waterdrainaksesoris">#REF!</definedName>
    <definedName localSheetId="9" name="URAIAN323L">#REF!</definedName>
    <definedName localSheetId="21" name="_MMM16">#REF!</definedName>
    <definedName localSheetId="21" name="_________MMM54">#REF!</definedName>
    <definedName localSheetId="19" name="Kunci2">#REF!</definedName>
    <definedName localSheetId="38" name="PT">#REF!</definedName>
    <definedName localSheetId="11" name="kacacermin6">#REF!</definedName>
    <definedName localSheetId="7" name="SEKRETARIAT_DPRD">#REF!</definedName>
    <definedName localSheetId="39" name="b.belah">#REF!</definedName>
    <definedName localSheetId="21" name="rubbercorrugate">#REF!</definedName>
    <definedName localSheetId="19" name="d">#REF!</definedName>
    <definedName localSheetId="34" name="_________DIV10">#REF!</definedName>
    <definedName localSheetId="0" name="platasbes35mm">#REF!</definedName>
    <definedName localSheetId="44" name="R46..">#REF!</definedName>
    <definedName localSheetId="34" name="nokpaten105">#REF!</definedName>
    <definedName localSheetId="24" name="__MMM17">#REF!</definedName>
    <definedName localSheetId="39" name="p.triplek">#REF!</definedName>
    <definedName localSheetId="7" name="__MMM20">#REF!</definedName>
    <definedName localSheetId="5" name="lp">#REF!</definedName>
    <definedName localSheetId="3" name="bubungangentengpalentongbesar">#REF!</definedName>
    <definedName localSheetId="15" name="spirtus">#REF!</definedName>
    <definedName name="_______LLL01">#REF!</definedName>
    <definedName localSheetId="6" name="ppn2.30">#REF!</definedName>
    <definedName localSheetId="21" name="FORM7612a">#REF!</definedName>
    <definedName localSheetId="31" name="FORM7610">#REF!</definedName>
    <definedName localSheetId="0" name="URAIAN612">#REF!</definedName>
    <definedName localSheetId="23" name="plintubinteraluxkerang1040">#REF!</definedName>
    <definedName localSheetId="28" name="___HAL1">#REF!</definedName>
    <definedName localSheetId="39" name="SEKRETARIAT_DPRD">#REF!</definedName>
    <definedName localSheetId="15" name="aaaa">#REF!</definedName>
    <definedName localSheetId="6" name="___DIV4">#REF!</definedName>
    <definedName localSheetId="41" name="waterstop150">#REF!</definedName>
    <definedName localSheetId="25" name="pengencer">#REF!</definedName>
    <definedName name="__MMM15">#REF!</definedName>
    <definedName localSheetId="23" name="__MMM01">#REF!</definedName>
    <definedName localSheetId="4" name="_pvc105">#REF!</definedName>
    <definedName localSheetId="39" name="kunci2slag">#REF!</definedName>
    <definedName localSheetId="17" name="____MMM04">#REF!</definedName>
    <definedName localSheetId="11" name="_pvc2">#REF!</definedName>
    <definedName localSheetId="27" name="engsel4">#REF!</definedName>
    <definedName localSheetId="13" name="sdg">#REF!</definedName>
    <definedName localSheetId="17" name="________MMM40">#REF!</definedName>
    <definedName localSheetId="32" name="____MMM03">#REF!</definedName>
    <definedName localSheetId="40" name="_________HAL2">#REF!</definedName>
    <definedName localSheetId="44" name="grassblok">#REF!</definedName>
    <definedName localSheetId="12" name="papan.m.3.20">#REF!</definedName>
    <definedName localSheetId="24" name="_MMM24">#REF!</definedName>
    <definedName localSheetId="21" name="________HAL2">#REF!</definedName>
    <definedName localSheetId="21" name="URAIAN7613c">#REF!</definedName>
    <definedName localSheetId="24" name="waterstop200">#REF!</definedName>
    <definedName localSheetId="10" name="_DIV1">#REF!</definedName>
    <definedName localSheetId="7" name="MATERIAL">#REF!</definedName>
    <definedName localSheetId="38" name="pintugulungbesi">#REF!</definedName>
    <definedName localSheetId="5" name="ramset">#REF!</definedName>
    <definedName localSheetId="3" name="R18..">#REF!</definedName>
    <definedName localSheetId="8" name="plintubinteraso1030">#REF!</definedName>
    <definedName localSheetId="42" name="Jendelabesibaja">#REF!</definedName>
    <definedName localSheetId="13" name="sssssss">#REF!</definedName>
    <definedName localSheetId="4" name="URAIAN721">#REF!</definedName>
    <definedName localSheetId="36" name="_____HAL3">#REF!</definedName>
    <definedName localSheetId="23" name="___pvc05">#REF!</definedName>
    <definedName localSheetId="42" name="FORMLatasirKL">#REF!</definedName>
    <definedName localSheetId="44" name="zzz">#REF!</definedName>
    <definedName localSheetId="28" name="kayuborneo">#REF!</definedName>
    <definedName localSheetId="17" name="DUDI">#REF!</definedName>
    <definedName name="kaca5">#REF!</definedName>
    <definedName localSheetId="44" name="R64..">#REF!</definedName>
    <definedName localSheetId="44" name="_____MMM43">#REF!</definedName>
    <definedName localSheetId="18" name="pakusumbat">#REF!</definedName>
    <definedName localSheetId="9" name="catpenutup">#REF!</definedName>
    <definedName localSheetId="8" name="u">#REF!</definedName>
    <definedName localSheetId="23" name="FORM732">#REF!</definedName>
    <definedName localSheetId="5" name="seng30">#REF!</definedName>
    <definedName localSheetId="42" name="__Tl1">#REF!</definedName>
    <definedName name="____MMM25">#REF!</definedName>
    <definedName localSheetId="42" name="_pvc105">#REF!</definedName>
    <definedName localSheetId="44" name="URAIAN772a">#REF!</definedName>
    <definedName name="________MMM38">#REF!</definedName>
    <definedName localSheetId="0" name="kawatharmonika">#REF!</definedName>
    <definedName localSheetId="39" name="sealer.mowi">#REF!</definedName>
    <definedName localSheetId="44" name="_______DIV10">#REF!</definedName>
    <definedName localSheetId="25" name="pa">#REF!</definedName>
    <definedName localSheetId="23" name="URAIAN21">#REF!</definedName>
    <definedName localSheetId="15" name="pintubesibaja">#REF!</definedName>
    <definedName localSheetId="36" name="koralbeton">#REF!</definedName>
    <definedName localSheetId="3" name="____MMM16">#REF!</definedName>
    <definedName localSheetId="12" name="feltexkarpetwool">#REF!</definedName>
    <definedName localSheetId="17" name="_______MMM27">#REF!</definedName>
    <definedName localSheetId="44" name="____MMM31">#REF!</definedName>
    <definedName localSheetId="39" name="MMM17A">#REF!</definedName>
    <definedName localSheetId="28" name="SPJ">#REF!</definedName>
    <definedName name="__HAL4">#REF!</definedName>
    <definedName localSheetId="42" name="vertikalsblinds">#REF!</definedName>
    <definedName localSheetId="9" name="jurnal1">#REF!</definedName>
    <definedName localSheetId="18" name="G">#REF!</definedName>
    <definedName localSheetId="24" name="pindahan">#REF!</definedName>
    <definedName localSheetId="4" name="jamtandem">#REF!</definedName>
    <definedName localSheetId="10" name="FORM8410">#REF!</definedName>
    <definedName localSheetId="27" name="terasocor">#REF!</definedName>
    <definedName name="_______MMM51">#REF!</definedName>
    <definedName name="pvc.3.mas.d">#REF!</definedName>
    <definedName localSheetId="27" name="JA">#REF!</definedName>
    <definedName localSheetId="33" name="FORM732">#REF!</definedName>
    <definedName localSheetId="4" name="R50..">#REF!</definedName>
    <definedName localSheetId="18" name="reng">#REF!</definedName>
    <definedName localSheetId="44" name="kacacermin8">#REF!</definedName>
    <definedName localSheetId="23" name="__tl2">#REF!</definedName>
    <definedName localSheetId="17" name="feltexkarpetwool">#REF!</definedName>
    <definedName localSheetId="27" name="grendel3">#REF!</definedName>
    <definedName localSheetId="30" name="___pvc3">#REF!</definedName>
    <definedName localSheetId="8" name="Nokmetal3mm">#REF!</definedName>
    <definedName localSheetId="5" name="minyaksolar">#REF!</definedName>
    <definedName localSheetId="19" name="DAYWORKS">#REF!</definedName>
    <definedName localSheetId="0" name="ktky">#REF!</definedName>
    <definedName localSheetId="34" name="FORM621">#REF!</definedName>
    <definedName localSheetId="27" name="c.mowi.luar">#REF!</definedName>
    <definedName localSheetId="10" name="doorholder">#REF!</definedName>
    <definedName localSheetId="27" name="roll">#REF!</definedName>
    <definedName localSheetId="32" name="rtrt">#REF!</definedName>
    <definedName localSheetId="19" name="_____DIV2">#REF!</definedName>
    <definedName localSheetId="23" name="FORM771a">#REF!</definedName>
    <definedName localSheetId="17" name="s.tukang">#REF!</definedName>
    <definedName localSheetId="31" name="NAMA2">#REF!</definedName>
    <definedName localSheetId="42" name="pakuhalus">#REF!</definedName>
    <definedName localSheetId="32" name="kawatharmonika">#REF!</definedName>
    <definedName localSheetId="40" name="Analisa512">#REF!</definedName>
    <definedName localSheetId="7" name="paku5.7.10">#REF!</definedName>
    <definedName localSheetId="25" name="platasbes4mm">#REF!</definedName>
    <definedName localSheetId="44" name="B.Publik">#REF!</definedName>
    <definedName localSheetId="28" name="plintkeramikartistik520">#REF!</definedName>
    <definedName localSheetId="5" name="plintubinwarna1040">#REF!</definedName>
    <definedName localSheetId="38" name="jffhauifhauifhe">#REF!</definedName>
    <definedName name="wallpaper">#REF!</definedName>
    <definedName localSheetId="18" name="_________DIV10">#REF!</definedName>
    <definedName localSheetId="3" name="papanjelutung">#REF!</definedName>
    <definedName localSheetId="32" name="_pvc205">#REF!</definedName>
    <definedName localSheetId="24" name="PU">#REF!</definedName>
    <definedName localSheetId="31" name="Excel_BuiltIn_Print_Titles_1">#REF!</definedName>
    <definedName localSheetId="30" name="kaca3">#REF!</definedName>
    <definedName localSheetId="5" name="R31..">#REF!</definedName>
    <definedName localSheetId="38" name="___MMM01">#REF!</definedName>
    <definedName localSheetId="31" name="ubinkeramikartistik1020">#REF!</definedName>
    <definedName localSheetId="28" name="bubungangentengbesar">#REF!</definedName>
    <definedName localSheetId="31" name="amobiotic">#REF!</definedName>
    <definedName localSheetId="12" name="gypsum.prf">#REF!</definedName>
    <definedName localSheetId="24" name="_____MMM21">#REF!</definedName>
    <definedName localSheetId="4" name="teakwood9mm">#REF!</definedName>
    <definedName localSheetId="34" name="GUIIII">#REF!</definedName>
    <definedName localSheetId="19" name="Nok">#REF!</definedName>
    <definedName localSheetId="19" name="kayualbasiah">#REF!</definedName>
    <definedName localSheetId="33" name="mowi.ws">#REF!</definedName>
    <definedName localSheetId="34" name="relpintudorong">#REF!</definedName>
    <definedName localSheetId="21" name="_____MMM14">#REF!</definedName>
    <definedName localSheetId="44" name="Analisa71511">#REF!</definedName>
    <definedName localSheetId="17" name="R61..">#REF!</definedName>
    <definedName localSheetId="5" name="_pvc2">#REF!</definedName>
    <definedName localSheetId="7" name="_MMM15">#REF!</definedName>
    <definedName localSheetId="24" name="_____MMM49">#REF!</definedName>
    <definedName localSheetId="21" name="_MMM20">#REF!</definedName>
    <definedName localSheetId="17" name="seng25">#REF!</definedName>
    <definedName localSheetId="17" name="f.drain">#REF!</definedName>
    <definedName localSheetId="41" name="Papanbouplank">#REF!</definedName>
    <definedName localSheetId="20" name="rtrt">#REF!</definedName>
    <definedName localSheetId="3" name="_____DIV3">#REF!</definedName>
    <definedName localSheetId="25" name="oke">#REF!</definedName>
    <definedName localSheetId="17" name="Faktor">#REF!</definedName>
    <definedName localSheetId="4" name="JUDUL">#REF!</definedName>
    <definedName localSheetId="8" name="SSSSSSSSSSSSSSSSSSSSSSSSSSSSS">#REF!</definedName>
    <definedName localSheetId="39" name="d">#REF!</definedName>
    <definedName localSheetId="12" name="FORM66PERMUKAAN">#REF!</definedName>
    <definedName localSheetId="3" name="pasirbeton">#REF!</definedName>
    <definedName localSheetId="27" name="mlex.w">#REF!</definedName>
    <definedName localSheetId="31" name="keramik30x30">#REF!</definedName>
    <definedName localSheetId="3" name="FORM66">#REF!</definedName>
    <definedName localSheetId="18" name="Overhead">#REF!</definedName>
    <definedName localSheetId="24" name="URAIAN7614e">#REF!</definedName>
    <definedName localSheetId="36" name="__DIV4">#REF!</definedName>
    <definedName localSheetId="39" name="engselangin">#REF!</definedName>
    <definedName localSheetId="6" name="plintkeramikartistik1020">#REF!</definedName>
    <definedName localSheetId="10" name="R100..">#REF!</definedName>
    <definedName localSheetId="20" name="beton175m">#REF!</definedName>
    <definedName localSheetId="44" name="MMM35A">#REF!</definedName>
    <definedName localSheetId="3" name="sealtape">#REF!</definedName>
    <definedName localSheetId="25" name="rooflightfiibreglass">#REF!</definedName>
    <definedName localSheetId="21" name="______MMM49">#REF!</definedName>
    <definedName localSheetId="25" name="______HAL3">#REF!</definedName>
    <definedName localSheetId="33" name="kenek">#REF!</definedName>
    <definedName localSheetId="24" name="______HAL4">#REF!</definedName>
    <definedName localSheetId="38" name="JUDUL1">#REF!</definedName>
    <definedName localSheetId="13" name="URAIAN22L">#REF!</definedName>
    <definedName localSheetId="17" name="_________MMM20">#REF!</definedName>
    <definedName localSheetId="9" name="Nokmetal3mm">#REF!</definedName>
    <definedName localSheetId="20" name="_tl2">#REF!</definedName>
    <definedName localSheetId="20" name="___DIV3">#REF!</definedName>
    <definedName localSheetId="3" name="G">#REF!</definedName>
    <definedName localSheetId="0" name="vinylkaretklII">#REF!</definedName>
    <definedName localSheetId="15" name="lis">#REF!</definedName>
    <definedName localSheetId="34" name="BAJA">#REF!</definedName>
    <definedName localSheetId="44" name="kayukudakuda">#REF!</definedName>
    <definedName localSheetId="21" name="________MMM21">#REF!</definedName>
    <definedName localSheetId="25" name="psr.trs">#REF!</definedName>
    <definedName localSheetId="7" name="_______HAL5">#REF!</definedName>
    <definedName localSheetId="25" name="plastik">#REF!</definedName>
    <definedName localSheetId="42" name="sofboard">#REF!</definedName>
    <definedName localSheetId="39" name="URAIANLatasirKL">#REF!</definedName>
    <definedName localSheetId="41" name="Excel_BuiltIn_Print_Titles_2">#REF!</definedName>
    <definedName localSheetId="3" name="Ktbt">#REF!</definedName>
    <definedName localSheetId="8" name="____DIV3">#REF!</definedName>
    <definedName localSheetId="23" name="amobiotic">#REF!</definedName>
    <definedName localSheetId="39" name="plamour">#REF!</definedName>
    <definedName localSheetId="21" name="_MMM26">#REF!</definedName>
    <definedName localSheetId="32" name="seng25">#REF!</definedName>
    <definedName localSheetId="28" name="engselangin">#REF!</definedName>
    <definedName localSheetId="17" name="_________MMM19">#REF!</definedName>
    <definedName localSheetId="3" name="___MMM40">#REF!</definedName>
    <definedName localSheetId="8" name="ubinteraso30">#REF!</definedName>
    <definedName localSheetId="7" name="jurnal">#REF!</definedName>
    <definedName localSheetId="5" name="FORM632">#REF!</definedName>
    <definedName localSheetId="17" name="platasbes4mm">#REF!</definedName>
    <definedName name="sealer.vini">#REF!</definedName>
    <definedName localSheetId="42" name="u.bekisting">#REF!</definedName>
    <definedName localSheetId="11" name="________HAL2">#REF!</definedName>
    <definedName localSheetId="25" name="mapel">#REF!</definedName>
    <definedName localSheetId="44" name="vertikalsblinds">#REF!</definedName>
    <definedName localSheetId="13" name="siap1">#REF!</definedName>
    <definedName localSheetId="13" name="RINCIANSEWA2">#REF!</definedName>
    <definedName localSheetId="28" name="Gypsum">#REF!</definedName>
    <definedName localSheetId="3" name="________MMM48">#REF!</definedName>
    <definedName localSheetId="18" name="bubungangentengbesar">#REF!</definedName>
    <definedName name="_MMM12">#REF!</definedName>
    <definedName localSheetId="19" name="oemar">#REF!</definedName>
    <definedName localSheetId="27" name="minyaksolar">#REF!</definedName>
    <definedName localSheetId="34" name="paving">#REF!</definedName>
    <definedName localSheetId="17" name="asbesgelombang">#REF!</definedName>
    <definedName name="__MMM43">#REF!</definedName>
    <definedName localSheetId="42" name="UPAH">#REF!</definedName>
    <definedName localSheetId="3" name="plintubinteraso1040">#REF!</definedName>
    <definedName localSheetId="40" name="URAIAN744">#REF!</definedName>
    <definedName localSheetId="13" name="tanggal">#REF!</definedName>
    <definedName localSheetId="39" name="klosetjongkok">#REF!</definedName>
    <definedName localSheetId="7" name="Excel_BuiltIn_Print_Titles_5">#REF!</definedName>
    <definedName localSheetId="3" name="_____MMM17">#REF!</definedName>
    <definedName localSheetId="44" name="____DIV8">#REF!</definedName>
    <definedName localSheetId="33" name="plintubinteraluxmarmer1060">#REF!</definedName>
    <definedName localSheetId="13" name="R4..">#REF!</definedName>
    <definedName localSheetId="21" name="paku5.7.10">#REF!</definedName>
    <definedName localSheetId="10" name="SSSSSSSSSSSSSSSSSSSSSSSSSSSSS">#REF!</definedName>
    <definedName localSheetId="15" name="besi13">#REF!</definedName>
    <definedName localSheetId="21" name="URAIAN65">#REF!</definedName>
    <definedName localSheetId="18" name="DAYWORKS">#REF!</definedName>
    <definedName localSheetId="42" name="bubungangentengbeton">#REF!</definedName>
    <definedName localSheetId="18" name="t.sabun">#REF!</definedName>
    <definedName localSheetId="21" name="_____DIV4">#REF!</definedName>
    <definedName localSheetId="0" name="bubunganasbesnok">#REF!</definedName>
    <definedName localSheetId="5" name="________DIV2">#REF!</definedName>
    <definedName localSheetId="38" name="seng25">#REF!</definedName>
    <definedName localSheetId="32" name="kaca5">#REF!</definedName>
    <definedName localSheetId="3" name="R41..">#REF!</definedName>
    <definedName localSheetId="24" name="FORM772b">#REF!</definedName>
    <definedName localSheetId="40" name="tky">#REF!</definedName>
    <definedName localSheetId="21" name="URAIAN635A">#REF!</definedName>
    <definedName localSheetId="24" name="tegelpc20x20">#REF!</definedName>
    <definedName localSheetId="21" name="_HAL6">#REF!</definedName>
    <definedName localSheetId="38" name="R3..">#REF!</definedName>
    <definedName localSheetId="18" name="ubinteraso40">#REF!</definedName>
    <definedName localSheetId="23" name="__MMM02">#REF!</definedName>
    <definedName localSheetId="31" name="kayubulian">#REF!</definedName>
    <definedName localSheetId="0" name="KUANTITAS">#REF!</definedName>
    <definedName localSheetId="12" name="nokpaten105">#REF!</definedName>
    <definedName localSheetId="18" name="GRC">#REF!</definedName>
    <definedName localSheetId="20" name="meni.kayu">#REF!</definedName>
    <definedName localSheetId="41" name="Skrup">#REF!</definedName>
    <definedName localSheetId="5" name="ktbs">#REF!</definedName>
    <definedName localSheetId="7" name="des">#REF!</definedName>
    <definedName localSheetId="24" name="URAIAN735">#REF!</definedName>
    <definedName localSheetId="13" name="_____DIV4">#REF!</definedName>
    <definedName localSheetId="10" name="s.tukang">#REF!</definedName>
    <definedName name="_______LLL03">#REF!</definedName>
    <definedName localSheetId="24" name="dd">#REF!</definedName>
    <definedName localSheetId="10" name="_______DIV2">#REF!</definedName>
    <definedName localSheetId="24" name="paku5.7.10">#REF!</definedName>
    <definedName localSheetId="13" name="lis">#REF!</definedName>
    <definedName localSheetId="40" name="Excel_BuiltIn_Print_Titles_2">#REF!</definedName>
    <definedName localSheetId="18" name="kenek">#REF!</definedName>
    <definedName localSheetId="7" name="ABC">#REF!</definedName>
    <definedName localSheetId="30" name="___MMM01">#REF!</definedName>
    <definedName localSheetId="3" name="_pvc2">#REF!</definedName>
    <definedName localSheetId="40" name="nnnnn">#REF!</definedName>
    <definedName localSheetId="18" name="vernis">#REF!</definedName>
    <definedName localSheetId="21" name="______MMM40">#REF!</definedName>
    <definedName localSheetId="32" name="Uraian8410">#REF!</definedName>
    <definedName localSheetId="20" name="beton.tumbuk">#REF!</definedName>
    <definedName localSheetId="25" name="________MMM03">#REF!</definedName>
    <definedName localSheetId="3" name="_______DIV2">#REF!</definedName>
    <definedName localSheetId="24" name="_____MMM32">#REF!</definedName>
    <definedName localSheetId="44" name="__HAL1">#REF!</definedName>
    <definedName localSheetId="7" name="__pc40">#REF!</definedName>
    <definedName localSheetId="10" name="teakwood9mm">#REF!</definedName>
    <definedName localSheetId="28" name="pindahan">#REF!</definedName>
    <definedName localSheetId="20" name="R4..">#REF!</definedName>
    <definedName localSheetId="10" name="kacapolos3mm">#REF!</definedName>
    <definedName localSheetId="23" name="URAIAN7612c">#REF!</definedName>
    <definedName localSheetId="21" name="plintubinwarna1030">#REF!</definedName>
    <definedName localSheetId="31" name="ubingranito30">#REF!</definedName>
    <definedName localSheetId="17" name="bubungangentengbeton">#REF!</definedName>
    <definedName localSheetId="5" name="__DIV10">#REF!</definedName>
    <definedName localSheetId="15" name="batuporos">#REF!</definedName>
    <definedName localSheetId="3" name="_____MMM15">#REF!</definedName>
    <definedName localSheetId="21" name="_MMM27">#REF!</definedName>
    <definedName localSheetId="8" name="dempul">#REF!</definedName>
    <definedName localSheetId="5" name="teakwood4mm">#REF!</definedName>
    <definedName localSheetId="32" name="R100..">#REF!</definedName>
    <definedName localSheetId="36" name="URAIAN732">#REF!</definedName>
    <definedName localSheetId="17" name="______HAL2">#REF!</definedName>
    <definedName localSheetId="5" name="FORM79manual">#REF!</definedName>
    <definedName name="Analisa631">#REF!</definedName>
    <definedName localSheetId="34" name="kunci2slag">#REF!</definedName>
    <definedName localSheetId="5" name="bjls25">#REF!</definedName>
    <definedName localSheetId="32" name="________HAL2">#REF!</definedName>
    <definedName localSheetId="33" name="MATERIAL">#REF!</definedName>
    <definedName localSheetId="28" name="catmeni">#REF!</definedName>
    <definedName localSheetId="25" name="SEKRETARIAT_DPRD">#REF!</definedName>
    <definedName localSheetId="13" name="bjls30">#REF!</definedName>
    <definedName localSheetId="25" name="grendeltanam">#REF!</definedName>
    <definedName localSheetId="9" name="R6..">#REF!</definedName>
    <definedName localSheetId="7" name="_______MMM01">#REF!</definedName>
    <definedName localSheetId="18" name="_pp1">#REF!</definedName>
    <definedName localSheetId="7" name="tegelporselen15x15">#REF!</definedName>
    <definedName localSheetId="9" name="_________MMM02">#REF!</definedName>
    <definedName localSheetId="33" name="doorstop">#REF!</definedName>
    <definedName localSheetId="20" name="mm">#REF!</definedName>
    <definedName localSheetId="21" name="KUANTITAS">#REF!</definedName>
    <definedName localSheetId="7" name="___MMM51">#REF!</definedName>
    <definedName localSheetId="3" name="springknip">#REF!</definedName>
    <definedName localSheetId="44" name="k.40.40.roman.crk">#REF!</definedName>
    <definedName localSheetId="30" name="MAI">#REF!</definedName>
    <definedName localSheetId="17" name="engselangin">#REF!</definedName>
    <definedName localSheetId="23" name="URAIAN7613c">#REF!</definedName>
    <definedName localSheetId="31" name="R4..">#REF!</definedName>
    <definedName localSheetId="3" name="kawatharmonika">#REF!</definedName>
    <definedName localSheetId="40" name="DAYWORKS">#REF!</definedName>
    <definedName localSheetId="7" name="kd_daerah">#REF!</definedName>
    <definedName localSheetId="7" name="_______MMM52">#REF!</definedName>
    <definedName localSheetId="21" name="R103..">#REF!</definedName>
    <definedName localSheetId="38" name="gypsum.prf">#REF!</definedName>
    <definedName localSheetId="41" name="papanjelutung">#REF!</definedName>
    <definedName localSheetId="24" name="URAIAN7614a">#REF!</definedName>
    <definedName localSheetId="34" name="FORM611">#REF!</definedName>
    <definedName localSheetId="30" name="pakusirap">#REF!</definedName>
    <definedName localSheetId="7" name="_______MMM41">#REF!</definedName>
    <definedName localSheetId="7" name="_____MMM16">#REF!</definedName>
    <definedName name="Faktor">#REF!</definedName>
    <definedName localSheetId="23" name="feltexkarpetwool">#REF!</definedName>
    <definedName localSheetId="3" name="_________MMM36">#REF!</definedName>
    <definedName localSheetId="7" name="_______MMM25">#REF!</definedName>
    <definedName localSheetId="41" name="jurnal1">#REF!</definedName>
    <definedName localSheetId="23" name="DSSDD">#REF!</definedName>
    <definedName localSheetId="31" name="kayukelas2">#REF!</definedName>
    <definedName localSheetId="36" name="parquetjati">#REF!</definedName>
    <definedName localSheetId="24" name="jj">#REF!</definedName>
    <definedName localSheetId="36" name="__HAL5">#REF!</definedName>
    <definedName name="Print_Area_MI">#REF!</definedName>
    <definedName localSheetId="18" name="aa">#REF!</definedName>
    <definedName localSheetId="0" name="_____MMM01">#REF!</definedName>
    <definedName localSheetId="40" name="FORM621">#REF!</definedName>
    <definedName localSheetId="17" name="____MMM35">#REF!</definedName>
    <definedName localSheetId="25" name="floorhardenermastercron">#REF!</definedName>
    <definedName localSheetId="3" name="____HAL4">#REF!</definedName>
    <definedName localSheetId="24" name="________MMM40">#REF!</definedName>
    <definedName localSheetId="19" name="pagarseng2m">#REF!</definedName>
    <definedName localSheetId="25" name="flordrain">#REF!</definedName>
    <definedName localSheetId="3" name="_____MMM28">#REF!</definedName>
    <definedName localSheetId="15" name="jamtandem">#REF!</definedName>
    <definedName localSheetId="21" name="kd_daerah">#REF!</definedName>
    <definedName localSheetId="5" name="flordrain">#REF!</definedName>
    <definedName localSheetId="11" name="GRC">#REF!</definedName>
    <definedName localSheetId="44" name="kayujati">#REF!</definedName>
    <definedName localSheetId="31" name="FORM66PERMUKAAN">#REF!</definedName>
    <definedName localSheetId="27" name="Tbt">#REF!</definedName>
    <definedName localSheetId="5" name="cghj">#REF!</definedName>
    <definedName localSheetId="17" name="ramset">#REF!</definedName>
    <definedName localSheetId="17" name="__MMM04">#REF!</definedName>
    <definedName localSheetId="11" name="w.stain">#REF!</definedName>
    <definedName localSheetId="11" name="Closet.ddk">#REF!</definedName>
    <definedName localSheetId="15" name="flordrain">#REF!</definedName>
    <definedName localSheetId="10" name="kiki">#REF!</definedName>
    <definedName name="____LLL08">#REF!</definedName>
    <definedName localSheetId="11" name="_HAL1">#REF!</definedName>
    <definedName localSheetId="25" name="_818FA">#REF!</definedName>
    <definedName localSheetId="44" name="______MMM21">#REF!</definedName>
    <definedName localSheetId="24" name="______HAL8">#REF!</definedName>
    <definedName localSheetId="8" name="_pc40">#REF!</definedName>
    <definedName localSheetId="15" name="sealer">#REF!</definedName>
    <definedName localSheetId="24" name="___HAL3">#REF!</definedName>
    <definedName localSheetId="32" name="_____DIV4">#REF!</definedName>
    <definedName localSheetId="11" name="URAIAN7613b">#REF!</definedName>
    <definedName localSheetId="30" name="rubbercorrugate">#REF!</definedName>
    <definedName localSheetId="5" name="rooflightfiibreglass">#REF!</definedName>
    <definedName localSheetId="7" name="sealer">#REF!</definedName>
    <definedName localSheetId="20" name="____DIV4">#REF!</definedName>
    <definedName localSheetId="0" name="kayutembesu">#REF!</definedName>
    <definedName name="rapidrant">#REF!</definedName>
    <definedName localSheetId="44" name="R58..">#REF!</definedName>
    <definedName localSheetId="6" name="residu">#REF!</definedName>
    <definedName localSheetId="3" name="FORM772d">#REF!</definedName>
    <definedName localSheetId="13" name="_______HAL3">#REF!</definedName>
    <definedName localSheetId="24" name="_HAL8">#REF!</definedName>
    <definedName localSheetId="17" name="Batupuru">#REF!</definedName>
    <definedName localSheetId="33" name="kayuterentang">#REF!</definedName>
    <definedName localSheetId="3" name="gali">#REF!</definedName>
    <definedName localSheetId="30" name="badkip">#REF!</definedName>
    <definedName localSheetId="44" name="___HAL4">#REF!</definedName>
    <definedName name="___MMM54">#REF!</definedName>
    <definedName localSheetId="27" name="keramik30x30">#REF!</definedName>
    <definedName localSheetId="7" name="Pengadaan">#REF!</definedName>
    <definedName localSheetId="40" name="________DIV4">#REF!</definedName>
    <definedName localSheetId="4" name="KUANTITAS">#REF!</definedName>
    <definedName localSheetId="17" name="PTJW">#REF!</definedName>
    <definedName localSheetId="41" name="plintubingranito1030">#REF!</definedName>
    <definedName localSheetId="33" name="bubunganasbesgelombang">#REF!</definedName>
    <definedName localSheetId="33" name="_HAL5">#REF!</definedName>
    <definedName localSheetId="9" name="_________MMM03">#REF!</definedName>
    <definedName localSheetId="30" name="Uraian8410">#REF!</definedName>
    <definedName localSheetId="38" name="ubinkeramikartistik1010">#REF!</definedName>
    <definedName localSheetId="24" name="URAIAN234L">#REF!</definedName>
    <definedName localSheetId="18" name="__DIV1">#REF!</definedName>
    <definedName localSheetId="31" name="namaabsen">#REF!</definedName>
    <definedName localSheetId="8" name="pijar15">#REF!</definedName>
    <definedName localSheetId="19" name="sealer">#REF!</definedName>
    <definedName localSheetId="33" name="hcs">#REF!</definedName>
    <definedName localSheetId="3" name="yyyyyyy">#REF!</definedName>
    <definedName localSheetId="21" name="besi13">#REF!</definedName>
    <definedName localSheetId="21" name="_________MMM16">#REF!</definedName>
    <definedName localSheetId="17" name="R14..">#REF!</definedName>
    <definedName localSheetId="28" name="marmer">#REF!</definedName>
    <definedName localSheetId="34" name="vinylkaretklII">#REF!</definedName>
    <definedName localSheetId="11" name="atapaluminiumgelombang055">#REF!</definedName>
    <definedName localSheetId="21" name="___pvc05">#REF!</definedName>
    <definedName localSheetId="23" name="bbm">#REF!</definedName>
    <definedName localSheetId="3" name="batapelapisklinker">#REF!</definedName>
    <definedName localSheetId="27" name="__pvc2">#REF!</definedName>
    <definedName localSheetId="18" name="GUIIII">#REF!</definedName>
    <definedName localSheetId="17" name="_HAL1">#REF!</definedName>
    <definedName name="______MMM46">#REF!</definedName>
    <definedName localSheetId="15" name="oke">#REF!</definedName>
    <definedName localSheetId="7" name="tegelporselen11x11warna">#REF!</definedName>
    <definedName localSheetId="32" name="FORM7613a">#REF!</definedName>
    <definedName localSheetId="13" name="sodaapi">#REF!</definedName>
    <definedName localSheetId="10" name="_________MMM03">#REF!</definedName>
    <definedName localSheetId="12" name="bondbeam">#REF!</definedName>
    <definedName localSheetId="7" name="___MMM14">#REF!</definedName>
    <definedName localSheetId="44" name="__MMM44">#REF!</definedName>
    <definedName localSheetId="4" name="beton.225m">#REF!</definedName>
    <definedName localSheetId="27" name="bubungangentengbeton">#REF!</definedName>
    <definedName localSheetId="25" name="Analisa511">#REF!</definedName>
    <definedName localSheetId="44" name="plintubinteraso1030">#REF!</definedName>
    <definedName localSheetId="34" name="kacacermin5">#REF!</definedName>
    <definedName name="_LLL02">#REF!</definedName>
    <definedName localSheetId="17" name="______MMM49">#REF!</definedName>
    <definedName localSheetId="19" name="______MMM01">#REF!</definedName>
    <definedName localSheetId="13" name="kenek">#REF!</definedName>
    <definedName localSheetId="34" name="plintubinteraso1030">#REF!</definedName>
    <definedName localSheetId="33" name="batapelapisklinker">#REF!</definedName>
    <definedName localSheetId="33" name="DFFFGGG">#REF!</definedName>
    <definedName localSheetId="19" name="ubinkeramik1033">#REF!</definedName>
    <definedName localSheetId="40" name="formica">#REF!</definedName>
    <definedName localSheetId="21" name="URAIAN623">#REF!</definedName>
    <definedName name="gentengbeton">#REF!</definedName>
    <definedName localSheetId="0" name="URAIAN731">#REF!</definedName>
    <definedName localSheetId="33" name="ubinkeramikartistik1020">#REF!</definedName>
    <definedName localSheetId="42" name="STRUKTUR">#REF!</definedName>
    <definedName localSheetId="6" name="urugantanah">#REF!</definedName>
    <definedName name="____MMM12">#REF!</definedName>
    <definedName localSheetId="12" name="kayubulian">#REF!</definedName>
    <definedName localSheetId="3" name="FORM845">#REF!</definedName>
    <definedName localSheetId="44" name="_________MMM35">#REF!</definedName>
    <definedName localSheetId="7" name="Excel_BuiltIn_Print_Titles_2">#REF!</definedName>
    <definedName localSheetId="40" name="lem">#REF!</definedName>
    <definedName localSheetId="36" name="ubinwarna20">#REF!</definedName>
    <definedName localSheetId="25" name="hcs">#REF!</definedName>
    <definedName localSheetId="20" name="spirtus">#REF!</definedName>
    <definedName localSheetId="0" name="R50..">#REF!</definedName>
    <definedName localSheetId="17" name="R108..">#REF!</definedName>
    <definedName localSheetId="20" name="_____HAL3">#REF!</definedName>
    <definedName localSheetId="17" name="_MMM13">#REF!</definedName>
    <definedName localSheetId="17" name="_____MMM33">#REF!</definedName>
    <definedName name="_____MMM36">#REF!</definedName>
    <definedName localSheetId="3" name="______HAL3">#REF!</definedName>
    <definedName localSheetId="17" name="___HAL6">#REF!</definedName>
    <definedName localSheetId="17" name="________DIV7">#REF!</definedName>
    <definedName localSheetId="24" name="______MMM19">#REF!</definedName>
    <definedName localSheetId="31" name="MAI">#REF!</definedName>
    <definedName localSheetId="33" name="besi13">#REF!</definedName>
    <definedName localSheetId="7" name="mm">#REF!</definedName>
    <definedName localSheetId="6" name="_________HAL2">#REF!</definedName>
    <definedName localSheetId="3" name="FORM911">#REF!</definedName>
    <definedName localSheetId="21" name="FORMLatasirKL">#REF!</definedName>
    <definedName localSheetId="42" name="waterstop150">#REF!</definedName>
    <definedName localSheetId="33" name="roster">#REF!</definedName>
    <definedName localSheetId="13" name="Closet.c420">#REF!</definedName>
    <definedName localSheetId="4" name="plintkeramikartistik1020">#REF!</definedName>
    <definedName localSheetId="7" name="klosetjongkok">#REF!</definedName>
    <definedName localSheetId="6" name="kalkarium">#REF!</definedName>
    <definedName localSheetId="44" name="tbkr">#REF!</definedName>
    <definedName localSheetId="25" name="water.prof">#REF!</definedName>
    <definedName localSheetId="41" name="paving">#REF!</definedName>
    <definedName localSheetId="0" name="u.bekisting">#REF!</definedName>
    <definedName localSheetId="13" name="_______MMM02">#REF!</definedName>
    <definedName localSheetId="21" name="______MMM19">#REF!</definedName>
    <definedName localSheetId="3" name="FORM7613a">#REF!</definedName>
    <definedName name="mowi.ws">#REF!</definedName>
    <definedName localSheetId="21" name="plintubinteraluxmarmer1040">#REF!</definedName>
    <definedName localSheetId="21" name="LAP">#REF!</definedName>
    <definedName localSheetId="17" name="wallpaper">#REF!</definedName>
    <definedName localSheetId="11" name="URAIAN631">#REF!</definedName>
    <definedName localSheetId="20" name="________MMM01">#REF!</definedName>
    <definedName localSheetId="30" name="besi13u">#REF!</definedName>
    <definedName localSheetId="9" name="gentengaspal">#REF!</definedName>
    <definedName localSheetId="18" name="_kop6">#REF!</definedName>
    <definedName name="G">#REF!</definedName>
    <definedName localSheetId="15" name="URAIAN22L">#REF!</definedName>
    <definedName localSheetId="0" name="R5..">#REF!</definedName>
    <definedName localSheetId="6" name="papan.m.3.20">#REF!</definedName>
    <definedName localSheetId="7" name="karpet">#REF!</definedName>
    <definedName localSheetId="32" name="c.mowi.dlm">#REF!</definedName>
    <definedName localSheetId="5" name="_____HAL1">#REF!</definedName>
    <definedName localSheetId="40" name="beton225r">#REF!</definedName>
    <definedName localSheetId="17" name="____MMM16">#REF!</definedName>
    <definedName localSheetId="44" name="URAIAN99">#REF!</definedName>
    <definedName localSheetId="33" name="__MMM03">#REF!</definedName>
    <definedName localSheetId="4" name="nnnnn">#REF!</definedName>
    <definedName localSheetId="30" name="eeeeee">#REF!</definedName>
    <definedName localSheetId="8" name="UPAH">#REF!</definedName>
    <definedName localSheetId="42" name="DUDI">#REF!</definedName>
    <definedName localSheetId="40" name="B.Aparatur">#REF!</definedName>
    <definedName localSheetId="38" name="u">#REF!</definedName>
    <definedName localSheetId="24" name="FORM771a">#REF!</definedName>
    <definedName localSheetId="19" name="FORMLatasirKL">#REF!</definedName>
    <definedName localSheetId="19" name="DUDI">#REF!</definedName>
    <definedName localSheetId="13" name="URAIAN633">#REF!</definedName>
    <definedName localSheetId="32" name="__LLL02">#REF!</definedName>
    <definedName localSheetId="44" name="URAIAN772b">#REF!</definedName>
    <definedName name="pakuhak15cm">#REF!</definedName>
    <definedName localSheetId="13" name="FORM323L">#REF!</definedName>
    <definedName localSheetId="19" name="Grendel">#REF!</definedName>
    <definedName localSheetId="11" name="_KOP7">#REF!</definedName>
    <definedName localSheetId="44" name="___LLL08">#REF!</definedName>
    <definedName localSheetId="12" name="kompresor">#REF!</definedName>
    <definedName localSheetId="21" name="SPJa">#REF!</definedName>
    <definedName localSheetId="25" name="pakugypsum">#REF!</definedName>
    <definedName localSheetId="3" name="FORM919">#REF!</definedName>
    <definedName localSheetId="19" name="cghj">#REF!</definedName>
    <definedName localSheetId="31" name="Tbs">#REF!</definedName>
    <definedName name="_____HAL2">#REF!</definedName>
    <definedName localSheetId="24" name="_________HAL2">#REF!</definedName>
    <definedName localSheetId="40" name="FORM744">#REF!</definedName>
    <definedName localSheetId="28" name="______DIV10">#REF!</definedName>
    <definedName localSheetId="41" name="e">#REF!</definedName>
    <definedName localSheetId="44" name="psr.trs">#REF!</definedName>
    <definedName localSheetId="19" name="batuporos">#REF!</definedName>
    <definedName localSheetId="36" name="Z">#REF!</definedName>
    <definedName localSheetId="13" name="FORM721">#REF!</definedName>
    <definedName localSheetId="32" name="btn">#REF!</definedName>
    <definedName localSheetId="3" name="__pvc105">#REF!</definedName>
    <definedName localSheetId="44" name="ppn3.30">#REF!</definedName>
    <definedName localSheetId="25" name="kkkk">#REF!</definedName>
    <definedName localSheetId="36" name="FORMLatasirKL">#REF!</definedName>
    <definedName localSheetId="18" name="__MMM03">#REF!</definedName>
    <definedName localSheetId="32" name="________HAL1">#REF!</definedName>
    <definedName localSheetId="7" name="tempatcucipiring">#REF!</definedName>
    <definedName localSheetId="38" name="gentengdecrabond">#REF!</definedName>
    <definedName localSheetId="5" name="profilalumuniumT">#REF!</definedName>
    <definedName localSheetId="3" name="FORM641L">#REF!</definedName>
    <definedName localSheetId="4" name="____HAL2">#REF!</definedName>
    <definedName localSheetId="25" name="________HAL3">#REF!</definedName>
    <definedName localSheetId="23" name="k.40.40.roman.crk">#REF!</definedName>
    <definedName localSheetId="3" name="R5..">#REF!</definedName>
    <definedName localSheetId="25" name="yyyyyyy">#REF!</definedName>
    <definedName localSheetId="31" name="beton.tumbuk">#REF!</definedName>
    <definedName name="_____HAL5">#REF!</definedName>
    <definedName localSheetId="18" name="______DIV4">#REF!</definedName>
    <definedName localSheetId="11" name="asbesgelombang">#REF!</definedName>
    <definedName localSheetId="21" name="FORM635">#REF!</definedName>
    <definedName localSheetId="24" name="URAIAN771d">#REF!</definedName>
    <definedName localSheetId="39" name="besijaringkawatbaja">#REF!</definedName>
    <definedName localSheetId="7" name="_____MMM08">#REF!</definedName>
    <definedName localSheetId="5" name="beton175R">#REF!</definedName>
    <definedName localSheetId="7" name="badkip">#REF!</definedName>
    <definedName localSheetId="25" name="nnnnn">#REF!</definedName>
    <definedName localSheetId="17" name="R84..">#REF!</definedName>
    <definedName localSheetId="25" name="_____DIV4">#REF!</definedName>
    <definedName localSheetId="9" name="psr.trs">#REF!</definedName>
    <definedName localSheetId="32" name="hollowblok">#REF!</definedName>
    <definedName localSheetId="28" name="hcs">#REF!</definedName>
    <definedName localSheetId="32" name="_________HAL1">#REF!</definedName>
    <definedName localSheetId="17" name="_________MMM09">#REF!</definedName>
    <definedName localSheetId="3" name="___HAL6">#REF!</definedName>
    <definedName localSheetId="11" name="he">#REF!</definedName>
    <definedName localSheetId="3" name="Analisa634">#REF!</definedName>
    <definedName localSheetId="13" name="__pvc205">#REF!</definedName>
    <definedName localSheetId="21" name="k.lnt.rmn.20.20.pls">#REF!</definedName>
    <definedName localSheetId="27" name="_DIV2">#REF!</definedName>
    <definedName localSheetId="23" name="NAMA2">#REF!</definedName>
    <definedName localSheetId="39" name="w.stain">#REF!</definedName>
    <definedName localSheetId="31" name="PT">#REF!</definedName>
    <definedName localSheetId="3" name="k.ddg.20.25.rmn.crk">#REF!</definedName>
    <definedName localSheetId="7" name="semenwarna">#REF!</definedName>
    <definedName localSheetId="41" name="RoolingdoorAlumunium">#REF!</definedName>
    <definedName localSheetId="7" name="_______MMM08">#REF!</definedName>
    <definedName localSheetId="38" name="medan3.4">#REF!</definedName>
    <definedName localSheetId="42" name="strorox">#REF!</definedName>
    <definedName localSheetId="27" name="Analisa511">#REF!</definedName>
    <definedName localSheetId="9" name="platasbes35mm">#REF!</definedName>
    <definedName localSheetId="4" name="bakkontrol">#REF!</definedName>
    <definedName localSheetId="11" name="PT">#REF!</definedName>
    <definedName localSheetId="32" name="eeeeee">#REF!</definedName>
    <definedName localSheetId="9" name="beton.225m">#REF!</definedName>
    <definedName localSheetId="3" name="______MMM26">#REF!</definedName>
    <definedName localSheetId="44" name="_________MMM24">#REF!</definedName>
    <definedName localSheetId="5" name="__tl2">#REF!</definedName>
    <definedName localSheetId="36" name="aaaaa">#REF!</definedName>
    <definedName localSheetId="24" name="R95..">#REF!</definedName>
    <definedName localSheetId="9" name="ubingranito40">#REF!</definedName>
    <definedName localSheetId="21" name="_MMM21">#REF!</definedName>
    <definedName localSheetId="42" name="plintubinteraluxmarmer1030">#REF!</definedName>
    <definedName localSheetId="21" name="rtrt">#REF!</definedName>
    <definedName localSheetId="30" name="Tbt">#REF!</definedName>
    <definedName name="_MMM411">#REF!</definedName>
    <definedName localSheetId="41" name="catmeni">#REF!</definedName>
    <definedName localSheetId="5" name="gmp">#REF!</definedName>
    <definedName localSheetId="5" name="ubinkeramikartistik1020">#REF!</definedName>
    <definedName localSheetId="10" name="bjls25">#REF!</definedName>
    <definedName localSheetId="11" name="UP">#REF!</definedName>
    <definedName localSheetId="24" name="kayukudakuda">#REF!</definedName>
    <definedName localSheetId="7" name="FORM79manual">#REF!</definedName>
    <definedName localSheetId="3" name="URAIAN622">#REF!</definedName>
    <definedName localSheetId="20" name="vernis">#REF!</definedName>
    <definedName localSheetId="8" name="lem">#REF!</definedName>
    <definedName localSheetId="30" name="ASET">#REF!</definedName>
    <definedName localSheetId="17" name="________MMM54">#REF!</definedName>
    <definedName localSheetId="5" name="URAIAN22L">#REF!</definedName>
    <definedName localSheetId="7" name="FORM914">#REF!</definedName>
    <definedName localSheetId="12" name="kalkarium">#REF!</definedName>
    <definedName localSheetId="25" name="Print_Area_MI">#REF!</definedName>
    <definedName localSheetId="6" name="tegel20">#REF!</definedName>
    <definedName localSheetId="44" name="tegelplinpc10x20">#REF!</definedName>
    <definedName localSheetId="11" name="___pvc105">#REF!</definedName>
    <definedName localSheetId="44" name="FORM7613c">#REF!</definedName>
    <definedName localSheetId="38" name="jurnal">#REF!</definedName>
    <definedName localSheetId="33" name="gypsum.prf">#REF!</definedName>
    <definedName localSheetId="9" name="HP">#REF!</definedName>
    <definedName name="___MMM53">#REF!</definedName>
    <definedName localSheetId="12" name="aaaa">#REF!</definedName>
    <definedName localSheetId="24" name="_______MMM21">#REF!</definedName>
    <definedName localSheetId="7" name="_MMM34">#REF!</definedName>
    <definedName localSheetId="44" name="GRC">#REF!</definedName>
    <definedName name="kacapolos5mm">#REF!</definedName>
    <definedName localSheetId="39" name="_____HAL2">#REF!</definedName>
    <definedName localSheetId="33" name="batuteraso">#REF!</definedName>
    <definedName localSheetId="27" name="y">#REF!</definedName>
    <definedName localSheetId="8" name="marmer">#REF!</definedName>
    <definedName localSheetId="19" name="Excel_BuiltIn_Print_Area_10">#REF!</definedName>
    <definedName localSheetId="40" name="split1.2">#REF!</definedName>
    <definedName localSheetId="20" name="plintubinwarna1030">#REF!</definedName>
    <definedName localSheetId="8" name="besipresstressedpolos">#REF!</definedName>
    <definedName localSheetId="7" name="Print_title">#REF!</definedName>
    <definedName localSheetId="44" name="R69..">#REF!</definedName>
    <definedName localSheetId="44" name="Analisa70105">#REF!</definedName>
    <definedName localSheetId="39" name="eeeeee">#REF!</definedName>
    <definedName localSheetId="10" name="eeeeee">#REF!</definedName>
    <definedName name="____MMM14">#REF!</definedName>
    <definedName localSheetId="23" name="ls">#REF!</definedName>
    <definedName localSheetId="21" name="hcs">#REF!</definedName>
    <definedName localSheetId="3" name="SPJ">#REF!</definedName>
    <definedName localSheetId="36" name="f.drain">#REF!</definedName>
    <definedName name="JL_NAS">#REF!</definedName>
    <definedName localSheetId="5" name="FORM7613c">#REF!</definedName>
    <definedName localSheetId="17" name="SusunanOrg">#REF!</definedName>
    <definedName localSheetId="21" name="____MMM19">#REF!</definedName>
    <definedName localSheetId="7" name="FORM911">#REF!</definedName>
    <definedName localSheetId="44" name="__pvc205">#REF!</definedName>
    <definedName localSheetId="24" name="kawatsengpolos">#REF!</definedName>
    <definedName localSheetId="32" name="list">#REF!</definedName>
    <definedName localSheetId="3" name="________MMM19">#REF!</definedName>
    <definedName localSheetId="42" name="pakubiasa">#REF!</definedName>
    <definedName localSheetId="23" name="Analisa511">#REF!</definedName>
    <definedName localSheetId="7" name="_____MMM03">#REF!</definedName>
    <definedName localSheetId="24" name="______MMM14">#REF!</definedName>
    <definedName localSheetId="41" name="papan.m.3.20">#REF!</definedName>
    <definedName localSheetId="21" name="________HAL8">#REF!</definedName>
    <definedName name="tegelteraso30x30">#REF!</definedName>
    <definedName localSheetId="10" name="ppn.m.3.20.serut">#REF!</definedName>
    <definedName localSheetId="0" name="bakcuciteraso">#REF!</definedName>
    <definedName localSheetId="40" name="batacote">#REF!</definedName>
    <definedName localSheetId="11" name="_____MMM01">#REF!</definedName>
    <definedName localSheetId="27" name="Aluminium">#REF!</definedName>
    <definedName localSheetId="31" name="plamour">#REF!</definedName>
    <definedName localSheetId="0" name="sealent">#REF!</definedName>
    <definedName localSheetId="39" name="_____MMM03">#REF!</definedName>
    <definedName localSheetId="10" name="URAIAN7613a">#REF!</definedName>
    <definedName localSheetId="18" name="ubinkeramikartistik1010">#REF!</definedName>
    <definedName localSheetId="4" name="pipabeton">#REF!</definedName>
    <definedName localSheetId="31" name="terasocor">#REF!</definedName>
    <definedName localSheetId="30" name="FORM744">#REF!</definedName>
    <definedName localSheetId="32" name="tes">#REF!</definedName>
    <definedName localSheetId="0" name="DSSDD">#REF!</definedName>
    <definedName localSheetId="21" name="_____MMM04">#REF!</definedName>
    <definedName localSheetId="7" name="______MMM33">#REF!</definedName>
    <definedName localSheetId="38" name="_LLL03">#REF!</definedName>
    <definedName localSheetId="44" name="__DIV4">#REF!</definedName>
    <definedName localSheetId="33" name="ubinwarna30">#REF!</definedName>
    <definedName localSheetId="21" name="_________LLL05">#REF!</definedName>
    <definedName localSheetId="36" name="f">#REF!</definedName>
    <definedName localSheetId="31" name="___pc50">#REF!</definedName>
    <definedName localSheetId="4" name="plintubinteraluxmarmer1040">#REF!</definedName>
    <definedName localSheetId="3" name="coveartistik">#REF!</definedName>
    <definedName localSheetId="0" name="kacapolos3mm">#REF!</definedName>
    <definedName localSheetId="20" name="FORM7614b">#REF!</definedName>
    <definedName localSheetId="19" name="batupecah">#REF!</definedName>
    <definedName localSheetId="31" name="Fak">#REF!</definedName>
    <definedName localSheetId="5" name="kuas">#REF!</definedName>
    <definedName localSheetId="11" name="Closet.c420">#REF!</definedName>
    <definedName localSheetId="39" name="______DIV2">#REF!</definedName>
    <definedName localSheetId="38" name="catmeni">#REF!</definedName>
    <definedName localSheetId="11" name="kayumarsawa">#REF!</definedName>
    <definedName localSheetId="21" name="feltexkarpetwool">#REF!</definedName>
    <definedName localSheetId="18" name="pakusirap">#REF!</definedName>
    <definedName localSheetId="44" name="kunciselot">#REF!</definedName>
    <definedName localSheetId="32" name="kacawireglass5">#REF!</definedName>
    <definedName localSheetId="11" name="sunloid">#REF!</definedName>
    <definedName localSheetId="27" name="Faktorial">#REF!</definedName>
    <definedName localSheetId="21" name="________DIV1">#REF!</definedName>
    <definedName localSheetId="17" name="____MMM27">#REF!</definedName>
    <definedName localSheetId="8" name="bilikbambu">#REF!</definedName>
    <definedName localSheetId="20" name="tl2x40">#REF!</definedName>
    <definedName localSheetId="8" name="R51..">#REF!</definedName>
    <definedName localSheetId="18" name="karpetwooldannilon">#REF!</definedName>
    <definedName localSheetId="30" name="FORM771b">#REF!</definedName>
    <definedName localSheetId="6" name="pipagalvanis">#REF!</definedName>
    <definedName localSheetId="21" name="_________MMM20">#REF!</definedName>
    <definedName localSheetId="7" name="w">#REF!</definedName>
    <definedName localSheetId="9" name="__HAL5">#REF!</definedName>
    <definedName localSheetId="31" name="plintubinteraso1030">#REF!</definedName>
    <definedName localSheetId="21" name="Grendel">#REF!</definedName>
    <definedName localSheetId="11" name="_MMM01">#REF!</definedName>
    <definedName name="drkeet">#REF!</definedName>
    <definedName localSheetId="18" name="seng30">#REF!</definedName>
    <definedName localSheetId="38" name="FORM633">#REF!</definedName>
    <definedName name="URAIAN65">#REF!</definedName>
    <definedName localSheetId="17" name="________HAL5">#REF!</definedName>
    <definedName localSheetId="31" name="catpenutup">#REF!</definedName>
    <definedName localSheetId="27" name="_____HAL3">#REF!</definedName>
    <definedName localSheetId="28" name="Uraian841">#REF!</definedName>
    <definedName localSheetId="44" name="____LLL07">#REF!</definedName>
    <definedName localSheetId="6" name="URAIAN7613b">#REF!</definedName>
    <definedName localSheetId="3" name="________DIV3">#REF!</definedName>
    <definedName localSheetId="25" name="multi.18">#REF!</definedName>
    <definedName localSheetId="19" name="gypsum.9">#REF!</definedName>
    <definedName localSheetId="19" name="plintubinkeramikartistik1020">#REF!</definedName>
    <definedName localSheetId="21" name="Analisa633">#REF!</definedName>
    <definedName localSheetId="4" name="u.besi">#REF!</definedName>
    <definedName localSheetId="8" name="_________HAL3">#REF!</definedName>
    <definedName localSheetId="24" name="URAIAN">#REF!</definedName>
    <definedName localSheetId="17" name="______LLL04">#REF!</definedName>
    <definedName localSheetId="41" name="JUDUL">#REF!</definedName>
    <definedName localSheetId="17" name="___HAL3">#REF!</definedName>
    <definedName localSheetId="25" name="BPS">#REF!</definedName>
    <definedName localSheetId="24" name="______MMM30">#REF!</definedName>
    <definedName localSheetId="9" name="pakuhalus">#REF!</definedName>
    <definedName localSheetId="3" name="_____MMM23">#REF!</definedName>
    <definedName localSheetId="33" name="FORM611">#REF!</definedName>
    <definedName localSheetId="12" name="tegelplin20x20">#REF!</definedName>
    <definedName localSheetId="44" name="___pvc205">#REF!</definedName>
    <definedName localSheetId="39" name="FORM745">#REF!</definedName>
    <definedName localSheetId="7" name="FORM7613a">#REF!</definedName>
    <definedName localSheetId="33" name="kayuborneo">#REF!</definedName>
    <definedName localSheetId="0" name="bubungangentengbesar">#REF!</definedName>
    <definedName localSheetId="33" name="bouwplnk">#REF!</definedName>
    <definedName localSheetId="44" name="_________MMM08">#REF!</definedName>
    <definedName localSheetId="21" name="_____DIV3">#REF!</definedName>
    <definedName localSheetId="3" name="________MMM34">#REF!</definedName>
    <definedName localSheetId="7" name="FORM733">#REF!</definedName>
    <definedName localSheetId="25" name="Analisa55">#REF!</definedName>
    <definedName localSheetId="28" name="tegelporselen10x20warna">#REF!</definedName>
    <definedName localSheetId="41" name="u.besi">#REF!</definedName>
    <definedName localSheetId="5" name="kran.ddg">#REF!</definedName>
    <definedName localSheetId="3" name="FORM917">#REF!</definedName>
    <definedName localSheetId="23" name="kayukruing">#REF!</definedName>
    <definedName localSheetId="6" name="___pvc3">#REF!</definedName>
    <definedName localSheetId="12" name="___pvc205">#REF!</definedName>
    <definedName localSheetId="3" name="R44..">#REF!</definedName>
    <definedName localSheetId="3" name="______DIV4">#REF!</definedName>
    <definedName localSheetId="24" name="FORM651">#REF!</definedName>
    <definedName localSheetId="19" name="______HAL2">#REF!</definedName>
    <definedName localSheetId="27" name="tes">#REF!</definedName>
    <definedName localSheetId="24" name="R88..">#REF!</definedName>
    <definedName localSheetId="38" name="________DIV4">#REF!</definedName>
    <definedName localSheetId="17" name="____DIV4">#REF!</definedName>
    <definedName localSheetId="42" name="Ktbt">#REF!</definedName>
    <definedName localSheetId="17" name="Papanbouplank">#REF!</definedName>
    <definedName localSheetId="15" name="formica">#REF!</definedName>
    <definedName localSheetId="17" name="SUNGAI_BERTAM">#REF!</definedName>
    <definedName localSheetId="7" name="_________LLL01">#REF!</definedName>
    <definedName localSheetId="25" name="_DIV3">#REF!</definedName>
    <definedName localSheetId="3" name="Analisa70702">#REF!</definedName>
    <definedName localSheetId="36" name="kacawireglass5">#REF!</definedName>
    <definedName name="_LLL05">#REF!</definedName>
    <definedName localSheetId="38" name="FORM621">#REF!</definedName>
    <definedName localSheetId="20" name="na">#REF!</definedName>
    <definedName localSheetId="11" name="leni">#REF!</definedName>
    <definedName localSheetId="6" name="_________MMM02">#REF!</definedName>
    <definedName localSheetId="10" name="ls">#REF!</definedName>
    <definedName localSheetId="28" name="R21..">#REF!</definedName>
    <definedName localSheetId="20" name="besi13">#REF!</definedName>
    <definedName localSheetId="9" name="kuncisilinder">#REF!</definedName>
    <definedName localSheetId="24" name="___pvc105">#REF!</definedName>
    <definedName localSheetId="10" name="f">#REF!</definedName>
    <definedName localSheetId="21" name="JA">#REF!</definedName>
    <definedName localSheetId="24" name="batutempelhitam">#REF!</definedName>
    <definedName localSheetId="28" name="batukali14">#REF!</definedName>
    <definedName localSheetId="41" name="FORM7613c">#REF!</definedName>
    <definedName localSheetId="39" name="_________DIV10">#REF!</definedName>
    <definedName localSheetId="19" name="bakcuciteraso">#REF!</definedName>
    <definedName localSheetId="9" name="Overhead">#REF!</definedName>
    <definedName localSheetId="32" name="____DIV10">#REF!</definedName>
    <definedName localSheetId="23" name="borneo5.10">#REF!</definedName>
    <definedName localSheetId="39" name="rooflightfiibreglass">#REF!</definedName>
    <definedName localSheetId="3" name="_______LLL01">#REF!</definedName>
    <definedName localSheetId="44" name="R25..">#REF!</definedName>
    <definedName localSheetId="39" name="_______HAL1">#REF!</definedName>
    <definedName localSheetId="32" name="floorhardenermastercron">#REF!</definedName>
    <definedName localSheetId="42" name="_____DIV4">#REF!</definedName>
    <definedName localSheetId="32" name="f.drain">#REF!</definedName>
    <definedName localSheetId="4" name="cattembok">#REF!</definedName>
    <definedName localSheetId="42" name="Grendel">#REF!</definedName>
    <definedName localSheetId="10" name="k.40.40.roman.crk">#REF!</definedName>
    <definedName localSheetId="13" name="dd">#REF!</definedName>
    <definedName localSheetId="19" name="R50..">#REF!</definedName>
    <definedName name="_______DIV2">#REF!</definedName>
    <definedName localSheetId="3" name="_MMM14">#REF!</definedName>
    <definedName localSheetId="6" name="batutempelhitam">#REF!</definedName>
    <definedName localSheetId="17" name="Besi1Kg">#REF!</definedName>
    <definedName localSheetId="10" name="__LLL03">#REF!</definedName>
    <definedName localSheetId="7" name="kayujati">#REF!</definedName>
    <definedName localSheetId="39" name="aluminiumfoil">#REF!</definedName>
    <definedName localSheetId="24" name="_Ibr1">#REF!</definedName>
    <definedName localSheetId="41" name="Print_title">#REF!</definedName>
    <definedName localSheetId="44" name="URAIAN745">#REF!</definedName>
    <definedName name="Uraian845">#REF!</definedName>
    <definedName localSheetId="8" name="karpet">#REF!</definedName>
    <definedName localSheetId="24" name="_______MMM45">#REF!</definedName>
    <definedName localSheetId="25" name="bubunganasbesgelombang">#REF!</definedName>
    <definedName localSheetId="41" name="springknip">#REF!</definedName>
    <definedName localSheetId="44" name="________MMM38">#REF!</definedName>
    <definedName localSheetId="19" name="______HAL3">#REF!</definedName>
    <definedName localSheetId="32" name="flordrain">#REF!</definedName>
    <definedName localSheetId="44" name="Analisa70706">#REF!</definedName>
    <definedName localSheetId="30" name="FORM721">#REF!</definedName>
    <definedName localSheetId="41" name="aaaaa">#REF!</definedName>
    <definedName localSheetId="0" name="w.stain">#REF!</definedName>
    <definedName localSheetId="44" name="bbm">#REF!</definedName>
    <definedName localSheetId="23" name="ubinkeramikartistik1020">#REF!</definedName>
    <definedName localSheetId="24" name="tegelplinpc10x20">#REF!</definedName>
    <definedName localSheetId="4" name="G.Kramik">#REF!</definedName>
    <definedName localSheetId="7" name="_MMM51">#REF!</definedName>
    <definedName localSheetId="18" name="karpet">#REF!</definedName>
    <definedName localSheetId="21" name="_____MMM43">#REF!</definedName>
    <definedName localSheetId="18" name="kawatharmonika">#REF!</definedName>
    <definedName localSheetId="21" name="URAIAN7612b">#REF!</definedName>
    <definedName localSheetId="44" name="___MMM34">#REF!</definedName>
    <definedName localSheetId="40" name="________MMM01">#REF!</definedName>
    <definedName localSheetId="12" name="R3..">#REF!</definedName>
    <definedName localSheetId="9" name="plintkeramikartistik1020">#REF!</definedName>
    <definedName name="______MMM20">#REF!</definedName>
    <definedName localSheetId="9" name="pajak">#REF!</definedName>
    <definedName localSheetId="33" name="___DIV1">#REF!</definedName>
    <definedName localSheetId="32" name="ARI">#REF!</definedName>
    <definedName localSheetId="30" name="FORMLatasirK">#REF!</definedName>
    <definedName localSheetId="6" name="________DIV4">#REF!</definedName>
    <definedName localSheetId="24" name="akustikarmstrong">#REF!</definedName>
    <definedName localSheetId="36" name="kawatduri">#REF!</definedName>
    <definedName localSheetId="13" name="FORM633">#REF!</definedName>
    <definedName localSheetId="21" name="_______MMM05">#REF!</definedName>
    <definedName localSheetId="13" name="_________HAL2">#REF!</definedName>
    <definedName localSheetId="12" name="___DIV2">#REF!</definedName>
    <definedName localSheetId="42" name="bakcuciteraso">#REF!</definedName>
    <definedName localSheetId="7" name="_____MMM43">#REF!</definedName>
    <definedName localSheetId="34" name="springknip">#REF!</definedName>
    <definedName localSheetId="18" name="tegelplin20x20">#REF!</definedName>
    <definedName localSheetId="13" name="______DIV2">#REF!</definedName>
    <definedName localSheetId="24" name="URAIAN7610">#REF!</definedName>
    <definedName localSheetId="31" name="besiprofilWF">#REF!</definedName>
    <definedName localSheetId="21" name="c.mowi.dlm">#REF!</definedName>
    <definedName localSheetId="21" name="R11..">#REF!</definedName>
    <definedName localSheetId="4" name="FORM7613b">#REF!</definedName>
    <definedName localSheetId="24" name="papanII">#REF!</definedName>
    <definedName localSheetId="12" name="kapursirih">#REF!</definedName>
    <definedName localSheetId="28" name="FORMLatasirK">#REF!</definedName>
    <definedName localSheetId="11" name="KT">#REF!</definedName>
    <definedName localSheetId="34" name="ubinteraso30">#REF!</definedName>
    <definedName localSheetId="20" name="hakangin">#REF!</definedName>
    <definedName localSheetId="9" name="FORM842">#REF!</definedName>
    <definedName localSheetId="32" name="semen50">#REF!</definedName>
    <definedName localSheetId="11" name="tegelporselen10x20warna">#REF!</definedName>
    <definedName localSheetId="44" name="_________MMM03">#REF!</definedName>
    <definedName localSheetId="40" name="__MMM03">#REF!</definedName>
    <definedName localSheetId="17" name="R51..">#REF!</definedName>
    <definedName localSheetId="0" name="papan.m.3.20">#REF!</definedName>
    <definedName localSheetId="23" name="mlex.w">#REF!</definedName>
    <definedName localSheetId="33" name="Excel_BuiltIn_Print_Area_1">#REF!</definedName>
    <definedName localSheetId="34" name="siap1">#REF!</definedName>
    <definedName localSheetId="23" name="___pc50">#REF!</definedName>
    <definedName localSheetId="44" name="___MMM45">#REF!</definedName>
    <definedName localSheetId="17" name="R11..">#REF!</definedName>
    <definedName localSheetId="7" name="FORM634">#REF!</definedName>
    <definedName localSheetId="13" name="kayumarsawa">#REF!</definedName>
    <definedName localSheetId="36" name="___pc50">#REF!</definedName>
    <definedName localSheetId="11" name="paku5.7.10">#REF!</definedName>
    <definedName localSheetId="3" name="KunciWC">#REF!</definedName>
    <definedName localSheetId="5" name="k.40.40.roman.crk">#REF!</definedName>
    <definedName localSheetId="5" name="___pvc105">#REF!</definedName>
    <definedName localSheetId="18" name="R4..">#REF!</definedName>
    <definedName localSheetId="17" name="LemAibon">#REF!</definedName>
    <definedName localSheetId="36" name="kaca12">#REF!</definedName>
    <definedName localSheetId="23" name="kkkk">#REF!</definedName>
    <definedName localSheetId="23" name="coveartistik">#REF!</definedName>
    <definedName localSheetId="25" name="plamur.matex">#REF!</definedName>
    <definedName localSheetId="3" name="_______MMM54">#REF!</definedName>
    <definedName localSheetId="23" name="ubinkeramikartistik520">#REF!</definedName>
    <definedName localSheetId="17" name="R32..">#REF!</definedName>
    <definedName localSheetId="10" name="Uraian842">#REF!</definedName>
    <definedName name="___HAL7">#REF!</definedName>
    <definedName localSheetId="32" name="alangalang">#REF!</definedName>
    <definedName localSheetId="44" name="____HAL4">#REF!</definedName>
    <definedName localSheetId="3" name="spirtus">#REF!</definedName>
    <definedName localSheetId="38" name="tl2x40">#REF!</definedName>
    <definedName localSheetId="44" name="____HAL1">#REF!</definedName>
    <definedName localSheetId="11" name="besi13">#REF!</definedName>
    <definedName localSheetId="33" name="waterdrainaksesoris">#REF!</definedName>
    <definedName localSheetId="4" name="engsel3">#REF!</definedName>
    <definedName localSheetId="17" name="R29..">#REF!</definedName>
    <definedName localSheetId="3" name="__DIV7">#REF!</definedName>
    <definedName localSheetId="24" name="FORM915">#REF!</definedName>
    <definedName localSheetId="7" name="FORM7614c">#REF!</definedName>
    <definedName localSheetId="7" name="_________DIV9">#REF!</definedName>
    <definedName localSheetId="36" name="_KOP7">#REF!</definedName>
    <definedName localSheetId="20" name="kaca5">#REF!</definedName>
    <definedName name="______MMM37">#REF!</definedName>
    <definedName localSheetId="17" name="besi8sii">#REF!</definedName>
    <definedName localSheetId="20" name="asbesgelombnang">#REF!</definedName>
    <definedName localSheetId="10" name="Print_Area_MI">#REF!</definedName>
    <definedName localSheetId="21" name="________MMM04">#REF!</definedName>
    <definedName localSheetId="10" name="aaaaa">#REF!</definedName>
    <definedName localSheetId="3" name="R108..">#REF!</definedName>
    <definedName localSheetId="21" name="engsel4">#REF!</definedName>
    <definedName localSheetId="38" name="kayuborneo">#REF!</definedName>
    <definedName localSheetId="6" name="platasbes">#REF!</definedName>
    <definedName localSheetId="10" name="kunci1slag">#REF!</definedName>
    <definedName localSheetId="19" name="plintubinwarna1020">#REF!</definedName>
    <definedName localSheetId="24" name="________HAL3">#REF!</definedName>
    <definedName localSheetId="18" name="jj">#REF!</definedName>
    <definedName localSheetId="31" name="catantara">#REF!</definedName>
    <definedName localSheetId="38" name="Minyak">#REF!</definedName>
    <definedName localSheetId="7" name="________LLL06">#REF!</definedName>
    <definedName localSheetId="7" name="_____MMM22">#REF!</definedName>
    <definedName localSheetId="20" name="JL_NAS">#REF!</definedName>
    <definedName localSheetId="7" name="____LLL06">#REF!</definedName>
    <definedName localSheetId="5" name="___MMM02">#REF!</definedName>
    <definedName localSheetId="6" name="reng">#REF!</definedName>
    <definedName localSheetId="21" name="______MMM18">#REF!</definedName>
    <definedName localSheetId="3" name="Lamp">#REF!</definedName>
    <definedName localSheetId="39" name="BPS">#REF!</definedName>
    <definedName localSheetId="21" name="jffhauifhauifhe">#REF!</definedName>
    <definedName localSheetId="3" name="URAIAN7614e">#REF!</definedName>
    <definedName localSheetId="44" name="________MMM50">#REF!</definedName>
    <definedName localSheetId="36" name="________DIV1">#REF!</definedName>
    <definedName localSheetId="39" name="kali">#REF!</definedName>
    <definedName localSheetId="17" name="w.stain">#REF!</definedName>
    <definedName localSheetId="3" name="___MMM04">#REF!</definedName>
    <definedName localSheetId="7" name="besi10.sii">#REF!</definedName>
    <definedName localSheetId="39" name="springknip">#REF!</definedName>
    <definedName localSheetId="44" name="_____MMM22">#REF!</definedName>
    <definedName localSheetId="19" name="FORM621">#REF!</definedName>
    <definedName localSheetId="17" name="Print_Titles_MI_1">#REF!</definedName>
    <definedName localSheetId="44" name="Print_title">#REF!</definedName>
    <definedName localSheetId="42" name="Excel_BuiltIn_Print_Area_10">#REF!</definedName>
    <definedName localSheetId="3" name="SUNGAI_BERTAM">#REF!</definedName>
    <definedName localSheetId="7" name="_MMM41">#REF!</definedName>
    <definedName localSheetId="17" name="________MMM51">#REF!</definedName>
    <definedName localSheetId="17" name="_______MMM21">#REF!</definedName>
    <definedName localSheetId="21" name="bubunganstelgelombang092">#REF!</definedName>
    <definedName localSheetId="4" name="_kop6">#REF!</definedName>
    <definedName localSheetId="17" name="___LLL08">#REF!</definedName>
    <definedName localSheetId="44" name="_________MMM16">#REF!</definedName>
    <definedName localSheetId="13" name="meni.kayu">#REF!</definedName>
    <definedName localSheetId="42" name="gggg">#REF!</definedName>
    <definedName localSheetId="34" name="FORMLatasirKL">#REF!</definedName>
    <definedName localSheetId="21" name="plintubinpcabuabu1030">#REF!</definedName>
    <definedName localSheetId="21" name="Closet.ddk">#REF!</definedName>
    <definedName localSheetId="3" name="paku5.7.10">#REF!</definedName>
    <definedName localSheetId="40" name="waterdrainaksesoris">#REF!</definedName>
    <definedName localSheetId="36" name="sealer.mowi">#REF!</definedName>
    <definedName localSheetId="3" name="______MMM45">#REF!</definedName>
    <definedName localSheetId="7" name="______MMM32">#REF!</definedName>
    <definedName name="FORM634">#REF!</definedName>
    <definedName localSheetId="7" name="_LLL03">#REF!</definedName>
    <definedName localSheetId="42" name="pakuhak15cm">#REF!</definedName>
    <definedName localSheetId="24" name="_______MMM12">#REF!</definedName>
    <definedName localSheetId="42" name="nokpaten092">#REF!</definedName>
    <definedName localSheetId="15" name="aa">#REF!</definedName>
    <definedName localSheetId="39" name="bondbeam">#REF!</definedName>
    <definedName localSheetId="11" name="catmeni">#REF!</definedName>
    <definedName name="total">#REF!</definedName>
    <definedName localSheetId="27" name="plesteran13">#REF!</definedName>
    <definedName localSheetId="44" name="Analisa713">#REF!</definedName>
    <definedName localSheetId="12" name="_____DIV2">#REF!</definedName>
    <definedName localSheetId="42" name="b.belah">#REF!</definedName>
    <definedName localSheetId="3" name="___MMM08">#REF!</definedName>
    <definedName localSheetId="18" name="tegelplinpc10x20">#REF!</definedName>
    <definedName localSheetId="3" name="_______MMM35">#REF!</definedName>
    <definedName localSheetId="34" name="sis">#REF!</definedName>
    <definedName localSheetId="3" name="semenwarna">#REF!</definedName>
    <definedName localSheetId="27" name="badkip">#REF!</definedName>
    <definedName localSheetId="3" name="__MMM28">#REF!</definedName>
    <definedName localSheetId="3" name="_____MMM33">#REF!</definedName>
    <definedName localSheetId="23" name="kayujati">#REF!</definedName>
    <definedName localSheetId="39" name="Fak">#REF!</definedName>
    <definedName localSheetId="34" name="grassblok">#REF!</definedName>
    <definedName localSheetId="31" name="FORM7613a">#REF!</definedName>
    <definedName localSheetId="17" name="_lmb1">#REF!</definedName>
    <definedName localSheetId="18" name="kkkk">#REF!</definedName>
    <definedName localSheetId="18" name="kaca3">#REF!</definedName>
    <definedName localSheetId="0" name="______MMM01">#REF!</definedName>
    <definedName localSheetId="18" name="tpipa">#REF!</definedName>
    <definedName localSheetId="40" name="c.maxi">#REF!</definedName>
    <definedName localSheetId="7" name="kaca8">#REF!</definedName>
    <definedName localSheetId="41" name="cghj">#REF!</definedName>
    <definedName localSheetId="25" name="_____MMM03">#REF!</definedName>
    <definedName localSheetId="5" name="B.Aparatur">#REF!</definedName>
    <definedName localSheetId="41" name="baru">#REF!</definedName>
    <definedName localSheetId="6" name="______DIV10">#REF!</definedName>
    <definedName localSheetId="42" name="kacacermin5">#REF!</definedName>
    <definedName localSheetId="21" name="ramset">#REF!</definedName>
    <definedName name="URAIAN79manual">#REF!</definedName>
    <definedName localSheetId="13" name="FRRDS">#REF!</definedName>
    <definedName localSheetId="38" name="engsel3">#REF!</definedName>
    <definedName localSheetId="10" name="GRC">#REF!</definedName>
    <definedName localSheetId="24" name="URAIAN911">#REF!</definedName>
    <definedName localSheetId="9" name="__pvc3">#REF!</definedName>
    <definedName localSheetId="44" name="_MMM27">#REF!</definedName>
    <definedName localSheetId="44" name="kawatnyamuk">#REF!</definedName>
    <definedName localSheetId="5" name="_____MMM01">#REF!</definedName>
    <definedName localSheetId="3" name="Analisa511">#REF!</definedName>
    <definedName localSheetId="10" name="jurnal1">#REF!</definedName>
    <definedName localSheetId="40" name="akustikarmstrong">#REF!</definedName>
    <definedName localSheetId="42" name="JL_NAS">#REF!</definedName>
    <definedName localSheetId="0" name="semenwarna">#REF!</definedName>
    <definedName localSheetId="5" name="plintkeramikartistik520">#REF!</definedName>
    <definedName localSheetId="21" name="_MMM15">#REF!</definedName>
    <definedName localSheetId="23" name="nokgentengaspal">#REF!</definedName>
    <definedName localSheetId="11" name="tegelplinteraso10x30">#REF!</definedName>
    <definedName localSheetId="27" name="___pvc3">#REF!</definedName>
    <definedName localSheetId="31" name="papanII">#REF!</definedName>
    <definedName localSheetId="21" name="________LLL10">#REF!</definedName>
    <definedName localSheetId="10" name="FORM7614a">#REF!</definedName>
    <definedName localSheetId="21" name="zzz">#REF!</definedName>
    <definedName localSheetId="17" name="___MMM30">#REF!</definedName>
    <definedName localSheetId="27" name="TANAH">#REF!</definedName>
    <definedName localSheetId="44" name="___MMM04">#REF!</definedName>
    <definedName localSheetId="28" name="Nok">#REF!</definedName>
    <definedName localSheetId="31" name="batutempelhitam">#REF!</definedName>
    <definedName localSheetId="17" name="_______MMM06">#REF!</definedName>
    <definedName localSheetId="23" name="_________DIV1">#REF!</definedName>
    <definedName localSheetId="15" name="kaca5">#REF!</definedName>
    <definedName localSheetId="25" name="terntang">#REF!</definedName>
    <definedName localSheetId="28" name="plintubingranito1030">#REF!</definedName>
    <definedName localSheetId="20" name="pp">#REF!</definedName>
    <definedName localSheetId="27" name="u.besi">#REF!</definedName>
    <definedName localSheetId="19" name="kunci2slag">#REF!</definedName>
    <definedName localSheetId="25" name="Faktor">#REF!</definedName>
    <definedName localSheetId="18" name="w">#REF!</definedName>
    <definedName localSheetId="21" name="Analisa511">#REF!</definedName>
    <definedName localSheetId="6" name="plywood4mm">#REF!</definedName>
    <definedName localSheetId="0" name="pakusumbat">#REF!</definedName>
    <definedName localSheetId="42" name="kran.ddg">#REF!</definedName>
    <definedName localSheetId="3" name="tlistrik">#REF!</definedName>
    <definedName localSheetId="24" name="strorox">#REF!</definedName>
    <definedName localSheetId="17" name="URAIAN913">#REF!</definedName>
    <definedName localSheetId="24" name="hakangin">#REF!</definedName>
    <definedName localSheetId="13" name="__DIV3">#REF!</definedName>
    <definedName localSheetId="24" name="________DIV7">#REF!</definedName>
    <definedName localSheetId="5" name="pintulipat">#REF!</definedName>
    <definedName localSheetId="20" name="KTM">#REF!</definedName>
    <definedName localSheetId="33" name="___HAL2">#REF!</definedName>
    <definedName localSheetId="42" name="plintubinteraluxmarmer1040">#REF!</definedName>
    <definedName localSheetId="28" name="leni">#REF!</definedName>
    <definedName localSheetId="30" name="stairnzing">#REF!</definedName>
    <definedName localSheetId="8" name="tl2x40">#REF!</definedName>
    <definedName localSheetId="5" name="URAIAN66PERATA">#REF!</definedName>
    <definedName localSheetId="6" name="_LLL03">#REF!</definedName>
    <definedName localSheetId="9" name="bondbeam">#REF!</definedName>
    <definedName localSheetId="3" name="URAIAN99">#REF!</definedName>
    <definedName name="FORM323L">#REF!</definedName>
    <definedName localSheetId="25" name="total">#REF!</definedName>
    <definedName localSheetId="13" name="MAI">#REF!</definedName>
    <definedName localSheetId="7" name="tegelporselen20x20warna">#REF!</definedName>
    <definedName localSheetId="39" name="FORM611">#REF!</definedName>
    <definedName localSheetId="12" name="DSSDD">#REF!</definedName>
    <definedName localSheetId="32" name="tpipa">#REF!</definedName>
    <definedName localSheetId="33" name="_PC50">#REF!</definedName>
    <definedName localSheetId="38" name="_________MMM01">#REF!</definedName>
    <definedName localSheetId="3" name="______HAL1">#REF!</definedName>
    <definedName localSheetId="11" name="____MMM03">#REF!</definedName>
    <definedName localSheetId="36" name="Faktorial">#REF!</definedName>
    <definedName localSheetId="27" name="GRC">#REF!</definedName>
    <definedName localSheetId="31" name="____HAL3">#REF!</definedName>
    <definedName localSheetId="31" name="k.ddg.rmn.20.25.pls">#REF!</definedName>
    <definedName localSheetId="44" name="FORM641L">#REF!</definedName>
    <definedName localSheetId="20" name="___DIV10">#REF!</definedName>
    <definedName localSheetId="38" name="bakkontrol">#REF!</definedName>
    <definedName localSheetId="34" name="_LLL03">#REF!</definedName>
    <definedName name="_MMM37">#REF!</definedName>
    <definedName localSheetId="4" name="_tl2">#REF!</definedName>
    <definedName localSheetId="44" name="____DIV2">#REF!</definedName>
    <definedName localSheetId="39" name="ubinteraso40">#REF!</definedName>
    <definedName localSheetId="17" name="pindahan">#REF!</definedName>
    <definedName localSheetId="42" name="rollingdoor">#REF!</definedName>
    <definedName localSheetId="11" name="___MMM02">#REF!</definedName>
    <definedName localSheetId="31" name="menibesi">#REF!</definedName>
    <definedName localSheetId="42" name="pasirbeton">#REF!</definedName>
    <definedName localSheetId="28" name="grendel3">#REF!</definedName>
    <definedName localSheetId="4" name="engsel4">#REF!</definedName>
    <definedName localSheetId="41" name="tegelpc20x20">#REF!</definedName>
    <definedName localSheetId="20" name="medan5.10">#REF!</definedName>
    <definedName localSheetId="33" name="tegelplinteraso10x30">#REF!</definedName>
    <definedName localSheetId="7" name="_________MMM11">#REF!</definedName>
    <definedName localSheetId="4" name="_____HAL3">#REF!</definedName>
    <definedName localSheetId="42" name="papan.m.3.20">#REF!</definedName>
    <definedName localSheetId="36" name="Lamp">#REF!</definedName>
    <definedName localSheetId="42" name="URAIAN79mekanis">#REF!</definedName>
    <definedName localSheetId="34" name="URAIAN7614d">#REF!</definedName>
    <definedName localSheetId="21" name="___LLL08">#REF!</definedName>
    <definedName localSheetId="39" name="Kunci2">#REF!</definedName>
    <definedName localSheetId="19" name="keramik20">#REF!</definedName>
    <definedName localSheetId="0" name="__pvc105">#REF!</definedName>
    <definedName localSheetId="21" name="__HAL4">#REF!</definedName>
    <definedName localSheetId="15" name="Akustik">#REF!</definedName>
    <definedName localSheetId="4" name="ASISTEN_BIDANG_PEMERINTAHAN">#REF!</definedName>
    <definedName localSheetId="31" name="asbesgelombnang">#REF!</definedName>
    <definedName localSheetId="3" name="engselpintu">#REF!</definedName>
    <definedName localSheetId="36" name="Catbesi">#REF!</definedName>
    <definedName localSheetId="38" name="hcs">#REF!</definedName>
    <definedName localSheetId="17" name="___MMM10">#REF!</definedName>
    <definedName localSheetId="40" name="___DIV3">#REF!</definedName>
    <definedName localSheetId="38" name="UTAIAN7614c">#REF!</definedName>
    <definedName localSheetId="21" name="FORM732">#REF!</definedName>
    <definedName localSheetId="36" name="_____DIV1">#REF!</definedName>
    <definedName localSheetId="7" name="bubungangentengbeton">#REF!</definedName>
    <definedName localSheetId="21" name="DPRD_KOLAKA_UTARA">#REF!</definedName>
    <definedName localSheetId="5" name="R2..">#REF!</definedName>
    <definedName localSheetId="4" name="_____DIV3">#REF!</definedName>
    <definedName localSheetId="40" name="______DIV2">#REF!</definedName>
    <definedName name="______MMM45">#REF!</definedName>
    <definedName localSheetId="20" name="____HAL2">#REF!</definedName>
    <definedName localSheetId="34" name="URAIAN721">#REF!</definedName>
    <definedName localSheetId="8" name="Jasa">#REF!</definedName>
    <definedName localSheetId="8" name="ASISTEN_BIDANG_PEMERINTAHAN">#REF!</definedName>
    <definedName localSheetId="3" name="________HAL7">#REF!</definedName>
    <definedName localSheetId="32" name="____DIV4">#REF!</definedName>
    <definedName localSheetId="27" name="R31..">#REF!</definedName>
    <definedName name="plintubinpcabuabu1040">#REF!</definedName>
    <definedName localSheetId="7" name="bubungangentengpalentong">#REF!</definedName>
    <definedName localSheetId="33" name="kunci2slag">#REF!</definedName>
    <definedName localSheetId="12" name="lemvinyl">#REF!</definedName>
    <definedName localSheetId="7" name="Pjgsloof">#REF!</definedName>
    <definedName localSheetId="44" name="lem">#REF!</definedName>
    <definedName localSheetId="34" name="tegelporselen10x20warna">#REF!</definedName>
    <definedName localSheetId="27" name="medan5.7">#REF!</definedName>
    <definedName localSheetId="21" name="k.ddg.20.25.rmn.crk">#REF!</definedName>
    <definedName localSheetId="40" name="besipresstressedpolos">#REF!</definedName>
    <definedName localSheetId="21" name="R44..">#REF!</definedName>
    <definedName localSheetId="15" name="besiprofilWF">#REF!</definedName>
    <definedName localSheetId="28" name="R4..">#REF!</definedName>
    <definedName localSheetId="23" name="URAIAN234L">#REF!</definedName>
    <definedName localSheetId="19" name="kaca.es">#REF!</definedName>
    <definedName localSheetId="41" name="R21..">#REF!</definedName>
    <definedName localSheetId="18" name="kayudamarlaut">#REF!</definedName>
    <definedName localSheetId="10" name="_____MMM02">#REF!</definedName>
    <definedName localSheetId="0" name="kacacermin5">#REF!</definedName>
    <definedName localSheetId="32" name="_______HAL3">#REF!</definedName>
    <definedName localSheetId="30" name="kaca5">#REF!</definedName>
    <definedName localSheetId="5" name="R21..">#REF!</definedName>
    <definedName localSheetId="12" name="oemar">#REF!</definedName>
    <definedName localSheetId="6" name="URAIAN745">#REF!</definedName>
    <definedName localSheetId="23" name="R3..">#REF!</definedName>
    <definedName localSheetId="23" name="_DIV3">#REF!</definedName>
    <definedName localSheetId="40" name="sofboard">#REF!</definedName>
    <definedName localSheetId="7" name="_PC50">#REF!</definedName>
    <definedName localSheetId="44" name="________MMM16">#REF!</definedName>
    <definedName name="nokpaten105">#REF!</definedName>
    <definedName name="_________MMM01">#REF!</definedName>
    <definedName localSheetId="17" name="URAIAN651">#REF!</definedName>
    <definedName localSheetId="41" name="kran.bbk">#REF!</definedName>
    <definedName localSheetId="7" name="________MMM44">#REF!</definedName>
    <definedName localSheetId="28" name="doorholder">#REF!</definedName>
    <definedName localSheetId="19" name="_______MMM03">#REF!</definedName>
    <definedName localSheetId="34" name="Akustik">#REF!</definedName>
    <definedName localSheetId="20" name="Ktbt">#REF!</definedName>
    <definedName localSheetId="24" name="kuncisilinder">#REF!</definedName>
    <definedName localSheetId="9" name="R21..">#REF!</definedName>
    <definedName localSheetId="15" name="gentengdecrabond">#REF!</definedName>
    <definedName localSheetId="5" name="kayukulim">#REF!</definedName>
    <definedName localSheetId="15" name="_____DIV3">#REF!</definedName>
    <definedName localSheetId="5" name="pajak">#REF!</definedName>
    <definedName localSheetId="3" name="he">#REF!</definedName>
    <definedName localSheetId="0" name="_______MMM02">#REF!</definedName>
    <definedName localSheetId="27" name="URAIAN611">#REF!</definedName>
    <definedName localSheetId="36" name="batuapung">#REF!</definedName>
    <definedName localSheetId="19" name="kaca12">#REF!</definedName>
    <definedName localSheetId="3" name="_______MMM53">#REF!</definedName>
    <definedName localSheetId="15" name="amplas">#REF!</definedName>
    <definedName name="________MMM15">#REF!</definedName>
    <definedName localSheetId="41" name="karpet">#REF!</definedName>
    <definedName localSheetId="33" name="______HAL1">#REF!</definedName>
    <definedName localSheetId="21" name="_____HAL4">#REF!</definedName>
    <definedName localSheetId="3" name="_____LLL07">#REF!</definedName>
    <definedName localSheetId="41" name="BAJA">#REF!</definedName>
    <definedName localSheetId="7" name="________MMM10">#REF!</definedName>
    <definedName localSheetId="21" name="__MMM42">#REF!</definedName>
    <definedName localSheetId="32" name="sementahanasam">#REF!</definedName>
    <definedName localSheetId="11" name="jurnal">#REF!</definedName>
    <definedName name="__MMM14">#REF!</definedName>
    <definedName localSheetId="5" name="_______DIV10">#REF!</definedName>
    <definedName localSheetId="7" name="Z">#REF!</definedName>
    <definedName localSheetId="21" name="____MMM50">#REF!</definedName>
    <definedName name="URAIAN7614b">#REF!</definedName>
    <definedName name="FORM96">#REF!</definedName>
    <definedName localSheetId="5" name="______HAL3">#REF!</definedName>
    <definedName localSheetId="38" name="medan5.7">#REF!</definedName>
    <definedName localSheetId="39" name="k.ddg.rmn.20.25.pls">#REF!</definedName>
    <definedName localSheetId="17" name="kayuborneo">#REF!</definedName>
    <definedName localSheetId="32" name="_______MMM01">#REF!</definedName>
    <definedName localSheetId="3" name="_______HAL5">#REF!</definedName>
    <definedName localSheetId="20" name="SSSSSSSSSSSSSSSSSSSSSSSSSSSSS">#REF!</definedName>
    <definedName localSheetId="23" name="Lamp">#REF!</definedName>
    <definedName localSheetId="6" name="R2..">#REF!</definedName>
    <definedName localSheetId="4" name="R2..">#REF!</definedName>
    <definedName localSheetId="15" name="Jasa">#REF!</definedName>
    <definedName localSheetId="17" name="sealer">#REF!</definedName>
    <definedName localSheetId="27" name="platasbes35mm">#REF!</definedName>
    <definedName localSheetId="19" name="_KOP7">#REF!</definedName>
    <definedName localSheetId="0" name="ngsel4">#REF!</definedName>
    <definedName name="R31..">#REF!</definedName>
    <definedName localSheetId="21" name="ppn3.30">#REF!</definedName>
    <definedName localSheetId="15" name="kayujati">#REF!</definedName>
    <definedName localSheetId="24" name="URAIAN910">#REF!</definedName>
    <definedName localSheetId="41" name="borneo5.10">#REF!</definedName>
    <definedName localSheetId="19" name="rooflightfiibreglass">#REF!</definedName>
    <definedName localSheetId="19" name="kenek">#REF!</definedName>
    <definedName localSheetId="18" name="besiprofilWF">#REF!</definedName>
    <definedName localSheetId="11" name="sofboard">#REF!</definedName>
    <definedName localSheetId="39" name="URAIAN744">#REF!</definedName>
    <definedName localSheetId="20" name="ubinwarna20">#REF!</definedName>
    <definedName localSheetId="24" name="_________MMM14">#REF!</definedName>
    <definedName localSheetId="7" name="R54..">#REF!</definedName>
    <definedName localSheetId="24" name="roll">#REF!</definedName>
    <definedName localSheetId="21" name="_lmb1">#REF!</definedName>
    <definedName localSheetId="25" name="bjls30">#REF!</definedName>
    <definedName localSheetId="38" name="borneo5.10">#REF!</definedName>
    <definedName localSheetId="27" name="___DIV4">#REF!</definedName>
    <definedName localSheetId="4" name="sofboard">#REF!</definedName>
    <definedName localSheetId="27" name="pagarseng2m">#REF!</definedName>
    <definedName localSheetId="4" name="Uraian841">#REF!</definedName>
    <definedName localSheetId="24" name="lemvinyl">#REF!</definedName>
    <definedName localSheetId="42" name="_818PK">#REF!</definedName>
    <definedName localSheetId="33" name="pp">#REF!</definedName>
    <definedName localSheetId="0" name="wallpaper">#REF!</definedName>
    <definedName localSheetId="19" name="kayujati">#REF!</definedName>
    <definedName localSheetId="30" name="coveartistik">#REF!</definedName>
    <definedName localSheetId="25" name="batupecah">#REF!</definedName>
    <definedName localSheetId="32" name="besijaringkawatbaja">#REF!</definedName>
    <definedName localSheetId="21" name="___DIV8">#REF!</definedName>
    <definedName localSheetId="32" name="aaaaa">#REF!</definedName>
    <definedName localSheetId="21" name="_MMM38">#REF!</definedName>
    <definedName localSheetId="19" name="_DIV4">#REF!</definedName>
    <definedName localSheetId="21" name="tegelplinteraso10x30">#REF!</definedName>
    <definedName localSheetId="9" name="batacote">#REF!</definedName>
    <definedName localSheetId="41" name="kalkarium">#REF!</definedName>
    <definedName localSheetId="31" name="R30..">#REF!</definedName>
    <definedName localSheetId="21" name="______MMM411">#REF!</definedName>
    <definedName localSheetId="17" name="bubunganstelgelombang">#REF!</definedName>
    <definedName localSheetId="32" name="_pvc2">#REF!</definedName>
    <definedName localSheetId="7" name="_MMM26">#REF!</definedName>
    <definedName localSheetId="7" name="Uraian842">#REF!</definedName>
    <definedName localSheetId="30" name="ubinkeramikartistik520">#REF!</definedName>
    <definedName localSheetId="3" name="pipabeton">#REF!</definedName>
    <definedName localSheetId="40" name="R40..">#REF!</definedName>
    <definedName localSheetId="24" name="FORM733">#REF!</definedName>
    <definedName localSheetId="30" name="URAIAN234L">#REF!</definedName>
    <definedName localSheetId="7" name="_MMM13">#REF!</definedName>
    <definedName localSheetId="9" name="kayuterentang">#REF!</definedName>
    <definedName localSheetId="31" name="plintubinwarna1030">#REF!</definedName>
    <definedName localSheetId="4" name="akustikarmstrong">#REF!</definedName>
    <definedName localSheetId="38" name="klosetjongkok">#REF!</definedName>
    <definedName localSheetId="41" name="______MMM01">#REF!</definedName>
    <definedName localSheetId="19" name="tm_2415921492">#REF!</definedName>
    <definedName name="_kop6">#REF!</definedName>
    <definedName localSheetId="6" name="_____DIV1">#REF!</definedName>
    <definedName localSheetId="25" name="platasbes">#REF!</definedName>
    <definedName localSheetId="42" name="_______HAL3">#REF!</definedName>
    <definedName localSheetId="40" name="rooflightfiibreglass">#REF!</definedName>
    <definedName localSheetId="15" name="borneo4.6">#REF!</definedName>
    <definedName localSheetId="9" name="aaaa">#REF!</definedName>
    <definedName localSheetId="31" name="ubinkeramik1515">#REF!</definedName>
    <definedName localSheetId="17" name="____MMM54">#REF!</definedName>
    <definedName localSheetId="3" name="platasbes6mm">#REF!</definedName>
    <definedName localSheetId="23" name="Ktbt">#REF!</definedName>
    <definedName localSheetId="33" name="L">#REF!</definedName>
    <definedName localSheetId="9" name="FORM633">#REF!</definedName>
    <definedName localSheetId="36" name="FORM7614c">#REF!</definedName>
    <definedName localSheetId="7" name="_____LLL10">#REF!</definedName>
    <definedName localSheetId="44" name="__MMM47">#REF!</definedName>
    <definedName localSheetId="21" name="jamtandem">#REF!</definedName>
    <definedName localSheetId="8" name="URAIAN732">#REF!</definedName>
    <definedName localSheetId="7" name="FORM845">#REF!</definedName>
    <definedName localSheetId="25" name="URAIAN7610">#REF!</definedName>
    <definedName localSheetId="6" name="___pvc205">#REF!</definedName>
    <definedName localSheetId="21" name="pintusunscreenalluminium">#REF!</definedName>
    <definedName name="Tbs">#REF!</definedName>
    <definedName localSheetId="9" name="medan3.4">#REF!</definedName>
    <definedName localSheetId="13" name="MINOR">#REF!</definedName>
    <definedName localSheetId="21" name="_________MMM21">#REF!</definedName>
    <definedName name="GRC">#REF!</definedName>
    <definedName localSheetId="3" name="plintubingranito1040">#REF!</definedName>
    <definedName localSheetId="3" name="plintubinpcabuabu1030">#REF!</definedName>
    <definedName localSheetId="6" name="kuncitanam">#REF!</definedName>
    <definedName localSheetId="6" name="DFFFGGG">#REF!</definedName>
    <definedName localSheetId="30" name="kolombetonpracetak">#REF!</definedName>
    <definedName localSheetId="33" name="kacacermin5">#REF!</definedName>
    <definedName localSheetId="10" name="total">#REF!</definedName>
    <definedName localSheetId="33" name="____DIV1">#REF!</definedName>
    <definedName localSheetId="3" name="URAIAN772b">#REF!</definedName>
    <definedName localSheetId="34" name="__HAL3">#REF!</definedName>
    <definedName localSheetId="23" name="_kop5">#REF!</definedName>
    <definedName localSheetId="4" name="____MMM03">#REF!</definedName>
    <definedName localSheetId="34" name="pasirpas">#REF!</definedName>
    <definedName localSheetId="13" name="doorstop">#REF!</definedName>
    <definedName localSheetId="44" name="URAIAN623">#REF!</definedName>
    <definedName localSheetId="25" name="besiprofilWF">#REF!</definedName>
    <definedName localSheetId="44" name="tp80x80">#REF!</definedName>
    <definedName localSheetId="27" name="vinylasbes">#REF!</definedName>
    <definedName localSheetId="34" name="Print_Area_MI">#REF!</definedName>
    <definedName localSheetId="19" name="URAIAN">#REF!</definedName>
    <definedName localSheetId="15" name="FORM721">#REF!</definedName>
    <definedName localSheetId="5" name="bilikbambu">#REF!</definedName>
    <definedName localSheetId="13" name="atapaluminiumgelombang055">#REF!</definedName>
    <definedName localSheetId="34" name="vinylasbes">#REF!</definedName>
    <definedName localSheetId="17" name="kayualbasiah">#REF!</definedName>
    <definedName localSheetId="32" name="papanbulian">#REF!</definedName>
    <definedName localSheetId="17" name="kunci2slag">#REF!</definedName>
    <definedName localSheetId="23" name="sengbjls25">#REF!</definedName>
    <definedName localSheetId="41" name="zzz">#REF!</definedName>
    <definedName localSheetId="5" name="hollowblok">#REF!</definedName>
    <definedName localSheetId="11" name="roll">#REF!</definedName>
    <definedName localSheetId="30" name="_kop6">#REF!</definedName>
    <definedName localSheetId="5" name="tm_2415921492">#REF!</definedName>
    <definedName localSheetId="24" name="ubinpcabuabu30">#REF!</definedName>
    <definedName localSheetId="15" name="R5..">#REF!</definedName>
    <definedName localSheetId="28" name="_________HAL1">#REF!</definedName>
    <definedName localSheetId="25" name="______HAL1">#REF!</definedName>
    <definedName localSheetId="42" name="oemar">#REF!</definedName>
    <definedName localSheetId="6" name="kayukudakuda">#REF!</definedName>
    <definedName localSheetId="10" name="pddk">#REF!</definedName>
    <definedName localSheetId="44" name="FORM7613b">#REF!</definedName>
    <definedName localSheetId="4" name="___DIV2">#REF!</definedName>
    <definedName localSheetId="21" name="________MMM10">#REF!</definedName>
    <definedName name="R17..">#REF!</definedName>
    <definedName localSheetId="38" name="FRRDS">#REF!</definedName>
    <definedName localSheetId="18" name="rapidrant">#REF!</definedName>
    <definedName localSheetId="7" name="___DIV6">#REF!</definedName>
    <definedName localSheetId="23" name="kawatharmonika">#REF!</definedName>
    <definedName localSheetId="0" name="pa">#REF!</definedName>
    <definedName localSheetId="36" name="kiki">#REF!</definedName>
    <definedName localSheetId="15" name="urugankembali">#REF!</definedName>
    <definedName name="______MMM34">#REF!</definedName>
    <definedName localSheetId="7" name="_____DIV9">#REF!</definedName>
    <definedName localSheetId="18" name="tegelpc20x20">#REF!</definedName>
    <definedName localSheetId="24" name="FORM94">#REF!</definedName>
    <definedName localSheetId="17" name="_MMM33">#REF!</definedName>
    <definedName localSheetId="8" name="Pjgsloof">#REF!</definedName>
    <definedName localSheetId="19" name="gymfloor">#REF!</definedName>
    <definedName name="_________MMM19">#REF!</definedName>
    <definedName localSheetId="28" name="R31..">#REF!</definedName>
    <definedName localSheetId="41" name="kolombetonpracetak">#REF!</definedName>
    <definedName localSheetId="31" name="_________MMM03">#REF!</definedName>
    <definedName name="____MMM50">#REF!</definedName>
    <definedName localSheetId="34" name="FORM732">#REF!</definedName>
    <definedName localSheetId="30" name="kayukamper">#REF!</definedName>
    <definedName localSheetId="32" name="_DIV10">#REF!</definedName>
    <definedName localSheetId="19" name="sofboard">#REF!</definedName>
    <definedName localSheetId="44" name="_____HAL3">#REF!</definedName>
    <definedName localSheetId="30" name="u.bekisting">#REF!</definedName>
    <definedName localSheetId="41" name="MAI">#REF!</definedName>
    <definedName localSheetId="21" name="URAIAN771c">#REF!</definedName>
    <definedName localSheetId="21" name="Per">#REF!</definedName>
    <definedName localSheetId="12" name="URAIAN66PERATA">#REF!</definedName>
    <definedName localSheetId="3" name="_LLL10">#REF!</definedName>
    <definedName localSheetId="30" name="closedjongkok">#REF!</definedName>
    <definedName localSheetId="17" name="ubinkeramikartistik520">#REF!</definedName>
    <definedName localSheetId="42" name="kkkk">#REF!</definedName>
    <definedName name="FORM635">#REF!</definedName>
    <definedName localSheetId="44" name="____LLL09">#REF!</definedName>
    <definedName localSheetId="24" name="__MMM26">#REF!</definedName>
    <definedName localSheetId="42" name="air">#REF!</definedName>
    <definedName localSheetId="13" name="Uraian8410">#REF!</definedName>
    <definedName name="kaca8">#REF!</definedName>
    <definedName localSheetId="33" name="plastikaerator">#REF!</definedName>
    <definedName localSheetId="10" name="relpintudorong">#REF!</definedName>
    <definedName localSheetId="3" name="_MMM29">#REF!</definedName>
    <definedName localSheetId="7" name="_Tl1">#REF!</definedName>
    <definedName localSheetId="9" name="kayukruing">#REF!</definedName>
    <definedName localSheetId="9" name="URAIAN79manual">#REF!</definedName>
    <definedName localSheetId="41" name="Psr.psg">#REF!</definedName>
    <definedName localSheetId="31" name="______MMM03">#REF!</definedName>
    <definedName localSheetId="9" name="plamour">#REF!</definedName>
    <definedName localSheetId="3" name="______MMM25">#REF!</definedName>
    <definedName localSheetId="40" name="URAIAN79mekanis">#REF!</definedName>
    <definedName localSheetId="17" name="URAIAN731">#REF!</definedName>
    <definedName localSheetId="17" name="R17..">#REF!</definedName>
    <definedName localSheetId="21" name="_______MMM51">#REF!</definedName>
    <definedName name="aanstamping">#REF!</definedName>
    <definedName localSheetId="3" name="Pjgsloof">#REF!</definedName>
    <definedName localSheetId="28" name="URAIAN22E">#REF!</definedName>
    <definedName localSheetId="24" name="_______MMM09">#REF!</definedName>
    <definedName localSheetId="0" name="Print_Area_MI">#REF!</definedName>
    <definedName localSheetId="4" name="reng">#REF!</definedName>
    <definedName localSheetId="40" name="bbm">#REF!</definedName>
    <definedName localSheetId="31" name="springknip">#REF!</definedName>
    <definedName localSheetId="7" name="FORM612">#REF!</definedName>
    <definedName localSheetId="11" name="aa">#REF!</definedName>
    <definedName localSheetId="27" name="split1.2">#REF!</definedName>
    <definedName localSheetId="25" name="ASPAL">#REF!</definedName>
    <definedName localSheetId="30" name="ppn.m.3.20.serut">#REF!</definedName>
    <definedName localSheetId="39" name="__HAL1">#REF!</definedName>
    <definedName localSheetId="12" name="pagarseng2m">#REF!</definedName>
    <definedName localSheetId="5" name="ubinwarna30">#REF!</definedName>
    <definedName localSheetId="12" name="bubungangentengbeton">#REF!</definedName>
    <definedName localSheetId="23" name="Excel_BuiltIn_Print_Titles_2">#REF!</definedName>
    <definedName localSheetId="9" name="kuncilemari">#REF!</definedName>
    <definedName localSheetId="5" name="split1.2">#REF!</definedName>
    <definedName localSheetId="9" name="Uraian8410">#REF!</definedName>
    <definedName localSheetId="39" name="___HAL3">#REF!</definedName>
    <definedName localSheetId="24" name="FORM7612a">#REF!</definedName>
    <definedName localSheetId="25" name="R40..">#REF!</definedName>
    <definedName localSheetId="23" name="lb">#REF!</definedName>
    <definedName localSheetId="32" name="doorcloser">#REF!</definedName>
    <definedName name="Analisa633">#REF!</definedName>
    <definedName localSheetId="19" name="_LLL03">#REF!</definedName>
    <definedName localSheetId="10" name="FORM612">#REF!</definedName>
    <definedName localSheetId="21" name="________HAL4">#REF!</definedName>
    <definedName localSheetId="3" name="nokstandar">#REF!</definedName>
    <definedName localSheetId="5" name="kolombetonpracetak">#REF!</definedName>
    <definedName name="pakubulian">#REF!</definedName>
    <definedName localSheetId="24" name="_______MMM19">#REF!</definedName>
    <definedName localSheetId="7" name="________MMM33">#REF!</definedName>
    <definedName localSheetId="11" name="oemar">#REF!</definedName>
    <definedName localSheetId="17" name="gentengpalentongbesar">#REF!</definedName>
    <definedName localSheetId="11" name="_____DIV3">#REF!</definedName>
    <definedName localSheetId="9" name="sis">#REF!</definedName>
    <definedName localSheetId="7" name="FORM771c">#REF!</definedName>
    <definedName localSheetId="3" name="R82..">#REF!</definedName>
    <definedName localSheetId="11" name="ubinkeramik1515">#REF!</definedName>
    <definedName localSheetId="39" name="bjls25">#REF!</definedName>
    <definedName localSheetId="3" name="Analisa611">#REF!</definedName>
    <definedName localSheetId="21" name="R41..">#REF!</definedName>
    <definedName localSheetId="24" name="mapel">#REF!</definedName>
    <definedName localSheetId="6" name="URAIAN612">#REF!</definedName>
    <definedName localSheetId="5" name="batamerah">#REF!</definedName>
    <definedName localSheetId="12" name="_______DIV2">#REF!</definedName>
    <definedName localSheetId="7" name="_________LLL03">#REF!</definedName>
    <definedName localSheetId="6" name="__DIV2">#REF!</definedName>
    <definedName localSheetId="42" name="keramik20">#REF!</definedName>
    <definedName localSheetId="19" name="panelbetonpracetak">#REF!</definedName>
    <definedName localSheetId="7" name="__MMM32">#REF!</definedName>
    <definedName localSheetId="20" name="bubunganasbesgelombang">#REF!</definedName>
    <definedName localSheetId="24" name="doorholder">#REF!</definedName>
    <definedName localSheetId="7" name="______MMM22">#REF!</definedName>
    <definedName localSheetId="28" name="batu.jogja">#REF!</definedName>
    <definedName localSheetId="28" name="FORM7614a">#REF!</definedName>
    <definedName localSheetId="23" name="____MMM03">#REF!</definedName>
    <definedName localSheetId="44" name="DSSDD">#REF!</definedName>
    <definedName localSheetId="9" name="_____DIV3">#REF!</definedName>
    <definedName localSheetId="13" name="floorhardenerferrovak">#REF!</definedName>
    <definedName name="_MMM46">#REF!</definedName>
    <definedName localSheetId="9" name="____MMM01">#REF!</definedName>
    <definedName localSheetId="7" name="pasirpas">#REF!</definedName>
    <definedName localSheetId="32" name="pasirbeton">#REF!</definedName>
    <definedName name="Ktbt">#REF!</definedName>
    <definedName localSheetId="25" name="_________DIV10">#REF!</definedName>
    <definedName localSheetId="42" name="springknip">#REF!</definedName>
    <definedName localSheetId="12" name="_LLL02">#REF!</definedName>
    <definedName localSheetId="34" name="_pvc205">#REF!</definedName>
    <definedName localSheetId="20" name="_____HAL1">#REF!</definedName>
    <definedName localSheetId="9" name="pakusirap">#REF!</definedName>
    <definedName localSheetId="24" name="grendel4">#REF!</definedName>
    <definedName localSheetId="21" name="R24..">#REF!</definedName>
    <definedName localSheetId="38" name="kran.bbk">#REF!</definedName>
    <definedName localSheetId="36" name="k.40.40.roman.crk">#REF!</definedName>
    <definedName localSheetId="32" name="jj">#REF!</definedName>
    <definedName localSheetId="34" name="bubungangentengbesar">#REF!</definedName>
    <definedName localSheetId="28" name="tp80x80">#REF!</definedName>
    <definedName localSheetId="21" name="Fak">#REF!</definedName>
    <definedName localSheetId="3" name="URAIANLatasirKL">#REF!</definedName>
    <definedName localSheetId="21" name="FORM79manual">#REF!</definedName>
    <definedName localSheetId="0" name="Nokmetal3mm">#REF!</definedName>
    <definedName localSheetId="6" name="________MMM03">#REF!</definedName>
    <definedName localSheetId="8" name="kmp.banjar">#REF!</definedName>
    <definedName localSheetId="30" name="RoolingdoorAlumunium">#REF!</definedName>
    <definedName localSheetId="25" name="tanggal">#REF!</definedName>
    <definedName localSheetId="15" name="seng30">#REF!</definedName>
    <definedName localSheetId="44" name="_______MMM07">#REF!</definedName>
    <definedName localSheetId="4" name="NAMA2">#REF!</definedName>
    <definedName localSheetId="5" name="semen50">#REF!</definedName>
    <definedName localSheetId="6" name="kunci1slag">#REF!</definedName>
    <definedName localSheetId="41" name="_DIV2">#REF!</definedName>
    <definedName localSheetId="21" name="_____MMM07">#REF!</definedName>
    <definedName localSheetId="41" name="catpenutup2kali">#REF!</definedName>
    <definedName localSheetId="28" name="rincian">#REF!</definedName>
    <definedName localSheetId="27" name="KunciPintu">#REF!</definedName>
    <definedName localSheetId="42" name="relpintudorong">#REF!</definedName>
    <definedName localSheetId="40" name="M">#REF!</definedName>
    <definedName localSheetId="44" name="c.vinilex.sjs">#REF!</definedName>
    <definedName localSheetId="42" name="KT">#REF!</definedName>
    <definedName localSheetId="19" name="kran.ddg">#REF!</definedName>
    <definedName localSheetId="36" name="Jendelabesibaja">#REF!</definedName>
    <definedName localSheetId="44" name="nokpaten108">#REF!</definedName>
    <definedName localSheetId="24" name="nokstandar">#REF!</definedName>
    <definedName localSheetId="5" name="kayuramin">#REF!</definedName>
    <definedName name="______MMM13">#REF!</definedName>
    <definedName localSheetId="7" name="_________HAL2">#REF!</definedName>
    <definedName name="_LLL01">#REF!</definedName>
    <definedName localSheetId="39" name="plintubinteraluxmarmer1030">#REF!</definedName>
    <definedName localSheetId="7" name="_____MMM20">#REF!</definedName>
    <definedName localSheetId="39" name="_kop5">#REF!</definedName>
    <definedName localSheetId="9" name="URAIAN7612b">#REF!</definedName>
    <definedName localSheetId="34" name="URAIAN79mekanis">#REF!</definedName>
    <definedName localSheetId="21" name="_________MMM31">#REF!</definedName>
    <definedName name="________DIV4">#REF!</definedName>
    <definedName localSheetId="39" name="Tbs">#REF!</definedName>
    <definedName localSheetId="17" name="FORM772a">#REF!</definedName>
    <definedName localSheetId="4" name="pakuskrup">#REF!</definedName>
    <definedName localSheetId="20" name="ngsel4">#REF!</definedName>
    <definedName localSheetId="7" name="_________MMM12">#REF!</definedName>
    <definedName localSheetId="28" name="cendana">#REF!</definedName>
    <definedName localSheetId="19" name="_______MMM01">#REF!</definedName>
    <definedName localSheetId="41" name="FORM771b">#REF!</definedName>
    <definedName localSheetId="44" name="______MMM03">#REF!</definedName>
    <definedName localSheetId="30" name="w">#REF!</definedName>
    <definedName localSheetId="11" name="floorhardenermastercron">#REF!</definedName>
    <definedName localSheetId="6" name="he">#REF!</definedName>
    <definedName localSheetId="8" name="URAIAN7612b">#REF!</definedName>
    <definedName localSheetId="28" name="____DIV10">#REF!</definedName>
    <definedName localSheetId="39" name="kaca8">#REF!</definedName>
    <definedName localSheetId="32" name="__MMM02">#REF!</definedName>
    <definedName localSheetId="4" name="URAIAN621">#REF!</definedName>
    <definedName localSheetId="10" name="amplas">#REF!</definedName>
    <definedName localSheetId="32" name="FORM7612a">#REF!</definedName>
    <definedName localSheetId="7" name="R40..">#REF!</definedName>
    <definedName localSheetId="21" name="atapaluminiumgelombang055">#REF!</definedName>
    <definedName localSheetId="41" name="____HAL1">#REF!</definedName>
    <definedName localSheetId="38" name="URAIAN22L">#REF!</definedName>
    <definedName localSheetId="17" name="R12..">#REF!</definedName>
    <definedName localSheetId="17" name="R98..">#REF!</definedName>
    <definedName localSheetId="24" name="R38..">#REF!</definedName>
    <definedName localSheetId="24" name="springknip">#REF!</definedName>
    <definedName name="____MMM17">#REF!</definedName>
    <definedName localSheetId="17" name="tky">#REF!</definedName>
    <definedName localSheetId="9" name="begisting">#REF!</definedName>
    <definedName localSheetId="8" name="kawatharmonika">#REF!</definedName>
    <definedName name="ttnh">#REF!</definedName>
    <definedName localSheetId="7" name="ubinkeramik1020">#REF!</definedName>
    <definedName localSheetId="28" name="keramik30x30">#REF!</definedName>
    <definedName localSheetId="28" name="FORM7612a">#REF!</definedName>
    <definedName localSheetId="31" name="ubinteraso40">#REF!</definedName>
    <definedName localSheetId="9" name="btn">#REF!</definedName>
    <definedName localSheetId="34" name="Catbesi">#REF!</definedName>
    <definedName localSheetId="32" name="______DIV3">#REF!</definedName>
    <definedName localSheetId="17" name="___MMM52">#REF!</definedName>
    <definedName name="ppn3.30">#REF!</definedName>
    <definedName localSheetId="21" name="URAIAN915">#REF!</definedName>
    <definedName localSheetId="20" name="catmeni">#REF!</definedName>
    <definedName localSheetId="38" name="AGREGAT">#REF!</definedName>
    <definedName localSheetId="7" name="___pvc105">#REF!</definedName>
    <definedName localSheetId="39" name="DFFFGGG">#REF!</definedName>
    <definedName localSheetId="15" name="LAINLAIN">#REF!</definedName>
    <definedName localSheetId="4" name="beton100kg">#REF!</definedName>
    <definedName localSheetId="36" name="lem">#REF!</definedName>
    <definedName localSheetId="8" name="G">#REF!</definedName>
    <definedName localSheetId="3" name="_________MMM16">#REF!</definedName>
    <definedName localSheetId="5" name="___pvc2">#REF!</definedName>
    <definedName localSheetId="4" name="grendeltanam">#REF!</definedName>
    <definedName localSheetId="21" name="_______DIV5">#REF!</definedName>
    <definedName localSheetId="38" name="kmp.banjar">#REF!</definedName>
    <definedName localSheetId="18" name="pakuhalus">#REF!</definedName>
    <definedName localSheetId="8" name="aa">#REF!</definedName>
    <definedName localSheetId="0" name="kawatsengpolos">#REF!</definedName>
    <definedName localSheetId="32" name="__DIV2">#REF!</definedName>
    <definedName localSheetId="12" name="closedjongkok">#REF!</definedName>
    <definedName localSheetId="17" name="ubinteraso40">#REF!</definedName>
    <definedName localSheetId="10" name="semenwarna">#REF!</definedName>
    <definedName localSheetId="39" name="tky">#REF!</definedName>
    <definedName localSheetId="4" name="Meni">#REF!</definedName>
    <definedName name="kran.bbk">#REF!</definedName>
    <definedName localSheetId="18" name="RPHL">#REF!</definedName>
    <definedName localSheetId="42" name="KERAMIK30">#REF!</definedName>
    <definedName localSheetId="3" name="Uraian844">#REF!</definedName>
    <definedName localSheetId="12" name="AAAAAAA">#REF!</definedName>
    <definedName localSheetId="32" name="yyyyyyy">#REF!</definedName>
    <definedName localSheetId="3" name="vinylkaret3030">#REF!</definedName>
    <definedName localSheetId="3" name="plintkeramikartistik520">#REF!</definedName>
    <definedName localSheetId="41" name="________DIV2">#REF!</definedName>
    <definedName localSheetId="18" name="teakwood6mm">#REF!</definedName>
    <definedName localSheetId="7" name="xxxxx">#REF!</definedName>
    <definedName localSheetId="7" name="medan5.10">#REF!</definedName>
    <definedName localSheetId="24" name="Uraian8410">#REF!</definedName>
    <definedName localSheetId="44" name="________MMM15">#REF!</definedName>
    <definedName localSheetId="36" name="Overhead">#REF!</definedName>
    <definedName localSheetId="0" name="rincian">#REF!</definedName>
    <definedName localSheetId="10" name="Overhead">#REF!</definedName>
    <definedName localSheetId="34" name="bbm">#REF!</definedName>
    <definedName localSheetId="7" name="sealer.vini">#REF!</definedName>
    <definedName localSheetId="41" name="marmer">#REF!</definedName>
    <definedName localSheetId="13" name="tempatcucipiring">#REF!</definedName>
    <definedName localSheetId="17" name="_________DIV3">#REF!</definedName>
    <definedName localSheetId="3" name="_______LLL08">#REF!</definedName>
    <definedName localSheetId="18" name="Closet.c420">#REF!</definedName>
    <definedName localSheetId="15" name="____DIV4">#REF!</definedName>
    <definedName localSheetId="36" name="URAIAN234L">#REF!</definedName>
    <definedName localSheetId="17" name="R69..">#REF!</definedName>
    <definedName localSheetId="3" name="cattembok">#REF!</definedName>
    <definedName localSheetId="17" name="URAIAN919">#REF!</definedName>
    <definedName localSheetId="8" name="pasirsilika">#REF!</definedName>
    <definedName localSheetId="20" name="____MMM03">#REF!</definedName>
    <definedName localSheetId="15" name="rubbercorrugate">#REF!</definedName>
    <definedName localSheetId="17" name="_______MMM01">#REF!</definedName>
    <definedName localSheetId="13" name="____MMM02">#REF!</definedName>
    <definedName localSheetId="31" name="Minyak">#REF!</definedName>
    <definedName localSheetId="7" name="______MMM01">#REF!</definedName>
    <definedName localSheetId="27" name="Analisa512">#REF!</definedName>
    <definedName localSheetId="7" name="______DIV4">#REF!</definedName>
    <definedName localSheetId="25" name="gentengbeton">#REF!</definedName>
    <definedName localSheetId="7" name="________HAL8">#REF!</definedName>
    <definedName localSheetId="17" name="bubunganasbesgelombang">#REF!</definedName>
    <definedName name="R64..">#REF!</definedName>
    <definedName localSheetId="42" name="______DIV10">#REF!</definedName>
    <definedName localSheetId="24" name="namaabsen">#REF!</definedName>
    <definedName localSheetId="10" name="kran.ddg">#REF!</definedName>
    <definedName localSheetId="7" name="____MMM15">#REF!</definedName>
    <definedName name="R52..">#REF!</definedName>
    <definedName name="t.sabun">#REF!</definedName>
    <definedName localSheetId="9" name="tegelplinpc10x20">#REF!</definedName>
    <definedName localSheetId="31" name="URAIAN7614a">#REF!</definedName>
    <definedName localSheetId="21" name="____LLL04">#REF!</definedName>
    <definedName localSheetId="28" name="FORM66PERMUKAAN">#REF!</definedName>
    <definedName localSheetId="34" name="LAINLAIN">#REF!</definedName>
    <definedName localSheetId="17" name="drkeet">#REF!</definedName>
    <definedName localSheetId="9" name="kacacermin8">#REF!</definedName>
    <definedName localSheetId="6" name="ubinkeramik1515">#REF!</definedName>
    <definedName localSheetId="5" name="plastik">#REF!</definedName>
    <definedName localSheetId="19" name="gentengaspal">#REF!</definedName>
    <definedName localSheetId="41" name="kuncialfa">#REF!</definedName>
    <definedName localSheetId="30" name="Closet.c420">#REF!</definedName>
    <definedName localSheetId="36" name="AGREGAT">#REF!</definedName>
    <definedName localSheetId="17" name="_____LLL02">#REF!</definedName>
    <definedName localSheetId="3" name="sofboard">#REF!</definedName>
    <definedName localSheetId="7" name="R65..">#REF!</definedName>
    <definedName localSheetId="31" name="lb">#REF!</definedName>
    <definedName localSheetId="38" name="lemvinyl">#REF!</definedName>
    <definedName localSheetId="18" name="URAIAN22E">#REF!</definedName>
    <definedName localSheetId="23" name="a">#REF!</definedName>
    <definedName localSheetId="20" name="___pc50">#REF!</definedName>
    <definedName localSheetId="20" name="pasirbeton">#REF!</definedName>
    <definedName localSheetId="0" name="terntang">#REF!</definedName>
    <definedName localSheetId="19" name="kran.bbk">#REF!</definedName>
    <definedName localSheetId="23" name="SusunanOrg">#REF!</definedName>
    <definedName localSheetId="12" name="sengplatbjls28">#REF!</definedName>
    <definedName localSheetId="9" name="URAIAN7613b">#REF!</definedName>
    <definedName localSheetId="24" name="________MMM16">#REF!</definedName>
    <definedName localSheetId="24" name="_________MMM26">#REF!</definedName>
    <definedName name="_________DIV3">#REF!</definedName>
    <definedName localSheetId="12" name="_____DIV3">#REF!</definedName>
    <definedName localSheetId="36" name="kacacermin8">#REF!</definedName>
    <definedName localSheetId="11" name="UTAIAN7614c">#REF!</definedName>
    <definedName localSheetId="10" name="PT">#REF!</definedName>
    <definedName localSheetId="34" name="URAIAN744">#REF!</definedName>
    <definedName localSheetId="7" name="BAJA">#REF!</definedName>
    <definedName localSheetId="30" name="______DIV1">#REF!</definedName>
    <definedName localSheetId="20" name="kayumarsawa">#REF!</definedName>
    <definedName localSheetId="28" name="nokpaten105">#REF!</definedName>
    <definedName localSheetId="24" name="pasirsilika">#REF!</definedName>
    <definedName localSheetId="3" name="_MMM22">#REF!</definedName>
    <definedName localSheetId="27" name="SusunanOrg">#REF!</definedName>
    <definedName localSheetId="5" name="FORM841">#REF!</definedName>
    <definedName name="y">#REF!</definedName>
    <definedName localSheetId="44" name="URAIAN642">#REF!</definedName>
    <definedName localSheetId="21" name="FORM733">#REF!</definedName>
    <definedName localSheetId="34" name="vernis">#REF!</definedName>
    <definedName localSheetId="3" name="bubunganstelgelombang092">#REF!</definedName>
    <definedName localSheetId="40" name="______DIV10">#REF!</definedName>
    <definedName localSheetId="44" name="_____MMM07">#REF!</definedName>
    <definedName name="____MMM27">#REF!</definedName>
    <definedName localSheetId="11" name="kategori">#REF!</definedName>
    <definedName localSheetId="23" name="FORM633">#REF!</definedName>
    <definedName localSheetId="7" name="R2..">#REF!</definedName>
    <definedName localSheetId="4" name="s.warna">#REF!</definedName>
    <definedName localSheetId="21" name="____MMM30">#REF!</definedName>
    <definedName localSheetId="44" name="_____MMM27">#REF!</definedName>
    <definedName localSheetId="40" name="Z">#REF!</definedName>
    <definedName localSheetId="8" name="GUIIII">#REF!</definedName>
    <definedName localSheetId="5" name="wwww">#REF!</definedName>
    <definedName localSheetId="32" name="PT">#REF!</definedName>
    <definedName localSheetId="27" name="pasirpas">#REF!</definedName>
    <definedName localSheetId="32" name="URAIAN21">#REF!</definedName>
    <definedName localSheetId="7" name="gmp">#REF!</definedName>
    <definedName localSheetId="28" name="plintubinkeramikartistik1020">#REF!</definedName>
    <definedName localSheetId="44" name="_______MMM03">#REF!</definedName>
    <definedName localSheetId="13" name="________DIV2">#REF!</definedName>
    <definedName localSheetId="21" name="_________MMM46">#REF!</definedName>
    <definedName localSheetId="25" name="Uraian841">#REF!</definedName>
    <definedName localSheetId="15" name="MAI">#REF!</definedName>
    <definedName localSheetId="40" name="b.belah">#REF!</definedName>
    <definedName localSheetId="11" name="pakuhak15cm">#REF!</definedName>
    <definedName localSheetId="0" name="__HAL5">#REF!</definedName>
    <definedName localSheetId="12" name="washtafel">#REF!</definedName>
    <definedName localSheetId="12" name="u.bekisting">#REF!</definedName>
    <definedName localSheetId="13" name="Kekurangan">#REF!</definedName>
    <definedName localSheetId="41" name="LAINLAIN">#REF!</definedName>
    <definedName localSheetId="3" name="__MMM03">#REF!</definedName>
    <definedName localSheetId="39" name="pa">#REF!</definedName>
    <definedName localSheetId="3" name="urugan">#REF!</definedName>
    <definedName localSheetId="42" name="plintubinteraso1040">#REF!</definedName>
    <definedName localSheetId="31" name="strorox">#REF!</definedName>
    <definedName localSheetId="13" name="mlex.w">#REF!</definedName>
    <definedName localSheetId="34" name="Faktor">#REF!</definedName>
    <definedName localSheetId="28" name="besi13u">#REF!</definedName>
    <definedName localSheetId="3" name="jurnal">#REF!</definedName>
    <definedName localSheetId="44" name="_____LLL11">#REF!</definedName>
    <definedName localSheetId="34" name="kayualbasiah">#REF!</definedName>
    <definedName localSheetId="32" name="Closet.c420">#REF!</definedName>
    <definedName localSheetId="15" name="pakuskrup">#REF!</definedName>
    <definedName localSheetId="3" name="___LLL11">#REF!</definedName>
    <definedName localSheetId="19" name="Pjgsloof">#REF!</definedName>
    <definedName localSheetId="5" name="L">#REF!</definedName>
    <definedName localSheetId="41" name="____MMM01">#REF!</definedName>
    <definedName localSheetId="36" name="split1.2">#REF!</definedName>
    <definedName name="_818PK">#REF!</definedName>
    <definedName localSheetId="25" name="gentengaspal">#REF!</definedName>
    <definedName localSheetId="7" name="RPHL">#REF!</definedName>
    <definedName localSheetId="24" name="________LLL06">#REF!</definedName>
    <definedName localSheetId="23" name="tlistrik">#REF!</definedName>
    <definedName localSheetId="24" name="plintubinteraluxkerang1060">#REF!</definedName>
    <definedName localSheetId="40" name="plintkeramikartistik520">#REF!</definedName>
    <definedName localSheetId="19" name="Print_title">#REF!</definedName>
    <definedName localSheetId="0" name="__pvc3">#REF!</definedName>
    <definedName localSheetId="40" name="AAAAAAA">#REF!</definedName>
    <definedName localSheetId="34" name="R1..">#REF!</definedName>
    <definedName localSheetId="7" name="_______DIV4">#REF!</definedName>
    <definedName name="R4..">#REF!</definedName>
    <definedName localSheetId="21" name="closet.jkok">#REF!</definedName>
    <definedName localSheetId="40" name="DSSDD">#REF!</definedName>
    <definedName localSheetId="33" name="platasbes4mm">#REF!</definedName>
    <definedName localSheetId="21" name="k.lnt.rmn.20.20.crk">#REF!</definedName>
    <definedName localSheetId="40" name="tbkr">#REF!</definedName>
    <definedName localSheetId="39" name="profilalumuniumT">#REF!</definedName>
    <definedName localSheetId="42" name="RPHL">#REF!</definedName>
    <definedName localSheetId="15" name="tbkr">#REF!</definedName>
    <definedName localSheetId="3" name="amplas">#REF!</definedName>
    <definedName localSheetId="41" name="TANAH">#REF!</definedName>
    <definedName localSheetId="18" name="tukng">#REF!</definedName>
    <definedName localSheetId="12" name="mm">#REF!</definedName>
    <definedName localSheetId="44" name="beton250m">#REF!</definedName>
    <definedName localSheetId="28" name="semen50">#REF!</definedName>
    <definedName localSheetId="40" name="URAIAN7612b">#REF!</definedName>
    <definedName localSheetId="41" name="MMM17A">#REF!</definedName>
    <definedName localSheetId="20" name="__HAL3">#REF!</definedName>
    <definedName localSheetId="3" name="_________MMM40">#REF!</definedName>
    <definedName localSheetId="36" name="drainase">#REF!</definedName>
    <definedName localSheetId="21" name="menibesi">#REF!</definedName>
    <definedName localSheetId="9" name="___HAL1">#REF!</definedName>
    <definedName localSheetId="40" name="grendeltanam">#REF!</definedName>
    <definedName localSheetId="28" name="JL_NAS">#REF!</definedName>
    <definedName localSheetId="25" name="kunci1slag">#REF!</definedName>
    <definedName localSheetId="30" name="R5..">#REF!</definedName>
    <definedName localSheetId="21" name="____LLL05">#REF!</definedName>
    <definedName name="___LLL01">#REF!</definedName>
    <definedName localSheetId="32" name="FORM771b">#REF!</definedName>
    <definedName localSheetId="13" name="karpetwooldannilon">#REF!</definedName>
    <definedName localSheetId="5" name="aaaaa">#REF!</definedName>
    <definedName localSheetId="10" name="__pvc05">#REF!</definedName>
    <definedName localSheetId="8" name="________MMM01">#REF!</definedName>
    <definedName localSheetId="13" name="kkkk">#REF!</definedName>
    <definedName localSheetId="42" name="________MMM02">#REF!</definedName>
    <definedName localSheetId="11" name="paving">#REF!</definedName>
    <definedName localSheetId="44" name="BM">#REF!</definedName>
    <definedName localSheetId="41" name="besi12sii">#REF!</definedName>
    <definedName name="_____HAL1">#REF!</definedName>
    <definedName localSheetId="18" name="URAIAN633">#REF!</definedName>
    <definedName localSheetId="7" name="________MMM12">#REF!</definedName>
    <definedName localSheetId="18" name="vinylkaretklII">#REF!</definedName>
    <definedName localSheetId="17" name="tanggal">#REF!</definedName>
    <definedName name="_DIV2">#REF!</definedName>
    <definedName localSheetId="3" name="___MMM29">#REF!</definedName>
    <definedName localSheetId="44" name="____MMM37">#REF!</definedName>
    <definedName localSheetId="21" name="Besi1Kg">#REF!</definedName>
    <definedName localSheetId="15" name="rooflightfiibreglass">#REF!</definedName>
    <definedName localSheetId="8" name="____HAL2">#REF!</definedName>
    <definedName name="plywood6mm">#REF!</definedName>
    <definedName localSheetId="32" name="RPHL">#REF!</definedName>
    <definedName localSheetId="21" name="______MMM28">#REF!</definedName>
    <definedName localSheetId="3" name="plintubinteraluxkerang1060">#REF!</definedName>
    <definedName localSheetId="32" name="w.stain">#REF!</definedName>
    <definedName localSheetId="21" name="__LLL05">#REF!</definedName>
    <definedName localSheetId="34" name="___pvc05">#REF!</definedName>
    <definedName localSheetId="21" name="____DIV9">#REF!</definedName>
    <definedName localSheetId="3" name="___pvc205">#REF!</definedName>
    <definedName localSheetId="38" name="pindahan">#REF!</definedName>
    <definedName localSheetId="15" name="plintubinteraluxmarmer1040">#REF!</definedName>
    <definedName localSheetId="44" name="________DIV6">#REF!</definedName>
    <definedName localSheetId="7" name="Status">#REF!</definedName>
    <definedName localSheetId="10" name="FORM7612c">#REF!</definedName>
    <definedName localSheetId="7" name="____MMM09">#REF!</definedName>
    <definedName localSheetId="11" name="pakugypsum">#REF!</definedName>
    <definedName localSheetId="28" name="_______DIV4">#REF!</definedName>
    <definedName localSheetId="4" name="begisting">#REF!</definedName>
    <definedName localSheetId="4" name="_____MMM01">#REF!</definedName>
    <definedName localSheetId="6" name="batapelapisklinker">#REF!</definedName>
    <definedName localSheetId="3" name="dd">#REF!</definedName>
    <definedName localSheetId="34" name="he">#REF!</definedName>
    <definedName localSheetId="27" name="medan5.10">#REF!</definedName>
    <definedName localSheetId="11" name="URAIAN732">#REF!</definedName>
    <definedName localSheetId="7" name="_HAL5">#REF!</definedName>
    <definedName name="______MMM06">#REF!</definedName>
    <definedName localSheetId="20" name="jki">#REF!</definedName>
    <definedName localSheetId="7" name="plintkeramikartistik1020">#REF!</definedName>
    <definedName localSheetId="13" name="URAIAN621">#REF!</definedName>
    <definedName localSheetId="7" name="ubinteraluxmarmer30">#REF!</definedName>
    <definedName localSheetId="4" name="baru">#REF!</definedName>
    <definedName localSheetId="13" name="beton175m">#REF!</definedName>
    <definedName localSheetId="38" name="ubinkeramikartistik520">#REF!</definedName>
    <definedName localSheetId="7" name="_________LLL07">#REF!</definedName>
    <definedName localSheetId="42" name="kolombetonpracetak">#REF!</definedName>
    <definedName localSheetId="44" name="lemvinyl">#REF!</definedName>
    <definedName name="_MMM08">#REF!</definedName>
    <definedName localSheetId="10" name="plintubinwarna1040">#REF!</definedName>
    <definedName localSheetId="44" name="_________MMM38">#REF!</definedName>
    <definedName name="MASTER">#REF!</definedName>
    <definedName localSheetId="33" name="_____HAL2">#REF!</definedName>
    <definedName localSheetId="33" name="tanggal">#REF!</definedName>
    <definedName localSheetId="31" name="u.bekisting">#REF!</definedName>
    <definedName localSheetId="39" name="pipagalvanis">#REF!</definedName>
    <definedName localSheetId="24" name="FORM916">#REF!</definedName>
    <definedName localSheetId="28" name="_________MMM03">#REF!</definedName>
    <definedName localSheetId="28" name="_DIV10">#REF!</definedName>
    <definedName localSheetId="36" name="URAIAN21">#REF!</definedName>
    <definedName localSheetId="44" name="KERAMIK30">#REF!</definedName>
    <definedName localSheetId="6" name="roster">#REF!</definedName>
    <definedName localSheetId="24" name="DUDI">#REF!</definedName>
    <definedName localSheetId="21" name="_pvc205">#REF!</definedName>
    <definedName localSheetId="33" name="c.maxi">#REF!</definedName>
    <definedName localSheetId="32" name="SEKRETARIAT_DPRD">#REF!</definedName>
    <definedName localSheetId="23" name="jj">#REF!</definedName>
    <definedName localSheetId="6" name="ppn.m.3.20.serut">#REF!</definedName>
    <definedName localSheetId="36" name="___DIV2">#REF!</definedName>
    <definedName localSheetId="25" name="beton.225m">#REF!</definedName>
    <definedName localSheetId="11" name="________MMM03">#REF!</definedName>
    <definedName localSheetId="24" name="_______HAL2">#REF!</definedName>
    <definedName localSheetId="11" name="Catbesi">#REF!</definedName>
    <definedName localSheetId="3" name="pakugalvanis">#REF!</definedName>
    <definedName localSheetId="25" name="Closet.ddk">#REF!</definedName>
    <definedName localSheetId="19" name="kayukelas2">#REF!</definedName>
    <definedName localSheetId="44" name="Analisa70608">#REF!</definedName>
    <definedName localSheetId="21" name="URAIAN611">#REF!</definedName>
    <definedName localSheetId="21" name="________DIV8">#REF!</definedName>
    <definedName localSheetId="25" name="doorholder">#REF!</definedName>
    <definedName localSheetId="44" name="URAIAN733">#REF!</definedName>
    <definedName localSheetId="31" name="Tbt">#REF!</definedName>
    <definedName localSheetId="38" name="________DIV1">#REF!</definedName>
    <definedName localSheetId="15" name="tky">#REF!</definedName>
    <definedName localSheetId="4" name="R4..">#REF!</definedName>
    <definedName name="FORM99">#REF!</definedName>
    <definedName localSheetId="31" name="FORM7613c">#REF!</definedName>
    <definedName localSheetId="18" name="________DIV4">#REF!</definedName>
    <definedName localSheetId="42" name="papanII">#REF!</definedName>
    <definedName localSheetId="44" name="_________MMM39">#REF!</definedName>
    <definedName localSheetId="30" name="kayukudakuda">#REF!</definedName>
    <definedName localSheetId="13" name="cv">#REF!</definedName>
    <definedName localSheetId="28" name="______HAL2">#REF!</definedName>
    <definedName localSheetId="30" name="seng25">#REF!</definedName>
    <definedName localSheetId="20" name="B.Jambi">#REF!</definedName>
    <definedName localSheetId="44" name="________MMM37">#REF!</definedName>
    <definedName localSheetId="31" name="_DIV4">#REF!</definedName>
    <definedName localSheetId="11" name="ss">#REF!</definedName>
    <definedName localSheetId="7" name="b.belah">#REF!</definedName>
    <definedName name="_________DIV6">#REF!</definedName>
    <definedName localSheetId="33" name="urugankembali">#REF!</definedName>
    <definedName localSheetId="21" name="tegelplin20x20">#REF!</definedName>
    <definedName localSheetId="44" name="_____MMM15">#REF!</definedName>
    <definedName localSheetId="23" name="BAJA">#REF!</definedName>
    <definedName localSheetId="4" name="kacacermin6">#REF!</definedName>
    <definedName localSheetId="6" name="besijaringkawatbaja">#REF!</definedName>
    <definedName localSheetId="7" name="MMM35A">#REF!</definedName>
    <definedName localSheetId="40" name="vinylkaret3030">#REF!</definedName>
    <definedName localSheetId="20" name="MASTER">#REF!</definedName>
    <definedName localSheetId="21" name="_____MMM06">#REF!</definedName>
    <definedName localSheetId="24" name="list">#REF!</definedName>
    <definedName localSheetId="44" name="_______HAL8">#REF!</definedName>
    <definedName localSheetId="12" name="bjls30">#REF!</definedName>
    <definedName localSheetId="18" name="Pjgsloof">#REF!</definedName>
    <definedName localSheetId="27" name="ubinkeramikartistik1020">#REF!</definedName>
    <definedName localSheetId="32" name="_______MMM03">#REF!</definedName>
    <definedName localSheetId="4" name="plintubingranito1030">#REF!</definedName>
    <definedName name="_________DIV4">#REF!</definedName>
    <definedName localSheetId="7" name="ASPAL">#REF!</definedName>
    <definedName localSheetId="8" name="tanggal">#REF!</definedName>
    <definedName localSheetId="17" name="__MMM26">#REF!</definedName>
    <definedName localSheetId="18" name="na">#REF!</definedName>
    <definedName localSheetId="25" name="Print_title">#REF!</definedName>
    <definedName localSheetId="32" name="____DIV1">#REF!</definedName>
    <definedName localSheetId="32" name="Excel_BuiltIn_Print_Titles_1">#REF!</definedName>
    <definedName localSheetId="4" name="Overhead">#REF!</definedName>
    <definedName localSheetId="4" name="Tbt">#REF!</definedName>
    <definedName localSheetId="8" name="ppn.m.3.20.serut">#REF!</definedName>
    <definedName localSheetId="40" name="xxxxx">#REF!</definedName>
    <definedName localSheetId="31" name="_DIV1">#REF!</definedName>
    <definedName localSheetId="17" name="medan5.10">#REF!</definedName>
    <definedName localSheetId="19" name="GUIIII">#REF!</definedName>
    <definedName name="_____DIV7">#REF!</definedName>
    <definedName localSheetId="21" name="_________MMM04">#REF!</definedName>
    <definedName localSheetId="11" name="FORM744">#REF!</definedName>
    <definedName localSheetId="24" name="Ktbt">#REF!</definedName>
    <definedName localSheetId="28" name="FORM621">#REF!</definedName>
    <definedName localSheetId="18" name="rtrt">#REF!</definedName>
    <definedName localSheetId="18" name="sengbjls25">#REF!</definedName>
    <definedName localSheetId="25" name="kayuramin">#REF!</definedName>
    <definedName localSheetId="13" name="R31..">#REF!</definedName>
    <definedName localSheetId="33" name="venetionblinds">#REF!</definedName>
    <definedName localSheetId="3" name="___MMM32">#REF!</definedName>
    <definedName localSheetId="3" name="kompresor">#REF!</definedName>
    <definedName localSheetId="7" name="_MMM35">#REF!</definedName>
    <definedName localSheetId="4" name="____DIV3">#REF!</definedName>
    <definedName localSheetId="24" name="__MMM02">#REF!</definedName>
    <definedName localSheetId="13" name="platasbes">#REF!</definedName>
    <definedName localSheetId="17" name="__LLL11">#REF!</definedName>
    <definedName localSheetId="21" name="_________LLL08">#REF!</definedName>
    <definedName localSheetId="32" name="minyaksolar">#REF!</definedName>
    <definedName localSheetId="8" name="RINCIANSEWA2">#REF!</definedName>
    <definedName localSheetId="17" name="ubinteraluxmarmer30">#REF!</definedName>
    <definedName localSheetId="33" name="FORM8410">#REF!</definedName>
    <definedName localSheetId="30" name="kategori">#REF!</definedName>
    <definedName localSheetId="42" name="batutempelhitam">#REF!</definedName>
    <definedName localSheetId="40" name="oemar">#REF!</definedName>
    <definedName localSheetId="30" name="ramset">#REF!</definedName>
    <definedName localSheetId="28" name="URAIAN721">#REF!</definedName>
    <definedName localSheetId="17" name="__MMM40">#REF!</definedName>
    <definedName localSheetId="17" name="________MMM37">#REF!</definedName>
    <definedName localSheetId="25" name="FORM745">#REF!</definedName>
    <definedName localSheetId="3" name="_____DIV6">#REF!</definedName>
    <definedName localSheetId="4" name="pagar2m">#REF!</definedName>
    <definedName localSheetId="12" name="_____HAL3">#REF!</definedName>
    <definedName localSheetId="9" name="Catbesi">#REF!</definedName>
    <definedName localSheetId="42" name="_HAL1">#REF!</definedName>
    <definedName localSheetId="6" name="_________HAL1">#REF!</definedName>
    <definedName localSheetId="4" name="URAIAN7614b">#REF!</definedName>
    <definedName localSheetId="6" name="FORM732">#REF!</definedName>
    <definedName localSheetId="31" name="__DIV1">#REF!</definedName>
    <definedName localSheetId="21" name="FORM8410">#REF!</definedName>
    <definedName localSheetId="10" name="Closet.ddk">#REF!</definedName>
    <definedName localSheetId="44" name="eeeeee">#REF!</definedName>
    <definedName localSheetId="33" name="perancahkayu">#REF!</definedName>
    <definedName localSheetId="8" name="LAINLAIN">#REF!</definedName>
    <definedName localSheetId="36" name="URAIAN771c">#REF!</definedName>
    <definedName localSheetId="12" name="split1.2">#REF!</definedName>
    <definedName localSheetId="3" name="tegelpc20x20">#REF!</definedName>
    <definedName localSheetId="27" name="dempul">#REF!</definedName>
    <definedName localSheetId="6" name="asbesgelombnang">#REF!</definedName>
    <definedName localSheetId="4" name="gypsum.prf">#REF!</definedName>
    <definedName localSheetId="17" name="pintualuminium">#REF!</definedName>
    <definedName localSheetId="21" name="keramik40">#REF!</definedName>
    <definedName localSheetId="3" name="______MMM37">#REF!</definedName>
    <definedName localSheetId="5" name="alba2.20">#REF!</definedName>
    <definedName localSheetId="19" name="multi.18">#REF!</definedName>
    <definedName localSheetId="18" name="teakwood9mm">#REF!</definedName>
    <definedName localSheetId="24" name="__MMM05">#REF!</definedName>
    <definedName localSheetId="24" name="waterstop320">#REF!</definedName>
    <definedName localSheetId="39" name="residu">#REF!</definedName>
    <definedName name="Pc.50">#REF!</definedName>
    <definedName localSheetId="38" name="gggg">#REF!</definedName>
    <definedName localSheetId="32" name="R50..">#REF!</definedName>
    <definedName localSheetId="11" name="Uraian841">#REF!</definedName>
    <definedName localSheetId="10" name="tky">#REF!</definedName>
    <definedName localSheetId="3" name="R85..">#REF!</definedName>
    <definedName localSheetId="3" name="c.vinilex.dlm">#REF!</definedName>
    <definedName localSheetId="36" name="kaca.es">#REF!</definedName>
    <definedName localSheetId="28" name="bondbeam">#REF!</definedName>
    <definedName localSheetId="0" name="pintusunscreenalluminium">#REF!</definedName>
    <definedName localSheetId="13" name="Analisa55">#REF!</definedName>
    <definedName localSheetId="7" name="got">#REF!</definedName>
    <definedName localSheetId="28" name="_KOP7">#REF!</definedName>
    <definedName localSheetId="24" name="URAIAN912">#REF!</definedName>
    <definedName localSheetId="23" name="________HAL3">#REF!</definedName>
    <definedName localSheetId="30" name="sengplatbjls28">#REF!</definedName>
    <definedName localSheetId="25" name="hakangin">#REF!</definedName>
    <definedName localSheetId="4" name="DSSDD">#REF!</definedName>
    <definedName localSheetId="28" name="keramik40">#REF!</definedName>
    <definedName localSheetId="3" name="R77..">#REF!</definedName>
    <definedName localSheetId="6" name="des">#REF!</definedName>
    <definedName localSheetId="34" name="teakwood4mm">#REF!</definedName>
    <definedName localSheetId="36" name="seng25">#REF!</definedName>
    <definedName localSheetId="24" name="Pengadaan">#REF!</definedName>
    <definedName localSheetId="32" name="ubinteraso30">#REF!</definedName>
    <definedName localSheetId="30" name="Status">#REF!</definedName>
    <definedName localSheetId="36" name="_pvc105">#REF!</definedName>
    <definedName localSheetId="15" name="_______DIV1">#REF!</definedName>
    <definedName localSheetId="8" name="lp">#REF!</definedName>
    <definedName localSheetId="3" name="URAIAN635A">#REF!</definedName>
    <definedName localSheetId="34" name="teakwood9mm">#REF!</definedName>
    <definedName name="URAIAN7614e">#REF!</definedName>
    <definedName localSheetId="25" name="kaca8">#REF!</definedName>
    <definedName localSheetId="28" name="s.warna">#REF!</definedName>
    <definedName localSheetId="31" name="kunciselot">#REF!</definedName>
    <definedName localSheetId="24" name="__MMM31">#REF!</definedName>
    <definedName localSheetId="34" name="_kop5">#REF!</definedName>
    <definedName localSheetId="31" name="FORM7614c">#REF!</definedName>
    <definedName localSheetId="24" name="_MMM10">#REF!</definedName>
    <definedName localSheetId="6" name="na">#REF!</definedName>
    <definedName localSheetId="7" name="URAIAN772d">#REF!</definedName>
    <definedName localSheetId="19" name="catpenutup">#REF!</definedName>
    <definedName localSheetId="10" name="beton.225m">#REF!</definedName>
    <definedName localSheetId="25" name="_______HAL3">#REF!</definedName>
    <definedName localSheetId="28" name="sirap">#REF!</definedName>
    <definedName localSheetId="4" name="aaaa">#REF!</definedName>
    <definedName localSheetId="33" name="sengbjls25">#REF!</definedName>
    <definedName localSheetId="15" name="grendel4">#REF!</definedName>
    <definedName localSheetId="38" name="URAIAN621">#REF!</definedName>
    <definedName localSheetId="41" name="JUDUL1">#REF!</definedName>
    <definedName localSheetId="11" name="____HAL1">#REF!</definedName>
    <definedName name="__LLL02">#REF!</definedName>
    <definedName localSheetId="21" name="__MMM36">#REF!</definedName>
    <definedName localSheetId="12" name="plywood6mm">#REF!</definedName>
    <definedName localSheetId="3" name="jamtandem">#REF!</definedName>
    <definedName localSheetId="21" name="__MMM34">#REF!</definedName>
    <definedName localSheetId="24" name="_________MMM52">#REF!</definedName>
    <definedName localSheetId="19" name="strorox">#REF!</definedName>
    <definedName localSheetId="44" name="____MMM41">#REF!</definedName>
    <definedName localSheetId="34" name="STRUKTUR">#REF!</definedName>
    <definedName localSheetId="5" name="tegelpc20x20">#REF!</definedName>
    <definedName localSheetId="21" name="FORM744">#REF!</definedName>
    <definedName localSheetId="18" name="ls">#REF!</definedName>
    <definedName localSheetId="3" name="____MMM51">#REF!</definedName>
    <definedName name="__MMM28">#REF!</definedName>
    <definedName localSheetId="13" name="klosetjongkok">#REF!</definedName>
    <definedName localSheetId="3" name="______MMM36">#REF!</definedName>
    <definedName localSheetId="10" name="sengplatbjls25">#REF!</definedName>
    <definedName localSheetId="17" name="KT">#REF!</definedName>
    <definedName localSheetId="19" name="_DIV3">#REF!</definedName>
    <definedName localSheetId="31" name="kapursirih">#REF!</definedName>
    <definedName localSheetId="36" name="catmeni">#REF!</definedName>
    <definedName localSheetId="3" name="Plywood9">#REF!</definedName>
    <definedName localSheetId="41" name="_____MMM02">#REF!</definedName>
    <definedName localSheetId="38" name="JA">#REF!</definedName>
    <definedName localSheetId="38" name="k.ddg.20.25.rmn.crk">#REF!</definedName>
    <definedName localSheetId="18" name="_____DIV10">#REF!</definedName>
    <definedName localSheetId="3" name="pvc.0.5.mas.d">#REF!</definedName>
    <definedName localSheetId="40" name="_HAL4">#REF!</definedName>
    <definedName localSheetId="20" name="JA">#REF!</definedName>
    <definedName localSheetId="24" name="AGREGAT">#REF!</definedName>
    <definedName localSheetId="11" name="ubinwarna40">#REF!</definedName>
    <definedName localSheetId="17" name="______MMM16">#REF!</definedName>
    <definedName localSheetId="42" name="tl2x40">#REF!</definedName>
    <definedName localSheetId="23" name="kacapolos5mm">#REF!</definedName>
    <definedName localSheetId="11" name="Nok">#REF!</definedName>
    <definedName localSheetId="3" name="___DIV8">#REF!</definedName>
    <definedName localSheetId="39" name="R41..">#REF!</definedName>
    <definedName localSheetId="42" name="Tbs">#REF!</definedName>
    <definedName localSheetId="21" name="FORM7612c">#REF!</definedName>
    <definedName localSheetId="13" name="oemar">#REF!</definedName>
    <definedName localSheetId="9" name="URAIAN7613c">#REF!</definedName>
    <definedName name="URAIAN612">#REF!</definedName>
    <definedName localSheetId="30" name="_tl2">#REF!</definedName>
    <definedName localSheetId="17" name="_____MMM02">#REF!</definedName>
    <definedName localSheetId="4" name="besi10.sii">#REF!</definedName>
    <definedName localSheetId="7" name="________LLL08">#REF!</definedName>
    <definedName localSheetId="24" name="____MMM24">#REF!</definedName>
    <definedName localSheetId="6" name="R21..">#REF!</definedName>
    <definedName localSheetId="13" name="btn">#REF!</definedName>
    <definedName localSheetId="18" name="pipatanah">#REF!</definedName>
    <definedName localSheetId="21" name="______LLL06">#REF!</definedName>
    <definedName localSheetId="44" name="______MMM20">#REF!</definedName>
    <definedName localSheetId="44" name="keramik40">#REF!</definedName>
    <definedName localSheetId="24" name="Analisa612">#REF!</definedName>
    <definedName localSheetId="21" name="pijar15">#REF!</definedName>
    <definedName localSheetId="5" name="eeeeee">#REF!</definedName>
    <definedName localSheetId="36" name="springknip">#REF!</definedName>
    <definedName localSheetId="24" name="KunciPintu">#REF!</definedName>
    <definedName localSheetId="36" name="residu">#REF!</definedName>
    <definedName localSheetId="15" name="plamour">#REF!</definedName>
    <definedName localSheetId="9" name="plintubinwarna1040">#REF!</definedName>
    <definedName localSheetId="20" name="w">#REF!</definedName>
    <definedName localSheetId="44" name="_______MMM49">#REF!</definedName>
    <definedName localSheetId="40" name="jamtandem">#REF!</definedName>
    <definedName localSheetId="24" name="______LLL04">#REF!</definedName>
    <definedName localSheetId="4" name="Ker.L13">#REF!</definedName>
    <definedName localSheetId="8" name="URAIAN611">#REF!</definedName>
    <definedName localSheetId="18" name="cattembok">#REF!</definedName>
    <definedName localSheetId="21" name="___MMM05">#REF!</definedName>
    <definedName name="_LLL03">#REF!</definedName>
    <definedName localSheetId="42" name="floorhardenerferrovak">#REF!</definedName>
    <definedName localSheetId="21" name="R42..">#REF!</definedName>
    <definedName localSheetId="12" name="mlex.w">#REF!</definedName>
    <definedName localSheetId="25" name="JA">#REF!</definedName>
    <definedName localSheetId="21" name="_______MMM28">#REF!</definedName>
    <definedName localSheetId="4" name="papanbulian">#REF!</definedName>
    <definedName localSheetId="34" name="R3..">#REF!</definedName>
    <definedName localSheetId="21" name="URAIAN633">#REF!</definedName>
    <definedName localSheetId="21" name="_______MMM47">#REF!</definedName>
    <definedName localSheetId="18" name="______HAL3">#REF!</definedName>
    <definedName localSheetId="3" name="minyaksolar">#REF!</definedName>
    <definedName localSheetId="12" name="FORM7614b">#REF!</definedName>
    <definedName localSheetId="21" name="_______DIV4">#REF!</definedName>
    <definedName localSheetId="17" name="Plywood9">#REF!</definedName>
    <definedName localSheetId="17" name="_MMM40">#REF!</definedName>
    <definedName localSheetId="34" name="_HAL1">#REF!</definedName>
    <definedName localSheetId="23" name="URAIAN22L">#REF!</definedName>
    <definedName localSheetId="3" name="_________MMM11">#REF!</definedName>
    <definedName localSheetId="39" name="ktky">#REF!</definedName>
    <definedName localSheetId="42" name="___pc50">#REF!</definedName>
    <definedName localSheetId="28" name="cycllop">#REF!</definedName>
    <definedName localSheetId="25" name="k.beton">#REF!</definedName>
    <definedName localSheetId="21" name="kiki">#REF!</definedName>
    <definedName localSheetId="24" name="__MMM47">#REF!</definedName>
    <definedName localSheetId="41" name="______DIV3">#REF!</definedName>
    <definedName localSheetId="32" name="HP">#REF!</definedName>
    <definedName localSheetId="40" name="ls">#REF!</definedName>
    <definedName name="___MMM41">#REF!</definedName>
    <definedName localSheetId="10" name="Analisa511">#REF!</definedName>
    <definedName name="split2.3">#REF!</definedName>
    <definedName localSheetId="39" name="tukng">#REF!</definedName>
    <definedName localSheetId="30" name="FORM632">#REF!</definedName>
    <definedName localSheetId="33" name="kalkarium">#REF!</definedName>
    <definedName localSheetId="17" name="URAIAN634">#REF!</definedName>
    <definedName localSheetId="24" name="R83..">#REF!</definedName>
    <definedName name="____MMM26">#REF!</definedName>
    <definedName name="_________HAL8">#REF!</definedName>
    <definedName localSheetId="34" name="plintubinkeramikartistik1020">#REF!</definedName>
    <definedName localSheetId="21" name="Faktorial">#REF!</definedName>
    <definedName localSheetId="24" name="teakoil">#REF!</definedName>
    <definedName localSheetId="34" name="doorstop">#REF!</definedName>
    <definedName localSheetId="13" name="URAIAN745">#REF!</definedName>
    <definedName localSheetId="12" name="sementahanasam">#REF!</definedName>
    <definedName localSheetId="21" name="jki">#REF!</definedName>
    <definedName name="Skrup">#REF!</definedName>
    <definedName localSheetId="32" name="metal">#REF!</definedName>
    <definedName localSheetId="19" name="_________DIV1">#REF!</definedName>
    <definedName localSheetId="42" name="_MMM01">#REF!</definedName>
    <definedName localSheetId="23" name="_pvc205">#REF!</definedName>
    <definedName localSheetId="11" name="lp">#REF!</definedName>
    <definedName localSheetId="13" name="cattembok">#REF!</definedName>
    <definedName localSheetId="33" name="plywood4">#REF!</definedName>
    <definedName localSheetId="41" name="URAIAN7612b">#REF!</definedName>
    <definedName localSheetId="5" name="ubinwarna20">#REF!</definedName>
    <definedName localSheetId="27" name="Excel_BuiltIn_Print_Titles_1">#REF!</definedName>
    <definedName localSheetId="3" name="kayubulian">#REF!</definedName>
    <definedName localSheetId="6" name="kayuterentang">#REF!</definedName>
    <definedName localSheetId="11" name="tl2x40">#REF!</definedName>
    <definedName localSheetId="44" name="_____MMM35">#REF!</definedName>
    <definedName localSheetId="17" name="_____MMM06">#REF!</definedName>
    <definedName localSheetId="6" name="NAMA3">#REF!</definedName>
    <definedName localSheetId="24" name="tegelteraso40x40">#REF!</definedName>
    <definedName localSheetId="44" name="__LLL11">#REF!</definedName>
    <definedName localSheetId="21" name="MMM17A">#REF!</definedName>
    <definedName localSheetId="15" name="_________MMM03">#REF!</definedName>
    <definedName localSheetId="19" name="LAINLAIN">#REF!</definedName>
    <definedName localSheetId="3" name="f">#REF!</definedName>
    <definedName name="____LLL09">#REF!</definedName>
    <definedName localSheetId="19" name="pakugypsum">#REF!</definedName>
    <definedName localSheetId="24" name="_____DIV7">#REF!</definedName>
    <definedName localSheetId="13" name="URAIAN79mekanis">#REF!</definedName>
    <definedName localSheetId="27" name="URAIAN744">#REF!</definedName>
    <definedName localSheetId="40" name="L">#REF!</definedName>
    <definedName localSheetId="36" name="_________HAL2">#REF!</definedName>
    <definedName localSheetId="5" name="gali">#REF!</definedName>
    <definedName localSheetId="32" name="bakcuciteraso">#REF!</definedName>
    <definedName name="venetionblinds">#REF!</definedName>
    <definedName localSheetId="9" name="R31..">#REF!</definedName>
    <definedName localSheetId="25" name="Nok">#REF!</definedName>
    <definedName localSheetId="30" name="L">#REF!</definedName>
    <definedName localSheetId="44" name="____HAL2">#REF!</definedName>
    <definedName name="Per">#REF!</definedName>
    <definedName localSheetId="24" name="__LLL03">#REF!</definedName>
    <definedName localSheetId="6" name="tegelplinpc10x20">#REF!</definedName>
    <definedName localSheetId="38" name="kaca.es">#REF!</definedName>
    <definedName localSheetId="17" name="vinylmotifkembang">#REF!</definedName>
    <definedName localSheetId="6" name="batugranito">#REF!</definedName>
    <definedName localSheetId="21" name="ubinkeramikantislip3333">#REF!</definedName>
    <definedName localSheetId="31" name="_________HAL3">#REF!</definedName>
    <definedName localSheetId="17" name="_____MMM26">#REF!</definedName>
    <definedName localSheetId="17" name="__MMM30">#REF!</definedName>
    <definedName localSheetId="6" name="JUDUL">#REF!</definedName>
    <definedName localSheetId="31" name="kayuborneo">#REF!</definedName>
    <definedName localSheetId="20" name="B.Aparatur">#REF!</definedName>
    <definedName localSheetId="11" name="pintubesibaja">#REF!</definedName>
    <definedName localSheetId="32" name="badkip">#REF!</definedName>
    <definedName localSheetId="44" name="pakupancing">#REF!</definedName>
    <definedName localSheetId="28" name="terntang">#REF!</definedName>
    <definedName localSheetId="5" name="xxxxx">#REF!</definedName>
    <definedName localSheetId="25" name="c.maxi">#REF!</definedName>
    <definedName name="ubinwarna30">#REF!</definedName>
    <definedName localSheetId="21" name="kaca12">#REF!</definedName>
    <definedName localSheetId="6" name="gymfloor">#REF!</definedName>
    <definedName localSheetId="7" name="sabun">#REF!</definedName>
    <definedName name="batapelapisdinding">#REF!</definedName>
    <definedName localSheetId="30" name="URAIAN7613b">#REF!</definedName>
    <definedName localSheetId="23" name="FORM721">#REF!</definedName>
    <definedName localSheetId="40" name="nokgentengaspal">#REF!</definedName>
    <definedName localSheetId="33" name="kayumarsawa">#REF!</definedName>
    <definedName localSheetId="20" name="ramset">#REF!</definedName>
    <definedName localSheetId="5" name="SPJ">#REF!</definedName>
    <definedName localSheetId="39" name="lb">#REF!</definedName>
    <definedName localSheetId="12" name="Print_title">#REF!</definedName>
    <definedName name="Psr.psg">#REF!</definedName>
    <definedName localSheetId="27" name="FORM7614b">#REF!</definedName>
    <definedName localSheetId="17" name="he">#REF!</definedName>
    <definedName localSheetId="27" name="kunci2slag">#REF!</definedName>
    <definedName localSheetId="40" name="kaca.p.5">#REF!</definedName>
    <definedName localSheetId="42" name="NAMA2">#REF!</definedName>
    <definedName name="R77..">#REF!</definedName>
    <definedName name="R23..">#REF!</definedName>
    <definedName localSheetId="11" name="koralbeton">#REF!</definedName>
    <definedName localSheetId="23" name="kawatburung">#REF!</definedName>
    <definedName localSheetId="15" name="grendeltanam">#REF!</definedName>
    <definedName localSheetId="6" name="plintubinteraluxmarmer1030">#REF!</definedName>
    <definedName localSheetId="39" name="ubinteraso30">#REF!</definedName>
    <definedName localSheetId="30" name="lem">#REF!</definedName>
    <definedName localSheetId="20" name="rincian">#REF!</definedName>
    <definedName localSheetId="33" name="parquetjati">#REF!</definedName>
    <definedName localSheetId="5" name="Print_title">#REF!</definedName>
    <definedName localSheetId="13" name="FORM745">#REF!</definedName>
    <definedName localSheetId="19" name="___DIV1">#REF!</definedName>
    <definedName localSheetId="23" name="_______MMM01">#REF!</definedName>
    <definedName localSheetId="44" name="_____DIV1">#REF!</definedName>
    <definedName localSheetId="19" name="atapaluminiumgelombang055">#REF!</definedName>
    <definedName localSheetId="12" name="besi12sii">#REF!</definedName>
    <definedName localSheetId="24" name="_________DIV7">#REF!</definedName>
    <definedName localSheetId="25" name="mowi.ws">#REF!</definedName>
    <definedName localSheetId="11" name="JL_NAS">#REF!</definedName>
    <definedName localSheetId="36" name="______DIV1">#REF!</definedName>
    <definedName localSheetId="3" name="R22..">#REF!</definedName>
    <definedName localSheetId="24" name="__pc40">#REF!</definedName>
    <definedName localSheetId="18" name="UPAH">#REF!</definedName>
    <definedName localSheetId="17" name="_______LLL07">#REF!</definedName>
    <definedName localSheetId="4" name="FORM612">#REF!</definedName>
    <definedName localSheetId="21" name="URAIAN632">#REF!</definedName>
    <definedName localSheetId="17" name="_______MMM14">#REF!</definedName>
    <definedName localSheetId="9" name="___pvc105">#REF!</definedName>
    <definedName localSheetId="28" name="grendel4">#REF!</definedName>
    <definedName localSheetId="21" name="_____MMM09">#REF!</definedName>
    <definedName localSheetId="44" name="____MMM49">#REF!</definedName>
    <definedName localSheetId="10" name="Faktorial">#REF!</definedName>
    <definedName localSheetId="17" name="sdg">#REF!</definedName>
    <definedName localSheetId="23" name="semen50">#REF!</definedName>
    <definedName localSheetId="4" name="pakuhak15cm">#REF!</definedName>
    <definedName localSheetId="9" name="_MMM01">#REF!</definedName>
    <definedName localSheetId="10" name="ngsel4">#REF!</definedName>
    <definedName localSheetId="17" name="_____MMM17">#REF!</definedName>
    <definedName localSheetId="10" name="ubinkeramikartistik520">#REF!</definedName>
    <definedName localSheetId="28" name="____MMM03">#REF!</definedName>
    <definedName localSheetId="0" name="keramik20">#REF!</definedName>
    <definedName localSheetId="38" name="Tbs">#REF!</definedName>
    <definedName localSheetId="11" name="Excel_BuiltIn_Print_Area_10">#REF!</definedName>
    <definedName localSheetId="7" name="_____HAL8">#REF!</definedName>
    <definedName localSheetId="17" name="____MMM01">#REF!</definedName>
    <definedName localSheetId="13" name="f">#REF!</definedName>
    <definedName localSheetId="19" name="FORM771b">#REF!</definedName>
    <definedName localSheetId="0" name="__Tl1">#REF!</definedName>
    <definedName localSheetId="5" name="plintubinkeramikartistik1020">#REF!</definedName>
    <definedName localSheetId="6" name="Per">#REF!</definedName>
    <definedName localSheetId="17" name="_________LLL11">#REF!</definedName>
    <definedName localSheetId="20" name="urugan">#REF!</definedName>
    <definedName localSheetId="4" name="kapursirih">#REF!</definedName>
    <definedName localSheetId="3" name="___LLL09">#REF!</definedName>
    <definedName localSheetId="24" name="kompresor">#REF!</definedName>
    <definedName localSheetId="0" name="ubinkeramikartistik1020">#REF!</definedName>
    <definedName localSheetId="40" name="___DIV4">#REF!</definedName>
    <definedName localSheetId="33" name="BAHU">#REF!</definedName>
    <definedName localSheetId="34" name="_____MMM02">#REF!</definedName>
    <definedName localSheetId="9" name="bak">#REF!</definedName>
    <definedName localSheetId="34" name="____HAL1">#REF!</definedName>
    <definedName localSheetId="38" name="________MMM01">#REF!</definedName>
    <definedName localSheetId="27" name="borneo4.6">#REF!</definedName>
    <definedName localSheetId="36" name="FORM841">#REF!</definedName>
    <definedName localSheetId="17" name="Excel_BuiltIn_Print_Titles_5">#REF!</definedName>
    <definedName name="koralbeton">#REF!</definedName>
    <definedName localSheetId="7" name="_LLL08">#REF!</definedName>
    <definedName localSheetId="41" name="water.prof">#REF!</definedName>
    <definedName localSheetId="21" name="FORM845">#REF!</definedName>
    <definedName localSheetId="9" name="pintugulungbesi">#REF!</definedName>
    <definedName name="PU">#REF!</definedName>
    <definedName localSheetId="31" name="URAIAN744">#REF!</definedName>
    <definedName localSheetId="41" name="kayutembesu">#REF!</definedName>
    <definedName localSheetId="31" name="plintubinteraluxmarmer1030">#REF!</definedName>
    <definedName localSheetId="33" name="karpet">#REF!</definedName>
    <definedName localSheetId="10" name="_________DIV2">#REF!</definedName>
    <definedName localSheetId="28" name="bilikbambu">#REF!</definedName>
    <definedName localSheetId="44" name="FORM323L">#REF!</definedName>
    <definedName localSheetId="27" name="plintkeramikartistik520">#REF!</definedName>
    <definedName localSheetId="32" name="plywood6mm">#REF!</definedName>
    <definedName localSheetId="8" name="________HAL1">#REF!</definedName>
    <definedName localSheetId="44" name="Analisa70108">#REF!</definedName>
    <definedName localSheetId="11" name="medan5.7">#REF!</definedName>
    <definedName localSheetId="44" name="_____MMM36">#REF!</definedName>
    <definedName localSheetId="3" name="________DIV10">#REF!</definedName>
    <definedName localSheetId="25" name="bubungangentengbesar">#REF!</definedName>
    <definedName localSheetId="0" name="platasbes4mm">#REF!</definedName>
    <definedName localSheetId="34" name="R40..">#REF!</definedName>
    <definedName localSheetId="28" name="batapelapisklinker">#REF!</definedName>
    <definedName localSheetId="7" name="_________MMM32">#REF!</definedName>
    <definedName localSheetId="9" name="springknip">#REF!</definedName>
    <definedName localSheetId="0" name="kaca.p.5">#REF!</definedName>
    <definedName localSheetId="4" name="URAIAN7614d">#REF!</definedName>
    <definedName localSheetId="9" name="URAIAN732">#REF!</definedName>
    <definedName localSheetId="0" name="papanII">#REF!</definedName>
    <definedName localSheetId="9" name="besipresstressedpolos">#REF!</definedName>
    <definedName localSheetId="40" name="alba2.20">#REF!</definedName>
    <definedName localSheetId="6" name="__MMM01">#REF!</definedName>
    <definedName localSheetId="40" name="URAIAN611">#REF!</definedName>
    <definedName localSheetId="3" name="cendana">#REF!</definedName>
    <definedName localSheetId="10" name="pakubulian">#REF!</definedName>
    <definedName localSheetId="42" name="f.drain">#REF!</definedName>
    <definedName localSheetId="40" name="_818PK">#REF!</definedName>
    <definedName localSheetId="42" name="badkip">#REF!</definedName>
    <definedName localSheetId="18" name="_DIV3">#REF!</definedName>
    <definedName localSheetId="28" name="FORM7612c">#REF!</definedName>
    <definedName localSheetId="33" name="URAIAN771a">#REF!</definedName>
    <definedName localSheetId="44" name="_________MMM27">#REF!</definedName>
    <definedName localSheetId="30" name="___HAL2">#REF!</definedName>
    <definedName localSheetId="36" name="borneo5.10">#REF!</definedName>
    <definedName name="penduduk">#REF!</definedName>
    <definedName localSheetId="15" name="plywood6mm">#REF!</definedName>
    <definedName localSheetId="44" name="Nok">#REF!</definedName>
    <definedName localSheetId="21" name="R29..">#REF!</definedName>
    <definedName localSheetId="17" name="profilalumuniumT">#REF!</definedName>
    <definedName localSheetId="3" name="kawatsengpolos">#REF!</definedName>
    <definedName localSheetId="12" name="t.sabun">#REF!</definedName>
    <definedName localSheetId="44" name="_________MMM54">#REF!</definedName>
    <definedName localSheetId="36" name="FORM7613c">#REF!</definedName>
    <definedName localSheetId="23" name="platasbes35mm">#REF!</definedName>
    <definedName localSheetId="12" name="penduduk">#REF!</definedName>
    <definedName localSheetId="21" name="kacacermin8">#REF!</definedName>
    <definedName localSheetId="40" name="kmp.banjar">#REF!</definedName>
    <definedName localSheetId="18" name="bilikbambu">#REF!</definedName>
    <definedName localSheetId="9" name="panelbetonpracetak">#REF!</definedName>
    <definedName localSheetId="8" name="roster">#REF!</definedName>
    <definedName localSheetId="3" name="mm">#REF!</definedName>
    <definedName localSheetId="10" name="multi.18">#REF!</definedName>
    <definedName name="medan5.10">#REF!</definedName>
    <definedName localSheetId="6" name="feltexkarpetwool">#REF!</definedName>
    <definedName localSheetId="25" name="URAIAN611">#REF!</definedName>
    <definedName localSheetId="33" name="rincian">#REF!</definedName>
    <definedName localSheetId="6" name="__pvc05">#REF!</definedName>
    <definedName localSheetId="21" name="____LLL08">#REF!</definedName>
    <definedName localSheetId="44" name="pvc.3.mas.d">#REF!</definedName>
    <definedName localSheetId="33" name="Closet.c420">#REF!</definedName>
    <definedName localSheetId="20" name="URAIAN66PERATA">#REF!</definedName>
    <definedName name="FORM771b">#REF!</definedName>
    <definedName localSheetId="7" name="Analisa71106">#REF!</definedName>
    <definedName localSheetId="34" name="________MMM01">#REF!</definedName>
    <definedName localSheetId="41" name="plintubinteraluxkerang1040">#REF!</definedName>
    <definedName localSheetId="4" name="tegel20">#REF!</definedName>
    <definedName localSheetId="5" name="FORM7614a">#REF!</definedName>
    <definedName name="R106..">#REF!</definedName>
    <definedName localSheetId="3" name="___MMM19">#REF!</definedName>
    <definedName localSheetId="25" name="rapidrant">#REF!</definedName>
    <definedName name="air">#REF!</definedName>
    <definedName localSheetId="33" name="____HAL2">#REF!</definedName>
    <definedName localSheetId="39" name="pipabeton">#REF!</definedName>
    <definedName localSheetId="24" name="_______MMM18">#REF!</definedName>
    <definedName localSheetId="44" name="_______HAL2">#REF!</definedName>
    <definedName localSheetId="34" name="ngsel4">#REF!</definedName>
    <definedName localSheetId="31" name="_______DIV3">#REF!</definedName>
    <definedName localSheetId="31" name="___MMM03">#REF!</definedName>
    <definedName localSheetId="38" name="__MMM02">#REF!</definedName>
    <definedName localSheetId="19" name="grendeltanam">#REF!</definedName>
    <definedName localSheetId="19" name="mowi.ws">#REF!</definedName>
    <definedName localSheetId="44" name="___MMM30">#REF!</definedName>
    <definedName localSheetId="6" name="siap1">#REF!</definedName>
    <definedName localSheetId="3" name="eeeeee">#REF!</definedName>
    <definedName localSheetId="32" name="bubungangentengkodok">#REF!</definedName>
    <definedName localSheetId="34" name="besiprofilWF">#REF!</definedName>
    <definedName localSheetId="10" name="DFFFGGG">#REF!</definedName>
    <definedName localSheetId="9" name="sealer">#REF!</definedName>
    <definedName localSheetId="40" name="ubingranito40">#REF!</definedName>
    <definedName localSheetId="9" name="batuteraso">#REF!</definedName>
    <definedName localSheetId="7" name="R103..">#REF!</definedName>
    <definedName localSheetId="27" name="grendel4">#REF!</definedName>
    <definedName localSheetId="38" name="bjls30">#REF!</definedName>
    <definedName localSheetId="44" name="gmp">#REF!</definedName>
    <definedName name="R21..">#REF!</definedName>
    <definedName localSheetId="41" name="__pvc3">#REF!</definedName>
    <definedName localSheetId="44" name="____MMM03">#REF!</definedName>
    <definedName localSheetId="13" name="seng25">#REF!</definedName>
    <definedName localSheetId="32" name="doorholder">#REF!</definedName>
    <definedName localSheetId="39" name="jendelanako">#REF!</definedName>
    <definedName localSheetId="32" name="Faktorial">#REF!</definedName>
    <definedName localSheetId="44" name="u">#REF!</definedName>
    <definedName localSheetId="44" name="cv">#REF!</definedName>
    <definedName localSheetId="24" name="___HAL2">#REF!</definedName>
    <definedName localSheetId="8" name="teakwood6mm">#REF!</definedName>
    <definedName localSheetId="41" name="Overhead">#REF!</definedName>
    <definedName localSheetId="6" name="Gypsum">#REF!</definedName>
    <definedName localSheetId="25" name="wallpaper">#REF!</definedName>
    <definedName localSheetId="0" name="Uraian841">#REF!</definedName>
    <definedName localSheetId="13" name="terasocor">#REF!</definedName>
    <definedName localSheetId="24" name="gentengpalentongbesar">#REF!</definedName>
    <definedName localSheetId="12" name="_818FA">#REF!</definedName>
    <definedName localSheetId="12" name="P">#REF!</definedName>
    <definedName localSheetId="21" name="___HAL1">#REF!</definedName>
    <definedName localSheetId="24" name="FORM612">#REF!</definedName>
    <definedName localSheetId="28" name="ppn2.30">#REF!</definedName>
    <definedName localSheetId="17" name="FORM641L">#REF!</definedName>
    <definedName localSheetId="5" name="JUDUL1">#REF!</definedName>
    <definedName localSheetId="24" name="lb">#REF!</definedName>
    <definedName name="_______MMM09">#REF!</definedName>
    <definedName localSheetId="17" name="_____MMM23">#REF!</definedName>
    <definedName localSheetId="42" name="gypsum.prf">#REF!</definedName>
    <definedName name="gypsum.prf">#REF!</definedName>
    <definedName localSheetId="4" name="kayukulim">#REF!</definedName>
    <definedName localSheetId="27" name="bubungangentengkodok">#REF!</definedName>
    <definedName localSheetId="13" name="kacapolos5mm">#REF!</definedName>
    <definedName localSheetId="28" name="vinylkaret3030">#REF!</definedName>
    <definedName localSheetId="17" name="zzz">#REF!</definedName>
    <definedName localSheetId="24" name="FORM635">#REF!</definedName>
    <definedName localSheetId="39" name="waterstop230">#REF!</definedName>
    <definedName localSheetId="7" name="batapelapisklinker">#REF!</definedName>
    <definedName localSheetId="17" name="_____MMM31">#REF!</definedName>
    <definedName localSheetId="3" name="______MMM33">#REF!</definedName>
    <definedName localSheetId="9" name="kaca5">#REF!</definedName>
    <definedName localSheetId="7" name="URAIAN7614b">#REF!</definedName>
    <definedName localSheetId="10" name="STRUKTUR">#REF!</definedName>
    <definedName localSheetId="38" name="URAIANLatasirK">#REF!</definedName>
    <definedName localSheetId="12" name="begisting">#REF!</definedName>
    <definedName localSheetId="36" name="des">#REF!</definedName>
    <definedName localSheetId="36" name="URAIAN612">#REF!</definedName>
    <definedName localSheetId="20" name="________DIV3">#REF!</definedName>
    <definedName localSheetId="44" name="batupecah">#REF!</definedName>
    <definedName localSheetId="17" name="tukng">#REF!</definedName>
    <definedName localSheetId="44" name="FORM772d">#REF!</definedName>
    <definedName localSheetId="17" name="________LLL02">#REF!</definedName>
    <definedName localSheetId="31" name="URAIAN66PERATA">#REF!</definedName>
    <definedName localSheetId="5" name="grassblok">#REF!</definedName>
    <definedName localSheetId="38" name="b.belah">#REF!</definedName>
    <definedName localSheetId="21" name="aluminiumfoil">#REF!</definedName>
    <definedName localSheetId="5" name="split2.3">#REF!</definedName>
    <definedName localSheetId="5" name="tegelplinteraso10x30">#REF!</definedName>
    <definedName localSheetId="40" name="plintubinteraso1040">#REF!</definedName>
    <definedName localSheetId="39" name="_____MMM02">#REF!</definedName>
    <definedName localSheetId="17" name="______MMM23">#REF!</definedName>
    <definedName localSheetId="19" name="doorcloser">#REF!</definedName>
    <definedName localSheetId="33" name="plintubinwarna1040">#REF!</definedName>
    <definedName localSheetId="3" name="URAIAN95">#REF!</definedName>
    <definedName localSheetId="32" name="Galam">#REF!</definedName>
    <definedName localSheetId="32" name="papanII">#REF!</definedName>
    <definedName localSheetId="6" name="R5..">#REF!</definedName>
    <definedName localSheetId="38" name="drkeet">#REF!</definedName>
    <definedName localSheetId="5" name="__MMM01">#REF!</definedName>
    <definedName localSheetId="31" name="_______MMM02">#REF!</definedName>
    <definedName localSheetId="36" name="_HAL4">#REF!</definedName>
    <definedName localSheetId="24" name="_______MMM03">#REF!</definedName>
    <definedName localSheetId="24" name="SSSSSSSSSSSSSSSSSSSSSSSSSSSSS">#REF!</definedName>
    <definedName localSheetId="24" name="w">#REF!</definedName>
    <definedName localSheetId="34" name="tes">#REF!</definedName>
    <definedName localSheetId="3" name="______MMM12">#REF!</definedName>
    <definedName localSheetId="27" name="______DIV4">#REF!</definedName>
    <definedName localSheetId="10" name="metal">#REF!</definedName>
    <definedName localSheetId="34" name="_________MMM02">#REF!</definedName>
    <definedName localSheetId="34" name="jurnal">#REF!</definedName>
    <definedName localSheetId="12" name="ASISTEN_BIDANG_PEMERINTAHAN">#REF!</definedName>
    <definedName localSheetId="42" name="_DIV2">#REF!</definedName>
    <definedName localSheetId="3" name="plastik">#REF!</definedName>
    <definedName localSheetId="44" name="_HAL6">#REF!</definedName>
    <definedName localSheetId="21" name="________LLL01">#REF!</definedName>
    <definedName localSheetId="42" name="xxxxx">#REF!</definedName>
    <definedName localSheetId="13" name="kayualbasiah">#REF!</definedName>
    <definedName localSheetId="44" name="engseljendela">#REF!</definedName>
    <definedName localSheetId="10" name="________DIV2">#REF!</definedName>
    <definedName localSheetId="28" name="Kunci2">#REF!</definedName>
    <definedName localSheetId="42" name="kacacermin8">#REF!</definedName>
    <definedName localSheetId="36" name="keramik40">#REF!</definedName>
    <definedName localSheetId="12" name="_____MMM01">#REF!</definedName>
    <definedName localSheetId="12" name="k.ddg.20.25.rmn.crk">#REF!</definedName>
    <definedName localSheetId="7" name="_______LLL03">#REF!</definedName>
    <definedName localSheetId="36" name="FORM323L">#REF!</definedName>
    <definedName localSheetId="24" name="___MMM32">#REF!</definedName>
    <definedName localSheetId="33" name="gabin_al">#REF!</definedName>
    <definedName name="__MMM10">#REF!</definedName>
    <definedName localSheetId="19" name="plesteran13">#REF!</definedName>
    <definedName localSheetId="40" name="URAIAN7613c">#REF!</definedName>
    <definedName localSheetId="42" name="pipatanah">#REF!</definedName>
    <definedName localSheetId="7" name="____MMM36">#REF!</definedName>
    <definedName localSheetId="31" name="pajak">#REF!</definedName>
    <definedName localSheetId="38" name="karpet">#REF!</definedName>
    <definedName localSheetId="19" name="Fak">#REF!</definedName>
    <definedName localSheetId="18" name="_________DIV2">#REF!</definedName>
    <definedName localSheetId="0" name="JUDUL1">#REF!</definedName>
    <definedName localSheetId="36" name="__HAL4">#REF!</definedName>
    <definedName localSheetId="5" name="doorstop">#REF!</definedName>
    <definedName localSheetId="24" name="pintugulungbesi">#REF!</definedName>
    <definedName localSheetId="5" name="coveartistik">#REF!</definedName>
    <definedName localSheetId="40" name="pasirsilika">#REF!</definedName>
    <definedName localSheetId="24" name="R48..">#REF!</definedName>
    <definedName localSheetId="25" name="tky">#REF!</definedName>
    <definedName localSheetId="44" name="URAIAN734">#REF!</definedName>
    <definedName localSheetId="39" name="RoolingdoorAlumunium">#REF!</definedName>
    <definedName localSheetId="9" name="kayuramin">#REF!</definedName>
    <definedName localSheetId="5" name="_______HAL3">#REF!</definedName>
    <definedName name="beton.tumbuk">#REF!</definedName>
    <definedName localSheetId="17" name="pvc.2.5.Mas.d">#REF!</definedName>
    <definedName localSheetId="25" name="rincian">#REF!</definedName>
    <definedName localSheetId="21" name="__MMM19">#REF!</definedName>
    <definedName localSheetId="24" name="___MMM20">#REF!</definedName>
    <definedName localSheetId="12" name="Papanbouplank">#REF!</definedName>
    <definedName localSheetId="42" name="kacawireglass5">#REF!</definedName>
    <definedName localSheetId="27" name="tegelplin20x20">#REF!</definedName>
    <definedName localSheetId="23" name="R51..">#REF!</definedName>
    <definedName localSheetId="44" name="ppn.m.3.20.serut">#REF!</definedName>
    <definedName localSheetId="7" name="NAMA3">#REF!</definedName>
    <definedName localSheetId="10" name="UPAH">#REF!</definedName>
    <definedName localSheetId="42" name="_________DIV1">#REF!</definedName>
    <definedName localSheetId="5" name="besijaringkawatbaja">#REF!</definedName>
    <definedName localSheetId="13" name="plintubinteraluxmarmer1030">#REF!</definedName>
    <definedName localSheetId="7" name="URAIAN234L">#REF!</definedName>
    <definedName localSheetId="10" name="FORMLatasirKL">#REF!</definedName>
    <definedName localSheetId="28" name="tes">#REF!</definedName>
    <definedName localSheetId="4" name="URAIAN745">#REF!</definedName>
    <definedName localSheetId="27" name="plywood6mm">#REF!</definedName>
    <definedName localSheetId="33" name="plintubinteraluxkerang1040">#REF!</definedName>
    <definedName localSheetId="44" name="___MMM19">#REF!</definedName>
    <definedName localSheetId="30" name="______HAL2">#REF!</definedName>
    <definedName localSheetId="5" name="__pvc105">#REF!</definedName>
    <definedName localSheetId="11" name="__pvc105">#REF!</definedName>
    <definedName localSheetId="11" name="beton175R">#REF!</definedName>
    <definedName localSheetId="11" name="data2">#REF!</definedName>
    <definedName localSheetId="24" name="___MMM30">#REF!</definedName>
    <definedName localSheetId="38" name="lp">#REF!</definedName>
    <definedName localSheetId="40" name="psr.trs">#REF!</definedName>
    <definedName localSheetId="41" name="___pvc205">#REF!</definedName>
    <definedName localSheetId="3" name="____MMM37">#REF!</definedName>
    <definedName localSheetId="31" name="plintubinwarna1020">#REF!</definedName>
    <definedName localSheetId="31" name="cattembok">#REF!</definedName>
    <definedName localSheetId="8" name="____HAL1">#REF!</definedName>
    <definedName localSheetId="30" name="URAIAN721">#REF!</definedName>
    <definedName localSheetId="8" name="tegel20">#REF!</definedName>
    <definedName localSheetId="4" name="pipatanah">#REF!</definedName>
    <definedName localSheetId="0" name="rooflightfiibreglass">#REF!</definedName>
    <definedName name="_______MMM25">#REF!</definedName>
    <definedName localSheetId="5" name="cendana">#REF!</definedName>
    <definedName localSheetId="21" name="catpenutup">#REF!</definedName>
    <definedName localSheetId="8" name="kayujati">#REF!</definedName>
    <definedName localSheetId="44" name="_______MMM48">#REF!</definedName>
    <definedName localSheetId="3" name="R60..">#REF!</definedName>
    <definedName localSheetId="34" name="URAIAN66PERMUKAAN">#REF!</definedName>
    <definedName localSheetId="21" name="gentengpaletongbesar">#REF!</definedName>
    <definedName name="rincian">#REF!</definedName>
    <definedName localSheetId="33" name="u.bekisting">#REF!</definedName>
    <definedName localSheetId="5" name="atapaluminiumgelombang055">#REF!</definedName>
    <definedName localSheetId="4" name="KERAMIK30">#REF!</definedName>
    <definedName localSheetId="3" name="flordrain">#REF!</definedName>
    <definedName localSheetId="13" name="FORMLatasirKL">#REF!</definedName>
    <definedName localSheetId="28" name="lem">#REF!</definedName>
    <definedName localSheetId="0" name="klosetjongkok">#REF!</definedName>
    <definedName localSheetId="31" name="wwww">#REF!</definedName>
    <definedName localSheetId="6" name="M">#REF!</definedName>
    <definedName localSheetId="41" name="______HAL3">#REF!</definedName>
    <definedName localSheetId="39" name="____MMM01">#REF!</definedName>
    <definedName localSheetId="27" name="leni">#REF!</definedName>
    <definedName localSheetId="0" name="papanbulian">#REF!</definedName>
    <definedName localSheetId="42" name="________DIV1">#REF!</definedName>
    <definedName localSheetId="20" name="Kunci2">#REF!</definedName>
    <definedName localSheetId="27" name="URAIAN79manual">#REF!</definedName>
    <definedName localSheetId="40" name="URAIAN621">#REF!</definedName>
    <definedName localSheetId="32" name="parquetjati">#REF!</definedName>
    <definedName localSheetId="34" name="kayujati">#REF!</definedName>
    <definedName name="beton100kg">#REF!</definedName>
    <definedName localSheetId="33" name="URAIAN621">#REF!</definedName>
    <definedName localSheetId="41" name="beton175R">#REF!</definedName>
    <definedName localSheetId="4" name="ubinkeramikartistik1020">#REF!</definedName>
    <definedName localSheetId="38" name="URAIAN721">#REF!</definedName>
    <definedName localSheetId="17" name="PU">#REF!</definedName>
    <definedName localSheetId="38" name="FORM66PERATA">#REF!</definedName>
    <definedName localSheetId="3" name="__MMM35">#REF!</definedName>
    <definedName localSheetId="41" name="___HAL3">#REF!</definedName>
    <definedName localSheetId="17" name="plintubinwarna1020">#REF!</definedName>
    <definedName localSheetId="42" name="y">#REF!</definedName>
    <definedName localSheetId="10" name="lis">#REF!</definedName>
    <definedName localSheetId="17" name="siap1">#REF!</definedName>
    <definedName localSheetId="40" name="sengplatbjls28">#REF!</definedName>
    <definedName localSheetId="33" name="strorox">#REF!</definedName>
    <definedName localSheetId="6" name="__DIV4">#REF!</definedName>
    <definedName localSheetId="21" name="bakcuciteraso">#REF!</definedName>
    <definedName localSheetId="17" name="JUDUL1">#REF!</definedName>
    <definedName localSheetId="18" name="_LLL03">#REF!</definedName>
    <definedName localSheetId="30" name="FORM612">#REF!</definedName>
    <definedName localSheetId="44" name="__LLL10">#REF!</definedName>
    <definedName localSheetId="3" name="_______MMM44">#REF!</definedName>
    <definedName localSheetId="9" name="_pvc105">#REF!</definedName>
    <definedName localSheetId="21" name="R49..">#REF!</definedName>
    <definedName localSheetId="28" name="tl2x40">#REF!</definedName>
    <definedName localSheetId="28" name="_kop5">#REF!</definedName>
    <definedName localSheetId="27" name="Pc.50">#REF!</definedName>
    <definedName localSheetId="12" name="URAIAN7612c">#REF!</definedName>
    <definedName localSheetId="33" name="URAIAN7612c">#REF!</definedName>
    <definedName localSheetId="38" name="papan.m.3.20">#REF!</definedName>
    <definedName name="R85..">#REF!</definedName>
    <definedName localSheetId="10" name="kayualbasiah">#REF!</definedName>
    <definedName localSheetId="7" name="k.roman.40.40.polos">#REF!</definedName>
    <definedName localSheetId="34" name="________MMM02">#REF!</definedName>
    <definedName localSheetId="9" name="sdg">#REF!</definedName>
    <definedName localSheetId="7" name="k.lnt.rmn.20.20.crk">#REF!</definedName>
    <definedName localSheetId="19" name="URAIAN234L">#REF!</definedName>
    <definedName localSheetId="13" name="_DIV1">#REF!</definedName>
    <definedName localSheetId="24" name="___MMM37">#REF!</definedName>
    <definedName localSheetId="10" name="_____DIV4">#REF!</definedName>
    <definedName localSheetId="11" name="karpetwooldannilon">#REF!</definedName>
    <definedName localSheetId="25" name="URAIAN744">#REF!</definedName>
    <definedName localSheetId="7" name="__MMM19">#REF!</definedName>
    <definedName localSheetId="7" name="URAIAN79mekanis">#REF!</definedName>
    <definedName localSheetId="8" name="ARI">#REF!</definedName>
    <definedName localSheetId="4" name="URAIAN771a">#REF!</definedName>
    <definedName localSheetId="19" name="R41..">#REF!</definedName>
    <definedName localSheetId="3" name="_________MMM23">#REF!</definedName>
    <definedName name="kacacermin8">#REF!</definedName>
    <definedName localSheetId="44" name="___MMM07">#REF!</definedName>
    <definedName localSheetId="21" name="sealtape">#REF!</definedName>
    <definedName localSheetId="13" name="split2.3">#REF!</definedName>
    <definedName localSheetId="17" name="URAIAN612">#REF!</definedName>
    <definedName localSheetId="44" name="SPJa">#REF!</definedName>
    <definedName localSheetId="12" name="list">#REF!</definedName>
    <definedName localSheetId="42" name="dasar">#REF!</definedName>
    <definedName localSheetId="40" name="jffhauifhauifhe">#REF!</definedName>
    <definedName localSheetId="42" name="URAIAN7612b">#REF!</definedName>
    <definedName localSheetId="36" name="KECAMATAN_KODEOHA">#REF!</definedName>
    <definedName localSheetId="7" name="tbkr">#REF!</definedName>
    <definedName localSheetId="10" name="R30..">#REF!</definedName>
    <definedName localSheetId="18" name="papanII">#REF!</definedName>
    <definedName localSheetId="33" name="URAIAN631">#REF!</definedName>
    <definedName localSheetId="8" name="________HAL3">#REF!</definedName>
    <definedName localSheetId="34" name="___HAL1">#REF!</definedName>
    <definedName localSheetId="28" name="FORM771c">#REF!</definedName>
    <definedName localSheetId="13" name="Jasa">#REF!</definedName>
    <definedName localSheetId="44" name="LemAibon">#REF!</definedName>
    <definedName localSheetId="36" name="kuncisilinder">#REF!</definedName>
    <definedName localSheetId="24" name="_HAL4">#REF!</definedName>
    <definedName localSheetId="15" name="BPS">#REF!</definedName>
    <definedName localSheetId="23" name="kaca12">#REF!</definedName>
    <definedName name="borneo5.10">#REF!</definedName>
    <definedName localSheetId="23" name="pagarseng2m">#REF!</definedName>
    <definedName localSheetId="44" name="__MMM41">#REF!</definedName>
    <definedName localSheetId="40" name="URAIAN66PERMUKAAN">#REF!</definedName>
    <definedName localSheetId="24" name="_LLL06">#REF!</definedName>
    <definedName localSheetId="17" name="_______MMM46">#REF!</definedName>
    <definedName localSheetId="19" name="Jendelabesibaja">#REF!</definedName>
    <definedName localSheetId="42" name="drkeet">#REF!</definedName>
    <definedName localSheetId="18" name="split1.2">#REF!</definedName>
    <definedName localSheetId="12" name="roster">#REF!</definedName>
    <definedName localSheetId="20" name="mapel">#REF!</definedName>
    <definedName localSheetId="32" name="_HAL5">#REF!</definedName>
    <definedName localSheetId="18" name="vinylasbes">#REF!</definedName>
    <definedName localSheetId="40" name="engsel4">#REF!</definedName>
    <definedName localSheetId="28" name="waterdrainaksesoris">#REF!</definedName>
    <definedName localSheetId="24" name="R45..">#REF!</definedName>
    <definedName localSheetId="34" name="kayukelas2">#REF!</definedName>
    <definedName localSheetId="20" name="Nokmetal3mm">#REF!</definedName>
    <definedName localSheetId="39" name="URAIAN7614b">#REF!</definedName>
    <definedName localSheetId="23" name="Akustik">#REF!</definedName>
    <definedName name="Analisa70706">#REF!</definedName>
    <definedName localSheetId="38" name="________DIV10">#REF!</definedName>
    <definedName localSheetId="7" name="_tl2">#REF!</definedName>
    <definedName localSheetId="17" name="FORM651">#REF!</definedName>
    <definedName localSheetId="9" name="__DIV10">#REF!</definedName>
    <definedName localSheetId="9" name="waterdrainaksesoris">#REF!</definedName>
    <definedName localSheetId="24" name="drainase">#REF!</definedName>
    <definedName localSheetId="8" name="_pvc3">#REF!</definedName>
    <definedName localSheetId="38" name="R10..">#REF!</definedName>
    <definedName localSheetId="28" name="plesteran13">#REF!</definedName>
    <definedName localSheetId="11" name="________DIV2">#REF!</definedName>
    <definedName localSheetId="32" name="MATERIAL">#REF!</definedName>
    <definedName localSheetId="13" name="UP">#REF!</definedName>
    <definedName localSheetId="21" name="_____LLL06">#REF!</definedName>
    <definedName localSheetId="17" name="_______MMM32">#REF!</definedName>
    <definedName localSheetId="25" name="__pvc05">#REF!</definedName>
    <definedName name="____HAL7">#REF!</definedName>
    <definedName localSheetId="7" name="plintubinteraso1030">#REF!</definedName>
    <definedName localSheetId="40" name="SPJ">#REF!</definedName>
    <definedName localSheetId="24" name="_DIV2">#REF!</definedName>
    <definedName localSheetId="40" name="besiprofilWF">#REF!</definedName>
    <definedName localSheetId="18" name="FORM7612c">#REF!</definedName>
    <definedName localSheetId="7" name="R39..">#REF!</definedName>
    <definedName localSheetId="28" name="________DIV1">#REF!</definedName>
    <definedName name="_____MMM29">#REF!</definedName>
    <definedName localSheetId="44" name="kacapolos5mm">#REF!</definedName>
    <definedName localSheetId="32" name="floorhardenerferrovak">#REF!</definedName>
    <definedName localSheetId="3" name="R4..">#REF!</definedName>
    <definedName localSheetId="41" name="R1..">#REF!</definedName>
    <definedName localSheetId="42" name="SPJ">#REF!</definedName>
    <definedName localSheetId="30" name="_pp1">#REF!</definedName>
    <definedName localSheetId="6" name="__pvc3">#REF!</definedName>
    <definedName localSheetId="21" name="_____DIV7">#REF!</definedName>
    <definedName localSheetId="3" name="_____HAL7">#REF!</definedName>
    <definedName localSheetId="12" name="aa">#REF!</definedName>
    <definedName localSheetId="31" name="Meni">#REF!</definedName>
    <definedName localSheetId="23" name="engsel4">#REF!</definedName>
    <definedName localSheetId="10" name="vinylkaret3030">#REF!</definedName>
    <definedName localSheetId="25" name="jurnal1">#REF!</definedName>
    <definedName localSheetId="30" name="pipabeton">#REF!</definedName>
    <definedName localSheetId="40" name="MASTER">#REF!</definedName>
    <definedName name="_____LLL05">#REF!</definedName>
    <definedName localSheetId="41" name="ASET">#REF!</definedName>
    <definedName localSheetId="17" name="_MMM36">#REF!</definedName>
    <definedName name="__DIV9">#REF!</definedName>
    <definedName localSheetId="21" name="_MMM45">#REF!</definedName>
    <definedName localSheetId="13" name="relpintudorong">#REF!</definedName>
    <definedName localSheetId="12" name="kacawireglass5">#REF!</definedName>
    <definedName localSheetId="5" name="_DIV4">#REF!</definedName>
    <definedName localSheetId="41" name="ARI">#REF!</definedName>
    <definedName localSheetId="17" name="____MMM14">#REF!</definedName>
    <definedName localSheetId="7" name="tegelteraso40x40">#REF!</definedName>
    <definedName localSheetId="33" name="tempatcucipiring">#REF!</definedName>
    <definedName localSheetId="4" name="Aluminium">#REF!</definedName>
    <definedName localSheetId="20" name="kayukamper">#REF!</definedName>
    <definedName localSheetId="3" name="plintubinteraso1030">#REF!</definedName>
    <definedName localSheetId="39" name="gypsum.9">#REF!</definedName>
    <definedName localSheetId="24" name="_MMM44">#REF!</definedName>
    <definedName localSheetId="17" name="_pvc205">#REF!</definedName>
    <definedName name="URAIANLatasirKL">#REF!</definedName>
    <definedName localSheetId="17" name="___MMM38">#REF!</definedName>
    <definedName localSheetId="18" name="kawatduri">#REF!</definedName>
    <definedName localSheetId="41" name="Excel_BuiltIn_Print_Titles_1">#REF!</definedName>
    <definedName localSheetId="7" name="R32..">#REF!</definedName>
    <definedName localSheetId="0" name="ubinkeramik1033">#REF!</definedName>
    <definedName localSheetId="39" name="cv">#REF!</definedName>
    <definedName localSheetId="6" name="____HAL3">#REF!</definedName>
    <definedName localSheetId="20" name="Gypsum">#REF!</definedName>
    <definedName localSheetId="11" name="___pc50">#REF!</definedName>
    <definedName localSheetId="9" name="_HAL1">#REF!</definedName>
    <definedName name="____MMM15">#REF!</definedName>
    <definedName localSheetId="4" name="FORM744">#REF!</definedName>
    <definedName localSheetId="7" name="Analisa512">#REF!</definedName>
    <definedName localSheetId="28" name="kuncialfa">#REF!</definedName>
    <definedName localSheetId="21" name="tanggal">#REF!</definedName>
    <definedName localSheetId="24" name="plintubinwarna1040">#REF!</definedName>
    <definedName localSheetId="21" name="____HAL5">#REF!</definedName>
    <definedName localSheetId="21" name="t.sabun">#REF!</definedName>
    <definedName localSheetId="32" name="kayukudakuda">#REF!</definedName>
    <definedName localSheetId="3" name="____MMM40">#REF!</definedName>
    <definedName localSheetId="0" name="atapaluminiumgelombang055">#REF!</definedName>
    <definedName localSheetId="17" name="___LLL05">#REF!</definedName>
    <definedName localSheetId="13" name="vertikalsblinds">#REF!</definedName>
    <definedName name="_______MMM38">#REF!</definedName>
    <definedName localSheetId="25" name="__pvc3">#REF!</definedName>
    <definedName localSheetId="33" name="URAIAN79mekanis">#REF!</definedName>
    <definedName localSheetId="0" name="nokpaten092">#REF!</definedName>
    <definedName localSheetId="9" name="___MMM01">#REF!</definedName>
    <definedName localSheetId="44" name="URAIANLatasirKL">#REF!</definedName>
    <definedName localSheetId="44" name="__MMM26">#REF!</definedName>
    <definedName localSheetId="28" name="kayujati">#REF!</definedName>
    <definedName localSheetId="4" name="DFFFGGG">#REF!</definedName>
    <definedName localSheetId="24" name="_____LLL10">#REF!</definedName>
    <definedName localSheetId="33" name="__DIV3">#REF!</definedName>
    <definedName localSheetId="3" name="sealer.vini">#REF!</definedName>
    <definedName localSheetId="7" name="________LLL01">#REF!</definedName>
    <definedName localSheetId="3" name="_________MMM34">#REF!</definedName>
    <definedName localSheetId="15" name="aaaaa">#REF!</definedName>
    <definedName localSheetId="7" name="pddk">#REF!</definedName>
    <definedName localSheetId="36" name="FORM66PERATA">#REF!</definedName>
    <definedName name="stairnzing">#REF!</definedName>
    <definedName localSheetId="3" name="_______MMM12">#REF!</definedName>
    <definedName localSheetId="33" name="BAJA">#REF!</definedName>
    <definedName localSheetId="8" name="___pvc05">#REF!</definedName>
    <definedName localSheetId="4" name="bouwplnk">#REF!</definedName>
    <definedName localSheetId="33" name="FORM633">#REF!</definedName>
    <definedName localSheetId="31" name="penduduk">#REF!</definedName>
    <definedName localSheetId="6" name="B.Jambi">#REF!</definedName>
    <definedName localSheetId="24" name="_______MMM43">#REF!</definedName>
    <definedName localSheetId="44" name="kawatjaring">#REF!</definedName>
    <definedName localSheetId="30" name="STRUKTUR">#REF!</definedName>
    <definedName localSheetId="42" name="B.Jambi">#REF!</definedName>
    <definedName localSheetId="41" name="sodaapi">#REF!</definedName>
    <definedName localSheetId="17" name="__pvc05">#REF!</definedName>
    <definedName localSheetId="38" name="URAIAN7614d">#REF!</definedName>
    <definedName localSheetId="0" name="tempatcucipiring">#REF!</definedName>
    <definedName localSheetId="9" name="badkip">#REF!</definedName>
    <definedName localSheetId="11" name="_DIV10">#REF!</definedName>
    <definedName localSheetId="24" name="f">#REF!</definedName>
    <definedName localSheetId="40" name="kaca8">#REF!</definedName>
    <definedName localSheetId="31" name="kenek">#REF!</definedName>
    <definedName localSheetId="3" name="_____MMM11">#REF!</definedName>
    <definedName localSheetId="30" name="bouwplnk">#REF!</definedName>
    <definedName localSheetId="42" name="FORM744">#REF!</definedName>
    <definedName localSheetId="25" name="FORM7610">#REF!</definedName>
    <definedName localSheetId="24" name="_MMM37">#REF!</definedName>
    <definedName localSheetId="7" name="asbesgelombnang">#REF!</definedName>
    <definedName localSheetId="30" name="plintkeramikartistik1020">#REF!</definedName>
    <definedName localSheetId="24" name="batupecah">#REF!</definedName>
    <definedName localSheetId="30" name="rollingdoor">#REF!</definedName>
    <definedName localSheetId="33" name="_______MMM01">#REF!</definedName>
    <definedName localSheetId="12" name="sealer">#REF!</definedName>
    <definedName localSheetId="39" name="sirlak">#REF!</definedName>
    <definedName localSheetId="32" name="R6..">#REF!</definedName>
    <definedName localSheetId="7" name="formica">#REF!</definedName>
    <definedName localSheetId="20" name="___DIV1">#REF!</definedName>
    <definedName localSheetId="31" name="gggg">#REF!</definedName>
    <definedName localSheetId="28" name="k.ddg.rmn.20.25.pls">#REF!</definedName>
    <definedName localSheetId="42" name="KTM">#REF!</definedName>
    <definedName localSheetId="7" name="_MMM02">#REF!</definedName>
    <definedName localSheetId="34" name="Pc.50">#REF!</definedName>
    <definedName localSheetId="11" name="bouwplnk">#REF!</definedName>
    <definedName localSheetId="20" name="FORM66PERMUKAAN">#REF!</definedName>
    <definedName localSheetId="44" name="wallpaper">#REF!</definedName>
    <definedName localSheetId="6" name="bouwplnk">#REF!</definedName>
    <definedName name="semenwarna">#REF!</definedName>
    <definedName localSheetId="10" name="pasirpas">#REF!</definedName>
    <definedName localSheetId="30" name="__HAL5">#REF!</definedName>
    <definedName localSheetId="25" name="split2.3">#REF!</definedName>
    <definedName localSheetId="10" name="Lamp">#REF!</definedName>
    <definedName localSheetId="18" name="ubinkeramik1033">#REF!</definedName>
    <definedName localSheetId="10" name="bondbeam">#REF!</definedName>
    <definedName localSheetId="36" name="c.mowi.dlm">#REF!</definedName>
    <definedName localSheetId="40" name="kayukelas2">#REF!</definedName>
    <definedName localSheetId="21" name="R75..">#REF!</definedName>
    <definedName localSheetId="32" name="_____HAL1">#REF!</definedName>
    <definedName localSheetId="18" name="besijaringkawatbaja">#REF!</definedName>
    <definedName localSheetId="17" name="________MMM39">#REF!</definedName>
    <definedName localSheetId="17" name="ss">#REF!</definedName>
    <definedName localSheetId="5" name="bakkontrol">#REF!</definedName>
    <definedName localSheetId="10" name="tp80x80">#REF!</definedName>
    <definedName localSheetId="33" name="__HAL1">#REF!</definedName>
    <definedName localSheetId="15" name="papanII">#REF!</definedName>
    <definedName localSheetId="34" name="__DIV3">#REF!</definedName>
    <definedName name="Closet.ddk">#REF!</definedName>
    <definedName localSheetId="3" name="________LLL04">#REF!</definedName>
    <definedName localSheetId="28" name="MINOR">#REF!</definedName>
    <definedName localSheetId="33" name="FORM7613c">#REF!</definedName>
    <definedName localSheetId="7" name="kusen">#REF!</definedName>
    <definedName localSheetId="8" name="_______MMM02">#REF!</definedName>
    <definedName localSheetId="5" name="pagarseng2m">#REF!</definedName>
    <definedName localSheetId="17" name="__MMM411">#REF!</definedName>
    <definedName localSheetId="17" name="______MMM47">#REF!</definedName>
    <definedName localSheetId="11" name="batamerah">#REF!</definedName>
    <definedName localSheetId="20" name="batugranito">#REF!</definedName>
    <definedName localSheetId="6" name="URAIAN7613c">#REF!</definedName>
    <definedName localSheetId="19" name="plintubinteraso1030">#REF!</definedName>
    <definedName localSheetId="10" name="data2">#REF!</definedName>
    <definedName localSheetId="31" name="FORM744">#REF!</definedName>
    <definedName localSheetId="20" name="tlistrik">#REF!</definedName>
    <definedName localSheetId="24" name="_________MMM41">#REF!</definedName>
    <definedName localSheetId="39" name="Gypsum">#REF!</definedName>
    <definedName localSheetId="3" name="_____HAL1">#REF!</definedName>
    <definedName localSheetId="39" name="data2">#REF!</definedName>
    <definedName localSheetId="13" name="_____DIV2">#REF!</definedName>
    <definedName localSheetId="24" name="_________HAL5">#REF!</definedName>
    <definedName localSheetId="7" name="d">#REF!</definedName>
    <definedName localSheetId="3" name="_____MMM42">#REF!</definedName>
    <definedName name="____LLL03">#REF!</definedName>
    <definedName localSheetId="21" name="__tl2">#REF!</definedName>
    <definedName localSheetId="11" name="_818PK">#REF!</definedName>
    <definedName localSheetId="39" name="___pc50">#REF!</definedName>
    <definedName localSheetId="3" name="FORM612">#REF!</definedName>
    <definedName localSheetId="19" name="Uraian841">#REF!</definedName>
    <definedName localSheetId="39" name="Kekurangan">#REF!</definedName>
    <definedName localSheetId="8" name="FORM7610">#REF!</definedName>
    <definedName localSheetId="44" name="_____MMM29">#REF!</definedName>
    <definedName localSheetId="11" name="platasbes4mm">#REF!</definedName>
    <definedName localSheetId="24" name="__MMM27">#REF!</definedName>
    <definedName localSheetId="44" name="R40..">#REF!</definedName>
    <definedName localSheetId="12" name="floorhardenermastercron">#REF!</definedName>
    <definedName localSheetId="20" name="nokpaten092">#REF!</definedName>
    <definedName name="teakwood6mm">#REF!</definedName>
    <definedName localSheetId="42" name="_818FA">#REF!</definedName>
    <definedName localSheetId="13" name="Z">#REF!</definedName>
    <definedName localSheetId="10" name="bjls30">#REF!</definedName>
    <definedName localSheetId="19" name="___pvc205">#REF!</definedName>
    <definedName localSheetId="3" name="aaaaaaaaaaa">#REF!</definedName>
    <definedName localSheetId="7" name="______HAL2">#REF!</definedName>
    <definedName localSheetId="3" name="Analisa70107">#REF!</definedName>
    <definedName localSheetId="3" name="_MMM31">#REF!</definedName>
    <definedName localSheetId="19" name="FORM7614a">#REF!</definedName>
    <definedName localSheetId="11" name="gentengbeton">#REF!</definedName>
    <definedName localSheetId="44" name="____MMM22">#REF!</definedName>
    <definedName localSheetId="11" name="ubinwarna30">#REF!</definedName>
    <definedName localSheetId="40" name="_pvc205">#REF!</definedName>
    <definedName localSheetId="39" name="tegel20">#REF!</definedName>
    <definedName localSheetId="20" name="URAIAN234L">#REF!</definedName>
    <definedName localSheetId="17" name="FORM731">#REF!</definedName>
    <definedName localSheetId="41" name="UP">#REF!</definedName>
    <definedName localSheetId="25" name="Skrup">#REF!</definedName>
    <definedName localSheetId="27" name="ASISTEN_BIDANG_PEMERINTAHAN">#REF!</definedName>
    <definedName localSheetId="9" name="rooflightfiibreglass">#REF!</definedName>
    <definedName localSheetId="15" name="HP">#REF!</definedName>
    <definedName localSheetId="0" name="__DIV3">#REF!</definedName>
    <definedName localSheetId="7" name="KECAMATAN_KODEOHA">#REF!</definedName>
    <definedName localSheetId="28" name="pintulipat">#REF!</definedName>
    <definedName localSheetId="8" name="__Tl1">#REF!</definedName>
    <definedName localSheetId="28" name="Pjgsloof">#REF!</definedName>
    <definedName localSheetId="7" name="ubinpcabuabu30">#REF!</definedName>
    <definedName localSheetId="21" name="___MMM411">#REF!</definedName>
    <definedName localSheetId="19" name="btn">#REF!</definedName>
    <definedName localSheetId="41" name="plintkeramikartistik1020">#REF!</definedName>
    <definedName localSheetId="15" name="ASPAL">#REF!</definedName>
    <definedName localSheetId="4" name="vinylkaretklII">#REF!</definedName>
    <definedName localSheetId="7" name="teakoil">#REF!</definedName>
    <definedName localSheetId="25" name="URAIAN7612b">#REF!</definedName>
    <definedName localSheetId="3" name="MAI">#REF!</definedName>
    <definedName localSheetId="5" name="k.ddg.rmn.20.25.pls">#REF!</definedName>
    <definedName localSheetId="3" name="BM">#REF!</definedName>
    <definedName name="strorox">#REF!</definedName>
    <definedName localSheetId="15" name="_HAL6">#REF!</definedName>
    <definedName localSheetId="44" name="____HAL3">#REF!</definedName>
    <definedName localSheetId="6" name="tempatcucipiring">#REF!</definedName>
    <definedName localSheetId="7" name="URAIAN633">#REF!</definedName>
    <definedName localSheetId="25" name="tempatcucipiring">#REF!</definedName>
    <definedName localSheetId="17" name="pasirsilika">#REF!</definedName>
    <definedName localSheetId="40" name="nmdaerah">#REF!</definedName>
    <definedName localSheetId="42" name="platasbes4mm">#REF!</definedName>
    <definedName localSheetId="21" name="_____MMM15">#REF!</definedName>
    <definedName localSheetId="44" name="_______MMM411">#REF!</definedName>
    <definedName localSheetId="9" name="URAIAN771c">#REF!</definedName>
    <definedName localSheetId="7" name="___MMM23">#REF!</definedName>
    <definedName localSheetId="15" name="perancahkayu">#REF!</definedName>
    <definedName localSheetId="30" name="terntang">#REF!</definedName>
    <definedName name="_________MMM51">#REF!</definedName>
    <definedName localSheetId="30" name="FORM7614a">#REF!</definedName>
    <definedName localSheetId="13" name="s.tukang">#REF!</definedName>
    <definedName localSheetId="27" name="formica">#REF!</definedName>
    <definedName name="jurnal">#REF!</definedName>
    <definedName localSheetId="24" name="plamour">#REF!</definedName>
    <definedName localSheetId="13" name="_______DIV2">#REF!</definedName>
    <definedName localSheetId="24" name="ss">#REF!</definedName>
    <definedName localSheetId="8" name="aaaa">#REF!</definedName>
    <definedName localSheetId="3" name="_DIV5">#REF!</definedName>
    <definedName localSheetId="0" name="ppn.m.3.20.serut">#REF!</definedName>
    <definedName localSheetId="34" name="bubunganasbesgelombang">#REF!</definedName>
    <definedName localSheetId="28" name="springknip">#REF!</definedName>
    <definedName localSheetId="30" name="__LLL03">#REF!</definedName>
    <definedName localSheetId="33" name="plintubingranito1030">#REF!</definedName>
    <definedName localSheetId="18" name="s.warna">#REF!</definedName>
    <definedName localSheetId="21" name="kawatjaring">#REF!</definedName>
    <definedName name="Kunci2">#REF!</definedName>
    <definedName localSheetId="41" name="______MMM02">#REF!</definedName>
    <definedName localSheetId="34" name="batupecah">#REF!</definedName>
    <definedName localSheetId="13" name="pipabeton">#REF!</definedName>
    <definedName localSheetId="13" name="KECAMATAN_KODEOHA">#REF!</definedName>
    <definedName localSheetId="6" name="kolombetonpracetak">#REF!</definedName>
    <definedName localSheetId="30" name="plastik">#REF!</definedName>
    <definedName localSheetId="39" name="beton175R">#REF!</definedName>
    <definedName localSheetId="44" name="rubbercorrugate">#REF!</definedName>
    <definedName localSheetId="18" name="plintkeramikartistik1020">#REF!</definedName>
    <definedName localSheetId="44" name="FORM772b">#REF!</definedName>
    <definedName localSheetId="24" name="papanjelutung">#REF!</definedName>
    <definedName localSheetId="21" name="URAIAN7610">#REF!</definedName>
    <definedName localSheetId="7" name="________MMM38">#REF!</definedName>
    <definedName localSheetId="44" name="__LLL06">#REF!</definedName>
    <definedName localSheetId="34" name="FORM633">#REF!</definedName>
    <definedName localSheetId="44" name="_______DIV9">#REF!</definedName>
    <definedName localSheetId="5" name="plintubinteraluxmarmer1030">#REF!</definedName>
    <definedName localSheetId="42" name="medan5.10">#REF!</definedName>
    <definedName localSheetId="15" name="f">#REF!</definedName>
    <definedName localSheetId="44" name="R1..">#REF!</definedName>
    <definedName localSheetId="7" name="FORM721">#REF!</definedName>
    <definedName name="_tl2">#REF!</definedName>
    <definedName localSheetId="23" name="__DIV1">#REF!</definedName>
    <definedName localSheetId="32" name="oemar">#REF!</definedName>
    <definedName name="URAIAN7612a">#REF!</definedName>
    <definedName localSheetId="41" name="k.beton">#REF!</definedName>
    <definedName localSheetId="23" name="STRUKTUR">#REF!</definedName>
    <definedName localSheetId="42" name="SusunanOrg">#REF!</definedName>
    <definedName localSheetId="44" name="kuncitanam">#REF!</definedName>
    <definedName name="_____LLL01">#REF!</definedName>
    <definedName localSheetId="24" name="__LLL08">#REF!</definedName>
    <definedName localSheetId="15" name="plesteran13">#REF!</definedName>
    <definedName localSheetId="25" name="catmeni">#REF!</definedName>
    <definedName localSheetId="39" name="KT">#REF!</definedName>
    <definedName localSheetId="33" name="beton175m">#REF!</definedName>
    <definedName localSheetId="41" name="Uraian8410">#REF!</definedName>
    <definedName localSheetId="15" name="panelbetonpracetak">#REF!</definedName>
    <definedName localSheetId="41" name="platasbes4mm">#REF!</definedName>
    <definedName localSheetId="11" name="kunci2slag">#REF!</definedName>
    <definedName localSheetId="7" name="___pvc2">#REF!</definedName>
    <definedName localSheetId="10" name="______MMM02">#REF!</definedName>
    <definedName localSheetId="28" name="pasirbeton">#REF!</definedName>
    <definedName localSheetId="23" name="besipresstressedpolos">#REF!</definedName>
    <definedName name="FORM66PERMUKAAN">#REF!</definedName>
    <definedName localSheetId="40" name="_MMM03">#REF!</definedName>
    <definedName localSheetId="33" name="ASET">#REF!</definedName>
    <definedName localSheetId="36" name="kunci1slag">#REF!</definedName>
    <definedName localSheetId="7" name="______LLL01">#REF!</definedName>
    <definedName localSheetId="40" name="borneo5.7">#REF!</definedName>
    <definedName localSheetId="23" name="besiprofilWF">#REF!</definedName>
    <definedName localSheetId="40" name="FORM841">#REF!</definedName>
    <definedName localSheetId="7" name="____MMM50">#REF!</definedName>
    <definedName localSheetId="10" name="urugankembali">#REF!</definedName>
    <definedName localSheetId="41" name="FRRDS">#REF!</definedName>
    <definedName name="AASDASD">#REF!</definedName>
    <definedName localSheetId="38" name="batuporos">#REF!</definedName>
    <definedName localSheetId="17" name="ubinkeramikantislip3333">#REF!</definedName>
    <definedName localSheetId="12" name="doorstop">#REF!</definedName>
    <definedName localSheetId="24" name="sealer.vini">#REF!</definedName>
    <definedName localSheetId="10" name="list">#REF!</definedName>
    <definedName localSheetId="9" name="batugranito">#REF!</definedName>
    <definedName localSheetId="0" name="Lamp">#REF!</definedName>
    <definedName localSheetId="30" name="URAIAN7614b">#REF!</definedName>
    <definedName localSheetId="13" name="springknip">#REF!</definedName>
    <definedName localSheetId="19" name="__DIV1">#REF!</definedName>
    <definedName localSheetId="12" name="R20..">#REF!</definedName>
    <definedName localSheetId="10" name="_Tl1">#REF!</definedName>
    <definedName localSheetId="7" name="_______HAL1">#REF!</definedName>
    <definedName localSheetId="27" name="teakwood4mm">#REF!</definedName>
    <definedName localSheetId="34" name="medan3.4">#REF!</definedName>
    <definedName localSheetId="0" name="ASPAL">#REF!</definedName>
    <definedName localSheetId="44" name="sis">#REF!</definedName>
    <definedName localSheetId="31" name="pindahan">#REF!</definedName>
    <definedName localSheetId="12" name="besipresstressedpolos">#REF!</definedName>
    <definedName localSheetId="15" name="_818FA">#REF!</definedName>
    <definedName localSheetId="12" name="Faktorial">#REF!</definedName>
    <definedName localSheetId="20" name="plintubinkeramikartistik1020">#REF!</definedName>
    <definedName name="_MMM20">#REF!</definedName>
    <definedName localSheetId="28" name="baru">#REF!</definedName>
    <definedName localSheetId="42" name="ubinteraso40">#REF!</definedName>
    <definedName localSheetId="41" name="__MMM01">#REF!</definedName>
    <definedName localSheetId="19" name="FORM79mekanis">#REF!</definedName>
    <definedName localSheetId="42" name="__LLL01">#REF!</definedName>
    <definedName localSheetId="44" name="R63..">#REF!</definedName>
    <definedName localSheetId="41" name="venetionblinds">#REF!</definedName>
    <definedName localSheetId="42" name="mowi.w.shield">#REF!</definedName>
    <definedName localSheetId="24" name="_____LLL09">#REF!</definedName>
    <definedName localSheetId="13" name="terntang">#REF!</definedName>
    <definedName localSheetId="17" name="plintubinwarna1030">#REF!</definedName>
    <definedName localSheetId="27" name="sealer">#REF!</definedName>
    <definedName localSheetId="33" name="des">#REF!</definedName>
    <definedName localSheetId="0" name="feltexkarpetwool">#REF!</definedName>
    <definedName localSheetId="31" name="kran.ddg">#REF!</definedName>
    <definedName localSheetId="17" name="_____MMM32">#REF!</definedName>
    <definedName localSheetId="3" name="LAP">#REF!</definedName>
    <definedName localSheetId="8" name="____MMM01">#REF!</definedName>
    <definedName localSheetId="0" name="pasirsilika">#REF!</definedName>
    <definedName localSheetId="36" name="dd">#REF!</definedName>
    <definedName localSheetId="27" name="ubinwarna20">#REF!</definedName>
    <definedName localSheetId="25" name="beton100kg">#REF!</definedName>
    <definedName localSheetId="8" name="KunciPintu">#REF!</definedName>
    <definedName localSheetId="9" name="kayukudakuda">#REF!</definedName>
    <definedName localSheetId="19" name="_HAL6">#REF!</definedName>
    <definedName localSheetId="13" name="___pvc2">#REF!</definedName>
    <definedName localSheetId="3" name="pvc2d">#REF!</definedName>
    <definedName localSheetId="8" name="urugankembali">#REF!</definedName>
    <definedName localSheetId="15" name="plintubinteraso1040">#REF!</definedName>
    <definedName localSheetId="25" name="stairnzing">#REF!</definedName>
    <definedName localSheetId="19" name="plintubinteraso1040">#REF!</definedName>
    <definedName localSheetId="34" name="FORM7612c">#REF!</definedName>
    <definedName localSheetId="18" name="___pvc3">#REF!</definedName>
    <definedName localSheetId="41" name="kunci2slag">#REF!</definedName>
    <definedName localSheetId="3" name="_______DIV1">#REF!</definedName>
    <definedName localSheetId="10" name="perancahkayu">#REF!</definedName>
    <definedName localSheetId="36" name="ubingranito30">#REF!</definedName>
    <definedName localSheetId="21" name="JUDUL">#REF!</definedName>
    <definedName localSheetId="15" name="KUANTITAS">#REF!</definedName>
    <definedName localSheetId="8" name="list">#REF!</definedName>
    <definedName localSheetId="5" name="k.beton">#REF!</definedName>
    <definedName localSheetId="38" name="keramik20">#REF!</definedName>
    <definedName localSheetId="38" name="parquetjati">#REF!</definedName>
    <definedName localSheetId="24" name="bubunganstelgelombang108">#REF!</definedName>
    <definedName localSheetId="31" name="Analisa511">#REF!</definedName>
    <definedName localSheetId="13" name="_818PK">#REF!</definedName>
    <definedName localSheetId="24" name="k.ddg.20.25.rmn.crk">#REF!</definedName>
    <definedName localSheetId="15" name="teakwood9mm">#REF!</definedName>
    <definedName localSheetId="11" name="_LLL02">#REF!</definedName>
    <definedName localSheetId="38" name="pintusunscreenalluminium">#REF!</definedName>
    <definedName localSheetId="7" name="_____MMM17">#REF!</definedName>
    <definedName localSheetId="3" name="FORM636">#REF!</definedName>
    <definedName localSheetId="15" name="Psr.psg">#REF!</definedName>
    <definedName localSheetId="19" name="asbesgelombnang">#REF!</definedName>
    <definedName localSheetId="3" name="vinylkaretklII">#REF!</definedName>
    <definedName localSheetId="32" name="URAIAN323L">#REF!</definedName>
    <definedName localSheetId="27" name="a">#REF!</definedName>
    <definedName localSheetId="38" name="Uraian841">#REF!</definedName>
    <definedName name="R104..">#REF!</definedName>
    <definedName localSheetId="41" name="tlistrik">#REF!</definedName>
    <definedName localSheetId="41" name="tp80x80">#REF!</definedName>
    <definedName localSheetId="44" name="sengplatbjls28">#REF!</definedName>
    <definedName localSheetId="21" name="________MMM12">#REF!</definedName>
    <definedName localSheetId="40" name="grassblok">#REF!</definedName>
    <definedName localSheetId="3" name="sdg">#REF!</definedName>
    <definedName localSheetId="3" name="_____MMM45">#REF!</definedName>
    <definedName localSheetId="18" name="URAIAN234L">#REF!</definedName>
    <definedName localSheetId="40" name="grendel3">#REF!</definedName>
    <definedName localSheetId="24" name="oemar">#REF!</definedName>
    <definedName localSheetId="20" name="UPAH">#REF!</definedName>
    <definedName localSheetId="21" name="__MMM45">#REF!</definedName>
    <definedName localSheetId="41" name="tky">#REF!</definedName>
    <definedName localSheetId="24" name="URAIAN622">#REF!</definedName>
    <definedName localSheetId="44" name="URAIAN635">#REF!</definedName>
    <definedName localSheetId="34" name="karpet">#REF!</definedName>
    <definedName localSheetId="39" name="ubinwarna20">#REF!</definedName>
    <definedName localSheetId="40" name="engsel3">#REF!</definedName>
    <definedName localSheetId="44" name="tegelporselen11x11">#REF!</definedName>
    <definedName localSheetId="24" name="____MMM01">#REF!</definedName>
    <definedName name="________LLL05">#REF!</definedName>
    <definedName localSheetId="9" name="pintubesibaja">#REF!</definedName>
    <definedName localSheetId="40" name="TANAH">#REF!</definedName>
    <definedName localSheetId="3" name="catantara">#REF!</definedName>
    <definedName localSheetId="11" name="Psr.psg">#REF!</definedName>
    <definedName localSheetId="21" name="URAIAN631">#REF!</definedName>
    <definedName localSheetId="10" name="FORM7613b">#REF!</definedName>
    <definedName localSheetId="8" name="bubungangentengbeton">#REF!</definedName>
    <definedName localSheetId="33" name="gggg">#REF!</definedName>
    <definedName localSheetId="31" name="URAIAN7614d">#REF!</definedName>
    <definedName localSheetId="18" name="____DIV2">#REF!</definedName>
    <definedName localSheetId="44" name="________LLL10">#REF!</definedName>
    <definedName localSheetId="17" name="hcs">#REF!</definedName>
    <definedName name="___MMM26">#REF!</definedName>
    <definedName localSheetId="17" name="k.lnt.rmn.20.20.pls">#REF!</definedName>
    <definedName name="bilikbambu">#REF!</definedName>
    <definedName localSheetId="24" name="UP">#REF!</definedName>
    <definedName localSheetId="11" name="_________DIV10">#REF!</definedName>
    <definedName localSheetId="44" name="_____MMM09">#REF!</definedName>
    <definedName localSheetId="40" name="kayuborneo">#REF!</definedName>
    <definedName name="R60..">#REF!</definedName>
    <definedName localSheetId="42" name="URAIAN771b">#REF!</definedName>
    <definedName localSheetId="28" name="kaca.p.5">#REF!</definedName>
    <definedName localSheetId="7" name="R93..">#REF!</definedName>
    <definedName localSheetId="44" name="___MMM49">#REF!</definedName>
    <definedName name="_____DIV10">#REF!</definedName>
    <definedName localSheetId="21" name="FORM99">#REF!</definedName>
    <definedName name="u.bekisting">#REF!</definedName>
    <definedName localSheetId="24" name="___MMM03">#REF!</definedName>
    <definedName localSheetId="30" name="tp80x80">#REF!</definedName>
    <definedName localSheetId="34" name="Nok">#REF!</definedName>
    <definedName localSheetId="17" name="URAIAN99">#REF!</definedName>
    <definedName name="____LLL02">#REF!</definedName>
    <definedName localSheetId="41" name="sdg">#REF!</definedName>
    <definedName localSheetId="24" name="tegelporselen10x20warna">#REF!</definedName>
    <definedName localSheetId="24" name="parquetjati">#REF!</definedName>
    <definedName localSheetId="44" name="R59..">#REF!</definedName>
    <definedName localSheetId="0" name="R40..">#REF!</definedName>
    <definedName name="_______MMM39">#REF!</definedName>
    <definedName localSheetId="18" name="plintubinteraluxmarmer1040">#REF!</definedName>
    <definedName localSheetId="4" name="washtafel">#REF!</definedName>
    <definedName localSheetId="31" name="URAIAN7613a">#REF!</definedName>
    <definedName localSheetId="7" name="__MMM13">#REF!</definedName>
    <definedName localSheetId="44" name="__DIV3">#REF!</definedName>
    <definedName localSheetId="33" name="M">#REF!</definedName>
    <definedName localSheetId="5" name="kali">#REF!</definedName>
    <definedName localSheetId="27" name="_tl2">#REF!</definedName>
    <definedName localSheetId="7" name="_____MMM05">#REF!</definedName>
    <definedName localSheetId="30" name="Uraian842">#REF!</definedName>
    <definedName localSheetId="28" name="Faktorial">#REF!</definedName>
    <definedName localSheetId="28" name="plamur.matex">#REF!</definedName>
    <definedName localSheetId="31" name="medan5.10">#REF!</definedName>
    <definedName localSheetId="15" name="_____MMM02">#REF!</definedName>
    <definedName localSheetId="9" name="ramset">#REF!</definedName>
    <definedName localSheetId="44" name="ASISTEN_BIDANG_PEMERINTAHAN">#REF!</definedName>
    <definedName localSheetId="0" name="ubinwarna20">#REF!</definedName>
    <definedName localSheetId="21" name="_MMM40">#REF!</definedName>
    <definedName localSheetId="18" name="kunci1slag">#REF!</definedName>
    <definedName localSheetId="4" name="______MMM03">#REF!</definedName>
    <definedName localSheetId="7" name="____MMM45">#REF!</definedName>
    <definedName localSheetId="7" name="_________DIV10">#REF!</definedName>
    <definedName localSheetId="13" name="tegelpc20x20">#REF!</definedName>
    <definedName localSheetId="13" name="c.maxi">#REF!</definedName>
    <definedName localSheetId="4" name="k.ddg.rmn.20.25.pls">#REF!</definedName>
    <definedName localSheetId="10" name="wwww">#REF!</definedName>
    <definedName localSheetId="3" name="_______MMM38">#REF!</definedName>
    <definedName localSheetId="3" name="URAIAN771d">#REF!</definedName>
    <definedName localSheetId="0" name="Excel_BuiltIn_Print_Titles_10">#REF!</definedName>
    <definedName localSheetId="12" name="____DIV3">#REF!</definedName>
    <definedName localSheetId="10" name="feltexkarpetwool">#REF!</definedName>
    <definedName localSheetId="7" name="rosterterawang">#REF!</definedName>
    <definedName localSheetId="32" name="___pvc3">#REF!</definedName>
    <definedName localSheetId="32" name="sealer.mowi">#REF!</definedName>
    <definedName localSheetId="19" name="bbm">#REF!</definedName>
    <definedName localSheetId="24" name="_____MMM19">#REF!</definedName>
    <definedName localSheetId="11" name="gentengdecrabond">#REF!</definedName>
    <definedName localSheetId="13" name="______MMM03">#REF!</definedName>
    <definedName localSheetId="38" name="jki">#REF!</definedName>
    <definedName localSheetId="31" name="kuncialfa">#REF!</definedName>
    <definedName localSheetId="38" name="tempatcucipiring">#REF!</definedName>
    <definedName localSheetId="30" name="zzz">#REF!</definedName>
    <definedName localSheetId="38" name="URAIAN7610">#REF!</definedName>
    <definedName localSheetId="21" name="URAIAN916">#REF!</definedName>
    <definedName localSheetId="41" name="Excel_BuiltIn_Print_Area_10">#REF!</definedName>
    <definedName localSheetId="42" name="lp">#REF!</definedName>
    <definedName localSheetId="24" name="gentengpaletongbesar">#REF!</definedName>
    <definedName localSheetId="36" name="doorholder">#REF!</definedName>
    <definedName localSheetId="40" name="___DIV10">#REF!</definedName>
    <definedName localSheetId="0" name="URAIAN234L">#REF!</definedName>
    <definedName localSheetId="27" name="pakusumbat">#REF!</definedName>
    <definedName localSheetId="5" name="FORM771b">#REF!</definedName>
    <definedName localSheetId="8" name="URAIAN66PERMUKAAN">#REF!</definedName>
    <definedName localSheetId="41" name="lemvinyl">#REF!</definedName>
    <definedName localSheetId="36" name="grendel4">#REF!</definedName>
    <definedName localSheetId="10" name="URAIAN632">#REF!</definedName>
    <definedName localSheetId="24" name="____MMM19">#REF!</definedName>
    <definedName localSheetId="21" name="pintugulungbesi">#REF!</definedName>
    <definedName localSheetId="12" name="beton175m">#REF!</definedName>
    <definedName localSheetId="10" name="Excel_BuiltIn_Print_Area_10">#REF!</definedName>
    <definedName localSheetId="11" name="_____HAL3">#REF!</definedName>
    <definedName localSheetId="8" name="Closet.ddk">#REF!</definedName>
    <definedName localSheetId="24" name="____MMM54">#REF!</definedName>
    <definedName localSheetId="17" name="__MMM13">#REF!</definedName>
    <definedName localSheetId="9" name="kayubulian">#REF!</definedName>
    <definedName localSheetId="42" name="ppn.m.3.20.serut">#REF!</definedName>
    <definedName localSheetId="3" name="_____LLL06">#REF!</definedName>
    <definedName localSheetId="20" name="Pengadaan">#REF!</definedName>
    <definedName localSheetId="44" name="FORM732">#REF!</definedName>
    <definedName localSheetId="24" name="besi13u">#REF!</definedName>
    <definedName localSheetId="21" name="____HAL3">#REF!</definedName>
    <definedName localSheetId="13" name="GUIIII">#REF!</definedName>
    <definedName localSheetId="12" name="kaca12">#REF!</definedName>
    <definedName localSheetId="24" name="________HAL1">#REF!</definedName>
    <definedName localSheetId="42" name="Faktorial">#REF!</definedName>
    <definedName localSheetId="11" name="sis">#REF!</definedName>
    <definedName localSheetId="3" name="________MMM54">#REF!</definedName>
    <definedName localSheetId="40" name="___pvc05">#REF!</definedName>
    <definedName name="FORM79manual">#REF!</definedName>
    <definedName localSheetId="27" name="MMM17A">#REF!</definedName>
    <definedName localSheetId="7" name="_____MMM32">#REF!</definedName>
    <definedName localSheetId="13" name="kunciselot">#REF!</definedName>
    <definedName localSheetId="34" name="tbkr">#REF!</definedName>
    <definedName localSheetId="11" name="___pvc2">#REF!</definedName>
    <definedName localSheetId="27" name="mowi.ws">#REF!</definedName>
    <definedName localSheetId="39" name="teakwood6mm">#REF!</definedName>
    <definedName localSheetId="13" name="BM">#REF!</definedName>
    <definedName localSheetId="38" name="Kunci2">#REF!</definedName>
    <definedName localSheetId="38" name="jurnal1">#REF!</definedName>
    <definedName localSheetId="17" name="tl2x40">#REF!</definedName>
    <definedName localSheetId="39" name="________DIV2">#REF!</definedName>
    <definedName name="flordrain">#REF!</definedName>
    <definedName localSheetId="19" name="_____MMM01">#REF!</definedName>
    <definedName localSheetId="17" name="kd_daerah">#REF!</definedName>
    <definedName localSheetId="3" name="R65..">#REF!</definedName>
    <definedName localSheetId="17" name="FORM323L">#REF!</definedName>
    <definedName name="_pc40">#REF!</definedName>
    <definedName localSheetId="31" name="sealer">#REF!</definedName>
    <definedName localSheetId="41" name="dasar">#REF!</definedName>
    <definedName localSheetId="5" name="_________HAL1">#REF!</definedName>
    <definedName localSheetId="40" name="c.mowi.dlm">#REF!</definedName>
    <definedName localSheetId="40" name="kenek">#REF!</definedName>
    <definedName localSheetId="3" name="FORM721">#REF!</definedName>
    <definedName localSheetId="17" name="_________MMM45">#REF!</definedName>
    <definedName localSheetId="25" name="________HAL1">#REF!</definedName>
    <definedName localSheetId="3" name="Excel_BuiltIn_Print_Titles_2">#REF!</definedName>
    <definedName localSheetId="17" name="_______MMM04">#REF!</definedName>
    <definedName localSheetId="7" name="URAIAN642">#REF!</definedName>
    <definedName localSheetId="6" name="pasirpas">#REF!</definedName>
    <definedName localSheetId="10" name="wallpaper">#REF!</definedName>
    <definedName localSheetId="30" name="bbm">#REF!</definedName>
    <definedName localSheetId="39" name="batu.jogja">#REF!</definedName>
    <definedName localSheetId="17" name="_____MMM24">#REF!</definedName>
    <definedName name="_____MMM07">#REF!</definedName>
    <definedName localSheetId="28" name="_____DIV2">#REF!</definedName>
    <definedName localSheetId="9" name="pa">#REF!</definedName>
    <definedName localSheetId="19" name="_pc40">#REF!</definedName>
    <definedName localSheetId="21" name="_pvc05">#REF!</definedName>
    <definedName localSheetId="28" name="kaca5">#REF!</definedName>
    <definedName localSheetId="4" name="___HAL1">#REF!</definedName>
    <definedName localSheetId="5" name="___DIV4">#REF!</definedName>
    <definedName localSheetId="20" name="batutempelhitam">#REF!</definedName>
    <definedName localSheetId="19" name="batapelapisdinding">#REF!</definedName>
    <definedName localSheetId="8" name="P">#REF!</definedName>
    <definedName localSheetId="40" name="kayujati">#REF!</definedName>
    <definedName localSheetId="15" name="catpenutup">#REF!</definedName>
    <definedName localSheetId="23" name="grendel4">#REF!</definedName>
    <definedName localSheetId="30" name="tes">#REF!</definedName>
    <definedName localSheetId="7" name="_________MMM40">#REF!</definedName>
    <definedName localSheetId="24" name="waterdrainaksesoris">#REF!</definedName>
    <definedName localSheetId="24" name="____DIV10">#REF!</definedName>
    <definedName localSheetId="39" name="engsel3">#REF!</definedName>
    <definedName localSheetId="18" name="FORM7613a">#REF!</definedName>
    <definedName name="URAIAN919">#REF!</definedName>
    <definedName localSheetId="41" name="koralbeton">#REF!</definedName>
    <definedName localSheetId="17" name="batapelapisklinker">#REF!</definedName>
    <definedName localSheetId="44" name="bubunganasbesgelombang">#REF!</definedName>
    <definedName localSheetId="23" name="LAP">#REF!</definedName>
    <definedName localSheetId="4" name="kacapolos3mm">#REF!</definedName>
    <definedName localSheetId="7" name="beton.225m">#REF!</definedName>
    <definedName localSheetId="7" name="URAIAN22L">#REF!</definedName>
    <definedName localSheetId="12" name="FORM611">#REF!</definedName>
    <definedName localSheetId="3" name="B.Aparatur">#REF!</definedName>
    <definedName localSheetId="17" name="kayuterentang">#REF!</definedName>
    <definedName localSheetId="25" name="amobiotic">#REF!</definedName>
    <definedName localSheetId="3" name="batasuper">#REF!</definedName>
    <definedName localSheetId="13" name="R10..">#REF!</definedName>
    <definedName localSheetId="32" name="c.maxi">#REF!</definedName>
    <definedName localSheetId="4" name="________MMM02">#REF!</definedName>
    <definedName localSheetId="19" name="BPS">#REF!</definedName>
    <definedName localSheetId="7" name="_MMM22">#REF!</definedName>
    <definedName localSheetId="30" name="oemar">#REF!</definedName>
    <definedName localSheetId="24" name="_____MMM12">#REF!</definedName>
    <definedName localSheetId="5" name="BPS">#REF!</definedName>
    <definedName localSheetId="42" name="_____MMM02">#REF!</definedName>
    <definedName localSheetId="40" name="____HAL3">#REF!</definedName>
    <definedName localSheetId="17" name="multi.6">#REF!</definedName>
    <definedName localSheetId="15" name="FORMLatasirK">#REF!</definedName>
    <definedName localSheetId="7" name="kuncialfa">#REF!</definedName>
    <definedName localSheetId="20" name="R2..">#REF!</definedName>
    <definedName localSheetId="44" name="______MMM05">#REF!</definedName>
    <definedName localSheetId="12" name="URAIAN7614a">#REF!</definedName>
    <definedName localSheetId="40" name="_tl2">#REF!</definedName>
    <definedName localSheetId="19" name="batamerah">#REF!</definedName>
    <definedName localSheetId="0" name="gabin_al">#REF!</definedName>
    <definedName name="URAIAN66">#REF!</definedName>
    <definedName localSheetId="15" name="M">#REF!</definedName>
    <definedName localSheetId="30" name="tukng">#REF!</definedName>
    <definedName localSheetId="39" name="______DIV1">#REF!</definedName>
    <definedName localSheetId="36" name="pijar15">#REF!</definedName>
    <definedName localSheetId="7" name="plamur.matex">#REF!</definedName>
    <definedName localSheetId="8" name="__HAL3">#REF!</definedName>
    <definedName localSheetId="18" name="tes">#REF!</definedName>
    <definedName localSheetId="24" name="FORM919">#REF!</definedName>
    <definedName localSheetId="17" name="______MMM41">#REF!</definedName>
    <definedName localSheetId="27" name="marmer">#REF!</definedName>
    <definedName localSheetId="20" name="____DIV10">#REF!</definedName>
    <definedName localSheetId="38" name="URAIAN66PERATA">#REF!</definedName>
    <definedName localSheetId="7" name="____MMM44">#REF!</definedName>
    <definedName localSheetId="31" name="plintkeramikartistik1020">#REF!</definedName>
    <definedName localSheetId="28" name="jurnal1">#REF!</definedName>
    <definedName localSheetId="28" name="pasirpas">#REF!</definedName>
    <definedName localSheetId="7" name="FORM95">#REF!</definedName>
    <definedName localSheetId="19" name="NAMA3">#REF!</definedName>
    <definedName localSheetId="5" name="jj">#REF!</definedName>
    <definedName localSheetId="21" name="split1.2">#REF!</definedName>
    <definedName localSheetId="13" name="R6..">#REF!</definedName>
    <definedName localSheetId="17" name="cendana">#REF!</definedName>
    <definedName localSheetId="24" name="ubinteraluxmarmer40">#REF!</definedName>
    <definedName localSheetId="39" name="_________MMM02">#REF!</definedName>
    <definedName localSheetId="30" name="semenwarna">#REF!</definedName>
    <definedName localSheetId="44" name="__DIV2">#REF!</definedName>
    <definedName localSheetId="38" name="________HAL2">#REF!</definedName>
    <definedName localSheetId="24" name="p.bI">#REF!</definedName>
    <definedName localSheetId="21" name="FORM98">#REF!</definedName>
    <definedName localSheetId="33" name="FORM744">#REF!</definedName>
    <definedName localSheetId="21" name="______MMM09">#REF!</definedName>
    <definedName localSheetId="39" name="beton.tumbuk">#REF!</definedName>
    <definedName name="______MMM11">#REF!</definedName>
    <definedName localSheetId="13" name="_____MMM03">#REF!</definedName>
    <definedName localSheetId="6" name="R40..">#REF!</definedName>
    <definedName localSheetId="12" name="y">#REF!</definedName>
    <definedName localSheetId="6" name="URAIAN732">#REF!</definedName>
    <definedName localSheetId="5" name="gymfloor">#REF!</definedName>
    <definedName localSheetId="3" name="gentengpaletong">#REF!</definedName>
    <definedName localSheetId="17" name="_________DIV6">#REF!</definedName>
    <definedName localSheetId="9" name="_______HAL1">#REF!</definedName>
    <definedName localSheetId="39" name="sssssss">#REF!</definedName>
    <definedName localSheetId="10" name="meni.kayu">#REF!</definedName>
    <definedName name="URAIAN">#REF!</definedName>
    <definedName localSheetId="9" name="Print_Area_MI">#REF!</definedName>
    <definedName localSheetId="25" name="ubingranito30">#REF!</definedName>
    <definedName localSheetId="15" name="Kunci2">#REF!</definedName>
    <definedName localSheetId="34" name="G.Kramik">#REF!</definedName>
    <definedName localSheetId="28" name="mowi.ws">#REF!</definedName>
    <definedName localSheetId="30" name="__pvc205">#REF!</definedName>
    <definedName localSheetId="34" name="kuas">#REF!</definedName>
    <definedName localSheetId="42" name="____HAL2">#REF!</definedName>
    <definedName localSheetId="44" name="________MMM43">#REF!</definedName>
    <definedName localSheetId="21" name="_____LLL05">#REF!</definedName>
    <definedName localSheetId="11" name="urugantanah">#REF!</definedName>
    <definedName localSheetId="18" name="engsel4">#REF!</definedName>
    <definedName localSheetId="42" name="tbkr">#REF!</definedName>
    <definedName name="_________MMM23">#REF!</definedName>
    <definedName localSheetId="21" name="_____MMM33">#REF!</definedName>
    <definedName localSheetId="33" name="batukali14">#REF!</definedName>
    <definedName localSheetId="3" name="___MMM48">#REF!</definedName>
    <definedName localSheetId="38" name="kunci1slag">#REF!</definedName>
    <definedName localSheetId="36" name="R20..">#REF!</definedName>
    <definedName localSheetId="21" name="___MMM54">#REF!</definedName>
    <definedName name="pintusunscreenalluminium">#REF!</definedName>
    <definedName localSheetId="7" name="__MMM17">#REF!</definedName>
    <definedName localSheetId="5" name="_818PK">#REF!</definedName>
    <definedName localSheetId="12" name="Nokmetal3mm">#REF!</definedName>
    <definedName localSheetId="39" name="kayumarsawa">#REF!</definedName>
    <definedName localSheetId="10" name="GUIIII">#REF!</definedName>
    <definedName localSheetId="41" name="pijar15">#REF!</definedName>
    <definedName localSheetId="24" name="plintubinteraso1040">#REF!</definedName>
    <definedName localSheetId="12" name="nokpaten092">#REF!</definedName>
    <definedName localSheetId="27" name="____DIV10">#REF!</definedName>
    <definedName localSheetId="9" name="he">#REF!</definedName>
    <definedName localSheetId="23" name="pipagalvanis">#REF!</definedName>
    <definedName localSheetId="21" name="_________MMM10">#REF!</definedName>
    <definedName localSheetId="11" name="plesteran13">#REF!</definedName>
    <definedName localSheetId="39" name="tes">#REF!</definedName>
    <definedName localSheetId="11" name="kawatsengpolos">#REF!</definedName>
    <definedName localSheetId="24" name="_________DIV1">#REF!</definedName>
    <definedName localSheetId="8" name="amobiotic">#REF!</definedName>
    <definedName localSheetId="30" name="ubinwarna30">#REF!</definedName>
    <definedName localSheetId="12" name="hakangin">#REF!</definedName>
    <definedName localSheetId="40" name="dempul">#REF!</definedName>
    <definedName localSheetId="18" name="p.bI">#REF!</definedName>
    <definedName localSheetId="5" name="tlistrik">#REF!</definedName>
    <definedName localSheetId="4" name="pijar15">#REF!</definedName>
    <definedName localSheetId="4" name="Excel_BuiltIn_Print_Titles_1">#REF!</definedName>
    <definedName localSheetId="21" name="pagar2m">#REF!</definedName>
    <definedName localSheetId="21" name="______MMM47">#REF!</definedName>
    <definedName localSheetId="41" name="FORM745">#REF!</definedName>
    <definedName localSheetId="33" name="y">#REF!</definedName>
    <definedName localSheetId="13" name="________HAL3">#REF!</definedName>
    <definedName name="terasocor">#REF!</definedName>
    <definedName localSheetId="42" name="___DIV2">#REF!</definedName>
    <definedName localSheetId="30" name="_HAL1">#REF!</definedName>
    <definedName localSheetId="6" name="_____DIV2">#REF!</definedName>
    <definedName localSheetId="10" name="____DIV3">#REF!</definedName>
    <definedName localSheetId="4" name="d">#REF!</definedName>
    <definedName localSheetId="7" name="kacapatri5">#REF!</definedName>
    <definedName localSheetId="5" name="hakangin">#REF!</definedName>
    <definedName localSheetId="15" name="gymfloor">#REF!</definedName>
    <definedName localSheetId="21" name="____MMM44">#REF!</definedName>
    <definedName localSheetId="10" name="kuncitanam">#REF!</definedName>
    <definedName localSheetId="44" name="xxxxx">#REF!</definedName>
    <definedName localSheetId="21" name="_MMM10">#REF!</definedName>
    <definedName localSheetId="3" name="FORM323L">#REF!</definedName>
    <definedName localSheetId="13" name="engselangin">#REF!</definedName>
    <definedName localSheetId="13" name="des">#REF!</definedName>
    <definedName localSheetId="20" name="kacacermin5">#REF!</definedName>
    <definedName localSheetId="44" name="_MMM31">#REF!</definedName>
    <definedName localSheetId="20" name="multi.18">#REF!</definedName>
    <definedName localSheetId="13" name="plywood4mm">#REF!</definedName>
    <definedName localSheetId="0" name="tp80x80">#REF!</definedName>
    <definedName localSheetId="44" name="___MMM38">#REF!</definedName>
    <definedName localSheetId="24" name="__DIV5">#REF!</definedName>
    <definedName localSheetId="13" name="sealer.mowi">#REF!</definedName>
    <definedName localSheetId="21" name="R4..">#REF!</definedName>
    <definedName localSheetId="40" name="_MMM01">#REF!</definedName>
    <definedName localSheetId="32" name="UTAIAN7614c">#REF!</definedName>
    <definedName localSheetId="44" name="____MMM47">#REF!</definedName>
    <definedName localSheetId="19" name="jurnal">#REF!</definedName>
    <definedName localSheetId="17" name="besi13u">#REF!</definedName>
    <definedName localSheetId="11" name="engsel3">#REF!</definedName>
    <definedName localSheetId="17" name="papan.m.3.20">#REF!</definedName>
    <definedName localSheetId="28" name="__pvc3">#REF!</definedName>
    <definedName localSheetId="6" name="_______DIV1">#REF!</definedName>
    <definedName localSheetId="18" name="Uraian8410">#REF!</definedName>
    <definedName localSheetId="3" name="tanggal">#REF!</definedName>
    <definedName localSheetId="21" name="L">#REF!</definedName>
    <definedName localSheetId="20" name="Papanbouplank">#REF!</definedName>
    <definedName localSheetId="38" name="akustikarmstrong">#REF!</definedName>
    <definedName localSheetId="21" name="besi19u">#REF!</definedName>
    <definedName localSheetId="25" name="karpetwooldannilon">#REF!</definedName>
    <definedName localSheetId="12" name="eeeeee">#REF!</definedName>
    <definedName localSheetId="24" name="URAIAN634">#REF!</definedName>
    <definedName localSheetId="21" name="_______MMM43">#REF!</definedName>
    <definedName localSheetId="44" name="ngsel4">#REF!</definedName>
    <definedName localSheetId="5" name="KTM">#REF!</definedName>
    <definedName localSheetId="10" name="______DIV4">#REF!</definedName>
    <definedName localSheetId="44" name="R87..">#REF!</definedName>
    <definedName localSheetId="15" name="wwww">#REF!</definedName>
    <definedName localSheetId="19" name="Jasa">#REF!</definedName>
    <definedName localSheetId="21" name="AGREGAT">#REF!</definedName>
    <definedName name="__MMM50">#REF!</definedName>
    <definedName localSheetId="18" name="tanahliat">#REF!</definedName>
    <definedName localSheetId="8" name="UTAIAN7614c">#REF!</definedName>
    <definedName localSheetId="12" name="vinylkaret3030">#REF!</definedName>
    <definedName localSheetId="7" name="R96..">#REF!</definedName>
    <definedName localSheetId="7" name="R105..">#REF!</definedName>
    <definedName localSheetId="24" name="Jasa">#REF!</definedName>
    <definedName localSheetId="44" name="sabun">#REF!</definedName>
    <definedName localSheetId="21" name="______MMM13">#REF!</definedName>
    <definedName localSheetId="7" name="______DIV2">#REF!</definedName>
    <definedName localSheetId="15" name="kuncisilinder">#REF!</definedName>
    <definedName localSheetId="9" name="_____DIV2">#REF!</definedName>
    <definedName localSheetId="9" name="b.belah">#REF!</definedName>
    <definedName localSheetId="40" name="pp">#REF!</definedName>
    <definedName localSheetId="23" name="gentengbeton">#REF!</definedName>
    <definedName localSheetId="7" name="_______MMM14">#REF!</definedName>
    <definedName localSheetId="44" name="R77..">#REF!</definedName>
    <definedName localSheetId="18" name="R10..">#REF!</definedName>
    <definedName localSheetId="21" name="R36..">#REF!</definedName>
    <definedName localSheetId="7" name="___MMM01">#REF!</definedName>
    <definedName localSheetId="24" name="____MMM21">#REF!</definedName>
    <definedName localSheetId="18" name="pijar15">#REF!</definedName>
    <definedName name="_____MMM24">#REF!</definedName>
    <definedName localSheetId="3" name="_________MMM19">#REF!</definedName>
    <definedName localSheetId="4" name="borneo5.7">#REF!</definedName>
    <definedName localSheetId="4" name="_DIV10">#REF!</definedName>
    <definedName localSheetId="24" name="w.stain">#REF!</definedName>
    <definedName localSheetId="17" name="______MMM12">#REF!</definedName>
    <definedName localSheetId="33" name="FORM771a">#REF!</definedName>
    <definedName localSheetId="23" name="roster">#REF!</definedName>
    <definedName localSheetId="11" name="jki">#REF!</definedName>
    <definedName localSheetId="28" name="________MMM02">#REF!</definedName>
    <definedName localSheetId="8" name="sssssss">#REF!</definedName>
    <definedName localSheetId="34" name="tanahliat">#REF!</definedName>
    <definedName localSheetId="25" name="k.ddg.20.25.rmn.crk">#REF!</definedName>
    <definedName localSheetId="11" name="Galam">#REF!</definedName>
    <definedName localSheetId="20" name="_________MMM01">#REF!</definedName>
    <definedName localSheetId="17" name="___MMM21">#REF!</definedName>
    <definedName localSheetId="6" name="formica">#REF!</definedName>
    <definedName localSheetId="3" name="MOBILISASI">#REF!</definedName>
    <definedName localSheetId="6" name="wallpaper">#REF!</definedName>
    <definedName localSheetId="42" name="__HAL4">#REF!</definedName>
    <definedName localSheetId="32" name="GRC">#REF!</definedName>
    <definedName localSheetId="24" name="______MMM26">#REF!</definedName>
    <definedName localSheetId="38" name="FORM7614a">#REF!</definedName>
    <definedName localSheetId="40" name="URAIAN7614d">#REF!</definedName>
    <definedName localSheetId="40" name="_HAL5">#REF!</definedName>
    <definedName localSheetId="40" name="_______DIV1">#REF!</definedName>
    <definedName localSheetId="42" name="kuncilemari">#REF!</definedName>
    <definedName localSheetId="19" name="pintusunscreenalluminium">#REF!</definedName>
    <definedName localSheetId="24" name="kuncilemari">#REF!</definedName>
    <definedName localSheetId="31" name="hakangin">#REF!</definedName>
    <definedName localSheetId="3" name="Psr.psg">#REF!</definedName>
    <definedName localSheetId="25" name="kenek">#REF!</definedName>
    <definedName localSheetId="39" name="siap1">#REF!</definedName>
    <definedName localSheetId="42" name="tes">#REF!</definedName>
    <definedName localSheetId="8" name="_pvc205">#REF!</definedName>
    <definedName localSheetId="7" name="DAYWORKS">#REF!</definedName>
    <definedName localSheetId="17" name="____LLL06">#REF!</definedName>
    <definedName localSheetId="10" name="R3..">#REF!</definedName>
    <definedName name="URAIAN912">#REF!</definedName>
    <definedName localSheetId="15" name="lem">#REF!</definedName>
    <definedName localSheetId="44" name="R86..">#REF!</definedName>
    <definedName localSheetId="6" name="PT">#REF!</definedName>
    <definedName localSheetId="8" name="eeeeee">#REF!</definedName>
    <definedName localSheetId="13" name="pp">#REF!</definedName>
    <definedName name="_______MMM41">#REF!</definedName>
    <definedName localSheetId="27" name="kayuramin">#REF!</definedName>
    <definedName localSheetId="3" name="split2.3">#REF!</definedName>
    <definedName localSheetId="3" name="______LLL11">#REF!</definedName>
    <definedName localSheetId="41" name="URAIAN731">#REF!</definedName>
    <definedName localSheetId="17" name="closedjongkok">#REF!</definedName>
    <definedName localSheetId="18" name="lem">#REF!</definedName>
    <definedName localSheetId="20" name="jurnal1">#REF!</definedName>
    <definedName localSheetId="15" name="feltexkarpetwool">#REF!</definedName>
    <definedName localSheetId="7" name="gymfloor">#REF!</definedName>
    <definedName localSheetId="25" name="kacapolos5mm">#REF!</definedName>
    <definedName localSheetId="3" name="split1.2">#REF!</definedName>
    <definedName localSheetId="8" name="lemvinyl">#REF!</definedName>
    <definedName localSheetId="17" name="__MMM12">#REF!</definedName>
    <definedName localSheetId="38" name="____DIV3">#REF!</definedName>
    <definedName localSheetId="24" name="pvc4d">#REF!</definedName>
    <definedName localSheetId="6" name="Nok">#REF!</definedName>
    <definedName localSheetId="3" name="ppn.m.3.20.serut">#REF!</definedName>
    <definedName localSheetId="32" name="ubinkeramikartistik1010">#REF!</definedName>
    <definedName localSheetId="4" name="plamour">#REF!</definedName>
    <definedName localSheetId="17" name="_________HAL7">#REF!</definedName>
    <definedName localSheetId="30" name="profilalumuniumT">#REF!</definedName>
    <definedName localSheetId="3" name="__MMM34">#REF!</definedName>
    <definedName localSheetId="24" name="Faktor">#REF!</definedName>
    <definedName localSheetId="18" name="mlex.w">#REF!</definedName>
    <definedName localSheetId="13" name="___MMM01">#REF!</definedName>
    <definedName localSheetId="20" name="sirap">#REF!</definedName>
    <definedName localSheetId="44" name="URAIAN66PERATA">#REF!</definedName>
    <definedName localSheetId="25" name="FORM7613a">#REF!</definedName>
    <definedName localSheetId="25" name="____DIV4">#REF!</definedName>
    <definedName localSheetId="34" name="_MMM02">#REF!</definedName>
    <definedName localSheetId="15" name="Tbt">#REF!</definedName>
    <definedName localSheetId="24" name="R44..">#REF!</definedName>
    <definedName localSheetId="38" name="__HAL4">#REF!</definedName>
    <definedName name="k.ddg.rmn.20.25.pls">#REF!</definedName>
    <definedName localSheetId="23" name="pasirsilika">#REF!</definedName>
    <definedName localSheetId="21" name="_MMM19">#REF!</definedName>
    <definedName localSheetId="6" name="yyyyyyy">#REF!</definedName>
    <definedName localSheetId="10" name="FORM731">#REF!</definedName>
    <definedName localSheetId="8" name="wallpaper">#REF!</definedName>
    <definedName localSheetId="17" name="c.mowi.dlm">#REF!</definedName>
    <definedName localSheetId="8" name="mapel">#REF!</definedName>
    <definedName localSheetId="5" name="R100..">#REF!</definedName>
    <definedName localSheetId="12" name="__DIV2">#REF!</definedName>
    <definedName localSheetId="39" name="akustikarmstrong">#REF!</definedName>
    <definedName localSheetId="19" name="URAIAN745">#REF!</definedName>
    <definedName localSheetId="24" name="_____HAL7">#REF!</definedName>
    <definedName localSheetId="40" name="feltexkarpetwool">#REF!</definedName>
    <definedName localSheetId="3" name="bubunganasbesgelombang">#REF!</definedName>
    <definedName localSheetId="6" name="plintubinteraluxkerang1060">#REF!</definedName>
    <definedName localSheetId="41" name="URAIAN612">#REF!</definedName>
    <definedName localSheetId="44" name="tpipa">#REF!</definedName>
    <definedName localSheetId="17" name="____DIV6">#REF!</definedName>
    <definedName name="___LLL03">#REF!</definedName>
    <definedName localSheetId="17" name="kuncialfa">#REF!</definedName>
    <definedName localSheetId="23" name="Uraian841">#REF!</definedName>
    <definedName localSheetId="12" name="vinylasbes">#REF!</definedName>
    <definedName localSheetId="9" name="bubungangentengkodok">#REF!</definedName>
    <definedName localSheetId="21" name="bubunganasbesnok">#REF!</definedName>
    <definedName localSheetId="41" name="___MMM01">#REF!</definedName>
    <definedName localSheetId="30" name="________DIV10">#REF!</definedName>
    <definedName localSheetId="34" name="floorhardenerferrovak">#REF!</definedName>
    <definedName localSheetId="17" name="__MMM41">#REF!</definedName>
    <definedName localSheetId="13" name="hcs">#REF!</definedName>
    <definedName localSheetId="7" name="pipatanah">#REF!</definedName>
    <definedName localSheetId="3" name="cghj">#REF!</definedName>
    <definedName localSheetId="21" name="semen50">#REF!</definedName>
    <definedName localSheetId="17" name="besi12sii">#REF!</definedName>
    <definedName localSheetId="10" name="Excel_BuiltIn_Print_Titles_2">#REF!</definedName>
    <definedName localSheetId="20" name="LAP">#REF!</definedName>
    <definedName localSheetId="18" name="_______HAL2">#REF!</definedName>
    <definedName localSheetId="6" name="kayuramin">#REF!</definedName>
    <definedName localSheetId="24" name="_________MMM16">#REF!</definedName>
    <definedName localSheetId="28" name="ubinkeramikartistik1020">#REF!</definedName>
    <definedName localSheetId="21" name="pajak">#REF!</definedName>
    <definedName localSheetId="6" name="HP">#REF!</definedName>
    <definedName localSheetId="0" name="btn">#REF!</definedName>
    <definedName localSheetId="24" name="____MMM51">#REF!</definedName>
    <definedName localSheetId="5" name="sis">#REF!</definedName>
    <definedName localSheetId="8" name="relpintudorong">#REF!</definedName>
    <definedName localSheetId="34" name="______MMM02">#REF!</definedName>
    <definedName localSheetId="11" name="____DIV3">#REF!</definedName>
    <definedName localSheetId="38" name="pagar2m">#REF!</definedName>
    <definedName localSheetId="7" name="_____MMM29">#REF!</definedName>
    <definedName localSheetId="21" name="sementahanasam">#REF!</definedName>
    <definedName localSheetId="12" name="k.beton">#REF!</definedName>
    <definedName localSheetId="10" name="tegelporselen10x20warna">#REF!</definedName>
    <definedName localSheetId="27" name="rooflightfiibreglass">#REF!</definedName>
    <definedName localSheetId="44" name="e">#REF!</definedName>
    <definedName localSheetId="24" name="__pvc3">#REF!</definedName>
    <definedName localSheetId="21" name="e">#REF!</definedName>
    <definedName localSheetId="4" name="ktbs">#REF!</definedName>
    <definedName localSheetId="27" name="SPJ">#REF!</definedName>
    <definedName localSheetId="9" name="t.sabun">#REF!</definedName>
    <definedName localSheetId="9" name="besiprofilWF">#REF!</definedName>
    <definedName localSheetId="15" name="_LLL01">#REF!</definedName>
    <definedName localSheetId="9" name="Tbt">#REF!</definedName>
    <definedName localSheetId="30" name="waterstop230">#REF!</definedName>
    <definedName localSheetId="3" name="Minyak">#REF!</definedName>
    <definedName localSheetId="27" name="k.ddg.20.25.rmn.crk">#REF!</definedName>
    <definedName localSheetId="6" name="pakubulian">#REF!</definedName>
    <definedName localSheetId="9" name="SusunanOrg">#REF!</definedName>
    <definedName localSheetId="11" name="mm">#REF!</definedName>
    <definedName localSheetId="34" name="plintubinteraluxkerang1040">#REF!</definedName>
    <definedName localSheetId="24" name="ubingranito40">#REF!</definedName>
    <definedName localSheetId="17" name="_________LLL10">#REF!</definedName>
    <definedName localSheetId="11" name="____MMM01">#REF!</definedName>
    <definedName localSheetId="39" name="FORM7614a">#REF!</definedName>
    <definedName name="___MMM36">#REF!</definedName>
    <definedName localSheetId="9" name="formica">#REF!</definedName>
    <definedName localSheetId="44" name="plastikaerator">#REF!</definedName>
    <definedName localSheetId="34" name="PT">#REF!</definedName>
    <definedName localSheetId="31" name="UTAIAN7614c">#REF!</definedName>
    <definedName localSheetId="11" name="baru">#REF!</definedName>
    <definedName localSheetId="23" name="plintubinwarna1040">#REF!</definedName>
    <definedName localSheetId="17" name="_LLL06">#REF!</definedName>
    <definedName localSheetId="9" name="URAIAN21">#REF!</definedName>
    <definedName localSheetId="7" name="zzz">#REF!</definedName>
    <definedName localSheetId="13" name="FORM771c">#REF!</definedName>
    <definedName localSheetId="0" name="waterstop230">#REF!</definedName>
    <definedName localSheetId="40" name="pakuhak15cm">#REF!</definedName>
    <definedName localSheetId="23" name="SEKRETARIAT_DPRD">#REF!</definedName>
    <definedName localSheetId="0" name="plintubinteraso1040">#REF!</definedName>
    <definedName localSheetId="7" name="karpetwooldannilon">#REF!</definedName>
    <definedName localSheetId="28" name="batutempelhitam">#REF!</definedName>
    <definedName localSheetId="44" name="baru">#REF!</definedName>
    <definedName localSheetId="8" name="aaaaa">#REF!</definedName>
    <definedName localSheetId="31" name="Skrup">#REF!</definedName>
    <definedName localSheetId="30" name="_____MMM01">#REF!</definedName>
    <definedName localSheetId="23" name="tpipa">#REF!</definedName>
    <definedName localSheetId="3" name="___MMM06">#REF!</definedName>
    <definedName localSheetId="25" name="_KOP7">#REF!</definedName>
    <definedName localSheetId="0" name="URAIAN611">#REF!</definedName>
    <definedName localSheetId="24" name="R32..">#REF!</definedName>
    <definedName localSheetId="33" name="siap1">#REF!</definedName>
    <definedName localSheetId="5" name="metal">#REF!</definedName>
    <definedName localSheetId="10" name="__HAL5">#REF!</definedName>
    <definedName localSheetId="38" name="FORM612">#REF!</definedName>
    <definedName localSheetId="17" name="semenwarna">#REF!</definedName>
    <definedName name="pp">#REF!</definedName>
    <definedName localSheetId="18" name="______DIV10">#REF!</definedName>
    <definedName localSheetId="7" name="multi.4">#REF!</definedName>
    <definedName localSheetId="33" name="Jendelabesibaja">#REF!</definedName>
    <definedName localSheetId="10" name="____HAL1">#REF!</definedName>
    <definedName localSheetId="30" name="u">#REF!</definedName>
    <definedName name="teakwood9mm">#REF!</definedName>
    <definedName localSheetId="24" name="_____LLL07">#REF!</definedName>
    <definedName localSheetId="24" name="keramik30x30">#REF!</definedName>
    <definedName localSheetId="28" name="bubungangentengbeton">#REF!</definedName>
    <definedName localSheetId="6" name="_pvc105">#REF!</definedName>
    <definedName localSheetId="33" name="gentengdecrabond">#REF!</definedName>
    <definedName localSheetId="8" name="__MMM03">#REF!</definedName>
    <definedName localSheetId="15" name="R6..">#REF!</definedName>
    <definedName localSheetId="12" name="_DIV2">#REF!</definedName>
    <definedName localSheetId="44" name="__DIV6">#REF!</definedName>
    <definedName localSheetId="3" name="_MMM34">#REF!</definedName>
    <definedName localSheetId="7" name="kayukudakuda">#REF!</definedName>
    <definedName localSheetId="30" name="___DIV3">#REF!</definedName>
    <definedName localSheetId="36" name="begisting">#REF!</definedName>
    <definedName localSheetId="7" name="__MMM05">#REF!</definedName>
    <definedName localSheetId="44" name="pakugypsum">#REF!</definedName>
    <definedName localSheetId="36" name="bbm">#REF!</definedName>
    <definedName localSheetId="7" name="____MMM11">#REF!</definedName>
    <definedName localSheetId="9" name="dempul">#REF!</definedName>
    <definedName localSheetId="32" name="pintubesibaja">#REF!</definedName>
    <definedName localSheetId="41" name="ubinkeramik1020">#REF!</definedName>
    <definedName localSheetId="6" name="Papanbouplank">#REF!</definedName>
    <definedName localSheetId="3" name="besi13">#REF!</definedName>
    <definedName localSheetId="7" name="FORM98">#REF!</definedName>
    <definedName localSheetId="9" name="_DIV10">#REF!</definedName>
    <definedName localSheetId="0" name="R6..">#REF!</definedName>
    <definedName localSheetId="41" name="AGREGAT">#REF!</definedName>
    <definedName name="______DIV2">#REF!</definedName>
    <definedName localSheetId="25" name="kawatsengpolos">#REF!</definedName>
    <definedName localSheetId="33" name="gentengbeton">#REF!</definedName>
    <definedName localSheetId="21" name="batasuper">#REF!</definedName>
    <definedName localSheetId="13" name="plintubinwarna1030">#REF!</definedName>
    <definedName localSheetId="21" name="______MMM01">#REF!</definedName>
    <definedName localSheetId="3" name="________MMM30">#REF!</definedName>
    <definedName localSheetId="32" name="gypsum.prf">#REF!</definedName>
    <definedName name="______DIV1">#REF!</definedName>
    <definedName localSheetId="28" name="gabin_al">#REF!</definedName>
    <definedName localSheetId="17" name="gentengpaletongbesar">#REF!</definedName>
    <definedName localSheetId="44" name="__LLL02">#REF!</definedName>
    <definedName localSheetId="27" name="lemvinyl">#REF!</definedName>
    <definedName localSheetId="12" name="__LLL02">#REF!</definedName>
    <definedName localSheetId="15" name="pipagalvanis">#REF!</definedName>
    <definedName localSheetId="21" name="_MMM22">#REF!</definedName>
    <definedName localSheetId="40" name="bak">#REF!</definedName>
    <definedName localSheetId="33" name="JUDUL">#REF!</definedName>
    <definedName localSheetId="41" name="aluminiumfoil">#REF!</definedName>
    <definedName localSheetId="41" name="URAIAN7614d">#REF!</definedName>
    <definedName localSheetId="44" name="___MMM08">#REF!</definedName>
    <definedName localSheetId="0" name="URAIAN66PERATA">#REF!</definedName>
    <definedName localSheetId="7" name="ubinkeramikartistik1010">#REF!</definedName>
    <definedName localSheetId="30" name="teakwood9mm">#REF!</definedName>
    <definedName localSheetId="19" name="FORM7614c">#REF!</definedName>
    <definedName localSheetId="28" name="pagar2m">#REF!</definedName>
    <definedName localSheetId="18" name="gentengaspal">#REF!</definedName>
    <definedName localSheetId="18" name="ubinkeramik1020">#REF!</definedName>
    <definedName localSheetId="7" name="_____MMM21">#REF!</definedName>
    <definedName localSheetId="25" name="___DIV2">#REF!</definedName>
    <definedName localSheetId="41" name="URAIAN632">#REF!</definedName>
    <definedName localSheetId="18" name="platasbes">#REF!</definedName>
    <definedName localSheetId="6" name="lem">#REF!</definedName>
    <definedName localSheetId="34" name="URAIAN771b">#REF!</definedName>
    <definedName localSheetId="17" name="____MMM25">#REF!</definedName>
    <definedName localSheetId="40" name="SPJa">#REF!</definedName>
    <definedName localSheetId="31" name="R3..">#REF!</definedName>
    <definedName localSheetId="42" name="papanbulian">#REF!</definedName>
    <definedName localSheetId="17" name="alba2.20">#REF!</definedName>
    <definedName localSheetId="44" name="Analisa70703">#REF!</definedName>
    <definedName localSheetId="17" name="_______MMM44">#REF!</definedName>
    <definedName localSheetId="40" name="kategori">#REF!</definedName>
    <definedName localSheetId="21" name="_______HAL5">#REF!</definedName>
    <definedName localSheetId="17" name="URAIAN918">#REF!</definedName>
    <definedName localSheetId="12" name="___HAL1">#REF!</definedName>
    <definedName localSheetId="38" name="_HAL6">#REF!</definedName>
    <definedName localSheetId="28" name="_tl2">#REF!</definedName>
    <definedName localSheetId="17" name="___MMM46">#REF!</definedName>
    <definedName localSheetId="8" name="ubinwarna20">#REF!</definedName>
    <definedName localSheetId="36" name="kaca8">#REF!</definedName>
    <definedName localSheetId="42" name="URAIAN721">#REF!</definedName>
    <definedName localSheetId="44" name="PT">#REF!</definedName>
    <definedName localSheetId="44" name="R106..">#REF!</definedName>
    <definedName localSheetId="7" name="_______MMM16">#REF!</definedName>
    <definedName name="FRRDS">#REF!</definedName>
    <definedName localSheetId="8" name="c.mowi.dlm">#REF!</definedName>
    <definedName localSheetId="11" name="kayukamper">#REF!</definedName>
    <definedName localSheetId="28" name="URAIANLatasirK">#REF!</definedName>
    <definedName localSheetId="19" name="RoolingdoorAlumunium">#REF!</definedName>
    <definedName name="R14..">#REF!</definedName>
    <definedName localSheetId="25" name="URAIAN21">#REF!</definedName>
    <definedName localSheetId="10" name="MINOR">#REF!</definedName>
    <definedName localSheetId="24" name="__LLL01">#REF!</definedName>
    <definedName localSheetId="6" name="___pvc105">#REF!</definedName>
    <definedName localSheetId="5" name="FORM7613a">#REF!</definedName>
    <definedName localSheetId="17" name="_____HAL1">#REF!</definedName>
    <definedName localSheetId="17" name="______DIV3">#REF!</definedName>
    <definedName name="____MMM51">#REF!</definedName>
    <definedName localSheetId="7" name="_______DIV7">#REF!</definedName>
    <definedName localSheetId="19" name="MAI">#REF!</definedName>
    <definedName localSheetId="44" name="______MMM48">#REF!</definedName>
    <definedName localSheetId="25" name="aaaaa">#REF!</definedName>
    <definedName localSheetId="40" name="catpenutup">#REF!</definedName>
    <definedName localSheetId="6" name="gentengbeton">#REF!</definedName>
    <definedName name="___MMM11">#REF!</definedName>
    <definedName localSheetId="11" name="URAIAN7614d">#REF!</definedName>
    <definedName localSheetId="28" name="dua">#REF!</definedName>
    <definedName localSheetId="13" name="R61..">#REF!</definedName>
    <definedName localSheetId="7" name="Excel_BuiltIn_Print_Titles_1">#REF!</definedName>
    <definedName name="URAIAN917">#REF!</definedName>
    <definedName localSheetId="11" name="kuncialfa">#REF!</definedName>
    <definedName localSheetId="31" name="platasbes">#REF!</definedName>
    <definedName localSheetId="24" name="sdg">#REF!</definedName>
    <definedName localSheetId="13" name="______MMM02">#REF!</definedName>
    <definedName localSheetId="17" name="paku5.7.10">#REF!</definedName>
    <definedName localSheetId="19" name="y">#REF!</definedName>
    <definedName localSheetId="11" name="gymfloor">#REF!</definedName>
    <definedName localSheetId="7" name="____DIV1">#REF!</definedName>
    <definedName localSheetId="25" name="kuncialfa">#REF!</definedName>
    <definedName localSheetId="18" name="HP">#REF!</definedName>
    <definedName localSheetId="30" name="Pjgsloof">#REF!</definedName>
    <definedName localSheetId="8" name="kayuterentang">#REF!</definedName>
    <definedName localSheetId="3" name="Analisa631">#REF!</definedName>
    <definedName name="gentengdecrabond">#REF!</definedName>
    <definedName localSheetId="42" name="FORM771b">#REF!</definedName>
    <definedName localSheetId="12" name="RoolingdoorAlumunium">#REF!</definedName>
    <definedName localSheetId="15" name="_________HAL1">#REF!</definedName>
    <definedName localSheetId="17" name="kacacermin8">#REF!</definedName>
    <definedName localSheetId="25" name="RINCIANSEWA2">#REF!</definedName>
    <definedName localSheetId="6" name="kunciselot">#REF!</definedName>
    <definedName localSheetId="30" name="cghj">#REF!</definedName>
    <definedName localSheetId="5" name="Faktorial">#REF!</definedName>
    <definedName localSheetId="23" name="batuteraso">#REF!</definedName>
    <definedName localSheetId="3" name="R3..">#REF!</definedName>
    <definedName name="_MMM51">#REF!</definedName>
    <definedName localSheetId="36" name="FORM612">#REF!</definedName>
    <definedName localSheetId="21" name="u.besi">#REF!</definedName>
    <definedName localSheetId="24" name="besi10.sii">#REF!</definedName>
    <definedName localSheetId="42" name="Status">#REF!</definedName>
    <definedName localSheetId="7" name="R52..">#REF!</definedName>
    <definedName localSheetId="18" name="FORM79manual">#REF!</definedName>
    <definedName localSheetId="24" name="____MMM15">#REF!</definedName>
    <definedName localSheetId="17" name="____MMM52">#REF!</definedName>
    <definedName localSheetId="33" name="________DIV10">#REF!</definedName>
    <definedName localSheetId="34" name="plywood4">#REF!</definedName>
    <definedName localSheetId="39" name="he">#REF!</definedName>
    <definedName localSheetId="0" name="begisting">#REF!</definedName>
    <definedName localSheetId="17" name="__MMM38">#REF!</definedName>
    <definedName localSheetId="27" name="beton100kg">#REF!</definedName>
    <definedName localSheetId="21" name="URAIAN7614e">#REF!</definedName>
    <definedName localSheetId="31" name="__pvc05">#REF!</definedName>
    <definedName localSheetId="9" name="rapidrant">#REF!</definedName>
    <definedName localSheetId="31" name="atapaluminiumgelombang055">#REF!</definedName>
    <definedName localSheetId="8" name="hakangin">#REF!</definedName>
    <definedName localSheetId="32" name="ubinkeramikartistik520">#REF!</definedName>
    <definedName localSheetId="17" name="pipabeton">#REF!</definedName>
    <definedName localSheetId="19" name="__LLL03">#REF!</definedName>
    <definedName localSheetId="6" name="tp80x80">#REF!</definedName>
    <definedName name="kacapolos3mm">#REF!</definedName>
    <definedName localSheetId="36" name="multi.18">#REF!</definedName>
    <definedName localSheetId="18" name="ubingranito40">#REF!</definedName>
    <definedName localSheetId="9" name="G.Kramik">#REF!</definedName>
    <definedName localSheetId="31" name="grendel4">#REF!</definedName>
    <definedName localSheetId="10" name="ktbs">#REF!</definedName>
    <definedName localSheetId="44" name="batuapung">#REF!</definedName>
    <definedName localSheetId="28" name="_____DIV10">#REF!</definedName>
    <definedName localSheetId="7" name="gypsum.9">#REF!</definedName>
    <definedName localSheetId="36" name="SusunanOrg">#REF!</definedName>
    <definedName localSheetId="23" name="ubinwarna30">#REF!</definedName>
    <definedName localSheetId="31" name="R61..">#REF!</definedName>
    <definedName localSheetId="27" name="s.tukang">#REF!</definedName>
    <definedName localSheetId="39" name="URAIAN771c">#REF!</definedName>
    <definedName localSheetId="3" name="_____LLL04">#REF!</definedName>
    <definedName localSheetId="30" name="_LLL03">#REF!</definedName>
    <definedName localSheetId="4" name="__pvc3">#REF!</definedName>
    <definedName localSheetId="41" name="urugantanah">#REF!</definedName>
    <definedName name="________MMM37">#REF!</definedName>
    <definedName name="oemar">#REF!</definedName>
    <definedName localSheetId="42" name="tegelplinteraso10x30">#REF!</definedName>
    <definedName localSheetId="32" name="e">#REF!</definedName>
    <definedName localSheetId="15" name="coveartistik">#REF!</definedName>
    <definedName localSheetId="18" name="_____HAL3">#REF!</definedName>
    <definedName localSheetId="24" name="_____DIV2">#REF!</definedName>
    <definedName localSheetId="7" name="R100..">#REF!</definedName>
    <definedName localSheetId="33" name="ubinteraso40">#REF!</definedName>
    <definedName localSheetId="24" name="________HAL6">#REF!</definedName>
    <definedName localSheetId="33" name="springknip">#REF!</definedName>
    <definedName localSheetId="23" name="borneo5.7">#REF!</definedName>
    <definedName localSheetId="5" name="tp80x80">#REF!</definedName>
    <definedName localSheetId="0" name="KECAMATAN_KODEOHA">#REF!</definedName>
    <definedName localSheetId="21" name="___MMM46">#REF!</definedName>
    <definedName localSheetId="42" name="kayukamper">#REF!</definedName>
    <definedName localSheetId="0" name="aaaa">#REF!</definedName>
    <definedName name="besi10.sii">#REF!</definedName>
    <definedName localSheetId="19" name="pakusumbat">#REF!</definedName>
    <definedName name="URAIAN916">#REF!</definedName>
    <definedName localSheetId="23" name="AAAAAAA">#REF!</definedName>
    <definedName localSheetId="6" name="menibesi">#REF!</definedName>
    <definedName localSheetId="9" name="p.kmp.smrd.3.20">#REF!</definedName>
    <definedName localSheetId="32" name="batutempelhitam">#REF!</definedName>
    <definedName localSheetId="20" name="minyaksolar">#REF!</definedName>
    <definedName localSheetId="4" name="k.40.40.roman.crk">#REF!</definedName>
    <definedName localSheetId="20" name="FORM633">#REF!</definedName>
    <definedName localSheetId="20" name="___pvc105">#REF!</definedName>
    <definedName localSheetId="21" name="_______MMM29">#REF!</definedName>
    <definedName localSheetId="7" name="_________LLL06">#REF!</definedName>
    <definedName localSheetId="11" name="mowi.ws">#REF!</definedName>
    <definedName localSheetId="24" name="URAIAN95">#REF!</definedName>
    <definedName localSheetId="12" name="LAINLAIN">#REF!</definedName>
    <definedName localSheetId="36" name="Nokmetal3mm">#REF!</definedName>
    <definedName localSheetId="3" name="____DIV9">#REF!</definedName>
    <definedName localSheetId="6" name="FORM7612a">#REF!</definedName>
    <definedName localSheetId="0" name="pintubesibaja">#REF!</definedName>
    <definedName localSheetId="11" name="kayujati">#REF!</definedName>
    <definedName localSheetId="31" name="pasirsilika">#REF!</definedName>
    <definedName localSheetId="44" name="______MMM32">#REF!</definedName>
    <definedName localSheetId="7" name="______MMM06">#REF!</definedName>
    <definedName localSheetId="30" name="kayujati">#REF!</definedName>
    <definedName localSheetId="33" name="waterstop150">#REF!</definedName>
    <definedName localSheetId="23" name="sdg">#REF!</definedName>
    <definedName localSheetId="44" name="tanggal">#REF!</definedName>
    <definedName localSheetId="9" name="p.triplek">#REF!</definedName>
    <definedName name="_____MMM33">#REF!</definedName>
    <definedName localSheetId="33" name="Excel_BuiltIn_Print_Titles_2">#REF!</definedName>
    <definedName localSheetId="3" name="_______MMM28">#REF!</definedName>
    <definedName localSheetId="17" name="__DIV3">#REF!</definedName>
    <definedName localSheetId="18" name="plintubinkeramikartistik1020">#REF!</definedName>
    <definedName localSheetId="3" name="___LLL04">#REF!</definedName>
    <definedName localSheetId="19" name="_________DIV2">#REF!</definedName>
    <definedName localSheetId="21" name="_Tl1">#REF!</definedName>
    <definedName localSheetId="21" name="__HAL8">#REF!</definedName>
    <definedName localSheetId="17" name="pvc1.2.aw">#REF!</definedName>
    <definedName localSheetId="23" name="_______DIV3">#REF!</definedName>
    <definedName localSheetId="6" name="gypsum.9">#REF!</definedName>
    <definedName localSheetId="3" name="________MMM25">#REF!</definedName>
    <definedName localSheetId="44" name="SusunanOrg">#REF!</definedName>
    <definedName localSheetId="10" name="URAIAN234L">#REF!</definedName>
    <definedName localSheetId="4" name="kawatnyamuk">#REF!</definedName>
    <definedName localSheetId="27" name="kayudamarlaut">#REF!</definedName>
    <definedName localSheetId="23" name="_________HAL3">#REF!</definedName>
    <definedName localSheetId="7" name="nokpaten105">#REF!</definedName>
    <definedName localSheetId="11" name="besi12sii">#REF!</definedName>
    <definedName localSheetId="19" name="sengplatbjls24">#REF!</definedName>
    <definedName localSheetId="4" name="Akustik">#REF!</definedName>
    <definedName localSheetId="7" name="tky">#REF!</definedName>
    <definedName localSheetId="20" name="alba2.20">#REF!</definedName>
    <definedName localSheetId="4" name="_______MMM03">#REF!</definedName>
    <definedName localSheetId="21" name="ttnh">#REF!</definedName>
    <definedName localSheetId="0" name="u">#REF!</definedName>
    <definedName localSheetId="25" name="Akustik">#REF!</definedName>
    <definedName localSheetId="9" name="plintubinteraluxmarmer1060">#REF!</definedName>
    <definedName localSheetId="7" name="Lamp">#REF!</definedName>
    <definedName localSheetId="13" name="reng">#REF!</definedName>
    <definedName localSheetId="23" name="catpenutup2kali">#REF!</definedName>
    <definedName localSheetId="33" name="vertikalsblinds">#REF!</definedName>
    <definedName localSheetId="44" name="_____MMM20">#REF!</definedName>
    <definedName localSheetId="17" name="____MMM24">#REF!</definedName>
    <definedName localSheetId="24" name="_______MMM23">#REF!</definedName>
    <definedName localSheetId="30" name="tegelporselen10x20warna">#REF!</definedName>
    <definedName localSheetId="4" name="bjls30">#REF!</definedName>
    <definedName localSheetId="11" name="pintualuminium">#REF!</definedName>
    <definedName localSheetId="0" name="LAP">#REF!</definedName>
    <definedName localSheetId="9" name="kaca3">#REF!</definedName>
    <definedName localSheetId="7" name="Uraian847">#REF!</definedName>
    <definedName localSheetId="28" name="BAJA">#REF!</definedName>
    <definedName localSheetId="9" name="kaca8">#REF!</definedName>
    <definedName localSheetId="44" name="papanII">#REF!</definedName>
    <definedName localSheetId="36" name="tempatcucipiring">#REF!</definedName>
    <definedName localSheetId="38" name="beton.tumbuk">#REF!</definedName>
    <definedName localSheetId="12" name="pakuskrup">#REF!</definedName>
    <definedName localSheetId="40" name="tegelplin20x20">#REF!</definedName>
    <definedName localSheetId="27" name="_________HAL1">#REF!</definedName>
    <definedName localSheetId="33" name="nokpaten092">#REF!</definedName>
    <definedName localSheetId="7" name="_____MMM41">#REF!</definedName>
    <definedName localSheetId="9" name="FORM7610">#REF!</definedName>
    <definedName localSheetId="23" name="kawatnyamuk">#REF!</definedName>
    <definedName name="ubinkeramik1520">#REF!</definedName>
    <definedName localSheetId="32" name="URAIAN633">#REF!</definedName>
    <definedName localSheetId="21" name="___HAL5">#REF!</definedName>
    <definedName localSheetId="34" name="ubingranito30">#REF!</definedName>
    <definedName localSheetId="21" name="____MMM04">#REF!</definedName>
    <definedName localSheetId="27" name="URAIAN66PERATA">#REF!</definedName>
    <definedName localSheetId="5" name="batu.jogja">#REF!</definedName>
    <definedName localSheetId="32" name="kmp.banjar">#REF!</definedName>
    <definedName localSheetId="20" name="R6..">#REF!</definedName>
    <definedName name="ubinkeramik1515">#REF!</definedName>
    <definedName localSheetId="7" name="borneo4.6">#REF!</definedName>
    <definedName localSheetId="42" name="URAIAN7612a">#REF!</definedName>
    <definedName localSheetId="24" name="_________LLL01">#REF!</definedName>
    <definedName localSheetId="12" name="plintubinwarna1020">#REF!</definedName>
    <definedName localSheetId="42" name="_DIV1">#REF!</definedName>
    <definedName localSheetId="4" name="Print_title">#REF!</definedName>
    <definedName localSheetId="12" name="bubungangentengkodok">#REF!</definedName>
    <definedName localSheetId="44" name="______MMM16">#REF!</definedName>
    <definedName localSheetId="12" name="beton175R">#REF!</definedName>
    <definedName localSheetId="7" name="sodaapi">#REF!</definedName>
    <definedName localSheetId="17" name="____MMM31">#REF!</definedName>
    <definedName localSheetId="30" name="_MMM01">#REF!</definedName>
    <definedName localSheetId="7" name="Batas16.21">#REF!</definedName>
    <definedName localSheetId="30" name="waterstop150">#REF!</definedName>
    <definedName localSheetId="24" name="ktct">#REF!</definedName>
    <definedName localSheetId="18" name="sengplatbjls25">#REF!</definedName>
    <definedName localSheetId="3" name="__MMM31">#REF!</definedName>
    <definedName localSheetId="12" name="_kop6">#REF!</definedName>
    <definedName localSheetId="19" name="paku5.7.10">#REF!</definedName>
    <definedName localSheetId="28" name="batamerah">#REF!</definedName>
    <definedName localSheetId="19" name="kalkarium">#REF!</definedName>
    <definedName localSheetId="17" name="______MMM39">#REF!</definedName>
    <definedName localSheetId="38" name="roster">#REF!</definedName>
    <definedName localSheetId="10" name="seng30">#REF!</definedName>
    <definedName localSheetId="30" name="yyyyyyy">#REF!</definedName>
    <definedName localSheetId="17" name="____DIV2">#REF!</definedName>
    <definedName localSheetId="32" name="bbm">#REF!</definedName>
    <definedName localSheetId="27" name="KERAMIK30">#REF!</definedName>
    <definedName localSheetId="10" name="B.Aparatur">#REF!</definedName>
    <definedName localSheetId="36" name="L">#REF!</definedName>
    <definedName localSheetId="34" name="Tbt">#REF!</definedName>
    <definedName name="R96..">#REF!</definedName>
    <definedName localSheetId="32" name="u.besi">#REF!</definedName>
    <definedName localSheetId="34" name="kawatharmonika">#REF!</definedName>
    <definedName localSheetId="41" name="NAMA2">#REF!</definedName>
    <definedName localSheetId="44" name="list">#REF!</definedName>
    <definedName localSheetId="5" name="__MMM02">#REF!</definedName>
    <definedName localSheetId="33" name="sirlak">#REF!</definedName>
    <definedName localSheetId="36" name="________HAL3">#REF!</definedName>
    <definedName localSheetId="21" name="R27..">#REF!</definedName>
    <definedName localSheetId="21" name="_____HAL2">#REF!</definedName>
    <definedName localSheetId="21" name="psr.trs">#REF!</definedName>
    <definedName localSheetId="11" name="waterstop230">#REF!</definedName>
    <definedName localSheetId="3" name="kkkk">#REF!</definedName>
    <definedName localSheetId="17" name="batuteraso">#REF!</definedName>
    <definedName name="kuncilemari">#REF!</definedName>
    <definedName localSheetId="20" name="asbesgelombang">#REF!</definedName>
    <definedName localSheetId="23" name="Status">#REF!</definedName>
    <definedName localSheetId="18" name="kacawireglass5">#REF!</definedName>
    <definedName localSheetId="11" name="pakuhalus">#REF!</definedName>
    <definedName name="_KOP7">#REF!</definedName>
    <definedName localSheetId="12" name="__MMM03">#REF!</definedName>
    <definedName localSheetId="44" name="___MMM54">#REF!</definedName>
    <definedName localSheetId="27" name="pakusirap">#REF!</definedName>
    <definedName localSheetId="18" name="SPJa">#REF!</definedName>
    <definedName localSheetId="7" name="URAIAN772b">#REF!</definedName>
    <definedName localSheetId="13" name="tegel20">#REF!</definedName>
    <definedName localSheetId="8" name="DSSDD">#REF!</definedName>
    <definedName localSheetId="9" name="tukng">#REF!</definedName>
    <definedName localSheetId="32" name="Pjgsloof">#REF!</definedName>
    <definedName localSheetId="18" name="plamur.matex">#REF!</definedName>
    <definedName localSheetId="34" name="vinylkaret3030">#REF!</definedName>
    <definedName localSheetId="7" name="URAIAN632">#REF!</definedName>
    <definedName localSheetId="38" name="kayujati">#REF!</definedName>
    <definedName localSheetId="33" name="kayukelas2">#REF!</definedName>
    <definedName localSheetId="23" name="des">#REF!</definedName>
    <definedName localSheetId="31" name="pintusunscreenalluminium">#REF!</definedName>
    <definedName localSheetId="18" name="bouwplnk">#REF!</definedName>
    <definedName localSheetId="10" name="__HAL3">#REF!</definedName>
    <definedName localSheetId="7" name="______MMM19">#REF!</definedName>
    <definedName localSheetId="25" name="batamerah">#REF!</definedName>
    <definedName localSheetId="24" name="asbesgelombang">#REF!</definedName>
    <definedName localSheetId="44" name="______HAL7">#REF!</definedName>
    <definedName localSheetId="10" name="_HAL6">#REF!</definedName>
    <definedName localSheetId="27" name="tanahliat">#REF!</definedName>
    <definedName localSheetId="39" name="FORMLatasirK">#REF!</definedName>
    <definedName localSheetId="21" name="_______HAL3">#REF!</definedName>
    <definedName localSheetId="4" name="___DIV10">#REF!</definedName>
    <definedName localSheetId="39" name="grassblok">#REF!</definedName>
    <definedName localSheetId="24" name="___MMM45">#REF!</definedName>
    <definedName localSheetId="27" name="ubinwarna40">#REF!</definedName>
    <definedName localSheetId="41" name="FORM79manual">#REF!</definedName>
    <definedName localSheetId="44" name="besi6.sii">#REF!</definedName>
    <definedName localSheetId="23" name="kunci1slag">#REF!</definedName>
    <definedName name="___MMM16">#REF!</definedName>
    <definedName localSheetId="41" name="c.mowi.luar">#REF!</definedName>
    <definedName localSheetId="44" name="___MMM48">#REF!</definedName>
    <definedName localSheetId="27" name="FORM79mekanis">#REF!</definedName>
    <definedName localSheetId="28" name="_______DIV3">#REF!</definedName>
    <definedName localSheetId="7" name="_LLL09">#REF!</definedName>
    <definedName localSheetId="8" name="_DIV4">#REF!</definedName>
    <definedName localSheetId="3" name="ubinwarna40">#REF!</definedName>
    <definedName localSheetId="38" name="rincian">#REF!</definedName>
    <definedName localSheetId="19" name="tl2x40">#REF!</definedName>
    <definedName localSheetId="40" name="ramset">#REF!</definedName>
    <definedName localSheetId="34" name="FORMLatasirK">#REF!</definedName>
    <definedName localSheetId="13" name="pakubiasa">#REF!</definedName>
    <definedName localSheetId="38" name="kawatburung">#REF!</definedName>
    <definedName localSheetId="31" name="karpet">#REF!</definedName>
    <definedName localSheetId="31" name="seng25">#REF!</definedName>
    <definedName localSheetId="17" name="R81..">#REF!</definedName>
    <definedName localSheetId="20" name="pijar15">#REF!</definedName>
    <definedName localSheetId="36" name="FORM611">#REF!</definedName>
    <definedName localSheetId="40" name="_pc40">#REF!</definedName>
    <definedName localSheetId="15" name="__Tl1">#REF!</definedName>
    <definedName localSheetId="9" name="Status">#REF!</definedName>
    <definedName localSheetId="7" name="_______MMM09">#REF!</definedName>
    <definedName localSheetId="30" name="tegelporselen">#REF!</definedName>
    <definedName localSheetId="8" name="RoolingdoorAlumunium">#REF!</definedName>
    <definedName localSheetId="34" name="bubunganasbesnok">#REF!</definedName>
    <definedName localSheetId="30" name="roll">#REF!</definedName>
    <definedName localSheetId="31" name="plywood6mm">#REF!</definedName>
    <definedName localSheetId="34" name="p.bI">#REF!</definedName>
    <definedName localSheetId="5" name="b.belah">#REF!</definedName>
    <definedName localSheetId="5" name="grendeltanam">#REF!</definedName>
    <definedName localSheetId="5" name="Excel_BuiltIn_Print_Titles_2">#REF!</definedName>
    <definedName localSheetId="41" name="sssssss">#REF!</definedName>
    <definedName localSheetId="34" name="kaca3">#REF!</definedName>
    <definedName localSheetId="20" name="URAIAN732">#REF!</definedName>
    <definedName localSheetId="4" name="Gypsum">#REF!</definedName>
    <definedName localSheetId="18" name="jurnal">#REF!</definedName>
    <definedName localSheetId="21" name="___MMM07">#REF!</definedName>
    <definedName localSheetId="38" name="cycllop">#REF!</definedName>
    <definedName localSheetId="19" name="kolombetonpracetak">#REF!</definedName>
    <definedName localSheetId="24" name="________LLL05">#REF!</definedName>
    <definedName localSheetId="40" name="GUIIII">#REF!</definedName>
    <definedName localSheetId="24" name="Analisa70703">#REF!</definedName>
    <definedName localSheetId="21" name="kawatharmonika">#REF!</definedName>
    <definedName localSheetId="7" name="__MMM18">#REF!</definedName>
    <definedName localSheetId="18" name="waterstop200">#REF!</definedName>
    <definedName localSheetId="17" name="URAIAN66PERMUKAAN">#REF!</definedName>
    <definedName localSheetId="25" name="__HAL3">#REF!</definedName>
    <definedName localSheetId="3" name="Excel_BuiltIn_Print_Titles_5">#REF!</definedName>
    <definedName localSheetId="3" name="______MMM23">#REF!</definedName>
    <definedName localSheetId="7" name="R47..">#REF!</definedName>
    <definedName localSheetId="30" name="_____HAL2">#REF!</definedName>
    <definedName localSheetId="10" name="klosetjongkok">#REF!</definedName>
    <definedName localSheetId="17" name="_______MMM11">#REF!</definedName>
    <definedName localSheetId="27" name="_________DIV10">#REF!</definedName>
    <definedName localSheetId="3" name="_________MMM41">#REF!</definedName>
    <definedName localSheetId="18" name="ttnh">#REF!</definedName>
    <definedName localSheetId="7" name="URAIAN79manual">#REF!</definedName>
    <definedName localSheetId="0" name="FORM66PERATA">#REF!</definedName>
    <definedName localSheetId="4" name="URAIAN7610">#REF!</definedName>
    <definedName localSheetId="5" name="tpipa">#REF!</definedName>
    <definedName localSheetId="15" name="R1..">#REF!</definedName>
    <definedName localSheetId="28" name="total">#REF!</definedName>
    <definedName localSheetId="21" name="f.drain">#REF!</definedName>
    <definedName localSheetId="19" name="___HAL1">#REF!</definedName>
    <definedName localSheetId="10" name="ubinkeramikartistik1010">#REF!</definedName>
    <definedName localSheetId="17" name="kolombetonpracetak">#REF!</definedName>
    <definedName localSheetId="32" name="_____HAL2">#REF!</definedName>
    <definedName localSheetId="17" name="pakubulian">#REF!</definedName>
    <definedName localSheetId="3" name="kayukelas2">#REF!</definedName>
    <definedName localSheetId="19" name="__pvc205">#REF!</definedName>
    <definedName localSheetId="8" name="URAIANLatasirKL">#REF!</definedName>
    <definedName localSheetId="0" name="FORM612">#REF!</definedName>
    <definedName localSheetId="24" name="FORM96">#REF!</definedName>
    <definedName localSheetId="27" name="aaaa">#REF!</definedName>
    <definedName localSheetId="40" name="________HAL1">#REF!</definedName>
    <definedName localSheetId="17" name="FORM97">#REF!</definedName>
    <definedName localSheetId="33" name="Nok">#REF!</definedName>
    <definedName localSheetId="41" name="sabun">#REF!</definedName>
    <definedName localSheetId="44" name="kaca.p.5">#REF!</definedName>
    <definedName localSheetId="3" name="_____LLL10">#REF!</definedName>
    <definedName localSheetId="24" name="residu">#REF!</definedName>
    <definedName localSheetId="4" name="medan3.4">#REF!</definedName>
    <definedName localSheetId="8" name="AGREGAT">#REF!</definedName>
    <definedName localSheetId="31" name="ARI">#REF!</definedName>
    <definedName localSheetId="23" name="platasbes4mm">#REF!</definedName>
    <definedName localSheetId="44" name="UTAIAN7614c">#REF!</definedName>
    <definedName localSheetId="3" name="batuporos">#REF!</definedName>
    <definedName localSheetId="4" name="________DIV2">#REF!</definedName>
    <definedName localSheetId="42" name="ubinkeramik1020">#REF!</definedName>
    <definedName localSheetId="7" name="_MMM37">#REF!</definedName>
    <definedName localSheetId="34" name="plintubinteraluxmarmer1060">#REF!</definedName>
    <definedName localSheetId="9" name="URAIAN66PERMUKAAN">#REF!</definedName>
    <definedName localSheetId="42" name="Lamp">#REF!</definedName>
    <definedName localSheetId="44" name="FORM79mekanis">#REF!</definedName>
    <definedName localSheetId="4" name="sealer">#REF!</definedName>
    <definedName localSheetId="4" name="data2">#REF!</definedName>
    <definedName localSheetId="41" name="bilikbambu">#REF!</definedName>
    <definedName localSheetId="8" name="kunci2slag">#REF!</definedName>
    <definedName localSheetId="24" name="Kekurangan">#REF!</definedName>
    <definedName localSheetId="12" name="__pvc205">#REF!</definedName>
    <definedName localSheetId="5" name="p.bI">#REF!</definedName>
    <definedName localSheetId="19" name="u.bekisting">#REF!</definedName>
    <definedName localSheetId="33" name="batamerah">#REF!</definedName>
    <definedName localSheetId="34" name="atapaluminiumgelombang055">#REF!</definedName>
    <definedName localSheetId="42" name="papanjelutung">#REF!</definedName>
    <definedName localSheetId="34" name="mlex.w">#REF!</definedName>
    <definedName localSheetId="17" name="___MMM50">#REF!</definedName>
    <definedName localSheetId="44" name="FORM845">#REF!</definedName>
    <definedName localSheetId="39" name="Akustik">#REF!</definedName>
    <definedName localSheetId="17" name="metal">#REF!</definedName>
    <definedName localSheetId="17" name="pipagalvanis">#REF!</definedName>
    <definedName localSheetId="36" name="R40..">#REF!</definedName>
    <definedName localSheetId="31" name="_______MMM03">#REF!</definedName>
    <definedName localSheetId="17" name="_MMM47">#REF!</definedName>
    <definedName localSheetId="40" name="FORM7612b">#REF!</definedName>
    <definedName localSheetId="8" name="plintubingranito1040">#REF!</definedName>
    <definedName localSheetId="24" name="_LLL09">#REF!</definedName>
    <definedName localSheetId="18" name="FORM842">#REF!</definedName>
    <definedName localSheetId="3" name="tl2x40">#REF!</definedName>
    <definedName localSheetId="18" name="MASTER">#REF!</definedName>
    <definedName localSheetId="9" name="bjls25">#REF!</definedName>
    <definedName localSheetId="32" name="medan5.10">#REF!</definedName>
    <definedName localSheetId="17" name="urugan">#REF!</definedName>
    <definedName localSheetId="17" name="___DIV6">#REF!</definedName>
    <definedName localSheetId="7" name="plywood6mm">#REF!</definedName>
    <definedName localSheetId="17" name="L">#REF!</definedName>
    <definedName localSheetId="33" name="rapidrant">#REF!</definedName>
    <definedName localSheetId="13" name="jki">#REF!</definedName>
    <definedName localSheetId="44" name="_MMM30">#REF!</definedName>
    <definedName localSheetId="10" name="___MMM01">#REF!</definedName>
    <definedName localSheetId="44" name="________HAL5">#REF!</definedName>
    <definedName localSheetId="41" name="URAIAN631">#REF!</definedName>
    <definedName localSheetId="30" name="_________MMM01">#REF!</definedName>
    <definedName localSheetId="9" name="asbesgelombnang">#REF!</definedName>
    <definedName localSheetId="7" name="_________DIV3">#REF!</definedName>
    <definedName localSheetId="11" name="__Tl1">#REF!</definedName>
    <definedName localSheetId="15" name="R50..">#REF!</definedName>
    <definedName localSheetId="42" name="keramik30x30">#REF!</definedName>
    <definedName localSheetId="5" name="_________DIV2">#REF!</definedName>
    <definedName localSheetId="5" name="URAIAN633">#REF!</definedName>
    <definedName localSheetId="24" name="_________MMM22">#REF!</definedName>
    <definedName localSheetId="42" name="________DIV4">#REF!</definedName>
    <definedName localSheetId="44" name="Pc.50">#REF!</definedName>
    <definedName localSheetId="10" name="borneo5.10">#REF!</definedName>
    <definedName localSheetId="7" name="Analisa709">#REF!</definedName>
    <definedName localSheetId="5" name="vertikalsblinds">#REF!</definedName>
    <definedName localSheetId="17" name="R59..">#REF!</definedName>
    <definedName localSheetId="21" name="_________MMM51">#REF!</definedName>
    <definedName localSheetId="30" name="Grendel">#REF!</definedName>
    <definedName localSheetId="17" name="kayumarsawa">#REF!</definedName>
    <definedName localSheetId="10" name="formica">#REF!</definedName>
    <definedName localSheetId="39" name="STRUKTUR">#REF!</definedName>
    <definedName localSheetId="20" name="KERAMIK30">#REF!</definedName>
    <definedName name="________MMM02">#REF!</definedName>
    <definedName localSheetId="17" name="__MMM31">#REF!</definedName>
    <definedName localSheetId="0" name="psr.trs">#REF!</definedName>
    <definedName name="__MMM39">#REF!</definedName>
    <definedName localSheetId="24" name="FORM913">#REF!</definedName>
    <definedName localSheetId="31" name="plintubinteraluxmarmer1060">#REF!</definedName>
    <definedName localSheetId="39" name="ts">#REF!</definedName>
    <definedName localSheetId="17" name="FORM919">#REF!</definedName>
    <definedName localSheetId="21" name="R107..">#REF!</definedName>
    <definedName localSheetId="41" name="DFFFGGG">#REF!</definedName>
    <definedName localSheetId="7" name="URAIAN635A">#REF!</definedName>
    <definedName localSheetId="36" name="tes">#REF!</definedName>
    <definedName localSheetId="40" name="asbesgelombang">#REF!</definedName>
    <definedName localSheetId="25" name="tm_2415921492">#REF!</definedName>
    <definedName localSheetId="34" name="batugranito">#REF!</definedName>
    <definedName localSheetId="12" name="na">#REF!</definedName>
    <definedName localSheetId="11" name="mowi.w.shield">#REF!</definedName>
    <definedName localSheetId="32" name="_________DIV10">#REF!</definedName>
    <definedName localSheetId="15" name="_MMM02">#REF!</definedName>
    <definedName localSheetId="24" name="besi6.sii">#REF!</definedName>
    <definedName localSheetId="32" name="jurnal1">#REF!</definedName>
    <definedName localSheetId="6" name="k.40.40.roman.crk">#REF!</definedName>
    <definedName localSheetId="15" name="pakuhalus">#REF!</definedName>
    <definedName localSheetId="36" name="P">#REF!</definedName>
    <definedName localSheetId="24" name="psr.trs">#REF!</definedName>
    <definedName localSheetId="33" name="cendana">#REF!</definedName>
    <definedName localSheetId="9" name="R40..">#REF!</definedName>
    <definedName localSheetId="28" name="w.stain">#REF!</definedName>
    <definedName localSheetId="7" name="R79..">#REF!</definedName>
    <definedName localSheetId="28" name="FORM771b">#REF!</definedName>
    <definedName localSheetId="19" name="batuapung">#REF!</definedName>
    <definedName name="_______MMM22">#REF!</definedName>
    <definedName localSheetId="11" name="beton.225m">#REF!</definedName>
    <definedName localSheetId="27" name="URAIANLatasirK">#REF!</definedName>
    <definedName localSheetId="41" name="kacapolos5mm">#REF!</definedName>
    <definedName name="kategori">#REF!</definedName>
    <definedName localSheetId="23" name="URAIAN633">#REF!</definedName>
    <definedName localSheetId="30" name="__DIV3">#REF!</definedName>
    <definedName localSheetId="30" name="Print_Area_MI">#REF!</definedName>
    <definedName localSheetId="41" name="hd">#REF!</definedName>
    <definedName localSheetId="38" name="plintubinkeramikartistik1020">#REF!</definedName>
    <definedName localSheetId="6" name="Closet.ddk">#REF!</definedName>
    <definedName localSheetId="36" name="pajak">#REF!</definedName>
    <definedName localSheetId="0" name="pintualuminium">#REF!</definedName>
    <definedName localSheetId="44" name="pakusumbat">#REF!</definedName>
    <definedName localSheetId="42" name="________DIV2">#REF!</definedName>
    <definedName localSheetId="30" name="jffhauifhauifhe">#REF!</definedName>
    <definedName localSheetId="32" name="________DIV1">#REF!</definedName>
    <definedName localSheetId="6" name="akustikarmstrong">#REF!</definedName>
    <definedName localSheetId="42" name="batukali14">#REF!</definedName>
    <definedName localSheetId="13" name="_HAL4">#REF!</definedName>
    <definedName localSheetId="8" name="Batupuru">#REF!</definedName>
    <definedName localSheetId="41" name="_pc40">#REF!</definedName>
    <definedName localSheetId="13" name="____HAL3">#REF!</definedName>
    <definedName localSheetId="40" name="URAIAN79manual">#REF!</definedName>
    <definedName localSheetId="0" name="kuncialfa">#REF!</definedName>
    <definedName localSheetId="34" name="waterstop230">#REF!</definedName>
    <definedName localSheetId="24" name="FORM631">#REF!</definedName>
    <definedName localSheetId="3" name="kenek">#REF!</definedName>
    <definedName localSheetId="41" name="__pvc2">#REF!</definedName>
    <definedName localSheetId="10" name="URAIAN66PERMUKAAN">#REF!</definedName>
    <definedName localSheetId="8" name="FORM841">#REF!</definedName>
    <definedName localSheetId="21" name="___MMM03">#REF!</definedName>
    <definedName localSheetId="8" name="plamour">#REF!</definedName>
    <definedName localSheetId="18" name="MINOR">#REF!</definedName>
    <definedName localSheetId="5" name="c.mowi.dlm">#REF!</definedName>
    <definedName localSheetId="25" name="Uraian842">#REF!</definedName>
    <definedName localSheetId="33" name="kayukulim">#REF!</definedName>
    <definedName localSheetId="20" name="sealent">#REF!</definedName>
    <definedName localSheetId="9" name="L">#REF!</definedName>
    <definedName localSheetId="30" name="mowi.w.shield">#REF!</definedName>
    <definedName name="__MMM06">#REF!</definedName>
    <definedName localSheetId="21" name="______LLL09">#REF!</definedName>
    <definedName localSheetId="44" name="_pvc205">#REF!</definedName>
    <definedName localSheetId="4" name="___pvc205">#REF!</definedName>
    <definedName localSheetId="10" name="kayuterentang">#REF!</definedName>
    <definedName localSheetId="11" name="kayukruing">#REF!</definedName>
    <definedName localSheetId="7" name="R14..">#REF!</definedName>
    <definedName localSheetId="20" name="paku5.7.10">#REF!</definedName>
    <definedName localSheetId="15" name="kayubulian">#REF!</definedName>
    <definedName localSheetId="21" name="__MMM53">#REF!</definedName>
    <definedName localSheetId="31" name="badkip">#REF!</definedName>
    <definedName localSheetId="17" name="besi13">#REF!</definedName>
    <definedName localSheetId="7" name="________LLL11">#REF!</definedName>
    <definedName localSheetId="17" name="_MMM01">#REF!</definedName>
    <definedName localSheetId="9" name="Jasa">#REF!</definedName>
    <definedName localSheetId="25" name="sengplatbjls25">#REF!</definedName>
    <definedName localSheetId="20" name="kuncilemari">#REF!</definedName>
    <definedName localSheetId="40" name="_DIV4">#REF!</definedName>
    <definedName localSheetId="0" name="_tl2">#REF!</definedName>
    <definedName localSheetId="25" name="_pvc2">#REF!</definedName>
    <definedName localSheetId="32" name="plintkeramikartistik1020">#REF!</definedName>
    <definedName localSheetId="18" name="URAIAN7613a">#REF!</definedName>
    <definedName localSheetId="9" name="Grendel">#REF!</definedName>
    <definedName localSheetId="17" name="Closet.ddk">#REF!</definedName>
    <definedName localSheetId="23" name="_LLL02">#REF!</definedName>
    <definedName localSheetId="6" name="DAYWORKS">#REF!</definedName>
    <definedName name="sis">#REF!</definedName>
    <definedName localSheetId="18" name="y">#REF!</definedName>
    <definedName name="_________HAL4">#REF!</definedName>
    <definedName localSheetId="28" name="FORM721">#REF!</definedName>
    <definedName localSheetId="21" name="____DIV4">#REF!</definedName>
    <definedName localSheetId="28" name="ARI">#REF!</definedName>
    <definedName localSheetId="31" name="batamerah">#REF!</definedName>
    <definedName localSheetId="30" name="____DIV2">#REF!</definedName>
    <definedName localSheetId="32" name="teakwood9mm">#REF!</definedName>
    <definedName localSheetId="18" name="Faktor">#REF!</definedName>
    <definedName localSheetId="44" name="______HAL2">#REF!</definedName>
    <definedName localSheetId="3" name="FORM844">#REF!</definedName>
    <definedName localSheetId="19" name="ubinkeramik1020">#REF!</definedName>
    <definedName localSheetId="33" name="KUANTITAS">#REF!</definedName>
    <definedName localSheetId="7" name="besi6.sii">#REF!</definedName>
    <definedName localSheetId="24" name="kunci1slag">#REF!</definedName>
    <definedName localSheetId="38" name="c.mowi.luar">#REF!</definedName>
    <definedName localSheetId="24" name="kenek">#REF!</definedName>
    <definedName localSheetId="11" name="URAIAN79manual">#REF!</definedName>
    <definedName localSheetId="25" name="_tl2">#REF!</definedName>
    <definedName localSheetId="8" name="gypsum.prf">#REF!</definedName>
    <definedName localSheetId="31" name="kayuramin">#REF!</definedName>
    <definedName localSheetId="9" name="FORM745">#REF!</definedName>
    <definedName localSheetId="10" name="_kop6">#REF!</definedName>
    <definedName localSheetId="20" name="kacacermin8">#REF!</definedName>
    <definedName localSheetId="12" name="_______HAL3">#REF!</definedName>
    <definedName localSheetId="4" name="gentengdecrabond">#REF!</definedName>
    <definedName localSheetId="0" name="FRRDS">#REF!</definedName>
    <definedName localSheetId="17" name="tegelplinpc10x20">#REF!</definedName>
    <definedName localSheetId="27" name="metal">#REF!</definedName>
    <definedName name="R102..">#REF!</definedName>
    <definedName localSheetId="15" name="_________DIV1">#REF!</definedName>
    <definedName localSheetId="31" name="ubinkeramikartistik520">#REF!</definedName>
    <definedName localSheetId="18" name="___DIV3">#REF!</definedName>
    <definedName localSheetId="5" name="c.maxi">#REF!</definedName>
    <definedName localSheetId="13" name="MASTER">#REF!</definedName>
    <definedName localSheetId="17" name="_____MMM30">#REF!</definedName>
    <definedName localSheetId="13" name="R1..">#REF!</definedName>
    <definedName localSheetId="0" name="batutempelhitam">#REF!</definedName>
    <definedName localSheetId="21" name="___MMM33">#REF!</definedName>
    <definedName localSheetId="21" name="beton250m">#REF!</definedName>
    <definedName localSheetId="4" name="Kekurangan">#REF!</definedName>
    <definedName localSheetId="6" name="bubunganasbesgelombang">#REF!</definedName>
    <definedName localSheetId="24" name="pintualuminium">#REF!</definedName>
    <definedName localSheetId="21" name="________MMM17">#REF!</definedName>
    <definedName localSheetId="27" name="__MMM01">#REF!</definedName>
    <definedName localSheetId="0" name="FORM7612a">#REF!</definedName>
    <definedName name="Print_Titles_MI">#REF!</definedName>
    <definedName name="______DIV6">#REF!</definedName>
    <definedName localSheetId="18" name="dasar">#REF!</definedName>
    <definedName localSheetId="30" name="kran.bbk">#REF!</definedName>
    <definedName localSheetId="36" name="kaca5">#REF!</definedName>
    <definedName localSheetId="11" name="__LLL03">#REF!</definedName>
    <definedName localSheetId="33" name="URAIANLatasirK">#REF!</definedName>
    <definedName localSheetId="24" name="GUIIII">#REF!</definedName>
    <definedName localSheetId="12" name="gggg">#REF!</definedName>
    <definedName localSheetId="32" name="DUDI">#REF!</definedName>
    <definedName localSheetId="9" name="_______HAL2">#REF!</definedName>
    <definedName localSheetId="18" name="BAJA">#REF!</definedName>
    <definedName localSheetId="23" name="______HAL3">#REF!</definedName>
    <definedName localSheetId="33" name="GRC">#REF!</definedName>
    <definedName localSheetId="7" name="bouwplnk">#REF!</definedName>
    <definedName localSheetId="24" name="_____MMM20">#REF!</definedName>
    <definedName localSheetId="0" name="URAIAN66PERMUKAAN">#REF!</definedName>
    <definedName localSheetId="24" name="_____MMM47">#REF!</definedName>
    <definedName localSheetId="21" name="vertikalsblinds">#REF!</definedName>
    <definedName localSheetId="9" name="plintkeramikartistik520">#REF!</definedName>
    <definedName localSheetId="5" name="pipagalvanis">#REF!</definedName>
    <definedName localSheetId="9" name="R5..">#REF!</definedName>
    <definedName localSheetId="27" name="ppn.m.3.20.serut">#REF!</definedName>
    <definedName localSheetId="24" name="R12..">#REF!</definedName>
    <definedName localSheetId="17" name="ngsel4">#REF!</definedName>
    <definedName localSheetId="24" name="Overhead">#REF!</definedName>
    <definedName localSheetId="3" name="___DIV10">#REF!</definedName>
    <definedName localSheetId="21" name="___MMM44">#REF!</definedName>
    <definedName localSheetId="7" name="URAIAN919">#REF!</definedName>
    <definedName localSheetId="18" name="gentengdecrabond">#REF!</definedName>
    <definedName localSheetId="44" name="batuteraso">#REF!</definedName>
    <definedName name="___DIV10">#REF!</definedName>
    <definedName localSheetId="11" name="platasbes">#REF!</definedName>
    <definedName localSheetId="10" name="KUANTITAS">#REF!</definedName>
    <definedName localSheetId="19" name="_______DIV3">#REF!</definedName>
    <definedName localSheetId="7" name="eeeeee">#REF!</definedName>
    <definedName localSheetId="24" name="_______MMM17">#REF!</definedName>
    <definedName name="_______MMM42">#REF!</definedName>
    <definedName localSheetId="24" name="kayuterentang">#REF!</definedName>
    <definedName localSheetId="39" name="________HAL2">#REF!</definedName>
    <definedName localSheetId="32" name="leni">#REF!</definedName>
    <definedName localSheetId="34" name="formica">#REF!</definedName>
    <definedName localSheetId="42" name="kuncialfa">#REF!</definedName>
    <definedName localSheetId="27" name="KT">#REF!</definedName>
    <definedName localSheetId="33" name="_HAL6">#REF!</definedName>
    <definedName localSheetId="24" name="_____MMM18">#REF!</definedName>
    <definedName localSheetId="41" name="cv">#REF!</definedName>
    <definedName name="HP">#REF!</definedName>
    <definedName localSheetId="7" name="__MMM36">#REF!</definedName>
    <definedName localSheetId="36" name="got">#REF!</definedName>
    <definedName localSheetId="44" name="_____MMM33">#REF!</definedName>
    <definedName localSheetId="44" name="_MMM49">#REF!</definedName>
    <definedName localSheetId="44" name="roster">#REF!</definedName>
    <definedName localSheetId="28" name="ubinkeramik1033">#REF!</definedName>
    <definedName localSheetId="44" name="MINOR">#REF!</definedName>
    <definedName localSheetId="28" name="Aluminium">#REF!</definedName>
    <definedName localSheetId="30" name="Excel_BuiltIn_Print_Area_1">#REF!</definedName>
    <definedName localSheetId="30" name="kunciselot">#REF!</definedName>
    <definedName localSheetId="18" name="R60..">#REF!</definedName>
    <definedName localSheetId="19" name="ktbs">#REF!</definedName>
    <definedName localSheetId="15" name="Faktorial">#REF!</definedName>
    <definedName localSheetId="21" name="____MMM07">#REF!</definedName>
    <definedName localSheetId="10" name="c.mowi.luar">#REF!</definedName>
    <definedName localSheetId="12" name="waterdrainaksesoris">#REF!</definedName>
    <definedName localSheetId="28" name="kmp.banjar">#REF!</definedName>
    <definedName name="teakoil">#REF!</definedName>
    <definedName localSheetId="44" name="jffhauifhauifhe">#REF!</definedName>
    <definedName localSheetId="40" name="platasbes35mm">#REF!</definedName>
    <definedName localSheetId="11" name="Pengadaan">#REF!</definedName>
    <definedName localSheetId="20" name="drkeet">#REF!</definedName>
    <definedName name="perancahkayu">#REF!</definedName>
    <definedName localSheetId="9" name="menibesi">#REF!</definedName>
    <definedName localSheetId="24" name="_DIV7">#REF!</definedName>
    <definedName localSheetId="24" name="q">#REF!</definedName>
    <definedName localSheetId="7" name="URAIAN733">#REF!</definedName>
    <definedName localSheetId="34" name="jffhauifhauifhe">#REF!</definedName>
    <definedName localSheetId="10" name="UTAIAN7614c">#REF!</definedName>
    <definedName name="Uraian844">#REF!</definedName>
    <definedName localSheetId="17" name="R43..">#REF!</definedName>
    <definedName localSheetId="25" name="ARI">#REF!</definedName>
    <definedName localSheetId="31" name="grendeltanam">#REF!</definedName>
    <definedName localSheetId="13" name="_LLL03">#REF!</definedName>
    <definedName localSheetId="17" name="AAAAAAA">#REF!</definedName>
    <definedName localSheetId="42" name="leni">#REF!</definedName>
    <definedName localSheetId="15" name="URAIAN7613c">#REF!</definedName>
    <definedName localSheetId="6" name="FRRDS">#REF!</definedName>
    <definedName localSheetId="6" name="URAIAN">#REF!</definedName>
    <definedName localSheetId="3" name="____DIV4">#REF!</definedName>
    <definedName localSheetId="6" name="__pvc2">#REF!</definedName>
    <definedName localSheetId="39" name="plintkeramikartistik1010">#REF!</definedName>
    <definedName localSheetId="8" name="ss">#REF!</definedName>
    <definedName localSheetId="28" name="__LLL02">#REF!</definedName>
    <definedName localSheetId="11" name="FORM621">#REF!</definedName>
    <definedName localSheetId="25" name="engsel4">#REF!</definedName>
    <definedName localSheetId="38" name="kacawireglass5">#REF!</definedName>
    <definedName localSheetId="11" name="FORM841">#REF!</definedName>
    <definedName localSheetId="44" name="oemar">#REF!</definedName>
    <definedName localSheetId="21" name="___MMM26">#REF!</definedName>
    <definedName name="ubinmosaik3030">#REF!</definedName>
    <definedName localSheetId="10" name="FORM7614b">#REF!</definedName>
    <definedName localSheetId="6" name="Kunci1">#REF!</definedName>
    <definedName localSheetId="39" name="jurnal">#REF!</definedName>
    <definedName localSheetId="36" name="floorhardenerferrovak">#REF!</definedName>
    <definedName localSheetId="27" name="oemar">#REF!</definedName>
    <definedName localSheetId="3" name="R103..">#REF!</definedName>
    <definedName localSheetId="8" name="Ker.L13">#REF!</definedName>
    <definedName localSheetId="17" name="______MMM45">#REF!</definedName>
    <definedName localSheetId="23" name="vertikalsblinds">#REF!</definedName>
    <definedName localSheetId="15" name="MASTER">#REF!</definedName>
    <definedName localSheetId="10" name="ubinwarna20">#REF!</definedName>
    <definedName localSheetId="3" name="___MMM27">#REF!</definedName>
    <definedName localSheetId="25" name="seng25">#REF!</definedName>
    <definedName localSheetId="19" name="p.bI">#REF!</definedName>
    <definedName localSheetId="31" name="Kekurangan">#REF!</definedName>
    <definedName localSheetId="25" name="sealent">#REF!</definedName>
    <definedName localSheetId="19" name="dd">#REF!</definedName>
    <definedName localSheetId="3" name="marmer">#REF!</definedName>
    <definedName localSheetId="7" name="stairnzing">#REF!</definedName>
    <definedName name="vinylmotifkembang">#REF!</definedName>
    <definedName localSheetId="6" name="lis">#REF!</definedName>
    <definedName localSheetId="9" name="_Tl1">#REF!</definedName>
    <definedName localSheetId="44" name="platasbes">#REF!</definedName>
    <definedName localSheetId="27" name="PT">#REF!</definedName>
    <definedName name="pakusumbat">#REF!</definedName>
    <definedName localSheetId="20" name="plintubinwarna1020">#REF!</definedName>
    <definedName localSheetId="36" name="kacapolos5mm">#REF!</definedName>
    <definedName localSheetId="18" name="R50..">#REF!</definedName>
    <definedName localSheetId="23" name="waterstop230">#REF!</definedName>
    <definedName localSheetId="12" name="plastik">#REF!</definedName>
    <definedName localSheetId="0" name="R61..">#REF!</definedName>
    <definedName localSheetId="36" name="GUIIII">#REF!</definedName>
    <definedName localSheetId="13" name="cycllop">#REF!</definedName>
    <definedName localSheetId="10" name="oke">#REF!</definedName>
    <definedName localSheetId="21" name="______HAL3">#REF!</definedName>
    <definedName localSheetId="11" name="bakkontrol">#REF!</definedName>
    <definedName localSheetId="21" name="________MMM11">#REF!</definedName>
    <definedName localSheetId="9" name="____DIV4">#REF!</definedName>
    <definedName localSheetId="9" name="Skrup">#REF!</definedName>
    <definedName localSheetId="27" name="Batupuru">#REF!</definedName>
    <definedName localSheetId="36" name="strorox">#REF!</definedName>
    <definedName localSheetId="21" name="R95..">#REF!</definedName>
    <definedName name="dd">#REF!</definedName>
    <definedName localSheetId="31" name="___pvc205">#REF!</definedName>
    <definedName localSheetId="28" name="y">#REF!</definedName>
    <definedName localSheetId="15" name="________DIV2">#REF!</definedName>
    <definedName localSheetId="6" name="plintubingranito1040">#REF!</definedName>
    <definedName localSheetId="39" name="FORM841">#REF!</definedName>
    <definedName localSheetId="8" name="begisting">#REF!</definedName>
    <definedName localSheetId="24" name="________MMM24">#REF!</definedName>
    <definedName localSheetId="3" name="____LLL10">#REF!</definedName>
    <definedName localSheetId="3" name="____MMM29">#REF!</definedName>
    <definedName localSheetId="21" name="KECAMATAN_KODEOHA">#REF!</definedName>
    <definedName localSheetId="3" name="FORM915">#REF!</definedName>
    <definedName localSheetId="12" name="catpenutup2kali">#REF!</definedName>
    <definedName localSheetId="41" name="beton175m">#REF!</definedName>
    <definedName localSheetId="13" name="FORM7612a">#REF!</definedName>
    <definedName localSheetId="9" name="FORM7612c">#REF!</definedName>
    <definedName localSheetId="7" name="lem">#REF!</definedName>
    <definedName localSheetId="3" name="sis">#REF!</definedName>
    <definedName localSheetId="21" name="ubinteraso30">#REF!</definedName>
    <definedName localSheetId="7" name="SPJ">#REF!</definedName>
    <definedName localSheetId="39" name="leni">#REF!</definedName>
    <definedName localSheetId="31" name="roster">#REF!</definedName>
    <definedName localSheetId="41" name="panelbetonpracetak">#REF!</definedName>
    <definedName localSheetId="41" name="___DIV3">#REF!</definedName>
    <definedName name="plesteran13">#REF!</definedName>
    <definedName localSheetId="25" name="_DIV4">#REF!</definedName>
    <definedName localSheetId="3" name="borneo5.7">#REF!</definedName>
    <definedName localSheetId="30" name="URAIAN7613c">#REF!</definedName>
    <definedName localSheetId="38" name="kayukamper">#REF!</definedName>
    <definedName localSheetId="30" name="Kekurangan">#REF!</definedName>
    <definedName localSheetId="3" name="penduduk">#REF!</definedName>
    <definedName localSheetId="7" name="ttnh">#REF!</definedName>
    <definedName localSheetId="25" name="kacacermin8">#REF!</definedName>
    <definedName localSheetId="8" name="pintugulungbesi">#REF!</definedName>
    <definedName localSheetId="8" name="washtafel">#REF!</definedName>
    <definedName localSheetId="31" name="borneo4.6">#REF!</definedName>
    <definedName localSheetId="19" name="hcs">#REF!</definedName>
    <definedName localSheetId="24" name="plywood6mm">#REF!</definedName>
    <definedName localSheetId="21" name="Ktbt">#REF!</definedName>
    <definedName localSheetId="4" name="pagarseng2m">#REF!</definedName>
    <definedName localSheetId="18" name="bjls25">#REF!</definedName>
    <definedName localSheetId="9" name="u.besi">#REF!</definedName>
    <definedName localSheetId="3" name="___MMM47">#REF!</definedName>
    <definedName localSheetId="41" name="vinylkaretklII">#REF!</definedName>
    <definedName localSheetId="38" name="NAMA2">#REF!</definedName>
    <definedName name="_________LLL02">#REF!</definedName>
    <definedName name="___MMM38">#REF!</definedName>
    <definedName localSheetId="11" name="aaaa">#REF!</definedName>
    <definedName name="kuncitanamkamarmandi">#REF!</definedName>
    <definedName localSheetId="9" name="batamerah">#REF!</definedName>
    <definedName localSheetId="21" name="___MMM34">#REF!</definedName>
    <definedName localSheetId="11" name="ubinteraso40">#REF!</definedName>
    <definedName localSheetId="21" name="medan3.4">#REF!</definedName>
    <definedName localSheetId="24" name="ttnh">#REF!</definedName>
    <definedName localSheetId="17" name="________MMM38">#REF!</definedName>
    <definedName localSheetId="39" name="cendana">#REF!</definedName>
    <definedName localSheetId="28" name="sealer.mowi">#REF!</definedName>
    <definedName name="R33..">#REF!</definedName>
    <definedName localSheetId="3" name="___MMM01">#REF!</definedName>
    <definedName localSheetId="9" name="kacapolos5mm">#REF!</definedName>
    <definedName localSheetId="21" name="_________MMM53">#REF!</definedName>
    <definedName localSheetId="34" name="____MMM02">#REF!</definedName>
    <definedName localSheetId="17" name="_HAL8">#REF!</definedName>
    <definedName localSheetId="32" name="gali">#REF!</definedName>
    <definedName localSheetId="40" name="KERAMIK30">#REF!</definedName>
    <definedName localSheetId="38" name="_kop5">#REF!</definedName>
    <definedName localSheetId="12" name="stairnzing">#REF!</definedName>
    <definedName localSheetId="0" name="FORM621">#REF!</definedName>
    <definedName localSheetId="6" name="kawatburung">#REF!</definedName>
    <definedName localSheetId="40" name="Kunci2">#REF!</definedName>
    <definedName localSheetId="44" name="URAIAN635A">#REF!</definedName>
    <definedName localSheetId="41" name="_HAL6">#REF!</definedName>
    <definedName localSheetId="7" name="sengplatbjls25">#REF!</definedName>
    <definedName localSheetId="7" name="_____LLL04">#REF!</definedName>
    <definedName localSheetId="44" name="kaca.es">#REF!</definedName>
    <definedName localSheetId="18" name="L">#REF!</definedName>
    <definedName localSheetId="40" name="mlex.w">#REF!</definedName>
    <definedName localSheetId="10" name="teakwood4mm">#REF!</definedName>
    <definedName localSheetId="17" name="R28..">#REF!</definedName>
    <definedName localSheetId="31" name="engselangin">#REF!</definedName>
    <definedName localSheetId="18" name="_______MMM03">#REF!</definedName>
    <definedName localSheetId="24" name="bubunganasbesnok">#REF!</definedName>
    <definedName localSheetId="31" name="_MMM01">#REF!</definedName>
    <definedName localSheetId="24" name="_________DIV4">#REF!</definedName>
    <definedName localSheetId="5" name="R60..">#REF!</definedName>
    <definedName localSheetId="21" name="__LLL08">#REF!</definedName>
    <definedName localSheetId="24" name="Excel_BuiltIn_Print_Titles_10">#REF!</definedName>
    <definedName localSheetId="21" name="____MMM24">#REF!</definedName>
    <definedName localSheetId="41" name="_______HAL3">#REF!</definedName>
    <definedName localSheetId="44" name="________DIV3">#REF!</definedName>
    <definedName localSheetId="38" name="DAYWORKS">#REF!</definedName>
    <definedName localSheetId="5" name="plintkeramikartistik1020">#REF!</definedName>
    <definedName localSheetId="30" name="urugantanah">#REF!</definedName>
    <definedName localSheetId="34" name="_______HAL2">#REF!</definedName>
    <definedName localSheetId="21" name="R22..">#REF!</definedName>
    <definedName localSheetId="44" name="__DIV8">#REF!</definedName>
    <definedName localSheetId="13" name="tegelplinteraso10x30">#REF!</definedName>
    <definedName localSheetId="41" name="__Tl1">#REF!</definedName>
    <definedName localSheetId="24" name="_HAL7">#REF!</definedName>
    <definedName localSheetId="7" name="Analisa71003">#REF!</definedName>
    <definedName localSheetId="25" name="gabin_al">#REF!</definedName>
    <definedName localSheetId="8" name="c.maxi">#REF!</definedName>
    <definedName localSheetId="12" name="__DIV3">#REF!</definedName>
    <definedName localSheetId="3" name="Batas16.21">#REF!</definedName>
    <definedName localSheetId="9" name="__MMM02">#REF!</definedName>
    <definedName localSheetId="21" name="R83..">#REF!</definedName>
    <definedName localSheetId="12" name="_____HAL2">#REF!</definedName>
    <definedName localSheetId="3" name="FORM634">#REF!</definedName>
    <definedName localSheetId="7" name="bakcuciteraso">#REF!</definedName>
    <definedName localSheetId="36" name="beton100kg">#REF!</definedName>
    <definedName localSheetId="41" name="___HAL1">#REF!</definedName>
    <definedName localSheetId="44" name="w">#REF!</definedName>
    <definedName localSheetId="32" name="URAIAN771c">#REF!</definedName>
    <definedName localSheetId="7" name="____MMM39">#REF!</definedName>
    <definedName localSheetId="33" name="Akustik">#REF!</definedName>
    <definedName localSheetId="7" name="______MMM45">#REF!</definedName>
    <definedName localSheetId="23" name="beton175m">#REF!</definedName>
    <definedName localSheetId="25" name="Analisa512">#REF!</definedName>
    <definedName localSheetId="32" name="t.sabun">#REF!</definedName>
    <definedName localSheetId="11" name="engsel4">#REF!</definedName>
    <definedName localSheetId="24" name="_______LLL10">#REF!</definedName>
    <definedName localSheetId="9" name="pakuskrup">#REF!</definedName>
    <definedName localSheetId="38" name="____MMM01">#REF!</definedName>
    <definedName localSheetId="36" name="pddk">#REF!</definedName>
    <definedName localSheetId="9" name="___HAL3">#REF!</definedName>
    <definedName localSheetId="13" name="Minyak">#REF!</definedName>
    <definedName localSheetId="32" name="sengplatbjls28">#REF!</definedName>
    <definedName name="________MMM36">#REF!</definedName>
    <definedName localSheetId="25" name="JUDUL1">#REF!</definedName>
    <definedName localSheetId="40" name="metal">#REF!</definedName>
    <definedName localSheetId="23" name="_____HAL1">#REF!</definedName>
    <definedName localSheetId="7" name="Gentengmetal3mm">#REF!</definedName>
    <definedName localSheetId="21" name="TANAH">#REF!</definedName>
    <definedName localSheetId="20" name="seng25">#REF!</definedName>
    <definedName localSheetId="23" name="____MMM02">#REF!</definedName>
    <definedName localSheetId="17" name="URAIAN21">#REF!</definedName>
    <definedName localSheetId="28" name="karpetwooldannilon">#REF!</definedName>
    <definedName localSheetId="7" name="R42..">#REF!</definedName>
    <definedName localSheetId="18" name="ngsel4">#REF!</definedName>
    <definedName localSheetId="25" name="Grendel">#REF!</definedName>
    <definedName localSheetId="44" name="FORM8410">#REF!</definedName>
    <definedName localSheetId="44" name="FORM847">#REF!</definedName>
    <definedName name="hd">#REF!</definedName>
    <definedName localSheetId="31" name="______HAL3">#REF!</definedName>
    <definedName localSheetId="21" name="URAIAN918">#REF!</definedName>
    <definedName localSheetId="15" name="a">#REF!</definedName>
    <definedName localSheetId="20" name="pipabeton">#REF!</definedName>
    <definedName localSheetId="7" name="f">#REF!</definedName>
    <definedName localSheetId="20" name="P">#REF!</definedName>
    <definedName localSheetId="24" name="floorhardenermastercron">#REF!</definedName>
    <definedName localSheetId="25" name="plintubinteraluxmarmer1030">#REF!</definedName>
    <definedName localSheetId="9" name="Excel_BuiltIn_Print_Titles_1">#REF!</definedName>
    <definedName localSheetId="20" name="FORM79manual">#REF!</definedName>
    <definedName localSheetId="21" name="Analisa71202">#REF!</definedName>
    <definedName localSheetId="40" name="ASISTEN_BIDANG_PEMERINTAHAN">#REF!</definedName>
    <definedName localSheetId="18" name="Excel_BuiltIn_Print_Titles_10">#REF!</definedName>
    <definedName localSheetId="38" name="JUDUL">#REF!</definedName>
    <definedName localSheetId="21" name="________MMM44">#REF!</definedName>
    <definedName localSheetId="18" name="_______DIV1">#REF!</definedName>
    <definedName localSheetId="23" name="____DIV4">#REF!</definedName>
    <definedName localSheetId="17" name="reng">#REF!</definedName>
    <definedName localSheetId="15" name="multi.18">#REF!</definedName>
    <definedName localSheetId="41" name="______DIV10">#REF!</definedName>
    <definedName localSheetId="32" name="waterstop200">#REF!</definedName>
    <definedName localSheetId="8" name="kayukulim">#REF!</definedName>
    <definedName localSheetId="21" name="puzzdilth">#REF!</definedName>
    <definedName localSheetId="21" name="tegelporselen20x20warna">#REF!</definedName>
    <definedName localSheetId="7" name="besi13">#REF!</definedName>
    <definedName localSheetId="6" name="URAIANLatasirKL">#REF!</definedName>
    <definedName localSheetId="40" name="beton100kg">#REF!</definedName>
    <definedName localSheetId="42" name="besi13u">#REF!</definedName>
    <definedName localSheetId="19" name="plintubinteraluxmarmer1040">#REF!</definedName>
    <definedName localSheetId="44" name="_________MMM47">#REF!</definedName>
    <definedName localSheetId="44" name="k.ddg.20.25.rmn.crk">#REF!</definedName>
    <definedName name="tanahliat">#REF!</definedName>
    <definedName localSheetId="4" name="kawatburung">#REF!</definedName>
    <definedName localSheetId="3" name="R102..">#REF!</definedName>
    <definedName localSheetId="17" name="__DIV10">#REF!</definedName>
    <definedName localSheetId="12" name="Per">#REF!</definedName>
    <definedName localSheetId="30" name="_LLL01">#REF!</definedName>
    <definedName localSheetId="5" name="papan.m.3.20">#REF!</definedName>
    <definedName localSheetId="3" name="_____LLL08">#REF!</definedName>
    <definedName localSheetId="34" name="kompresor">#REF!</definedName>
    <definedName localSheetId="27" name="____HAL2">#REF!</definedName>
    <definedName localSheetId="25" name="__pvc205">#REF!</definedName>
    <definedName localSheetId="11" name="Excel_BuiltIn_Print_Titles_1">#REF!</definedName>
    <definedName localSheetId="5" name="catantara">#REF!</definedName>
    <definedName localSheetId="40" name="FORM7613a">#REF!</definedName>
    <definedName localSheetId="20" name="_MMM03">#REF!</definedName>
    <definedName localSheetId="30" name="sengbjls25">#REF!</definedName>
    <definedName localSheetId="7" name="___MMM45">#REF!</definedName>
    <definedName localSheetId="12" name="doorholder">#REF!</definedName>
    <definedName localSheetId="20" name="doorholder">#REF!</definedName>
    <definedName name="w">#REF!</definedName>
    <definedName localSheetId="10" name="___pvc105">#REF!</definedName>
    <definedName name="URAIAN634">#REF!</definedName>
    <definedName localSheetId="17" name="MOBILISASI">#REF!</definedName>
    <definedName localSheetId="44" name="URAIAN913">#REF!</definedName>
    <definedName localSheetId="41" name="R51..">#REF!</definedName>
    <definedName localSheetId="0" name="gypsum.9">#REF!</definedName>
    <definedName localSheetId="17" name="_________MMM52">#REF!</definedName>
    <definedName localSheetId="4" name="_____HAL2">#REF!</definedName>
    <definedName name="_________MMM11">#REF!</definedName>
    <definedName localSheetId="10" name="pakuhak15cm">#REF!</definedName>
    <definedName localSheetId="23" name="FORM7613b">#REF!</definedName>
    <definedName localSheetId="31" name="kunci1slag">#REF!</definedName>
    <definedName localSheetId="34" name="hcs">#REF!</definedName>
    <definedName localSheetId="33" name="NAMA3">#REF!</definedName>
    <definedName localSheetId="23" name="sealer.mowi">#REF!</definedName>
    <definedName localSheetId="44" name="rincian">#REF!</definedName>
    <definedName localSheetId="6" name="Excel_BuiltIn_Print_Area_10">#REF!</definedName>
    <definedName name="keramik40">#REF!</definedName>
    <definedName localSheetId="27" name="k.ddg.rmn.20.25.pls">#REF!</definedName>
    <definedName name="_________MMM08">#REF!</definedName>
    <definedName localSheetId="4" name="URAIAN7614a">#REF!</definedName>
    <definedName localSheetId="30" name="hakangin">#REF!</definedName>
    <definedName localSheetId="20" name="_pc40">#REF!</definedName>
    <definedName localSheetId="6" name="marmer">#REF!</definedName>
    <definedName localSheetId="44" name="_MMM16">#REF!</definedName>
    <definedName localSheetId="3" name="____MMM30">#REF!</definedName>
    <definedName localSheetId="18" name="doorcloser">#REF!</definedName>
    <definedName localSheetId="40" name="kran.ddg">#REF!</definedName>
    <definedName localSheetId="11" name="G">#REF!</definedName>
    <definedName localSheetId="13" name="kayudamarlaut">#REF!</definedName>
    <definedName localSheetId="0" name="doorholder">#REF!</definedName>
    <definedName localSheetId="34" name="SSSSSSSSSSSSSSSSSSSSSSSSSSSSS">#REF!</definedName>
    <definedName localSheetId="42" name="sssssss">#REF!</definedName>
    <definedName localSheetId="9" name="mowi.ws">#REF!</definedName>
    <definedName localSheetId="10" name="_MMM03">#REF!</definedName>
    <definedName localSheetId="44" name="_________MMM44">#REF!</definedName>
    <definedName localSheetId="27" name="_MMM02">#REF!</definedName>
    <definedName localSheetId="21" name="FORM910">#REF!</definedName>
    <definedName localSheetId="24" name="__MMM41">#REF!</definedName>
    <definedName localSheetId="18" name="__pvc205">#REF!</definedName>
    <definedName localSheetId="24" name="R89..">#REF!</definedName>
    <definedName localSheetId="42" name="SSSSSSSSSSSSSSSSSSSSSSSSSSSSS">#REF!</definedName>
    <definedName localSheetId="20" name="BAJA">#REF!</definedName>
    <definedName localSheetId="40" name="FORM7614c">#REF!</definedName>
    <definedName localSheetId="19" name="kayuborneo">#REF!</definedName>
    <definedName localSheetId="17" name="URAIAN911">#REF!</definedName>
    <definedName localSheetId="28" name="beton225r">#REF!</definedName>
    <definedName localSheetId="8" name="kuncialfa">#REF!</definedName>
    <definedName localSheetId="36" name="papan.m.3.20">#REF!</definedName>
    <definedName localSheetId="44" name="tlistrik">#REF!</definedName>
    <definedName localSheetId="24" name="______DIV7">#REF!</definedName>
    <definedName localSheetId="31" name="batupecah">#REF!</definedName>
    <definedName localSheetId="40" name="bjls25">#REF!</definedName>
    <definedName localSheetId="33" name="kawatburung">#REF!</definedName>
    <definedName localSheetId="21" name="R8..">#REF!</definedName>
    <definedName localSheetId="11" name="sirlak">#REF!</definedName>
    <definedName localSheetId="27" name="tegelpc20x20">#REF!</definedName>
    <definedName localSheetId="21" name="FORM7614b">#REF!</definedName>
    <definedName localSheetId="4" name="sirap">#REF!</definedName>
    <definedName localSheetId="3" name="______MMM05">#REF!</definedName>
    <definedName localSheetId="7" name="_____MMM44">#REF!</definedName>
    <definedName localSheetId="6" name="batu.jogja">#REF!</definedName>
    <definedName localSheetId="6" name="besiprofilWF">#REF!</definedName>
    <definedName localSheetId="3" name="_______LLL06">#REF!</definedName>
    <definedName localSheetId="31" name="_HAL4">#REF!</definedName>
    <definedName localSheetId="28" name="grendeltanam">#REF!</definedName>
    <definedName localSheetId="21" name="_MMM42">#REF!</definedName>
    <definedName localSheetId="36" name="FORM66PERMUKAAN">#REF!</definedName>
    <definedName localSheetId="41" name="tegel20">#REF!</definedName>
    <definedName localSheetId="10" name="Catbesi">#REF!</definedName>
    <definedName localSheetId="5" name="kenek">#REF!</definedName>
    <definedName localSheetId="13" name="plywood6mm">#REF!</definedName>
    <definedName localSheetId="7" name="_MMM06">#REF!</definedName>
    <definedName localSheetId="20" name="flordrain">#REF!</definedName>
    <definedName name="k.lnt.rmn.20.20.crk">#REF!</definedName>
    <definedName localSheetId="11" name="URAIANLatasirKL">#REF!</definedName>
    <definedName localSheetId="32" name="besiprofilWF">#REF!</definedName>
    <definedName localSheetId="13" name="FORM7614c">#REF!</definedName>
    <definedName localSheetId="28" name="AAAAAAA">#REF!</definedName>
    <definedName localSheetId="17" name="aaaaaaaaaaa">#REF!</definedName>
    <definedName localSheetId="21" name="__MMM48">#REF!</definedName>
    <definedName localSheetId="20" name="rubbercorrugate">#REF!</definedName>
    <definedName localSheetId="28" name="gali">#REF!</definedName>
    <definedName localSheetId="44" name="URAIAN7614a">#REF!</definedName>
    <definedName localSheetId="8" name="ASET">#REF!</definedName>
    <definedName localSheetId="10" name="MAI">#REF!</definedName>
    <definedName localSheetId="17" name="bubungangentengpalentong">#REF!</definedName>
    <definedName localSheetId="28" name="URAIAN7613a">#REF!</definedName>
    <definedName localSheetId="36" name="RPHL">#REF!</definedName>
    <definedName localSheetId="19" name="_______HAL1">#REF!</definedName>
    <definedName localSheetId="33" name="wallpaper">#REF!</definedName>
    <definedName name="engseljendela">#REF!</definedName>
    <definedName localSheetId="19" name="R6..">#REF!</definedName>
    <definedName localSheetId="24" name="R29..">#REF!</definedName>
    <definedName localSheetId="5" name="tes">#REF!</definedName>
    <definedName localSheetId="7" name="_____HAL5">#REF!</definedName>
    <definedName name="URAIAN7613b">#REF!</definedName>
    <definedName localSheetId="40" name="R5..">#REF!</definedName>
    <definedName localSheetId="42" name="R50..">#REF!</definedName>
    <definedName localSheetId="7" name="_HAL8">#REF!</definedName>
    <definedName localSheetId="30" name="tegelplinteraso10x30">#REF!</definedName>
    <definedName localSheetId="0" name="________DIV3">#REF!</definedName>
    <definedName localSheetId="0" name="____MMM03">#REF!</definedName>
    <definedName localSheetId="41" name="pintulipat">#REF!</definedName>
    <definedName localSheetId="3" name="_________MMM20">#REF!</definedName>
    <definedName localSheetId="19" name="washtafel">#REF!</definedName>
    <definedName localSheetId="40" name="mowi.w.shield">#REF!</definedName>
    <definedName localSheetId="30" name="list">#REF!</definedName>
    <definedName localSheetId="7" name="ngsel4">#REF!</definedName>
    <definedName localSheetId="17" name="_________LLL07">#REF!</definedName>
    <definedName localSheetId="3" name="______MMM46">#REF!</definedName>
    <definedName localSheetId="21" name="R9..">#REF!</definedName>
    <definedName localSheetId="11" name="split1.2">#REF!</definedName>
    <definedName localSheetId="33" name="URAIAN66PERATA">#REF!</definedName>
    <definedName localSheetId="33" name="Analisa511">#REF!</definedName>
    <definedName localSheetId="21" name="_MMM43">#REF!</definedName>
    <definedName localSheetId="24" name="jamtandem">#REF!</definedName>
    <definedName localSheetId="27" name="HP">#REF!</definedName>
    <definedName localSheetId="6" name="URAIAN632">#REF!</definedName>
    <definedName localSheetId="42" name="teakwood9mm">#REF!</definedName>
    <definedName localSheetId="21" name="____MMM43">#REF!</definedName>
    <definedName localSheetId="31" name="RPHL">#REF!</definedName>
    <definedName localSheetId="3" name="______MMM14">#REF!</definedName>
    <definedName localSheetId="21" name="____MMM39">#REF!</definedName>
    <definedName localSheetId="17" name="______DIV6">#REF!</definedName>
    <definedName localSheetId="19" name="URAIAN633">#REF!</definedName>
    <definedName name="____HAL3">#REF!</definedName>
    <definedName localSheetId="17" name="____DIV3">#REF!</definedName>
    <definedName localSheetId="18" name="cycllop">#REF!</definedName>
    <definedName localSheetId="11" name="___pvc3">#REF!</definedName>
    <definedName localSheetId="3" name="________MMM11">#REF!</definedName>
    <definedName localSheetId="17" name="kompresor">#REF!</definedName>
    <definedName localSheetId="38" name="kuncialfa">#REF!</definedName>
    <definedName localSheetId="44" name="___MMM10">#REF!</definedName>
    <definedName localSheetId="18" name="KUANTITAS">#REF!</definedName>
    <definedName localSheetId="17" name="___MMM40">#REF!</definedName>
    <definedName localSheetId="9" name="_________HAL1">#REF!</definedName>
    <definedName localSheetId="21" name="R39..">#REF!</definedName>
    <definedName name="__MMM21">#REF!</definedName>
    <definedName localSheetId="17" name="pengencer">#REF!</definedName>
    <definedName localSheetId="44" name="MATERIAL">#REF!</definedName>
    <definedName localSheetId="34" name="ARI">#REF!</definedName>
    <definedName localSheetId="8" name="_Tl1">#REF!</definedName>
    <definedName localSheetId="19" name="des">#REF!</definedName>
    <definedName localSheetId="10" name="RINCIANSEWA2">#REF!</definedName>
    <definedName localSheetId="27" name="__pvc3">#REF!</definedName>
    <definedName localSheetId="32" name="__DIV3">#REF!</definedName>
    <definedName localSheetId="36" name="teakwood9mm">#REF!</definedName>
    <definedName localSheetId="17" name="___MMM11">#REF!</definedName>
    <definedName localSheetId="17" name="Analisa611">#REF!</definedName>
    <definedName localSheetId="3" name="Kekurangan">#REF!</definedName>
    <definedName localSheetId="21" name="____LLL02">#REF!</definedName>
    <definedName localSheetId="34" name="btn">#REF!</definedName>
    <definedName localSheetId="40" name="LAINLAIN">#REF!</definedName>
    <definedName localSheetId="5" name="kayukruing">#REF!</definedName>
    <definedName localSheetId="40" name="roll">#REF!</definedName>
    <definedName localSheetId="10" name="grendel3">#REF!</definedName>
    <definedName localSheetId="6" name="Excel_BuiltIn_Print_Area_1">#REF!</definedName>
    <definedName localSheetId="41" name="FORMLatasirKL">#REF!</definedName>
    <definedName localSheetId="15" name="jurnal1">#REF!</definedName>
    <definedName localSheetId="5" name="_HAL6">#REF!</definedName>
    <definedName localSheetId="3" name="relpintudorong">#REF!</definedName>
    <definedName localSheetId="28" name="_pp1">#REF!</definedName>
    <definedName localSheetId="21" name="platasbes4mm">#REF!</definedName>
    <definedName localSheetId="44" name="Besi1Kg">#REF!</definedName>
    <definedName localSheetId="3" name="__DIV1">#REF!</definedName>
    <definedName localSheetId="25" name="___MMM03">#REF!</definedName>
    <definedName localSheetId="5" name="URAIAN">#REF!</definedName>
    <definedName name="BAJA">#REF!</definedName>
    <definedName localSheetId="6" name="AGREGAT">#REF!</definedName>
    <definedName localSheetId="21" name="nokpaten092">#REF!</definedName>
    <definedName localSheetId="23" name="Ker.L13">#REF!</definedName>
    <definedName localSheetId="30" name="batupecah">#REF!</definedName>
    <definedName localSheetId="27" name="tbkr">#REF!</definedName>
    <definedName localSheetId="24" name="AAAAAAA">#REF!</definedName>
    <definedName localSheetId="17" name="______MMM33">#REF!</definedName>
    <definedName localSheetId="40" name="_______MMM03">#REF!</definedName>
    <definedName localSheetId="39" name="___pvc3">#REF!</definedName>
    <definedName localSheetId="8" name="Pengadaan">#REF!</definedName>
    <definedName localSheetId="7" name="DFFFGGG">#REF!</definedName>
    <definedName localSheetId="23" name="__pvc05">#REF!</definedName>
    <definedName localSheetId="13" name="URAIAN22E">#REF!</definedName>
    <definedName localSheetId="0" name="Print_title">#REF!</definedName>
    <definedName localSheetId="33" name="Print_Area_MI">#REF!</definedName>
    <definedName localSheetId="25" name="waterstop230">#REF!</definedName>
    <definedName localSheetId="44" name="FORM634">#REF!</definedName>
    <definedName localSheetId="36" name="_tl2">#REF!</definedName>
    <definedName localSheetId="11" name="_HAL6">#REF!</definedName>
    <definedName localSheetId="44" name="_MMM10">#REF!</definedName>
    <definedName localSheetId="6" name="FORM771a">#REF!</definedName>
    <definedName localSheetId="3" name="URAIAN323L">#REF!</definedName>
    <definedName localSheetId="5" name="pakusirap">#REF!</definedName>
    <definedName localSheetId="44" name="L">#REF!</definedName>
    <definedName localSheetId="24" name="______HAL1">#REF!</definedName>
    <definedName localSheetId="30" name="plamur.matex">#REF!</definedName>
    <definedName localSheetId="8" name="_LLL02">#REF!</definedName>
    <definedName localSheetId="9" name="beton175m">#REF!</definedName>
    <definedName localSheetId="4" name="Analisa55">#REF!</definedName>
    <definedName localSheetId="17" name="______MMM43">#REF!</definedName>
    <definedName localSheetId="8" name="nokgentengaspal">#REF!</definedName>
    <definedName localSheetId="11" name="___DIV1">#REF!</definedName>
    <definedName localSheetId="24" name="Kurs">#REF!</definedName>
    <definedName localSheetId="28" name="kayutembesu">#REF!</definedName>
    <definedName localSheetId="31" name="aaaaa">#REF!</definedName>
    <definedName localSheetId="15" name="kawatharmonika">#REF!</definedName>
    <definedName localSheetId="8" name="beton.225m">#REF!</definedName>
    <definedName localSheetId="27" name="kacacermin6">#REF!</definedName>
    <definedName localSheetId="34" name="_________DIV1">#REF!</definedName>
    <definedName localSheetId="32" name="_MMM03">#REF!</definedName>
    <definedName localSheetId="21" name="____MMM38">#REF!</definedName>
    <definedName localSheetId="15" name="kayualbasiah">#REF!</definedName>
    <definedName localSheetId="32" name="teakwood4mm">#REF!</definedName>
    <definedName localSheetId="39" name="URAIAN7613b">#REF!</definedName>
    <definedName localSheetId="40" name="_________DIV1">#REF!</definedName>
    <definedName localSheetId="28" name="alba2.20">#REF!</definedName>
    <definedName localSheetId="24" name="__MMM43">#REF!</definedName>
    <definedName localSheetId="44" name="URAIAN634">#REF!</definedName>
    <definedName localSheetId="24" name="___MMM23">#REF!</definedName>
    <definedName localSheetId="4" name="plintubinkeramikartistik1020">#REF!</definedName>
    <definedName localSheetId="34" name="panelbetonpracetak">#REF!</definedName>
    <definedName localSheetId="38" name="pakubulian">#REF!</definedName>
    <definedName localSheetId="7" name="_________MMM54">#REF!</definedName>
    <definedName localSheetId="8" name="engselangin">#REF!</definedName>
    <definedName localSheetId="9" name="keramik40">#REF!</definedName>
    <definedName localSheetId="38" name="UP">#REF!</definedName>
    <definedName localSheetId="10" name="kacapolos5mm">#REF!</definedName>
    <definedName localSheetId="21" name="Nokmetal3mm">#REF!</definedName>
    <definedName localSheetId="27" name="sementahanasam">#REF!</definedName>
    <definedName localSheetId="9" name="lb">#REF!</definedName>
    <definedName localSheetId="10" name="__DIV1">#REF!</definedName>
    <definedName localSheetId="7" name="Kurs">#REF!</definedName>
    <definedName localSheetId="24" name="ASPAL">#REF!</definedName>
    <definedName localSheetId="33" name="kayudamarlaut">#REF!</definedName>
    <definedName localSheetId="41" name="Gypsum">#REF!</definedName>
    <definedName localSheetId="40" name="URAIAN732">#REF!</definedName>
    <definedName localSheetId="28" name="___HAL3">#REF!</definedName>
    <definedName localSheetId="41" name="ls">#REF!</definedName>
    <definedName localSheetId="7" name="tegelporselen11x11">#REF!</definedName>
    <definedName localSheetId="10" name="besi13">#REF!</definedName>
    <definedName localSheetId="13" name="keramik30x30">#REF!</definedName>
    <definedName localSheetId="21" name="R31..">#REF!</definedName>
    <definedName localSheetId="13" name="aluminiumfoil">#REF!</definedName>
    <definedName localSheetId="27" name="nokpaten105">#REF!</definedName>
    <definedName localSheetId="33" name="R4..">#REF!</definedName>
    <definedName localSheetId="40" name="na">#REF!</definedName>
    <definedName localSheetId="9" name="cattembok">#REF!</definedName>
    <definedName localSheetId="7" name="_MMM47">#REF!</definedName>
    <definedName localSheetId="28" name="closedjongkok">#REF!</definedName>
    <definedName localSheetId="34" name="tukng">#REF!</definedName>
    <definedName localSheetId="4" name="URAIAN7612b">#REF!</definedName>
    <definedName localSheetId="4" name="R6..">#REF!</definedName>
    <definedName localSheetId="9" name="SUNGAI_BERTAM">#REF!</definedName>
    <definedName localSheetId="0" name="tegelplin20x20">#REF!</definedName>
    <definedName localSheetId="44" name="Ktbt">#REF!</definedName>
    <definedName localSheetId="13" name="Print_Area_MI">#REF!</definedName>
    <definedName localSheetId="32" name="_________HAL2">#REF!</definedName>
    <definedName localSheetId="31" name="plintkeramikartistik1010">#REF!</definedName>
    <definedName localSheetId="19" name="sealent">#REF!</definedName>
    <definedName localSheetId="40" name="_________DIV2">#REF!</definedName>
    <definedName localSheetId="30" name="Gypsum">#REF!</definedName>
    <definedName localSheetId="32" name="gypsum.9">#REF!</definedName>
    <definedName localSheetId="17" name="medan6.12">#REF!</definedName>
    <definedName localSheetId="6" name="_______HAL2">#REF!</definedName>
    <definedName localSheetId="17" name="pakugypsum">#REF!</definedName>
    <definedName localSheetId="34" name="Overhead">#REF!</definedName>
    <definedName localSheetId="17" name="rapidrant">#REF!</definedName>
    <definedName localSheetId="15" name="ubinwarna30">#REF!</definedName>
    <definedName localSheetId="33" name="____MMM03">#REF!</definedName>
    <definedName localSheetId="32" name="FORM744">#REF!</definedName>
    <definedName localSheetId="44" name="besi16sii">#REF!</definedName>
    <definedName localSheetId="31" name="tempatcucipiring">#REF!</definedName>
    <definedName localSheetId="28" name="ubinwarna40">#REF!</definedName>
    <definedName localSheetId="21" name="__DIV4">#REF!</definedName>
    <definedName localSheetId="28" name="pasirsilika">#REF!</definedName>
    <definedName localSheetId="4" name="pp">#REF!</definedName>
    <definedName localSheetId="12" name="URAIAN612">#REF!</definedName>
    <definedName localSheetId="4" name="___MMM03">#REF!</definedName>
    <definedName localSheetId="30" name="karpet">#REF!</definedName>
    <definedName localSheetId="7" name="_________MMM21">#REF!</definedName>
    <definedName localSheetId="30" name="Galam">#REF!</definedName>
    <definedName localSheetId="4" name="Galam">#REF!</definedName>
    <definedName localSheetId="7" name="________LLL10">#REF!</definedName>
    <definedName localSheetId="32" name="_LLL03">#REF!</definedName>
    <definedName localSheetId="17" name="__MMM37">#REF!</definedName>
    <definedName localSheetId="0" name="plesteran13">#REF!</definedName>
    <definedName localSheetId="17" name="_________MMM50">#REF!</definedName>
    <definedName localSheetId="6" name="FORM721">#REF!</definedName>
    <definedName localSheetId="7" name="_______MMM411">#REF!</definedName>
    <definedName localSheetId="5" name="floorhardenermastercron">#REF!</definedName>
    <definedName localSheetId="23" name="_DIV4">#REF!</definedName>
    <definedName localSheetId="7" name="Uraian841">#REF!</definedName>
    <definedName localSheetId="44" name="bondbeam">#REF!</definedName>
    <definedName localSheetId="30" name="ubinkeramik1033">#REF!</definedName>
    <definedName localSheetId="9" name="engsel4">#REF!</definedName>
    <definedName localSheetId="23" name="bubungangentengkodok">#REF!</definedName>
    <definedName localSheetId="34" name="plintubinwarna1020">#REF!</definedName>
    <definedName localSheetId="8" name="kunci1slag">#REF!</definedName>
    <definedName localSheetId="9" name="____MMM02">#REF!</definedName>
    <definedName name="__LLL03">#REF!</definedName>
    <definedName localSheetId="41" name="kiki">#REF!</definedName>
    <definedName localSheetId="0" name="____DIV2">#REF!</definedName>
    <definedName localSheetId="36" name="FORMLatasirK">#REF!</definedName>
    <definedName localSheetId="27" name="__HAL1">#REF!</definedName>
    <definedName localSheetId="32" name="keramik40">#REF!</definedName>
    <definedName localSheetId="20" name="__LLL03">#REF!</definedName>
    <definedName localSheetId="11" name="URAIAN633">#REF!</definedName>
    <definedName localSheetId="19" name="bouwplnk">#REF!</definedName>
    <definedName localSheetId="3" name="FORM7614c">#REF!</definedName>
    <definedName name="_________LLL05">#REF!</definedName>
    <definedName localSheetId="7" name="_______MMM37">#REF!</definedName>
    <definedName localSheetId="7" name="__MMM46">#REF!</definedName>
    <definedName localSheetId="21" name="_LLL08">#REF!</definedName>
    <definedName localSheetId="34" name="___pc50">#REF!</definedName>
    <definedName localSheetId="19" name="_________HAL2">#REF!</definedName>
    <definedName localSheetId="15" name="sealer.mowi">#REF!</definedName>
    <definedName localSheetId="7" name="R22..">#REF!</definedName>
    <definedName localSheetId="27" name="akustikarmstrong">#REF!</definedName>
    <definedName localSheetId="12" name="batukali14">#REF!</definedName>
    <definedName localSheetId="11" name="alangalang">#REF!</definedName>
    <definedName localSheetId="3" name="_________MMM39">#REF!</definedName>
    <definedName localSheetId="34" name="FORM7612a">#REF!</definedName>
    <definedName localSheetId="3" name="Batupuru">#REF!</definedName>
    <definedName localSheetId="0" name="karpet">#REF!</definedName>
    <definedName localSheetId="15" name="___DIV4">#REF!</definedName>
    <definedName localSheetId="18" name="kali">#REF!</definedName>
    <definedName localSheetId="31" name="sirap">#REF!</definedName>
    <definedName localSheetId="7" name="mlex.w">#REF!</definedName>
    <definedName localSheetId="7" name="pipabeton">#REF!</definedName>
    <definedName localSheetId="3" name="URAIAN918">#REF!</definedName>
    <definedName localSheetId="44" name="____LLL10">#REF!</definedName>
    <definedName localSheetId="28" name="dasar">#REF!</definedName>
    <definedName name="_____MMM43">#REF!</definedName>
    <definedName localSheetId="27" name="____DIV4">#REF!</definedName>
    <definedName localSheetId="9" name="LAINLAIN">#REF!</definedName>
    <definedName localSheetId="13" name="sealent">#REF!</definedName>
    <definedName localSheetId="10" name="JL_NAS">#REF!</definedName>
    <definedName localSheetId="23" name="u">#REF!</definedName>
    <definedName localSheetId="31" name="air">#REF!</definedName>
    <definedName localSheetId="20" name="plastikaerator">#REF!</definedName>
    <definedName localSheetId="19" name="ubinwarna30">#REF!</definedName>
    <definedName localSheetId="21" name="_______MMM17">#REF!</definedName>
    <definedName localSheetId="7" name="URAIAN915">#REF!</definedName>
    <definedName localSheetId="44" name="_____DIV10">#REF!</definedName>
    <definedName localSheetId="17" name="R109..">#REF!</definedName>
    <definedName localSheetId="41" name="SUNGAI_BERTAM">#REF!</definedName>
    <definedName name="_______DIV1">#REF!</definedName>
    <definedName localSheetId="21" name="Akustik">#REF!</definedName>
    <definedName localSheetId="44" name="________DIV9">#REF!</definedName>
    <definedName localSheetId="33" name="multi.18">#REF!</definedName>
    <definedName localSheetId="6" name="beton.tumbuk">#REF!</definedName>
    <definedName localSheetId="6" name="JUDUL1">#REF!</definedName>
    <definedName localSheetId="8" name="k.ddg.20.25.rmn.crk">#REF!</definedName>
    <definedName localSheetId="32" name="kayujati">#REF!</definedName>
    <definedName localSheetId="30" name="URAIAN79manual">#REF!</definedName>
    <definedName localSheetId="42" name="sdg">#REF!</definedName>
    <definedName localSheetId="17" name="R87..">#REF!</definedName>
    <definedName name="R37..">#REF!</definedName>
    <definedName localSheetId="9" name="ubinkeramikartistik520">#REF!</definedName>
    <definedName localSheetId="21" name="R18..">#REF!</definedName>
    <definedName localSheetId="3" name="________MMM26">#REF!</definedName>
    <definedName localSheetId="24" name="______MMM38">#REF!</definedName>
    <definedName localSheetId="24" name="__MMM36">#REF!</definedName>
    <definedName localSheetId="13" name="aa">#REF!</definedName>
    <definedName name="R71..">#REF!</definedName>
    <definedName localSheetId="18" name="ASPAL">#REF!</definedName>
    <definedName localSheetId="12" name="_DIV3">#REF!</definedName>
    <definedName localSheetId="20" name="tm_2415921492">#REF!</definedName>
    <definedName localSheetId="6" name="hd">#REF!</definedName>
    <definedName localSheetId="36" name="k.beton">#REF!</definedName>
    <definedName localSheetId="10" name="kaca5">#REF!</definedName>
    <definedName localSheetId="21" name="p.triplek">#REF!</definedName>
    <definedName localSheetId="44" name="FORM66">#REF!</definedName>
    <definedName localSheetId="11" name="u">#REF!</definedName>
    <definedName localSheetId="9" name="stairnzing">#REF!</definedName>
    <definedName localSheetId="44" name="___MMM53">#REF!</definedName>
    <definedName localSheetId="17" name="R55..">#REF!</definedName>
    <definedName localSheetId="31" name="kmp.banjar">#REF!</definedName>
    <definedName localSheetId="17" name="_______LLL05">#REF!</definedName>
    <definedName localSheetId="44" name="semen50">#REF!</definedName>
    <definedName localSheetId="8" name="plesteran13">#REF!</definedName>
    <definedName name="____HAL4">#REF!</definedName>
    <definedName localSheetId="27" name="bakcuciteraso">#REF!</definedName>
    <definedName localSheetId="38" name="pa">#REF!</definedName>
    <definedName name="________MMM14">#REF!</definedName>
    <definedName localSheetId="17" name="ubingranito30">#REF!</definedName>
    <definedName localSheetId="19" name="bakkontrol">#REF!</definedName>
    <definedName localSheetId="28" name="AGREGAT">#REF!</definedName>
    <definedName localSheetId="3" name="Analisa70608">#REF!</definedName>
    <definedName localSheetId="0" name="beton.225m">#REF!</definedName>
    <definedName localSheetId="9" name="y">#REF!</definedName>
    <definedName localSheetId="24" name="_________MMM12">#REF!</definedName>
    <definedName localSheetId="18" name="Catbesi">#REF!</definedName>
    <definedName localSheetId="44" name="___MMM411">#REF!</definedName>
    <definedName localSheetId="33" name="_______DIV3">#REF!</definedName>
    <definedName name="JA">#REF!</definedName>
    <definedName localSheetId="5" name="gabin_al">#REF!</definedName>
    <definedName localSheetId="32" name="FORM732">#REF!</definedName>
    <definedName localSheetId="30" name="wwww">#REF!</definedName>
    <definedName localSheetId="36" name="FORM8410">#REF!</definedName>
    <definedName localSheetId="7" name="Grendel">#REF!</definedName>
    <definedName localSheetId="9" name="___pvc2">#REF!</definedName>
    <definedName localSheetId="13" name="_LLL02">#REF!</definedName>
    <definedName localSheetId="5" name="e">#REF!</definedName>
    <definedName localSheetId="44" name="R88..">#REF!</definedName>
    <definedName localSheetId="9" name="c.maxi">#REF!</definedName>
    <definedName name="______MMM16">#REF!</definedName>
    <definedName localSheetId="8" name="_______MMM01">#REF!</definedName>
    <definedName localSheetId="34" name="_____HAL2">#REF!</definedName>
    <definedName name="ubinwarna20">#REF!</definedName>
    <definedName localSheetId="7" name="_______MMM40">#REF!</definedName>
    <definedName localSheetId="36" name="karpetwooldannilon">#REF!</definedName>
    <definedName localSheetId="24" name="_____MMM24">#REF!</definedName>
    <definedName localSheetId="8" name="meni.kayu">#REF!</definedName>
    <definedName localSheetId="24" name="tct">#REF!</definedName>
    <definedName localSheetId="7" name="FORM7614a">#REF!</definedName>
    <definedName localSheetId="38" name="sis">#REF!</definedName>
    <definedName localSheetId="32" name="_______DIV1">#REF!</definedName>
    <definedName localSheetId="44" name="roll">#REF!</definedName>
    <definedName localSheetId="3" name="R67..">#REF!</definedName>
    <definedName localSheetId="3" name="_LLL09">#REF!</definedName>
    <definedName localSheetId="24" name="ubinkeramik1033">#REF!</definedName>
    <definedName localSheetId="19" name="URAIAN744">#REF!</definedName>
    <definedName localSheetId="4" name="sodaapi">#REF!</definedName>
    <definedName localSheetId="23" name="URAIAN7614a">#REF!</definedName>
    <definedName localSheetId="8" name="Minyak">#REF!</definedName>
    <definedName localSheetId="33" name="sirap">#REF!</definedName>
    <definedName localSheetId="21" name="____DIV1">#REF!</definedName>
    <definedName localSheetId="44" name="URAIAN612">#REF!</definedName>
    <definedName localSheetId="17" name="___MMM15">#REF!</definedName>
    <definedName localSheetId="12" name="G">#REF!</definedName>
    <definedName localSheetId="36" name="Closet.c420">#REF!</definedName>
    <definedName localSheetId="41" name="w">#REF!</definedName>
    <definedName localSheetId="3" name="_______MMM48">#REF!</definedName>
    <definedName localSheetId="9" name="GUIIII">#REF!</definedName>
    <definedName localSheetId="44" name="FORM632">#REF!</definedName>
    <definedName localSheetId="13" name="KunciPintu">#REF!</definedName>
    <definedName localSheetId="17" name="__LLL04">#REF!</definedName>
    <definedName name="________MMM13">#REF!</definedName>
    <definedName localSheetId="3" name="Faktor">#REF!</definedName>
    <definedName localSheetId="21" name="_____MMM52">#REF!</definedName>
    <definedName localSheetId="39" name="tegelplinpc10x20">#REF!</definedName>
    <definedName localSheetId="24" name="tp80x80">#REF!</definedName>
    <definedName localSheetId="13" name="kapursirih">#REF!</definedName>
    <definedName localSheetId="28" name="___DIV2">#REF!</definedName>
    <definedName name="_MMM35">#REF!</definedName>
    <definedName localSheetId="21" name="___MMM53">#REF!</definedName>
    <definedName localSheetId="9" name="_____HAL2">#REF!</definedName>
    <definedName localSheetId="17" name="kaca12">#REF!</definedName>
    <definedName localSheetId="34" name="_LLL02">#REF!</definedName>
    <definedName localSheetId="7" name="___MMM05">#REF!</definedName>
    <definedName localSheetId="25" name="JUDUL">#REF!</definedName>
    <definedName localSheetId="12" name="reng">#REF!</definedName>
    <definedName localSheetId="0" name="p.kmp.smrd.3.20">#REF!</definedName>
    <definedName localSheetId="44" name="got">#REF!</definedName>
    <definedName localSheetId="23" name="springknip">#REF!</definedName>
    <definedName localSheetId="17" name="_________HAL5">#REF!</definedName>
    <definedName localSheetId="7" name="_________MMM18">#REF!</definedName>
    <definedName localSheetId="36" name="tegelplinpc10x20">#REF!</definedName>
    <definedName name="____HAL6">#REF!</definedName>
    <definedName localSheetId="31" name="sunloid">#REF!</definedName>
    <definedName localSheetId="30" name="lemvinyl">#REF!</definedName>
    <definedName localSheetId="23" name="URAIAN621">#REF!</definedName>
    <definedName localSheetId="23" name="batapelapisdinding">#REF!</definedName>
    <definedName localSheetId="21" name="____LLL03">#REF!</definedName>
    <definedName localSheetId="31" name="venetionblinds">#REF!</definedName>
    <definedName localSheetId="13" name="___pc50">#REF!</definedName>
    <definedName localSheetId="20" name="ubingranito40">#REF!</definedName>
    <definedName localSheetId="12" name="_______HAL2">#REF!</definedName>
    <definedName name="_______MMM30">#REF!</definedName>
    <definedName localSheetId="24" name="pvc.4.mas.d">#REF!</definedName>
    <definedName localSheetId="44" name="_MMM19">#REF!</definedName>
    <definedName localSheetId="24" name="_____LLL11">#REF!</definedName>
    <definedName localSheetId="32" name="URAIANLatasirK">#REF!</definedName>
    <definedName localSheetId="0" name="s.tukang">#REF!</definedName>
    <definedName localSheetId="27" name="pa">#REF!</definedName>
    <definedName localSheetId="20" name="kayuborneo">#REF!</definedName>
    <definedName name="________DIV10">#REF!</definedName>
    <definedName localSheetId="39" name="sirap">#REF!</definedName>
    <definedName localSheetId="18" name="__LLL02">#REF!</definedName>
    <definedName localSheetId="19" name="plintkeramikartistik1020">#REF!</definedName>
    <definedName localSheetId="36" name="beton225r">#REF!</definedName>
    <definedName localSheetId="4" name="______DIV3">#REF!</definedName>
    <definedName localSheetId="36" name="gentengbeton">#REF!</definedName>
    <definedName localSheetId="5" name="TANAH">#REF!</definedName>
    <definedName localSheetId="13" name="medan3.4">#REF!</definedName>
    <definedName localSheetId="40" name="des">#REF!</definedName>
    <definedName localSheetId="7" name="_________MMM23">#REF!</definedName>
    <definedName localSheetId="21" name="_________MMM34">#REF!</definedName>
    <definedName localSheetId="30" name="plintkeramikartistik520">#REF!</definedName>
    <definedName localSheetId="28" name="Skrup">#REF!</definedName>
    <definedName localSheetId="32" name="p.kmp.smrd.3.20">#REF!</definedName>
    <definedName localSheetId="11" name="vinylasbes">#REF!</definedName>
    <definedName localSheetId="25" name="jendelanako">#REF!</definedName>
    <definedName localSheetId="44" name="kd_daerah">#REF!</definedName>
    <definedName localSheetId="33" name="jurnal">#REF!</definedName>
    <definedName localSheetId="36" name="besi13">#REF!</definedName>
    <definedName localSheetId="27" name="washtafel">#REF!</definedName>
    <definedName localSheetId="12" name="plintkeramikartistik520">#REF!</definedName>
    <definedName localSheetId="5" name="list">#REF!</definedName>
    <definedName localSheetId="44" name="_MMM42">#REF!</definedName>
    <definedName localSheetId="25" name="_________HAL1">#REF!</definedName>
    <definedName localSheetId="20" name="_________DIV10">#REF!</definedName>
    <definedName localSheetId="4" name="ubinkeramik1033">#REF!</definedName>
    <definedName localSheetId="7" name="w.stain">#REF!</definedName>
    <definedName localSheetId="7" name="gentengaspal">#REF!</definedName>
    <definedName name="R109..">#REF!</definedName>
    <definedName name="___pvc105">#REF!</definedName>
    <definedName localSheetId="32" name="p.bI">#REF!</definedName>
    <definedName localSheetId="28" name="Fak">#REF!</definedName>
    <definedName localSheetId="6" name="URAIAN7614a">#REF!</definedName>
    <definedName localSheetId="8" name="plintkeramikartistik520">#REF!</definedName>
    <definedName localSheetId="31" name="_HAL6">#REF!</definedName>
    <definedName localSheetId="27" name="_______HAL2">#REF!</definedName>
    <definedName localSheetId="38" name="__LLL01">#REF!</definedName>
    <definedName localSheetId="34" name="ts">#REF!</definedName>
    <definedName localSheetId="3" name="R35..">#REF!</definedName>
    <definedName localSheetId="9" name="dd">#REF!</definedName>
    <definedName localSheetId="24" name="URAIAN323L">#REF!</definedName>
    <definedName localSheetId="41" name="kayukelas2">#REF!</definedName>
    <definedName localSheetId="21" name="R76..">#REF!</definedName>
    <definedName localSheetId="30" name="drainase">#REF!</definedName>
    <definedName localSheetId="39" name="jki">#REF!</definedName>
    <definedName localSheetId="24" name="tm_2415921492">#REF!</definedName>
    <definedName localSheetId="40" name="tlistrik">#REF!</definedName>
    <definedName localSheetId="10" name="__tl2">#REF!</definedName>
    <definedName localSheetId="34" name="_____MMM03">#REF!</definedName>
    <definedName localSheetId="42" name="catpenutup">#REF!</definedName>
    <definedName localSheetId="40" name="FORM79manual">#REF!</definedName>
    <definedName localSheetId="12" name="pintualuminium">#REF!</definedName>
    <definedName localSheetId="8" name="f.drain">#REF!</definedName>
    <definedName localSheetId="23" name="FORM842">#REF!</definedName>
    <definedName localSheetId="44" name="___LLL05">#REF!</definedName>
    <definedName localSheetId="17" name="waterstop320">#REF!</definedName>
    <definedName localSheetId="38" name="URAIAN66PERMUKAAN">#REF!</definedName>
    <definedName localSheetId="44" name="________HAL2">#REF!</definedName>
    <definedName localSheetId="15" name="nokgentengaspal">#REF!</definedName>
    <definedName localSheetId="12" name="s.warna">#REF!</definedName>
    <definedName localSheetId="27" name="_________MMM03">#REF!</definedName>
    <definedName localSheetId="21" name="aaaaaaaaaaa">#REF!</definedName>
    <definedName localSheetId="4" name="papan.m.3.20">#REF!</definedName>
    <definedName localSheetId="4" name="plamur.matex">#REF!</definedName>
    <definedName localSheetId="3" name="_MMM38">#REF!</definedName>
    <definedName localSheetId="24" name="R24..">#REF!</definedName>
    <definedName localSheetId="20" name="gggg">#REF!</definedName>
    <definedName localSheetId="19" name="kawatduri">#REF!</definedName>
    <definedName localSheetId="38" name="Aluminium">#REF!</definedName>
    <definedName localSheetId="17" name="besiprofilWF">#REF!</definedName>
    <definedName localSheetId="44" name="________MMM24">#REF!</definedName>
    <definedName localSheetId="10" name="AAAAAAA">#REF!</definedName>
    <definedName localSheetId="4" name="HP">#REF!</definedName>
    <definedName localSheetId="34" name="nmdaerah">#REF!</definedName>
    <definedName localSheetId="10" name="hollowblok">#REF!</definedName>
    <definedName localSheetId="6" name="penduduk">#REF!</definedName>
    <definedName localSheetId="11" name="plintubinteraluxkerang1060">#REF!</definedName>
    <definedName localSheetId="0" name="floorhardenermastercron">#REF!</definedName>
    <definedName localSheetId="30" name="URAIAN7612b">#REF!</definedName>
    <definedName localSheetId="21" name="R56..">#REF!</definedName>
    <definedName localSheetId="36" name="profilalumuniumT">#REF!</definedName>
    <definedName localSheetId="3" name="FORM772a">#REF!</definedName>
    <definedName localSheetId="7" name="floorhardenerferrovak">#REF!</definedName>
    <definedName localSheetId="30" name="_______DIV2">#REF!</definedName>
    <definedName localSheetId="28" name="paku5.7.10">#REF!</definedName>
    <definedName localSheetId="33" name="catpenutup">#REF!</definedName>
    <definedName localSheetId="44" name="ls">#REF!</definedName>
    <definedName localSheetId="6" name="c.mowi.dlm">#REF!</definedName>
    <definedName localSheetId="21" name="___MMM32">#REF!</definedName>
    <definedName localSheetId="9" name="Uraian841">#REF!</definedName>
    <definedName localSheetId="36" name="__MMM01">#REF!</definedName>
    <definedName localSheetId="36" name="kmp.banjar">#REF!</definedName>
    <definedName name="__MMM30">#REF!</definedName>
    <definedName localSheetId="12" name="sofboard">#REF!</definedName>
    <definedName localSheetId="5" name="pintubesibaja">#REF!</definedName>
    <definedName localSheetId="21" name="des">#REF!</definedName>
    <definedName localSheetId="21" name="besi6sii">#REF!</definedName>
    <definedName name="beton250m">#REF!</definedName>
    <definedName localSheetId="9" name="tegelporselen10x20warna">#REF!</definedName>
    <definedName localSheetId="13" name="URAIAN">#REF!</definedName>
    <definedName localSheetId="11" name="kran.ddg">#REF!</definedName>
    <definedName localSheetId="44" name="_MMM50">#REF!</definedName>
    <definedName localSheetId="31" name="platasbes4mm">#REF!</definedName>
    <definedName localSheetId="9" name="vertikalsblinds">#REF!</definedName>
    <definedName localSheetId="27" name="Ktbt">#REF!</definedName>
    <definedName localSheetId="42" name="c.mowi.dlm">#REF!</definedName>
    <definedName localSheetId="10" name="__LLL01">#REF!</definedName>
    <definedName localSheetId="33" name="data2">#REF!</definedName>
    <definedName localSheetId="21" name="_________MMM52">#REF!</definedName>
    <definedName localSheetId="13" name="___DIV2">#REF!</definedName>
    <definedName localSheetId="8" name="data2">#REF!</definedName>
    <definedName localSheetId="21" name="URAIAN7614d">#REF!</definedName>
    <definedName localSheetId="31" name="____MMM03">#REF!</definedName>
    <definedName localSheetId="17" name="_______HAL5">#REF!</definedName>
    <definedName localSheetId="15" name="u.bekisting">#REF!</definedName>
    <definedName localSheetId="40" name="_LLL01">#REF!</definedName>
    <definedName localSheetId="31" name="DUDI">#REF!</definedName>
    <definedName localSheetId="41" name="URAIAN771c">#REF!</definedName>
    <definedName name="__pvc3">#REF!</definedName>
    <definedName localSheetId="42" name="bondbeam">#REF!</definedName>
    <definedName localSheetId="18" name="kayukudakuda">#REF!</definedName>
    <definedName localSheetId="24" name="___MMM53">#REF!</definedName>
    <definedName localSheetId="25" name="aaaa">#REF!</definedName>
    <definedName localSheetId="40" name="__LLL01">#REF!</definedName>
    <definedName localSheetId="4" name="lp">#REF!</definedName>
    <definedName localSheetId="30" name="leni">#REF!</definedName>
    <definedName localSheetId="31" name="Print_title">#REF!</definedName>
    <definedName localSheetId="41" name="URAIAN234L">#REF!</definedName>
    <definedName localSheetId="5" name="Excel_BuiltIn_Print_Titles_1">#REF!</definedName>
    <definedName localSheetId="44" name="RINCIANSEWA2">#REF!</definedName>
    <definedName localSheetId="32" name="FORM323L">#REF!</definedName>
    <definedName localSheetId="28" name="kuncitanam">#REF!</definedName>
    <definedName localSheetId="24" name="________MMM37">#REF!</definedName>
    <definedName localSheetId="7" name="waterstop230">#REF!</definedName>
    <definedName localSheetId="41" name="__HAL3">#REF!</definedName>
    <definedName localSheetId="38" name="KERAMIK30">#REF!</definedName>
    <definedName localSheetId="17" name="_KOP7">#REF!</definedName>
    <definedName localSheetId="32" name="split2.3">#REF!</definedName>
    <definedName localSheetId="9" name="pakuhak15cm">#REF!</definedName>
    <definedName localSheetId="21" name="Tbt">#REF!</definedName>
    <definedName localSheetId="30" name="ubinkeramikartistik1020">#REF!</definedName>
    <definedName localSheetId="12" name="Ker.L13">#REF!</definedName>
    <definedName localSheetId="24" name="FORM7614d">#REF!</definedName>
    <definedName localSheetId="15" name="kawatburung">#REF!</definedName>
    <definedName localSheetId="27" name="des">#REF!</definedName>
    <definedName localSheetId="44" name="R62..">#REF!</definedName>
    <definedName localSheetId="28" name="u">#REF!</definedName>
    <definedName localSheetId="0" name="SPJa">#REF!</definedName>
    <definedName localSheetId="44" name="URAIAN735">#REF!</definedName>
    <definedName localSheetId="40" name="vertikalsblinds">#REF!</definedName>
    <definedName localSheetId="18" name="__HAL4">#REF!</definedName>
    <definedName localSheetId="9" name="gggg">#REF!</definedName>
    <definedName localSheetId="21" name="__LLL09">#REF!</definedName>
    <definedName localSheetId="9" name="Aluminium">#REF!</definedName>
    <definedName localSheetId="9" name="B.Jambi">#REF!</definedName>
    <definedName localSheetId="19" name="jffhauifhauifhe">#REF!</definedName>
    <definedName localSheetId="20" name="ASPAL">#REF!</definedName>
    <definedName localSheetId="11" name="___DIV2">#REF!</definedName>
    <definedName localSheetId="12" name="_pvc105">#REF!</definedName>
    <definedName localSheetId="28" name="plintubinwarna1040">#REF!</definedName>
    <definedName localSheetId="7" name="terasocor">#REF!</definedName>
    <definedName localSheetId="25" name="tl2x40">#REF!</definedName>
    <definedName localSheetId="12" name="JUDUL">#REF!</definedName>
    <definedName localSheetId="36" name="kayubulian">#REF!</definedName>
    <definedName localSheetId="15" name="ppn2.30">#REF!</definedName>
    <definedName localSheetId="0" name="ubinteraso30">#REF!</definedName>
    <definedName localSheetId="9" name="_____HAL3">#REF!</definedName>
    <definedName localSheetId="6" name="waterstop150">#REF!</definedName>
    <definedName localSheetId="39" name="washtafel">#REF!</definedName>
    <definedName localSheetId="36" name="______DIV3">#REF!</definedName>
    <definedName localSheetId="40" name="Analisa55">#REF!</definedName>
    <definedName localSheetId="8" name="besiprofilWF">#REF!</definedName>
    <definedName localSheetId="4" name="_________MMM01">#REF!</definedName>
    <definedName localSheetId="7" name="akustikarmstrong">#REF!</definedName>
    <definedName localSheetId="12" name="besijaringkawatbaja">#REF!</definedName>
    <definedName localSheetId="15" name="FORM841">#REF!</definedName>
    <definedName localSheetId="19" name="pagar2m">#REF!</definedName>
    <definedName localSheetId="23" name="terntang">#REF!</definedName>
    <definedName localSheetId="7" name="batuporos">#REF!</definedName>
    <definedName localSheetId="11" name="_________DIV1">#REF!</definedName>
    <definedName localSheetId="7" name="__DIV9">#REF!</definedName>
    <definedName localSheetId="36" name="hakangin">#REF!</definedName>
    <definedName localSheetId="21" name="_LLL06">#REF!</definedName>
    <definedName localSheetId="39" name="_tl2">#REF!</definedName>
    <definedName localSheetId="3" name="______MMM42">#REF!</definedName>
    <definedName localSheetId="3" name="___LLL06">#REF!</definedName>
    <definedName localSheetId="3" name="Jendelabesibaja">#REF!</definedName>
    <definedName localSheetId="11" name="DFFFGGG">#REF!</definedName>
    <definedName localSheetId="7" name="hcs">#REF!</definedName>
    <definedName localSheetId="8" name="__MMM01">#REF!</definedName>
    <definedName localSheetId="25" name="tpipa">#REF!</definedName>
    <definedName localSheetId="12" name="__DIV10">#REF!</definedName>
    <definedName localSheetId="7" name="_______HAL3">#REF!</definedName>
    <definedName localSheetId="8" name="pakusirap">#REF!</definedName>
    <definedName localSheetId="24" name="water.prof">#REF!</definedName>
    <definedName localSheetId="23" name="_pvc2">#REF!</definedName>
    <definedName localSheetId="28" name="B.Jambi">#REF!</definedName>
    <definedName localSheetId="3" name="a">#REF!</definedName>
    <definedName localSheetId="8" name="mlex.w">#REF!</definedName>
    <definedName localSheetId="10" name="papanbekisting">#REF!</definedName>
    <definedName localSheetId="30" name="________DIV4">#REF!</definedName>
    <definedName localSheetId="30" name="pakugypsum">#REF!</definedName>
    <definedName localSheetId="19" name="Uraian8410">#REF!</definedName>
    <definedName localSheetId="41" name="Tbs">#REF!</definedName>
    <definedName localSheetId="7" name="G">#REF!</definedName>
    <definedName localSheetId="11" name="DSSDD">#REF!</definedName>
    <definedName localSheetId="39" name="URAIANLatasirK">#REF!</definedName>
    <definedName localSheetId="44" name="Uraian845">#REF!</definedName>
    <definedName localSheetId="36" name="ASPAL">#REF!</definedName>
    <definedName localSheetId="28" name="batapelapisdinding">#REF!</definedName>
    <definedName localSheetId="32" name="total">#REF!</definedName>
    <definedName localSheetId="31" name="Grendel">#REF!</definedName>
    <definedName localSheetId="36" name="medan5.7">#REF!</definedName>
    <definedName localSheetId="24" name="______DIV3">#REF!</definedName>
    <definedName localSheetId="24" name="____MMM13">#REF!</definedName>
    <definedName localSheetId="7" name="_______MMM50">#REF!</definedName>
    <definedName localSheetId="19" name="R10..">#REF!</definedName>
    <definedName localSheetId="42" name="FORM8410">#REF!</definedName>
    <definedName localSheetId="38" name="kaca5">#REF!</definedName>
    <definedName localSheetId="28" name="Kunci1">#REF!</definedName>
    <definedName localSheetId="18" name="UP">#REF!</definedName>
    <definedName localSheetId="44" name="plintubinteraluxmarmer1040">#REF!</definedName>
    <definedName localSheetId="44" name="medan3.4">#REF!</definedName>
    <definedName localSheetId="28" name="papanjelutung">#REF!</definedName>
    <definedName name="__LLL07">#REF!</definedName>
    <definedName localSheetId="20" name="LAINLAIN">#REF!</definedName>
    <definedName localSheetId="33" name="hd">#REF!</definedName>
    <definedName localSheetId="41" name="hakangin">#REF!</definedName>
    <definedName localSheetId="6" name="kayutembesu">#REF!</definedName>
    <definedName localSheetId="44" name="_____MMM411">#REF!</definedName>
    <definedName localSheetId="42" name="pakuskrup">#REF!</definedName>
    <definedName localSheetId="12" name="tegel20">#REF!</definedName>
    <definedName localSheetId="15" name="__HAL4">#REF!</definedName>
    <definedName localSheetId="31" name="HP">#REF!</definedName>
    <definedName localSheetId="5" name="bubungangentengbesar">#REF!</definedName>
    <definedName localSheetId="11" name="__HAL3">#REF!</definedName>
    <definedName localSheetId="41" name="platasbes">#REF!</definedName>
    <definedName localSheetId="39" name="_____HAL1">#REF!</definedName>
    <definedName localSheetId="44" name="_________DIV10">#REF!</definedName>
    <definedName localSheetId="19" name="sdg">#REF!</definedName>
    <definedName localSheetId="4" name="sengbjls25">#REF!</definedName>
    <definedName name="waterstop200">#REF!</definedName>
    <definedName localSheetId="3" name="engselangin">#REF!</definedName>
    <definedName localSheetId="25" name="aa">#REF!</definedName>
    <definedName localSheetId="23" name="pakusirap">#REF!</definedName>
    <definedName localSheetId="21" name="R80..">#REF!</definedName>
    <definedName localSheetId="17" name="_______MMM05">#REF!</definedName>
    <definedName localSheetId="23" name="papan.m.3.20">#REF!</definedName>
    <definedName localSheetId="38" name="mowi.w.shield">#REF!</definedName>
    <definedName localSheetId="21" name="kawatkassa">#REF!</definedName>
    <definedName localSheetId="7" name="drkeet">#REF!</definedName>
    <definedName localSheetId="44" name="______MMM33">#REF!</definedName>
    <definedName localSheetId="30" name="URAIAN66PERATA">#REF!</definedName>
    <definedName localSheetId="34" name="__pvc3">#REF!</definedName>
    <definedName localSheetId="3" name="_______MMM04">#REF!</definedName>
    <definedName localSheetId="7" name="nokgentengaspal">#REF!</definedName>
    <definedName localSheetId="30" name="Overhead">#REF!</definedName>
    <definedName localSheetId="5" name="kacacermin6">#REF!</definedName>
    <definedName localSheetId="5" name="sodaapi">#REF!</definedName>
    <definedName localSheetId="27" name="springknip">#REF!</definedName>
    <definedName localSheetId="21" name="Print_Titles_MI_1">#REF!</definedName>
    <definedName localSheetId="3" name="multi.4">#REF!</definedName>
    <definedName localSheetId="3" name="URAIAN96">#REF!</definedName>
    <definedName localSheetId="18" name="FORM841">#REF!</definedName>
    <definedName localSheetId="38" name="plintubinteraluxkerang1060">#REF!</definedName>
    <definedName localSheetId="8" name="L">#REF!</definedName>
    <definedName localSheetId="3" name="___MMM16">#REF!</definedName>
    <definedName localSheetId="20" name="Uraian841">#REF!</definedName>
    <definedName localSheetId="31" name="JA">#REF!</definedName>
    <definedName name="R50..">#REF!</definedName>
    <definedName localSheetId="3" name="______MMM48">#REF!</definedName>
    <definedName localSheetId="24" name="gabin_al">#REF!</definedName>
    <definedName localSheetId="21" name="terasocor">#REF!</definedName>
    <definedName localSheetId="3" name="FORM772b">#REF!</definedName>
    <definedName localSheetId="28" name="tanahliat">#REF!</definedName>
    <definedName name="FORM642">#REF!</definedName>
    <definedName localSheetId="7" name="_____DIV6">#REF!</definedName>
    <definedName localSheetId="3" name="_LLL08">#REF!</definedName>
    <definedName localSheetId="38" name="ASISTEN_BIDANG_PEMERINTAHAN">#REF!</definedName>
    <definedName localSheetId="32" name="terasocor">#REF!</definedName>
    <definedName localSheetId="17" name="bubunganstelgelombang092">#REF!</definedName>
    <definedName localSheetId="21" name="_______MMM01">#REF!</definedName>
    <definedName localSheetId="36" name="bakkontrol">#REF!</definedName>
    <definedName localSheetId="31" name="___pvc105">#REF!</definedName>
    <definedName localSheetId="42" name="u">#REF!</definedName>
    <definedName localSheetId="21" name="________MMM35">#REF!</definedName>
    <definedName localSheetId="7" name="alba2.20">#REF!</definedName>
    <definedName localSheetId="27" name="hakangin">#REF!</definedName>
    <definedName localSheetId="33" name="KT">#REF!</definedName>
    <definedName localSheetId="39" name="pp">#REF!</definedName>
    <definedName localSheetId="24" name="ABC">#REF!</definedName>
    <definedName name="___MMM37">#REF!</definedName>
    <definedName localSheetId="17" name="________MMM19">#REF!</definedName>
    <definedName localSheetId="15" name="________DIV10">#REF!</definedName>
    <definedName name="tct">#REF!</definedName>
    <definedName localSheetId="24" name="R66..">#REF!</definedName>
    <definedName localSheetId="10" name="___pvc2">#REF!</definedName>
    <definedName localSheetId="34" name="_DIV3">#REF!</definedName>
    <definedName localSheetId="25" name="asbesgelombnang">#REF!</definedName>
    <definedName localSheetId="11" name="sengplatbjls24">#REF!</definedName>
    <definedName localSheetId="18" name="kayukamper">#REF!</definedName>
    <definedName localSheetId="24" name="______MMM07">#REF!</definedName>
    <definedName localSheetId="8" name="URAIAN22E">#REF!</definedName>
    <definedName localSheetId="20" name="ubinteraso30">#REF!</definedName>
    <definedName localSheetId="23" name="multi.18">#REF!</definedName>
    <definedName localSheetId="27" name="aluminiumfoil">#REF!</definedName>
    <definedName localSheetId="24" name="ubinkeramikartistik520">#REF!</definedName>
    <definedName localSheetId="19" name="engsel3">#REF!</definedName>
    <definedName localSheetId="10" name="kkkk">#REF!</definedName>
    <definedName localSheetId="11" name="strorox">#REF!</definedName>
    <definedName localSheetId="17" name="_________MMM51">#REF!</definedName>
    <definedName localSheetId="32" name="kuncitanam">#REF!</definedName>
    <definedName name="FORM915">#REF!</definedName>
    <definedName localSheetId="31" name="KunciPintu">#REF!</definedName>
    <definedName localSheetId="21" name="LemAibon">#REF!</definedName>
    <definedName localSheetId="21" name="ubingranito30">#REF!</definedName>
    <definedName localSheetId="23" name="DFFFGGG">#REF!</definedName>
    <definedName name="rubbercorrugate">#REF!</definedName>
    <definedName localSheetId="13" name="FORMLatasirK">#REF!</definedName>
    <definedName name="______LLL07">#REF!</definedName>
    <definedName localSheetId="9" name="Analisa511">#REF!</definedName>
    <definedName localSheetId="24" name="___MMM01">#REF!</definedName>
    <definedName localSheetId="8" name="doorstop">#REF!</definedName>
    <definedName localSheetId="24" name="_MMM48">#REF!</definedName>
    <definedName localSheetId="21" name="_______MMM23">#REF!</definedName>
    <definedName localSheetId="33" name="mapel">#REF!</definedName>
    <definedName localSheetId="5" name="Psr.psg">#REF!</definedName>
    <definedName localSheetId="13" name="ubinteraso40">#REF!</definedName>
    <definedName localSheetId="5" name="FORM7613b">#REF!</definedName>
    <definedName name="R74..">#REF!</definedName>
    <definedName localSheetId="3" name="____MMM23">#REF!</definedName>
    <definedName localSheetId="25" name="_818PK">#REF!</definedName>
    <definedName localSheetId="27" name="jffhauifhauifhe">#REF!</definedName>
    <definedName localSheetId="44" name="R17..">#REF!</definedName>
    <definedName localSheetId="18" name="strorox">#REF!</definedName>
    <definedName name="FORM7613b">#REF!</definedName>
    <definedName localSheetId="12" name="kuas">#REF!</definedName>
    <definedName localSheetId="4" name="Pc.50">#REF!</definedName>
    <definedName localSheetId="18" name="bubungangentengbeton">#REF!</definedName>
    <definedName localSheetId="4" name="drkeet">#REF!</definedName>
    <definedName localSheetId="17" name="kiki">#REF!</definedName>
    <definedName localSheetId="20" name="Analisa512">#REF!</definedName>
    <definedName localSheetId="7" name="_______MMM29">#REF!</definedName>
    <definedName localSheetId="7" name="________MMM34">#REF!</definedName>
    <definedName localSheetId="34" name="papanbekisting">#REF!</definedName>
    <definedName localSheetId="3" name="pvc3.4.aw">#REF!</definedName>
    <definedName localSheetId="27" name="___MMM01">#REF!</definedName>
    <definedName localSheetId="24" name="aaaa">#REF!</definedName>
    <definedName localSheetId="7" name="amplas">#REF!</definedName>
    <definedName localSheetId="44" name="pengencer">#REF!</definedName>
    <definedName localSheetId="24" name="KunciWC">#REF!</definedName>
    <definedName name="_____DIV3">#REF!</definedName>
    <definedName localSheetId="38" name="URAIAN79manual">#REF!</definedName>
    <definedName localSheetId="0" name="___DIV10">#REF!</definedName>
    <definedName localSheetId="6" name="plesteran13">#REF!</definedName>
    <definedName localSheetId="40" name="split2.3">#REF!</definedName>
    <definedName localSheetId="17" name="____MMM46">#REF!</definedName>
    <definedName localSheetId="39" name="alangalang">#REF!</definedName>
    <definedName localSheetId="41" name="he">#REF!</definedName>
    <definedName localSheetId="10" name="nokgentengaspal">#REF!</definedName>
    <definedName localSheetId="34" name="aa">#REF!</definedName>
    <definedName localSheetId="44" name="__MMM21">#REF!</definedName>
    <definedName localSheetId="7" name="___MMM25">#REF!</definedName>
    <definedName localSheetId="24" name="R67..">#REF!</definedName>
    <definedName localSheetId="17" name="_______MMM36">#REF!</definedName>
    <definedName localSheetId="27" name="kayukamper">#REF!</definedName>
    <definedName localSheetId="17" name="_______MMM45">#REF!</definedName>
    <definedName localSheetId="34" name="_HAL4">#REF!</definedName>
    <definedName localSheetId="34" name="FORM7613b">#REF!</definedName>
    <definedName localSheetId="44" name="FORM731">#REF!</definedName>
    <definedName localSheetId="20" name="batacote">#REF!</definedName>
    <definedName localSheetId="40" name="FORM8410">#REF!</definedName>
    <definedName localSheetId="5" name="besi13u">#REF!</definedName>
    <definedName localSheetId="17" name="_____MMM52">#REF!</definedName>
    <definedName localSheetId="42" name="bubungangentengkodok">#REF!</definedName>
    <definedName localSheetId="23" name="drkeet">#REF!</definedName>
    <definedName localSheetId="10" name="______DIV10">#REF!</definedName>
    <definedName localSheetId="24" name="__MMM21">#REF!</definedName>
    <definedName localSheetId="24" name="pakupancing">#REF!</definedName>
    <definedName localSheetId="40" name="URAIAN7612c">#REF!</definedName>
    <definedName localSheetId="4" name="FORM745">#REF!</definedName>
    <definedName localSheetId="15" name="minyaksolar">#REF!</definedName>
    <definedName localSheetId="17" name="k.tukang">#REF!</definedName>
    <definedName localSheetId="0" name="_818FA">#REF!</definedName>
    <definedName localSheetId="38" name="batacote">#REF!</definedName>
    <definedName localSheetId="17" name="pintugulungbesi">#REF!</definedName>
    <definedName localSheetId="12" name="R4..">#REF!</definedName>
    <definedName localSheetId="7" name="___MMM11">#REF!</definedName>
    <definedName name="f">#REF!</definedName>
    <definedName localSheetId="44" name="dasar">#REF!</definedName>
    <definedName localSheetId="18" name="total">#REF!</definedName>
    <definedName localSheetId="31" name="lp">#REF!</definedName>
    <definedName localSheetId="23" name="pakubiasa">#REF!</definedName>
    <definedName localSheetId="19" name="KunciPintu">#REF!</definedName>
    <definedName localSheetId="33" name="kaca.es">#REF!</definedName>
    <definedName localSheetId="39" name="badkip">#REF!</definedName>
    <definedName localSheetId="3" name="____MMM26">#REF!</definedName>
    <definedName localSheetId="17" name="kaca8">#REF!</definedName>
    <definedName localSheetId="10" name="FORM745">#REF!</definedName>
    <definedName localSheetId="18" name="bak">#REF!</definedName>
    <definedName localSheetId="34" name="UPAH">#REF!</definedName>
    <definedName localSheetId="21" name="pakubulian">#REF!</definedName>
    <definedName localSheetId="15" name="URAIAN611">#REF!</definedName>
    <definedName localSheetId="7" name="Excel_BuiltIn_Print_Titles_3">#REF!</definedName>
    <definedName localSheetId="9" name="ktky">#REF!</definedName>
    <definedName localSheetId="8" name="a">#REF!</definedName>
    <definedName localSheetId="34" name="Print_title">#REF!</definedName>
    <definedName localSheetId="24" name="__DIV1">#REF!</definedName>
    <definedName localSheetId="21" name="____MMM53">#REF!</definedName>
    <definedName localSheetId="31" name="seng30">#REF!</definedName>
    <definedName localSheetId="3" name="___HAL4">#REF!</definedName>
    <definedName localSheetId="24" name="_MMM53">#REF!</definedName>
    <definedName localSheetId="33" name="URAIAN7613a">#REF!</definedName>
    <definedName localSheetId="13" name="FORM612">#REF!</definedName>
    <definedName localSheetId="15" name="plintubinteraluxkerang1060">#REF!</definedName>
    <definedName localSheetId="17" name="_________MMM23">#REF!</definedName>
    <definedName localSheetId="33" name="R60..">#REF!</definedName>
    <definedName localSheetId="17" name="_pvc05">#REF!</definedName>
    <definedName localSheetId="23" name="meni.kayu">#REF!</definedName>
    <definedName localSheetId="25" name="___pvc205">#REF!</definedName>
    <definedName localSheetId="28" name="_______MMM02">#REF!</definedName>
    <definedName localSheetId="18" name="SusunanOrg">#REF!</definedName>
    <definedName localSheetId="11" name="batuteraso">#REF!</definedName>
    <definedName localSheetId="23" name="________HAL2">#REF!</definedName>
    <definedName localSheetId="32" name="kacapolos5mm">#REF!</definedName>
    <definedName localSheetId="28" name="URAIAN631">#REF!</definedName>
    <definedName localSheetId="41" name="FORM841">#REF!</definedName>
    <definedName localSheetId="24" name="borneo5.7">#REF!</definedName>
    <definedName localSheetId="34" name="sdg">#REF!</definedName>
    <definedName localSheetId="5" name="bbm">#REF!</definedName>
    <definedName localSheetId="30" name="_PC50">#REF!</definedName>
    <definedName localSheetId="17" name="_____MMM43">#REF!</definedName>
    <definedName localSheetId="32" name="ASISTEN_BIDANG_PEMERINTAHAN">#REF!</definedName>
    <definedName localSheetId="38" name="paku5.7.10">#REF!</definedName>
    <definedName localSheetId="13" name="pakubulian">#REF!</definedName>
    <definedName name="rtrt">#REF!</definedName>
    <definedName localSheetId="6" name="f">#REF!</definedName>
    <definedName localSheetId="19" name="KECAMATAN_KODEOHA">#REF!</definedName>
    <definedName localSheetId="4" name="c.mowi.dlm">#REF!</definedName>
    <definedName localSheetId="27" name="catpenutup2kali">#REF!</definedName>
    <definedName localSheetId="9" name="__pvc05">#REF!</definedName>
    <definedName localSheetId="41" name="k.ddg.20.25.rmn.crk">#REF!</definedName>
    <definedName localSheetId="10" name="ts">#REF!</definedName>
    <definedName localSheetId="24" name="KT">#REF!</definedName>
    <definedName localSheetId="30" name="tm_2415921492">#REF!</definedName>
    <definedName localSheetId="24" name="_______MMM16">#REF!</definedName>
    <definedName localSheetId="20" name="pasirsilika">#REF!</definedName>
    <definedName localSheetId="4" name="Grendel">#REF!</definedName>
    <definedName localSheetId="10" name="rtrt">#REF!</definedName>
    <definedName localSheetId="21" name="________MMM40">#REF!</definedName>
    <definedName localSheetId="34" name="Kekurangan">#REF!</definedName>
    <definedName localSheetId="40" name="__pvc2">#REF!</definedName>
    <definedName localSheetId="44" name="FORM772a">#REF!</definedName>
    <definedName localSheetId="3" name="psr.trs">#REF!</definedName>
    <definedName localSheetId="39" name="pasirbeton">#REF!</definedName>
    <definedName name="______LLL08">#REF!</definedName>
    <definedName localSheetId="36" name="RINCIANSEWA2">#REF!</definedName>
    <definedName localSheetId="40" name="_kop5">#REF!</definedName>
    <definedName localSheetId="33" name="jendelanako">#REF!</definedName>
    <definedName localSheetId="41" name="KECAMATAN_KODEOHA">#REF!</definedName>
    <definedName localSheetId="44" name="______LLL09">#REF!</definedName>
    <definedName localSheetId="25" name="R21..">#REF!</definedName>
    <definedName localSheetId="4" name="________DIV3">#REF!</definedName>
    <definedName localSheetId="7" name="______MMM31">#REF!</definedName>
    <definedName localSheetId="33" name="__MMM02">#REF!</definedName>
    <definedName localSheetId="17" name="________MMM17">#REF!</definedName>
    <definedName localSheetId="23" name="bondbeam">#REF!</definedName>
    <definedName localSheetId="38" name="_MMM03">#REF!</definedName>
    <definedName localSheetId="28" name="jendelanako">#REF!</definedName>
    <definedName localSheetId="44" name="paving">#REF!</definedName>
    <definedName localSheetId="27" name="___pc50">#REF!</definedName>
    <definedName localSheetId="7" name="_____MMM49">#REF!</definedName>
    <definedName localSheetId="24" name="beton.225m">#REF!</definedName>
    <definedName localSheetId="10" name="pagarseng2m">#REF!</definedName>
    <definedName localSheetId="36" name="__pvc105">#REF!</definedName>
    <definedName localSheetId="3" name="___MMM53">#REF!</definedName>
    <definedName localSheetId="0" name="URAIAN22E">#REF!</definedName>
    <definedName name="_MMM43">#REF!</definedName>
    <definedName localSheetId="27" name="_818FA">#REF!</definedName>
    <definedName localSheetId="25" name="jffhauifhauifhe">#REF!</definedName>
    <definedName localSheetId="42" name="kalkarium">#REF!</definedName>
    <definedName localSheetId="27" name="pintubesibaja">#REF!</definedName>
    <definedName localSheetId="44" name="__HAL6">#REF!</definedName>
    <definedName localSheetId="24" name="pintubesibaja">#REF!</definedName>
    <definedName localSheetId="9" name="s.warna">#REF!</definedName>
    <definedName localSheetId="40" name="Ktbt">#REF!</definedName>
    <definedName localSheetId="6" name="bubunganasbesnok">#REF!</definedName>
    <definedName localSheetId="25" name="URAIAN732">#REF!</definedName>
    <definedName localSheetId="38" name="got">#REF!</definedName>
    <definedName localSheetId="17" name="_______MMM16">#REF!</definedName>
    <definedName localSheetId="18" name="plastikaerator">#REF!</definedName>
    <definedName localSheetId="42" name="_KOP7">#REF!</definedName>
    <definedName localSheetId="38" name="waterstop230">#REF!</definedName>
    <definedName name="________MMM42">#REF!</definedName>
    <definedName name="______MMM50">#REF!</definedName>
    <definedName localSheetId="27" name="_______DIV1">#REF!</definedName>
    <definedName localSheetId="11" name="kaca8">#REF!</definedName>
    <definedName localSheetId="12" name="sssssss">#REF!</definedName>
    <definedName localSheetId="3" name="gabin_al">#REF!</definedName>
    <definedName localSheetId="9" name="floorhardenermastercron">#REF!</definedName>
    <definedName localSheetId="9" name="____DIV1">#REF!</definedName>
    <definedName localSheetId="40" name="Grendel">#REF!</definedName>
    <definedName localSheetId="6" name="Batupuru">#REF!</definedName>
    <definedName localSheetId="0" name="amobiotic">#REF!</definedName>
    <definedName localSheetId="5" name="mowi.w.shield">#REF!</definedName>
    <definedName localSheetId="39" name="flordrain">#REF!</definedName>
    <definedName localSheetId="3" name="plintubinteraluxmarmer1060">#REF!</definedName>
    <definedName localSheetId="44" name="_MMM29">#REF!</definedName>
    <definedName localSheetId="34" name="lem">#REF!</definedName>
    <definedName localSheetId="30" name="papanII">#REF!</definedName>
    <definedName name="Catbesi">#REF!</definedName>
    <definedName localSheetId="0" name="_______DIV3">#REF!</definedName>
    <definedName localSheetId="33" name="keramik40">#REF!</definedName>
    <definedName localSheetId="15" name="bondbeam">#REF!</definedName>
    <definedName localSheetId="11" name="pijar15">#REF!</definedName>
    <definedName localSheetId="19" name="ubinwarna20">#REF!</definedName>
    <definedName localSheetId="19" name="_______HAL3">#REF!</definedName>
    <definedName localSheetId="33" name="___pvc05">#REF!</definedName>
    <definedName localSheetId="41" name="____DIV10">#REF!</definedName>
    <definedName localSheetId="42" name="__LLL02">#REF!</definedName>
    <definedName name="FORM66">#REF!</definedName>
    <definedName name="FORM7614e">#REF!</definedName>
    <definedName localSheetId="31" name="nokgentengaspal">#REF!</definedName>
    <definedName localSheetId="21" name="________LLL09">#REF!</definedName>
    <definedName localSheetId="12" name="URAIAN7613a">#REF!</definedName>
    <definedName localSheetId="27" name="_pvc3">#REF!</definedName>
    <definedName localSheetId="39" name="B.Aparatur">#REF!</definedName>
    <definedName name="____MMM16">#REF!</definedName>
    <definedName localSheetId="21" name="sealer.mowi">#REF!</definedName>
    <definedName localSheetId="13" name="Excel_BuiltIn_Print_Area_10">#REF!</definedName>
    <definedName localSheetId="17" name="_______MMM29">#REF!</definedName>
    <definedName localSheetId="6" name="pasirsilika">#REF!</definedName>
    <definedName name="_______MMM24">#REF!</definedName>
    <definedName localSheetId="44" name="___MMM29">#REF!</definedName>
    <definedName localSheetId="15" name="______MMM02">#REF!</definedName>
    <definedName localSheetId="27" name="FORM7613a">#REF!</definedName>
    <definedName localSheetId="7" name="URAIAN323L">#REF!</definedName>
    <definedName localSheetId="28" name="bubunganasbesnok">#REF!</definedName>
    <definedName localSheetId="28" name="wwww">#REF!</definedName>
    <definedName localSheetId="36" name="sofboard">#REF!</definedName>
    <definedName localSheetId="21" name="__MMM18">#REF!</definedName>
    <definedName localSheetId="17" name="______MMM06">#REF!</definedName>
    <definedName localSheetId="36" name="___HAL1">#REF!</definedName>
    <definedName localSheetId="31" name="kacacermin6">#REF!</definedName>
    <definedName localSheetId="0" name="wwww">#REF!</definedName>
    <definedName localSheetId="25" name="keramik30x30">#REF!</definedName>
    <definedName localSheetId="13" name="R100..">#REF!</definedName>
    <definedName localSheetId="44" name="FORM772c">#REF!</definedName>
    <definedName localSheetId="27" name="ubinkeramik1020">#REF!</definedName>
    <definedName localSheetId="39" name="batapelapisdinding">#REF!</definedName>
    <definedName localSheetId="10" name="__pvc205">#REF!</definedName>
    <definedName localSheetId="20" name="SusunanOrg">#REF!</definedName>
    <definedName localSheetId="20" name="URAIAN22E">#REF!</definedName>
    <definedName localSheetId="7" name="plintkeramikartistik520">#REF!</definedName>
    <definedName localSheetId="10" name="_______HAL2">#REF!</definedName>
    <definedName localSheetId="21" name="beton.tumbuk">#REF!</definedName>
    <definedName localSheetId="20" name="URAIAN731">#REF!</definedName>
    <definedName localSheetId="15" name="menibesi">#REF!</definedName>
    <definedName localSheetId="39" name="u.besi">#REF!</definedName>
    <definedName localSheetId="40" name="kayuterentang">#REF!</definedName>
    <definedName localSheetId="20" name="URAIAN22L">#REF!</definedName>
    <definedName localSheetId="34" name="kkkk">#REF!</definedName>
    <definedName localSheetId="4" name="grassblok">#REF!</definedName>
    <definedName localSheetId="44" name="bubungangentengmonier">#REF!</definedName>
    <definedName localSheetId="17" name="plintubinteraluxkerang1060">#REF!</definedName>
    <definedName localSheetId="25" name="waterdrainaksesoris">#REF!</definedName>
    <definedName localSheetId="9" name="pipagalvanis">#REF!</definedName>
    <definedName localSheetId="23" name="dasar">#REF!</definedName>
    <definedName localSheetId="13" name="pakuhak15cm">#REF!</definedName>
    <definedName localSheetId="24" name="____MMM53">#REF!</definedName>
    <definedName localSheetId="41" name="borneo5.7">#REF!</definedName>
    <definedName localSheetId="18" name="Analisa55">#REF!</definedName>
    <definedName localSheetId="9" name="mapel">#REF!</definedName>
    <definedName localSheetId="40" name="coveartistik">#REF!</definedName>
    <definedName localSheetId="23" name="KunciPintu">#REF!</definedName>
    <definedName localSheetId="5" name="URAIAN731">#REF!</definedName>
    <definedName localSheetId="21" name="R17..">#REF!</definedName>
    <definedName localSheetId="27" name="URAIANLatasirKL">#REF!</definedName>
    <definedName localSheetId="8" name="rooflightfiibreglass">#REF!</definedName>
    <definedName localSheetId="20" name="DAYWORKS">#REF!</definedName>
    <definedName localSheetId="21" name="FORM918">#REF!</definedName>
    <definedName localSheetId="18" name="dua">#REF!</definedName>
    <definedName localSheetId="39" name="kenek">#REF!</definedName>
    <definedName localSheetId="41" name="list">#REF!</definedName>
    <definedName localSheetId="30" name="teakwood4mm">#REF!</definedName>
    <definedName name="MAI">#REF!</definedName>
    <definedName localSheetId="13" name="air">#REF!</definedName>
    <definedName localSheetId="11" name="batupecah">#REF!</definedName>
    <definedName localSheetId="4" name="_______DIV1">#REF!</definedName>
    <definedName localSheetId="31" name="pakuhalus">#REF!</definedName>
    <definedName localSheetId="23" name="kaca.es">#REF!</definedName>
    <definedName localSheetId="24" name="_MMM15">#REF!</definedName>
    <definedName localSheetId="20" name="psr.trs">#REF!</definedName>
    <definedName localSheetId="25" name="sis">#REF!</definedName>
    <definedName localSheetId="44" name="_DIV3">#REF!</definedName>
    <definedName localSheetId="24" name="R68..">#REF!</definedName>
    <definedName localSheetId="3" name="________MMM35">#REF!</definedName>
    <definedName localSheetId="3" name="_________DIV5">#REF!</definedName>
    <definedName name="_____DIV5">#REF!</definedName>
    <definedName localSheetId="20" name="kaca12">#REF!</definedName>
    <definedName localSheetId="3" name="tky">#REF!</definedName>
    <definedName localSheetId="4" name="besijaringkawatbaja">#REF!</definedName>
    <definedName localSheetId="32" name="_________DIV2">#REF!</definedName>
    <definedName localSheetId="3" name="kd_daerah">#REF!</definedName>
    <definedName localSheetId="34" name="_LLL01">#REF!</definedName>
    <definedName localSheetId="9" name="tanggal">#REF!</definedName>
    <definedName localSheetId="44" name="___pvc105">#REF!</definedName>
    <definedName localSheetId="33" name="wwww">#REF!</definedName>
    <definedName localSheetId="44" name="___MMM47">#REF!</definedName>
    <definedName localSheetId="31" name="_______HAL1">#REF!</definedName>
    <definedName localSheetId="20" name="he">#REF!</definedName>
    <definedName localSheetId="33" name="kuas">#REF!</definedName>
    <definedName localSheetId="39" name="__DIV1">#REF!</definedName>
    <definedName localSheetId="36" name="___MMM02">#REF!</definedName>
    <definedName localSheetId="3" name="kuncilemari">#REF!</definedName>
    <definedName localSheetId="17" name="__MMM36">#REF!</definedName>
    <definedName name="KT">#REF!</definedName>
    <definedName localSheetId="7" name="Per">#REF!</definedName>
    <definedName localSheetId="33" name="semen50">#REF!</definedName>
    <definedName localSheetId="32" name="DAYWORKS">#REF!</definedName>
    <definedName localSheetId="11" name="batuporos">#REF!</definedName>
    <definedName localSheetId="9" name="ubinkeramikartistik1020">#REF!</definedName>
    <definedName localSheetId="36" name="p.bI">#REF!</definedName>
    <definedName localSheetId="24" name="UTAIAN7614c">#REF!</definedName>
    <definedName localSheetId="6" name="R60..">#REF!</definedName>
    <definedName localSheetId="7" name="____MMM35">#REF!</definedName>
    <definedName localSheetId="30" name="pakuhalus">#REF!</definedName>
    <definedName localSheetId="9" name="gymfloor">#REF!</definedName>
    <definedName localSheetId="11" name="Faktorial">#REF!</definedName>
    <definedName localSheetId="12" name="p.bI">#REF!</definedName>
    <definedName localSheetId="3" name="_kop5">#REF!</definedName>
    <definedName localSheetId="31" name="_pvc3">#REF!</definedName>
    <definedName localSheetId="44" name="___pc50">#REF!</definedName>
    <definedName localSheetId="8" name="_DIV3">#REF!</definedName>
    <definedName localSheetId="10" name="floorhardenerferrovak">#REF!</definedName>
    <definedName localSheetId="0" name="lp">#REF!</definedName>
    <definedName localSheetId="15" name="ubinkeramikartistik1010">#REF!</definedName>
    <definedName localSheetId="17" name="_____MMM51">#REF!</definedName>
    <definedName localSheetId="23" name="plastikaerator">#REF!</definedName>
    <definedName localSheetId="7" name="_________MMM43">#REF!</definedName>
    <definedName localSheetId="5" name="MASTER">#REF!</definedName>
    <definedName localSheetId="31" name="____MMM01">#REF!</definedName>
    <definedName localSheetId="42" name="FORMLatasirK">#REF!</definedName>
    <definedName localSheetId="38" name="kayukulim">#REF!</definedName>
    <definedName localSheetId="31" name="waterstop200">#REF!</definedName>
    <definedName localSheetId="0" name="Excel_BuiltIn_Print_Area_1">#REF!</definedName>
    <definedName localSheetId="6" name="SPJ">#REF!</definedName>
    <definedName localSheetId="17" name="pvc4d">#REF!</definedName>
    <definedName localSheetId="9" name="__pvc2">#REF!</definedName>
    <definedName localSheetId="24" name="____MMM35">#REF!</definedName>
    <definedName localSheetId="42" name="plintubinteraluxkerang1060">#REF!</definedName>
    <definedName localSheetId="44" name="___MMM40">#REF!</definedName>
    <definedName localSheetId="44" name="_________DIV8">#REF!</definedName>
    <definedName localSheetId="7" name="G.Kramik">#REF!</definedName>
    <definedName localSheetId="24" name="________HAL7">#REF!</definedName>
    <definedName localSheetId="8" name="___DIV10">#REF!</definedName>
    <definedName localSheetId="6" name="washtafel">#REF!</definedName>
    <definedName localSheetId="18" name="URAIAN66PERATA">#REF!</definedName>
    <definedName localSheetId="7" name="Faktor">#REF!</definedName>
    <definedName name="ubinwarna40">#REF!</definedName>
    <definedName localSheetId="0" name="_MMM03">#REF!</definedName>
    <definedName localSheetId="21" name="_DIV3">#REF!</definedName>
    <definedName localSheetId="21" name="sabun">#REF!</definedName>
    <definedName localSheetId="12" name="kuncilemari">#REF!</definedName>
    <definedName localSheetId="3" name="kmp.banjar">#REF!</definedName>
    <definedName localSheetId="39" name="sengplatbjls28">#REF!</definedName>
    <definedName localSheetId="7" name="jamtandem">#REF!</definedName>
    <definedName name="_MMM30">#REF!</definedName>
    <definedName localSheetId="42" name="pa">#REF!</definedName>
    <definedName localSheetId="21" name="_LLL09">#REF!</definedName>
    <definedName localSheetId="5" name="water.prof">#REF!</definedName>
    <definedName localSheetId="7" name="____LLL05">#REF!</definedName>
    <definedName localSheetId="3" name="______MMM40">#REF!</definedName>
    <definedName localSheetId="20" name="___DIV4">#REF!</definedName>
    <definedName localSheetId="40" name="FORM611">#REF!</definedName>
    <definedName localSheetId="17" name="_DIV9">#REF!</definedName>
    <definedName localSheetId="4" name="batukali14">#REF!</definedName>
    <definedName localSheetId="27" name="______DIV1">#REF!</definedName>
    <definedName localSheetId="39" name="FORM771c">#REF!</definedName>
    <definedName localSheetId="21" name="bondbeam">#REF!</definedName>
    <definedName localSheetId="3" name="R78..">#REF!</definedName>
    <definedName localSheetId="24" name="ubinteraso30">#REF!</definedName>
    <definedName localSheetId="21" name="______MMM32">#REF!</definedName>
    <definedName localSheetId="44" name="URAIAN22L">#REF!</definedName>
    <definedName localSheetId="44" name="________LLL09">#REF!</definedName>
    <definedName localSheetId="27" name="batuapung">#REF!</definedName>
    <definedName localSheetId="28" name="kran.ddg">#REF!</definedName>
    <definedName localSheetId="23" name="c.mowi.luar">#REF!</definedName>
    <definedName localSheetId="7" name="kayukulim">#REF!</definedName>
    <definedName localSheetId="0" name="kuncilemari">#REF!</definedName>
    <definedName name="G.Kramik">#REF!</definedName>
    <definedName localSheetId="28" name="flordrain">#REF!</definedName>
    <definedName localSheetId="15" name="rtrt">#REF!</definedName>
    <definedName localSheetId="24" name="pijar15">#REF!</definedName>
    <definedName localSheetId="4" name="k.ddg.20.25.rmn.crk">#REF!</definedName>
    <definedName localSheetId="3" name="R94..">#REF!</definedName>
    <definedName localSheetId="34" name="borneo5.10">#REF!</definedName>
    <definedName localSheetId="11" name="air">#REF!</definedName>
    <definedName localSheetId="20" name="________MMM03">#REF!</definedName>
    <definedName localSheetId="31" name="hcs">#REF!</definedName>
    <definedName name="kayubulian">#REF!</definedName>
    <definedName localSheetId="17" name="FORM636">#REF!</definedName>
    <definedName localSheetId="34" name="URAIAN7612c">#REF!</definedName>
    <definedName localSheetId="36" name="kran.ddg">#REF!</definedName>
    <definedName localSheetId="10" name="kayubulian">#REF!</definedName>
    <definedName localSheetId="38" name="URAIAN632">#REF!</definedName>
    <definedName localSheetId="24" name="_____DIV5">#REF!</definedName>
    <definedName localSheetId="6" name="sunloid">#REF!</definedName>
    <definedName localSheetId="27" name="FORM771b">#REF!</definedName>
    <definedName localSheetId="20" name="tegelplinpc10x20">#REF!</definedName>
    <definedName localSheetId="27" name="tempatcucipiring">#REF!</definedName>
    <definedName localSheetId="7" name="gggg">#REF!</definedName>
    <definedName localSheetId="23" name="___pvc205">#REF!</definedName>
    <definedName localSheetId="19" name="plintubinteraluxkerang1040">#REF!</definedName>
    <definedName localSheetId="32" name="________MMM03">#REF!</definedName>
    <definedName localSheetId="24" name="_____MMM44">#REF!</definedName>
    <definedName localSheetId="42" name="catantara">#REF!</definedName>
    <definedName localSheetId="19" name="URAIAN7613b">#REF!</definedName>
    <definedName localSheetId="34" name="_____DIV2">#REF!</definedName>
    <definedName name="sealtape">#REF!</definedName>
    <definedName localSheetId="7" name="MINOR">#REF!</definedName>
    <definedName localSheetId="42" name="doorholder">#REF!</definedName>
    <definedName localSheetId="20" name="SPJa">#REF!</definedName>
    <definedName localSheetId="12" name="HP">#REF!</definedName>
    <definedName localSheetId="17" name="FORM635">#REF!</definedName>
    <definedName localSheetId="41" name="doorstop">#REF!</definedName>
    <definedName localSheetId="0" name="sodaapi">#REF!</definedName>
    <definedName localSheetId="5" name="roster">#REF!</definedName>
    <definedName localSheetId="20" name="R41..">#REF!</definedName>
    <definedName localSheetId="25" name="wwww">#REF!</definedName>
    <definedName localSheetId="30" name="M">#REF!</definedName>
    <definedName localSheetId="17" name="____LLL05">#REF!</definedName>
    <definedName name="_MMM40">#REF!</definedName>
    <definedName localSheetId="6" name="doorstop">#REF!</definedName>
    <definedName localSheetId="28" name="kawatnyamuk">#REF!</definedName>
    <definedName localSheetId="17" name="__pvc105">#REF!</definedName>
    <definedName localSheetId="15" name="plintkeramikartistik520">#REF!</definedName>
    <definedName localSheetId="7" name="dempul">#REF!</definedName>
    <definedName localSheetId="5" name="SPJa">#REF!</definedName>
    <definedName localSheetId="42" name="GUIIII">#REF!</definedName>
    <definedName localSheetId="44" name="R104..">#REF!</definedName>
    <definedName localSheetId="7" name="k.lnt.rmn.20.20.pls">#REF!</definedName>
    <definedName localSheetId="44" name="plintubinwarna1020">#REF!</definedName>
    <definedName localSheetId="36" name="rtrt">#REF!</definedName>
    <definedName localSheetId="24" name="pa">#REF!</definedName>
    <definedName localSheetId="11" name="cv">#REF!</definedName>
    <definedName localSheetId="8" name="_MMM03">#REF!</definedName>
    <definedName localSheetId="13" name="KT">#REF!</definedName>
    <definedName localSheetId="28" name="tempatcucipiring">#REF!</definedName>
    <definedName localSheetId="21" name="kawatduri">#REF!</definedName>
    <definedName localSheetId="39" name="plintkeramikartistik1020">#REF!</definedName>
    <definedName localSheetId="19" name="ubinkeramik1515">#REF!</definedName>
    <definedName localSheetId="24" name="____MMM06">#REF!</definedName>
    <definedName localSheetId="18" name="FORM66PERMUKAAN">#REF!</definedName>
    <definedName localSheetId="3" name="____MMM01">#REF!</definedName>
    <definedName localSheetId="5" name="__HAL4">#REF!</definedName>
    <definedName localSheetId="32" name="________DIV4">#REF!</definedName>
    <definedName localSheetId="20" name="relpintudorong">#REF!</definedName>
    <definedName name="____MMM41">#REF!</definedName>
    <definedName localSheetId="44" name="_MMM48">#REF!</definedName>
    <definedName localSheetId="6" name="_____MMM03">#REF!</definedName>
    <definedName localSheetId="10" name="gypsum.9">#REF!</definedName>
    <definedName localSheetId="6" name="_______HAL1">#REF!</definedName>
    <definedName localSheetId="7" name="______MMM18">#REF!</definedName>
    <definedName localSheetId="24" name="batu.jogja">#REF!</definedName>
    <definedName localSheetId="12" name="_________DIV1">#REF!</definedName>
    <definedName localSheetId="7" name="____MMM27">#REF!</definedName>
    <definedName localSheetId="13" name="teakwood9mm">#REF!</definedName>
    <definedName localSheetId="24" name="sealer.mowi">#REF!</definedName>
    <definedName name="R26..">#REF!</definedName>
    <definedName localSheetId="10" name="leni">#REF!</definedName>
    <definedName localSheetId="9" name="alangalang">#REF!</definedName>
    <definedName localSheetId="17" name="______MMM34">#REF!</definedName>
    <definedName localSheetId="33" name="kuncialfa">#REF!</definedName>
    <definedName name="R19..">#REF!</definedName>
    <definedName localSheetId="21" name="kawatsengpolos">#REF!</definedName>
    <definedName localSheetId="18" name="___DIV10">#REF!</definedName>
    <definedName localSheetId="3" name="____MMM52">#REF!</definedName>
    <definedName localSheetId="3" name="ARI">#REF!</definedName>
    <definedName localSheetId="30" name="relpintudorong">#REF!</definedName>
    <definedName localSheetId="24" name="URAIAN733">#REF!</definedName>
    <definedName name="besipresstressedpolos">#REF!</definedName>
    <definedName localSheetId="9" name="bilikbambu">#REF!</definedName>
    <definedName localSheetId="11" name="_MMM03">#REF!</definedName>
    <definedName localSheetId="8" name="ubinkeramikartistik520">#REF!</definedName>
    <definedName localSheetId="23" name="URAIAN7610">#REF!</definedName>
    <definedName localSheetId="23" name="sementahanasam">#REF!</definedName>
    <definedName name="______MMM32">#REF!</definedName>
    <definedName name="FORM641L">#REF!</definedName>
    <definedName localSheetId="21" name="urugantanah">#REF!</definedName>
    <definedName localSheetId="39" name="Aluminium">#REF!</definedName>
    <definedName localSheetId="17" name="R4..">#REF!</definedName>
    <definedName localSheetId="44" name="______MMM34">#REF!</definedName>
    <definedName localSheetId="38" name="URAIAN611">#REF!</definedName>
    <definedName localSheetId="17" name="___HAL1">#REF!</definedName>
    <definedName localSheetId="5" name="drkeet">#REF!</definedName>
    <definedName localSheetId="39" name="pintualuminium">#REF!</definedName>
    <definedName localSheetId="17" name="ASET">#REF!</definedName>
    <definedName localSheetId="41" name="keramik40">#REF!</definedName>
    <definedName localSheetId="21" name="________HAL3">#REF!</definedName>
    <definedName localSheetId="33" name="engselangin">#REF!</definedName>
    <definedName localSheetId="7" name="R21..">#REF!</definedName>
    <definedName localSheetId="44" name="BAHU">#REF!</definedName>
    <definedName localSheetId="3" name="besi16sii">#REF!</definedName>
    <definedName localSheetId="7" name="__MMM41">#REF!</definedName>
    <definedName localSheetId="20" name="formica">#REF!</definedName>
    <definedName localSheetId="34" name="FORM771c">#REF!</definedName>
    <definedName localSheetId="18" name="Psr.psg">#REF!</definedName>
    <definedName localSheetId="24" name="feltexkarpetwool">#REF!</definedName>
    <definedName localSheetId="18" name="DFFFGGG">#REF!</definedName>
    <definedName name="R87..">#REF!</definedName>
    <definedName localSheetId="5" name="R4..">#REF!</definedName>
    <definedName localSheetId="24" name="___DIV7">#REF!</definedName>
    <definedName localSheetId="17" name="wwww">#REF!</definedName>
    <definedName localSheetId="17" name="________MMM21">#REF!</definedName>
    <definedName localSheetId="9" name="e">#REF!</definedName>
    <definedName localSheetId="44" name="cendana">#REF!</definedName>
    <definedName localSheetId="24" name="___MMM04">#REF!</definedName>
    <definedName localSheetId="30" name="pintubesibaja">#REF!</definedName>
    <definedName localSheetId="31" name="SusunanOrg">#REF!</definedName>
    <definedName localSheetId="6" name="ktky">#REF!</definedName>
    <definedName localSheetId="19" name="feltexkarpetwool">#REF!</definedName>
    <definedName localSheetId="38" name="_________HAL2">#REF!</definedName>
    <definedName localSheetId="33" name="FORM7613b">#REF!</definedName>
    <definedName localSheetId="13" name="wallpaper">#REF!</definedName>
    <definedName localSheetId="17" name="R107..">#REF!</definedName>
    <definedName localSheetId="25" name="UP">#REF!</definedName>
    <definedName localSheetId="38" name="_HAL4">#REF!</definedName>
    <definedName localSheetId="28" name="ubinteraso30">#REF!</definedName>
    <definedName localSheetId="12" name="URAIAN721">#REF!</definedName>
    <definedName localSheetId="21" name="cghj">#REF!</definedName>
    <definedName localSheetId="33" name="koralbeton">#REF!</definedName>
    <definedName localSheetId="31" name="_____DIV2">#REF!</definedName>
    <definedName localSheetId="39" name="_______HAL2">#REF!</definedName>
    <definedName name="catpenutup">#REF!</definedName>
    <definedName localSheetId="44" name="__MMM39">#REF!</definedName>
    <definedName localSheetId="21" name="plywood6mm">#REF!</definedName>
    <definedName localSheetId="38" name="perancahkayu">#REF!</definedName>
    <definedName localSheetId="0" name="d">#REF!</definedName>
    <definedName localSheetId="3" name="_______LLL09">#REF!</definedName>
    <definedName localSheetId="38" name="B.Aparatur">#REF!</definedName>
    <definedName localSheetId="7" name="FORM7614d">#REF!</definedName>
    <definedName localSheetId="3" name="__MMM52">#REF!</definedName>
    <definedName localSheetId="7" name="FORM772b">#REF!</definedName>
    <definedName localSheetId="24" name="plamur.matex">#REF!</definedName>
    <definedName localSheetId="40" name="semenwarna">#REF!</definedName>
    <definedName localSheetId="39" name="gentengdecrabond">#REF!</definedName>
    <definedName localSheetId="21" name="_____MMM22">#REF!</definedName>
    <definedName localSheetId="7" name="ubinwarna20">#REF!</definedName>
    <definedName localSheetId="12" name="amplas">#REF!</definedName>
    <definedName localSheetId="9" name="sengplatbjls25">#REF!</definedName>
    <definedName localSheetId="17" name="_________MMM17">#REF!</definedName>
    <definedName localSheetId="42" name="TANAH">#REF!</definedName>
    <definedName localSheetId="25" name="URAIAN7612a">#REF!</definedName>
    <definedName localSheetId="3" name="R95..">#REF!</definedName>
    <definedName localSheetId="7" name="R77..">#REF!</definedName>
    <definedName localSheetId="33" name="sealer.mowi">#REF!</definedName>
    <definedName localSheetId="3" name="___pvc2">#REF!</definedName>
    <definedName localSheetId="6" name="_____HAL1">#REF!</definedName>
    <definedName localSheetId="25" name="__LLL03">#REF!</definedName>
    <definedName localSheetId="5" name="platasbes4mm">#REF!</definedName>
    <definedName localSheetId="44" name="tegel20">#REF!</definedName>
    <definedName localSheetId="9" name="Uraian842">#REF!</definedName>
    <definedName localSheetId="24" name="plintubinteraluxmarmer1030">#REF!</definedName>
    <definedName name="______MMM03">#REF!</definedName>
    <definedName localSheetId="0" name="mm">#REF!</definedName>
    <definedName localSheetId="19" name="plintubingranito1040">#REF!</definedName>
    <definedName localSheetId="3" name="______HAL6">#REF!</definedName>
    <definedName localSheetId="7" name="plywood4">#REF!</definedName>
    <definedName localSheetId="4" name="na">#REF!</definedName>
    <definedName localSheetId="25" name="URAIAN234L">#REF!</definedName>
    <definedName localSheetId="39" name="FORM7612c">#REF!</definedName>
    <definedName localSheetId="3" name="____MMM18">#REF!</definedName>
    <definedName localSheetId="38" name="ubinwarna30">#REF!</definedName>
    <definedName localSheetId="44" name="FORM771a">#REF!</definedName>
    <definedName localSheetId="21" name="_____MMM50">#REF!</definedName>
    <definedName localSheetId="4" name="SEKRETARIAT_DPRD">#REF!</definedName>
    <definedName localSheetId="36" name="alba2.20">#REF!</definedName>
    <definedName localSheetId="3" name="pakusirap">#REF!</definedName>
    <definedName localSheetId="17" name="pvc.2.mas.d">#REF!</definedName>
    <definedName localSheetId="21" name="______HAL8">#REF!</definedName>
    <definedName localSheetId="17" name="ABC">#REF!</definedName>
    <definedName localSheetId="3" name="R36..">#REF!</definedName>
    <definedName localSheetId="21" name="___HAL2">#REF!</definedName>
    <definedName localSheetId="41" name="GRC">#REF!</definedName>
    <definedName localSheetId="44" name="__MMM27">#REF!</definedName>
    <definedName localSheetId="15" name="FORM7610">#REF!</definedName>
    <definedName localSheetId="44" name="sengplatbjls24">#REF!</definedName>
    <definedName localSheetId="19" name="RINCIANSEWA2">#REF!</definedName>
    <definedName localSheetId="42" name="URAIANLatasirK">#REF!</definedName>
    <definedName localSheetId="27" name="__MMM03">#REF!</definedName>
    <definedName localSheetId="0" name="kacawireglass5">#REF!</definedName>
    <definedName localSheetId="40" name="keramik20">#REF!</definedName>
    <definedName localSheetId="25" name="tukng">#REF!</definedName>
    <definedName localSheetId="39" name="gentengbeton">#REF!</definedName>
    <definedName localSheetId="7" name="Ktbt">#REF!</definedName>
    <definedName localSheetId="42" name="FORM323L">#REF!</definedName>
    <definedName localSheetId="11" name="pp">#REF!</definedName>
    <definedName localSheetId="24" name="____MMM45">#REF!</definedName>
    <definedName localSheetId="12" name="namaabsen">#REF!</definedName>
    <definedName localSheetId="25" name="__pvc105">#REF!</definedName>
    <definedName localSheetId="7" name="c.maxi">#REF!</definedName>
    <definedName localSheetId="17" name="puzzdilth">#REF!</definedName>
    <definedName localSheetId="23" name="sealer">#REF!</definedName>
    <definedName localSheetId="21" name="___MMM48">#REF!</definedName>
    <definedName localSheetId="33" name="NAMA2">#REF!</definedName>
    <definedName localSheetId="41" name="URAIAN7613b">#REF!</definedName>
    <definedName localSheetId="30" name="kalkarium">#REF!</definedName>
    <definedName localSheetId="7" name="_______HAL8">#REF!</definedName>
    <definedName localSheetId="17" name="R45..">#REF!</definedName>
    <definedName localSheetId="21" name="JL_NAS">#REF!</definedName>
    <definedName localSheetId="32" name="Skrup">#REF!</definedName>
    <definedName localSheetId="38" name="FORM66PERMUKAAN">#REF!</definedName>
    <definedName localSheetId="21" name="____MMM47">#REF!</definedName>
    <definedName localSheetId="34" name="u">#REF!</definedName>
    <definedName localSheetId="36" name="panelbetonpracetak">#REF!</definedName>
    <definedName name="____HAL5">#REF!</definedName>
    <definedName localSheetId="34" name="FORM7614c">#REF!</definedName>
    <definedName localSheetId="33" name="_____DIV2">#REF!</definedName>
    <definedName localSheetId="28" name="G">#REF!</definedName>
    <definedName localSheetId="44" name="pakuhalus">#REF!</definedName>
    <definedName localSheetId="44" name="lisplafond">#REF!</definedName>
    <definedName localSheetId="10" name="beton100kg">#REF!</definedName>
    <definedName localSheetId="25" name="pintusunscreenalluminium">#REF!</definedName>
    <definedName localSheetId="39" name="FORM633">#REF!</definedName>
    <definedName localSheetId="25" name="LAINLAIN">#REF!</definedName>
    <definedName localSheetId="17" name="KECAMATAN_KODEOHA">#REF!</definedName>
    <definedName localSheetId="4" name="____DIV2">#REF!</definedName>
    <definedName localSheetId="34" name="kuncilemari">#REF!</definedName>
    <definedName localSheetId="11" name="Lamp">#REF!</definedName>
    <definedName localSheetId="28" name="kayudamarlaut">#REF!</definedName>
    <definedName localSheetId="42" name="_______DIV4">#REF!</definedName>
    <definedName localSheetId="0" name="kaca.es">#REF!</definedName>
    <definedName localSheetId="31" name="s.warna">#REF!</definedName>
    <definedName localSheetId="27" name="he">#REF!</definedName>
    <definedName localSheetId="3" name="_MMM41">#REF!</definedName>
    <definedName localSheetId="21" name="_______LLL04">#REF!</definedName>
    <definedName localSheetId="23" name="_________HAL1">#REF!</definedName>
    <definedName localSheetId="20" name="tegelporselen">#REF!</definedName>
    <definedName localSheetId="39" name="kompresor">#REF!</definedName>
    <definedName localSheetId="10" name="R51..">#REF!</definedName>
    <definedName localSheetId="38" name="FORM731">#REF!</definedName>
    <definedName localSheetId="12" name="URAIAN771c">#REF!</definedName>
    <definedName localSheetId="17" name="_pvc2">#REF!</definedName>
    <definedName localSheetId="17" name="kusen">#REF!</definedName>
    <definedName localSheetId="24" name="batasuper">#REF!</definedName>
    <definedName localSheetId="30" name="Nok">#REF!</definedName>
    <definedName localSheetId="21" name="kaca8">#REF!</definedName>
    <definedName name="________HAL6">#REF!</definedName>
    <definedName localSheetId="5" name="__LLL01">#REF!</definedName>
    <definedName localSheetId="44" name="pintulipat">#REF!</definedName>
    <definedName localSheetId="39" name="kayukamper">#REF!</definedName>
    <definedName localSheetId="31" name="URAIAN22L">#REF!</definedName>
    <definedName localSheetId="18" name="ubingranito30">#REF!</definedName>
    <definedName localSheetId="12" name="menibesi">#REF!</definedName>
    <definedName localSheetId="41" name="Pjgsloof">#REF!</definedName>
    <definedName localSheetId="32" name="FORMLatasirKL">#REF!</definedName>
    <definedName localSheetId="38" name="gentengbeton">#REF!</definedName>
    <definedName localSheetId="44" name="kayumarsawa">#REF!</definedName>
    <definedName localSheetId="34" name="FORM7612b">#REF!</definedName>
    <definedName localSheetId="40" name="dua">#REF!</definedName>
    <definedName localSheetId="28" name="FORM66PERATA">#REF!</definedName>
    <definedName localSheetId="15" name="kolombetonpracetak">#REF!</definedName>
    <definedName localSheetId="27" name="kacapolos3mm">#REF!</definedName>
    <definedName localSheetId="44" name="______LLL03">#REF!</definedName>
    <definedName localSheetId="0" name="kayujati">#REF!</definedName>
    <definedName localSheetId="34" name="____DIV1">#REF!</definedName>
    <definedName localSheetId="3" name="_______MMM43">#REF!</definedName>
    <definedName localSheetId="15" name="catmeni">#REF!</definedName>
    <definedName localSheetId="41" name="kayuramin">#REF!</definedName>
    <definedName localSheetId="3" name="_MMM46">#REF!</definedName>
    <definedName localSheetId="28" name="FORM731">#REF!</definedName>
    <definedName localSheetId="8" name="psr.trs">#REF!</definedName>
    <definedName localSheetId="28" name="mlex.w">#REF!</definedName>
    <definedName localSheetId="21" name="pipabeton">#REF!</definedName>
    <definedName localSheetId="34" name="tanggal">#REF!</definedName>
    <definedName localSheetId="34" name="__HAL5">#REF!</definedName>
    <definedName localSheetId="30" name="__HAL3">#REF!</definedName>
    <definedName localSheetId="13" name="tm_2415921492">#REF!</definedName>
    <definedName localSheetId="0" name="lem">#REF!</definedName>
    <definedName localSheetId="28" name="____DIV4">#REF!</definedName>
    <definedName localSheetId="0" name="engsel4">#REF!</definedName>
    <definedName localSheetId="13" name="_____HAL3">#REF!</definedName>
    <definedName localSheetId="17" name="Analisa70702">#REF!</definedName>
    <definedName localSheetId="6" name="kuncilemari">#REF!</definedName>
    <definedName localSheetId="7" name="gentengpalentongbesar">#REF!</definedName>
    <definedName localSheetId="31" name="f">#REF!</definedName>
    <definedName localSheetId="34" name="pindahan">#REF!</definedName>
    <definedName localSheetId="36" name="reng">#REF!</definedName>
    <definedName localSheetId="18" name="plywood4">#REF!</definedName>
    <definedName localSheetId="23" name="FORM7613c">#REF!</definedName>
    <definedName localSheetId="21" name="______DIV6">#REF!</definedName>
    <definedName localSheetId="12" name="sirap">#REF!</definedName>
    <definedName name="____DIV6">#REF!</definedName>
    <definedName localSheetId="7" name="__MMM37">#REF!</definedName>
    <definedName localSheetId="3" name="FORM621">#REF!</definedName>
    <definedName localSheetId="38" name="tegelplinteraso10x30">#REF!</definedName>
    <definedName localSheetId="44" name="_______MMM32">#REF!</definedName>
    <definedName localSheetId="7" name="Analisa631">#REF!</definedName>
    <definedName localSheetId="24" name="R39..">#REF!</definedName>
    <definedName localSheetId="42" name="URAIAN22E">#REF!</definedName>
    <definedName localSheetId="39" name="tm_2415921492">#REF!</definedName>
    <definedName localSheetId="9" name="paving">#REF!</definedName>
    <definedName localSheetId="34" name="sengplatbjls24">#REF!</definedName>
    <definedName localSheetId="36" name="gypsum.prf">#REF!</definedName>
    <definedName localSheetId="44" name="papanjelutung">#REF!</definedName>
    <definedName localSheetId="27" name="batapelapisdinding">#REF!</definedName>
    <definedName localSheetId="34" name="AGREGAT">#REF!</definedName>
    <definedName localSheetId="40" name="kuncitanam">#REF!</definedName>
    <definedName localSheetId="27" name="plintubinwarna1040">#REF!</definedName>
    <definedName localSheetId="44" name="KunciWC">#REF!</definedName>
    <definedName localSheetId="31" name="sis">#REF!</definedName>
    <definedName localSheetId="17" name="sssssss">#REF!</definedName>
    <definedName localSheetId="17" name="_____MMM37">#REF!</definedName>
    <definedName localSheetId="39" name="R1..">#REF!</definedName>
    <definedName localSheetId="8" name="batapelapisklinker">#REF!</definedName>
    <definedName localSheetId="24" name="____MMM48">#REF!</definedName>
    <definedName localSheetId="3" name="platasbes5mm">#REF!</definedName>
    <definedName localSheetId="39" name="asbesgelombnang">#REF!</definedName>
    <definedName localSheetId="39" name="amplas">#REF!</definedName>
    <definedName localSheetId="23" name="pajak">#REF!</definedName>
    <definedName localSheetId="13" name="URAIAN7612a">#REF!</definedName>
    <definedName localSheetId="41" name="Minyak">#REF!</definedName>
    <definedName localSheetId="17" name="besi10.sii">#REF!</definedName>
    <definedName localSheetId="21" name="amobiotic">#REF!</definedName>
    <definedName localSheetId="13" name="FORM7613a">#REF!</definedName>
    <definedName name="___LLL11">#REF!</definedName>
    <definedName localSheetId="34" name="floorhardenermastercron">#REF!</definedName>
    <definedName localSheetId="44" name="______MMM09">#REF!</definedName>
    <definedName localSheetId="8" name="URAIAN612">#REF!</definedName>
    <definedName localSheetId="21" name="rapidrant">#REF!</definedName>
    <definedName localSheetId="5" name="Print_Area_MI">#REF!</definedName>
    <definedName localSheetId="8" name="______DIV3">#REF!</definedName>
    <definedName localSheetId="24" name="_________LLL04">#REF!</definedName>
    <definedName name="_________MMM39">#REF!</definedName>
    <definedName localSheetId="15" name="u.besi">#REF!</definedName>
    <definedName localSheetId="21" name="_MMM28">#REF!</definedName>
    <definedName localSheetId="32" name="sodaapi">#REF!</definedName>
    <definedName localSheetId="17" name="URAIAN7612a">#REF!</definedName>
    <definedName localSheetId="44" name="________LLL03">#REF!</definedName>
    <definedName localSheetId="42" name="_DIV10">#REF!</definedName>
    <definedName localSheetId="19" name="MINOR">#REF!</definedName>
    <definedName localSheetId="13" name="plintubinteraluxmarmer1040">#REF!</definedName>
    <definedName localSheetId="3" name="_______MMM49">#REF!</definedName>
    <definedName localSheetId="31" name="_kop5">#REF!</definedName>
    <definedName localSheetId="9" name="FORM744">#REF!</definedName>
    <definedName localSheetId="17" name="Tbs">#REF!</definedName>
    <definedName localSheetId="31" name="kaca3">#REF!</definedName>
    <definedName localSheetId="44" name="c.vinilex.dlm">#REF!</definedName>
    <definedName name="______MMM10">#REF!</definedName>
    <definedName name="_HAL8">#REF!</definedName>
    <definedName localSheetId="11" name="sengbjls25">#REF!</definedName>
    <definedName localSheetId="44" name="_MMM14">#REF!</definedName>
    <definedName localSheetId="13" name="kran.bbk">#REF!</definedName>
    <definedName localSheetId="20" name="kayutembesu">#REF!</definedName>
    <definedName localSheetId="17" name="_LLL07">#REF!</definedName>
    <definedName localSheetId="11" name="tm_2415921492">#REF!</definedName>
    <definedName name="Grendel">#REF!</definedName>
    <definedName localSheetId="30" name="pakubiasa">#REF!</definedName>
    <definedName localSheetId="38" name="aa">#REF!</definedName>
    <definedName localSheetId="44" name="mlex.w">#REF!</definedName>
    <definedName localSheetId="7" name="__HAL4">#REF!</definedName>
    <definedName localSheetId="24" name="_______MMM29">#REF!</definedName>
    <definedName name="___LLL04">#REF!</definedName>
    <definedName localSheetId="3" name="pvc.0.7.5.Mas.d">#REF!</definedName>
    <definedName localSheetId="30" name="BM">#REF!</definedName>
    <definedName localSheetId="17" name="______MMM08">#REF!</definedName>
    <definedName localSheetId="3" name="R96..">#REF!</definedName>
    <definedName localSheetId="17" name="___DIV8">#REF!</definedName>
    <definedName localSheetId="24" name="pakusirap">#REF!</definedName>
    <definedName localSheetId="32" name="G">#REF!</definedName>
    <definedName localSheetId="8" name="R60..">#REF!</definedName>
    <definedName localSheetId="0" name="tlistrik">#REF!</definedName>
    <definedName localSheetId="28" name="__DIV3">#REF!</definedName>
    <definedName localSheetId="3" name="R17..">#REF!</definedName>
    <definedName localSheetId="18" name="nmdaerah">#REF!</definedName>
    <definedName localSheetId="8" name="FORM7612b">#REF!</definedName>
    <definedName localSheetId="17" name="roster">#REF!</definedName>
    <definedName localSheetId="9" name="kayujati">#REF!</definedName>
    <definedName localSheetId="28" name="keramik20">#REF!</definedName>
    <definedName localSheetId="21" name="________DIV2">#REF!</definedName>
    <definedName localSheetId="13" name="kolombetonpracetak">#REF!</definedName>
    <definedName localSheetId="9" name="______HAL2">#REF!</definedName>
    <definedName localSheetId="40" name="data2">#REF!</definedName>
    <definedName localSheetId="17" name="semen50">#REF!</definedName>
    <definedName localSheetId="28" name="kacacermin6">#REF!</definedName>
    <definedName localSheetId="23" name="AGREGAT">#REF!</definedName>
    <definedName localSheetId="31" name="_____DIV10">#REF!</definedName>
    <definedName localSheetId="21" name="_______MMM12">#REF!</definedName>
    <definedName localSheetId="6" name="kaca8">#REF!</definedName>
    <definedName localSheetId="25" name="ls">#REF!</definedName>
    <definedName localSheetId="7" name="___MMM48">#REF!</definedName>
    <definedName localSheetId="33" name="tm_2415921492">#REF!</definedName>
    <definedName localSheetId="10" name="jki">#REF!</definedName>
    <definedName localSheetId="17" name="DAYWORKS">#REF!</definedName>
    <definedName localSheetId="28" name="R2..">#REF!</definedName>
    <definedName localSheetId="36" name="pipagalvanis">#REF!</definedName>
    <definedName localSheetId="7" name="____MMM31">#REF!</definedName>
    <definedName localSheetId="27" name="FORM771c">#REF!</definedName>
    <definedName localSheetId="3" name="R88..">#REF!</definedName>
    <definedName localSheetId="6" name="FORM611">#REF!</definedName>
    <definedName localSheetId="36" name="______HAL3">#REF!</definedName>
    <definedName name="__MMM01">#REF!</definedName>
    <definedName localSheetId="31" name="cv">#REF!</definedName>
    <definedName name="_____MMM52">#REF!</definedName>
    <definedName localSheetId="20" name="besi10.sii">#REF!</definedName>
    <definedName localSheetId="4" name="ubinkeramik1020">#REF!</definedName>
    <definedName localSheetId="17" name="borneo5.10">#REF!</definedName>
    <definedName localSheetId="42" name="asbesgelombang">#REF!</definedName>
    <definedName localSheetId="23" name="__pvc3">#REF!</definedName>
    <definedName localSheetId="7" name="_______LLL09">#REF!</definedName>
    <definedName localSheetId="30" name="data2">#REF!</definedName>
    <definedName localSheetId="28" name="URAIAN7614a">#REF!</definedName>
    <definedName localSheetId="17" name="FORM612">#REF!</definedName>
    <definedName localSheetId="12" name="rooflightfiibreglass">#REF!</definedName>
    <definedName localSheetId="39" name="k.40.40.roman.crk">#REF!</definedName>
    <definedName localSheetId="30" name="plywood4mm">#REF!</definedName>
    <definedName localSheetId="7" name="_______MMM51">#REF!</definedName>
    <definedName localSheetId="15" name="_DIV2">#REF!</definedName>
    <definedName name="lb">#REF!</definedName>
    <definedName localSheetId="4" name="Minyak">#REF!</definedName>
    <definedName localSheetId="24" name="terntang">#REF!</definedName>
    <definedName localSheetId="36" name="ls">#REF!</definedName>
    <definedName localSheetId="5" name="karpetwooldannilon">#REF!</definedName>
    <definedName localSheetId="23" name="Nokmetal3mm">#REF!</definedName>
    <definedName localSheetId="34" name="split2.3">#REF!</definedName>
    <definedName localSheetId="17" name="___MMM01">#REF!</definedName>
    <definedName localSheetId="31" name="drainase">#REF!</definedName>
    <definedName localSheetId="33" name="sodaapi">#REF!</definedName>
    <definedName localSheetId="23" name="__HAL5">#REF!</definedName>
    <definedName localSheetId="17" name="__PC50">#REF!</definedName>
    <definedName localSheetId="28" name="multi.18">#REF!</definedName>
    <definedName localSheetId="12" name="atapaluminiumgelombang055">#REF!</definedName>
    <definedName localSheetId="11" name="_______MMM01">#REF!</definedName>
    <definedName localSheetId="15" name="ubingranito30">#REF!</definedName>
    <definedName localSheetId="19" name="grendel3">#REF!</definedName>
    <definedName localSheetId="36" name="HP">#REF!</definedName>
    <definedName localSheetId="3" name="____MMM14">#REF!</definedName>
    <definedName localSheetId="44" name="_LLL08">#REF!</definedName>
    <definedName localSheetId="21" name="R34..">#REF!</definedName>
    <definedName localSheetId="10" name="alba2.20">#REF!</definedName>
    <definedName localSheetId="9" name="kayutembesu">#REF!</definedName>
    <definedName localSheetId="12" name="beton.225m">#REF!</definedName>
    <definedName localSheetId="24" name="kayualbasiah">#REF!</definedName>
    <definedName localSheetId="7" name="kawatburung">#REF!</definedName>
    <definedName localSheetId="20" name="______MMM01">#REF!</definedName>
    <definedName name="engsel3">#REF!</definedName>
    <definedName localSheetId="38" name="_____DIV1">#REF!</definedName>
    <definedName localSheetId="25" name="mowi.w.shield">#REF!</definedName>
    <definedName localSheetId="27" name="s.warna">#REF!</definedName>
    <definedName localSheetId="18" name="KERAMIK30">#REF!</definedName>
    <definedName localSheetId="17" name="ubinwarna40">#REF!</definedName>
    <definedName localSheetId="42" name="perancahkayu">#REF!</definedName>
    <definedName localSheetId="30" name="besiprofilWF">#REF!</definedName>
    <definedName localSheetId="21" name="marmer">#REF!</definedName>
    <definedName localSheetId="9" name="klosetjongkok">#REF!</definedName>
    <definedName localSheetId="33" name="plastik">#REF!</definedName>
    <definedName localSheetId="12" name="FORMLatasirK">#REF!</definedName>
    <definedName localSheetId="21" name="R102..">#REF!</definedName>
    <definedName localSheetId="11" name="grendel4">#REF!</definedName>
    <definedName localSheetId="20" name="__DIV2">#REF!</definedName>
    <definedName localSheetId="33" name="R3..">#REF!</definedName>
    <definedName localSheetId="41" name="URAIAN79mekanis">#REF!</definedName>
    <definedName localSheetId="12" name="FORM721">#REF!</definedName>
    <definedName localSheetId="17" name="DPRD_KOLAKA_UTARA">#REF!</definedName>
    <definedName localSheetId="20" name="ls">#REF!</definedName>
    <definedName localSheetId="9" name="R61..">#REF!</definedName>
    <definedName localSheetId="11" name="_PC50">#REF!</definedName>
    <definedName localSheetId="3" name="____LLL07">#REF!</definedName>
    <definedName localSheetId="19" name="kayuramin">#REF!</definedName>
    <definedName localSheetId="5" name="FORM611">#REF!</definedName>
    <definedName localSheetId="11" name="MINOR">#REF!</definedName>
    <definedName localSheetId="33" name="_818PK">#REF!</definedName>
    <definedName localSheetId="12" name="Closet.ddk">#REF!</definedName>
    <definedName name="teakwood4mm">#REF!</definedName>
    <definedName localSheetId="33" name="_HAL1">#REF!</definedName>
    <definedName localSheetId="6" name="batapelapisdinding">#REF!</definedName>
    <definedName localSheetId="17" name="plamour">#REF!</definedName>
    <definedName localSheetId="8" name="R6..">#REF!</definedName>
    <definedName localSheetId="3" name="medan6.12">#REF!</definedName>
    <definedName localSheetId="6" name="engselangin">#REF!</definedName>
    <definedName localSheetId="25" name="amplas">#REF!</definedName>
    <definedName localSheetId="44" name="______MMM30">#REF!</definedName>
    <definedName localSheetId="17" name="_____DIV7">#REF!</definedName>
    <definedName localSheetId="39" name="_________DIV1">#REF!</definedName>
    <definedName localSheetId="18" name="minyaksolar">#REF!</definedName>
    <definedName localSheetId="25" name="Lamp">#REF!</definedName>
    <definedName localSheetId="7" name="kuncitanamantik">#REF!</definedName>
    <definedName localSheetId="41" name="u">#REF!</definedName>
    <definedName localSheetId="10" name="L">#REF!</definedName>
    <definedName localSheetId="21" name="R79..">#REF!</definedName>
    <definedName localSheetId="25" name="Kunci1">#REF!</definedName>
    <definedName localSheetId="5" name="_DIV3">#REF!</definedName>
    <definedName localSheetId="18" name="plintkeramikartistik520">#REF!</definedName>
    <definedName localSheetId="41" name="UTAIAN7614c">#REF!</definedName>
    <definedName localSheetId="21" name="kuncitanamantik">#REF!</definedName>
    <definedName localSheetId="19" name="floorhardenermastercron">#REF!</definedName>
    <definedName localSheetId="15" name="_LLL03">#REF!</definedName>
    <definedName localSheetId="40" name="t.sabun">#REF!</definedName>
    <definedName localSheetId="41" name="btn">#REF!</definedName>
    <definedName localSheetId="7" name="________MMM28">#REF!</definedName>
    <definedName localSheetId="17" name="beton.225m">#REF!</definedName>
    <definedName localSheetId="19" name="vinylasbes">#REF!</definedName>
    <definedName localSheetId="23" name="FORM611">#REF!</definedName>
    <definedName localSheetId="42" name="plintubinteraso1030">#REF!</definedName>
    <definedName localSheetId="40" name="_pvc105">#REF!</definedName>
    <definedName localSheetId="19" name="badkip">#REF!</definedName>
    <definedName localSheetId="34" name="SPJ">#REF!</definedName>
    <definedName localSheetId="24" name="p.kmp.smrd.3.20">#REF!</definedName>
    <definedName localSheetId="39" name="FORM731">#REF!</definedName>
    <definedName localSheetId="17" name="URAIAN7613c">#REF!</definedName>
    <definedName localSheetId="24" name="data2">#REF!</definedName>
    <definedName localSheetId="44" name="_________MMM23">#REF!</definedName>
    <definedName localSheetId="24" name="perancahkayu">#REF!</definedName>
    <definedName localSheetId="13" name="_____HAL1">#REF!</definedName>
    <definedName name="R75..">#REF!</definedName>
    <definedName localSheetId="17" name="mm">#REF!</definedName>
    <definedName localSheetId="7" name="ubinteraluxkerang40">#REF!</definedName>
    <definedName localSheetId="41" name="R6..">#REF!</definedName>
    <definedName name="______LLL05">#REF!</definedName>
    <definedName localSheetId="24" name="_kop5">#REF!</definedName>
    <definedName localSheetId="17" name="Skrup">#REF!</definedName>
    <definedName name="pvc.2.mas.d">#REF!</definedName>
    <definedName localSheetId="24" name="Analisa55">#REF!</definedName>
    <definedName localSheetId="6" name="JL_NAS">#REF!</definedName>
    <definedName localSheetId="41" name="parquetjati">#REF!</definedName>
    <definedName localSheetId="7" name="Analisa70105">#REF!</definedName>
    <definedName localSheetId="18" name="kiki">#REF!</definedName>
    <definedName localSheetId="6" name="FORM842">#REF!</definedName>
    <definedName localSheetId="38" name="GUIIII">#REF!</definedName>
    <definedName localSheetId="11" name="nnnnn">#REF!</definedName>
    <definedName localSheetId="7" name="batasuper">#REF!</definedName>
    <definedName localSheetId="38" name="Per">#REF!</definedName>
    <definedName localSheetId="20" name="tanggal">#REF!</definedName>
    <definedName localSheetId="13" name="__HAL3">#REF!</definedName>
    <definedName localSheetId="19" name="pipabeton">#REF!</definedName>
    <definedName localSheetId="3" name="_____MMM25">#REF!</definedName>
    <definedName localSheetId="17" name="_____DIV2">#REF!</definedName>
    <definedName localSheetId="24" name="R5..">#REF!</definedName>
    <definedName localSheetId="18" name="namaabsen">#REF!</definedName>
    <definedName localSheetId="23" name="total">#REF!</definedName>
    <definedName localSheetId="34" name="MINOR">#REF!</definedName>
    <definedName localSheetId="33" name="P">#REF!</definedName>
    <definedName localSheetId="13" name="oke">#REF!</definedName>
    <definedName localSheetId="24" name="R21..">#REF!</definedName>
    <definedName localSheetId="13" name="catmeni">#REF!</definedName>
    <definedName localSheetId="20" name="springknip">#REF!</definedName>
    <definedName localSheetId="23" name="asbesgelombnang">#REF!</definedName>
    <definedName localSheetId="23" name="plintkeramikartistik520">#REF!</definedName>
    <definedName localSheetId="44" name="_____MMM51">#REF!</definedName>
    <definedName name="tky">#REF!</definedName>
    <definedName localSheetId="44" name="ubingranito30">#REF!</definedName>
    <definedName localSheetId="32" name="_______DIV3">#REF!</definedName>
    <definedName localSheetId="24" name="_____MMM09">#REF!</definedName>
    <definedName localSheetId="31" name="ngsel4">#REF!</definedName>
    <definedName localSheetId="23" name="JUDUL1">#REF!</definedName>
    <definedName localSheetId="41" name="engsel3">#REF!</definedName>
    <definedName localSheetId="8" name="akustikarmstrong">#REF!</definedName>
    <definedName localSheetId="10" name="grendel4">#REF!</definedName>
    <definedName localSheetId="17" name="sabun">#REF!</definedName>
    <definedName name="R101..">#REF!</definedName>
    <definedName localSheetId="5" name="waterdrainaksesoris">#REF!</definedName>
    <definedName localSheetId="34" name="u.bekisting">#REF!</definedName>
    <definedName localSheetId="20" name="sunloid">#REF!</definedName>
    <definedName localSheetId="20" name="_pvc2">#REF!</definedName>
    <definedName localSheetId="11" name="tempatcucipiring">#REF!</definedName>
    <definedName localSheetId="13" name="sofboard">#REF!</definedName>
    <definedName localSheetId="21" name="________MMM20">#REF!</definedName>
    <definedName localSheetId="30" name="R6..">#REF!</definedName>
    <definedName localSheetId="42" name="__pvc105">#REF!</definedName>
    <definedName localSheetId="36" name="pintualuminium">#REF!</definedName>
    <definedName name="xxxxx">#REF!</definedName>
    <definedName localSheetId="44" name="kayubulian">#REF!</definedName>
    <definedName localSheetId="21" name="_________DIV9">#REF!</definedName>
    <definedName localSheetId="38" name="kolombetonpracetak">#REF!</definedName>
    <definedName localSheetId="31" name="data2">#REF!</definedName>
    <definedName localSheetId="25" name="___pvc105">#REF!</definedName>
    <definedName localSheetId="44" name="medan6.12">#REF!</definedName>
    <definedName localSheetId="11" name="kuncilemari">#REF!</definedName>
    <definedName localSheetId="15" name="mowi.w.shield">#REF!</definedName>
    <definedName localSheetId="38" name="vernis">#REF!</definedName>
    <definedName localSheetId="5" name="ubingranito40">#REF!</definedName>
    <definedName localSheetId="3" name="RINCIANSEWA2">#REF!</definedName>
    <definedName localSheetId="41" name="tegelporselen">#REF!</definedName>
    <definedName localSheetId="38" name="______DIV10">#REF!</definedName>
    <definedName localSheetId="3" name="lis">#REF!</definedName>
    <definedName localSheetId="13" name="R5..">#REF!</definedName>
    <definedName localSheetId="5" name="bubunganasbesnok">#REF!</definedName>
    <definedName localSheetId="27" name="____DIV2">#REF!</definedName>
    <definedName localSheetId="42" name="roster">#REF!</definedName>
    <definedName localSheetId="21" name="Catbesi">#REF!</definedName>
    <definedName localSheetId="5" name="kapursirih">#REF!</definedName>
    <definedName name="____MMM38">#REF!</definedName>
    <definedName localSheetId="32" name="Excel_BuiltIn_Print_Area_1">#REF!</definedName>
    <definedName localSheetId="9" name="URAIAN">#REF!</definedName>
    <definedName localSheetId="6" name="P">#REF!</definedName>
    <definedName localSheetId="38" name="doorholder">#REF!</definedName>
    <definedName localSheetId="23" name="tegelplinpc10x20">#REF!</definedName>
    <definedName localSheetId="17" name="______MMM24">#REF!</definedName>
    <definedName localSheetId="40" name="namaabsen">#REF!</definedName>
    <definedName localSheetId="3" name="_____MMM39">#REF!</definedName>
    <definedName localSheetId="24" name="_________LLL11">#REF!</definedName>
    <definedName name="_________MMM24">#REF!</definedName>
    <definedName localSheetId="19" name="R3..">#REF!</definedName>
    <definedName localSheetId="44" name="___MMM46">#REF!</definedName>
    <definedName localSheetId="20" name="FORM7613b">#REF!</definedName>
    <definedName localSheetId="17" name="_MMM05">#REF!</definedName>
    <definedName localSheetId="6" name="________DIV10">#REF!</definedName>
    <definedName localSheetId="5" name="lb">#REF!</definedName>
    <definedName localSheetId="17" name="gmp">#REF!</definedName>
    <definedName localSheetId="34" name="pasirsilika">#REF!</definedName>
    <definedName localSheetId="7" name="tegelpc20x20">#REF!</definedName>
    <definedName localSheetId="7" name="____HAL5">#REF!</definedName>
    <definedName localSheetId="24" name="URAIAN732">#REF!</definedName>
    <definedName localSheetId="18" name="drainase">#REF!</definedName>
    <definedName localSheetId="27" name="panelbetonpracetak">#REF!</definedName>
    <definedName name="URAIAN771b">#REF!</definedName>
    <definedName localSheetId="18" name="tanggal">#REF!</definedName>
    <definedName localSheetId="8" name="_____DIV4">#REF!</definedName>
    <definedName localSheetId="24" name="R94..">#REF!</definedName>
    <definedName localSheetId="44" name="pakuskrup">#REF!</definedName>
    <definedName localSheetId="7" name="R66..">#REF!</definedName>
    <definedName localSheetId="38" name="batu.jogja">#REF!</definedName>
    <definedName localSheetId="33" name="medan5.10">#REF!</definedName>
    <definedName localSheetId="44" name="R96..">#REF!</definedName>
    <definedName localSheetId="3" name="f.drain">#REF!</definedName>
    <definedName localSheetId="3" name="_____MMM53">#REF!</definedName>
    <definedName localSheetId="15" name="drkeet">#REF!</definedName>
    <definedName localSheetId="0" name="MINOR">#REF!</definedName>
    <definedName localSheetId="41" name="wallpaper">#REF!</definedName>
    <definedName localSheetId="24" name="__MMM45">#REF!</definedName>
    <definedName localSheetId="10" name="waterdrainaksesoris">#REF!</definedName>
    <definedName localSheetId="7" name="bubunganstelgelombang092">#REF!</definedName>
    <definedName name="R76..">#REF!</definedName>
    <definedName localSheetId="21" name="_MMM18">#REF!</definedName>
    <definedName localSheetId="44" name="puzzdilth">#REF!</definedName>
    <definedName localSheetId="25" name="batacote">#REF!</definedName>
    <definedName name="ubinteraluxmarmer30">#REF!</definedName>
    <definedName localSheetId="36" name="URAIANLatasirKL">#REF!</definedName>
    <definedName localSheetId="19" name="e">#REF!</definedName>
    <definedName localSheetId="28" name="waterstop150">#REF!</definedName>
    <definedName localSheetId="7" name="engsel4">#REF!</definedName>
    <definedName localSheetId="24" name="_________MMM30">#REF!</definedName>
    <definedName name="______LLL03">#REF!</definedName>
    <definedName name="_MMM33">#REF!</definedName>
    <definedName localSheetId="23" name="bjls25">#REF!</definedName>
    <definedName localSheetId="32" name="sengplatbjls25">#REF!</definedName>
    <definedName localSheetId="28" name="ASISTEN_BIDANG_PEMERINTAHAN">#REF!</definedName>
    <definedName localSheetId="38" name="plywood4mm">#REF!</definedName>
    <definedName localSheetId="19" name="tegelplin20x20">#REF!</definedName>
    <definedName localSheetId="11" name="cghj">#REF!</definedName>
    <definedName localSheetId="3" name="R84..">#REF!</definedName>
    <definedName localSheetId="11" name="plywood4mm">#REF!</definedName>
    <definedName localSheetId="30" name="spirtus">#REF!</definedName>
    <definedName localSheetId="36" name="venetionblinds">#REF!</definedName>
    <definedName localSheetId="21" name="w.stain">#REF!</definedName>
    <definedName localSheetId="38" name="plintkeramikartistik1010">#REF!</definedName>
    <definedName localSheetId="24" name="Batupuru">#REF!</definedName>
    <definedName localSheetId="41" name="teakwood4mm">#REF!</definedName>
    <definedName localSheetId="17" name="_____DIV3">#REF!</definedName>
    <definedName localSheetId="39" name="______DIV3">#REF!</definedName>
    <definedName localSheetId="32" name="Uraian841">#REF!</definedName>
    <definedName localSheetId="3" name="HP">#REF!</definedName>
    <definedName localSheetId="6" name="URAIAN22L">#REF!</definedName>
    <definedName localSheetId="3" name="_________MMM14">#REF!</definedName>
    <definedName localSheetId="39" name="aaaa">#REF!</definedName>
    <definedName localSheetId="36" name="________MMM03">#REF!</definedName>
    <definedName localSheetId="19" name="gggg">#REF!</definedName>
    <definedName localSheetId="13" name="pengencer">#REF!</definedName>
    <definedName localSheetId="42" name="ubingranito40">#REF!</definedName>
    <definedName localSheetId="9" name="sirap">#REF!</definedName>
    <definedName localSheetId="3" name="kacapolos3mm">#REF!</definedName>
    <definedName localSheetId="38" name="he">#REF!</definedName>
    <definedName localSheetId="12" name="kayukulim">#REF!</definedName>
    <definedName localSheetId="33" name="keramik30x30">#REF!</definedName>
    <definedName localSheetId="31" name="kayumarsawa">#REF!</definedName>
    <definedName localSheetId="20" name="Galam">#REF!</definedName>
    <definedName localSheetId="19" name="k.ddg.20.25.rmn.crk">#REF!</definedName>
    <definedName localSheetId="28" name="kayumarsawa">#REF!</definedName>
    <definedName localSheetId="32" name="kunci2slag">#REF!</definedName>
    <definedName localSheetId="18" name="he">#REF!</definedName>
    <definedName localSheetId="34" name="lis">#REF!</definedName>
    <definedName localSheetId="21" name="tegelporselen11x11warna">#REF!</definedName>
    <definedName localSheetId="21" name="____MMM16">#REF!</definedName>
    <definedName name="__MMM42">#REF!</definedName>
    <definedName localSheetId="5" name="kunci2slag">#REF!</definedName>
    <definedName localSheetId="20" name="JUDUL1">#REF!</definedName>
    <definedName localSheetId="19" name="bjls30">#REF!</definedName>
    <definedName localSheetId="24" name="formica">#REF!</definedName>
    <definedName localSheetId="27" name="keramik20">#REF!</definedName>
    <definedName localSheetId="17" name="vinylasbes">#REF!</definedName>
    <definedName localSheetId="17" name="___MMM49">#REF!</definedName>
    <definedName name="kayudamarlaut">#REF!</definedName>
    <definedName localSheetId="21" name="__MMM10">#REF!</definedName>
    <definedName localSheetId="18" name="URAIAN7613c">#REF!</definedName>
    <definedName localSheetId="0" name="URAIAN22L">#REF!</definedName>
    <definedName localSheetId="39" name="URAIAN66PERATA">#REF!</definedName>
    <definedName localSheetId="34" name="cendana">#REF!</definedName>
    <definedName localSheetId="17" name="pintulipat">#REF!</definedName>
    <definedName localSheetId="32" name="relpintudorong">#REF!</definedName>
    <definedName localSheetId="39" name="plintubinteraluxmarmer1040">#REF!</definedName>
    <definedName localSheetId="13" name="batukali14">#REF!</definedName>
    <definedName localSheetId="39" name="urugankembali">#REF!</definedName>
    <definedName localSheetId="13" name="__DIV10">#REF!</definedName>
    <definedName localSheetId="9" name="UP">#REF!</definedName>
    <definedName localSheetId="31" name="FORM7612a">#REF!</definedName>
    <definedName localSheetId="25" name="_______HAL2">#REF!</definedName>
    <definedName localSheetId="21" name="doorholder">#REF!</definedName>
    <definedName localSheetId="4" name="floorhardenermastercron">#REF!</definedName>
    <definedName localSheetId="12" name="u.besi">#REF!</definedName>
    <definedName localSheetId="24" name="eeeeee">#REF!</definedName>
    <definedName localSheetId="20" name="kawatharmonika">#REF!</definedName>
    <definedName localSheetId="18" name="Closet.ddk">#REF!</definedName>
    <definedName localSheetId="3" name="ktky">#REF!</definedName>
    <definedName localSheetId="32" name="pintualuminium">#REF!</definedName>
    <definedName localSheetId="24" name="u.besi">#REF!</definedName>
    <definedName localSheetId="6" name="URAIAN7612b">#REF!</definedName>
    <definedName localSheetId="6" name="koralbeton">#REF!</definedName>
    <definedName localSheetId="17" name="pakusirap">#REF!</definedName>
    <definedName localSheetId="23" name="LAINLAIN">#REF!</definedName>
    <definedName localSheetId="39" name="closedjongkok">#REF!</definedName>
    <definedName name="FORM623">#REF!</definedName>
    <definedName localSheetId="31" name="urugan">#REF!</definedName>
    <definedName localSheetId="23" name="_PC50">#REF!</definedName>
    <definedName localSheetId="32" name="KTM">#REF!</definedName>
    <definedName localSheetId="6" name="tukng">#REF!</definedName>
    <definedName localSheetId="30" name="R50..">#REF!</definedName>
    <definedName localSheetId="40" name="FORM731">#REF!</definedName>
    <definedName localSheetId="44" name="____DIV7">#REF!</definedName>
    <definedName localSheetId="23" name="kaca3">#REF!</definedName>
    <definedName localSheetId="39" name="URAIAN7614d">#REF!</definedName>
    <definedName localSheetId="34" name="kalkarium">#REF!</definedName>
    <definedName localSheetId="6" name="_kop6">#REF!</definedName>
    <definedName localSheetId="23" name="Closet.c420">#REF!</definedName>
    <definedName localSheetId="15" name="_kop6">#REF!</definedName>
    <definedName localSheetId="3" name="atapaluminiumgelombang055">#REF!</definedName>
    <definedName localSheetId="17" name="___MMM54">#REF!</definedName>
    <definedName localSheetId="31" name="STRUKTUR">#REF!</definedName>
    <definedName localSheetId="0" name="k.ddg.20.25.rmn.crk">#REF!</definedName>
    <definedName name="_________MMM48">#REF!</definedName>
    <definedName localSheetId="24" name="gentengdecrabond">#REF!</definedName>
    <definedName localSheetId="17" name="ts">#REF!</definedName>
    <definedName localSheetId="6" name="sodaapi">#REF!</definedName>
    <definedName name="URAIAN79mekanis">#REF!</definedName>
    <definedName localSheetId="6" name="URAIAN744">#REF!</definedName>
    <definedName localSheetId="41" name="menibesi">#REF!</definedName>
    <definedName localSheetId="15" name="plintubinkeramikartistik1020">#REF!</definedName>
    <definedName localSheetId="31" name="residu">#REF!</definedName>
    <definedName localSheetId="0" name="sengbjls25">#REF!</definedName>
    <definedName localSheetId="23" name="kaca5">#REF!</definedName>
    <definedName localSheetId="7" name="________MMM22">#REF!</definedName>
    <definedName localSheetId="7" name="_____MMM15">#REF!</definedName>
    <definedName localSheetId="38" name="tanggal">#REF!</definedName>
    <definedName localSheetId="18" name="batukali14">#REF!</definedName>
    <definedName localSheetId="3" name="kiki">#REF!</definedName>
    <definedName name="____LLL10">#REF!</definedName>
    <definedName localSheetId="25" name="plintubingranito1030">#REF!</definedName>
    <definedName localSheetId="25" name="Closet.c420">#REF!</definedName>
    <definedName localSheetId="38" name="Nok">#REF!</definedName>
    <definedName localSheetId="25" name="Excel_BuiltIn_Print_Titles_1">#REF!</definedName>
    <definedName localSheetId="20" name="bondbeam">#REF!</definedName>
    <definedName localSheetId="20" name="NAMA2">#REF!</definedName>
    <definedName localSheetId="12" name="paku5.7.10">#REF!</definedName>
    <definedName localSheetId="6" name="_______MMM01">#REF!</definedName>
    <definedName localSheetId="4" name="sssssss">#REF!</definedName>
    <definedName localSheetId="7" name="_________HAL7">#REF!</definedName>
    <definedName localSheetId="20" name="Closet.ddk">#REF!</definedName>
    <definedName localSheetId="41" name="floorhardenermastercron">#REF!</definedName>
    <definedName localSheetId="4" name="tbkr">#REF!</definedName>
    <definedName localSheetId="7" name="__HAL1">#REF!</definedName>
    <definedName localSheetId="13" name="____DIV4">#REF!</definedName>
    <definedName localSheetId="10" name="grassblok">#REF!</definedName>
    <definedName localSheetId="25" name="batu.jogja">#REF!</definedName>
    <definedName localSheetId="24" name="________MMM04">#REF!</definedName>
    <definedName localSheetId="24" name="________MMM51">#REF!</definedName>
    <definedName localSheetId="5" name="air">#REF!</definedName>
    <definedName localSheetId="7" name="platasbes5mm">#REF!</definedName>
    <definedName localSheetId="40" name="NAMA2">#REF!</definedName>
    <definedName localSheetId="32" name="__HAL4">#REF!</definedName>
    <definedName localSheetId="24" name="_LLL11">#REF!</definedName>
    <definedName localSheetId="33" name="_DIV2">#REF!</definedName>
    <definedName localSheetId="18" name="FORM631">#REF!</definedName>
    <definedName localSheetId="30" name="FORM66PERATA">#REF!</definedName>
    <definedName localSheetId="5" name="GRC">#REF!</definedName>
    <definedName localSheetId="24" name="__DIV7">#REF!</definedName>
    <definedName localSheetId="27" name="doorcloser">#REF!</definedName>
    <definedName localSheetId="8" name="borneo5.7">#REF!</definedName>
    <definedName localSheetId="30" name="kayukulim">#REF!</definedName>
    <definedName localSheetId="24" name="FORM7614b">#REF!</definedName>
    <definedName localSheetId="17" name="__MMM47">#REF!</definedName>
    <definedName localSheetId="0" name="_pc40">#REF!</definedName>
    <definedName localSheetId="17" name="Analisa55">#REF!</definedName>
    <definedName localSheetId="3" name="_______MMM18">#REF!</definedName>
    <definedName localSheetId="41" name="u.bekisting">#REF!</definedName>
    <definedName localSheetId="41" name="tanahliat">#REF!</definedName>
    <definedName localSheetId="36" name="ubinwarna40">#REF!</definedName>
    <definedName localSheetId="40" name="tegelplinpc10x20">#REF!</definedName>
    <definedName localSheetId="3" name="tegelporselen11x11">#REF!</definedName>
    <definedName localSheetId="10" name="dasar">#REF!</definedName>
    <definedName localSheetId="41" name="besiprofilWF">#REF!</definedName>
    <definedName localSheetId="20" name="pakubiasa">#REF!</definedName>
    <definedName localSheetId="3" name="beton.tumbuk">#REF!</definedName>
    <definedName localSheetId="17" name="FORM7612c">#REF!</definedName>
    <definedName localSheetId="41" name="namaabsen">#REF!</definedName>
    <definedName localSheetId="21" name="___MMM29">#REF!</definedName>
    <definedName localSheetId="7" name="_____MMM19">#REF!</definedName>
    <definedName localSheetId="13" name="________MMM03">#REF!</definedName>
    <definedName localSheetId="24" name="multi.9">#REF!</definedName>
    <definedName localSheetId="42" name="pipabeton">#REF!</definedName>
    <definedName localSheetId="10" name="kunci2slag">#REF!</definedName>
    <definedName localSheetId="9" name="NAMA2">#REF!</definedName>
    <definedName localSheetId="41" name="lem">#REF!</definedName>
    <definedName localSheetId="12" name="batutempelhitam">#REF!</definedName>
    <definedName localSheetId="33" name="URAIAN323L">#REF!</definedName>
    <definedName name="_______LLL11">#REF!</definedName>
    <definedName localSheetId="3" name="R7..">#REF!</definedName>
    <definedName localSheetId="18" name="sssssss">#REF!</definedName>
    <definedName localSheetId="28" name="sealer">#REF!</definedName>
    <definedName localSheetId="21" name="_kop5">#REF!</definedName>
    <definedName localSheetId="40" name="FORM7613b">#REF!</definedName>
    <definedName localSheetId="21" name="_MMM47">#REF!</definedName>
    <definedName name="plintubinwarna1020">#REF!</definedName>
    <definedName localSheetId="34" name="pengencer">#REF!</definedName>
    <definedName localSheetId="3" name="Analisa70105">#REF!</definedName>
    <definedName localSheetId="19" name="penduduk">#REF!</definedName>
    <definedName localSheetId="42" name="kacapolos3mm">#REF!</definedName>
    <definedName localSheetId="3" name="R55..">#REF!</definedName>
    <definedName localSheetId="20" name="mowi.ws">#REF!</definedName>
    <definedName localSheetId="42" name="FORM79manual">#REF!</definedName>
    <definedName name="multi.4">#REF!</definedName>
    <definedName name="washtafel">#REF!</definedName>
    <definedName localSheetId="44" name="kolombetonpracetak">#REF!</definedName>
    <definedName localSheetId="18" name="plastik">#REF!</definedName>
    <definedName localSheetId="31" name="KTM">#REF!</definedName>
    <definedName localSheetId="5" name="catmeni">#REF!</definedName>
    <definedName localSheetId="17" name="URAIAN66">#REF!</definedName>
    <definedName localSheetId="7" name="FRRDS">#REF!</definedName>
    <definedName localSheetId="10" name="______HAL3">#REF!</definedName>
    <definedName localSheetId="44" name="_____LLL06">#REF!</definedName>
    <definedName localSheetId="13" name="pagarseng2m">#REF!</definedName>
    <definedName localSheetId="25" name="R61..">#REF!</definedName>
    <definedName localSheetId="7" name="_kop6">#REF!</definedName>
    <definedName localSheetId="38" name="semen50">#REF!</definedName>
    <definedName localSheetId="24" name="_____HAL3">#REF!</definedName>
    <definedName localSheetId="4" name="____DIV1">#REF!</definedName>
    <definedName localSheetId="36" name="__DIV10">#REF!</definedName>
    <definedName localSheetId="5" name="Tbt">#REF!</definedName>
    <definedName localSheetId="13" name="_pvc105">#REF!</definedName>
    <definedName localSheetId="17" name="badkip">#REF!</definedName>
    <definedName localSheetId="12" name="sengplatbjls24">#REF!</definedName>
    <definedName localSheetId="27" name="B.Aparatur">#REF!</definedName>
    <definedName localSheetId="25" name="grendel4">#REF!</definedName>
    <definedName localSheetId="8" name="grendel3">#REF!</definedName>
    <definedName localSheetId="34" name="batuporos">#REF!</definedName>
    <definedName localSheetId="0" name="sdg">#REF!</definedName>
    <definedName localSheetId="15" name="MMM17A">#REF!</definedName>
    <definedName localSheetId="21" name="engseljendela">#REF!</definedName>
    <definedName localSheetId="21" name="FORM772c">#REF!</definedName>
    <definedName localSheetId="36" name="Ker.L13">#REF!</definedName>
    <definedName localSheetId="6" name="ktbs">#REF!</definedName>
    <definedName localSheetId="44" name="R2..">#REF!</definedName>
    <definedName localSheetId="31" name="minyaksolar">#REF!</definedName>
    <definedName localSheetId="15" name="water.prof">#REF!</definedName>
    <definedName localSheetId="19" name="tpipa">#REF!</definedName>
    <definedName localSheetId="18" name="sofboard">#REF!</definedName>
    <definedName localSheetId="38" name="_DIV3">#REF!</definedName>
    <definedName localSheetId="28" name="feltexkarpetwool">#REF!</definedName>
    <definedName name="____DIV3">#REF!</definedName>
    <definedName localSheetId="24" name="FORM642">#REF!</definedName>
    <definedName localSheetId="3" name="Analisa70614">#REF!</definedName>
    <definedName localSheetId="24" name="_________MMM20">#REF!</definedName>
    <definedName localSheetId="6" name="__DIV1">#REF!</definedName>
    <definedName localSheetId="23" name="_KOP7">#REF!</definedName>
    <definedName localSheetId="33" name="pakubiasa">#REF!</definedName>
    <definedName localSheetId="12" name="plastikaerator">#REF!</definedName>
    <definedName localSheetId="3" name="_lmb1">#REF!</definedName>
    <definedName localSheetId="28" name="R1..">#REF!</definedName>
    <definedName localSheetId="34" name="gymfloor">#REF!</definedName>
    <definedName localSheetId="7" name="_______MMM02">#REF!</definedName>
    <definedName localSheetId="3" name="papanbekisting">#REF!</definedName>
    <definedName name="___MMM25">#REF!</definedName>
    <definedName localSheetId="6" name="ts">#REF!</definedName>
    <definedName name="URAIAN772c">#REF!</definedName>
    <definedName localSheetId="18" name="_______DIV10">#REF!</definedName>
    <definedName localSheetId="24" name="_____MMM04">#REF!</definedName>
    <definedName localSheetId="41" name="waterdrainaksesoris">#REF!</definedName>
    <definedName localSheetId="4" name="residu">#REF!</definedName>
    <definedName localSheetId="6" name="besi13u">#REF!</definedName>
    <definedName localSheetId="39" name="FORM66PERMUKAAN">#REF!</definedName>
    <definedName localSheetId="34" name="FORM66PERMUKAAN">#REF!</definedName>
    <definedName localSheetId="12" name="gabin_al">#REF!</definedName>
    <definedName localSheetId="21" name="klosetjongkok">#REF!</definedName>
    <definedName localSheetId="13" name="kayuterentang">#REF!</definedName>
    <definedName localSheetId="8" name="batugranito">#REF!</definedName>
    <definedName localSheetId="38" name="R21..">#REF!</definedName>
    <definedName localSheetId="9" name="sunloid">#REF!</definedName>
    <definedName localSheetId="17" name="R72..">#REF!</definedName>
    <definedName localSheetId="12" name="jurnal">#REF!</definedName>
    <definedName localSheetId="27" name="semenwarna">#REF!</definedName>
    <definedName localSheetId="17" name="__HAL1">#REF!</definedName>
    <definedName localSheetId="13" name="p.triplek">#REF!</definedName>
    <definedName localSheetId="3" name="keramik40">#REF!</definedName>
    <definedName localSheetId="7" name="_MMM01">#REF!</definedName>
    <definedName name="MINOR">#REF!</definedName>
    <definedName localSheetId="44" name="besiprofilWF">#REF!</definedName>
    <definedName localSheetId="21" name="R109..">#REF!</definedName>
    <definedName localSheetId="24" name="_MMM40">#REF!</definedName>
    <definedName localSheetId="30" name="HP">#REF!</definedName>
    <definedName localSheetId="21" name="ss">#REF!</definedName>
    <definedName name="urugankembali">#REF!</definedName>
    <definedName localSheetId="23" name="FORM631">#REF!</definedName>
    <definedName localSheetId="25" name="nokpaten105">#REF!</definedName>
    <definedName localSheetId="7" name="floorhardenermastercron">#REF!</definedName>
    <definedName name="________MMM48">#REF!</definedName>
    <definedName localSheetId="18" name="Nokmetal3mm">#REF!</definedName>
    <definedName localSheetId="8" name="DFFFGGG">#REF!</definedName>
    <definedName name="c.mowi.luar">#REF!</definedName>
    <definedName localSheetId="19" name="amobiotic">#REF!</definedName>
    <definedName localSheetId="30" name="Skrup">#REF!</definedName>
    <definedName localSheetId="18" name="stairnzing">#REF!</definedName>
    <definedName localSheetId="41" name="_________MMM03">#REF!</definedName>
    <definedName localSheetId="25" name="na">#REF!</definedName>
    <definedName localSheetId="6" name="___MMM01">#REF!</definedName>
    <definedName localSheetId="12" name="Ktbt">#REF!</definedName>
    <definedName localSheetId="39" name="_pc40">#REF!</definedName>
    <definedName localSheetId="9" name="urugantanah">#REF!</definedName>
    <definedName localSheetId="28" name="MAI">#REF!</definedName>
    <definedName localSheetId="44" name="_______MMM36">#REF!</definedName>
    <definedName localSheetId="0" name="_HAL1">#REF!</definedName>
    <definedName localSheetId="11" name="pakusirap">#REF!</definedName>
    <definedName localSheetId="41" name="kunci1slag">#REF!</definedName>
    <definedName localSheetId="12" name="_pc40">#REF!</definedName>
    <definedName localSheetId="12" name="sunloid">#REF!</definedName>
    <definedName localSheetId="44" name="jj">#REF!</definedName>
    <definedName localSheetId="3" name="_MMM18">#REF!</definedName>
    <definedName localSheetId="33" name="________DIV4">#REF!</definedName>
    <definedName localSheetId="21" name="pagarseng2m">#REF!</definedName>
    <definedName localSheetId="24" name="_DIV4">#REF!</definedName>
    <definedName localSheetId="31" name="batacote">#REF!</definedName>
    <definedName localSheetId="8" name="_PC50">#REF!</definedName>
    <definedName name="papanbulian">#REF!</definedName>
    <definedName localSheetId="20" name="batuporos">#REF!</definedName>
    <definedName localSheetId="33" name="pintugulungbesi">#REF!</definedName>
    <definedName localSheetId="20" name="vinylasbes">#REF!</definedName>
    <definedName localSheetId="20" name="R3..">#REF!</definedName>
    <definedName localSheetId="21" name="_________MMM32">#REF!</definedName>
    <definedName localSheetId="19" name="beton175m">#REF!</definedName>
    <definedName localSheetId="24" name="panelbetonpracetak">#REF!</definedName>
    <definedName localSheetId="27" name="MATERIAL">#REF!</definedName>
    <definedName localSheetId="34" name="__DIV2">#REF!</definedName>
    <definedName localSheetId="20" name="terntang">#REF!</definedName>
    <definedName localSheetId="10" name="R4..">#REF!</definedName>
    <definedName name="_MMM52">#REF!</definedName>
    <definedName localSheetId="6" name="kawatduri">#REF!</definedName>
    <definedName localSheetId="34" name="FORM771a">#REF!</definedName>
    <definedName localSheetId="18" name="kayuborneo">#REF!</definedName>
    <definedName localSheetId="28" name="URAIANLatasirKL">#REF!</definedName>
    <definedName localSheetId="25" name="R10..">#REF!</definedName>
    <definedName localSheetId="7" name="FORM97">#REF!</definedName>
    <definedName localSheetId="3" name="waterstop300">#REF!</definedName>
    <definedName localSheetId="0" name="plintubinteraluxkerang1060">#REF!</definedName>
    <definedName localSheetId="44" name="_______LLL03">#REF!</definedName>
    <definedName localSheetId="42" name="plywood6mm">#REF!</definedName>
    <definedName localSheetId="23" name="doorstop">#REF!</definedName>
    <definedName localSheetId="39" name="doorcloser">#REF!</definedName>
    <definedName localSheetId="12" name="_______DIV4">#REF!</definedName>
    <definedName localSheetId="4" name="FORM8410">#REF!</definedName>
    <definedName localSheetId="44" name="Plywood9">#REF!</definedName>
    <definedName localSheetId="6" name="water.prof">#REF!</definedName>
    <definedName localSheetId="3" name="R46..">#REF!</definedName>
    <definedName localSheetId="7" name="__MMM48">#REF!</definedName>
    <definedName localSheetId="41" name="_____MMM01">#REF!</definedName>
    <definedName localSheetId="41" name="_______DIV10">#REF!</definedName>
    <definedName localSheetId="24" name="platasbes35mm">#REF!</definedName>
    <definedName localSheetId="7" name="________MMM07">#REF!</definedName>
    <definedName localSheetId="17" name="_______MMM22">#REF!</definedName>
    <definedName localSheetId="10" name="Kekurangan">#REF!</definedName>
    <definedName localSheetId="8" name="bubunganasbesnok">#REF!</definedName>
    <definedName name="batutempelhitam">#REF!</definedName>
    <definedName localSheetId="7" name="Analisa70608">#REF!</definedName>
    <definedName localSheetId="39" name="batupecah">#REF!</definedName>
    <definedName name="pvc2d">#REF!</definedName>
    <definedName localSheetId="44" name="batugranito">#REF!</definedName>
    <definedName localSheetId="6" name="R6..">#REF!</definedName>
    <definedName localSheetId="40" name="ubinkeramik1033">#REF!</definedName>
    <definedName localSheetId="0" name="PT">#REF!</definedName>
    <definedName localSheetId="5" name="pintugulungbesi">#REF!</definedName>
    <definedName localSheetId="24" name="___LLL07">#REF!</definedName>
    <definedName name="batapelapisklinker">#REF!</definedName>
    <definedName localSheetId="44" name="______DIV4">#REF!</definedName>
    <definedName localSheetId="7" name="cghj">#REF!</definedName>
    <definedName localSheetId="28" name="split2.3">#REF!</definedName>
    <definedName localSheetId="12" name="ls">#REF!</definedName>
    <definedName localSheetId="36" name="sealent">#REF!</definedName>
    <definedName localSheetId="34" name="_MMM01">#REF!</definedName>
    <definedName localSheetId="24" name="ppn.m.3.20.serut">#REF!</definedName>
    <definedName localSheetId="20" name="sofboard">#REF!</definedName>
    <definedName localSheetId="3" name="_MMM44">#REF!</definedName>
    <definedName localSheetId="5" name="___HAL3">#REF!</definedName>
    <definedName localSheetId="44" name="______DIV6">#REF!</definedName>
    <definedName localSheetId="4" name="papanbekisting">#REF!</definedName>
    <definedName name="_pvc105">#REF!</definedName>
    <definedName localSheetId="33" name="catpenutup2kali">#REF!</definedName>
    <definedName localSheetId="36" name="grendel3">#REF!</definedName>
    <definedName name="URAIAN22L">#REF!</definedName>
    <definedName localSheetId="20" name="lem">#REF!</definedName>
    <definedName localSheetId="44" name="____MMM18">#REF!</definedName>
    <definedName localSheetId="15" name="FORM633">#REF!</definedName>
    <definedName localSheetId="4" name="__LLL03">#REF!</definedName>
    <definedName localSheetId="15" name="dempul">#REF!</definedName>
    <definedName localSheetId="10" name="pakusirap">#REF!</definedName>
    <definedName localSheetId="3" name="closet.jkok">#REF!</definedName>
    <definedName localSheetId="41" name="batukali14">#REF!</definedName>
    <definedName localSheetId="15" name="R4..">#REF!</definedName>
    <definedName localSheetId="28" name="gymfloor">#REF!</definedName>
    <definedName localSheetId="7" name="sealent">#REF!</definedName>
    <definedName localSheetId="9" name="___MMM03">#REF!</definedName>
    <definedName localSheetId="25" name="___pc50">#REF!</definedName>
    <definedName localSheetId="17" name="FORM611">#REF!</definedName>
    <definedName localSheetId="13" name="__tl2">#REF!</definedName>
    <definedName localSheetId="3" name="_____DIV10">#REF!</definedName>
    <definedName localSheetId="11" name="kayuborneo">#REF!</definedName>
    <definedName localSheetId="13" name="nokgentengaspal">#REF!</definedName>
    <definedName localSheetId="20" name="URAIAN7614a">#REF!</definedName>
    <definedName localSheetId="7" name="__DIV3">#REF!</definedName>
    <definedName localSheetId="21" name="_________MMM18">#REF!</definedName>
    <definedName localSheetId="17" name="__HAL7">#REF!</definedName>
    <definedName localSheetId="10" name="Ker.L13">#REF!</definedName>
    <definedName localSheetId="40" name="panelbetonpracetak">#REF!</definedName>
    <definedName localSheetId="7" name="__DIV4">#REF!</definedName>
    <definedName localSheetId="34" name="jurnal1">#REF!</definedName>
    <definedName localSheetId="21" name="plintubinteraso1040">#REF!</definedName>
    <definedName localSheetId="41" name="RPHL">#REF!</definedName>
    <definedName localSheetId="3" name="____MMM10">#REF!</definedName>
    <definedName localSheetId="38" name="_________HAL1">#REF!</definedName>
    <definedName localSheetId="13" name="cghj">#REF!</definedName>
    <definedName localSheetId="12" name="______HAL1">#REF!</definedName>
    <definedName localSheetId="25" name="URAIAN631">#REF!</definedName>
    <definedName localSheetId="13" name="ASET">#REF!</definedName>
    <definedName name="ubinkeramik3333">#REF!</definedName>
    <definedName localSheetId="15" name="tlistrik">#REF!</definedName>
    <definedName localSheetId="33" name="flordrain">#REF!</definedName>
    <definedName localSheetId="24" name="FORM66PERMUKAAN">#REF!</definedName>
    <definedName localSheetId="10" name="kawatsengpolos">#REF!</definedName>
    <definedName localSheetId="39" name="papanbekisting">#REF!</definedName>
    <definedName localSheetId="3" name="________DIV7">#REF!</definedName>
    <definedName localSheetId="40" name="_PC50">#REF!</definedName>
    <definedName localSheetId="19" name="gentengbeton">#REF!</definedName>
    <definedName localSheetId="13" name="waterstop150">#REF!</definedName>
    <definedName localSheetId="17" name="R70..">#REF!</definedName>
    <definedName localSheetId="17" name="__MMM06">#REF!</definedName>
    <definedName name="_lmb1">#REF!</definedName>
    <definedName localSheetId="33" name="_______MMM03">#REF!</definedName>
    <definedName localSheetId="8" name="Skrup">#REF!</definedName>
    <definedName localSheetId="24" name="plywood9mm">#REF!</definedName>
    <definedName localSheetId="17" name="URAIAN772d">#REF!</definedName>
    <definedName name="_________LLL08">#REF!</definedName>
    <definedName localSheetId="6" name="ubinwarna20">#REF!</definedName>
    <definedName localSheetId="36" name="kuncialfa">#REF!</definedName>
    <definedName localSheetId="27" name="plintkeramikartistik1020">#REF!</definedName>
    <definedName localSheetId="44" name="t.sabun">#REF!</definedName>
    <definedName localSheetId="32" name="mlex.w">#REF!</definedName>
    <definedName localSheetId="20" name="kuncisilinder">#REF!</definedName>
    <definedName localSheetId="21" name="_____MMM39">#REF!</definedName>
    <definedName localSheetId="21" name="pvc3.4.aw">#REF!</definedName>
    <definedName localSheetId="5" name="sdg">#REF!</definedName>
    <definedName localSheetId="38" name="__LLL03">#REF!</definedName>
    <definedName localSheetId="18" name="badkip">#REF!</definedName>
    <definedName localSheetId="15" name="doorholder">#REF!</definedName>
    <definedName localSheetId="25" name="Excel_BuiltIn_Print_Area_1">#REF!</definedName>
    <definedName localSheetId="19" name="papanbulian">#REF!</definedName>
    <definedName localSheetId="17" name="kayubulian">#REF!</definedName>
    <definedName localSheetId="25" name="urugantanah">#REF!</definedName>
    <definedName localSheetId="13" name="pintusunscreenalluminium">#REF!</definedName>
    <definedName localSheetId="33" name="FORM79manual">#REF!</definedName>
    <definedName localSheetId="36" name="c.mowi.luar">#REF!</definedName>
    <definedName localSheetId="18" name="mm">#REF!</definedName>
    <definedName localSheetId="3" name="gmp">#REF!</definedName>
    <definedName localSheetId="31" name="kaca.es">#REF!</definedName>
    <definedName localSheetId="4" name="c.mowi.luar">#REF!</definedName>
    <definedName localSheetId="23" name="__HAL4">#REF!</definedName>
    <definedName localSheetId="8" name="k.40.40.roman.crk">#REF!</definedName>
    <definedName localSheetId="38" name="meni.kayu">#REF!</definedName>
    <definedName localSheetId="30" name="pipagalvanis">#REF!</definedName>
    <definedName localSheetId="41" name="pindahan">#REF!</definedName>
    <definedName localSheetId="21" name="FORM771c">#REF!</definedName>
    <definedName localSheetId="28" name="_________MMM02">#REF!</definedName>
    <definedName localSheetId="21" name="FORM651">#REF!</definedName>
    <definedName localSheetId="15" name="psr.trs">#REF!</definedName>
    <definedName localSheetId="40" name="bondbeam">#REF!</definedName>
    <definedName localSheetId="19" name="Excel_BuiltIn_Print_Titles_10">#REF!</definedName>
    <definedName localSheetId="38" name="gymfloor">#REF!</definedName>
    <definedName localSheetId="15" name="kacacermin6">#REF!</definedName>
    <definedName localSheetId="7" name="_______MMM21">#REF!</definedName>
    <definedName localSheetId="12" name="grendel4">#REF!</definedName>
    <definedName localSheetId="25" name="asbesgelombang">#REF!</definedName>
    <definedName localSheetId="20" name="sengplatbjls28">#REF!</definedName>
    <definedName localSheetId="44" name="G.Kramik">#REF!</definedName>
    <definedName localSheetId="18" name="grendeltanam">#REF!</definedName>
    <definedName localSheetId="4" name="JA">#REF!</definedName>
    <definedName localSheetId="3" name="Absen">#REF!</definedName>
    <definedName localSheetId="12" name="G.Kramik">#REF!</definedName>
    <definedName localSheetId="17" name="____LLL01">#REF!</definedName>
    <definedName localSheetId="10" name="mowi.ws">#REF!</definedName>
    <definedName localSheetId="39" name="nokpaten092">#REF!</definedName>
    <definedName localSheetId="31" name="kacacermin5">#REF!</definedName>
    <definedName localSheetId="7" name="f.drain">#REF!</definedName>
    <definedName localSheetId="10" name="pintualuminium">#REF!</definedName>
    <definedName localSheetId="9" name="DUDI">#REF!</definedName>
    <definedName localSheetId="42" name="FORM621">#REF!</definedName>
    <definedName localSheetId="4" name="feltexkarpetwool">#REF!</definedName>
    <definedName localSheetId="10" name="kayukruing">#REF!</definedName>
    <definedName localSheetId="27" name="________DIV10">#REF!</definedName>
    <definedName localSheetId="23" name="f">#REF!</definedName>
    <definedName localSheetId="21" name="waterstop320">#REF!</definedName>
    <definedName localSheetId="28" name="_____MMM01">#REF!</definedName>
    <definedName localSheetId="7" name="batamerah">#REF!</definedName>
    <definedName localSheetId="25" name="______DIV1">#REF!</definedName>
    <definedName localSheetId="3" name="___LLL01">#REF!</definedName>
    <definedName localSheetId="11" name="__LLL01">#REF!</definedName>
    <definedName localSheetId="10" name="roster">#REF!</definedName>
    <definedName localSheetId="4" name="Status">#REF!</definedName>
    <definedName localSheetId="42" name="beton.tumbuk">#REF!</definedName>
    <definedName localSheetId="42" name="sealer.mowi">#REF!</definedName>
    <definedName localSheetId="20" name="tegelpc20x20">#REF!</definedName>
    <definedName localSheetId="3" name="DAYWORKS">#REF!</definedName>
    <definedName localSheetId="41" name="des">#REF!</definedName>
    <definedName localSheetId="30" name="papanbulian">#REF!</definedName>
    <definedName localSheetId="0" name="_________HAL3">#REF!</definedName>
    <definedName localSheetId="20" name="FORM7613a">#REF!</definedName>
    <definedName localSheetId="20" name="floorhardenermastercron">#REF!</definedName>
    <definedName localSheetId="0" name="tky">#REF!</definedName>
    <definedName localSheetId="0" name="JA">#REF!</definedName>
    <definedName localSheetId="3" name="_________MMM24">#REF!</definedName>
    <definedName localSheetId="33" name="kunciselot">#REF!</definedName>
    <definedName localSheetId="23" name="RoolingdoorAlumunium">#REF!</definedName>
    <definedName localSheetId="8" name="R50..">#REF!</definedName>
    <definedName localSheetId="44" name="RoolingdoorAlumunium">#REF!</definedName>
    <definedName localSheetId="7" name="papanjelutung">#REF!</definedName>
    <definedName localSheetId="23" name="pp">#REF!</definedName>
    <definedName name="_________MMM17">#REF!</definedName>
    <definedName localSheetId="7" name="pajak">#REF!</definedName>
    <definedName localSheetId="4" name="pa">#REF!</definedName>
    <definedName localSheetId="17" name="pakuskrup">#REF!</definedName>
    <definedName localSheetId="23" name="kompresor">#REF!</definedName>
    <definedName localSheetId="5" name="_____DIV4">#REF!</definedName>
    <definedName localSheetId="24" name="_MMM49">#REF!</definedName>
    <definedName localSheetId="34" name="URAIAN731">#REF!</definedName>
    <definedName localSheetId="21" name="FORM771b">#REF!</definedName>
    <definedName localSheetId="3" name="____MMM49">#REF!</definedName>
    <definedName localSheetId="21" name="______HAL7">#REF!</definedName>
    <definedName localSheetId="33" name="cv">#REF!</definedName>
    <definedName localSheetId="18" name="_HAL1">#REF!</definedName>
    <definedName localSheetId="25" name="_______DIV10">#REF!</definedName>
    <definedName localSheetId="23" name="plintubinteraso1040">#REF!</definedName>
    <definedName localSheetId="17" name="pvc2d">#REF!</definedName>
    <definedName localSheetId="15" name="__HAL5">#REF!</definedName>
    <definedName localSheetId="13" name="besi12sii">#REF!</definedName>
    <definedName localSheetId="8" name="platasbes35mm">#REF!</definedName>
    <definedName localSheetId="13" name="rincian">#REF!</definedName>
    <definedName localSheetId="11" name="kaca3">#REF!</definedName>
    <definedName localSheetId="19" name="got">#REF!</definedName>
    <definedName localSheetId="21" name="kacapolos5mm">#REF!</definedName>
    <definedName localSheetId="30" name="beton.225m">#REF!</definedName>
    <definedName localSheetId="24" name="____MMM47">#REF!</definedName>
    <definedName localSheetId="21" name="______MMM53">#REF!</definedName>
    <definedName localSheetId="24" name="JUDUL">#REF!</definedName>
    <definedName name="plastik">#REF!</definedName>
    <definedName localSheetId="30" name="____HAL1">#REF!</definedName>
    <definedName localSheetId="5" name="medan3.4">#REF!</definedName>
    <definedName localSheetId="7" name="_MMM17">#REF!</definedName>
    <definedName localSheetId="40" name="atapaluminiumgelombang055">#REF!</definedName>
    <definedName localSheetId="5" name="kunci1slag">#REF!</definedName>
    <definedName localSheetId="3" name="URAIAN635">#REF!</definedName>
    <definedName name="___MMM22">#REF!</definedName>
    <definedName localSheetId="27" name="papan.m.3.20">#REF!</definedName>
    <definedName localSheetId="39" name="_MMM03">#REF!</definedName>
    <definedName localSheetId="32" name="Tbs">#REF!</definedName>
    <definedName localSheetId="7" name="_________MMM22">#REF!</definedName>
    <definedName localSheetId="36" name="pindahan">#REF!</definedName>
    <definedName localSheetId="6" name="__DIV3">#REF!</definedName>
    <definedName localSheetId="3" name="FORM7612a">#REF!</definedName>
    <definedName localSheetId="21" name="FORM612">#REF!</definedName>
    <definedName localSheetId="3" name="____HAL8">#REF!</definedName>
    <definedName localSheetId="20" name="plamour">#REF!</definedName>
    <definedName name="B.Jambi">#REF!</definedName>
    <definedName localSheetId="15" name="mapel">#REF!</definedName>
    <definedName localSheetId="9" name="FORM66PERATA">#REF!</definedName>
    <definedName localSheetId="27" name="FRRDS">#REF!</definedName>
    <definedName localSheetId="7" name="KT">#REF!</definedName>
    <definedName localSheetId="25" name="kaca.es">#REF!</definedName>
    <definedName localSheetId="27" name="URAIAN7612c">#REF!</definedName>
    <definedName localSheetId="5" name="urugantanah">#REF!</definedName>
    <definedName localSheetId="13" name="__pvc05">#REF!</definedName>
    <definedName localSheetId="3" name="__MMM411">#REF!</definedName>
    <definedName localSheetId="17" name="_______MMM20">#REF!</definedName>
    <definedName localSheetId="3" name="___pvc05">#REF!</definedName>
    <definedName localSheetId="44" name="______MMM31">#REF!</definedName>
    <definedName localSheetId="44" name="_LLL03">#REF!</definedName>
    <definedName localSheetId="36" name="pakusirap">#REF!</definedName>
    <definedName localSheetId="33" name="JL_NAS">#REF!</definedName>
    <definedName localSheetId="33" name="URAIAN22E">#REF!</definedName>
    <definedName localSheetId="9" name="kuncitanam">#REF!</definedName>
    <definedName localSheetId="0" name="c.maxi">#REF!</definedName>
    <definedName localSheetId="40" name="u">#REF!</definedName>
    <definedName localSheetId="5" name="________DIV10">#REF!</definedName>
    <definedName localSheetId="39" name="kawatduri">#REF!</definedName>
    <definedName localSheetId="20" name="RPHL">#REF!</definedName>
    <definedName localSheetId="30" name="gmp">#REF!</definedName>
    <definedName localSheetId="24" name="mm">#REF!</definedName>
    <definedName localSheetId="33" name="kmp.banjar">#REF!</definedName>
    <definedName localSheetId="44" name="____HAL8">#REF!</definedName>
    <definedName name="_______HAL4">#REF!</definedName>
    <definedName localSheetId="23" name="mapel">#REF!</definedName>
    <definedName localSheetId="25" name="vinylkaret3030">#REF!</definedName>
    <definedName localSheetId="17" name="Jasa">#REF!</definedName>
    <definedName localSheetId="9" name="FORM732">#REF!</definedName>
    <definedName localSheetId="32" name="_kop6">#REF!</definedName>
    <definedName localSheetId="10" name="kayukamper">#REF!</definedName>
    <definedName localSheetId="6" name="KERAMIK30">#REF!</definedName>
    <definedName localSheetId="20" name="jendelanako">#REF!</definedName>
    <definedName localSheetId="3" name="__MMM22">#REF!</definedName>
    <definedName localSheetId="3" name="waterstop200">#REF!</definedName>
    <definedName localSheetId="39" name="_____DIV10">#REF!</definedName>
    <definedName localSheetId="32" name="sofboard">#REF!</definedName>
    <definedName localSheetId="3" name="ramset">#REF!</definedName>
    <definedName localSheetId="25" name="tlistrik">#REF!</definedName>
    <definedName localSheetId="0" name="seng25">#REF!</definedName>
    <definedName localSheetId="39" name="split2.3">#REF!</definedName>
    <definedName localSheetId="40" name="tanggal">#REF!</definedName>
    <definedName localSheetId="15" name="semenwarna">#REF!</definedName>
    <definedName localSheetId="24" name="FORM8410">#REF!</definedName>
    <definedName localSheetId="42" name="parquetjati">#REF!</definedName>
    <definedName localSheetId="30" name="__Tl1">#REF!</definedName>
    <definedName localSheetId="12" name="ubinkeramikartistik520">#REF!</definedName>
    <definedName localSheetId="44" name="__MMM08">#REF!</definedName>
    <definedName localSheetId="31" name="bjls30">#REF!</definedName>
    <definedName localSheetId="18" name="____MMM02">#REF!</definedName>
    <definedName localSheetId="39" name="RPHL">#REF!</definedName>
    <definedName localSheetId="17" name="________MMM20">#REF!</definedName>
    <definedName localSheetId="8" name="JUDUL">#REF!</definedName>
    <definedName localSheetId="11" name="des">#REF!</definedName>
    <definedName localSheetId="44" name="______MMM411">#REF!</definedName>
    <definedName localSheetId="33" name="Pengadaan">#REF!</definedName>
    <definedName localSheetId="7" name="_MMM12">#REF!</definedName>
    <definedName localSheetId="17" name="cv">#REF!</definedName>
    <definedName localSheetId="24" name="_pvc105">#REF!</definedName>
    <definedName localSheetId="3" name="__MMM54">#REF!</definedName>
    <definedName localSheetId="24" name="URAIAN233">#REF!</definedName>
    <definedName localSheetId="6" name="bakcuciteraso">#REF!</definedName>
    <definedName localSheetId="24" name="Print_Titles_MI_1">#REF!</definedName>
    <definedName localSheetId="40" name="tp80x80">#REF!</definedName>
    <definedName localSheetId="15" name="DFFFGGG">#REF!</definedName>
    <definedName localSheetId="30" name="FORM7612a">#REF!</definedName>
    <definedName localSheetId="20" name="Excel_BuiltIn_Print_Area_1">#REF!</definedName>
    <definedName localSheetId="25" name="plintubinwarna1030">#REF!</definedName>
    <definedName localSheetId="24" name="Kunci1">#REF!</definedName>
    <definedName localSheetId="6" name="kategori">#REF!</definedName>
    <definedName localSheetId="21" name="besi16sii">#REF!</definedName>
    <definedName localSheetId="13" name="bondbeam">#REF!</definedName>
    <definedName localSheetId="12" name="URAIAN745">#REF!</definedName>
    <definedName localSheetId="19" name="_____MMM02">#REF!</definedName>
    <definedName localSheetId="3" name="__MMM50">#REF!</definedName>
    <definedName localSheetId="7" name="___HAL8">#REF!</definedName>
    <definedName localSheetId="38" name="Lamp">#REF!</definedName>
    <definedName localSheetId="31" name="FORM745">#REF!</definedName>
    <definedName localSheetId="7" name="__DIV6">#REF!</definedName>
    <definedName name="Excel_BuiltIn_Print_Titles_2">#REF!</definedName>
    <definedName localSheetId="42" name="ubinwarna30">#REF!</definedName>
    <definedName localSheetId="7" name="Catbesi">#REF!</definedName>
    <definedName localSheetId="34" name="__HAL4">#REF!</definedName>
    <definedName localSheetId="28" name="teakwood9mm">#REF!</definedName>
    <definedName localSheetId="15" name="dua">#REF!</definedName>
    <definedName localSheetId="0" name="bouwplnk">#REF!</definedName>
    <definedName localSheetId="34" name="ubinwarna40">#REF!</definedName>
    <definedName localSheetId="38" name="kategori">#REF!</definedName>
    <definedName localSheetId="12" name="plintubinteraso1040">#REF!</definedName>
    <definedName localSheetId="7" name="R102..">#REF!</definedName>
    <definedName localSheetId="32" name="________DIV3">#REF!</definedName>
    <definedName name="____MMM35">#REF!</definedName>
    <definedName localSheetId="9" name="RPHL">#REF!</definedName>
    <definedName localSheetId="44" name="aaaa">#REF!</definedName>
    <definedName localSheetId="13" name="kayuramin">#REF!</definedName>
    <definedName localSheetId="24" name="Uraian844">#REF!</definedName>
    <definedName localSheetId="6" name="Aluminium">#REF!</definedName>
    <definedName localSheetId="31" name="LAP">#REF!</definedName>
    <definedName localSheetId="24" name="_MMM42">#REF!</definedName>
    <definedName localSheetId="20" name="FORMLatasirKL">#REF!</definedName>
    <definedName localSheetId="19" name="___DIV2">#REF!</definedName>
    <definedName localSheetId="12" name="______MMM02">#REF!</definedName>
    <definedName localSheetId="15" name="kuas">#REF!</definedName>
    <definedName localSheetId="18" name="menibesi">#REF!</definedName>
    <definedName localSheetId="11" name="mapel">#REF!</definedName>
    <definedName localSheetId="33" name="_____MMM01">#REF!</definedName>
    <definedName localSheetId="25" name="rubbercorrugate">#REF!</definedName>
    <definedName localSheetId="15" name="beton225r">#REF!</definedName>
    <definedName localSheetId="31" name="GUIIII">#REF!</definedName>
    <definedName localSheetId="25" name="closedjongkok">#REF!</definedName>
    <definedName localSheetId="44" name="ubinmosaik3030">#REF!</definedName>
    <definedName localSheetId="3" name="__MMM24">#REF!</definedName>
    <definedName localSheetId="8" name="URAIAN66PERATA">#REF!</definedName>
    <definedName localSheetId="31" name="batu.jogja">#REF!</definedName>
    <definedName name="_________MMM54">#REF!</definedName>
    <definedName localSheetId="4" name="catmeni">#REF!</definedName>
    <definedName localSheetId="19" name="_____DIV4">#REF!</definedName>
    <definedName localSheetId="40" name="oke">#REF!</definedName>
    <definedName localSheetId="27" name="platasbes">#REF!</definedName>
    <definedName localSheetId="21" name="multi.18">#REF!</definedName>
    <definedName localSheetId="15" name="bubungangentengbesar">#REF!</definedName>
    <definedName localSheetId="11" name="URAIAN745">#REF!</definedName>
    <definedName localSheetId="34" name="__DIV4">#REF!</definedName>
    <definedName localSheetId="36" name="Analisa512">#REF!</definedName>
    <definedName name="kayuterentang">#REF!</definedName>
    <definedName localSheetId="7" name="___MMM37">#REF!</definedName>
    <definedName localSheetId="21" name="_______LLL01">#REF!</definedName>
    <definedName localSheetId="44" name="URAIAN771b">#REF!</definedName>
    <definedName localSheetId="11" name="_________MMM01">#REF!</definedName>
    <definedName localSheetId="25" name="__DIV3">#REF!</definedName>
    <definedName localSheetId="23" name="p.bI">#REF!</definedName>
    <definedName localSheetId="24" name="Akustik">#REF!</definedName>
    <definedName localSheetId="19" name="____MMM02">#REF!</definedName>
    <definedName localSheetId="28" name="gypsum.prf">#REF!</definedName>
    <definedName localSheetId="41" name="waterstop230">#REF!</definedName>
    <definedName localSheetId="21" name="plintubinteraluxkerang1040">#REF!</definedName>
    <definedName localSheetId="5" name="plamur.matex">#REF!</definedName>
    <definedName localSheetId="21" name="grendel4">#REF!</definedName>
    <definedName localSheetId="40" name="terasocor">#REF!</definedName>
    <definedName localSheetId="3" name="____DIV8">#REF!</definedName>
    <definedName localSheetId="39" name="SSSSSSSSSSSSSSSSSSSSSSSSSSSSS">#REF!</definedName>
    <definedName localSheetId="13" name="semen50">#REF!</definedName>
    <definedName localSheetId="3" name="URAIAN631">#REF!</definedName>
    <definedName localSheetId="24" name="______MMM35">#REF!</definedName>
    <definedName localSheetId="18" name="keramik40">#REF!</definedName>
    <definedName localSheetId="32" name="TANAH">#REF!</definedName>
    <definedName localSheetId="4" name="______DIV2">#REF!</definedName>
    <definedName localSheetId="5" name="engsel4">#REF!</definedName>
    <definedName localSheetId="21" name="____HAL2">#REF!</definedName>
    <definedName localSheetId="38" name="__MMM03">#REF!</definedName>
    <definedName localSheetId="13" name="ubinkeramikartistik520">#REF!</definedName>
    <definedName localSheetId="3" name="_________MMM07">#REF!</definedName>
    <definedName localSheetId="7" name="______HAL7">#REF!</definedName>
    <definedName localSheetId="32" name="karpet">#REF!</definedName>
    <definedName localSheetId="15" name="_________DIV10">#REF!</definedName>
    <definedName localSheetId="8" name="beton.tumbuk">#REF!</definedName>
    <definedName localSheetId="42" name="kacapolos5mm">#REF!</definedName>
    <definedName localSheetId="8" name="batuapung">#REF!</definedName>
    <definedName localSheetId="17" name="FORM911">#REF!</definedName>
    <definedName localSheetId="17" name="baru">#REF!</definedName>
    <definedName localSheetId="38" name="___pvc05">#REF!</definedName>
    <definedName localSheetId="4" name="plintubinteraso1030">#REF!</definedName>
    <definedName localSheetId="21" name="k.rmn.30.30.crk">#REF!</definedName>
    <definedName name="org.hari">#REF!</definedName>
    <definedName localSheetId="15" name="tukng">#REF!</definedName>
    <definedName localSheetId="40" name="relpintudorong">#REF!</definedName>
    <definedName localSheetId="21" name="_MMM23">#REF!</definedName>
    <definedName name="_____MMM44">#REF!</definedName>
    <definedName localSheetId="5" name="beton225r">#REF!</definedName>
    <definedName localSheetId="6" name="URAIANLatasirK">#REF!</definedName>
    <definedName localSheetId="7" name="R108..">#REF!</definedName>
    <definedName localSheetId="9" name="_PC50">#REF!</definedName>
    <definedName localSheetId="25" name="tegelplinteraso10x30">#REF!</definedName>
    <definedName localSheetId="4" name="__MMM01">#REF!</definedName>
    <definedName localSheetId="7" name="__MMM31">#REF!</definedName>
    <definedName localSheetId="41" name="xxxxx">#REF!</definedName>
    <definedName localSheetId="8" name="kran.ddg">#REF!</definedName>
    <definedName localSheetId="18" name="Aluminium">#REF!</definedName>
    <definedName localSheetId="13" name="STRUKTUR">#REF!</definedName>
    <definedName localSheetId="21" name="______MMM46">#REF!</definedName>
    <definedName localSheetId="4" name="beton.tumbuk">#REF!</definedName>
    <definedName localSheetId="30" name="kaca.es">#REF!</definedName>
    <definedName localSheetId="17" name="borneo5.7">#REF!</definedName>
    <definedName localSheetId="7" name="plintubinpcabuabu1030">#REF!</definedName>
    <definedName localSheetId="3" name="__MMM27">#REF!</definedName>
    <definedName localSheetId="27" name="klosetjongkok">#REF!</definedName>
    <definedName localSheetId="15" name="platasbes35mm">#REF!</definedName>
    <definedName localSheetId="13" name="_kop5">#REF!</definedName>
    <definedName localSheetId="42" name="medan3.4">#REF!</definedName>
    <definedName localSheetId="15" name="KERAMIK30">#REF!</definedName>
    <definedName localSheetId="27" name="total">#REF!</definedName>
    <definedName localSheetId="41" name="BPS">#REF!</definedName>
    <definedName localSheetId="44" name="gentengaspal">#REF!</definedName>
    <definedName localSheetId="42" name="kayukudakuda">#REF!</definedName>
    <definedName localSheetId="31" name="ASET">#REF!</definedName>
    <definedName localSheetId="3" name="Analisa713">#REF!</definedName>
    <definedName localSheetId="4" name="_Tl1">#REF!</definedName>
    <definedName localSheetId="24" name="engseljendela">#REF!</definedName>
    <definedName localSheetId="19" name="tegelporselen10x20warna">#REF!</definedName>
    <definedName localSheetId="40" name="___pvc105">#REF!</definedName>
    <definedName localSheetId="24" name="_______HAL1">#REF!</definedName>
    <definedName localSheetId="28" name="oemar">#REF!</definedName>
    <definedName localSheetId="40" name="pddk">#REF!</definedName>
    <definedName localSheetId="13" name="beton.225m">#REF!</definedName>
    <definedName localSheetId="9" name="__MMM01">#REF!</definedName>
    <definedName localSheetId="5" name="plintubingranito1030">#REF!</definedName>
    <definedName localSheetId="38" name="Analisa511">#REF!</definedName>
    <definedName localSheetId="15" name="URAIAN7614d">#REF!</definedName>
    <definedName localSheetId="4" name="perancahkayu">#REF!</definedName>
    <definedName localSheetId="8" name="plywood6mm">#REF!</definedName>
    <definedName localSheetId="24" name="________LLL01">#REF!</definedName>
    <definedName localSheetId="28" name="penduduk">#REF!</definedName>
    <definedName localSheetId="18" name="flordrain">#REF!</definedName>
    <definedName localSheetId="44" name="_____MMM46">#REF!</definedName>
    <definedName localSheetId="24" name="lisplafond">#REF!</definedName>
    <definedName localSheetId="0" name="pindahan">#REF!</definedName>
    <definedName localSheetId="5" name="kran.bbk">#REF!</definedName>
    <definedName localSheetId="18" name="FORM632">#REF!</definedName>
    <definedName localSheetId="39" name="strorox">#REF!</definedName>
    <definedName localSheetId="6" name="plintkeramikartistik1010">#REF!</definedName>
    <definedName name="kuncitanamantik">#REF!</definedName>
    <definedName localSheetId="27" name="menibesi">#REF!</definedName>
    <definedName localSheetId="36" name="hollowblok">#REF!</definedName>
    <definedName localSheetId="44" name="pvc1.2.aw">#REF!</definedName>
    <definedName localSheetId="38" name="Fak">#REF!</definedName>
    <definedName localSheetId="40" name="kayutembesu">#REF!</definedName>
    <definedName localSheetId="42" name="_pc40">#REF!</definedName>
    <definedName localSheetId="4" name="grendel4">#REF!</definedName>
    <definedName localSheetId="44" name="kran.ddg">#REF!</definedName>
    <definedName localSheetId="19" name="______DIV3">#REF!</definedName>
    <definedName localSheetId="8" name="R4..">#REF!</definedName>
    <definedName localSheetId="30" name="Excel_BuiltIn_Print_Area_10">#REF!</definedName>
    <definedName localSheetId="7" name="_MMM09">#REF!</definedName>
    <definedName localSheetId="8" name="_____DIV2">#REF!</definedName>
    <definedName localSheetId="5" name="_PC50">#REF!</definedName>
    <definedName localSheetId="19" name="beton.225m">#REF!</definedName>
    <definedName localSheetId="21" name="karung">#REF!</definedName>
    <definedName localSheetId="7" name="________MMM411">#REF!</definedName>
    <definedName localSheetId="7" name="_________MMM10">#REF!</definedName>
    <definedName localSheetId="23" name="vinylasbes">#REF!</definedName>
    <definedName localSheetId="9" name="tegel20">#REF!</definedName>
    <definedName localSheetId="13" name="s.warna">#REF!</definedName>
    <definedName localSheetId="21" name="water.prof">#REF!</definedName>
    <definedName localSheetId="15" name="___MMM03">#REF!</definedName>
    <definedName localSheetId="21" name="______MMM31">#REF!</definedName>
    <definedName localSheetId="30" name="meni.kayu">#REF!</definedName>
    <definedName localSheetId="41" name="kayukamper">#REF!</definedName>
    <definedName localSheetId="41" name="_tl2">#REF!</definedName>
    <definedName localSheetId="3" name="drainase">#REF!</definedName>
    <definedName localSheetId="9" name="___DIV10">#REF!</definedName>
    <definedName localSheetId="32" name="G.Kramik">#REF!</definedName>
    <definedName localSheetId="44" name="_________DIV2">#REF!</definedName>
    <definedName localSheetId="25" name="plintubinteraluxkerang1060">#REF!</definedName>
    <definedName localSheetId="17" name="__MMM51">#REF!</definedName>
    <definedName localSheetId="32" name="ubinteraso40">#REF!</definedName>
    <definedName localSheetId="44" name="sdg">#REF!</definedName>
    <definedName localSheetId="4" name="FORM631">#REF!</definedName>
    <definedName localSheetId="10" name="_________MMM02">#REF!</definedName>
    <definedName localSheetId="13" name="Psr.psg">#REF!</definedName>
    <definedName localSheetId="28" name="f">#REF!</definedName>
    <definedName localSheetId="8" name="jj">#REF!</definedName>
    <definedName localSheetId="39" name="_________HAL1">#REF!</definedName>
    <definedName localSheetId="20" name="kayuterentang">#REF!</definedName>
    <definedName localSheetId="38" name="_____HAL3">#REF!</definedName>
    <definedName localSheetId="33" name="__HAL5">#REF!</definedName>
    <definedName localSheetId="25" name="tp80x80">#REF!</definedName>
    <definedName name="plintkeramikartistik1020">#REF!</definedName>
    <definedName localSheetId="24" name="__pvc105">#REF!</definedName>
    <definedName localSheetId="21" name="alangalang">#REF!</definedName>
    <definedName localSheetId="17" name="_LLL10">#REF!</definedName>
    <definedName localSheetId="3" name="R19..">#REF!</definedName>
    <definedName localSheetId="23" name="btn">#REF!</definedName>
    <definedName localSheetId="5" name="pindahan">#REF!</definedName>
    <definedName localSheetId="32" name="tegelpc20x20">#REF!</definedName>
    <definedName localSheetId="3" name="________DIV8">#REF!</definedName>
    <definedName localSheetId="18" name="kaca8">#REF!</definedName>
    <definedName localSheetId="10" name="t.sabun">#REF!</definedName>
    <definedName localSheetId="30" name="________MMM01">#REF!</definedName>
    <definedName localSheetId="4" name="seng30">#REF!</definedName>
    <definedName localSheetId="18" name="residu">#REF!</definedName>
    <definedName localSheetId="6" name="nokgentengaspal">#REF!</definedName>
    <definedName localSheetId="11" name="reng">#REF!</definedName>
    <definedName localSheetId="5" name="____HAL2">#REF!</definedName>
    <definedName localSheetId="27" name="Analisa55">#REF!</definedName>
    <definedName localSheetId="32" name="________MMM02">#REF!</definedName>
    <definedName name="URAIAN66PERATA">#REF!</definedName>
    <definedName localSheetId="10" name="cghj">#REF!</definedName>
    <definedName localSheetId="6" name="zzz">#REF!</definedName>
    <definedName localSheetId="31" name="sengplatbjls28">#REF!</definedName>
    <definedName localSheetId="24" name="_________MMM03">#REF!</definedName>
    <definedName localSheetId="40" name="kiki">#REF!</definedName>
    <definedName localSheetId="41" name="roster">#REF!</definedName>
    <definedName localSheetId="7" name="_________MMM35">#REF!</definedName>
    <definedName localSheetId="33" name="bubungangentengkodok">#REF!</definedName>
    <definedName localSheetId="24" name="kaca5">#REF!</definedName>
    <definedName localSheetId="38" name="R5..">#REF!</definedName>
    <definedName localSheetId="24" name="___MMM42">#REF!</definedName>
    <definedName name="plintkeramikartistik520">#REF!</definedName>
    <definedName localSheetId="19" name="MMM17A">#REF!</definedName>
    <definedName localSheetId="42" name="ts">#REF!</definedName>
    <definedName localSheetId="10" name="URAIAN7610">#REF!</definedName>
    <definedName localSheetId="39" name="plywood4">#REF!</definedName>
    <definedName localSheetId="12" name="FRRDS">#REF!</definedName>
    <definedName localSheetId="38" name="_pp1">#REF!</definedName>
    <definedName localSheetId="24" name="FORM7612c">#REF!</definedName>
    <definedName localSheetId="28" name="hollowblok">#REF!</definedName>
    <definedName localSheetId="11" name="washtafel">#REF!</definedName>
    <definedName localSheetId="3" name="URAIAN21">#REF!</definedName>
    <definedName localSheetId="10" name="kawatharmonika">#REF!</definedName>
    <definedName localSheetId="33" name="URAIAN721">#REF!</definedName>
    <definedName localSheetId="11" name="plintubinteraluxmarmer1040">#REF!</definedName>
    <definedName localSheetId="24" name="sofboard">#REF!</definedName>
    <definedName localSheetId="40" name="FORM771b">#REF!</definedName>
    <definedName localSheetId="39" name="oemar">#REF!</definedName>
    <definedName localSheetId="11" name="FORM631">#REF!</definedName>
    <definedName localSheetId="25" name="u">#REF!</definedName>
    <definedName localSheetId="38" name="URAIAN79mekanis">#REF!</definedName>
    <definedName name="plintubinteraluxkerang1060">#REF!</definedName>
    <definedName localSheetId="31" name="mapel">#REF!</definedName>
    <definedName localSheetId="15" name="grendel3">#REF!</definedName>
    <definedName localSheetId="0" name="FORM7612c">#REF!</definedName>
    <definedName localSheetId="27" name="cendana">#REF!</definedName>
    <definedName localSheetId="3" name="____MMM11">#REF!</definedName>
    <definedName localSheetId="19" name="bak">#REF!</definedName>
    <definedName localSheetId="18" name="pintubesibaja">#REF!</definedName>
    <definedName localSheetId="38" name="platasbes4mm">#REF!</definedName>
    <definedName name="vertikalsblinds">#REF!</definedName>
    <definedName localSheetId="42" name="pengencer">#REF!</definedName>
    <definedName localSheetId="4" name="cghj">#REF!</definedName>
    <definedName localSheetId="27" name="pintugulungbesi">#REF!</definedName>
    <definedName localSheetId="24" name="URAIAN22E">#REF!</definedName>
    <definedName localSheetId="24" name="URAIAN772d">#REF!</definedName>
    <definedName localSheetId="32" name="bilikbambu">#REF!</definedName>
    <definedName localSheetId="33" name="pakuskrup">#REF!</definedName>
    <definedName localSheetId="17" name="___DIV3">#REF!</definedName>
    <definedName localSheetId="40" name="ubinwarna30">#REF!</definedName>
    <definedName localSheetId="7" name="Analisa70614">#REF!</definedName>
    <definedName localSheetId="34" name="_PC50">#REF!</definedName>
    <definedName localSheetId="31" name="_KOP7">#REF!</definedName>
    <definedName localSheetId="3" name="_________DIV10">#REF!</definedName>
    <definedName localSheetId="23" name="pakugypsum">#REF!</definedName>
    <definedName localSheetId="31" name="Galam">#REF!</definedName>
    <definedName localSheetId="8" name="Overhead">#REF!</definedName>
    <definedName localSheetId="8" name="SusunanOrg">#REF!</definedName>
    <definedName localSheetId="8" name="URAIAN771b">#REF!</definedName>
    <definedName localSheetId="11" name="springknip">#REF!</definedName>
    <definedName localSheetId="13" name="DFFFGGG">#REF!</definedName>
    <definedName localSheetId="42" name="multi.18">#REF!</definedName>
    <definedName localSheetId="6" name="doorholder">#REF!</definedName>
    <definedName localSheetId="7" name="FORM621">#REF!</definedName>
    <definedName localSheetId="34" name="MAI">#REF!</definedName>
    <definedName name="R24..">#REF!</definedName>
    <definedName localSheetId="27" name="DUDI">#REF!</definedName>
    <definedName localSheetId="38" name="urugantanah">#REF!</definedName>
    <definedName localSheetId="34" name="lp">#REF!</definedName>
    <definedName localSheetId="36" name="penduduk">#REF!</definedName>
    <definedName localSheetId="21" name="kayudamarlaut">#REF!</definedName>
    <definedName localSheetId="36" name="___DIV4">#REF!</definedName>
    <definedName localSheetId="17" name="________MMM06">#REF!</definedName>
    <definedName localSheetId="30" name="R20..">#REF!</definedName>
    <definedName localSheetId="7" name="kali">#REF!</definedName>
    <definedName localSheetId="33" name="floorhardenermastercron">#REF!</definedName>
    <definedName localSheetId="27" name="split2.3">#REF!</definedName>
    <definedName localSheetId="20" name="FORM7612a">#REF!</definedName>
    <definedName localSheetId="17" name="tegelplin20x20">#REF!</definedName>
    <definedName localSheetId="9" name="batapelapisdinding">#REF!</definedName>
    <definedName localSheetId="3" name="__MMM51">#REF!</definedName>
    <definedName localSheetId="31" name="tbkr">#REF!</definedName>
    <definedName localSheetId="44" name="plintubinwarna1030">#REF!</definedName>
    <definedName localSheetId="36" name="ubinwarna30">#REF!</definedName>
    <definedName localSheetId="3" name="rollingdoor">#REF!</definedName>
    <definedName localSheetId="41" name="ubinwarna20">#REF!</definedName>
    <definedName localSheetId="15" name="_KOP7">#REF!</definedName>
    <definedName localSheetId="24" name="____DIV4">#REF!</definedName>
    <definedName localSheetId="32" name="nokpaten092">#REF!</definedName>
    <definedName localSheetId="17" name="__MMM25">#REF!</definedName>
    <definedName localSheetId="4" name="sirlak">#REF!</definedName>
    <definedName localSheetId="5" name="tegelporselen10x20warna">#REF!</definedName>
    <definedName localSheetId="42" name="ubinkeramikartistik1020">#REF!</definedName>
    <definedName localSheetId="34" name="plywood6mm">#REF!</definedName>
    <definedName localSheetId="34" name="gypsum.prf">#REF!</definedName>
    <definedName name="________MMM25">#REF!</definedName>
    <definedName localSheetId="34" name="grendel3">#REF!</definedName>
    <definedName localSheetId="10" name="pakuskrup">#REF!</definedName>
    <definedName localSheetId="7" name="Pc.50">#REF!</definedName>
    <definedName localSheetId="10" name="mowi.w.shield">#REF!</definedName>
    <definedName localSheetId="38" name="cendana">#REF!</definedName>
    <definedName localSheetId="31" name="FORM612">#REF!</definedName>
    <definedName localSheetId="23" name="bubungangentengbeton">#REF!</definedName>
    <definedName localSheetId="15" name="URAIAN633">#REF!</definedName>
    <definedName localSheetId="34" name="paku5.7.10">#REF!</definedName>
    <definedName localSheetId="42" name="AAAAAAA">#REF!</definedName>
    <definedName localSheetId="44" name="URAIAN22E">#REF!</definedName>
    <definedName localSheetId="3" name="__MMM21">#REF!</definedName>
    <definedName localSheetId="31" name="cendana">#REF!</definedName>
    <definedName localSheetId="31" name="dd">#REF!</definedName>
    <definedName localSheetId="27" name="seng30">#REF!</definedName>
    <definedName localSheetId="24" name="_DIV5">#REF!</definedName>
    <definedName localSheetId="13" name="R60..">#REF!</definedName>
    <definedName localSheetId="44" name="___MMM27">#REF!</definedName>
    <definedName localSheetId="17" name="koralbeton">#REF!</definedName>
    <definedName localSheetId="25" name="R6..">#REF!</definedName>
    <definedName localSheetId="41" name="dua">#REF!</definedName>
    <definedName localSheetId="7" name="ubinpcabuabu20">#REF!</definedName>
    <definedName localSheetId="24" name="_HAL1">#REF!</definedName>
    <definedName localSheetId="5" name="grendel4">#REF!</definedName>
    <definedName localSheetId="30" name="Excel_BuiltIn_Print_Titles_2">#REF!</definedName>
    <definedName localSheetId="0" name="_________DIV1">#REF!</definedName>
    <definedName localSheetId="44" name="Gypsum">#REF!</definedName>
    <definedName localSheetId="9" name="FORM66PERMUKAAN">#REF!</definedName>
    <definedName localSheetId="28" name="sealent">#REF!</definedName>
    <definedName localSheetId="44" name="Analisa70301">#REF!</definedName>
    <definedName localSheetId="13" name="RPHL">#REF!</definedName>
    <definedName name="________MMM01">#REF!</definedName>
    <definedName localSheetId="44" name="_______DIV5">#REF!</definedName>
    <definedName localSheetId="11" name="Nokmetal3mm">#REF!</definedName>
    <definedName localSheetId="33" name="p.kmp.smrd.3.20">#REF!</definedName>
    <definedName localSheetId="23" name="kuncialfa">#REF!</definedName>
    <definedName localSheetId="27" name="bjls25">#REF!</definedName>
    <definedName localSheetId="19" name="_tl2">#REF!</definedName>
    <definedName localSheetId="3" name="JUDUL">#REF!</definedName>
    <definedName localSheetId="13" name="______DIV10">#REF!</definedName>
    <definedName localSheetId="10" name="kolombetonpracetak">#REF!</definedName>
    <definedName localSheetId="6" name="plywood4">#REF!</definedName>
    <definedName name="ASET">#REF!</definedName>
    <definedName localSheetId="40" name="_________HAL1">#REF!</definedName>
    <definedName localSheetId="7" name="multi.18">#REF!</definedName>
    <definedName localSheetId="7" name="yyyyyyy">#REF!</definedName>
    <definedName localSheetId="11" name="seng30">#REF!</definedName>
    <definedName localSheetId="11" name="p.bI">#REF!</definedName>
    <definedName localSheetId="17" name="kawatkassa">#REF!</definedName>
    <definedName localSheetId="17" name="_____LLL05">#REF!</definedName>
    <definedName localSheetId="17" name="________HAL4">#REF!</definedName>
    <definedName localSheetId="19" name="wwww">#REF!</definedName>
    <definedName localSheetId="27" name="sirlak">#REF!</definedName>
    <definedName localSheetId="38" name="FORM744">#REF!</definedName>
    <definedName localSheetId="3" name="URAIAN772d">#REF!</definedName>
    <definedName localSheetId="5" name="___DIV2">#REF!</definedName>
    <definedName localSheetId="3" name="__LLL02">#REF!</definedName>
    <definedName localSheetId="40" name="_____DIV4">#REF!</definedName>
    <definedName localSheetId="15" name="URAIAN621">#REF!</definedName>
    <definedName localSheetId="3" name="______MMM43">#REF!</definedName>
    <definedName localSheetId="17" name="kawatburung">#REF!</definedName>
    <definedName localSheetId="0" name="engsel3">#REF!</definedName>
    <definedName localSheetId="7" name="__MMM29">#REF!</definedName>
    <definedName localSheetId="20" name="_______DIV1">#REF!</definedName>
    <definedName localSheetId="3" name="gentengpalentongbesar">#REF!</definedName>
    <definedName localSheetId="40" name="tukng">#REF!</definedName>
    <definedName name="______MMM30">#REF!</definedName>
    <definedName localSheetId="8" name="w">#REF!</definedName>
    <definedName localSheetId="27" name="floorhardenermastercron">#REF!</definedName>
    <definedName localSheetId="13" name="rtrt">#REF!</definedName>
    <definedName localSheetId="8" name="bubungangentengkodok">#REF!</definedName>
    <definedName name="ubinteraluxkerang60">#REF!</definedName>
    <definedName localSheetId="34" name="kawatduri">#REF!</definedName>
    <definedName localSheetId="44" name="______MMM17">#REF!</definedName>
    <definedName localSheetId="9" name="tky">#REF!</definedName>
    <definedName localSheetId="44" name="__pvc105">#REF!</definedName>
    <definedName localSheetId="44" name="minyaksolar">#REF!</definedName>
    <definedName localSheetId="21" name="engselpintu">#REF!</definedName>
    <definedName localSheetId="21" name="Analisa631">#REF!</definedName>
    <definedName localSheetId="3" name="__pc40">#REF!</definedName>
    <definedName localSheetId="21" name="_____MMM32">#REF!</definedName>
    <definedName localSheetId="6" name="nmdaerah">#REF!</definedName>
    <definedName localSheetId="17" name="FORM771d">#REF!</definedName>
    <definedName localSheetId="3" name="FORM771c">#REF!</definedName>
    <definedName localSheetId="9" name="_DIV1">#REF!</definedName>
    <definedName localSheetId="21" name="R35..">#REF!</definedName>
    <definedName localSheetId="38" name="kuncisilinder">#REF!</definedName>
    <definedName localSheetId="44" name="______MMM52">#REF!</definedName>
    <definedName name="ubinkeramik1033">#REF!</definedName>
    <definedName localSheetId="17" name="Excel_BuiltIn_Print_Area_10">#REF!</definedName>
    <definedName localSheetId="3" name="FORM635">#REF!</definedName>
    <definedName localSheetId="10" name="pagar2m">#REF!</definedName>
    <definedName localSheetId="7" name="ubinkeramik2525">#REF!</definedName>
    <definedName localSheetId="8" name="R5..">#REF!</definedName>
    <definedName localSheetId="27" name="FORM7613c">#REF!</definedName>
    <definedName localSheetId="21" name="plintubinkeramikartistik1020">#REF!</definedName>
    <definedName localSheetId="38" name="R50..">#REF!</definedName>
    <definedName localSheetId="15" name="GUIIII">#REF!</definedName>
    <definedName localSheetId="11" name="semenwarna">#REF!</definedName>
    <definedName localSheetId="31" name="e">#REF!</definedName>
    <definedName localSheetId="0" name="FORM8410">#REF!</definedName>
    <definedName localSheetId="38" name="_PC50">#REF!</definedName>
    <definedName localSheetId="39" name="papanbulian">#REF!</definedName>
    <definedName name="kawatsengpolos">#REF!</definedName>
    <definedName localSheetId="13" name="_____DIV3">#REF!</definedName>
    <definedName localSheetId="18" name="URAIAN732">#REF!</definedName>
    <definedName localSheetId="3" name="Analisa8405">#REF!</definedName>
    <definedName localSheetId="40" name="_____MMM03">#REF!</definedName>
    <definedName localSheetId="5" name="siap1">#REF!</definedName>
    <definedName localSheetId="36" name="R2..">#REF!</definedName>
    <definedName localSheetId="7" name="_______MMM04">#REF!</definedName>
    <definedName localSheetId="23" name="kran.ddg">#REF!</definedName>
    <definedName localSheetId="42" name="hakangin">#REF!</definedName>
    <definedName localSheetId="0" name="______MMM02">#REF!</definedName>
    <definedName localSheetId="0" name="nmdaerah">#REF!</definedName>
    <definedName localSheetId="25" name="_LLL01">#REF!</definedName>
    <definedName localSheetId="15" name="FORM731">#REF!</definedName>
    <definedName localSheetId="31" name="R40..">#REF!</definedName>
    <definedName localSheetId="44" name="_______MMM24">#REF!</definedName>
    <definedName localSheetId="3" name="________MMM51">#REF!</definedName>
    <definedName localSheetId="23" name="_HAL6">#REF!</definedName>
    <definedName localSheetId="39" name="batacote">#REF!</definedName>
    <definedName localSheetId="39" name="_______DIV3">#REF!</definedName>
    <definedName localSheetId="6" name="xxxxx">#REF!</definedName>
    <definedName localSheetId="3" name="__HAL8">#REF!</definedName>
    <definedName localSheetId="7" name="_________LLL05">#REF!</definedName>
    <definedName localSheetId="5" name="kayubulian">#REF!</definedName>
    <definedName localSheetId="28" name="pakubiasa">#REF!</definedName>
    <definedName localSheetId="3" name="STRUKTUR">#REF!</definedName>
    <definedName localSheetId="27" name="plintkeramikartistik1010">#REF!</definedName>
    <definedName localSheetId="41" name="plamur.matex">#REF!</definedName>
    <definedName localSheetId="31" name="ktbs">#REF!</definedName>
    <definedName localSheetId="27" name="tegelplinteraso10x30">#REF!</definedName>
    <definedName localSheetId="8" name="Print_title">#REF!</definedName>
    <definedName localSheetId="18" name="__DIV2">#REF!</definedName>
    <definedName localSheetId="8" name="ts">#REF!</definedName>
    <definedName localSheetId="5" name="dempul">#REF!</definedName>
    <definedName localSheetId="17" name="kayukelas2">#REF!</definedName>
    <definedName localSheetId="4" name="_pp1">#REF!</definedName>
    <definedName localSheetId="27" name="_____DIV4">#REF!</definedName>
    <definedName localSheetId="44" name="_____LLL09">#REF!</definedName>
    <definedName localSheetId="17" name="Fak">#REF!</definedName>
    <definedName localSheetId="5" name="_______MMM03">#REF!</definedName>
    <definedName localSheetId="13" name="engsel4">#REF!</definedName>
    <definedName localSheetId="27" name="bbm">#REF!</definedName>
    <definedName localSheetId="42" name="Overhead">#REF!</definedName>
    <definedName localSheetId="7" name="batuteraso">#REF!</definedName>
    <definedName localSheetId="28" name="_______DIV2">#REF!</definedName>
    <definedName localSheetId="13" name="___HAL1">#REF!</definedName>
    <definedName localSheetId="36" name="klosetjongkok">#REF!</definedName>
    <definedName localSheetId="24" name="_________MMM15">#REF!</definedName>
    <definedName localSheetId="12" name="aluminiumfoil">#REF!</definedName>
    <definedName localSheetId="9" name="Kekurangan">#REF!</definedName>
    <definedName localSheetId="42" name="besijaringkawatbaja">#REF!</definedName>
    <definedName localSheetId="44" name="__MMM23">#REF!</definedName>
    <definedName name="plintubinpcabuabu1520">#REF!</definedName>
    <definedName localSheetId="42" name="___HAL3">#REF!</definedName>
    <definedName localSheetId="33" name="_Tl1">#REF!</definedName>
    <definedName localSheetId="18" name="URAIAN323L">#REF!</definedName>
    <definedName localSheetId="9" name="_______HAL3">#REF!</definedName>
    <definedName localSheetId="20" name="teakwood6mm">#REF!</definedName>
    <definedName localSheetId="4" name="__MMM02">#REF!</definedName>
    <definedName localSheetId="3" name="_MMM25">#REF!</definedName>
    <definedName localSheetId="32" name="Closet.ddk">#REF!</definedName>
    <definedName localSheetId="40" name="R20..">#REF!</definedName>
    <definedName localSheetId="18" name="batugranito">#REF!</definedName>
    <definedName localSheetId="24" name="rooflightfiibreglass">#REF!</definedName>
    <definedName localSheetId="21" name="_____LLL07">#REF!</definedName>
    <definedName localSheetId="10" name="Nok">#REF!</definedName>
    <definedName localSheetId="0" name="hd">#REF!</definedName>
    <definedName localSheetId="30" name="___DIV10">#REF!</definedName>
    <definedName localSheetId="44" name="R33..">#REF!</definedName>
    <definedName localSheetId="4" name="kompresor">#REF!</definedName>
    <definedName localSheetId="28" name="_____HAL3">#REF!</definedName>
    <definedName localSheetId="4" name="URAIAN7613a">#REF!</definedName>
    <definedName localSheetId="17" name="doorcloser">#REF!</definedName>
    <definedName localSheetId="44" name="mapel">#REF!</definedName>
    <definedName localSheetId="23" name="________DIV10">#REF!</definedName>
    <definedName localSheetId="20" name="URAIAN771a">#REF!</definedName>
    <definedName localSheetId="42" name="DFFFGGG">#REF!</definedName>
    <definedName localSheetId="36" name="__DIV1">#REF!</definedName>
    <definedName localSheetId="5" name="Aluminium">#REF!</definedName>
    <definedName localSheetId="11" name="URAIAN7613a">#REF!</definedName>
    <definedName localSheetId="42" name="___MMM02">#REF!</definedName>
    <definedName localSheetId="34" name="R4..">#REF!</definedName>
    <definedName localSheetId="21" name="papanjelutung">#REF!</definedName>
    <definedName localSheetId="12" name="Galam">#REF!</definedName>
    <definedName localSheetId="7" name="plintubinteraluxkerang1040">#REF!</definedName>
    <definedName localSheetId="38" name="_Tl1">#REF!</definedName>
    <definedName localSheetId="7" name="______MMM10">#REF!</definedName>
    <definedName localSheetId="41" name="plintubinteraluxmarmer1040">#REF!</definedName>
    <definedName localSheetId="19" name="jj">#REF!</definedName>
    <definedName localSheetId="19" name="plintubinteraluxmarmer1060">#REF!</definedName>
    <definedName localSheetId="11" name="______HAL2">#REF!</definedName>
    <definedName localSheetId="33" name="pindahan">#REF!</definedName>
    <definedName localSheetId="31" name="besi13u">#REF!</definedName>
    <definedName localSheetId="12" name="batuteraso">#REF!</definedName>
    <definedName localSheetId="4" name="kayumarsawa">#REF!</definedName>
    <definedName localSheetId="17" name="________MMM52">#REF!</definedName>
    <definedName localSheetId="7" name="Analisa55">#REF!</definedName>
    <definedName localSheetId="41" name="batuapung">#REF!</definedName>
    <definedName localSheetId="17" name="______MMM28">#REF!</definedName>
    <definedName localSheetId="44" name="______LLL07">#REF!</definedName>
    <definedName localSheetId="21" name="ubinkeramik1033">#REF!</definedName>
    <definedName localSheetId="17" name="_________MMM04">#REF!</definedName>
    <definedName localSheetId="7" name="teakwood4mm">#REF!</definedName>
    <definedName localSheetId="13" name="papanbulian">#REF!</definedName>
    <definedName localSheetId="12" name="_______DIV10">#REF!</definedName>
    <definedName localSheetId="9" name="_HAL4">#REF!</definedName>
    <definedName localSheetId="3" name="kayukamper">#REF!</definedName>
    <definedName localSheetId="12" name="_____DIV4">#REF!</definedName>
    <definedName localSheetId="18" name="catantara">#REF!</definedName>
    <definedName localSheetId="9" name="w.stain">#REF!</definedName>
    <definedName localSheetId="17" name="_________MMM14">#REF!</definedName>
    <definedName localSheetId="7" name="FORM632">#REF!</definedName>
    <definedName localSheetId="34" name="__MMM01">#REF!</definedName>
    <definedName localSheetId="13" name="yyyyyyy">#REF!</definedName>
    <definedName localSheetId="17" name="_______MMM30">#REF!</definedName>
    <definedName localSheetId="0" name="_________HAL2">#REF!</definedName>
    <definedName localSheetId="30" name="ubingranito40">#REF!</definedName>
    <definedName name="__MMM40">#REF!</definedName>
    <definedName localSheetId="21" name="_______DIV2">#REF!</definedName>
    <definedName localSheetId="0" name="penduduk">#REF!</definedName>
    <definedName localSheetId="44" name="URAIAN641L">#REF!</definedName>
    <definedName localSheetId="33" name="_____DIV1">#REF!</definedName>
    <definedName localSheetId="7" name="nnnnn">#REF!</definedName>
    <definedName localSheetId="19" name="_______DIV4">#REF!</definedName>
    <definedName localSheetId="41" name="FORM632">#REF!</definedName>
    <definedName localSheetId="3" name="kaca.es">#REF!</definedName>
    <definedName localSheetId="32" name="pintulipat">#REF!</definedName>
    <definedName localSheetId="24" name="_____MMM45">#REF!</definedName>
    <definedName localSheetId="10" name="plamur.matex">#REF!</definedName>
    <definedName localSheetId="4" name="plastikaerator">#REF!</definedName>
    <definedName localSheetId="9" name="pijar15">#REF!</definedName>
    <definedName localSheetId="27" name="__DIV4">#REF!</definedName>
    <definedName localSheetId="20" name="G">#REF!</definedName>
    <definedName localSheetId="11" name="FORM8410">#REF!</definedName>
    <definedName localSheetId="6" name="___pvc2">#REF!</definedName>
    <definedName localSheetId="15" name="c.mowi.dlm">#REF!</definedName>
    <definedName localSheetId="10" name="kayuramin">#REF!</definedName>
    <definedName localSheetId="33" name="bakcuciteraso">#REF!</definedName>
    <definedName localSheetId="34" name="URAIAN7612a">#REF!</definedName>
    <definedName localSheetId="11" name="waterstop150">#REF!</definedName>
    <definedName localSheetId="23" name="M">#REF!</definedName>
    <definedName localSheetId="20" name="k.40.40.roman.crk">#REF!</definedName>
    <definedName localSheetId="30" name="_____DIV3">#REF!</definedName>
    <definedName name="_______MMM06">#REF!</definedName>
    <definedName localSheetId="11" name="GUIIII">#REF!</definedName>
    <definedName localSheetId="24" name="multi.4">#REF!</definedName>
    <definedName localSheetId="39" name="pakubulian">#REF!</definedName>
    <definedName localSheetId="13" name="_DIV2">#REF!</definedName>
    <definedName localSheetId="9" name="kawatnyamuk">#REF!</definedName>
    <definedName name="______MMM41">#REF!</definedName>
    <definedName localSheetId="5" name="terasocor">#REF!</definedName>
    <definedName localSheetId="40" name="engselangin">#REF!</definedName>
    <definedName localSheetId="28" name="na">#REF!</definedName>
    <definedName localSheetId="27" name="Jendelabesibaja">#REF!</definedName>
    <definedName localSheetId="8" name="plastikaerator">#REF!</definedName>
    <definedName localSheetId="28" name="kiki">#REF!</definedName>
    <definedName localSheetId="20" name="___HAL1">#REF!</definedName>
    <definedName localSheetId="40" name="_pp1">#REF!</definedName>
    <definedName localSheetId="38" name="tegel20">#REF!</definedName>
    <definedName localSheetId="44" name="URAIAN918">#REF!</definedName>
    <definedName localSheetId="44" name="__MMM51">#REF!</definedName>
    <definedName localSheetId="30" name="akustikarmstrong">#REF!</definedName>
    <definedName localSheetId="21" name="c.mowi.luar">#REF!</definedName>
    <definedName localSheetId="44" name="R101..">#REF!</definedName>
    <definedName localSheetId="44" name="_DIV6">#REF!</definedName>
    <definedName localSheetId="36" name="gali">#REF!</definedName>
    <definedName localSheetId="31" name="____DIV3">#REF!</definedName>
    <definedName localSheetId="7" name="___DIV5">#REF!</definedName>
    <definedName localSheetId="11" name="pipabeton">#REF!</definedName>
    <definedName localSheetId="3" name="_MMM42">#REF!</definedName>
    <definedName localSheetId="6" name="_pvc205">#REF!</definedName>
    <definedName localSheetId="42" name="__LLL03">#REF!</definedName>
    <definedName localSheetId="21" name="URAIAN732">#REF!</definedName>
    <definedName localSheetId="6" name="_____HAL2">#REF!</definedName>
    <definedName localSheetId="32" name="____HAL2">#REF!</definedName>
    <definedName localSheetId="0" name="plintubinteraluxmarmer1030">#REF!</definedName>
    <definedName localSheetId="0" name="cendana">#REF!</definedName>
    <definedName localSheetId="3" name="zzz">#REF!</definedName>
    <definedName localSheetId="3" name="____DIV3">#REF!</definedName>
    <definedName localSheetId="7" name="_______MMM33">#REF!</definedName>
    <definedName localSheetId="42" name="RINCIANSEWA2">#REF!</definedName>
    <definedName localSheetId="34" name="pakusumbat">#REF!</definedName>
    <definedName localSheetId="12" name="GUIIII">#REF!</definedName>
    <definedName localSheetId="25" name="_MMM02">#REF!</definedName>
    <definedName localSheetId="23" name="FORM7614a">#REF!</definedName>
    <definedName localSheetId="5" name="Per">#REF!</definedName>
    <definedName localSheetId="7" name="URAIAN232">#REF!</definedName>
    <definedName localSheetId="21" name="_____MMM10">#REF!</definedName>
    <definedName localSheetId="13" name="pakuhalus">#REF!</definedName>
    <definedName name="kuncitanambiasa">#REF!</definedName>
    <definedName name="__MMM05">#REF!</definedName>
    <definedName localSheetId="7" name="________MMM25">#REF!</definedName>
    <definedName localSheetId="36" name="pakuhalus">#REF!</definedName>
    <definedName name="Analisa8405">#REF!</definedName>
    <definedName localSheetId="34" name="FORM745">#REF!</definedName>
    <definedName localSheetId="0" name="_____HAL1">#REF!</definedName>
    <definedName localSheetId="23" name="___HAL1">#REF!</definedName>
    <definedName localSheetId="11" name="ppn.m.3.20.serut">#REF!</definedName>
    <definedName localSheetId="3" name="URAIAN651">#REF!</definedName>
    <definedName localSheetId="42" name="hcs">#REF!</definedName>
    <definedName localSheetId="41" name="nokpaten105">#REF!</definedName>
    <definedName localSheetId="8" name="kunciselot">#REF!</definedName>
    <definedName localSheetId="24" name="_DIV9">#REF!</definedName>
    <definedName localSheetId="3" name="Faktorial">#REF!</definedName>
    <definedName localSheetId="9" name="bouwplnk">#REF!</definedName>
    <definedName localSheetId="10" name="________MMM01">#REF!</definedName>
    <definedName localSheetId="25" name="FORM66PERMUKAAN">#REF!</definedName>
    <definedName localSheetId="0" name="_____DIV10">#REF!</definedName>
    <definedName localSheetId="4" name="Skrup">#REF!</definedName>
    <definedName name="________MMM17">#REF!</definedName>
    <definedName localSheetId="21" name="R16..">#REF!</definedName>
    <definedName localSheetId="34" name="p.kmp.smrd.3.20">#REF!</definedName>
    <definedName localSheetId="39" name="SPJa">#REF!</definedName>
    <definedName localSheetId="3" name="Print_Titles_MI">#REF!</definedName>
    <definedName localSheetId="6" name="_HAL6">#REF!</definedName>
    <definedName localSheetId="24" name="Excel_BuiltIn_Print_Titles_2">#REF!</definedName>
    <definedName localSheetId="25" name="___HAL1">#REF!</definedName>
    <definedName localSheetId="32" name="tbkr">#REF!</definedName>
    <definedName localSheetId="15" name="d">#REF!</definedName>
    <definedName localSheetId="4" name="air">#REF!</definedName>
    <definedName localSheetId="20" name="ubinkeramik1033">#REF!</definedName>
    <definedName localSheetId="3" name="leni">#REF!</definedName>
    <definedName localSheetId="20" name="UTAIAN7614c">#REF!</definedName>
    <definedName localSheetId="44" name="______MMM49">#REF!</definedName>
    <definedName localSheetId="34" name="data2">#REF!</definedName>
    <definedName localSheetId="31" name="waterstop230">#REF!</definedName>
    <definedName localSheetId="24" name="_MMM25">#REF!</definedName>
    <definedName localSheetId="40" name="keramik40">#REF!</definedName>
    <definedName localSheetId="3" name="vertikalsblinds">#REF!</definedName>
    <definedName localSheetId="21" name="R40..">#REF!</definedName>
    <definedName localSheetId="11" name="kaca12">#REF!</definedName>
    <definedName localSheetId="15" name="_818PK">#REF!</definedName>
    <definedName localSheetId="6" name="c.mowi.luar">#REF!</definedName>
    <definedName localSheetId="32" name="lem">#REF!</definedName>
    <definedName localSheetId="7" name="R49..">#REF!</definedName>
    <definedName localSheetId="18" name="ppn.m.3.20.serut">#REF!</definedName>
    <definedName localSheetId="15" name="R3..">#REF!</definedName>
    <definedName localSheetId="24" name="________DIV1">#REF!</definedName>
    <definedName localSheetId="7" name="___DIV2">#REF!</definedName>
    <definedName localSheetId="44" name="_________MMM19">#REF!</definedName>
    <definedName localSheetId="7" name="teakwood6mm">#REF!</definedName>
    <definedName localSheetId="21" name="_DIV4">#REF!</definedName>
    <definedName localSheetId="34" name="semenwarna">#REF!</definedName>
    <definedName localSheetId="30" name="kawatburung">#REF!</definedName>
    <definedName localSheetId="4" name="kaca3">#REF!</definedName>
    <definedName localSheetId="6" name="SSSSSSSSSSSSSSSSSSSSSSSSSSSSS">#REF!</definedName>
    <definedName localSheetId="7" name="_______LLL02">#REF!</definedName>
    <definedName localSheetId="3" name="______LLL02">#REF!</definedName>
    <definedName localSheetId="24" name="kmp.banjar">#REF!</definedName>
    <definedName localSheetId="39" name="R20..">#REF!</definedName>
    <definedName localSheetId="28" name="_MMM02">#REF!</definedName>
    <definedName localSheetId="7" name="__DIV2">#REF!</definedName>
    <definedName localSheetId="24" name="_______MMM24">#REF!</definedName>
    <definedName localSheetId="33" name="got">#REF!</definedName>
    <definedName localSheetId="23" name="hd">#REF!</definedName>
    <definedName localSheetId="12" name="waterstop150">#REF!</definedName>
    <definedName localSheetId="24" name="____MMM07">#REF!</definedName>
    <definedName localSheetId="10" name="mlex.w">#REF!</definedName>
    <definedName localSheetId="28" name="besipresstressedpolos">#REF!</definedName>
    <definedName localSheetId="19" name="Z">#REF!</definedName>
    <definedName localSheetId="41" name="pasirpas">#REF!</definedName>
    <definedName localSheetId="24" name="FORM622">#REF!</definedName>
    <definedName localSheetId="17" name="ubinkeramik1520">#REF!</definedName>
    <definedName localSheetId="17" name="________MMM25">#REF!</definedName>
    <definedName localSheetId="7" name="ubintahanasam">#REF!</definedName>
    <definedName localSheetId="42" name="batacote">#REF!</definedName>
    <definedName localSheetId="32" name="sealent">#REF!</definedName>
    <definedName localSheetId="44" name="R100..">#REF!</definedName>
    <definedName localSheetId="38" name="____HAL3">#REF!</definedName>
    <definedName localSheetId="23" name="UP">#REF!</definedName>
    <definedName localSheetId="28" name="__DIV2">#REF!</definedName>
    <definedName localSheetId="30" name="cycllop">#REF!</definedName>
    <definedName localSheetId="44" name="________LLL11">#REF!</definedName>
    <definedName localSheetId="3" name="FORM772c">#REF!</definedName>
    <definedName localSheetId="15" name="FORM732">#REF!</definedName>
    <definedName localSheetId="10" name="_DIV4">#REF!</definedName>
    <definedName localSheetId="41" name="Nokmetal3mm">#REF!</definedName>
    <definedName name="FORM732">#REF!</definedName>
    <definedName localSheetId="17" name="_Ibr1">#REF!</definedName>
    <definedName name="____DIV10">#REF!</definedName>
    <definedName localSheetId="24" name="____MMM10">#REF!</definedName>
    <definedName localSheetId="34" name="pipatanah">#REF!</definedName>
    <definedName localSheetId="23" name="____HAL1">#REF!</definedName>
    <definedName localSheetId="17" name="________MMM49">#REF!</definedName>
    <definedName name="NAMA2">#REF!</definedName>
    <definedName localSheetId="41" name="pintugulungbesi">#REF!</definedName>
    <definedName localSheetId="44" name="__MMM03">#REF!</definedName>
    <definedName localSheetId="7" name="paving">#REF!</definedName>
    <definedName localSheetId="21" name="___MMM31">#REF!</definedName>
    <definedName localSheetId="11" name="ubinkeramikartistik520">#REF!</definedName>
    <definedName localSheetId="6" name="_Tl1">#REF!</definedName>
    <definedName localSheetId="32" name="jendelanako">#REF!</definedName>
    <definedName localSheetId="40" name="pijar15">#REF!</definedName>
    <definedName localSheetId="5" name="_tl2">#REF!</definedName>
    <definedName localSheetId="21" name="__MMM07">#REF!</definedName>
    <definedName localSheetId="41" name="relpintudorong">#REF!</definedName>
    <definedName localSheetId="7" name="___LLL09">#REF!</definedName>
    <definedName localSheetId="7" name="ubinwarna30">#REF!</definedName>
    <definedName localSheetId="21" name="URAIAN731">#REF!</definedName>
    <definedName localSheetId="9" name="closedjongkok">#REF!</definedName>
    <definedName localSheetId="13" name="kaca.es">#REF!</definedName>
    <definedName localSheetId="17" name="beton100kg">#REF!</definedName>
    <definedName localSheetId="24" name="URAIAN7612c">#REF!</definedName>
    <definedName localSheetId="9" name="dua">#REF!</definedName>
    <definedName localSheetId="6" name="s.warna">#REF!</definedName>
    <definedName localSheetId="19" name="hd">#REF!</definedName>
    <definedName localSheetId="4" name="URAIAN631">#REF!</definedName>
    <definedName localSheetId="4" name="medan5.10">#REF!</definedName>
    <definedName localSheetId="36" name="Meni">#REF!</definedName>
    <definedName localSheetId="3" name="_______DIV10">#REF!</definedName>
    <definedName localSheetId="41" name="_pvc3">#REF!</definedName>
    <definedName localSheetId="24" name="besipresstressedpolos">#REF!</definedName>
    <definedName localSheetId="21" name="_DIV2">#REF!</definedName>
    <definedName localSheetId="3" name="_________LLL09">#REF!</definedName>
    <definedName localSheetId="39" name="____DIV10">#REF!</definedName>
    <definedName localSheetId="3" name="begisting">#REF!</definedName>
    <definedName localSheetId="33" name="he">#REF!</definedName>
    <definedName localSheetId="42" name="engsel4">#REF!</definedName>
    <definedName localSheetId="44" name="FORM631">#REF!</definedName>
    <definedName localSheetId="36" name="URAIAN79manual">#REF!</definedName>
    <definedName localSheetId="23" name="R60..">#REF!</definedName>
    <definedName localSheetId="44" name="nokpaten105">#REF!</definedName>
    <definedName localSheetId="41" name="pintualuminium">#REF!</definedName>
    <definedName localSheetId="30" name="RPHL">#REF!</definedName>
    <definedName localSheetId="17" name="_______DIV9">#REF!</definedName>
    <definedName localSheetId="39" name="got">#REF!</definedName>
    <definedName localSheetId="6" name="coveartistik">#REF!</definedName>
    <definedName localSheetId="11" name="ktky">#REF!</definedName>
    <definedName localSheetId="9" name="URAIAN7614b">#REF!</definedName>
    <definedName name="______MMM42">#REF!</definedName>
    <definedName localSheetId="39" name="mowi.w.shield">#REF!</definedName>
    <definedName localSheetId="20" name="vertikalsblinds">#REF!</definedName>
    <definedName localSheetId="34" name="sengplatbjls25">#REF!</definedName>
    <definedName localSheetId="17" name="flordrain">#REF!</definedName>
    <definedName localSheetId="30" name="tegelplin20x20">#REF!</definedName>
    <definedName localSheetId="30" name="venetionblinds">#REF!</definedName>
    <definedName localSheetId="3" name="________LLL06">#REF!</definedName>
    <definedName localSheetId="39" name="FORM79manual">#REF!</definedName>
    <definedName localSheetId="36" name="___DIV1">#REF!</definedName>
    <definedName localSheetId="18" name="________MMM03">#REF!</definedName>
    <definedName localSheetId="17" name="________MMM04">#REF!</definedName>
    <definedName localSheetId="11" name="_LLL03">#REF!</definedName>
    <definedName localSheetId="3" name="mapel">#REF!</definedName>
    <definedName localSheetId="23" name="Gypsum">#REF!</definedName>
    <definedName localSheetId="28" name="R60..">#REF!</definedName>
    <definedName localSheetId="18" name="ubinkeramikartistik520">#REF!</definedName>
    <definedName localSheetId="10" name="_pvc205">#REF!</definedName>
    <definedName localSheetId="41" name="______DIV2">#REF!</definedName>
    <definedName localSheetId="17" name="BPS">#REF!</definedName>
    <definedName localSheetId="36" name="URAIAN7613c">#REF!</definedName>
    <definedName localSheetId="6" name="URAIAN79manual">#REF!</definedName>
    <definedName localSheetId="10" name="jj">#REF!</definedName>
    <definedName name="nmdaerah">#REF!</definedName>
    <definedName localSheetId="13" name="NAMA3">#REF!</definedName>
    <definedName localSheetId="39" name="_818FA">#REF!</definedName>
    <definedName localSheetId="3" name="________HAL5">#REF!</definedName>
    <definedName localSheetId="27" name="______MMM01">#REF!</definedName>
    <definedName localSheetId="17" name="____HAL6">#REF!</definedName>
    <definedName localSheetId="32" name="_____HAL3">#REF!</definedName>
    <definedName localSheetId="3" name="besi16">#REF!</definedName>
    <definedName localSheetId="38" name="vinylkaretklII">#REF!</definedName>
    <definedName localSheetId="12" name="_pvc3">#REF!</definedName>
    <definedName localSheetId="13" name="total">#REF!</definedName>
    <definedName localSheetId="7" name="___MMM53">#REF!</definedName>
    <definedName localSheetId="4" name="JUDUL1">#REF!</definedName>
    <definedName localSheetId="21" name="__DIV7">#REF!</definedName>
    <definedName localSheetId="24" name="Analisa70614">#REF!</definedName>
    <definedName localSheetId="11" name="SusunanOrg">#REF!</definedName>
    <definedName localSheetId="3" name="plintubinpcabuabu1040">#REF!</definedName>
    <definedName localSheetId="44" name="FORM846">#REF!</definedName>
    <definedName localSheetId="24" name="R105..">#REF!</definedName>
    <definedName localSheetId="38" name="s.warna">#REF!</definedName>
    <definedName localSheetId="4" name="bakcuciteraso">#REF!</definedName>
    <definedName localSheetId="44" name="_MMM08">#REF!</definedName>
    <definedName localSheetId="8" name="_MMM02">#REF!</definedName>
    <definedName localSheetId="24" name="kusen.alum">#REF!</definedName>
    <definedName localSheetId="12" name="JUDUL1">#REF!</definedName>
    <definedName localSheetId="30" name="sodaapi">#REF!</definedName>
    <definedName localSheetId="27" name="gentengdecrabond">#REF!</definedName>
    <definedName localSheetId="27" name="residu">#REF!</definedName>
    <definedName localSheetId="3" name="dasar">#REF!</definedName>
    <definedName localSheetId="9" name="______DIV2">#REF!</definedName>
    <definedName localSheetId="4" name="pengencer">#REF!</definedName>
    <definedName localSheetId="24" name="_MMM28">#REF!</definedName>
    <definedName localSheetId="11" name="papan.m.3.20">#REF!</definedName>
    <definedName localSheetId="15" name="ubinwarna20">#REF!</definedName>
    <definedName localSheetId="44" name="_____LLL08">#REF!</definedName>
    <definedName localSheetId="7" name="___LLL01">#REF!</definedName>
    <definedName localSheetId="36" name="jj">#REF!</definedName>
    <definedName localSheetId="32" name="kuas">#REF!</definedName>
    <definedName localSheetId="23" name="URAIANLatasirK">#REF!</definedName>
    <definedName localSheetId="34" name="R20..">#REF!</definedName>
    <definedName localSheetId="32" name="URAIAN7613b">#REF!</definedName>
    <definedName name="_MMM54">#REF!</definedName>
    <definedName localSheetId="25" name="engsel3">#REF!</definedName>
    <definedName localSheetId="38" name="gali">#REF!</definedName>
    <definedName localSheetId="36" name="p.kmp.smrd.3.20">#REF!</definedName>
    <definedName localSheetId="7" name="_______MMM35">#REF!</definedName>
    <definedName localSheetId="27" name="pddk">#REF!</definedName>
    <definedName localSheetId="42" name="URAIAN771a">#REF!</definedName>
    <definedName localSheetId="44" name="__DIV9">#REF!</definedName>
    <definedName localSheetId="5" name="beton100kg">#REF!</definedName>
    <definedName localSheetId="41" name="gali">#REF!</definedName>
    <definedName localSheetId="9" name="roll">#REF!</definedName>
    <definedName localSheetId="18" name="borneo4.6">#REF!</definedName>
    <definedName localSheetId="15" name="roster">#REF!</definedName>
    <definedName localSheetId="30" name="plywood4">#REF!</definedName>
    <definedName localSheetId="28" name="NAMA2">#REF!</definedName>
    <definedName localSheetId="18" name="keramik30x30">#REF!</definedName>
    <definedName localSheetId="34" name="u.besi">#REF!</definedName>
    <definedName localSheetId="44" name="_______MMM46">#REF!</definedName>
    <definedName localSheetId="38" name="FORMLatasirK">#REF!</definedName>
    <definedName localSheetId="44" name="Tbs">#REF!</definedName>
    <definedName localSheetId="44" name="______MMM28">#REF!</definedName>
    <definedName localSheetId="11" name="u.besi">#REF!</definedName>
    <definedName localSheetId="19" name="kawatburung">#REF!</definedName>
    <definedName localSheetId="3" name="sealent">#REF!</definedName>
    <definedName localSheetId="25" name="pipatanah">#REF!</definedName>
    <definedName localSheetId="20" name="MATERIAL">#REF!</definedName>
    <definedName localSheetId="24" name="urugankembali">#REF!</definedName>
    <definedName localSheetId="34" name="Uraian841">#REF!</definedName>
    <definedName localSheetId="42" name="beton225r">#REF!</definedName>
    <definedName localSheetId="8" name="p.bI">#REF!</definedName>
    <definedName localSheetId="39" name="FORM79mekanis">#REF!</definedName>
    <definedName localSheetId="34" name="urugankembali">#REF!</definedName>
    <definedName localSheetId="28" name="M">#REF!</definedName>
    <definedName localSheetId="21" name="ASISTEN_BIDANG_PEMERINTAHAN">#REF!</definedName>
    <definedName localSheetId="4" name="lb">#REF!</definedName>
    <definedName localSheetId="24" name="PTJW">#REF!</definedName>
    <definedName localSheetId="25" name="DFFFGGG">#REF!</definedName>
    <definedName localSheetId="44" name="_LLL10">#REF!</definedName>
    <definedName localSheetId="10" name="M">#REF!</definedName>
    <definedName localSheetId="44" name="FRRDS">#REF!</definedName>
    <definedName localSheetId="21" name="Jendelabesibaja">#REF!</definedName>
    <definedName localSheetId="33" name="______DIV4">#REF!</definedName>
    <definedName name="profilalumuniumT">#REF!</definedName>
    <definedName localSheetId="10" name="vinylasbes">#REF!</definedName>
    <definedName localSheetId="20" name="UP">#REF!</definedName>
    <definedName localSheetId="18" name="tbkr">#REF!</definedName>
    <definedName localSheetId="18" name="________DIV2">#REF!</definedName>
    <definedName localSheetId="40" name="______HAL3">#REF!</definedName>
    <definedName localSheetId="6" name="_____HAL3">#REF!</definedName>
    <definedName localSheetId="32" name="_________MMM02">#REF!</definedName>
    <definedName localSheetId="44" name="Analisa70614">#REF!</definedName>
    <definedName localSheetId="15" name="kaca8">#REF!</definedName>
    <definedName localSheetId="31" name="FORM7614a">#REF!</definedName>
    <definedName localSheetId="31" name="koralbeton">#REF!</definedName>
    <definedName localSheetId="10" name="________DIV3">#REF!</definedName>
    <definedName localSheetId="25" name="pakuskrup">#REF!</definedName>
    <definedName name="___MMM46">#REF!</definedName>
    <definedName localSheetId="3" name="___HAL1">#REF!</definedName>
    <definedName localSheetId="3" name="p.bI">#REF!</definedName>
    <definedName localSheetId="9" name="Pengadaan">#REF!</definedName>
    <definedName localSheetId="11" name="plintubinwarna1020">#REF!</definedName>
    <definedName localSheetId="39" name="roll">#REF!</definedName>
    <definedName localSheetId="24" name="____LLL05">#REF!</definedName>
    <definedName localSheetId="36" name="platasbes">#REF!</definedName>
    <definedName localSheetId="0" name="AAAAAAA">#REF!</definedName>
    <definedName localSheetId="11" name="tbkr">#REF!</definedName>
    <definedName localSheetId="7" name="UPAH">#REF!</definedName>
    <definedName localSheetId="6" name="FORM7613c">#REF!</definedName>
    <definedName localSheetId="31" name="semen50">#REF!</definedName>
    <definedName localSheetId="36" name="gymfloor">#REF!</definedName>
    <definedName localSheetId="44" name="urugan">#REF!</definedName>
    <definedName localSheetId="5" name="kawatharmonika">#REF!</definedName>
    <definedName localSheetId="13" name="SusunanOrg">#REF!</definedName>
    <definedName localSheetId="44" name="____MMM10">#REF!</definedName>
    <definedName localSheetId="6" name="________MMM02">#REF!</definedName>
    <definedName localSheetId="6" name="FORM7610">#REF!</definedName>
    <definedName localSheetId="24" name="FORM641L">#REF!</definedName>
    <definedName name="ASPAL">#REF!</definedName>
    <definedName localSheetId="42" name="____MMM01">#REF!</definedName>
    <definedName localSheetId="40" name="plintubinwarna1030">#REF!</definedName>
    <definedName localSheetId="8" name="MINOR">#REF!</definedName>
    <definedName localSheetId="6" name="lp">#REF!</definedName>
    <definedName localSheetId="6" name="R30..">#REF!</definedName>
    <definedName localSheetId="0" name="plywood4">#REF!</definedName>
    <definedName localSheetId="3" name="Uraian842">#REF!</definedName>
    <definedName localSheetId="32" name="pddk">#REF!</definedName>
    <definedName localSheetId="28" name="doorcloser">#REF!</definedName>
    <definedName name="c.maxi">#REF!</definedName>
    <definedName localSheetId="4" name="klosetjongkok">#REF!</definedName>
    <definedName localSheetId="21" name="URAIAN745">#REF!</definedName>
    <definedName localSheetId="40" name="lb">#REF!</definedName>
    <definedName localSheetId="44" name="_____HAL7">#REF!</definedName>
    <definedName localSheetId="41" name="kran.ddg">#REF!</definedName>
    <definedName localSheetId="40" name="__pvc05">#REF!</definedName>
    <definedName localSheetId="25" name="URAIAN">#REF!</definedName>
    <definedName localSheetId="36" name="_______DIV10">#REF!</definedName>
    <definedName localSheetId="33" name="kayujati">#REF!</definedName>
    <definedName localSheetId="12" name="___MMM02">#REF!</definedName>
    <definedName localSheetId="3" name="GUIIII">#REF!</definedName>
    <definedName localSheetId="11" name="plintkeramikartistik520">#REF!</definedName>
    <definedName localSheetId="20" name="R50..">#REF!</definedName>
    <definedName localSheetId="12" name="catmeni">#REF!</definedName>
    <definedName localSheetId="20" name="gypsum.9">#REF!</definedName>
    <definedName localSheetId="27" name="__HAL5">#REF!</definedName>
    <definedName localSheetId="0" name="tm_2415921492">#REF!</definedName>
    <definedName localSheetId="27" name="FORM771a">#REF!</definedName>
    <definedName name="_____MMM40">#REF!</definedName>
    <definedName localSheetId="44" name="____MMM02">#REF!</definedName>
    <definedName localSheetId="25" name="kuncilemari">#REF!</definedName>
    <definedName localSheetId="40" name="p.bI">#REF!</definedName>
    <definedName localSheetId="17" name="_______DIV2">#REF!</definedName>
    <definedName localSheetId="17" name="kawatsengpolos">#REF!</definedName>
    <definedName localSheetId="3" name="___MMM10">#REF!</definedName>
    <definedName localSheetId="36" name="____DIV3">#REF!</definedName>
    <definedName localSheetId="30" name="ASPAL">#REF!</definedName>
    <definedName localSheetId="17" name="_MMM27">#REF!</definedName>
    <definedName localSheetId="6" name="plastik">#REF!</definedName>
    <definedName localSheetId="21" name="pvc.0.5.mas.d">#REF!</definedName>
    <definedName localSheetId="7" name="_____MMM54">#REF!</definedName>
    <definedName localSheetId="23" name="RPHL">#REF!</definedName>
    <definedName localSheetId="21" name="_________HAL7">#REF!</definedName>
    <definedName localSheetId="44" name="URAIAN771d">#REF!</definedName>
    <definedName localSheetId="38" name="URAIAN631">#REF!</definedName>
    <definedName localSheetId="20" name="_pvc3">#REF!</definedName>
    <definedName localSheetId="21" name="_MMM36">#REF!</definedName>
    <definedName localSheetId="25" name="papanbulian">#REF!</definedName>
    <definedName localSheetId="44" name="URAIAN917">#REF!</definedName>
    <definedName localSheetId="3" name="______DIV10">#REF!</definedName>
    <definedName localSheetId="18" name="FORM744">#REF!</definedName>
    <definedName localSheetId="28" name="Uraian842">#REF!</definedName>
    <definedName localSheetId="12" name="Excel_BuiltIn_Print_Area_1">#REF!</definedName>
    <definedName localSheetId="19" name="Analisa512">#REF!</definedName>
    <definedName localSheetId="9" name="batuapung">#REF!</definedName>
    <definedName localSheetId="5" name="begisting">#REF!</definedName>
    <definedName localSheetId="0" name="panelbetonpracetak">#REF!</definedName>
    <definedName name="URAIAN772d">#REF!</definedName>
    <definedName localSheetId="8" name="JL_NAS">#REF!</definedName>
    <definedName localSheetId="34" name="Pjgsloof">#REF!</definedName>
    <definedName localSheetId="4" name="pakusirap">#REF!</definedName>
    <definedName localSheetId="21" name="________MMM19">#REF!</definedName>
    <definedName name="SUNGAI_BERTAM">#REF!</definedName>
    <definedName localSheetId="38" name="plintubinteraluxkerang1040">#REF!</definedName>
    <definedName localSheetId="5" name="ngsel4">#REF!</definedName>
    <definedName localSheetId="0" name="________HAL2">#REF!</definedName>
    <definedName localSheetId="33" name="s.warna">#REF!</definedName>
    <definedName localSheetId="44" name="URAIAN651">#REF!</definedName>
    <definedName name="____MMM45">#REF!</definedName>
    <definedName localSheetId="5" name="__LLL02">#REF!</definedName>
    <definedName localSheetId="25" name="FORM841">#REF!</definedName>
    <definedName name="R51..">#REF!</definedName>
    <definedName localSheetId="41" name="_______DIV2">#REF!</definedName>
    <definedName localSheetId="38" name="sementahanasam">#REF!</definedName>
    <definedName localSheetId="41" name="HP">#REF!</definedName>
    <definedName localSheetId="34" name="URAIAN632">#REF!</definedName>
    <definedName localSheetId="13" name="Akustik">#REF!</definedName>
    <definedName localSheetId="6" name="plywood6mm">#REF!</definedName>
    <definedName localSheetId="8" name="JA">#REF!</definedName>
    <definedName localSheetId="27" name="NAMA2">#REF!</definedName>
    <definedName localSheetId="9" name="keramik20">#REF!</definedName>
    <definedName localSheetId="25" name="pakubiasa">#REF!</definedName>
    <definedName localSheetId="8" name="GRC">#REF!</definedName>
    <definedName localSheetId="39" name="besi10.sii">#REF!</definedName>
    <definedName localSheetId="31" name="tanahliat">#REF!</definedName>
    <definedName localSheetId="44" name="SPJ">#REF!</definedName>
    <definedName localSheetId="21" name="_MMM44">#REF!</definedName>
    <definedName localSheetId="25" name="FORM323L">#REF!</definedName>
    <definedName localSheetId="24" name="alba2.20">#REF!</definedName>
    <definedName localSheetId="21" name="b.belah">#REF!</definedName>
    <definedName localSheetId="5" name="kayujati">#REF!</definedName>
    <definedName localSheetId="24" name="__tl2">#REF!</definedName>
    <definedName localSheetId="30" name="gentengdecrabond">#REF!</definedName>
    <definedName localSheetId="7" name="_MMM18">#REF!</definedName>
    <definedName localSheetId="33" name="medan3.4">#REF!</definedName>
    <definedName localSheetId="20" name="___MMM01">#REF!</definedName>
    <definedName localSheetId="34" name="papanII">#REF!</definedName>
    <definedName localSheetId="17" name="______MMM02">#REF!</definedName>
    <definedName name="pvc4d">#REF!</definedName>
    <definedName localSheetId="33" name="FORM632">#REF!</definedName>
    <definedName localSheetId="20" name="ppn.m.3.20.serut">#REF!</definedName>
    <definedName localSheetId="27" name="kompresor">#REF!</definedName>
    <definedName name="marmer">#REF!</definedName>
    <definedName localSheetId="17" name="________LLL08">#REF!</definedName>
    <definedName name="______MMM51">#REF!</definedName>
    <definedName localSheetId="5" name="____MMM02">#REF!</definedName>
    <definedName localSheetId="13" name="PT">#REF!</definedName>
    <definedName localSheetId="19" name="ttnh">#REF!</definedName>
    <definedName localSheetId="17" name="______HAL6">#REF!</definedName>
    <definedName localSheetId="19" name="karpetwooldannilon">#REF!</definedName>
    <definedName localSheetId="18" name="NAMA2">#REF!</definedName>
    <definedName localSheetId="44" name="___LLL09">#REF!</definedName>
    <definedName localSheetId="7" name="lb">#REF!</definedName>
    <definedName localSheetId="8" name="MASTER">#REF!</definedName>
    <definedName localSheetId="33" name="______DIV2">#REF!</definedName>
    <definedName localSheetId="23" name="URAIAN7614d">#REF!</definedName>
    <definedName localSheetId="32" name="FORM771a">#REF!</definedName>
    <definedName localSheetId="21" name="____MMM41">#REF!</definedName>
    <definedName localSheetId="17" name="amplas">#REF!</definedName>
    <definedName localSheetId="21" name="kunci1slag">#REF!</definedName>
    <definedName localSheetId="32" name="ASET">#REF!</definedName>
    <definedName localSheetId="42" name="terasocor">#REF!</definedName>
    <definedName localSheetId="8" name="URAIAN21">#REF!</definedName>
    <definedName localSheetId="32" name="plintubinteraso1040">#REF!</definedName>
    <definedName localSheetId="10" name="R60..">#REF!</definedName>
    <definedName localSheetId="44" name="kawatburung">#REF!</definedName>
    <definedName localSheetId="21" name="tm_2415921492">#REF!</definedName>
    <definedName localSheetId="17" name="R6..">#REF!</definedName>
    <definedName name="______MMM21">#REF!</definedName>
    <definedName localSheetId="28" name="SPJa">#REF!</definedName>
    <definedName localSheetId="36" name="oke">#REF!</definedName>
    <definedName localSheetId="6" name="batuporos">#REF!</definedName>
    <definedName name="Analisa511">#REF!</definedName>
    <definedName localSheetId="21" name="_____LLL10">#REF!</definedName>
    <definedName localSheetId="21" name="R64..">#REF!</definedName>
    <definedName localSheetId="17" name="waterstop300">#REF!</definedName>
    <definedName localSheetId="34" name="__pvc205">#REF!</definedName>
    <definedName localSheetId="24" name="_DIV8">#REF!</definedName>
    <definedName localSheetId="0" name="rollingdoor">#REF!</definedName>
    <definedName localSheetId="17" name="__MMM53">#REF!</definedName>
    <definedName localSheetId="21" name="FORM66PERMUKAAN">#REF!</definedName>
    <definedName localSheetId="42" name="_LLL01">#REF!</definedName>
    <definedName localSheetId="31" name="plintkeramikartistik520">#REF!</definedName>
    <definedName localSheetId="41" name="bak">#REF!</definedName>
    <definedName localSheetId="18" name="c.maxi">#REF!</definedName>
    <definedName localSheetId="3" name="R1..">#REF!</definedName>
    <definedName localSheetId="38" name="_____MMM03">#REF!</definedName>
    <definedName localSheetId="19" name="borneo5.10">#REF!</definedName>
    <definedName localSheetId="25" name="plywood6mm">#REF!</definedName>
    <definedName localSheetId="44" name="akustikarmstrong">#REF!</definedName>
    <definedName localSheetId="6" name="plintubinwarna1040">#REF!</definedName>
    <definedName name="_____MMM48">#REF!</definedName>
    <definedName localSheetId="17" name="________MMM42">#REF!</definedName>
    <definedName localSheetId="7" name="_HAL6">#REF!</definedName>
    <definedName localSheetId="13" name="____DIV2">#REF!</definedName>
    <definedName localSheetId="7" name="________HAL7">#REF!</definedName>
    <definedName localSheetId="3" name="________MMM41">#REF!</definedName>
    <definedName localSheetId="8" name="medan3.4">#REF!</definedName>
    <definedName localSheetId="9" name="kenek">#REF!</definedName>
    <definedName localSheetId="33" name="pipabeton">#REF!</definedName>
    <definedName localSheetId="38" name="___pvc2">#REF!</definedName>
    <definedName localSheetId="8" name="___pvc3">#REF!</definedName>
    <definedName localSheetId="44" name="URAIAN771a">#REF!</definedName>
    <definedName localSheetId="8" name="kaca3">#REF!</definedName>
    <definedName localSheetId="24" name="nokpaten092">#REF!</definedName>
    <definedName localSheetId="41" name="SSSSSSSSSSSSSSSSSSSSSSSSSSSSS">#REF!</definedName>
    <definedName localSheetId="24" name="__MMM12">#REF!</definedName>
    <definedName localSheetId="4" name="kunci1slag">#REF!</definedName>
    <definedName localSheetId="41" name="oke">#REF!</definedName>
    <definedName localSheetId="7" name="______HAL4">#REF!</definedName>
    <definedName localSheetId="30" name="alangalang">#REF!</definedName>
    <definedName localSheetId="42" name="________MMM03">#REF!</definedName>
    <definedName localSheetId="17" name="FORM7613a">#REF!</definedName>
    <definedName localSheetId="25" name="besi13">#REF!</definedName>
    <definedName localSheetId="4" name="__HAL1">#REF!</definedName>
    <definedName localSheetId="17" name="URAIAN234L">#REF!</definedName>
    <definedName localSheetId="44" name="_____MMM03">#REF!</definedName>
    <definedName localSheetId="15" name="kkkk">#REF!</definedName>
    <definedName localSheetId="25" name="cghj">#REF!</definedName>
    <definedName localSheetId="7" name="R88..">#REF!</definedName>
    <definedName localSheetId="7" name="________LLL09">#REF!</definedName>
    <definedName localSheetId="21" name="kusen.alum">#REF!</definedName>
    <definedName localSheetId="27" name="________DIV4">#REF!</definedName>
    <definedName localSheetId="17" name="sirlak">#REF!</definedName>
    <definedName localSheetId="36" name="batuporos">#REF!</definedName>
    <definedName localSheetId="4" name="lem">#REF!</definedName>
    <definedName localSheetId="17" name="R105..">#REF!</definedName>
    <definedName localSheetId="3" name="multi.18">#REF!</definedName>
    <definedName localSheetId="39" name="seng30">#REF!</definedName>
    <definedName localSheetId="3" name="menibesi">#REF!</definedName>
    <definedName localSheetId="21" name="plintubingranito1040">#REF!</definedName>
    <definedName localSheetId="44" name="_KOP7">#REF!</definedName>
    <definedName localSheetId="13" name="amplas">#REF!</definedName>
    <definedName localSheetId="18" name="plintubinteraso1030">#REF!</definedName>
    <definedName localSheetId="18" name="besi10.sii">#REF!</definedName>
    <definedName localSheetId="0" name="jffhauifhauifhe">#REF!</definedName>
    <definedName localSheetId="44" name="_______MMM38">#REF!</definedName>
    <definedName localSheetId="41" name="kaca5">#REF!</definedName>
    <definedName localSheetId="17" name="__MMM52">#REF!</definedName>
    <definedName localSheetId="30" name="formica">#REF!</definedName>
    <definedName localSheetId="24" name="vinylmotifkembang">#REF!</definedName>
    <definedName localSheetId="21" name="Analisa709">#REF!</definedName>
    <definedName localSheetId="38" name="jamtandem">#REF!</definedName>
    <definedName localSheetId="7" name="springknip">#REF!</definedName>
    <definedName localSheetId="10" name="kacacermin5">#REF!</definedName>
    <definedName localSheetId="24" name="k.tukang">#REF!</definedName>
    <definedName localSheetId="27" name="kunciselot">#REF!</definedName>
    <definedName localSheetId="4" name="plywood6mm">#REF!</definedName>
    <definedName localSheetId="0" name="platasbes">#REF!</definedName>
    <definedName localSheetId="40" name="ktbs">#REF!</definedName>
    <definedName localSheetId="7" name="minyaksolar">#REF!</definedName>
    <definedName localSheetId="3" name="______HAL7">#REF!</definedName>
    <definedName localSheetId="24" name="________LLL10">#REF!</definedName>
    <definedName localSheetId="25" name="gypsum.9">#REF!</definedName>
    <definedName name="B.Publik">#REF!</definedName>
    <definedName localSheetId="23" name="URAIAN732">#REF!</definedName>
    <definedName localSheetId="32" name="JUDUL">#REF!</definedName>
    <definedName localSheetId="32" name="kategori">#REF!</definedName>
    <definedName localSheetId="40" name="ubinwarna20">#REF!</definedName>
    <definedName localSheetId="24" name="besi12sii">#REF!</definedName>
    <definedName localSheetId="27" name="pasirbeton">#REF!</definedName>
    <definedName localSheetId="12" name="FORM771a">#REF!</definedName>
    <definedName localSheetId="4" name="pintugulungbesi">#REF!</definedName>
    <definedName localSheetId="41" name="cycllop">#REF!</definedName>
    <definedName localSheetId="24" name="URAIAN771a">#REF!</definedName>
    <definedName name="_______LLL04">#REF!</definedName>
    <definedName localSheetId="21" name="_pp1">#REF!</definedName>
    <definedName localSheetId="39" name="plintkeramikartistik520">#REF!</definedName>
    <definedName localSheetId="41" name="pakuhak15cm">#REF!</definedName>
    <definedName localSheetId="9" name="R41..">#REF!</definedName>
    <definedName localSheetId="33" name="sementahanasam">#REF!</definedName>
    <definedName localSheetId="7" name="___DIV1">#REF!</definedName>
    <definedName localSheetId="10" name="FORM632">#REF!</definedName>
    <definedName localSheetId="3" name="tegel20">#REF!</definedName>
    <definedName localSheetId="20" name="Closet.c420">#REF!</definedName>
    <definedName localSheetId="10" name="beton225r">#REF!</definedName>
    <definedName localSheetId="38" name="URAIAN732">#REF!</definedName>
    <definedName localSheetId="21" name="________MMM18">#REF!</definedName>
    <definedName localSheetId="28" name="beton175m">#REF!</definedName>
    <definedName localSheetId="42" name="_MMM02">#REF!</definedName>
    <definedName localSheetId="32" name="__pvc2">#REF!</definedName>
    <definedName localSheetId="33" name="__LLL01">#REF!</definedName>
    <definedName localSheetId="39" name="Faktor">#REF!</definedName>
    <definedName localSheetId="10" name="FORM79mekanis">#REF!</definedName>
    <definedName localSheetId="24" name="plintubinteraluxmarmer1040">#REF!</definedName>
    <definedName localSheetId="18" name="terntang">#REF!</definedName>
    <definedName localSheetId="9" name="R20..">#REF!</definedName>
    <definedName localSheetId="30" name="_DIV1">#REF!</definedName>
    <definedName localSheetId="33" name="sengplatbjls24">#REF!</definedName>
    <definedName localSheetId="44" name="_________MMM01">#REF!</definedName>
    <definedName name="______DIV9">#REF!</definedName>
    <definedName localSheetId="33" name="Lamp">#REF!</definedName>
    <definedName localSheetId="31" name="rtrt">#REF!</definedName>
    <definedName localSheetId="31" name="baru">#REF!</definedName>
    <definedName localSheetId="21" name="___DIV1">#REF!</definedName>
    <definedName localSheetId="17" name="__LLL07">#REF!</definedName>
    <definedName localSheetId="17" name="_____MMM34">#REF!</definedName>
    <definedName localSheetId="0" name="___HAL3">#REF!</definedName>
    <definedName localSheetId="17" name="______LLL08">#REF!</definedName>
    <definedName localSheetId="7" name="_MMM43">#REF!</definedName>
    <definedName localSheetId="3" name="ABC">#REF!</definedName>
    <definedName localSheetId="3" name="aluminiumfoil">#REF!</definedName>
    <definedName localSheetId="7" name="__pvc205">#REF!</definedName>
    <definedName localSheetId="4" name="kawatduri">#REF!</definedName>
    <definedName localSheetId="25" name="meni.kayu">#REF!</definedName>
    <definedName localSheetId="20" name="pakusumbat">#REF!</definedName>
    <definedName localSheetId="30" name="floorhardenermastercron">#REF!</definedName>
    <definedName localSheetId="40" name="beton175R">#REF!</definedName>
    <definedName localSheetId="9" name="hcs">#REF!</definedName>
    <definedName localSheetId="20" name="c.maxi">#REF!</definedName>
    <definedName localSheetId="18" name="URAIAN7610">#REF!</definedName>
    <definedName localSheetId="5" name="sementahanasam">#REF!</definedName>
    <definedName localSheetId="40" name="_________DIV10">#REF!</definedName>
    <definedName localSheetId="36" name="___HAL3">#REF!</definedName>
    <definedName localSheetId="44" name="_______MMM20">#REF!</definedName>
    <definedName localSheetId="13" name="______HAL2">#REF!</definedName>
    <definedName localSheetId="20" name="sodaapi">#REF!</definedName>
    <definedName localSheetId="44" name="_______MMM15">#REF!</definedName>
    <definedName localSheetId="32" name="Catbesi">#REF!</definedName>
    <definedName localSheetId="3" name="_pp1">#REF!</definedName>
    <definedName localSheetId="15" name="kaca12">#REF!</definedName>
    <definedName localSheetId="20" name="beton100kg">#REF!</definedName>
    <definedName localSheetId="21" name="_______MMM31">#REF!</definedName>
    <definedName localSheetId="21" name="gali">#REF!</definedName>
    <definedName localSheetId="21" name="Skrup">#REF!</definedName>
    <definedName localSheetId="19" name="coveartistik">#REF!</definedName>
    <definedName localSheetId="28" name="kolombetonpracetak">#REF!</definedName>
    <definedName localSheetId="44" name="_______MMM08">#REF!</definedName>
    <definedName localSheetId="17" name="tegelplinteraso10x30">#REF!</definedName>
    <definedName localSheetId="42" name="jurnal1">#REF!</definedName>
    <definedName localSheetId="11" name="URAIAN7610">#REF!</definedName>
    <definedName localSheetId="30" name="pasirpas">#REF!</definedName>
    <definedName localSheetId="17" name="____MMM22">#REF!</definedName>
    <definedName localSheetId="10" name="ubinwarna40">#REF!</definedName>
    <definedName localSheetId="10" name="hakangin">#REF!</definedName>
    <definedName localSheetId="8" name="URAIAN323L">#REF!</definedName>
    <definedName localSheetId="4" name="__DIV1">#REF!</definedName>
    <definedName localSheetId="11" name="FORM7614c">#REF!</definedName>
    <definedName localSheetId="3" name="ubinteraluxkerang60">#REF!</definedName>
    <definedName localSheetId="17" name="ubinwarna20">#REF!</definedName>
    <definedName localSheetId="7" name="roll">#REF!</definedName>
    <definedName localSheetId="25" name="____MMM03">#REF!</definedName>
    <definedName localSheetId="19" name="split2.3">#REF!</definedName>
    <definedName localSheetId="36" name="beton.tumbuk">#REF!</definedName>
    <definedName name="Kurs">#REF!</definedName>
    <definedName localSheetId="34" name="batuteraso">#REF!</definedName>
    <definedName localSheetId="15" name="tempatcucipiring">#REF!</definedName>
    <definedName localSheetId="21" name="kenek">#REF!</definedName>
    <definedName localSheetId="3" name="plintubinteraluxmarmer1030">#REF!</definedName>
    <definedName localSheetId="27" name="sengplatbjls24">#REF!</definedName>
    <definedName localSheetId="32" name="u.bekisting">#REF!</definedName>
    <definedName localSheetId="39" name="ubinkeramik1033">#REF!</definedName>
    <definedName localSheetId="20" name="____HAL3">#REF!</definedName>
    <definedName localSheetId="10" name="Excel_BuiltIn_Print_Titles_10">#REF!</definedName>
    <definedName localSheetId="18" name="___pvc205">#REF!</definedName>
    <definedName localSheetId="7" name="_pvc205">#REF!</definedName>
    <definedName localSheetId="3" name="pvc.2.5.Mas.d">#REF!</definedName>
    <definedName localSheetId="21" name="pakubiasa">#REF!</definedName>
    <definedName localSheetId="44" name="asbesgelombnang">#REF!</definedName>
    <definedName name="_________MMM37">#REF!</definedName>
    <definedName localSheetId="4" name="URAIAN22L">#REF!</definedName>
    <definedName localSheetId="24" name="_____MMM38">#REF!</definedName>
    <definedName localSheetId="38" name="Excel_BuiltIn_Print_Titles_1">#REF!</definedName>
    <definedName localSheetId="19" name="URAIAN631">#REF!</definedName>
    <definedName localSheetId="3" name="FORM910">#REF!</definedName>
    <definedName localSheetId="21" name="ubinpcabuabu40">#REF!</definedName>
    <definedName localSheetId="15" name="atapaluminiumgelombang055">#REF!</definedName>
    <definedName localSheetId="25" name="beton225r">#REF!</definedName>
    <definedName localSheetId="20" name="pagarseng2m">#REF!</definedName>
    <definedName localSheetId="25" name="nokgentengaspal">#REF!</definedName>
    <definedName localSheetId="27" name="tegelporselen10x20warna">#REF!</definedName>
    <definedName localSheetId="3" name="bubungangentengmetal">#REF!</definedName>
    <definedName localSheetId="8" name="Analisa55">#REF!</definedName>
    <definedName localSheetId="5" name="oemar">#REF!</definedName>
    <definedName localSheetId="38" name="kuas">#REF!</definedName>
    <definedName localSheetId="34" name="gentengdecrabond">#REF!</definedName>
    <definedName name="FORM916">#REF!</definedName>
    <definedName localSheetId="24" name="minyaksolar">#REF!</definedName>
    <definedName localSheetId="15" name="_____HAL3">#REF!</definedName>
    <definedName localSheetId="11" name="cattembok">#REF!</definedName>
    <definedName localSheetId="7" name="MMM17A">#REF!</definedName>
    <definedName localSheetId="40" name="p.triplek">#REF!</definedName>
    <definedName localSheetId="36" name="pengencer">#REF!</definedName>
    <definedName localSheetId="28" name="bouwplnk">#REF!</definedName>
    <definedName localSheetId="12" name="_________DIV10">#REF!</definedName>
    <definedName localSheetId="21" name="bjls25">#REF!</definedName>
    <definedName localSheetId="28" name="tegelpc20x20">#REF!</definedName>
    <definedName localSheetId="4" name="kran.bbk">#REF!</definedName>
    <definedName localSheetId="0" name="grendel3">#REF!</definedName>
    <definedName localSheetId="23" name="gypsum.prf">#REF!</definedName>
    <definedName localSheetId="41" name="_MMM02">#REF!</definedName>
    <definedName localSheetId="19" name="ubingranito30">#REF!</definedName>
    <definedName localSheetId="11" name="yyyyyyy">#REF!</definedName>
    <definedName localSheetId="34" name="gali">#REF!</definedName>
    <definedName localSheetId="3" name="______MMM18">#REF!</definedName>
    <definedName localSheetId="17" name="___HAL4">#REF!</definedName>
    <definedName localSheetId="38" name="pipagalvanis">#REF!</definedName>
    <definedName localSheetId="24" name="_____MMM23">#REF!</definedName>
    <definedName localSheetId="5" name="__DIV2">#REF!</definedName>
    <definedName localSheetId="12" name="B.Aparatur">#REF!</definedName>
    <definedName localSheetId="32" name="plintubinwarna1040">#REF!</definedName>
    <definedName localSheetId="23" name="FORM7612b">#REF!</definedName>
    <definedName localSheetId="31" name="Ker.L13">#REF!</definedName>
    <definedName localSheetId="31" name="plintubingranito1030">#REF!</definedName>
    <definedName localSheetId="15" name="ubinkeramik1033">#REF!</definedName>
    <definedName localSheetId="19" name="______MMM02">#REF!</definedName>
    <definedName localSheetId="21" name="gentengdecrabond">#REF!</definedName>
    <definedName localSheetId="12" name="TANAH">#REF!</definedName>
    <definedName localSheetId="24" name="____HAL2">#REF!</definedName>
    <definedName localSheetId="3" name="s.tukang">#REF!</definedName>
    <definedName localSheetId="0" name="G.Kramik">#REF!</definedName>
    <definedName localSheetId="27" name="ubinteraso40">#REF!</definedName>
    <definedName localSheetId="7" name="Akustik">#REF!</definedName>
    <definedName localSheetId="31" name="gymfloor">#REF!</definedName>
    <definedName localSheetId="12" name="_HAL6">#REF!</definedName>
    <definedName localSheetId="18" name="G.Kramik">#REF!</definedName>
    <definedName localSheetId="18" name="kacapolos3mm">#REF!</definedName>
    <definedName localSheetId="15" name="sofboard">#REF!</definedName>
    <definedName name="R49..">#REF!</definedName>
    <definedName localSheetId="9" name="ppn2.30">#REF!</definedName>
    <definedName localSheetId="10" name="R21..">#REF!</definedName>
    <definedName localSheetId="15" name="Uraian841">#REF!</definedName>
    <definedName localSheetId="21" name="__MMM44">#REF!</definedName>
    <definedName localSheetId="24" name="kran.ddg">#REF!</definedName>
    <definedName localSheetId="27" name="kayukudakuda">#REF!</definedName>
    <definedName name="seng25">#REF!</definedName>
    <definedName localSheetId="31" name="vinylkaret3030">#REF!</definedName>
    <definedName localSheetId="44" name="gentengkodok">#REF!</definedName>
    <definedName localSheetId="20" name="_kop6">#REF!</definedName>
    <definedName name="_______MMM15">#REF!</definedName>
    <definedName localSheetId="19" name="____MMM03">#REF!</definedName>
    <definedName localSheetId="7" name="______MMM16">#REF!</definedName>
    <definedName localSheetId="41" name="d">#REF!</definedName>
    <definedName localSheetId="6" name="kayukamper">#REF!</definedName>
    <definedName localSheetId="23" name="jki">#REF!</definedName>
    <definedName localSheetId="39" name="kaca.es">#REF!</definedName>
    <definedName localSheetId="31" name="flordrain">#REF!</definedName>
    <definedName localSheetId="17" name="______MMM21">#REF!</definedName>
    <definedName localSheetId="12" name="pajak">#REF!</definedName>
    <definedName localSheetId="7" name="drainase">#REF!</definedName>
    <definedName localSheetId="25" name="ss">#REF!</definedName>
    <definedName localSheetId="4" name="_PC50">#REF!</definedName>
    <definedName localSheetId="38" name="_818FA">#REF!</definedName>
    <definedName localSheetId="11" name="AGREGAT">#REF!</definedName>
    <definedName localSheetId="20" name="Aluminium">#REF!</definedName>
    <definedName localSheetId="21" name="_______DIV9">#REF!</definedName>
    <definedName localSheetId="5" name="jki">#REF!</definedName>
    <definedName localSheetId="30" name="_________DIV2">#REF!</definedName>
    <definedName name="_______MMM05">#REF!</definedName>
    <definedName localSheetId="32" name="FORM621">#REF!</definedName>
    <definedName localSheetId="38" name="penduduk">#REF!</definedName>
    <definedName localSheetId="33" name="mowi.w.shield">#REF!</definedName>
    <definedName localSheetId="44" name="M">#REF!</definedName>
    <definedName localSheetId="28" name="kompresor">#REF!</definedName>
    <definedName name="__MMM18">#REF!</definedName>
    <definedName localSheetId="34" name="namaabsen">#REF!</definedName>
    <definedName localSheetId="38" name="Overhead">#REF!</definedName>
    <definedName localSheetId="42" name="__DIV1">#REF!</definedName>
    <definedName name="__MMM34">#REF!</definedName>
    <definedName localSheetId="7" name="B.Publik">#REF!</definedName>
    <definedName localSheetId="17" name="batamerah">#REF!</definedName>
    <definedName localSheetId="23" name="kali">#REF!</definedName>
    <definedName localSheetId="7" name="_______DIV3">#REF!</definedName>
    <definedName localSheetId="17" name="tbkr">#REF!</definedName>
    <definedName localSheetId="25" name="FORM7614c">#REF!</definedName>
    <definedName localSheetId="21" name="_____MMM12">#REF!</definedName>
    <definedName localSheetId="24" name="tanggal">#REF!</definedName>
    <definedName localSheetId="30" name="ARI">#REF!</definedName>
    <definedName localSheetId="44" name="p.triplek">#REF!</definedName>
    <definedName localSheetId="5" name="R40..">#REF!</definedName>
    <definedName localSheetId="44" name="_________MMM33">#REF!</definedName>
    <definedName localSheetId="25" name="w">#REF!</definedName>
    <definedName localSheetId="44" name="_MMM12">#REF!</definedName>
    <definedName localSheetId="0" name="kompresor">#REF!</definedName>
    <definedName localSheetId="11" name="kalkarium">#REF!</definedName>
    <definedName localSheetId="13" name="__DIV2">#REF!</definedName>
    <definedName localSheetId="11" name="URAIAN744">#REF!</definedName>
    <definedName localSheetId="34" name="seng25">#REF!</definedName>
    <definedName localSheetId="15" name="Ker.L13">#REF!</definedName>
    <definedName localSheetId="7" name="_____DIV8">#REF!</definedName>
    <definedName localSheetId="21" name="_HAL1">#REF!</definedName>
    <definedName localSheetId="24" name="______MMM06">#REF!</definedName>
    <definedName localSheetId="17" name="papanbekisting">#REF!</definedName>
    <definedName localSheetId="10" name="pa">#REF!</definedName>
    <definedName localSheetId="15" name="ubinkeramikartistik520">#REF!</definedName>
    <definedName localSheetId="20" name="______DIV3">#REF!</definedName>
    <definedName localSheetId="27" name="pijar15">#REF!</definedName>
    <definedName localSheetId="24" name="____LLL08">#REF!</definedName>
    <definedName localSheetId="28" name="_______MMM03">#REF!</definedName>
    <definedName localSheetId="36" name="KTM">#REF!</definedName>
    <definedName localSheetId="8" name="paku5.7.10">#REF!</definedName>
    <definedName localSheetId="0" name="L">#REF!</definedName>
    <definedName localSheetId="44" name="drainase">#REF!</definedName>
    <definedName localSheetId="44" name="yyyyyyy">#REF!</definedName>
    <definedName localSheetId="31" name="sementahanasam">#REF!</definedName>
    <definedName localSheetId="39" name="B.Jambi">#REF!</definedName>
    <definedName localSheetId="10" name="coveartistik">#REF!</definedName>
    <definedName localSheetId="3" name="__LLL03">#REF!</definedName>
    <definedName localSheetId="44" name="k.roman.40.40.polos">#REF!</definedName>
    <definedName localSheetId="7" name="R62..">#REF!</definedName>
    <definedName name="jamtandem">#REF!</definedName>
    <definedName localSheetId="25" name="vertikalsblinds">#REF!</definedName>
    <definedName localSheetId="4" name="plywood4mm">#REF!</definedName>
    <definedName localSheetId="34" name="_____DIV10">#REF!</definedName>
    <definedName localSheetId="40" name="tm_2415921492">#REF!</definedName>
    <definedName localSheetId="24" name="________HAL8">#REF!</definedName>
    <definedName localSheetId="18" name="gmp">#REF!</definedName>
    <definedName localSheetId="11" name="platasbes35mm">#REF!</definedName>
    <definedName localSheetId="31" name="URAIAN7613c">#REF!</definedName>
    <definedName localSheetId="36" name="kayukamper">#REF!</definedName>
    <definedName localSheetId="34" name="beton.tumbuk">#REF!</definedName>
    <definedName name="______MMM44">#REF!</definedName>
    <definedName localSheetId="13" name="LAINLAIN">#REF!</definedName>
    <definedName localSheetId="30" name="kawatsengpolos">#REF!</definedName>
    <definedName localSheetId="13" name="jurnal">#REF!</definedName>
    <definedName name="GUIIII">#REF!</definedName>
    <definedName localSheetId="7" name="multi.9">#REF!</definedName>
    <definedName localSheetId="17" name="MASTER">#REF!</definedName>
    <definedName localSheetId="19" name="mapel">#REF!</definedName>
    <definedName localSheetId="13" name="kawatharmonika">#REF!</definedName>
    <definedName localSheetId="24" name="vinylkaretklII">#REF!</definedName>
    <definedName localSheetId="34" name="Kunci2">#REF!</definedName>
    <definedName localSheetId="3" name="_MMM12">#REF!</definedName>
    <definedName localSheetId="20" name="siap1">#REF!</definedName>
    <definedName localSheetId="44" name="Status">#REF!</definedName>
    <definedName localSheetId="12" name="Psr.psg">#REF!</definedName>
    <definedName localSheetId="25" name="xxxxx">#REF!</definedName>
    <definedName localSheetId="27" name="tp80x80">#REF!</definedName>
    <definedName localSheetId="4" name="FORM7613c">#REF!</definedName>
    <definedName localSheetId="33" name="ubinkeramik1020">#REF!</definedName>
    <definedName localSheetId="27" name="_DIV3">#REF!</definedName>
    <definedName localSheetId="3" name="pipatanah">#REF!</definedName>
    <definedName localSheetId="3" name="R63..">#REF!</definedName>
    <definedName localSheetId="3" name="________MMM37">#REF!</definedName>
    <definedName localSheetId="28" name="pakusirap">#REF!</definedName>
    <definedName localSheetId="25" name="FORM612">#REF!</definedName>
    <definedName localSheetId="0" name="________HAL1">#REF!</definedName>
    <definedName localSheetId="36" name="lb">#REF!</definedName>
    <definedName localSheetId="12" name="SPJa">#REF!</definedName>
    <definedName localSheetId="7" name="___MMM40">#REF!</definedName>
    <definedName localSheetId="17" name="FORM7613b">#REF!</definedName>
    <definedName localSheetId="20" name="FORM7614c">#REF!</definedName>
    <definedName localSheetId="31" name="vertikalsblinds">#REF!</definedName>
    <definedName localSheetId="0" name="aluminiumfoil">#REF!</definedName>
    <definedName localSheetId="7" name="_________MMM49">#REF!</definedName>
    <definedName localSheetId="8" name="platasbes4mm">#REF!</definedName>
    <definedName localSheetId="32" name="bondbeam">#REF!</definedName>
    <definedName localSheetId="18" name="_____DIV2">#REF!</definedName>
    <definedName localSheetId="13" name="pddk">#REF!</definedName>
    <definedName name="R55..">#REF!</definedName>
    <definedName localSheetId="10" name="________MMM03">#REF!</definedName>
    <definedName localSheetId="18" name="pakugypsum">#REF!</definedName>
    <definedName localSheetId="40" name="beton.225m">#REF!</definedName>
    <definedName name="M">#REF!</definedName>
    <definedName localSheetId="6" name="FORM7614a">#REF!</definedName>
    <definedName localSheetId="39" name="metal">#REF!</definedName>
    <definedName localSheetId="9" name="___pvc205">#REF!</definedName>
    <definedName localSheetId="9" name="lem">#REF!</definedName>
    <definedName localSheetId="12" name="___pvc2">#REF!</definedName>
    <definedName localSheetId="20" name="KECAMATAN_KODEOHA">#REF!</definedName>
    <definedName localSheetId="17" name="Batas16.21">#REF!</definedName>
    <definedName name="sengbjls25">#REF!</definedName>
    <definedName localSheetId="39" name="URAIAN234L">#REF!</definedName>
    <definedName name="__PC50">#REF!</definedName>
    <definedName localSheetId="10" name="SPJa">#REF!</definedName>
    <definedName localSheetId="30" name="ubinkeramik1020">#REF!</definedName>
    <definedName localSheetId="8" name="rubbercorrugate">#REF!</definedName>
    <definedName localSheetId="18" name="Excel_BuiltIn_Print_Titles_1">#REF!</definedName>
    <definedName localSheetId="25" name="besipresstressedpolos">#REF!</definedName>
    <definedName localSheetId="44" name="karpet">#REF!</definedName>
    <definedName localSheetId="31" name="kayukruing">#REF!</definedName>
    <definedName localSheetId="44" name="teakoil">#REF!</definedName>
    <definedName localSheetId="44" name="URAIAN7614d">#REF!</definedName>
    <definedName localSheetId="23" name="_DIV2">#REF!</definedName>
    <definedName localSheetId="8" name="kayudamarlaut">#REF!</definedName>
    <definedName localSheetId="25" name="f">#REF!</definedName>
    <definedName localSheetId="39" name="URAIAN7610">#REF!</definedName>
    <definedName localSheetId="24" name="______MMM37">#REF!</definedName>
    <definedName localSheetId="17" name="medan5.7">#REF!</definedName>
    <definedName localSheetId="15" name="vinylasbes">#REF!</definedName>
    <definedName name="kaca12">#REF!</definedName>
    <definedName localSheetId="5" name="plamour">#REF!</definedName>
    <definedName localSheetId="33" name="_____DIV3">#REF!</definedName>
    <definedName localSheetId="21" name="________MMM05">#REF!</definedName>
    <definedName localSheetId="40" name="hollowblok">#REF!</definedName>
    <definedName localSheetId="7" name="tegelporselen10x20warna">#REF!</definedName>
    <definedName localSheetId="38" name="________DIV3">#REF!</definedName>
    <definedName localSheetId="8" name="FORM632">#REF!</definedName>
    <definedName localSheetId="15" name="FORM771a">#REF!</definedName>
    <definedName localSheetId="8" name="kawatsengpolos">#REF!</definedName>
    <definedName localSheetId="40" name="u.bekisting">#REF!</definedName>
    <definedName localSheetId="18" name="seng25">#REF!</definedName>
    <definedName localSheetId="12" name="______DIV2">#REF!</definedName>
    <definedName localSheetId="28" name="URAIAN7614b">#REF!</definedName>
    <definedName name="URAIAN733">#REF!</definedName>
    <definedName localSheetId="8" name="catmeni">#REF!</definedName>
    <definedName localSheetId="18" name="URAIAN771b">#REF!</definedName>
    <definedName localSheetId="24" name="_____MMM17">#REF!</definedName>
    <definedName name="______MMM12">#REF!</definedName>
    <definedName localSheetId="8" name="batacote">#REF!</definedName>
    <definedName name="________MMM33">#REF!</definedName>
    <definedName localSheetId="8" name="tbkr">#REF!</definedName>
    <definedName localSheetId="11" name="alba2.20">#REF!</definedName>
    <definedName localSheetId="21" name="___MMM17">#REF!</definedName>
    <definedName localSheetId="39" name="___DIV1">#REF!</definedName>
    <definedName localSheetId="5" name="kaca5">#REF!</definedName>
    <definedName localSheetId="24" name="FORM66">#REF!</definedName>
    <definedName localSheetId="31" name="_____HAL1">#REF!</definedName>
    <definedName localSheetId="24" name="kalkarium">#REF!</definedName>
    <definedName localSheetId="19" name="spirtus">#REF!</definedName>
    <definedName localSheetId="18" name="papanbekisting">#REF!</definedName>
    <definedName localSheetId="38" name="kacacermin6">#REF!</definedName>
    <definedName localSheetId="31" name="rubbercorrugate">#REF!</definedName>
    <definedName localSheetId="3" name="kolombetonpracetak">#REF!</definedName>
    <definedName localSheetId="0" name="beton.tumbuk">#REF!</definedName>
    <definedName localSheetId="40" name="aluminiumfoil">#REF!</definedName>
    <definedName localSheetId="42" name="pintubesibaja">#REF!</definedName>
    <definedName localSheetId="7" name="kayualbasiah">#REF!</definedName>
    <definedName localSheetId="44" name="ubinteraluxmarmer30">#REF!</definedName>
    <definedName localSheetId="44" name="_________MMM06">#REF!</definedName>
    <definedName localSheetId="12" name="wallpaper">#REF!</definedName>
    <definedName localSheetId="24" name="_______DIV8">#REF!</definedName>
    <definedName localSheetId="20" name="pintubesibaja">#REF!</definedName>
    <definedName localSheetId="21" name="FORM772d">#REF!</definedName>
    <definedName localSheetId="28" name="_____DIV3">#REF!</definedName>
    <definedName localSheetId="15" name="kuncilemari">#REF!</definedName>
    <definedName localSheetId="0" name="R2..">#REF!</definedName>
    <definedName localSheetId="31" name="plintubinwarna1040">#REF!</definedName>
    <definedName localSheetId="44" name="sealer.mowi">#REF!</definedName>
    <definedName localSheetId="5" name="roll">#REF!</definedName>
    <definedName localSheetId="44" name="R94..">#REF!</definedName>
    <definedName localSheetId="23" name="_MMM03">#REF!</definedName>
    <definedName localSheetId="44" name="_____MMM38">#REF!</definedName>
    <definedName localSheetId="44" name="_MMM46">#REF!</definedName>
    <definedName localSheetId="7" name="__MMM53">#REF!</definedName>
    <definedName localSheetId="8" name="_________DIV10">#REF!</definedName>
    <definedName localSheetId="41" name="urugankembali">#REF!</definedName>
    <definedName localSheetId="13" name="Meni">#REF!</definedName>
    <definedName localSheetId="32" name="borneo5.10">#REF!</definedName>
    <definedName localSheetId="10" name="_________HAL2">#REF!</definedName>
    <definedName localSheetId="3" name="Excel_BuiltIn_Print_Titles_1">#REF!</definedName>
    <definedName localSheetId="44" name="_MMM45">#REF!</definedName>
    <definedName localSheetId="3" name="kaca12">#REF!</definedName>
    <definedName localSheetId="17" name="________HAL3">#REF!</definedName>
    <definedName name="R43..">#REF!</definedName>
    <definedName localSheetId="3" name="lb">#REF!</definedName>
    <definedName localSheetId="30" name="Nokmetal3mm">#REF!</definedName>
    <definedName localSheetId="6" name="NAMA2">#REF!</definedName>
    <definedName localSheetId="41" name="_________MMM02">#REF!</definedName>
    <definedName name="akustikarmstrong">#REF!</definedName>
    <definedName localSheetId="38" name="__pvc105">#REF!</definedName>
    <definedName localSheetId="15" name="Analisa55">#REF!</definedName>
    <definedName localSheetId="15" name="Uraian842">#REF!</definedName>
    <definedName localSheetId="3" name="__MMM17">#REF!</definedName>
    <definedName name="tes">#REF!</definedName>
    <definedName localSheetId="10" name="nnnnn">#REF!</definedName>
    <definedName localSheetId="9" name="washtafel">#REF!</definedName>
    <definedName localSheetId="24" name="relpintudorong">#REF!</definedName>
    <definedName localSheetId="9" name="oemar">#REF!</definedName>
    <definedName localSheetId="17" name="_____MMM03">#REF!</definedName>
    <definedName localSheetId="11" name="R50..">#REF!</definedName>
    <definedName name="des">#REF!</definedName>
    <definedName localSheetId="7" name="_________LLL10">#REF!</definedName>
    <definedName localSheetId="34" name="tegel20">#REF!</definedName>
    <definedName localSheetId="24" name="hcs">#REF!</definedName>
    <definedName localSheetId="34" name="jendelanako">#REF!</definedName>
    <definedName localSheetId="40" name="pasirpas">#REF!</definedName>
    <definedName localSheetId="23" name="__DIV4">#REF!</definedName>
    <definedName localSheetId="36" name="URAIAN7613a">#REF!</definedName>
    <definedName localSheetId="17" name="ppn.m.3.20.serut">#REF!</definedName>
    <definedName localSheetId="6" name="y">#REF!</definedName>
    <definedName localSheetId="24" name="R87..">#REF!</definedName>
    <definedName localSheetId="44" name="_________HAL7">#REF!</definedName>
    <definedName localSheetId="7" name="u.bekisting">#REF!</definedName>
    <definedName localSheetId="32" name="beton.tumbuk">#REF!</definedName>
    <definedName localSheetId="27" name="drainase">#REF!</definedName>
    <definedName localSheetId="28" name="sunloid">#REF!</definedName>
    <definedName localSheetId="7" name="_________MMM51">#REF!</definedName>
    <definedName localSheetId="8" name="venetionblinds">#REF!</definedName>
    <definedName localSheetId="20" name="kayukudakuda">#REF!</definedName>
    <definedName localSheetId="40" name="meni.kayu">#REF!</definedName>
    <definedName localSheetId="17" name="______MMM20">#REF!</definedName>
    <definedName localSheetId="8" name="__pvc2">#REF!</definedName>
    <definedName localSheetId="28" name="nmdaerah">#REF!</definedName>
    <definedName localSheetId="12" name="_________HAL3">#REF!</definedName>
    <definedName localSheetId="21" name="sdg">#REF!</definedName>
    <definedName name="k.40.40.roman.crk">#REF!</definedName>
    <definedName localSheetId="0" name="des">#REF!</definedName>
    <definedName name="Fak">#REF!</definedName>
    <definedName localSheetId="6" name="G.Kramik">#REF!</definedName>
    <definedName localSheetId="15" name="pasirbeton">#REF!</definedName>
    <definedName localSheetId="21" name="kayujati">#REF!</definedName>
    <definedName name="pajak">#REF!</definedName>
    <definedName localSheetId="44" name="perancahkayu">#REF!</definedName>
    <definedName localSheetId="17" name="pakuhak15cm">#REF!</definedName>
    <definedName localSheetId="20" name="FORMLatasirK">#REF!</definedName>
    <definedName localSheetId="38" name="beton175R">#REF!</definedName>
    <definedName localSheetId="40" name="sengplatbjls25">#REF!</definedName>
    <definedName localSheetId="3" name="_________MMM54">#REF!</definedName>
    <definedName localSheetId="44" name="FORM622">#REF!</definedName>
    <definedName localSheetId="33" name="kayualbasiah">#REF!</definedName>
    <definedName localSheetId="31" name="____MMM02">#REF!</definedName>
    <definedName localSheetId="27" name="__tl2">#REF!</definedName>
    <definedName localSheetId="0" name="_____MMM02">#REF!</definedName>
    <definedName localSheetId="30" name="FORM7612c">#REF!</definedName>
    <definedName localSheetId="24" name="besi13">#REF!</definedName>
    <definedName name="__DIV7">#REF!</definedName>
    <definedName localSheetId="34" name="R50..">#REF!</definedName>
    <definedName localSheetId="24" name="Analisa70108">#REF!</definedName>
    <definedName localSheetId="12" name="UPAH">#REF!</definedName>
    <definedName localSheetId="3" name="URAIAN771a">#REF!</definedName>
    <definedName localSheetId="41" name="___pvc3">#REF!</definedName>
    <definedName localSheetId="30" name="_______HAL1">#REF!</definedName>
    <definedName localSheetId="24" name="_____MMM03">#REF!</definedName>
    <definedName localSheetId="20" name="medan5.7">#REF!</definedName>
    <definedName localSheetId="20" name="pddk">#REF!</definedName>
    <definedName localSheetId="23" name="Pengadaan">#REF!</definedName>
    <definedName localSheetId="6" name="beton175R">#REF!</definedName>
    <definedName localSheetId="7" name="keramik40">#REF!</definedName>
    <definedName localSheetId="19" name="w">#REF!</definedName>
    <definedName localSheetId="0" name="medan3.4">#REF!</definedName>
    <definedName localSheetId="13" name="badkip">#REF!</definedName>
    <definedName localSheetId="32" name="SSSSSSSSSSSSSSSSSSSSSSSSSSSSS">#REF!</definedName>
    <definedName localSheetId="11" name="FORM323L">#REF!</definedName>
    <definedName localSheetId="17" name="____MMM30">#REF!</definedName>
    <definedName localSheetId="7" name="__MMM03">#REF!</definedName>
    <definedName localSheetId="31" name="total">#REF!</definedName>
    <definedName localSheetId="39" name="URAIAN621">#REF!</definedName>
    <definedName localSheetId="44" name="tegelplinteraso10x30">#REF!</definedName>
    <definedName localSheetId="11" name="grassblok">#REF!</definedName>
    <definedName localSheetId="31" name="c.maxi">#REF!</definedName>
    <definedName localSheetId="21" name="jurnal1">#REF!</definedName>
    <definedName localSheetId="3" name="__MMM23">#REF!</definedName>
    <definedName localSheetId="13" name="mowi.w.shield">#REF!</definedName>
    <definedName localSheetId="17" name="besi19u">#REF!</definedName>
    <definedName localSheetId="23" name="plintubinteraluxmarmer1040">#REF!</definedName>
    <definedName localSheetId="36" name="sengplatbjls25">#REF!</definedName>
    <definedName localSheetId="21" name="____MMM46">#REF!</definedName>
    <definedName localSheetId="38" name="ttnh">#REF!</definedName>
    <definedName localSheetId="7" name="____HAL2">#REF!</definedName>
    <definedName localSheetId="10" name="vernis">#REF!</definedName>
    <definedName localSheetId="3" name="koralbeton">#REF!</definedName>
    <definedName localSheetId="10" name="ubinwarna30">#REF!</definedName>
    <definedName name="plamour">#REF!</definedName>
    <definedName localSheetId="28" name="gentengdecrabond">#REF!</definedName>
    <definedName localSheetId="7" name="R41..">#REF!</definedName>
    <definedName localSheetId="38" name="_DIV10">#REF!</definedName>
    <definedName localSheetId="40" name="kkkk">#REF!</definedName>
    <definedName localSheetId="3" name="_____HAL6">#REF!</definedName>
    <definedName localSheetId="21" name="_______MMM25">#REF!</definedName>
    <definedName localSheetId="33" name="ppn.m.3.20.serut">#REF!</definedName>
    <definedName localSheetId="25" name="pintugulungbesi">#REF!</definedName>
    <definedName name="URAIAN21">#REF!</definedName>
    <definedName localSheetId="33" name="KERAMIK30">#REF!</definedName>
    <definedName localSheetId="44" name="________MMM27">#REF!</definedName>
    <definedName localSheetId="7" name="kacacermin8">#REF!</definedName>
    <definedName localSheetId="32" name="plintubinwarna1030">#REF!</definedName>
    <definedName localSheetId="32" name="BM">#REF!</definedName>
    <definedName localSheetId="24" name="waterstop300">#REF!</definedName>
    <definedName localSheetId="13" name="batapelapisdinding">#REF!</definedName>
    <definedName name="pasirbeton">#REF!</definedName>
    <definedName localSheetId="30" name="pp">#REF!</definedName>
    <definedName localSheetId="17" name="teakwood6mm">#REF!</definedName>
    <definedName localSheetId="23" name="engsel3">#REF!</definedName>
    <definedName localSheetId="39" name="vernis">#REF!</definedName>
    <definedName localSheetId="20" name="URAIAN21">#REF!</definedName>
    <definedName localSheetId="5" name="jffhauifhauifhe">#REF!</definedName>
    <definedName localSheetId="39" name="dasar">#REF!</definedName>
    <definedName localSheetId="39" name="AAAAAAA">#REF!</definedName>
    <definedName localSheetId="8" name="ubinkeramikartistik1020">#REF!</definedName>
    <definedName localSheetId="31" name="plastikaerator">#REF!</definedName>
    <definedName localSheetId="38" name="kaca8">#REF!</definedName>
    <definedName localSheetId="24" name="u.bekisting">#REF!</definedName>
    <definedName localSheetId="15" name="akustikarmstrong">#REF!</definedName>
    <definedName localSheetId="7" name="R69..">#REF!</definedName>
    <definedName localSheetId="21" name="__pvc05">#REF!</definedName>
    <definedName localSheetId="18" name="kayujati">#REF!</definedName>
    <definedName localSheetId="9" name="_________DIV10">#REF!</definedName>
    <definedName localSheetId="12" name="ramset">#REF!</definedName>
    <definedName localSheetId="42" name="w.stain">#REF!</definedName>
    <definedName localSheetId="32" name="__MMM01">#REF!</definedName>
    <definedName localSheetId="31" name="_tl2">#REF!</definedName>
    <definedName localSheetId="0" name="URAIAN771c">#REF!</definedName>
    <definedName localSheetId="7" name="bjls25">#REF!</definedName>
    <definedName localSheetId="17" name="_________MMM32">#REF!</definedName>
    <definedName localSheetId="24" name="_tl2">#REF!</definedName>
    <definedName localSheetId="42" name="_____HAL2">#REF!</definedName>
    <definedName localSheetId="0" name="borneo4.6">#REF!</definedName>
    <definedName localSheetId="18" name="Meni">#REF!</definedName>
    <definedName localSheetId="44" name="__MMM02">#REF!</definedName>
    <definedName localSheetId="42" name="BAHU">#REF!</definedName>
    <definedName localSheetId="3" name="__DIV3">#REF!</definedName>
    <definedName name="______MMM05">#REF!</definedName>
    <definedName localSheetId="40" name="__pvc205">#REF!</definedName>
    <definedName localSheetId="9" name="teakwood9mm">#REF!</definedName>
    <definedName localSheetId="17" name="_____MMM48">#REF!</definedName>
    <definedName localSheetId="20" name="p.triplek">#REF!</definedName>
    <definedName localSheetId="38" name="wwww">#REF!</definedName>
    <definedName localSheetId="24" name="tegel20">#REF!</definedName>
    <definedName localSheetId="3" name="beton.225m">#REF!</definedName>
    <definedName localSheetId="21" name="strorox">#REF!</definedName>
    <definedName localSheetId="30" name="sealer.mowi">#REF!</definedName>
    <definedName localSheetId="17" name="ubinteraluxmarmer40">#REF!</definedName>
    <definedName localSheetId="9" name="papan.m.3.20">#REF!</definedName>
    <definedName localSheetId="21" name="batukali14">#REF!</definedName>
    <definedName localSheetId="39" name="spirtus">#REF!</definedName>
    <definedName localSheetId="30" name="sssssss">#REF!</definedName>
    <definedName localSheetId="7" name="_________MMM31">#REF!</definedName>
    <definedName localSheetId="17" name="________MMM01">#REF!</definedName>
    <definedName localSheetId="36" name="engselangin">#REF!</definedName>
    <definedName name="_________LLL10">#REF!</definedName>
    <definedName localSheetId="18" name="JA">#REF!</definedName>
    <definedName localSheetId="17" name="R23..">#REF!</definedName>
    <definedName localSheetId="27" name="jki">#REF!</definedName>
    <definedName localSheetId="20" name="ubinkeramikartistik1010">#REF!</definedName>
    <definedName localSheetId="12" name="tl2x40">#REF!</definedName>
    <definedName name="_MMM47">#REF!</definedName>
    <definedName name="R45..">#REF!</definedName>
    <definedName localSheetId="34" name="pakubiasa">#REF!</definedName>
    <definedName localSheetId="8" name="_pvc2">#REF!</definedName>
    <definedName localSheetId="25" name="MAI">#REF!</definedName>
    <definedName localSheetId="7" name="URAIAN7612b">#REF!</definedName>
    <definedName localSheetId="21" name="__MMM38">#REF!</definedName>
    <definedName localSheetId="42" name="kayujati">#REF!</definedName>
    <definedName localSheetId="24" name="______DIV6">#REF!</definedName>
    <definedName localSheetId="8" name="kiki">#REF!</definedName>
    <definedName localSheetId="31" name="_________DIV2">#REF!</definedName>
    <definedName localSheetId="17" name="got">#REF!</definedName>
    <definedName localSheetId="7" name="___HAL4">#REF!</definedName>
    <definedName localSheetId="36" name="gentengdecrabond">#REF!</definedName>
    <definedName localSheetId="6" name="pintualuminium">#REF!</definedName>
    <definedName localSheetId="33" name="s.tukang">#REF!</definedName>
    <definedName localSheetId="6" name="tanggal">#REF!</definedName>
    <definedName localSheetId="4" name="karpetwooldannilon">#REF!</definedName>
    <definedName localSheetId="21" name="______DIV9">#REF!</definedName>
    <definedName localSheetId="21" name="________LLL05">#REF!</definedName>
    <definedName localSheetId="33" name="beton225r">#REF!</definedName>
    <definedName localSheetId="24" name="_______DIV9">#REF!</definedName>
    <definedName localSheetId="21" name="R13..">#REF!</definedName>
    <definedName localSheetId="7" name="split2.3">#REF!</definedName>
    <definedName localSheetId="20" name="______HAL1">#REF!</definedName>
    <definedName localSheetId="41" name="________DIV4">#REF!</definedName>
    <definedName localSheetId="44" name="papanbulian">#REF!</definedName>
    <definedName localSheetId="4" name="doorcloser">#REF!</definedName>
    <definedName localSheetId="20" name="FORM7612b">#REF!</definedName>
    <definedName localSheetId="42" name="metal">#REF!</definedName>
    <definedName localSheetId="44" name="R14..">#REF!</definedName>
    <definedName localSheetId="6" name="BPS">#REF!</definedName>
    <definedName localSheetId="24" name="_______LLL02">#REF!</definedName>
    <definedName localSheetId="9" name="plywood6mm">#REF!</definedName>
    <definedName localSheetId="3" name="_tl2">#REF!</definedName>
    <definedName localSheetId="33" name="teakwood9mm">#REF!</definedName>
    <definedName localSheetId="40" name="JUDUL1">#REF!</definedName>
    <definedName localSheetId="5" name="gypsum.prf">#REF!</definedName>
    <definedName localSheetId="15" name="sengplatbjls24">#REF!</definedName>
    <definedName localSheetId="3" name="grendeltanam">#REF!</definedName>
    <definedName localSheetId="8" name="___pvc205">#REF!</definedName>
    <definedName localSheetId="11" name="rapidrant">#REF!</definedName>
    <definedName localSheetId="4" name="ubinkeramikartistik1010">#REF!</definedName>
    <definedName localSheetId="3" name="baru">#REF!</definedName>
    <definedName localSheetId="21" name="________MMM22">#REF!</definedName>
    <definedName name="____MMM30">#REF!</definedName>
    <definedName localSheetId="28" name="DFFFGGG">#REF!</definedName>
    <definedName localSheetId="17" name="___HAL7">#REF!</definedName>
    <definedName localSheetId="7" name="Kunci1">#REF!</definedName>
    <definedName localSheetId="21" name="ABC">#REF!</definedName>
    <definedName localSheetId="44" name="_______DIV2">#REF!</definedName>
    <definedName localSheetId="28" name="BAHU">#REF!</definedName>
    <definedName localSheetId="38" name="kayukruing">#REF!</definedName>
    <definedName localSheetId="28" name="vinylkaretklII">#REF!</definedName>
    <definedName localSheetId="32" name="plamur.matex">#REF!</definedName>
    <definedName localSheetId="7" name="FORM66PERMUKAAN">#REF!</definedName>
    <definedName localSheetId="3" name="_____MMM32">#REF!</definedName>
    <definedName localSheetId="17" name="FORM771b">#REF!</definedName>
    <definedName localSheetId="5" name="jendelanako">#REF!</definedName>
    <definedName localSheetId="21" name="ubinkeramik2525">#REF!</definedName>
    <definedName name="URAIAN635">#REF!</definedName>
    <definedName localSheetId="23" name="bilikbambu">#REF!</definedName>
    <definedName localSheetId="36" name="amplas">#REF!</definedName>
    <definedName localSheetId="40" name="______HAL2">#REF!</definedName>
    <definedName name="____MMM39">#REF!</definedName>
    <definedName localSheetId="32" name="plesteran13">#REF!</definedName>
    <definedName localSheetId="7" name="meni.kayu">#REF!</definedName>
    <definedName localSheetId="7" name="_______MMM26">#REF!</definedName>
    <definedName localSheetId="33" name="a">#REF!</definedName>
    <definedName localSheetId="11" name="Analisa512">#REF!</definedName>
    <definedName localSheetId="15" name="kayukamper">#REF!</definedName>
    <definedName localSheetId="11" name="residu">#REF!</definedName>
    <definedName localSheetId="24" name="_______MMM54">#REF!</definedName>
    <definedName localSheetId="0" name="____DIV1">#REF!</definedName>
    <definedName localSheetId="21" name="_MMM24">#REF!</definedName>
    <definedName localSheetId="15" name="mm">#REF!</definedName>
    <definedName localSheetId="24" name="Analisa70706">#REF!</definedName>
    <definedName localSheetId="40" name="___DIV2">#REF!</definedName>
    <definedName localSheetId="4" name="__Tl1">#REF!</definedName>
    <definedName localSheetId="6" name="k.ddg.rmn.20.25.pls">#REF!</definedName>
    <definedName localSheetId="9" name="kaca.es">#REF!</definedName>
    <definedName localSheetId="21" name="Batas16.21">#REF!</definedName>
    <definedName localSheetId="44" name="_____HAL4">#REF!</definedName>
    <definedName localSheetId="24" name="sunloid">#REF!</definedName>
    <definedName localSheetId="11" name="kali">#REF!</definedName>
    <definedName localSheetId="11" name="_DIV3">#REF!</definedName>
    <definedName localSheetId="4" name="_______DIV3">#REF!</definedName>
    <definedName localSheetId="44" name="________MMM54">#REF!</definedName>
    <definedName name="R3..">#REF!</definedName>
    <definedName localSheetId="15" name="URAIAN7612a">#REF!</definedName>
    <definedName localSheetId="12" name="FORM66PERATA">#REF!</definedName>
    <definedName localSheetId="42" name="R61..">#REF!</definedName>
    <definedName localSheetId="10" name="NAMA3">#REF!</definedName>
    <definedName localSheetId="36" name="_____HAL1">#REF!</definedName>
    <definedName localSheetId="20" name="Status">#REF!</definedName>
    <definedName localSheetId="10" name="ubinkeramikartistik1020">#REF!</definedName>
    <definedName localSheetId="17" name="tegelporselen15x15warna">#REF!</definedName>
    <definedName localSheetId="32" name="URAIAN732">#REF!</definedName>
    <definedName localSheetId="5" name="sofboard">#REF!</definedName>
    <definedName localSheetId="41" name="pakugypsum">#REF!</definedName>
    <definedName localSheetId="40" name="plywood6mm">#REF!</definedName>
    <definedName name="BM">#REF!</definedName>
    <definedName localSheetId="0" name="kunci1slag">#REF!</definedName>
    <definedName localSheetId="3" name="_________MMM38">#REF!</definedName>
    <definedName localSheetId="25" name="LAP">#REF!</definedName>
    <definedName localSheetId="17" name="_________MMM07">#REF!</definedName>
    <definedName localSheetId="8" name="_LLL03">#REF!</definedName>
    <definedName localSheetId="13" name="_DIV10">#REF!</definedName>
    <definedName localSheetId="15" name="bjls30">#REF!</definedName>
    <definedName localSheetId="41" name="metal">#REF!</definedName>
    <definedName localSheetId="24" name="kd_daerah">#REF!</definedName>
    <definedName localSheetId="18" name="hollowblok">#REF!</definedName>
    <definedName localSheetId="7" name="pvc3d">#REF!</definedName>
    <definedName localSheetId="42" name="__MMM03">#REF!</definedName>
    <definedName localSheetId="5" name="bak">#REF!</definedName>
    <definedName localSheetId="13" name="Excel_BuiltIn_Print_Titles_10">#REF!</definedName>
    <definedName localSheetId="6" name="tanahliat">#REF!</definedName>
    <definedName localSheetId="9" name="ubinkeramik1020">#REF!</definedName>
    <definedName localSheetId="33" name="FORM745">#REF!</definedName>
    <definedName localSheetId="19" name="pasirsilika">#REF!</definedName>
    <definedName localSheetId="18" name="B.Aparatur">#REF!</definedName>
    <definedName localSheetId="24" name="c.maxi">#REF!</definedName>
    <definedName localSheetId="34" name="rollingdoor">#REF!</definedName>
    <definedName localSheetId="10" name="karpet">#REF!</definedName>
    <definedName localSheetId="12" name="kuncialfa">#REF!</definedName>
    <definedName localSheetId="13" name="kuas">#REF!</definedName>
    <definedName localSheetId="24" name="kkkk">#REF!</definedName>
    <definedName localSheetId="10" name="p.triplek">#REF!</definedName>
    <definedName localSheetId="15" name="plintkeramikartistik1010">#REF!</definedName>
    <definedName localSheetId="6" name="pakuskrup">#REF!</definedName>
    <definedName localSheetId="30" name="kayudamarlaut">#REF!</definedName>
    <definedName localSheetId="0" name="kayukudakuda">#REF!</definedName>
    <definedName localSheetId="23" name="profilalumuniumT">#REF!</definedName>
    <definedName localSheetId="31" name="engsel3">#REF!</definedName>
    <definedName localSheetId="23" name="__LLL02">#REF!</definedName>
    <definedName localSheetId="40" name="gypsum.9">#REF!</definedName>
    <definedName localSheetId="4" name="FORMLatasirKL">#REF!</definedName>
    <definedName localSheetId="44" name="______DIV8">#REF!</definedName>
    <definedName localSheetId="12" name="kacacermin5">#REF!</definedName>
    <definedName localSheetId="30" name="Catbesi">#REF!</definedName>
    <definedName localSheetId="3" name="amobiotic">#REF!</definedName>
    <definedName localSheetId="7" name="_________MMM01">#REF!</definedName>
    <definedName localSheetId="18" name="Jasa">#REF!</definedName>
    <definedName localSheetId="19" name="asbesgelombang">#REF!</definedName>
    <definedName localSheetId="41" name="plywood4mm">#REF!</definedName>
    <definedName localSheetId="24" name="_______MMM30">#REF!</definedName>
    <definedName localSheetId="7" name="pvc.0.5.mas.d">#REF!</definedName>
    <definedName localSheetId="31" name="b.belah">#REF!</definedName>
    <definedName localSheetId="12" name="dd">#REF!</definedName>
    <definedName name="_____HAL3">#REF!</definedName>
    <definedName localSheetId="9" name="_LLL03">#REF!</definedName>
    <definedName localSheetId="21" name="plintubinpcabuabu1520">#REF!</definedName>
    <definedName localSheetId="21" name="FORM917">#REF!</definedName>
    <definedName localSheetId="8" name="atapaluminiumgelombang055">#REF!</definedName>
    <definedName localSheetId="12" name="____DIV4">#REF!</definedName>
    <definedName localSheetId="41" name="jendelanako">#REF!</definedName>
    <definedName localSheetId="41" name="FORM8410">#REF!</definedName>
    <definedName localSheetId="44" name="______LLL08">#REF!</definedName>
    <definedName localSheetId="18" name="rubbercorrugate">#REF!</definedName>
    <definedName localSheetId="42" name="kenek">#REF!</definedName>
    <definedName localSheetId="27" name="GUIIII">#REF!</definedName>
    <definedName localSheetId="38" name="plintubinwarna1020">#REF!</definedName>
    <definedName localSheetId="42" name="split2.3">#REF!</definedName>
    <definedName localSheetId="17" name="beton175R">#REF!</definedName>
    <definedName localSheetId="44" name="______MMM46">#REF!</definedName>
    <definedName localSheetId="0" name="SSSSSSSSSSSSSSSSSSSSSSSSSSSSS">#REF!</definedName>
    <definedName localSheetId="15" name="_DIV4">#REF!</definedName>
    <definedName localSheetId="11" name="FORM7612c">#REF!</definedName>
    <definedName localSheetId="17" name="URAIAN641L">#REF!</definedName>
    <definedName localSheetId="12" name="________MMM02">#REF!</definedName>
    <definedName localSheetId="21" name="Excel_BuiltIn_Print_Titles_10">#REF!</definedName>
    <definedName localSheetId="27" name="____MMM02">#REF!</definedName>
    <definedName localSheetId="21" name="_______LLL03">#REF!</definedName>
    <definedName localSheetId="7" name="ubinkeramikantislip3333">#REF!</definedName>
    <definedName localSheetId="39" name="Excel_BuiltIn_Print_Titles_10">#REF!</definedName>
    <definedName localSheetId="44" name="aa">#REF!</definedName>
    <definedName localSheetId="44" name="_________MMM36">#REF!</definedName>
    <definedName localSheetId="33" name="________MMM03">#REF!</definedName>
    <definedName localSheetId="21" name="____MMM01">#REF!</definedName>
    <definedName localSheetId="38" name="batutempelhitam">#REF!</definedName>
    <definedName localSheetId="17" name="waterstop150">#REF!</definedName>
    <definedName localSheetId="25" name="minyaksolar">#REF!</definedName>
    <definedName localSheetId="17" name="_______MMM43">#REF!</definedName>
    <definedName localSheetId="24" name="Analisa70702">#REF!</definedName>
    <definedName localSheetId="21" name="FORMLatasirK">#REF!</definedName>
    <definedName localSheetId="31" name="kaca8">#REF!</definedName>
    <definedName localSheetId="19" name="_HAL1">#REF!</definedName>
    <definedName localSheetId="23" name="data2">#REF!</definedName>
    <definedName localSheetId="3" name="_______MMM03">#REF!</definedName>
    <definedName localSheetId="25" name="bubungangentengkodok">#REF!</definedName>
    <definedName localSheetId="17" name="Meni">#REF!</definedName>
    <definedName localSheetId="24" name="____LLL04">#REF!</definedName>
    <definedName localSheetId="3" name="____DIV5">#REF!</definedName>
    <definedName localSheetId="15" name="kunci1slag">#REF!</definedName>
    <definedName localSheetId="40" name="B.Jambi">#REF!</definedName>
    <definedName localSheetId="40" name="______MMM02">#REF!</definedName>
    <definedName localSheetId="18" name="platasbes4mm">#REF!</definedName>
    <definedName localSheetId="33" name="lp">#REF!</definedName>
    <definedName localSheetId="32" name="R21..">#REF!</definedName>
    <definedName localSheetId="42" name="___HAL2">#REF!</definedName>
    <definedName localSheetId="23" name="_____DIV4">#REF!</definedName>
    <definedName localSheetId="9" name="gabin_al">#REF!</definedName>
    <definedName localSheetId="24" name="______MMM02">#REF!</definedName>
    <definedName localSheetId="8" name="URAIAN7612c">#REF!</definedName>
    <definedName localSheetId="15" name="___pvc205">#REF!</definedName>
    <definedName localSheetId="39" name="catpenutup2kali">#REF!</definedName>
    <definedName localSheetId="17" name="k.rmmn.30.30.pls">#REF!</definedName>
    <definedName localSheetId="23" name="nmdaerah">#REF!</definedName>
    <definedName localSheetId="18" name="Grendel">#REF!</definedName>
    <definedName localSheetId="30" name="___MMM02">#REF!</definedName>
    <definedName localSheetId="39" name="panelbetonpracetak">#REF!</definedName>
    <definedName localSheetId="4" name="hollowblok">#REF!</definedName>
    <definedName localSheetId="10" name="kayudamarlaut">#REF!</definedName>
    <definedName localSheetId="27" name="Uraian841">#REF!</definedName>
    <definedName localSheetId="32" name="MMM17A">#REF!</definedName>
    <definedName localSheetId="38" name="_kop6">#REF!</definedName>
    <definedName localSheetId="12" name="tes">#REF!</definedName>
    <definedName localSheetId="5" name="_pvc205">#REF!</definedName>
    <definedName localSheetId="15" name="_______MMM03">#REF!</definedName>
    <definedName localSheetId="15" name="Catbesi">#REF!</definedName>
    <definedName localSheetId="3" name="URAIAN636">#REF!</definedName>
    <definedName localSheetId="10" name="keramik40">#REF!</definedName>
    <definedName localSheetId="17" name="R49..">#REF!</definedName>
    <definedName localSheetId="41" name="ubinkeramik1515">#REF!</definedName>
    <definedName localSheetId="11" name="perancahkayu">#REF!</definedName>
    <definedName localSheetId="24" name="URAIAN66PERMUKAAN">#REF!</definedName>
    <definedName localSheetId="17" name="___MMM31">#REF!</definedName>
    <definedName localSheetId="3" name="FORM918">#REF!</definedName>
    <definedName localSheetId="32" name="platasbes">#REF!</definedName>
    <definedName localSheetId="7" name="LAP">#REF!</definedName>
    <definedName name="_______LLL05">#REF!</definedName>
    <definedName localSheetId="11" name="siap1">#REF!</definedName>
    <definedName localSheetId="44" name="papanbekisting">#REF!</definedName>
    <definedName localSheetId="44" name="sementahanasam">#REF!</definedName>
    <definedName localSheetId="4" name="psr.trs">#REF!</definedName>
    <definedName localSheetId="41" name="cendana">#REF!</definedName>
    <definedName localSheetId="41" name="________DIV3">#REF!</definedName>
    <definedName localSheetId="38" name="________MMM02">#REF!</definedName>
    <definedName localSheetId="30" name="ktbs">#REF!</definedName>
    <definedName localSheetId="44" name="________MMM52">#REF!</definedName>
    <definedName localSheetId="32" name="______HAL1">#REF!</definedName>
    <definedName localSheetId="17" name="drainase">#REF!</definedName>
    <definedName localSheetId="24" name="____MMM28">#REF!</definedName>
    <definedName localSheetId="20" name="______HAL2">#REF!</definedName>
    <definedName localSheetId="17" name="______DIV5">#REF!</definedName>
    <definedName localSheetId="17" name="__DIV7">#REF!</definedName>
    <definedName localSheetId="23" name="drainase">#REF!</definedName>
    <definedName localSheetId="17" name="__LLL10">#REF!</definedName>
    <definedName localSheetId="21" name="____MMM12">#REF!</definedName>
    <definedName localSheetId="42" name="Jasa">#REF!</definedName>
    <definedName localSheetId="3" name="lem">#REF!</definedName>
    <definedName localSheetId="25" name="URAIANLatasirK">#REF!</definedName>
    <definedName localSheetId="5" name="FORM771c">#REF!</definedName>
    <definedName name="nokstandar">#REF!</definedName>
    <definedName localSheetId="36" name="jki">#REF!</definedName>
    <definedName localSheetId="8" name="batamerah">#REF!</definedName>
    <definedName localSheetId="0" name="strorox">#REF!</definedName>
    <definedName localSheetId="39" name="Pjgsloof">#REF!</definedName>
    <definedName localSheetId="42" name="FORM66PERATA">#REF!</definedName>
    <definedName localSheetId="21" name="_______DIV10">#REF!</definedName>
    <definedName localSheetId="12" name="k.40.40.roman.crk">#REF!</definedName>
    <definedName localSheetId="21" name="_________MMM38">#REF!</definedName>
    <definedName localSheetId="27" name="DFFFGGG">#REF!</definedName>
    <definedName localSheetId="18" name="plintubinteraluxkerang1060">#REF!</definedName>
    <definedName name="sabun">#REF!</definedName>
    <definedName localSheetId="19" name="bubungangentengbeton">#REF!</definedName>
    <definedName localSheetId="20" name="pakuskrup">#REF!</definedName>
    <definedName localSheetId="39" name="plintubinteraluxkerang1060">#REF!</definedName>
    <definedName localSheetId="31" name="multi.18">#REF!</definedName>
    <definedName localSheetId="41" name="_pvc105">#REF!</definedName>
    <definedName localSheetId="28" name="Print_Area_MI">#REF!</definedName>
    <definedName localSheetId="21" name="Analisa713">#REF!</definedName>
    <definedName localSheetId="28" name="__pvc05">#REF!</definedName>
    <definedName localSheetId="38" name="tegelpc20x20">#REF!</definedName>
    <definedName localSheetId="11" name="URAIAN22L">#REF!</definedName>
    <definedName localSheetId="40" name="plywood4mm">#REF!</definedName>
    <definedName localSheetId="42" name="residu">#REF!</definedName>
    <definedName localSheetId="20" name="tky">#REF!</definedName>
    <definedName localSheetId="44" name="Analisa631">#REF!</definedName>
    <definedName name="_DIV4">#REF!</definedName>
    <definedName localSheetId="10" name="drainase">#REF!</definedName>
    <definedName localSheetId="24" name="papanbekisting">#REF!</definedName>
    <definedName localSheetId="5" name="feltexkarpetwool">#REF!</definedName>
    <definedName localSheetId="18" name="Galam">#REF!</definedName>
    <definedName localSheetId="3" name="___MMM17">#REF!</definedName>
    <definedName localSheetId="31" name="terntang">#REF!</definedName>
    <definedName localSheetId="8" name="sementahanasam">#REF!</definedName>
    <definedName localSheetId="3" name="R91..">#REF!</definedName>
    <definedName localSheetId="20" name="baru">#REF!</definedName>
    <definedName localSheetId="15" name="TANAH">#REF!</definedName>
    <definedName localSheetId="33" name="___pvc105">#REF!</definedName>
    <definedName localSheetId="19" name="Faktorial">#REF!</definedName>
    <definedName localSheetId="41" name="k.ddg.rmn.20.25.pls">#REF!</definedName>
    <definedName localSheetId="44" name="_____MMM24">#REF!</definedName>
    <definedName localSheetId="5" name="ppn2.30">#REF!</definedName>
    <definedName localSheetId="15" name="Kunci1">#REF!</definedName>
    <definedName localSheetId="24" name="R81..">#REF!</definedName>
    <definedName localSheetId="19" name="nmdaerah">#REF!</definedName>
    <definedName localSheetId="30" name="kawatduri">#REF!</definedName>
    <definedName localSheetId="20" name="__LLL01">#REF!</definedName>
    <definedName localSheetId="24" name="__MMM10">#REF!</definedName>
    <definedName localSheetId="17" name="R20..">#REF!</definedName>
    <definedName localSheetId="21" name="_DIV10">#REF!</definedName>
    <definedName localSheetId="12" name="____DIV1">#REF!</definedName>
    <definedName localSheetId="23" name="kacacermin5">#REF!</definedName>
    <definedName localSheetId="7" name="__MMM09">#REF!</definedName>
    <definedName localSheetId="9" name="kaca.p.5">#REF!</definedName>
    <definedName localSheetId="7" name="______MMM23">#REF!</definedName>
    <definedName localSheetId="7" name="Analisa70107">#REF!</definedName>
    <definedName localSheetId="36" name="kolombetonpracetak">#REF!</definedName>
    <definedName localSheetId="7" name="AGREGAT">#REF!</definedName>
    <definedName localSheetId="24" name="_HAL6">#REF!</definedName>
    <definedName localSheetId="44" name="_________MMM14">#REF!</definedName>
    <definedName localSheetId="7" name="Faktorial">#REF!</definedName>
    <definedName localSheetId="3" name="____MMM03">#REF!</definedName>
    <definedName localSheetId="23" name="plintubinteraluxkerang1060">#REF!</definedName>
    <definedName localSheetId="27" name="_______HAL3">#REF!</definedName>
    <definedName localSheetId="17" name="__DIV9">#REF!</definedName>
    <definedName localSheetId="0" name="KTM">#REF!</definedName>
    <definedName localSheetId="28" name="cv">#REF!</definedName>
    <definedName localSheetId="3" name="____MMM36">#REF!</definedName>
    <definedName localSheetId="38" name="gmp">#REF!</definedName>
    <definedName localSheetId="38" name="FORM632">#REF!</definedName>
    <definedName localSheetId="7" name="B.Aparatur">#REF!</definedName>
    <definedName localSheetId="40" name="FORM7613c">#REF!</definedName>
    <definedName localSheetId="30" name="Uraian841">#REF!</definedName>
    <definedName localSheetId="21" name="_____MMM38">#REF!</definedName>
    <definedName localSheetId="32" name="multi.18">#REF!</definedName>
    <definedName localSheetId="39" name="ubinkeramikartistik520">#REF!</definedName>
    <definedName localSheetId="20" name="nokpaten105">#REF!</definedName>
    <definedName localSheetId="27" name="t.sabun">#REF!</definedName>
    <definedName localSheetId="39" name="sdg">#REF!</definedName>
    <definedName localSheetId="11" name="t.sabun">#REF!</definedName>
    <definedName localSheetId="38" name="_______DIV4">#REF!</definedName>
    <definedName localSheetId="42" name="R4..">#REF!</definedName>
    <definedName localSheetId="17" name="plintubinpcabuabu1030">#REF!</definedName>
    <definedName localSheetId="9" name="k.ddg.rmn.20.25.pls">#REF!</definedName>
    <definedName localSheetId="17" name="batuporos">#REF!</definedName>
    <definedName localSheetId="20" name="plywood4">#REF!</definedName>
    <definedName localSheetId="33" name="________HAL2">#REF!</definedName>
    <definedName localSheetId="30" name="s.warna">#REF!</definedName>
    <definedName localSheetId="7" name="vinylmotifkembang">#REF!</definedName>
    <definedName localSheetId="24" name="R28..">#REF!</definedName>
    <definedName localSheetId="24" name="ubinwarna20">#REF!</definedName>
    <definedName localSheetId="7" name="________DIV2">#REF!</definedName>
    <definedName localSheetId="25" name="ubinteraso30">#REF!</definedName>
    <definedName localSheetId="10" name="mm">#REF!</definedName>
    <definedName localSheetId="30" name="grendel3">#REF!</definedName>
    <definedName localSheetId="13" name="u">#REF!</definedName>
    <definedName localSheetId="27" name="______DIV10">#REF!</definedName>
    <definedName localSheetId="24" name="_LLL04">#REF!</definedName>
    <definedName localSheetId="8" name="Gypsum">#REF!</definedName>
    <definedName localSheetId="0" name="kuas">#REF!</definedName>
    <definedName localSheetId="36" name="semenwarna">#REF!</definedName>
    <definedName localSheetId="17" name="_____MMM20">#REF!</definedName>
    <definedName localSheetId="6" name="plintubinkeramikartistik1020">#REF!</definedName>
    <definedName localSheetId="31" name="aa">#REF!</definedName>
    <definedName localSheetId="4" name="closedjongkok">#REF!</definedName>
    <definedName localSheetId="15" name="reng">#REF!</definedName>
    <definedName localSheetId="5" name="URAIAN744">#REF!</definedName>
    <definedName localSheetId="27" name="k.beton">#REF!</definedName>
    <definedName localSheetId="34" name="bouwplnk">#REF!</definedName>
    <definedName localSheetId="38" name="_______DIV10">#REF!</definedName>
    <definedName localSheetId="24" name="___DIV10">#REF!</definedName>
    <definedName localSheetId="39" name="plintubingranito1040">#REF!</definedName>
    <definedName localSheetId="21" name="__DIV10">#REF!</definedName>
    <definedName localSheetId="4" name="sunloid">#REF!</definedName>
    <definedName localSheetId="23" name="SSSSSSSSSSSSSSSSSSSSSSSSSSSSS">#REF!</definedName>
    <definedName localSheetId="13" name="medan5.10">#REF!</definedName>
    <definedName localSheetId="38" name="Status">#REF!</definedName>
    <definedName localSheetId="3" name="_pvc05">#REF!</definedName>
    <definedName localSheetId="31" name="URAIAN323L">#REF!</definedName>
    <definedName localSheetId="4" name="__pvc205">#REF!</definedName>
    <definedName localSheetId="38" name="asbesgelombang">#REF!</definedName>
    <definedName localSheetId="7" name="plintubinteraluxmarmer1030">#REF!</definedName>
    <definedName localSheetId="39" name="batuapung">#REF!</definedName>
    <definedName localSheetId="23" name="catpenutup">#REF!</definedName>
    <definedName localSheetId="44" name="gentengbeton">#REF!</definedName>
    <definedName localSheetId="20" name="venetionblinds">#REF!</definedName>
    <definedName localSheetId="6" name="URAIAN631">#REF!</definedName>
    <definedName localSheetId="44" name="_HAL8">#REF!</definedName>
    <definedName localSheetId="25" name="namaabsen">#REF!</definedName>
    <definedName localSheetId="44" name="water.prof">#REF!</definedName>
    <definedName localSheetId="10" name="________HAL2">#REF!</definedName>
    <definedName localSheetId="40" name="batutempelhitam">#REF!</definedName>
    <definedName name="_______HAL2">#REF!</definedName>
    <definedName localSheetId="36" name="BAHU">#REF!</definedName>
    <definedName localSheetId="17" name="_____MMM12">#REF!</definedName>
    <definedName localSheetId="13" name="FORM7612c">#REF!</definedName>
    <definedName localSheetId="20" name="Pc.50">#REF!</definedName>
    <definedName localSheetId="3" name="______MMM16">#REF!</definedName>
    <definedName localSheetId="19" name="JL_NAS">#REF!</definedName>
    <definedName localSheetId="25" name="papanbekisting">#REF!</definedName>
    <definedName localSheetId="21" name="________DIV3">#REF!</definedName>
    <definedName localSheetId="5" name="lis">#REF!</definedName>
    <definedName localSheetId="38" name="Ker.L13">#REF!</definedName>
    <definedName localSheetId="7" name="URAIAN7612a">#REF!</definedName>
    <definedName localSheetId="44" name="_____DIV3">#REF!</definedName>
    <definedName localSheetId="36" name="Psr.psg">#REF!</definedName>
    <definedName localSheetId="31" name="metal">#REF!</definedName>
    <definedName localSheetId="39" name="kacapolos5mm">#REF!</definedName>
    <definedName localSheetId="44" name="pintusunscreenalluminium">#REF!</definedName>
    <definedName localSheetId="5" name="BAJA">#REF!</definedName>
    <definedName localSheetId="41" name="FORM611">#REF!</definedName>
    <definedName localSheetId="31" name="urugankembali">#REF!</definedName>
    <definedName localSheetId="44" name="kmp.banjar">#REF!</definedName>
    <definedName localSheetId="28" name="URAIAN66PERMUKAAN">#REF!</definedName>
    <definedName localSheetId="13" name="hd">#REF!</definedName>
    <definedName localSheetId="17" name="FORM913">#REF!</definedName>
    <definedName localSheetId="15" name="___HAL3">#REF!</definedName>
    <definedName localSheetId="17" name="R44..">#REF!</definedName>
    <definedName localSheetId="3" name="plintkeramikartistik1010">#REF!</definedName>
    <definedName localSheetId="20" name="kuncitanam">#REF!</definedName>
    <definedName localSheetId="4" name="tukng">#REF!</definedName>
    <definedName localSheetId="5" name="KUANTITAS">#REF!</definedName>
    <definedName localSheetId="8" name="Psr.psg">#REF!</definedName>
    <definedName localSheetId="6" name="kacawireglass5">#REF!</definedName>
    <definedName localSheetId="3" name="FORM99">#REF!</definedName>
    <definedName localSheetId="34" name="__Tl1">#REF!</definedName>
    <definedName localSheetId="27" name="kmp.banjar">#REF!</definedName>
    <definedName localSheetId="3" name="________MMM31">#REF!</definedName>
    <definedName localSheetId="4" name="borneo4.6">#REF!</definedName>
    <definedName localSheetId="27" name="Akustik">#REF!</definedName>
    <definedName localSheetId="41" name="mapel">#REF!</definedName>
    <definedName localSheetId="3" name="w">#REF!</definedName>
    <definedName localSheetId="17" name="_MMM16">#REF!</definedName>
    <definedName localSheetId="25" name="Pc.50">#REF!</definedName>
    <definedName localSheetId="7" name="beton175m">#REF!</definedName>
    <definedName localSheetId="30" name="UP">#REF!</definedName>
    <definedName localSheetId="17" name="Analisa661">#REF!</definedName>
    <definedName localSheetId="44" name="____DIV3">#REF!</definedName>
    <definedName localSheetId="32" name="gabin_al">#REF!</definedName>
    <definedName localSheetId="32" name="______MMM03">#REF!</definedName>
    <definedName localSheetId="24" name="NAMA2">#REF!</definedName>
    <definedName localSheetId="7" name="_MMM36">#REF!</definedName>
    <definedName localSheetId="30" name="kaca8">#REF!</definedName>
    <definedName localSheetId="39" name="seng25">#REF!</definedName>
    <definedName localSheetId="44" name="___MMM35">#REF!</definedName>
    <definedName localSheetId="3" name="___LLL02">#REF!</definedName>
    <definedName localSheetId="0" name="R4..">#REF!</definedName>
    <definedName localSheetId="42" name="URAIAN66PERATA">#REF!</definedName>
    <definedName localSheetId="31" name="vinylasbes">#REF!</definedName>
    <definedName localSheetId="10" name="MATERIAL">#REF!</definedName>
    <definedName name="____MMM02">#REF!</definedName>
    <definedName localSheetId="32" name="__MMM03">#REF!</definedName>
    <definedName localSheetId="34" name="pagar2m">#REF!</definedName>
    <definedName localSheetId="7" name="bilikbambu">#REF!</definedName>
    <definedName localSheetId="5" name="Ker.L13">#REF!</definedName>
    <definedName localSheetId="21" name="meni.kayu">#REF!</definedName>
    <definedName name="_HAL7">#REF!</definedName>
    <definedName localSheetId="27" name="pengencer">#REF!</definedName>
    <definedName name="kawatharmonika">#REF!</definedName>
    <definedName localSheetId="24" name="__MMM411">#REF!</definedName>
    <definedName localSheetId="7" name="URAIAN65">#REF!</definedName>
    <definedName localSheetId="24" name="kayuborneo">#REF!</definedName>
    <definedName localSheetId="31" name="kkkk">#REF!</definedName>
    <definedName localSheetId="17" name="____MMM53">#REF!</definedName>
    <definedName localSheetId="3" name="___MMM02">#REF!</definedName>
    <definedName localSheetId="13" name="hollowblok">#REF!</definedName>
    <definedName localSheetId="11" name="tanggal">#REF!</definedName>
    <definedName localSheetId="9" name="namaabsen">#REF!</definedName>
    <definedName localSheetId="7" name="besi8sii">#REF!</definedName>
    <definedName localSheetId="39" name="_______DIV1">#REF!</definedName>
    <definedName localSheetId="11" name="roster">#REF!</definedName>
    <definedName localSheetId="40" name="Psr.psg">#REF!</definedName>
    <definedName localSheetId="24" name="Uraian841">#REF!</definedName>
    <definedName localSheetId="0" name="bak">#REF!</definedName>
    <definedName localSheetId="11" name="_____HAL2">#REF!</definedName>
    <definedName localSheetId="30" name="sunloid">#REF!</definedName>
    <definedName localSheetId="24" name="FORM771c">#REF!</definedName>
    <definedName localSheetId="17" name="k.zink">#REF!</definedName>
    <definedName localSheetId="38" name="grendel4">#REF!</definedName>
    <definedName localSheetId="44" name="spirtus">#REF!</definedName>
    <definedName localSheetId="24" name="bubungangentengpalentongbesar">#REF!</definedName>
    <definedName localSheetId="36" name="ASET">#REF!</definedName>
    <definedName localSheetId="7" name="_______MMM47">#REF!</definedName>
    <definedName localSheetId="6" name="vertikalsblinds">#REF!</definedName>
    <definedName localSheetId="18" name="k.ddg.rmn.20.25.pls">#REF!</definedName>
    <definedName localSheetId="41" name="a">#REF!</definedName>
    <definedName localSheetId="30" name="_____MMM02">#REF!</definedName>
    <definedName localSheetId="31" name="gmp">#REF!</definedName>
    <definedName localSheetId="13" name="___DIV4">#REF!</definedName>
    <definedName localSheetId="25" name="tbkr">#REF!</definedName>
    <definedName localSheetId="39" name="URAIAN612">#REF!</definedName>
    <definedName localSheetId="23" name="___HAL3">#REF!</definedName>
    <definedName localSheetId="15" name="kiki">#REF!</definedName>
    <definedName localSheetId="34" name="plesteran13">#REF!</definedName>
    <definedName localSheetId="5" name="vinylasbes">#REF!</definedName>
    <definedName localSheetId="44" name="FORM911">#REF!</definedName>
    <definedName localSheetId="42" name="Aluminium">#REF!</definedName>
    <definedName localSheetId="19" name="__MMM03">#REF!</definedName>
    <definedName localSheetId="42" name="tegel20">#REF!</definedName>
    <definedName localSheetId="0" name="Pengadaan">#REF!</definedName>
    <definedName localSheetId="38" name="ubinwarna20">#REF!</definedName>
    <definedName localSheetId="20" name="Print_Area_MI">#REF!</definedName>
    <definedName localSheetId="38" name="cghj">#REF!</definedName>
    <definedName localSheetId="17" name="___MMM06">#REF!</definedName>
    <definedName localSheetId="44" name="_________MMM25">#REF!</definedName>
    <definedName localSheetId="44" name="kunci2slag">#REF!</definedName>
    <definedName localSheetId="18" name="papanbulian">#REF!</definedName>
    <definedName name="_____MMM18">#REF!</definedName>
    <definedName localSheetId="8" name="_______DIV4">#REF!</definedName>
    <definedName localSheetId="8" name="semenwarna">#REF!</definedName>
    <definedName localSheetId="9" name="urugankembali">#REF!</definedName>
    <definedName localSheetId="21" name="pvc1.2.wav.aw">#REF!</definedName>
    <definedName localSheetId="31" name="FORM611">#REF!</definedName>
    <definedName localSheetId="6" name="paku5.7.10">#REF!</definedName>
    <definedName localSheetId="44" name="_____MMM17">#REF!</definedName>
    <definedName localSheetId="0" name="__HAL4">#REF!</definedName>
    <definedName localSheetId="7" name="FORM635A">#REF!</definedName>
    <definedName localSheetId="44" name="____MMM50">#REF!</definedName>
    <definedName localSheetId="23" name="got">#REF!</definedName>
    <definedName localSheetId="44" name="____MMM51">#REF!</definedName>
    <definedName localSheetId="41" name="R41..">#REF!</definedName>
    <definedName localSheetId="17" name="________MMM36">#REF!</definedName>
    <definedName localSheetId="24" name="__MMM37">#REF!</definedName>
    <definedName localSheetId="40" name="plintubinwarna1020">#REF!</definedName>
    <definedName localSheetId="44" name="_____MMM45">#REF!</definedName>
    <definedName localSheetId="25" name="roll">#REF!</definedName>
    <definedName localSheetId="3" name="Closet.c420">#REF!</definedName>
    <definedName localSheetId="5" name="SusunanOrg">#REF!</definedName>
    <definedName localSheetId="19" name="aluminiumfoil">#REF!</definedName>
    <definedName localSheetId="10" name="kawatduri">#REF!</definedName>
    <definedName localSheetId="30" name="sealer">#REF!</definedName>
    <definedName localSheetId="41" name="pa">#REF!</definedName>
    <definedName localSheetId="27" name="got">#REF!</definedName>
    <definedName localSheetId="24" name="__MMM25">#REF!</definedName>
    <definedName localSheetId="0" name="batugranito">#REF!</definedName>
    <definedName localSheetId="8" name="____DIV10">#REF!</definedName>
    <definedName localSheetId="3" name="terasocor">#REF!</definedName>
    <definedName localSheetId="9" name="kayumarsawa">#REF!</definedName>
    <definedName localSheetId="31" name="_818FA">#REF!</definedName>
    <definedName name="sofboard">#REF!</definedName>
    <definedName localSheetId="17" name="pvc.4.mas.d">#REF!</definedName>
    <definedName localSheetId="39" name="plamur.matex">#REF!</definedName>
    <definedName localSheetId="21" name="M">#REF!</definedName>
    <definedName localSheetId="38" name="c.mowi.dlm">#REF!</definedName>
    <definedName localSheetId="21" name="__pvc105">#REF!</definedName>
    <definedName localSheetId="24" name="______MMM18">#REF!</definedName>
    <definedName localSheetId="11" name="kawatduri">#REF!</definedName>
    <definedName localSheetId="6" name="__MMM02">#REF!</definedName>
    <definedName localSheetId="3" name="_LLL02">#REF!</definedName>
    <definedName localSheetId="27" name="FORM7614a">#REF!</definedName>
    <definedName localSheetId="39" name="kacacermin6">#REF!</definedName>
    <definedName localSheetId="30" name="pengencer">#REF!</definedName>
    <definedName localSheetId="9" name="plywood4">#REF!</definedName>
    <definedName localSheetId="44" name="_________LLL03">#REF!</definedName>
    <definedName localSheetId="17" name="URAIAN732">#REF!</definedName>
    <definedName localSheetId="24" name="_________MMM24">#REF!</definedName>
    <definedName localSheetId="38" name="NAMA3">#REF!</definedName>
    <definedName localSheetId="11" name="plywood6mm">#REF!</definedName>
    <definedName localSheetId="41" name="bubungangentengkodok">#REF!</definedName>
    <definedName localSheetId="17" name="______MMM01">#REF!</definedName>
    <definedName localSheetId="6" name="platasbes4mm">#REF!</definedName>
    <definedName localSheetId="24" name="ubingranito30">#REF!</definedName>
    <definedName localSheetId="24" name="______HAL3">#REF!</definedName>
    <definedName localSheetId="33" name="ss">#REF!</definedName>
    <definedName localSheetId="28" name="Papanbouplank">#REF!</definedName>
    <definedName localSheetId="7" name="ASISTEN_BIDANG_PEMERINTAHAN">#REF!</definedName>
    <definedName localSheetId="24" name="drkeet">#REF!</definedName>
    <definedName localSheetId="44" name="____DIV6">#REF!</definedName>
    <definedName localSheetId="19" name="_________HAL3">#REF!</definedName>
    <definedName localSheetId="39" name="____DIV2">#REF!</definedName>
    <definedName localSheetId="7" name="R61..">#REF!</definedName>
    <definedName localSheetId="13" name="Excel_BuiltIn_Print_Area_1">#REF!</definedName>
    <definedName localSheetId="27" name="karpetwooldannilon">#REF!</definedName>
    <definedName localSheetId="7" name="_____MMM38">#REF!</definedName>
    <definedName localSheetId="25" name="_________MMM02">#REF!</definedName>
    <definedName localSheetId="38" name="marmer">#REF!</definedName>
    <definedName localSheetId="24" name="_______LLL01">#REF!</definedName>
    <definedName localSheetId="11" name="Print_title">#REF!</definedName>
    <definedName localSheetId="11" name="kacapolos3mm">#REF!</definedName>
    <definedName localSheetId="17" name="kayukudakuda">#REF!</definedName>
    <definedName localSheetId="33" name="SusunanOrg">#REF!</definedName>
    <definedName localSheetId="7" name="__LLL04">#REF!</definedName>
    <definedName localSheetId="24" name="gentengmetal">#REF!</definedName>
    <definedName localSheetId="12" name="tukng">#REF!</definedName>
    <definedName localSheetId="42" name="p.kmp.smrd.3.20">#REF!</definedName>
    <definedName localSheetId="40" name="kawatburung">#REF!</definedName>
    <definedName localSheetId="18" name="R3..">#REF!</definedName>
    <definedName localSheetId="30" name="kayumarsawa">#REF!</definedName>
    <definedName localSheetId="5" name="FORM7614c">#REF!</definedName>
    <definedName localSheetId="15" name="catantara">#REF!</definedName>
    <definedName localSheetId="44" name="LAP">#REF!</definedName>
    <definedName localSheetId="7" name="______LLL08">#REF!</definedName>
    <definedName localSheetId="4" name="R60..">#REF!</definedName>
    <definedName localSheetId="24" name="URAIAN66PERATA">#REF!</definedName>
    <definedName localSheetId="10" name="Per">#REF!</definedName>
    <definedName localSheetId="19" name="teakwood6mm">#REF!</definedName>
    <definedName localSheetId="8" name="pagar2m">#REF!</definedName>
    <definedName localSheetId="9" name="engselangin">#REF!</definedName>
    <definedName localSheetId="41" name="__HAL5">#REF!</definedName>
    <definedName localSheetId="17" name="split1.2">#REF!</definedName>
    <definedName localSheetId="6" name="Analisa55">#REF!</definedName>
    <definedName localSheetId="15" name="stairnzing">#REF!</definedName>
    <definedName localSheetId="40" name="sirlak">#REF!</definedName>
    <definedName localSheetId="11" name="sementahanasam">#REF!</definedName>
    <definedName localSheetId="12" name="batamerah">#REF!</definedName>
    <definedName name="________LLL04">#REF!</definedName>
    <definedName localSheetId="44" name="_________HAL4">#REF!</definedName>
    <definedName name="DSSDD">#REF!</definedName>
    <definedName localSheetId="39" name="plastikaerator">#REF!</definedName>
    <definedName localSheetId="25" name="oemar">#REF!</definedName>
    <definedName localSheetId="21" name="R45..">#REF!</definedName>
    <definedName localSheetId="44" name="_______MMM12">#REF!</definedName>
    <definedName localSheetId="24" name="________MMM14">#REF!</definedName>
    <definedName localSheetId="3" name="_____MMM50">#REF!</definedName>
    <definedName localSheetId="24" name="pvc.0.5.mas.d">#REF!</definedName>
    <definedName localSheetId="34" name="besi13u">#REF!</definedName>
    <definedName localSheetId="33" name="pakuhak15cm">#REF!</definedName>
    <definedName localSheetId="21" name="k.ddg.rmn.20.25.pls">#REF!</definedName>
    <definedName localSheetId="9" name="plintubinwarna1030">#REF!</definedName>
    <definedName localSheetId="28" name="medan5.10">#REF!</definedName>
    <definedName localSheetId="34" name="_________HAL2">#REF!</definedName>
    <definedName localSheetId="7" name="besi12sii">#REF!</definedName>
    <definedName localSheetId="4" name="URAIAN7612c">#REF!</definedName>
    <definedName localSheetId="20" name="URAIAN771b">#REF!</definedName>
    <definedName localSheetId="3" name="__LLL09">#REF!</definedName>
    <definedName localSheetId="24" name="_Tl1">#REF!</definedName>
    <definedName localSheetId="7" name="_MMM25">#REF!</definedName>
    <definedName localSheetId="4" name="kacawireglass5">#REF!</definedName>
    <definedName localSheetId="30" name="URAIAN7612a">#REF!</definedName>
    <definedName localSheetId="44" name="____MMM01">#REF!</definedName>
    <definedName localSheetId="15" name="kompresor">#REF!</definedName>
    <definedName localSheetId="31" name="_________DIV1">#REF!</definedName>
    <definedName localSheetId="23" name="__pvc2">#REF!</definedName>
    <definedName localSheetId="5" name="UP">#REF!</definedName>
    <definedName name="R18..">#REF!</definedName>
    <definedName localSheetId="17" name="_________MMM15">#REF!</definedName>
    <definedName localSheetId="40" name="JUDUL">#REF!</definedName>
    <definedName localSheetId="24" name="MATERIAL">#REF!</definedName>
    <definedName localSheetId="17" name="__MMM33">#REF!</definedName>
    <definedName name="ss">#REF!</definedName>
    <definedName localSheetId="24" name="____MMM411">#REF!</definedName>
    <definedName localSheetId="38" name="w.stain">#REF!</definedName>
    <definedName localSheetId="33" name="gypsum.9">#REF!</definedName>
    <definedName localSheetId="24" name="_lmb1">#REF!</definedName>
    <definedName name="R16..">#REF!</definedName>
    <definedName localSheetId="7" name="________LLL07">#REF!</definedName>
    <definedName localSheetId="39" name="FORM7610">#REF!</definedName>
    <definedName localSheetId="20" name="Excel_BuiltIn_Print_Titles_10">#REF!</definedName>
    <definedName localSheetId="44" name="FORM65">#REF!</definedName>
    <definedName localSheetId="24" name="_______LLL06">#REF!</definedName>
    <definedName localSheetId="27" name="kuncitanam">#REF!</definedName>
    <definedName localSheetId="7" name="_____LLL06">#REF!</definedName>
    <definedName name="__MMM53">#REF!</definedName>
    <definedName localSheetId="36" name="FORM744">#REF!</definedName>
    <definedName name="____MMM40">#REF!</definedName>
    <definedName localSheetId="21" name="____MMM34">#REF!</definedName>
    <definedName localSheetId="33" name="engsel4">#REF!</definedName>
    <definedName localSheetId="31" name="__HAL3">#REF!</definedName>
    <definedName localSheetId="17" name="_DIV5">#REF!</definedName>
    <definedName name="urugantanah">#REF!</definedName>
    <definedName localSheetId="31" name="URAIAN611">#REF!</definedName>
    <definedName localSheetId="17" name="_____MMM18">#REF!</definedName>
    <definedName localSheetId="44" name="R32..">#REF!</definedName>
    <definedName localSheetId="31" name="_____HAL2">#REF!</definedName>
    <definedName name="_________DIV5">#REF!</definedName>
    <definedName localSheetId="41" name="__MMM03">#REF!</definedName>
    <definedName localSheetId="6" name="________DIV1">#REF!</definedName>
    <definedName localSheetId="15" name="kaca.p.5">#REF!</definedName>
    <definedName localSheetId="24" name="alangalang">#REF!</definedName>
    <definedName localSheetId="6" name="rtrt">#REF!</definedName>
    <definedName localSheetId="24" name="_____MMM42">#REF!</definedName>
    <definedName localSheetId="23" name="reng">#REF!</definedName>
    <definedName localSheetId="25" name="plintubinteraluxkerang1040">#REF!</definedName>
    <definedName localSheetId="9" name="_______MMM02">#REF!</definedName>
    <definedName localSheetId="3" name="______DIV2">#REF!</definedName>
    <definedName localSheetId="32" name="URAIAN">#REF!</definedName>
    <definedName localSheetId="32" name="__DIV4">#REF!</definedName>
    <definedName localSheetId="15" name="cendana">#REF!</definedName>
    <definedName localSheetId="3" name="p.triplek">#REF!</definedName>
    <definedName localSheetId="33" name="R21..">#REF!</definedName>
    <definedName localSheetId="3" name="___LLL05">#REF!</definedName>
    <definedName localSheetId="18" name="URAIAN731">#REF!</definedName>
    <definedName localSheetId="7" name="pijar15">#REF!</definedName>
    <definedName localSheetId="12" name="oke">#REF!</definedName>
    <definedName name="ABC">#REF!</definedName>
    <definedName localSheetId="40" name="plesteran13">#REF!</definedName>
    <definedName localSheetId="33" name="spirtus">#REF!</definedName>
    <definedName localSheetId="27" name="pindahan">#REF!</definedName>
    <definedName localSheetId="42" name="Faktor">#REF!</definedName>
    <definedName localSheetId="25" name="bubungangentengbeton">#REF!</definedName>
    <definedName localSheetId="33" name="kayukamper">#REF!</definedName>
    <definedName localSheetId="11" name="SSSSSSSSSSSSSSSSSSSSSSSSSSSSS">#REF!</definedName>
    <definedName localSheetId="24" name="R92..">#REF!</definedName>
    <definedName localSheetId="31" name="xxxxx">#REF!</definedName>
    <definedName localSheetId="12" name="_____MMM02">#REF!</definedName>
    <definedName localSheetId="42" name="sabun">#REF!</definedName>
    <definedName localSheetId="39" name="besiprofilWF">#REF!</definedName>
    <definedName localSheetId="7" name="tukng">#REF!</definedName>
    <definedName localSheetId="13" name="grendeltanam">#REF!</definedName>
    <definedName localSheetId="7" name="amobiotic">#REF!</definedName>
    <definedName localSheetId="4" name="batupecah">#REF!</definedName>
    <definedName localSheetId="24" name="_______HAL4">#REF!</definedName>
    <definedName localSheetId="8" name="FORM79manual">#REF!</definedName>
    <definedName localSheetId="20" name="aluminiumfoil">#REF!</definedName>
    <definedName localSheetId="3" name="URAIAN22E">#REF!</definedName>
    <definedName localSheetId="18" name="URAIAN7614b">#REF!</definedName>
    <definedName localSheetId="25" name="FORM631">#REF!</definedName>
    <definedName localSheetId="12" name="__HAL5">#REF!</definedName>
    <definedName localSheetId="32" name="_______DIV10">#REF!</definedName>
    <definedName localSheetId="24" name="penduduk">#REF!</definedName>
    <definedName localSheetId="10" name="namaabsen">#REF!</definedName>
    <definedName name="_______MMM13">#REF!</definedName>
    <definedName localSheetId="21" name="_________DIV2">#REF!</definedName>
    <definedName localSheetId="27" name="besipresstressedpolos">#REF!</definedName>
    <definedName name="_______MMM43">#REF!</definedName>
    <definedName localSheetId="18" name="____DIV1">#REF!</definedName>
    <definedName localSheetId="7" name="Papanbouplank">#REF!</definedName>
    <definedName localSheetId="21" name="_______MMM06">#REF!</definedName>
    <definedName localSheetId="15" name="G.Kramik">#REF!</definedName>
    <definedName localSheetId="8" name="kayumarsawa">#REF!</definedName>
    <definedName localSheetId="17" name="___LLL04">#REF!</definedName>
    <definedName localSheetId="8" name="drkeet">#REF!</definedName>
    <definedName name="kacacermin6">#REF!</definedName>
    <definedName localSheetId="11" name="SPJ">#REF!</definedName>
    <definedName localSheetId="17" name="______MMM29">#REF!</definedName>
    <definedName localSheetId="10" name="paku5.7.10">#REF!</definedName>
    <definedName localSheetId="27" name="tpipa">#REF!</definedName>
    <definedName localSheetId="28" name="Grendel">#REF!</definedName>
    <definedName localSheetId="7" name="Overhead">#REF!</definedName>
    <definedName localSheetId="13" name="R21..">#REF!</definedName>
    <definedName localSheetId="23" name="URAIAN771a">#REF!</definedName>
    <definedName localSheetId="9" name="sodaapi">#REF!</definedName>
    <definedName localSheetId="21" name="______MMM41">#REF!</definedName>
    <definedName localSheetId="11" name="dua">#REF!</definedName>
    <definedName localSheetId="32" name="ubinwarna40">#REF!</definedName>
    <definedName localSheetId="24" name="coveartistik">#REF!</definedName>
    <definedName localSheetId="7" name="FORM7614b">#REF!</definedName>
    <definedName localSheetId="28" name="_MMM03">#REF!</definedName>
    <definedName localSheetId="33" name="___DIV4">#REF!</definedName>
    <definedName localSheetId="27" name="cghj">#REF!</definedName>
    <definedName localSheetId="24" name="bakcuciteraso">#REF!</definedName>
    <definedName localSheetId="28" name="___pvc105">#REF!</definedName>
    <definedName localSheetId="23" name="he">#REF!</definedName>
    <definedName name="FORM772d">#REF!</definedName>
    <definedName localSheetId="7" name="AASDASD">#REF!</definedName>
    <definedName localSheetId="44" name="______DIV9">#REF!</definedName>
    <definedName localSheetId="42" name="papanbekisting">#REF!</definedName>
    <definedName localSheetId="15" name="_Tl1">#REF!</definedName>
    <definedName localSheetId="10" name="sdg">#REF!</definedName>
    <definedName localSheetId="15" name="FORM771c">#REF!</definedName>
    <definedName localSheetId="10" name="doorstop">#REF!</definedName>
    <definedName localSheetId="3" name="_______MMM32">#REF!</definedName>
    <definedName localSheetId="0" name="semen50">#REF!</definedName>
    <definedName localSheetId="6" name="KECAMATAN_KODEOHA">#REF!</definedName>
    <definedName localSheetId="7" name="__MMM38">#REF!</definedName>
    <definedName localSheetId="8" name="tegelplinteraso10x30">#REF!</definedName>
    <definedName localSheetId="44" name="R67..">#REF!</definedName>
    <definedName localSheetId="7" name="____MMM20">#REF!</definedName>
    <definedName localSheetId="40" name="Uraian842">#REF!</definedName>
    <definedName localSheetId="3" name="gentengmetal">#REF!</definedName>
    <definedName localSheetId="40" name="sabun">#REF!</definedName>
    <definedName name="_________MMM46">#REF!</definedName>
    <definedName name="_______LLL02">#REF!</definedName>
    <definedName localSheetId="23" name="________DIV3">#REF!</definedName>
    <definedName localSheetId="25" name="_________DIV1">#REF!</definedName>
    <definedName localSheetId="17" name="engsel3">#REF!</definedName>
    <definedName localSheetId="41" name="FORM7614a">#REF!</definedName>
    <definedName localSheetId="44" name="URAIAN66">#REF!</definedName>
    <definedName localSheetId="6" name="tegelplin20x20">#REF!</definedName>
    <definedName localSheetId="19" name="cycllop">#REF!</definedName>
    <definedName localSheetId="27" name="__pvc205">#REF!</definedName>
    <definedName localSheetId="11" name="sealent">#REF!</definedName>
    <definedName localSheetId="6" name="gentengdecrabond">#REF!</definedName>
    <definedName name="R20..">#REF!</definedName>
    <definedName localSheetId="21" name="__MMM49">#REF!</definedName>
    <definedName name="mlex.w">#REF!</definedName>
    <definedName localSheetId="40" name="URAIAN7614b">#REF!</definedName>
    <definedName localSheetId="18" name="besi13">#REF!</definedName>
    <definedName localSheetId="21" name="______MMM17">#REF!</definedName>
    <definedName localSheetId="23" name="RINCIANSEWA2">#REF!</definedName>
    <definedName localSheetId="23" name="grendeltanam">#REF!</definedName>
    <definedName localSheetId="32" name="_pp1">#REF!</definedName>
    <definedName localSheetId="7" name="platasbes35mm">#REF!</definedName>
    <definedName localSheetId="40" name="f">#REF!</definedName>
    <definedName localSheetId="17" name="Uraian846">#REF!</definedName>
    <definedName localSheetId="3" name="_________MMM49">#REF!</definedName>
    <definedName localSheetId="7" name="jffhauifhauifhe">#REF!</definedName>
    <definedName localSheetId="36" name="_____HAL2">#REF!</definedName>
    <definedName localSheetId="5" name="Closet.c420">#REF!</definedName>
    <definedName localSheetId="20" name="vinylkaretklII">#REF!</definedName>
    <definedName localSheetId="21" name="gentengmetal">#REF!</definedName>
    <definedName localSheetId="32" name="Overhead">#REF!</definedName>
    <definedName localSheetId="33" name="namaabsen">#REF!</definedName>
    <definedName localSheetId="21" name="u.bekisting">#REF!</definedName>
    <definedName localSheetId="8" name="formica">#REF!</definedName>
    <definedName name="STRUKTUR">#REF!</definedName>
    <definedName localSheetId="17" name="R103..">#REF!</definedName>
    <definedName localSheetId="36" name="____MMM01">#REF!</definedName>
    <definedName localSheetId="24" name="Tbs">#REF!</definedName>
    <definedName localSheetId="36" name="URAIAN7612a">#REF!</definedName>
    <definedName localSheetId="24" name="medan6.12">#REF!</definedName>
    <definedName localSheetId="11" name="teakwood6mm">#REF!</definedName>
    <definedName localSheetId="3" name="DPRD_KOLAKA_UTARA">#REF!</definedName>
    <definedName localSheetId="17" name="_____DIV1">#REF!</definedName>
    <definedName name="________LLL10">#REF!</definedName>
    <definedName localSheetId="24" name="M">#REF!</definedName>
    <definedName localSheetId="11" name="R60..">#REF!</definedName>
    <definedName localSheetId="24" name="__MMM40">#REF!</definedName>
    <definedName localSheetId="7" name="____LLL08">#REF!</definedName>
    <definedName localSheetId="0" name="w">#REF!</definedName>
    <definedName localSheetId="42" name="coveartistik">#REF!</definedName>
    <definedName localSheetId="27" name="URAIAN">#REF!</definedName>
    <definedName localSheetId="21" name="______DIV7">#REF!</definedName>
    <definedName name="___MMM14">#REF!</definedName>
    <definedName localSheetId="3" name="nokgentengaspal">#REF!</definedName>
    <definedName localSheetId="12" name="amobiotic">#REF!</definedName>
    <definedName localSheetId="25" name="kapursirih">#REF!</definedName>
    <definedName localSheetId="9" name="relpintudorong">#REF!</definedName>
    <definedName localSheetId="15" name="___MMM02">#REF!</definedName>
    <definedName localSheetId="17" name="b.belah">#REF!</definedName>
    <definedName localSheetId="24" name="Faktorial">#REF!</definedName>
    <definedName localSheetId="42" name="tempatcucipiring">#REF!</definedName>
    <definedName localSheetId="24" name="batapelapisklinker">#REF!</definedName>
    <definedName localSheetId="34" name="_DIV4">#REF!</definedName>
    <definedName localSheetId="25" name="keramik40">#REF!</definedName>
    <definedName localSheetId="40" name="washtafel">#REF!</definedName>
    <definedName localSheetId="42" name="s.tukang">#REF!</definedName>
    <definedName localSheetId="7" name="_pvc105">#REF!</definedName>
    <definedName localSheetId="7" name="___LLL06">#REF!</definedName>
    <definedName localSheetId="12" name="JL_NAS">#REF!</definedName>
    <definedName localSheetId="17" name="URAIAN745">#REF!</definedName>
    <definedName localSheetId="15" name="_DIV3">#REF!</definedName>
    <definedName localSheetId="17" name="URAIAN635A">#REF!</definedName>
    <definedName localSheetId="21" name="________MMM26">#REF!</definedName>
    <definedName localSheetId="38" name="______MMM03">#REF!</definedName>
    <definedName localSheetId="3" name="URAIAN7612b">#REF!</definedName>
    <definedName localSheetId="5" name="pipabeton">#REF!</definedName>
    <definedName localSheetId="42" name="cattembok">#REF!</definedName>
    <definedName localSheetId="21" name="_________MMM28">#REF!</definedName>
    <definedName localSheetId="3" name="ubinpcabuabu20">#REF!</definedName>
    <definedName localSheetId="5" name="pakuskrup">#REF!</definedName>
    <definedName localSheetId="44" name="Lamp">#REF!</definedName>
    <definedName localSheetId="18" name="URAIANLatasirKL">#REF!</definedName>
    <definedName localSheetId="10" name="JUDUL">#REF!</definedName>
    <definedName localSheetId="8" name="FORM79mekanis">#REF!</definedName>
    <definedName localSheetId="21" name="kapursirih">#REF!</definedName>
    <definedName localSheetId="6" name="cattembok">#REF!</definedName>
    <definedName localSheetId="32" name="_____DIV2">#REF!</definedName>
    <definedName localSheetId="24" name="__MMM50">#REF!</definedName>
    <definedName localSheetId="7" name="aaaa">#REF!</definedName>
    <definedName name="R58..">#REF!</definedName>
    <definedName localSheetId="25" name="hd">#REF!</definedName>
    <definedName localSheetId="21" name="ARI">#REF!</definedName>
    <definedName localSheetId="31" name="_kop6">#REF!</definedName>
    <definedName localSheetId="39" name="Closet.ddk">#REF!</definedName>
    <definedName localSheetId="32" name="bubungangentengbesar">#REF!</definedName>
    <definedName localSheetId="33" name="_pvc3">#REF!</definedName>
    <definedName localSheetId="21" name="B.Publik">#REF!</definedName>
    <definedName localSheetId="44" name="______MMM11">#REF!</definedName>
    <definedName localSheetId="20" name="pipagalvanis">#REF!</definedName>
    <definedName localSheetId="33" name="Tbt">#REF!</definedName>
    <definedName localSheetId="25" name="besi10.sii">#REF!</definedName>
    <definedName localSheetId="9" name="akustikarmstrong">#REF!</definedName>
    <definedName localSheetId="13" name="________HAL1">#REF!</definedName>
    <definedName localSheetId="13" name="batuporos">#REF!</definedName>
    <definedName localSheetId="7" name="________HAL5">#REF!</definedName>
    <definedName localSheetId="28" name="plintubinteraluxmarmer1030">#REF!</definedName>
    <definedName localSheetId="7" name="nokpaten108">#REF!</definedName>
    <definedName localSheetId="0" name="Fak">#REF!</definedName>
    <definedName localSheetId="7" name="______HAL6">#REF!</definedName>
    <definedName localSheetId="31" name="bubungangentengkodok">#REF!</definedName>
    <definedName localSheetId="39" name="bbm">#REF!</definedName>
    <definedName localSheetId="7" name="FORM633">#REF!</definedName>
    <definedName localSheetId="40" name="URAIAN771b">#REF!</definedName>
    <definedName localSheetId="9" name="pipabeton">#REF!</definedName>
    <definedName localSheetId="44" name="__HAL3">#REF!</definedName>
    <definedName name="_______MMM37">#REF!</definedName>
    <definedName localSheetId="39" name="BM">#REF!</definedName>
    <definedName localSheetId="8" name="besi12sii">#REF!</definedName>
    <definedName localSheetId="11" name="__DIV10">#REF!</definedName>
    <definedName name="FORM772c">#REF!</definedName>
    <definedName localSheetId="32" name="FORM731">#REF!</definedName>
    <definedName localSheetId="40" name="________MMM02">#REF!</definedName>
    <definedName localSheetId="15" name="gabin_al">#REF!</definedName>
    <definedName localSheetId="44" name="__MMM45">#REF!</definedName>
    <definedName localSheetId="32" name="air">#REF!</definedName>
    <definedName localSheetId="28" name="ubinteraso40">#REF!</definedName>
    <definedName localSheetId="13" name="kali">#REF!</definedName>
    <definedName name="FORM622">#REF!</definedName>
    <definedName name="d">#REF!</definedName>
    <definedName localSheetId="15" name="teakwood6mm">#REF!</definedName>
    <definedName localSheetId="39" name="FORM721">#REF!</definedName>
    <definedName localSheetId="21" name="_____HAL6">#REF!</definedName>
    <definedName localSheetId="8" name="papanbekisting">#REF!</definedName>
    <definedName name="_________MMM42">#REF!</definedName>
    <definedName localSheetId="7" name="____MMM05">#REF!</definedName>
    <definedName name="FORM651">#REF!</definedName>
    <definedName localSheetId="4" name="FORM771b">#REF!</definedName>
    <definedName localSheetId="10" name="JUDUL1">#REF!</definedName>
    <definedName localSheetId="33" name="_____DIV10">#REF!</definedName>
    <definedName localSheetId="24" name="Uraian845">#REF!</definedName>
    <definedName localSheetId="10" name="kaca12">#REF!</definedName>
    <definedName localSheetId="28" name="paving">#REF!</definedName>
    <definedName localSheetId="11" name="ASET">#REF!</definedName>
    <definedName localSheetId="28" name="u.besi">#REF!</definedName>
    <definedName localSheetId="12" name="pasirpas">#REF!</definedName>
    <definedName localSheetId="4" name="split1.2">#REF!</definedName>
    <definedName localSheetId="18" name="sodaapi">#REF!</definedName>
    <definedName localSheetId="18" name="bakkontrol">#REF!</definedName>
    <definedName localSheetId="28" name="waterstop230">#REF!</definedName>
    <definedName localSheetId="6" name="______DIV4">#REF!</definedName>
    <definedName localSheetId="24" name="_MMM47">#REF!</definedName>
    <definedName localSheetId="31" name="s.tukang">#REF!</definedName>
    <definedName localSheetId="15" name="kacacermin8">#REF!</definedName>
    <definedName localSheetId="10" name="FORM744">#REF!</definedName>
    <definedName localSheetId="17" name="_______MMM02">#REF!</definedName>
    <definedName localSheetId="34" name="Lamp">#REF!</definedName>
    <definedName localSheetId="24" name="_____MMM40">#REF!</definedName>
    <definedName localSheetId="18" name="pagar2m">#REF!</definedName>
    <definedName localSheetId="38" name="KTM">#REF!</definedName>
    <definedName name="____DIV7">#REF!</definedName>
    <definedName localSheetId="20" name="badkip">#REF!</definedName>
    <definedName localSheetId="24" name="koralbeton">#REF!</definedName>
    <definedName localSheetId="18" name="NAMA3">#REF!</definedName>
    <definedName localSheetId="36" name="URAIAN632">#REF!</definedName>
    <definedName localSheetId="3" name="___MMM20">#REF!</definedName>
    <definedName name="_____MMM16">#REF!</definedName>
    <definedName localSheetId="21" name="________MMM07">#REF!</definedName>
    <definedName localSheetId="34" name="_HAL6">#REF!</definedName>
    <definedName name="___HAL5">#REF!</definedName>
    <definedName localSheetId="9" name="_________DIV2">#REF!</definedName>
    <definedName localSheetId="5" name="JUDUL">#REF!</definedName>
    <definedName localSheetId="19" name="sengbjls25">#REF!</definedName>
    <definedName localSheetId="23" name="____MMM01">#REF!</definedName>
    <definedName localSheetId="17" name="____MMM13">#REF!</definedName>
    <definedName localSheetId="19" name="kayukruing">#REF!</definedName>
    <definedName localSheetId="13" name="ubinkeramikartistik1010">#REF!</definedName>
    <definedName localSheetId="17" name="____MMM51">#REF!</definedName>
    <definedName localSheetId="17" name="URAIAN97">#REF!</definedName>
    <definedName localSheetId="21" name="batuporos">#REF!</definedName>
    <definedName localSheetId="6" name="ubinteraso40">#REF!</definedName>
    <definedName localSheetId="20" name="pasirpas">#REF!</definedName>
    <definedName localSheetId="19" name="alba2.20">#REF!</definedName>
    <definedName localSheetId="20" name="oke">#REF!</definedName>
    <definedName localSheetId="33" name="relpintudorong">#REF!</definedName>
    <definedName localSheetId="0" name="waterstop150">#REF!</definedName>
    <definedName localSheetId="27" name="Z">#REF!</definedName>
    <definedName localSheetId="15" name="Excel_BuiltIn_Print_Titles_2">#REF!</definedName>
    <definedName localSheetId="10" name="plywood6mm">#REF!</definedName>
    <definedName localSheetId="20" name="R40..">#REF!</definedName>
    <definedName localSheetId="21" name="______MMM50">#REF!</definedName>
    <definedName localSheetId="0" name="dd">#REF!</definedName>
    <definedName localSheetId="10" name="papanjelutung">#REF!</definedName>
    <definedName localSheetId="31" name="grendel3">#REF!</definedName>
    <definedName localSheetId="40" name="pakuskrup">#REF!</definedName>
    <definedName localSheetId="41" name="URAIAN">#REF!</definedName>
    <definedName localSheetId="30" name="semen50">#REF!</definedName>
    <definedName localSheetId="18" name="_kop5">#REF!</definedName>
    <definedName localSheetId="41" name="plintubinkeramikartistik1020">#REF!</definedName>
    <definedName localSheetId="18" name="batuteraso">#REF!</definedName>
    <definedName localSheetId="17" name="________MMM11">#REF!</definedName>
    <definedName localSheetId="31" name="__pvc205">#REF!</definedName>
    <definedName localSheetId="17" name="tes">#REF!</definedName>
    <definedName localSheetId="7" name="waterstop150">#REF!</definedName>
    <definedName localSheetId="44" name="_____MMM01">#REF!</definedName>
    <definedName localSheetId="40" name="cghj">#REF!</definedName>
    <definedName localSheetId="30" name="tbkr">#REF!</definedName>
    <definedName localSheetId="32" name="FORM611">#REF!</definedName>
    <definedName localSheetId="38" name="________MMM03">#REF!</definedName>
    <definedName localSheetId="8" name="__tl2">#REF!</definedName>
    <definedName localSheetId="13" name="karpet">#REF!</definedName>
    <definedName localSheetId="20" name="bbm">#REF!</definedName>
    <definedName localSheetId="3" name="______DIV7">#REF!</definedName>
    <definedName localSheetId="10" name="asbesgelombnang">#REF!</definedName>
    <definedName localSheetId="8" name="KT">#REF!</definedName>
    <definedName localSheetId="0" name="_______DIV10">#REF!</definedName>
    <definedName localSheetId="32" name="tegel20">#REF!</definedName>
    <definedName localSheetId="7" name="_________MMM29">#REF!</definedName>
    <definedName localSheetId="11" name="_____HAL1">#REF!</definedName>
    <definedName localSheetId="15" name="B.Aparatur">#REF!</definedName>
    <definedName localSheetId="23" name="hakangin">#REF!</definedName>
    <definedName localSheetId="24" name="ubinkeramikartistik1020">#REF!</definedName>
    <definedName localSheetId="33" name="Faktor">#REF!</definedName>
    <definedName localSheetId="33" name="kawatharmonika">#REF!</definedName>
    <definedName localSheetId="41" name="____DIV3">#REF!</definedName>
    <definedName localSheetId="3" name="URAIAN7614b">#REF!</definedName>
    <definedName localSheetId="27" name="w">#REF!</definedName>
    <definedName localSheetId="36" name="_____DIV3">#REF!</definedName>
    <definedName localSheetId="19" name="R20..">#REF!</definedName>
    <definedName localSheetId="15" name="pintualuminium">#REF!</definedName>
    <definedName localSheetId="28" name="___pvc2">#REF!</definedName>
    <definedName localSheetId="17" name="R85..">#REF!</definedName>
    <definedName localSheetId="44" name="_________MMM45">#REF!</definedName>
    <definedName localSheetId="21" name="R63..">#REF!</definedName>
    <definedName localSheetId="42" name="semen50">#REF!</definedName>
    <definedName localSheetId="17" name="Uraian841">#REF!</definedName>
    <definedName localSheetId="17" name="spirtus">#REF!</definedName>
    <definedName localSheetId="23" name="aluminiumfoil">#REF!</definedName>
    <definedName localSheetId="21" name="_____MMM19">#REF!</definedName>
    <definedName localSheetId="41" name="stairnzing">#REF!</definedName>
    <definedName localSheetId="38" name="ARI">#REF!</definedName>
    <definedName localSheetId="11" name="jurnal1">#REF!</definedName>
    <definedName localSheetId="18" name="alba2.20">#REF!</definedName>
    <definedName localSheetId="38" name="rubbercorrugate">#REF!</definedName>
    <definedName localSheetId="13" name="URAIAN721">#REF!</definedName>
    <definedName localSheetId="30" name="pagar2m">#REF!</definedName>
    <definedName localSheetId="44" name="Uraian846">#REF!</definedName>
    <definedName localSheetId="25" name="Jendelabesibaja">#REF!</definedName>
    <definedName localSheetId="20" name="papanbulian">#REF!</definedName>
    <definedName localSheetId="33" name="G">#REF!</definedName>
    <definedName localSheetId="25" name="kawatburung">#REF!</definedName>
    <definedName localSheetId="34" name="______DIV1">#REF!</definedName>
    <definedName localSheetId="18" name="R30..">#REF!</definedName>
    <definedName localSheetId="6" name="borneo5.10">#REF!</definedName>
    <definedName localSheetId="38" name="pasirpas">#REF!</definedName>
    <definedName localSheetId="19" name="_pvc2">#REF!</definedName>
    <definedName localSheetId="28" name="___DIV3">#REF!</definedName>
    <definedName name="bakkontrol">#REF!</definedName>
    <definedName localSheetId="25" name="FORM7612a">#REF!</definedName>
    <definedName localSheetId="23" name="_______MMM02">#REF!</definedName>
    <definedName localSheetId="17" name="___MMM39">#REF!</definedName>
    <definedName localSheetId="28" name="urugantanah">#REF!</definedName>
    <definedName localSheetId="6" name="KT">#REF!</definedName>
    <definedName name="batamerah">#REF!</definedName>
    <definedName localSheetId="18" name="terasocor">#REF!</definedName>
    <definedName localSheetId="7" name="catpenutup">#REF!</definedName>
    <definedName localSheetId="23" name="kayuramin">#REF!</definedName>
    <definedName localSheetId="24" name="bak">#REF!</definedName>
    <definedName localSheetId="11" name="batugranito">#REF!</definedName>
    <definedName localSheetId="17" name="kayutembesu">#REF!</definedName>
    <definedName localSheetId="9" name="amplas">#REF!</definedName>
    <definedName localSheetId="42" name="tegelporselen10x20warna">#REF!</definedName>
    <definedName localSheetId="3" name="_____MMM51">#REF!</definedName>
    <definedName localSheetId="9" name="R30..">#REF!</definedName>
    <definedName localSheetId="27" name="borneo5.7">#REF!</definedName>
    <definedName localSheetId="21" name="kayukelas2">#REF!</definedName>
    <definedName localSheetId="11" name="zzz">#REF!</definedName>
    <definedName name="______DIV8">#REF!</definedName>
    <definedName localSheetId="38" name="SSSSSSSSSSSSSSSSSSSSSSSSSSSSS">#REF!</definedName>
    <definedName localSheetId="3" name="URAIAN234L">#REF!</definedName>
    <definedName localSheetId="36" name="bilikbambu">#REF!</definedName>
    <definedName localSheetId="44" name="Catbesi">#REF!</definedName>
    <definedName localSheetId="40" name="plintubingranito1040">#REF!</definedName>
    <definedName localSheetId="40" name="FORM66PERMUKAAN">#REF!</definedName>
    <definedName localSheetId="10" name="b.belah">#REF!</definedName>
    <definedName localSheetId="19" name="_pp1">#REF!</definedName>
    <definedName localSheetId="18" name="plintubingranito1030">#REF!</definedName>
    <definedName localSheetId="3" name="____HAL1">#REF!</definedName>
    <definedName localSheetId="15" name="SUNGAI_BERTAM">#REF!</definedName>
    <definedName name="_MMM27">#REF!</definedName>
    <definedName localSheetId="42" name="URAIAN79manual">#REF!</definedName>
    <definedName localSheetId="21" name="_____HAL3">#REF!</definedName>
    <definedName name="_________MMM26">#REF!</definedName>
    <definedName localSheetId="7" name="sirap">#REF!</definedName>
    <definedName localSheetId="11" name="_818FA">#REF!</definedName>
    <definedName localSheetId="5" name="___pvc3">#REF!</definedName>
    <definedName localSheetId="24" name="karpetwooldannilon">#REF!</definedName>
    <definedName localSheetId="24" name="_________DIV5">#REF!</definedName>
    <definedName localSheetId="0" name="pintulipat">#REF!</definedName>
    <definedName localSheetId="24" name="_________MMM13">#REF!</definedName>
    <definedName localSheetId="0" name="___HAL2">#REF!</definedName>
    <definedName localSheetId="17" name="_____MMM50">#REF!</definedName>
    <definedName localSheetId="11" name="URAIAN771c">#REF!</definedName>
    <definedName localSheetId="5" name="FORM7614b">#REF!</definedName>
    <definedName localSheetId="18" name="amobiotic">#REF!</definedName>
    <definedName localSheetId="11" name="btn">#REF!</definedName>
    <definedName localSheetId="8" name="Print_Area_MI">#REF!</definedName>
    <definedName localSheetId="17" name="_________MMM33">#REF!</definedName>
    <definedName localSheetId="15" name="kayukruing">#REF!</definedName>
    <definedName localSheetId="7" name="bubungangentengkodok">#REF!</definedName>
    <definedName localSheetId="24" name="_____HAL4">#REF!</definedName>
    <definedName localSheetId="23" name="gentengaspal">#REF!</definedName>
    <definedName localSheetId="24" name="URAIAN623">#REF!</definedName>
    <definedName localSheetId="25" name="_________DIV2">#REF!</definedName>
    <definedName localSheetId="28" name="______DIV4">#REF!</definedName>
    <definedName localSheetId="10" name="R1..">#REF!</definedName>
    <definedName localSheetId="38" name="tegelporselen10x20warna">#REF!</definedName>
    <definedName localSheetId="40" name="__tl2">#REF!</definedName>
    <definedName localSheetId="31" name="parquetjati">#REF!</definedName>
    <definedName localSheetId="3" name="medan5.7">#REF!</definedName>
    <definedName localSheetId="13" name="gentengbeton">#REF!</definedName>
    <definedName localSheetId="10" name="stairnzing">#REF!</definedName>
    <definedName name="kayuborneo">#REF!</definedName>
    <definedName localSheetId="3" name="URAIAN22L">#REF!</definedName>
    <definedName localSheetId="21" name="______MMM11">#REF!</definedName>
    <definedName localSheetId="11" name="lb">#REF!</definedName>
    <definedName localSheetId="24" name="__LLL04">#REF!</definedName>
    <definedName localSheetId="24" name="_________MMM17">#REF!</definedName>
    <definedName localSheetId="20" name="kategori">#REF!</definedName>
    <definedName localSheetId="44" name="plywood4">#REF!</definedName>
    <definedName localSheetId="3" name="L">#REF!</definedName>
    <definedName name="_MMM17">#REF!</definedName>
    <definedName localSheetId="21" name="kmp.banjar">#REF!</definedName>
    <definedName localSheetId="15" name="relpintudorong">#REF!</definedName>
    <definedName localSheetId="39" name="psr.trs">#REF!</definedName>
    <definedName localSheetId="24" name="Analisa661">#REF!</definedName>
    <definedName localSheetId="19" name="URAIAN771c">#REF!</definedName>
    <definedName localSheetId="28" name="kuas">#REF!</definedName>
    <definedName localSheetId="28" name="Lamp">#REF!</definedName>
    <definedName localSheetId="24" name="________LLL03">#REF!</definedName>
    <definedName localSheetId="19" name="papan.m.3.20">#REF!</definedName>
    <definedName localSheetId="9" name="PT">#REF!</definedName>
    <definedName localSheetId="28" name="kran.bbk">#REF!</definedName>
    <definedName localSheetId="18" name="parquetjati">#REF!</definedName>
    <definedName localSheetId="19" name="rincian">#REF!</definedName>
    <definedName localSheetId="34" name="bubungangentengkodok">#REF!</definedName>
    <definedName localSheetId="3" name="__MMM26">#REF!</definedName>
    <definedName localSheetId="13" name="data2">#REF!</definedName>
    <definedName localSheetId="11" name="pasirpas">#REF!</definedName>
    <definedName localSheetId="3" name="FORM846">#REF!</definedName>
    <definedName localSheetId="12" name="ubinkeramikartistik1020">#REF!</definedName>
    <definedName localSheetId="33" name="plintubinwarna1030">#REF!</definedName>
    <definedName localSheetId="15" name="split2.3">#REF!</definedName>
    <definedName localSheetId="36" name="Tbs">#REF!</definedName>
    <definedName localSheetId="44" name="p.bI">#REF!</definedName>
    <definedName localSheetId="24" name="R53..">#REF!</definedName>
    <definedName localSheetId="0" name="perancahkayu">#REF!</definedName>
    <definedName localSheetId="20" name="s.warna">#REF!</definedName>
    <definedName localSheetId="23" name="alangalang">#REF!</definedName>
    <definedName localSheetId="12" name="FORM842">#REF!</definedName>
    <definedName localSheetId="33" name="tukng">#REF!</definedName>
    <definedName localSheetId="33" name="vernis">#REF!</definedName>
    <definedName localSheetId="21" name="plamour">#REF!</definedName>
    <definedName name="R39..">#REF!</definedName>
    <definedName localSheetId="31" name="plesteran13">#REF!</definedName>
    <definedName localSheetId="32" name="grendel3">#REF!</definedName>
    <definedName localSheetId="20" name="doorstop">#REF!</definedName>
    <definedName localSheetId="24" name="___MMM18">#REF!</definedName>
    <definedName localSheetId="36" name="rollingdoor">#REF!</definedName>
    <definedName localSheetId="24" name="Per">#REF!</definedName>
    <definedName localSheetId="42" name="___pvc105">#REF!</definedName>
    <definedName localSheetId="4" name="parquetjati">#REF!</definedName>
    <definedName localSheetId="24" name="_____MMM16">#REF!</definedName>
    <definedName localSheetId="30" name="______DIV4">#REF!</definedName>
    <definedName localSheetId="30" name="siap1">#REF!</definedName>
    <definedName localSheetId="36" name="b.belah">#REF!</definedName>
    <definedName localSheetId="20" name="____DIV1">#REF!</definedName>
    <definedName localSheetId="41" name="kayuborneo">#REF!</definedName>
    <definedName localSheetId="21" name="beton250r">#REF!</definedName>
    <definedName localSheetId="42" name="tegelplin20x20">#REF!</definedName>
    <definedName localSheetId="39" name="kaca.p.5">#REF!</definedName>
    <definedName localSheetId="44" name="R35..">#REF!</definedName>
    <definedName localSheetId="17" name="____MMM21">#REF!</definedName>
    <definedName localSheetId="13" name="DAYWORKS">#REF!</definedName>
    <definedName localSheetId="23" name="ramset">#REF!</definedName>
    <definedName name="_______MMM411">#REF!</definedName>
    <definedName localSheetId="39" name="______HAL3">#REF!</definedName>
    <definedName localSheetId="24" name="____MMM20">#REF!</definedName>
    <definedName localSheetId="8" name="_____DIV10">#REF!</definedName>
    <definedName localSheetId="23" name="ttnh">#REF!</definedName>
    <definedName name="_____MMM39">#REF!</definedName>
    <definedName localSheetId="28" name="grassblok">#REF!</definedName>
    <definedName localSheetId="6" name="w.stain">#REF!</definedName>
    <definedName localSheetId="44" name="FORM66PERMUKAAN">#REF!</definedName>
    <definedName localSheetId="12" name="__HAL3">#REF!</definedName>
    <definedName localSheetId="32" name="Faktor">#REF!</definedName>
    <definedName localSheetId="42" name="alba2.20">#REF!</definedName>
    <definedName localSheetId="7" name="______MMM48">#REF!</definedName>
    <definedName localSheetId="3" name="keramik30x30">#REF!</definedName>
    <definedName localSheetId="12" name="grendeltanam">#REF!</definedName>
    <definedName localSheetId="17" name="Lamp">#REF!</definedName>
    <definedName localSheetId="31" name="kayukudakuda">#REF!</definedName>
    <definedName localSheetId="19" name="______DIV1">#REF!</definedName>
    <definedName localSheetId="20" name="____DIV3">#REF!</definedName>
    <definedName localSheetId="44" name="nmdaerah">#REF!</definedName>
    <definedName localSheetId="40" name="rincian">#REF!</definedName>
    <definedName localSheetId="20" name="vinylkaret3030">#REF!</definedName>
    <definedName localSheetId="19" name="rtrt">#REF!</definedName>
    <definedName localSheetId="23" name="_DIV10">#REF!</definedName>
    <definedName localSheetId="8" name="pintulipat">#REF!</definedName>
    <definedName localSheetId="44" name="___MMM43">#REF!</definedName>
    <definedName localSheetId="15" name="b.belah">#REF!</definedName>
    <definedName localSheetId="34" name="papanbulian">#REF!</definedName>
    <definedName localSheetId="5" name="batuapung">#REF!</definedName>
    <definedName localSheetId="7" name="___MMM27">#REF!</definedName>
    <definedName localSheetId="4" name="kmp.banjar">#REF!</definedName>
    <definedName localSheetId="30" name="________MMM02">#REF!</definedName>
    <definedName localSheetId="3" name="__DIV5">#REF!</definedName>
    <definedName localSheetId="32" name="batu.jogja">#REF!</definedName>
    <definedName localSheetId="31" name="ss">#REF!</definedName>
    <definedName localSheetId="3" name="____MMM02">#REF!</definedName>
    <definedName localSheetId="44" name="Gentengmetal3mm">#REF!</definedName>
    <definedName localSheetId="7" name="_________MMM09">#REF!</definedName>
    <definedName localSheetId="25" name="RoolingdoorAlumunium">#REF!</definedName>
    <definedName localSheetId="0" name="kayudamarlaut">#REF!</definedName>
    <definedName localSheetId="42" name="R2..">#REF!</definedName>
    <definedName localSheetId="4" name="bubungangentengkodok">#REF!</definedName>
    <definedName localSheetId="42" name="________HAL1">#REF!</definedName>
    <definedName localSheetId="12" name="multi.18">#REF!</definedName>
    <definedName localSheetId="13" name="________DIV4">#REF!</definedName>
    <definedName localSheetId="27" name="_____DIV3">#REF!</definedName>
    <definedName localSheetId="8" name="got">#REF!</definedName>
    <definedName localSheetId="36" name="R21..">#REF!</definedName>
    <definedName localSheetId="40" name="___HAL3">#REF!</definedName>
    <definedName localSheetId="27" name="FORM323L">#REF!</definedName>
    <definedName localSheetId="21" name="_LLL02">#REF!</definedName>
    <definedName localSheetId="20" name="plintubinteraluxmarmer1040">#REF!</definedName>
    <definedName localSheetId="36" name="sabun">#REF!</definedName>
    <definedName localSheetId="18" name="BAHU">#REF!</definedName>
    <definedName localSheetId="38" name="URAIAN7613b">#REF!</definedName>
    <definedName localSheetId="44" name="_______MMM18">#REF!</definedName>
    <definedName localSheetId="7" name="ubinteraluxkerang30">#REF!</definedName>
    <definedName localSheetId="17" name="MMM17A">#REF!</definedName>
    <definedName localSheetId="13" name="URAIAN732">#REF!</definedName>
    <definedName localSheetId="15" name="bbm">#REF!</definedName>
    <definedName localSheetId="32" name="lb">#REF!</definedName>
    <definedName localSheetId="41" name="Meni">#REF!</definedName>
    <definedName localSheetId="3" name="_________MMM45">#REF!</definedName>
    <definedName localSheetId="12" name="roll">#REF!</definedName>
    <definedName name="_________DIV7">#REF!</definedName>
    <definedName localSheetId="28" name="waterstop200">#REF!</definedName>
    <definedName localSheetId="31" name="pa">#REF!</definedName>
    <definedName localSheetId="44" name="ktbs">#REF!</definedName>
    <definedName localSheetId="28" name="Uraian8410">#REF!</definedName>
    <definedName localSheetId="3" name="_pvc105">#REF!</definedName>
    <definedName localSheetId="10" name="jffhauifhauifhe">#REF!</definedName>
    <definedName localSheetId="38" name="grendeltanam">#REF!</definedName>
    <definedName localSheetId="18" name="Faktorial">#REF!</definedName>
    <definedName localSheetId="32" name="sengplatbjls24">#REF!</definedName>
    <definedName name="oke">#REF!</definedName>
    <definedName localSheetId="4" name="keramik30x30">#REF!</definedName>
    <definedName localSheetId="12" name="tegelporselen">#REF!</definedName>
    <definedName localSheetId="3" name="kusen.alum">#REF!</definedName>
    <definedName localSheetId="3" name="____HAL2">#REF!</definedName>
    <definedName localSheetId="3" name="bubungangentengpalentong">#REF!</definedName>
    <definedName localSheetId="24" name="_____MMM33">#REF!</definedName>
    <definedName localSheetId="5" name="______DIV10">#REF!</definedName>
    <definedName localSheetId="28" name="FORM612">#REF!</definedName>
    <definedName localSheetId="24" name="pintusunscreenalluminium">#REF!</definedName>
    <definedName localSheetId="0" name="URAIAN7610">#REF!</definedName>
    <definedName localSheetId="24" name="got">#REF!</definedName>
    <definedName localSheetId="28" name="_____DIV4">#REF!</definedName>
    <definedName localSheetId="38" name="R41..">#REF!</definedName>
    <definedName localSheetId="32" name="_________DIV1">#REF!</definedName>
    <definedName localSheetId="36" name="medan5.10">#REF!</definedName>
    <definedName localSheetId="21" name="_____LLL03">#REF!</definedName>
    <definedName localSheetId="17" name="_____MMM49">#REF!</definedName>
    <definedName localSheetId="44" name="_______LLL07">#REF!</definedName>
    <definedName localSheetId="5" name="FORM66PERATA">#REF!</definedName>
    <definedName localSheetId="39" name="terasocor">#REF!</definedName>
    <definedName localSheetId="18" name="UTAIAN7614c">#REF!</definedName>
    <definedName localSheetId="31" name="besi12sii">#REF!</definedName>
    <definedName localSheetId="24" name="besi6sii">#REF!</definedName>
    <definedName localSheetId="10" name="w.stain">#REF!</definedName>
    <definedName localSheetId="42" name="_pvc205">#REF!</definedName>
    <definedName localSheetId="24" name="____LLL10">#REF!</definedName>
    <definedName localSheetId="21" name="URAIAN66PERMUKAAN">#REF!</definedName>
    <definedName localSheetId="3" name="Ker.L13">#REF!</definedName>
    <definedName localSheetId="19" name="__LLL02">#REF!</definedName>
    <definedName localSheetId="34" name="koralbeton">#REF!</definedName>
    <definedName localSheetId="39" name="KunciPintu">#REF!</definedName>
    <definedName localSheetId="6" name="kkkk">#REF!</definedName>
    <definedName localSheetId="44" name="MAI">#REF!</definedName>
    <definedName localSheetId="27" name="roster">#REF!</definedName>
    <definedName localSheetId="24" name="_________DIV10">#REF!</definedName>
    <definedName localSheetId="44" name="____MMM44">#REF!</definedName>
    <definedName localSheetId="38" name="ktbs">#REF!</definedName>
    <definedName localSheetId="24" name="kuas">#REF!</definedName>
    <definedName localSheetId="0" name="____HAL3">#REF!</definedName>
    <definedName localSheetId="8" name="kolombetonpracetak">#REF!</definedName>
    <definedName localSheetId="4" name="AGREGAT">#REF!</definedName>
    <definedName localSheetId="25" name="R60..">#REF!</definedName>
    <definedName localSheetId="0" name="mapel">#REF!</definedName>
    <definedName localSheetId="15" name="FORM66PERATA">#REF!</definedName>
    <definedName localSheetId="24" name="_MMM03">#REF!</definedName>
    <definedName localSheetId="15" name="p.bI">#REF!</definedName>
    <definedName localSheetId="27" name="nokgentengaspal">#REF!</definedName>
    <definedName localSheetId="44" name="k.beton">#REF!</definedName>
    <definedName localSheetId="7" name="ls">#REF!</definedName>
    <definedName localSheetId="9" name="besi13u">#REF!</definedName>
    <definedName localSheetId="7" name="_______DIV6">#REF!</definedName>
    <definedName localSheetId="7" name="JL_NAS">#REF!</definedName>
    <definedName localSheetId="3" name="Analisa70706">#REF!</definedName>
    <definedName name="bakcuciteraso">#REF!</definedName>
    <definedName localSheetId="13" name="batuteraso">#REF!</definedName>
    <definedName localSheetId="38" name="URAIAN323L">#REF!</definedName>
    <definedName localSheetId="12" name="klosetjongkok">#REF!</definedName>
    <definedName localSheetId="15" name="cycllop">#REF!</definedName>
    <definedName localSheetId="19" name="doorstop">#REF!</definedName>
    <definedName localSheetId="34" name="TANAH">#REF!</definedName>
    <definedName name="pvc.1.M.abu">#REF!</definedName>
    <definedName name="______MMM48">#REF!</definedName>
    <definedName name="____MMM23">#REF!</definedName>
    <definedName localSheetId="20" name="catpenutup2kali">#REF!</definedName>
    <definedName localSheetId="44" name="____MMM27">#REF!</definedName>
    <definedName name="pintulipat">#REF!</definedName>
    <definedName localSheetId="7" name="SSSSSSSSSSSSSSSSSSSSSSSSSSSSS">#REF!</definedName>
    <definedName localSheetId="32" name="_____MMM02">#REF!</definedName>
    <definedName localSheetId="17" name="pasirbeton">#REF!</definedName>
    <definedName localSheetId="7" name="___DIV8">#REF!</definedName>
    <definedName localSheetId="25" name="lb">#REF!</definedName>
    <definedName localSheetId="5" name="KunciPintu">#REF!</definedName>
    <definedName localSheetId="44" name="______MMM37">#REF!</definedName>
    <definedName localSheetId="42" name="FORM721">#REF!</definedName>
    <definedName localSheetId="44" name="R26..">#REF!</definedName>
    <definedName localSheetId="24" name="meni.kayu">#REF!</definedName>
    <definedName localSheetId="21" name="______MMM48">#REF!</definedName>
    <definedName localSheetId="5" name="________MMM03">#REF!</definedName>
    <definedName localSheetId="27" name="gggg">#REF!</definedName>
    <definedName localSheetId="11" name="metal">#REF!</definedName>
    <definedName localSheetId="11" name="akustikarmstrong">#REF!</definedName>
    <definedName localSheetId="13" name="tegelporselen10x20warna">#REF!</definedName>
    <definedName localSheetId="6" name="plintubinwarna1030">#REF!</definedName>
    <definedName localSheetId="20" name="bakkontrol">#REF!</definedName>
    <definedName localSheetId="24" name="air">#REF!</definedName>
    <definedName localSheetId="33" name="__pvc3">#REF!</definedName>
    <definedName localSheetId="18" name="kayuramin">#REF!</definedName>
    <definedName localSheetId="5" name="URAIAN732">#REF!</definedName>
    <definedName localSheetId="23" name="pintugulungbesi">#REF!</definedName>
    <definedName localSheetId="13" name="_Tl1">#REF!</definedName>
    <definedName localSheetId="19" name="residu">#REF!</definedName>
    <definedName localSheetId="18" name="tm_2415921492">#REF!</definedName>
    <definedName localSheetId="7" name="PTJW">#REF!</definedName>
    <definedName localSheetId="11" name="FORM842">#REF!</definedName>
    <definedName localSheetId="0" name="borneo5.10">#REF!</definedName>
    <definedName localSheetId="23" name="ubinkeramikartistik1010">#REF!</definedName>
    <definedName localSheetId="19" name="borneo5.7">#REF!</definedName>
    <definedName localSheetId="33" name="catantara">#REF!</definedName>
    <definedName localSheetId="18" name="kayualbasiah">#REF!</definedName>
    <definedName localSheetId="15" name="plywood4">#REF!</definedName>
    <definedName localSheetId="33" name="papanjelutung">#REF!</definedName>
    <definedName localSheetId="30" name="KT">#REF!</definedName>
    <definedName localSheetId="10" name="___DIV2">#REF!</definedName>
    <definedName localSheetId="24" name="_MMM07">#REF!</definedName>
    <definedName localSheetId="12" name="____HAL3">#REF!</definedName>
    <definedName localSheetId="18" name="FORM612">#REF!</definedName>
    <definedName localSheetId="21" name="list">#REF!</definedName>
    <definedName localSheetId="3" name="_____MMM52">#REF!</definedName>
    <definedName localSheetId="9" name="catpenutup2kali">#REF!</definedName>
    <definedName localSheetId="24" name="__MMM29">#REF!</definedName>
    <definedName localSheetId="10" name="batutempelhitam">#REF!</definedName>
    <definedName localSheetId="44" name="______MMM23">#REF!</definedName>
    <definedName localSheetId="3" name="tes">#REF!</definedName>
    <definedName localSheetId="11" name="______DIV10">#REF!</definedName>
    <definedName name="sengplatbjls25">#REF!</definedName>
    <definedName name="R22..">#REF!</definedName>
    <definedName localSheetId="5" name="lemvinyl">#REF!</definedName>
    <definedName localSheetId="20" name="ubinkeramikartistik1020">#REF!</definedName>
    <definedName localSheetId="21" name="__MMM25">#REF!</definedName>
    <definedName localSheetId="8" name="URAIAN744">#REF!</definedName>
    <definedName localSheetId="20" name="_HAL6">#REF!</definedName>
    <definedName localSheetId="34" name="___DIV3">#REF!</definedName>
    <definedName localSheetId="27" name="URAIAN7610">#REF!</definedName>
    <definedName localSheetId="36" name="KT">#REF!</definedName>
    <definedName localSheetId="24" name="____MMM30">#REF!</definedName>
    <definedName localSheetId="7" name="____MMM14">#REF!</definedName>
    <definedName localSheetId="7" name="FORM771d">#REF!</definedName>
    <definedName localSheetId="4" name="_________DIV1">#REF!</definedName>
    <definedName localSheetId="11" name="psr.trs">#REF!</definedName>
    <definedName localSheetId="21" name="kacapolos3mm">#REF!</definedName>
    <definedName localSheetId="44" name="Analisa709">#REF!</definedName>
    <definedName localSheetId="17" name="_______MMM50">#REF!</definedName>
    <definedName localSheetId="40" name="springknip">#REF!</definedName>
    <definedName localSheetId="25" name="jj">#REF!</definedName>
    <definedName localSheetId="7" name="______MMM12">#REF!</definedName>
    <definedName localSheetId="3" name="AASDASD">#REF!</definedName>
    <definedName localSheetId="8" name="FORM612">#REF!</definedName>
    <definedName localSheetId="13" name="pajak">#REF!</definedName>
    <definedName localSheetId="21" name="FORM7613b">#REF!</definedName>
    <definedName localSheetId="21" name="FORM7614e">#REF!</definedName>
    <definedName name="___MMM411">#REF!</definedName>
    <definedName name="_____MMM47">#REF!</definedName>
    <definedName localSheetId="21" name="___MMM18">#REF!</definedName>
    <definedName localSheetId="30" name="f.drain">#REF!</definedName>
    <definedName localSheetId="24" name="_________DIV8">#REF!</definedName>
    <definedName localSheetId="42" name="tp80x80">#REF!</definedName>
    <definedName localSheetId="6" name="Print_title">#REF!</definedName>
    <definedName localSheetId="18" name="kuas">#REF!</definedName>
    <definedName localSheetId="8" name="tegelplin20x20">#REF!</definedName>
    <definedName localSheetId="19" name="FORMLatasirK">#REF!</definedName>
    <definedName localSheetId="44" name="_____MMM26">#REF!</definedName>
    <definedName localSheetId="19" name="plintubinwarna1040">#REF!</definedName>
    <definedName localSheetId="17" name="___MMM37">#REF!</definedName>
    <definedName localSheetId="7" name="R73..">#REF!</definedName>
    <definedName name="kayualbasiah">#REF!</definedName>
    <definedName name="minyaksolar">#REF!</definedName>
    <definedName localSheetId="24" name="___MMM19">#REF!</definedName>
    <definedName localSheetId="17" name="_________HAL2">#REF!</definedName>
    <definedName name="batugranito">#REF!</definedName>
    <definedName name="_________MMM02">#REF!</definedName>
    <definedName localSheetId="13" name="SEKRETARIAT_DPRD">#REF!</definedName>
    <definedName name="ubinkeramikartistik1020">#REF!</definedName>
    <definedName localSheetId="8" name="u.besi">#REF!</definedName>
    <definedName localSheetId="36" name="Tbt">#REF!</definedName>
    <definedName localSheetId="41" name="multi.18">#REF!</definedName>
    <definedName localSheetId="6" name="ubingranito40">#REF!</definedName>
    <definedName localSheetId="17" name="___MMM19">#REF!</definedName>
    <definedName localSheetId="44" name="Pengadaan">#REF!</definedName>
    <definedName localSheetId="21" name="ngsel4">#REF!</definedName>
    <definedName localSheetId="38" name="__HAL3">#REF!</definedName>
    <definedName localSheetId="3" name="floorhardenermastercron">#REF!</definedName>
    <definedName localSheetId="28" name="u.bekisting">#REF!</definedName>
    <definedName localSheetId="32" name="Uraian842">#REF!</definedName>
    <definedName localSheetId="8" name="ubinkeramik1033">#REF!</definedName>
    <definedName localSheetId="23" name="cattembok">#REF!</definedName>
    <definedName localSheetId="31" name="kuncisilinder">#REF!</definedName>
    <definedName localSheetId="10" name="plintubinteraluxmarmer1030">#REF!</definedName>
    <definedName name="_____MMM13">#REF!</definedName>
    <definedName localSheetId="7" name="_________MMM03">#REF!</definedName>
    <definedName localSheetId="12" name="ASET">#REF!</definedName>
    <definedName localSheetId="18" name="pintugulungbesi">#REF!</definedName>
    <definedName localSheetId="21" name="platasbes5mm">#REF!</definedName>
    <definedName localSheetId="44" name="________MMM03">#REF!</definedName>
    <definedName name="_________HAL5">#REF!</definedName>
    <definedName localSheetId="6" name="____MMM01">#REF!</definedName>
    <definedName localSheetId="12" name="kayuramin">#REF!</definedName>
    <definedName localSheetId="19" name="kaca3">#REF!</definedName>
    <definedName localSheetId="24" name="_____DIV6">#REF!</definedName>
    <definedName localSheetId="4" name="Excel_BuiltIn_Print_Titles_2">#REF!</definedName>
    <definedName localSheetId="5" name="____DIV1">#REF!</definedName>
    <definedName localSheetId="7" name="Analisa713">#REF!</definedName>
    <definedName localSheetId="41" name="kacacermin5">#REF!</definedName>
    <definedName localSheetId="24" name="u.cor">#REF!</definedName>
    <definedName localSheetId="15" name="RINCIANSEWA2">#REF!</definedName>
    <definedName localSheetId="24" name="_______LLL11">#REF!</definedName>
    <definedName localSheetId="3" name="___MMM50">#REF!</definedName>
    <definedName name="metal">#REF!</definedName>
    <definedName localSheetId="44" name="FORM633">#REF!</definedName>
    <definedName localSheetId="27" name="kayujati">#REF!</definedName>
    <definedName localSheetId="8" name="_HAL4">#REF!</definedName>
    <definedName localSheetId="11" name="floorhardenerferrovak">#REF!</definedName>
    <definedName localSheetId="36" name="terasocor">#REF!</definedName>
    <definedName localSheetId="34" name="kuncialfa">#REF!</definedName>
    <definedName localSheetId="7" name="_MMM411">#REF!</definedName>
    <definedName name="R34..">#REF!</definedName>
    <definedName localSheetId="42" name="kayubulian">#REF!</definedName>
    <definedName localSheetId="24" name="______MMM39">#REF!</definedName>
    <definedName localSheetId="30" name="cattembok">#REF!</definedName>
    <definedName localSheetId="40" name="catmeni">#REF!</definedName>
    <definedName localSheetId="17" name="___MMM45">#REF!</definedName>
    <definedName localSheetId="12" name="batapelapisdinding">#REF!</definedName>
    <definedName localSheetId="17" name="__HAL6">#REF!</definedName>
    <definedName localSheetId="21" name="URAIAN22L">#REF!</definedName>
    <definedName localSheetId="6" name="dasar">#REF!</definedName>
    <definedName localSheetId="8" name="bubungangentengbesar">#REF!</definedName>
    <definedName localSheetId="15" name="batukali14">#REF!</definedName>
    <definedName localSheetId="39" name="mm">#REF!</definedName>
    <definedName localSheetId="18" name="URAIAN7614d">#REF!</definedName>
    <definedName localSheetId="17" name="catmeni">#REF!</definedName>
    <definedName localSheetId="36" name="bjls30">#REF!</definedName>
    <definedName localSheetId="38" name="pintulipat">#REF!</definedName>
    <definedName localSheetId="34" name="R5..">#REF!</definedName>
    <definedName localSheetId="13" name="___pvc05">#REF!</definedName>
    <definedName localSheetId="34" name="washtafel">#REF!</definedName>
    <definedName localSheetId="17" name="grendel3">#REF!</definedName>
    <definedName localSheetId="33" name="k.40.40.roman.crk">#REF!</definedName>
    <definedName localSheetId="39" name="ubingranito40">#REF!</definedName>
    <definedName localSheetId="8" name="engsel4">#REF!</definedName>
    <definedName localSheetId="17" name="rubbercorrugate">#REF!</definedName>
    <definedName localSheetId="30" name="kiki">#REF!</definedName>
    <definedName localSheetId="34" name="bakkontrol">#REF!</definedName>
    <definedName localSheetId="33" name="FRRDS">#REF!</definedName>
    <definedName localSheetId="25" name="batapelapisdinding">#REF!</definedName>
    <definedName localSheetId="13" name="rapidrant">#REF!</definedName>
    <definedName localSheetId="30" name="________DIV1">#REF!</definedName>
    <definedName localSheetId="15" name="___pvc05">#REF!</definedName>
    <definedName localSheetId="13" name="kaca12">#REF!</definedName>
    <definedName localSheetId="8" name="___HAL1">#REF!</definedName>
    <definedName name="JUDUL1">#REF!</definedName>
    <definedName localSheetId="23" name="Excel_BuiltIn_Print_Titles_1">#REF!</definedName>
    <definedName localSheetId="3" name="besi19u">#REF!</definedName>
    <definedName localSheetId="27" name="ts">#REF!</definedName>
    <definedName localSheetId="36" name="nokgentengaspal">#REF!</definedName>
    <definedName localSheetId="42" name="Psr.psg">#REF!</definedName>
    <definedName localSheetId="23" name="KECAMATAN_KODEOHA">#REF!</definedName>
    <definedName localSheetId="17" name="_____MMM47">#REF!</definedName>
    <definedName localSheetId="5" name="Uraian841">#REF!</definedName>
    <definedName localSheetId="3" name="besi13u">#REF!</definedName>
    <definedName localSheetId="9" name="MMM17A">#REF!</definedName>
    <definedName localSheetId="42" name="________DIV3">#REF!</definedName>
    <definedName localSheetId="44" name="____MMM07">#REF!</definedName>
    <definedName localSheetId="44" name="pintugulungbesi">#REF!</definedName>
    <definedName localSheetId="25" name="kayudamarlaut">#REF!</definedName>
    <definedName localSheetId="23" name="____HAL3">#REF!</definedName>
    <definedName localSheetId="4" name="Nokmetal3mm">#REF!</definedName>
    <definedName localSheetId="3" name="tm_2415921492">#REF!</definedName>
    <definedName localSheetId="4" name="cv">#REF!</definedName>
    <definedName localSheetId="31" name="TANAH">#REF!</definedName>
    <definedName localSheetId="25" name="gmp">#REF!</definedName>
    <definedName localSheetId="7" name="R23..">#REF!</definedName>
    <definedName localSheetId="17" name="R68..">#REF!</definedName>
    <definedName name="_____MMM05">#REF!</definedName>
    <definedName localSheetId="3" name="pasirsilika">#REF!</definedName>
    <definedName localSheetId="30" name="pa">#REF!</definedName>
    <definedName localSheetId="8" name="_HAL1">#REF!</definedName>
    <definedName localSheetId="17" name="_________MMM37">#REF!</definedName>
    <definedName localSheetId="19" name="R40..">#REF!</definedName>
    <definedName localSheetId="36" name="_HAL5">#REF!</definedName>
    <definedName localSheetId="9" name="_KOP7">#REF!</definedName>
    <definedName localSheetId="23" name="tp80x80">#REF!</definedName>
    <definedName localSheetId="31" name="jurnal1">#REF!</definedName>
    <definedName localSheetId="33" name="kawatduri">#REF!</definedName>
    <definedName localSheetId="5" name="wallpaper">#REF!</definedName>
    <definedName localSheetId="44" name="gymfloor">#REF!</definedName>
    <definedName localSheetId="24" name="batugranito">#REF!</definedName>
    <definedName localSheetId="27" name="pipabeton">#REF!</definedName>
    <definedName localSheetId="44" name="________MMM47">#REF!</definedName>
    <definedName localSheetId="21" name="__MMM11">#REF!</definedName>
    <definedName localSheetId="31" name="______DIV2">#REF!</definedName>
    <definedName localSheetId="28" name="sengbjls25">#REF!</definedName>
    <definedName localSheetId="20" name="FORM721">#REF!</definedName>
    <definedName localSheetId="38" name="menibesi">#REF!</definedName>
    <definedName localSheetId="18" name="kacacermin6">#REF!</definedName>
    <definedName localSheetId="42" name="karpet">#REF!</definedName>
    <definedName localSheetId="24" name="__HAL8">#REF!</definedName>
    <definedName localSheetId="32" name="_818PK">#REF!</definedName>
    <definedName localSheetId="21" name="_______MMM42">#REF!</definedName>
    <definedName localSheetId="20" name="kaca.es">#REF!</definedName>
    <definedName localSheetId="36" name="bouwplnk">#REF!</definedName>
    <definedName localSheetId="12" name="Tbt">#REF!</definedName>
    <definedName localSheetId="23" name="________DIV4">#REF!</definedName>
    <definedName localSheetId="21" name="_____MMM18">#REF!</definedName>
    <definedName localSheetId="3" name="kayukudakuda">#REF!</definedName>
    <definedName localSheetId="36" name="batugranito">#REF!</definedName>
    <definedName localSheetId="21" name="RPHL">#REF!</definedName>
    <definedName localSheetId="17" name="besi16">#REF!</definedName>
    <definedName localSheetId="9" name="k.40.40.roman.crk">#REF!</definedName>
    <definedName localSheetId="5" name="namaabsen">#REF!</definedName>
    <definedName localSheetId="33" name="drkeet">#REF!</definedName>
    <definedName localSheetId="32" name="SPJ">#REF!</definedName>
    <definedName localSheetId="31" name="FORM771c">#REF!</definedName>
    <definedName name="_________MMM38">#REF!</definedName>
    <definedName localSheetId="17" name="URAIAN771d">#REF!</definedName>
    <definedName localSheetId="18" name="____HAL2">#REF!</definedName>
    <definedName name="pakuhalus">#REF!</definedName>
    <definedName name="______DIV3">#REF!</definedName>
    <definedName localSheetId="0" name="kaca5">#REF!</definedName>
    <definedName localSheetId="24" name="____MMM34">#REF!</definedName>
    <definedName localSheetId="40" name="mapel">#REF!</definedName>
    <definedName localSheetId="4" name="beton225r">#REF!</definedName>
    <definedName localSheetId="36" name="u.besi">#REF!</definedName>
    <definedName localSheetId="24" name="_______MMM411">#REF!</definedName>
    <definedName localSheetId="4" name="catpenutup2kali">#REF!</definedName>
    <definedName localSheetId="38" name="____DIV1">#REF!</definedName>
    <definedName localSheetId="8" name="stairnzing">#REF!</definedName>
    <definedName localSheetId="27" name="UP">#REF!</definedName>
    <definedName localSheetId="9" name="karpetwooldannilon">#REF!</definedName>
    <definedName localSheetId="38" name="Jasa">#REF!</definedName>
    <definedName localSheetId="44" name="______MMM08">#REF!</definedName>
    <definedName localSheetId="23" name="batu.jogja">#REF!</definedName>
    <definedName localSheetId="42" name="FORM841">#REF!</definedName>
    <definedName name="________LLL11">#REF!</definedName>
    <definedName localSheetId="32" name="bubunganasbesnok">#REF!</definedName>
    <definedName name="kayukudakuda">#REF!</definedName>
    <definedName localSheetId="40" name="lp">#REF!</definedName>
    <definedName localSheetId="0" name="Excel_BuiltIn_Print_Titles_2">#REF!</definedName>
    <definedName localSheetId="21" name="FORM914">#REF!</definedName>
    <definedName localSheetId="44" name="ubinkeramikantislip3333">#REF!</definedName>
    <definedName name="batasuper">#REF!</definedName>
    <definedName localSheetId="33" name="ubinkeramikartistik520">#REF!</definedName>
    <definedName localSheetId="7" name="_______LLL01">#REF!</definedName>
    <definedName localSheetId="44" name="_Tl1">#REF!</definedName>
    <definedName localSheetId="13" name="sengbjls25">#REF!</definedName>
    <definedName localSheetId="33" name="kolombetonpracetak">#REF!</definedName>
    <definedName localSheetId="41" name="tanggal">#REF!</definedName>
    <definedName localSheetId="3" name="______MMM21">#REF!</definedName>
    <definedName localSheetId="8" name="HP">#REF!</definedName>
    <definedName localSheetId="5" name="RoolingdoorAlumunium">#REF!</definedName>
    <definedName localSheetId="7" name="_______DIV9">#REF!</definedName>
    <definedName localSheetId="3" name="_______HAL6">#REF!</definedName>
    <definedName localSheetId="21" name="URAIAN635">#REF!</definedName>
    <definedName localSheetId="3" name="ubinkeramik3333">#REF!</definedName>
    <definedName localSheetId="40" name="URAIAN7613a">#REF!</definedName>
    <definedName localSheetId="21" name="_________MMM45">#REF!</definedName>
    <definedName localSheetId="3" name="________MMM46">#REF!</definedName>
    <definedName localSheetId="17" name="_______LLL04">#REF!</definedName>
    <definedName localSheetId="5" name="ASPAL">#REF!</definedName>
    <definedName localSheetId="36" name="menibesi">#REF!</definedName>
    <definedName localSheetId="34" name="URAIAN745">#REF!</definedName>
    <definedName localSheetId="44" name="______MMM06">#REF!</definedName>
    <definedName localSheetId="5" name="ubinkeramik1515">#REF!</definedName>
    <definedName localSheetId="44" name="besi12sii">#REF!</definedName>
    <definedName localSheetId="33" name="FORM7612c">#REF!</definedName>
    <definedName localSheetId="11" name="KUANTITAS">#REF!</definedName>
    <definedName localSheetId="17" name="kran.bbk">#REF!</definedName>
    <definedName localSheetId="34" name="plastikaerator">#REF!</definedName>
    <definedName localSheetId="44" name="R27..">#REF!</definedName>
    <definedName localSheetId="10" name="URAIAN721">#REF!</definedName>
    <definedName localSheetId="5" name="jamtandem">#REF!</definedName>
    <definedName localSheetId="0" name="___DIV3">#REF!</definedName>
    <definedName localSheetId="32" name="_____DIV3">#REF!</definedName>
    <definedName localSheetId="21" name="FORM633">#REF!</definedName>
    <definedName localSheetId="33" name="tegelplin20x20">#REF!</definedName>
    <definedName localSheetId="15" name="Batupuru">#REF!</definedName>
    <definedName localSheetId="17" name="gentengbeton">#REF!</definedName>
    <definedName localSheetId="13" name="list">#REF!</definedName>
    <definedName localSheetId="8" name="_______DIV1">#REF!</definedName>
    <definedName localSheetId="3" name="dempul">#REF!</definedName>
    <definedName localSheetId="9" name="________MMM01">#REF!</definedName>
    <definedName localSheetId="7" name="c.mowi.luar">#REF!</definedName>
    <definedName localSheetId="11" name="P">#REF!</definedName>
    <definedName localSheetId="19" name="FORM745">#REF!</definedName>
    <definedName localSheetId="7" name="FORM631">#REF!</definedName>
    <definedName localSheetId="13" name="profilalumuniumT">#REF!</definedName>
    <definedName localSheetId="23" name="list">#REF!</definedName>
    <definedName localSheetId="3" name="batuapung">#REF!</definedName>
    <definedName localSheetId="18" name="kran.bbk">#REF!</definedName>
    <definedName localSheetId="18" name="p.kmp.smrd.3.20">#REF!</definedName>
    <definedName localSheetId="23" name="JL_NAS">#REF!</definedName>
    <definedName name="________MMM54">#REF!</definedName>
    <definedName localSheetId="11" name="FORM79manual">#REF!</definedName>
    <definedName localSheetId="3" name="sunloid">#REF!</definedName>
    <definedName localSheetId="17" name="____DIV8">#REF!</definedName>
    <definedName localSheetId="4" name="URAIAN611">#REF!</definedName>
    <definedName localSheetId="13" name="kunci2slag">#REF!</definedName>
    <definedName name="pakuskrup">#REF!</definedName>
    <definedName localSheetId="19" name="waterdrainaksesoris">#REF!</definedName>
    <definedName localSheetId="27" name="batutempelhitam">#REF!</definedName>
    <definedName localSheetId="7" name="FORM66">#REF!</definedName>
    <definedName localSheetId="33" name="bbm">#REF!</definedName>
    <definedName localSheetId="38" name="bouwplnk">#REF!</definedName>
    <definedName localSheetId="36" name="vertikalsblinds">#REF!</definedName>
    <definedName localSheetId="0" name="dempul">#REF!</definedName>
    <definedName localSheetId="7" name="______HAL8">#REF!</definedName>
    <definedName localSheetId="33" name="Ker.L13">#REF!</definedName>
    <definedName localSheetId="13" name="______MMM01">#REF!</definedName>
    <definedName localSheetId="28" name="FORM7613c">#REF!</definedName>
    <definedName localSheetId="12" name="FORM7613c">#REF!</definedName>
    <definedName localSheetId="33" name="URAIAN66PERMUKAAN">#REF!</definedName>
    <definedName localSheetId="17" name="HP">#REF!</definedName>
    <definedName localSheetId="44" name="_______MMM42">#REF!</definedName>
    <definedName localSheetId="7" name="FORMLatasirK">#REF!</definedName>
    <definedName localSheetId="24" name="y">#REF!</definedName>
    <definedName localSheetId="41" name="FORM633">#REF!</definedName>
    <definedName localSheetId="4" name="RPHL">#REF!</definedName>
    <definedName localSheetId="28" name="pakubulian">#REF!</definedName>
    <definedName localSheetId="13" name="__HAL4">#REF!</definedName>
    <definedName localSheetId="7" name="____MMM30">#REF!</definedName>
    <definedName localSheetId="3" name="kacacermin8">#REF!</definedName>
    <definedName localSheetId="38" name="______DIV4">#REF!</definedName>
    <definedName localSheetId="15" name="tpipa">#REF!</definedName>
    <definedName localSheetId="38" name="_______HAL1">#REF!</definedName>
    <definedName localSheetId="17" name="________LLL03">#REF!</definedName>
    <definedName localSheetId="18" name="kayukulim">#REF!</definedName>
    <definedName localSheetId="38" name="_HAL5">#REF!</definedName>
    <definedName localSheetId="0" name="kran.ddg">#REF!</definedName>
    <definedName localSheetId="21" name="seng30">#REF!</definedName>
    <definedName localSheetId="5" name="_________HAL3">#REF!</definedName>
    <definedName localSheetId="20" name="R60..">#REF!</definedName>
    <definedName localSheetId="13" name="ts">#REF!</definedName>
    <definedName localSheetId="36" name="Kunci2">#REF!</definedName>
    <definedName localSheetId="33" name="split1.2">#REF!</definedName>
    <definedName localSheetId="24" name="___MMM08">#REF!</definedName>
    <definedName localSheetId="34" name="psr.trs">#REF!</definedName>
    <definedName localSheetId="3" name="kalkarium">#REF!</definedName>
    <definedName localSheetId="5" name="FORM621">#REF!</definedName>
    <definedName localSheetId="44" name="ASET">#REF!</definedName>
    <definedName localSheetId="23" name="______HAL1">#REF!</definedName>
    <definedName localSheetId="42" name="___pvc2">#REF!</definedName>
    <definedName localSheetId="8" name="ppn2.30">#REF!</definedName>
    <definedName localSheetId="3" name="R62..">#REF!</definedName>
    <definedName localSheetId="0" name="______HAL3">#REF!</definedName>
    <definedName localSheetId="41" name="_DIV10">#REF!</definedName>
    <definedName localSheetId="33" name="______MMM01">#REF!</definedName>
    <definedName localSheetId="8" name="URAIAN632">#REF!</definedName>
    <definedName localSheetId="8" name="kacawireglass5">#REF!</definedName>
    <definedName name="___MMM09">#REF!</definedName>
    <definedName localSheetId="32" name="f">#REF!</definedName>
    <definedName localSheetId="18" name="_____HAL1">#REF!</definedName>
    <definedName localSheetId="32" name="waterstop150">#REF!</definedName>
    <definedName localSheetId="13" name="Per">#REF!</definedName>
    <definedName localSheetId="38" name="R6..">#REF!</definedName>
    <definedName localSheetId="36" name="tl2x40">#REF!</definedName>
    <definedName localSheetId="40" name="Gypsum">#REF!</definedName>
    <definedName localSheetId="15" name="bjls25">#REF!</definedName>
    <definedName localSheetId="23" name="venetionblinds">#REF!</definedName>
    <definedName localSheetId="11" name="pipagalvanis">#REF!</definedName>
    <definedName localSheetId="27" name="sengplatbjls28">#REF!</definedName>
    <definedName localSheetId="24" name="_______DIV6">#REF!</definedName>
    <definedName localSheetId="13" name="KTM">#REF!</definedName>
    <definedName localSheetId="17" name="_MMM54">#REF!</definedName>
    <definedName localSheetId="24" name="_MMM11">#REF!</definedName>
    <definedName localSheetId="12" name="batugranito">#REF!</definedName>
    <definedName localSheetId="19" name="URAIAN611">#REF!</definedName>
    <definedName localSheetId="33" name="__DIV1">#REF!</definedName>
    <definedName localSheetId="6" name="jki">#REF!</definedName>
    <definedName localSheetId="4" name="Print_Area_MI">#REF!</definedName>
    <definedName localSheetId="31" name="______DIV4">#REF!</definedName>
    <definedName localSheetId="4" name="______MMM02">#REF!</definedName>
    <definedName localSheetId="11" name="Uraian8410">#REF!</definedName>
    <definedName localSheetId="12" name="jurnal1">#REF!</definedName>
    <definedName localSheetId="42" name="rooflightfiibreglass">#REF!</definedName>
    <definedName localSheetId="39" name="keramik30x30">#REF!</definedName>
    <definedName name="______LLL11">#REF!</definedName>
    <definedName localSheetId="21" name="_____MMM49">#REF!</definedName>
    <definedName localSheetId="40" name="FORM732">#REF!</definedName>
    <definedName localSheetId="23" name="URAIAN771b">#REF!</definedName>
    <definedName localSheetId="11" name="__DIV4">#REF!</definedName>
    <definedName localSheetId="15" name="______HAL1">#REF!</definedName>
    <definedName localSheetId="24" name="________MMM49">#REF!</definedName>
    <definedName name="_____MMM25">#REF!</definedName>
    <definedName localSheetId="41" name="pajak">#REF!</definedName>
    <definedName localSheetId="23" name="tbkr">#REF!</definedName>
    <definedName localSheetId="24" name="_________MMM38">#REF!</definedName>
    <definedName localSheetId="42" name="KUANTITAS">#REF!</definedName>
    <definedName localSheetId="3" name="Analisa70703">#REF!</definedName>
    <definedName localSheetId="11" name="Status">#REF!</definedName>
    <definedName localSheetId="3" name="ubinkeramik2020">#REF!</definedName>
    <definedName localSheetId="17" name="___MMM32">#REF!</definedName>
    <definedName localSheetId="12" name="__MMM01">#REF!</definedName>
    <definedName localSheetId="32" name="sunloid">#REF!</definedName>
    <definedName localSheetId="18" name="_________DIV1">#REF!</definedName>
    <definedName localSheetId="17" name="_____MMM22">#REF!</definedName>
    <definedName localSheetId="42" name="urugan">#REF!</definedName>
    <definedName localSheetId="18" name="___MMM01">#REF!</definedName>
    <definedName localSheetId="12" name="M">#REF!</definedName>
    <definedName localSheetId="15" name="k.ddg.20.25.rmn.crk">#REF!</definedName>
    <definedName localSheetId="24" name="ktky">#REF!</definedName>
    <definedName localSheetId="36" name="kawatburung">#REF!</definedName>
    <definedName localSheetId="7" name="btn">#REF!</definedName>
    <definedName localSheetId="21" name="Batupuru">#REF!</definedName>
    <definedName localSheetId="15" name="cv">#REF!</definedName>
    <definedName localSheetId="4" name="terntang">#REF!</definedName>
    <definedName localSheetId="39" name="pintubesibaja">#REF!</definedName>
    <definedName localSheetId="41" name="FORM7614c">#REF!</definedName>
    <definedName localSheetId="34" name="URAIAN611">#REF!</definedName>
    <definedName localSheetId="42" name="kayuramin">#REF!</definedName>
    <definedName localSheetId="18" name="gypsum.9">#REF!</definedName>
    <definedName localSheetId="27" name="Minyak">#REF!</definedName>
    <definedName localSheetId="19" name="platasbes">#REF!</definedName>
    <definedName localSheetId="8" name="nmdaerah">#REF!</definedName>
    <definedName localSheetId="24" name="kayumarsawa">#REF!</definedName>
    <definedName localSheetId="7" name="R7..">#REF!</definedName>
    <definedName localSheetId="28" name="amobiotic">#REF!</definedName>
    <definedName localSheetId="9" name="URAIAN621">#REF!</definedName>
    <definedName name="SPJa">#REF!</definedName>
    <definedName localSheetId="33" name="Fak">#REF!</definedName>
    <definedName localSheetId="15" name="split1.2">#REF!</definedName>
    <definedName name="JUDUL">#REF!</definedName>
    <definedName name="_________MMM40">#REF!</definedName>
    <definedName localSheetId="42" name="___pvc3">#REF!</definedName>
    <definedName localSheetId="27" name="R41..">#REF!</definedName>
    <definedName localSheetId="39" name="kayukelas2">#REF!</definedName>
    <definedName localSheetId="39" name="c.mowi.luar">#REF!</definedName>
    <definedName localSheetId="44" name="__DIV7">#REF!</definedName>
    <definedName localSheetId="30" name="_______MMM01">#REF!</definedName>
    <definedName localSheetId="9" name="batutempelhitam">#REF!</definedName>
    <definedName localSheetId="11" name="pasirsilika">#REF!</definedName>
    <definedName localSheetId="3" name="__MMM41">#REF!</definedName>
    <definedName localSheetId="10" name="ttnh">#REF!</definedName>
    <definedName localSheetId="15" name="______MMM03">#REF!</definedName>
    <definedName localSheetId="36" name="Print_title">#REF!</definedName>
    <definedName localSheetId="33" name="kayukruing">#REF!</definedName>
    <definedName localSheetId="44" name="Analisa8405">#REF!</definedName>
    <definedName localSheetId="28" name="URAIAN771a">#REF!</definedName>
    <definedName localSheetId="18" name="URAIAN771a">#REF!</definedName>
    <definedName localSheetId="36" name="nokpaten105">#REF!</definedName>
    <definedName localSheetId="39" name="____HAL1">#REF!</definedName>
    <definedName localSheetId="7" name="batukali14">#REF!</definedName>
    <definedName localSheetId="30" name="e">#REF!</definedName>
    <definedName localSheetId="17" name="_______MMM411">#REF!</definedName>
    <definedName localSheetId="34" name="____MMM03">#REF!</definedName>
    <definedName localSheetId="44" name="R9..">#REF!</definedName>
    <definedName localSheetId="20" name="sabun">#REF!</definedName>
    <definedName localSheetId="25" name="tegel20">#REF!</definedName>
    <definedName localSheetId="23" name="rincian">#REF!</definedName>
    <definedName localSheetId="31" name="teakwood9mm">#REF!</definedName>
    <definedName localSheetId="12" name="pa">#REF!</definedName>
    <definedName localSheetId="7" name="ktbs">#REF!</definedName>
    <definedName localSheetId="3" name="_____MMM06">#REF!</definedName>
    <definedName localSheetId="0" name="Galam">#REF!</definedName>
    <definedName localSheetId="13" name="plintubinwarna1040">#REF!</definedName>
    <definedName localSheetId="3" name="__HAL6">#REF!</definedName>
    <definedName localSheetId="21" name="besi16">#REF!</definedName>
    <definedName localSheetId="31" name="_________HAL1">#REF!</definedName>
    <definedName localSheetId="39" name="URAIAN632">#REF!</definedName>
    <definedName localSheetId="39" name="________DIV10">#REF!</definedName>
    <definedName name="FORM633">#REF!</definedName>
    <definedName localSheetId="21" name="______MMM54">#REF!</definedName>
    <definedName name="__LLL04">#REF!</definedName>
    <definedName localSheetId="44" name="Analisa70707">#REF!</definedName>
    <definedName localSheetId="18" name="pagarseng2m">#REF!</definedName>
    <definedName name="_PC50">#REF!</definedName>
    <definedName localSheetId="31" name="Faktorial">#REF!</definedName>
    <definedName localSheetId="3" name="_HAL7">#REF!</definedName>
    <definedName localSheetId="3" name="R86..">#REF!</definedName>
    <definedName localSheetId="17" name="ppn2.30">#REF!</definedName>
    <definedName localSheetId="21" name="ubintahanasam">#REF!</definedName>
    <definedName localSheetId="7" name="Jasa">#REF!</definedName>
    <definedName localSheetId="44" name="kawatsengpolos">#REF!</definedName>
    <definedName localSheetId="33" name="f.drain">#REF!</definedName>
    <definedName localSheetId="39" name="M">#REF!</definedName>
    <definedName localSheetId="20" name="sssssss">#REF!</definedName>
    <definedName localSheetId="19" name="begisting">#REF!</definedName>
    <definedName localSheetId="21" name="_______MMM32">#REF!</definedName>
    <definedName localSheetId="3" name="__MMM39">#REF!</definedName>
    <definedName localSheetId="25" name="kran.ddg">#REF!</definedName>
    <definedName localSheetId="17" name="FORM7614c">#REF!</definedName>
    <definedName localSheetId="18" name="gymfloor">#REF!</definedName>
    <definedName localSheetId="33" name="ASISTEN_BIDANG_PEMERINTAHAN">#REF!</definedName>
    <definedName localSheetId="3" name="URAIAN919">#REF!</definedName>
    <definedName localSheetId="24" name="________MMM17">#REF!</definedName>
    <definedName localSheetId="21" name="plintubinwarna1040">#REF!</definedName>
    <definedName localSheetId="20" name="FORM841">#REF!</definedName>
    <definedName localSheetId="12" name="springknip">#REF!</definedName>
    <definedName localSheetId="36" name="____DIV2">#REF!</definedName>
    <definedName localSheetId="11" name="meni.kayu">#REF!</definedName>
    <definedName localSheetId="20" name="_DIV1">#REF!</definedName>
    <definedName localSheetId="6" name="air">#REF!</definedName>
    <definedName localSheetId="10" name="aluminiumfoil">#REF!</definedName>
    <definedName localSheetId="39" name="_HAL4">#REF!</definedName>
    <definedName localSheetId="38" name="R2..">#REF!</definedName>
    <definedName localSheetId="3" name="sirlak">#REF!</definedName>
    <definedName localSheetId="12" name="___DIV1">#REF!</definedName>
    <definedName localSheetId="34" name="_tl2">#REF!</definedName>
    <definedName localSheetId="28" name="kayukelas2">#REF!</definedName>
    <definedName localSheetId="40" name="catantara">#REF!</definedName>
    <definedName localSheetId="18" name="got">#REF!</definedName>
    <definedName name="_________MMM47">#REF!</definedName>
    <definedName localSheetId="10" name="nokpaten092">#REF!</definedName>
    <definedName localSheetId="24" name="R70..">#REF!</definedName>
    <definedName localSheetId="21" name="parquetjati">#REF!</definedName>
    <definedName localSheetId="24" name="____LLL07">#REF!</definedName>
    <definedName localSheetId="36" name="________HAL2">#REF!</definedName>
    <definedName localSheetId="7" name="FORM842">#REF!</definedName>
    <definedName localSheetId="10" name="kompresor">#REF!</definedName>
    <definedName localSheetId="6" name="batuapung">#REF!</definedName>
    <definedName localSheetId="4" name="__HAL5">#REF!</definedName>
    <definedName name="namaabsen">#REF!</definedName>
    <definedName name="FORM631">#REF!</definedName>
    <definedName localSheetId="28" name="t.sabun">#REF!</definedName>
    <definedName localSheetId="44" name="Closet.ddk">#REF!</definedName>
    <definedName localSheetId="7" name="tm_2415921492">#REF!</definedName>
    <definedName localSheetId="11" name="_______MMM02">#REF!</definedName>
    <definedName name="__LLL05">#REF!</definedName>
    <definedName localSheetId="42" name="ubinkeramikartistik1010">#REF!</definedName>
    <definedName localSheetId="25" name="sodaapi">#REF!</definedName>
    <definedName localSheetId="36" name="_LLL02">#REF!</definedName>
    <definedName localSheetId="3" name="medan3.4">#REF!</definedName>
    <definedName localSheetId="12" name="Kekurangan">#REF!</definedName>
    <definedName localSheetId="3" name="___pvc3">#REF!</definedName>
    <definedName localSheetId="11" name="Analisa55">#REF!</definedName>
    <definedName localSheetId="17" name="___MMM14">#REF!</definedName>
    <definedName localSheetId="36" name="TANAH">#REF!</definedName>
    <definedName localSheetId="34" name="dempul">#REF!</definedName>
    <definedName localSheetId="11" name="medan3.4">#REF!</definedName>
    <definedName localSheetId="13" name="URAIAN7612c">#REF!</definedName>
    <definedName localSheetId="12" name="bakcuciteraso">#REF!</definedName>
    <definedName localSheetId="19" name="tanggal">#REF!</definedName>
    <definedName localSheetId="40" name="klosetjongkok">#REF!</definedName>
    <definedName localSheetId="24" name="________MMM52">#REF!</definedName>
    <definedName localSheetId="44" name="_____MMM08">#REF!</definedName>
    <definedName localSheetId="17" name="kayukulim">#REF!</definedName>
    <definedName localSheetId="24" name="____MMM08">#REF!</definedName>
    <definedName localSheetId="3" name="kuncitanambiasa">#REF!</definedName>
    <definedName localSheetId="17" name="______HAL5">#REF!</definedName>
    <definedName localSheetId="41" name="Grendel">#REF!</definedName>
    <definedName localSheetId="20" name="tempatcucipiring">#REF!</definedName>
    <definedName localSheetId="7" name="___LLL04">#REF!</definedName>
    <definedName localSheetId="19" name="ASISTEN_BIDANG_PEMERINTAHAN">#REF!</definedName>
    <definedName localSheetId="15" name="SEKRETARIAT_DPRD">#REF!</definedName>
    <definedName localSheetId="24" name="kaca3">#REF!</definedName>
    <definedName localSheetId="17" name="____DIV1">#REF!</definedName>
    <definedName localSheetId="32" name="tanahliat">#REF!</definedName>
    <definedName localSheetId="17" name="teakwood9mm">#REF!</definedName>
    <definedName localSheetId="5" name="_MMM02">#REF!</definedName>
    <definedName localSheetId="38" name="FORM7612a">#REF!</definedName>
    <definedName localSheetId="11" name="plintubinteraso1030">#REF!</definedName>
    <definedName localSheetId="33" name="FORM631">#REF!</definedName>
    <definedName localSheetId="25" name="dua">#REF!</definedName>
    <definedName localSheetId="39" name="vinylkaret3030">#REF!</definedName>
    <definedName localSheetId="17" name="R8..">#REF!</definedName>
    <definedName localSheetId="20" name="kolombetonpracetak">#REF!</definedName>
    <definedName localSheetId="21" name="_______LLL10">#REF!</definedName>
    <definedName localSheetId="17" name="___MMM411">#REF!</definedName>
    <definedName localSheetId="40" name="pakuhalus">#REF!</definedName>
    <definedName localSheetId="3" name="pasirpas">#REF!</definedName>
    <definedName localSheetId="41" name="kaca8">#REF!</definedName>
    <definedName localSheetId="39" name="R50..">#REF!</definedName>
    <definedName localSheetId="41" name="feltexkarpetwool">#REF!</definedName>
    <definedName localSheetId="34" name="KunciPintu">#REF!</definedName>
    <definedName localSheetId="9" name="besi10.sii">#REF!</definedName>
    <definedName localSheetId="27" name="waterstop150">#REF!</definedName>
    <definedName localSheetId="19" name="kuas">#REF!</definedName>
    <definedName localSheetId="0" name="pagarseng2m">#REF!</definedName>
    <definedName localSheetId="27" name="_kop5">#REF!</definedName>
    <definedName localSheetId="28" name="FRRDS">#REF!</definedName>
    <definedName localSheetId="19" name="nokgentengaspal">#REF!</definedName>
    <definedName localSheetId="8" name="Analisa511">#REF!</definedName>
    <definedName localSheetId="17" name="ubinpcabuabu30">#REF!</definedName>
    <definedName localSheetId="3" name="________MMM49">#REF!</definedName>
    <definedName localSheetId="39" name="oke">#REF!</definedName>
    <definedName localSheetId="31" name="floorhardenerferrovak">#REF!</definedName>
    <definedName localSheetId="21" name="sealent">#REF!</definedName>
    <definedName localSheetId="12" name="FORM7613a">#REF!</definedName>
    <definedName localSheetId="9" name="gentengdecrabond">#REF!</definedName>
    <definedName localSheetId="19" name="Ktbt">#REF!</definedName>
    <definedName localSheetId="3" name="ubingranito30">#REF!</definedName>
    <definedName localSheetId="17" name="d">#REF!</definedName>
    <definedName localSheetId="28" name="lemvinyl">#REF!</definedName>
    <definedName localSheetId="40" name="kayudamarlaut">#REF!</definedName>
    <definedName localSheetId="34" name="___DIV4">#REF!</definedName>
    <definedName localSheetId="40" name="Skrup">#REF!</definedName>
    <definedName localSheetId="42" name="nokpaten105">#REF!</definedName>
    <definedName localSheetId="3" name="sealer.mowi">#REF!</definedName>
    <definedName localSheetId="25" name="beton175m">#REF!</definedName>
    <definedName localSheetId="42" name="pasirsilika">#REF!</definedName>
    <definedName localSheetId="9" name="M">#REF!</definedName>
    <definedName localSheetId="33" name="_MMM03">#REF!</definedName>
    <definedName localSheetId="3" name="R53..">#REF!</definedName>
    <definedName localSheetId="33" name="_________MMM02">#REF!</definedName>
    <definedName localSheetId="44" name="URAIAN323L">#REF!</definedName>
    <definedName localSheetId="13" name="Kunci1">#REF!</definedName>
    <definedName localSheetId="18" name="________HAL2">#REF!</definedName>
    <definedName localSheetId="18" name="bakcuciteraso">#REF!</definedName>
    <definedName localSheetId="33" name="ramset">#REF!</definedName>
    <definedName localSheetId="7" name="________LLL02">#REF!</definedName>
    <definedName localSheetId="44" name="R89..">#REF!</definedName>
    <definedName name="tegelporselen15x15">#REF!</definedName>
    <definedName name="cghj">#REF!</definedName>
    <definedName localSheetId="3" name="___DIV4">#REF!</definedName>
    <definedName localSheetId="21" name="vinylasbes">#REF!</definedName>
    <definedName localSheetId="12" name="FORM631">#REF!</definedName>
    <definedName localSheetId="42" name="____HAL1">#REF!</definedName>
    <definedName localSheetId="24" name="___LLL11">#REF!</definedName>
    <definedName localSheetId="19" name="sengplatbjls28">#REF!</definedName>
    <definedName localSheetId="20" name="b.belah">#REF!</definedName>
    <definedName localSheetId="10" name="karpetwooldannilon">#REF!</definedName>
    <definedName localSheetId="38" name="LAP">#REF!</definedName>
    <definedName localSheetId="8" name="kacapolos3mm">#REF!</definedName>
    <definedName localSheetId="39" name="sementahanasam">#REF!</definedName>
    <definedName localSheetId="25" name="u.bekisting">#REF!</definedName>
    <definedName localSheetId="21" name="R69..">#REF!</definedName>
    <definedName localSheetId="7" name="kaca.p.5">#REF!</definedName>
    <definedName localSheetId="3" name="G.Kramik">#REF!</definedName>
    <definedName localSheetId="33" name="beton.tumbuk">#REF!</definedName>
    <definedName localSheetId="24" name="_MMM36">#REF!</definedName>
    <definedName localSheetId="18" name="Akustik">#REF!</definedName>
    <definedName localSheetId="17" name="bubungangentengkodok">#REF!</definedName>
    <definedName localSheetId="8" name="FORM744">#REF!</definedName>
    <definedName localSheetId="44" name="_______DIV8">#REF!</definedName>
    <definedName localSheetId="3" name="_____MMM38">#REF!</definedName>
    <definedName localSheetId="31" name="Closet.ddk">#REF!</definedName>
    <definedName localSheetId="30" name="plintubinteraluxmarmer1040">#REF!</definedName>
    <definedName localSheetId="13" name="pintubesibaja">#REF!</definedName>
    <definedName localSheetId="17" name="_______MMM07">#REF!</definedName>
    <definedName localSheetId="3" name="ubinkeramikantislip3333">#REF!</definedName>
    <definedName localSheetId="18" name="Kekurangan">#REF!</definedName>
    <definedName localSheetId="41" name="________MMM02">#REF!</definedName>
    <definedName localSheetId="40" name="pipatanah">#REF!</definedName>
    <definedName localSheetId="18" name="______MMM01">#REF!</definedName>
    <definedName localSheetId="21" name="________LLL04">#REF!</definedName>
    <definedName localSheetId="32" name="tky">#REF!</definedName>
    <definedName localSheetId="3" name="_________MMM32">#REF!</definedName>
    <definedName localSheetId="28" name="____HAL3">#REF!</definedName>
    <definedName name="bjls25">#REF!</definedName>
    <definedName localSheetId="27" name="batuporos">#REF!</definedName>
    <definedName localSheetId="19" name="_MMM02">#REF!</definedName>
    <definedName localSheetId="44" name="R39..">#REF!</definedName>
    <definedName localSheetId="4" name="kayudamarlaut">#REF!</definedName>
    <definedName localSheetId="34" name="tegelplinpc10x20">#REF!</definedName>
    <definedName localSheetId="31" name="Jasa">#REF!</definedName>
    <definedName localSheetId="10" name="sengplatbjls28">#REF!</definedName>
    <definedName localSheetId="9" name="_____DIV1">#REF!</definedName>
    <definedName localSheetId="7" name="________MMM02">#REF!</definedName>
    <definedName localSheetId="13" name="asbesgelombang">#REF!</definedName>
    <definedName localSheetId="11" name="kacacermin5">#REF!</definedName>
    <definedName localSheetId="3" name="________MMM45">#REF!</definedName>
    <definedName localSheetId="42" name="batuteraso">#REF!</definedName>
    <definedName localSheetId="41" name="Jasa">#REF!</definedName>
    <definedName localSheetId="44" name="BAJA">#REF!</definedName>
    <definedName name="R78..">#REF!</definedName>
    <definedName localSheetId="23" name="marmer">#REF!</definedName>
    <definedName localSheetId="44" name="sirap">#REF!</definedName>
    <definedName localSheetId="18" name="data2">#REF!</definedName>
    <definedName localSheetId="34" name="a">#REF!</definedName>
    <definedName localSheetId="18" name="FORM8410">#REF!</definedName>
    <definedName localSheetId="24" name="_________MMM28">#REF!</definedName>
    <definedName localSheetId="13" name="tegelplin20x20">#REF!</definedName>
    <definedName localSheetId="3" name="kaca8">#REF!</definedName>
    <definedName localSheetId="44" name="kayukruing">#REF!</definedName>
    <definedName localSheetId="7" name="R64..">#REF!</definedName>
    <definedName localSheetId="33" name="MASTER">#REF!</definedName>
    <definedName localSheetId="44" name="ubinkeramik3333">#REF!</definedName>
    <definedName localSheetId="3" name="_HAL1">#REF!</definedName>
    <definedName localSheetId="40" name="ubinwarna40">#REF!</definedName>
    <definedName localSheetId="40" name="batamerah">#REF!</definedName>
    <definedName localSheetId="7" name="__MMM24">#REF!</definedName>
    <definedName localSheetId="9" name="kolombetonpracetak">#REF!</definedName>
    <definedName localSheetId="21" name="cycllop">#REF!</definedName>
    <definedName localSheetId="30" name="_________MMM02">#REF!</definedName>
    <definedName localSheetId="11" name="pddk">#REF!</definedName>
    <definedName localSheetId="34" name="total">#REF!</definedName>
    <definedName name="Analisa70703">#REF!</definedName>
    <definedName localSheetId="9" name="B.Aparatur">#REF!</definedName>
    <definedName localSheetId="13" name="sis">#REF!</definedName>
    <definedName localSheetId="11" name="FORM632">#REF!</definedName>
    <definedName name="UP">#REF!</definedName>
    <definedName localSheetId="13" name="plywood4">#REF!</definedName>
    <definedName localSheetId="44" name="________MMM32">#REF!</definedName>
    <definedName localSheetId="31" name="pagar2m">#REF!</definedName>
    <definedName localSheetId="44" name="Pjgsloof">#REF!</definedName>
    <definedName localSheetId="12" name="________DIV2">#REF!</definedName>
    <definedName localSheetId="3" name="_____MMM43">#REF!</definedName>
    <definedName name="_____DIV4">#REF!</definedName>
    <definedName localSheetId="42" name="kuas">#REF!</definedName>
    <definedName localSheetId="30" name="Tbs">#REF!</definedName>
    <definedName localSheetId="3" name="_____LLL11">#REF!</definedName>
    <definedName localSheetId="44" name="R34..">#REF!</definedName>
    <definedName localSheetId="44" name="_____MMM34">#REF!</definedName>
    <definedName localSheetId="13" name="BAHU">#REF!</definedName>
    <definedName localSheetId="34" name="sengplatbjls28">#REF!</definedName>
    <definedName localSheetId="3" name="catmeni">#REF!</definedName>
    <definedName localSheetId="3" name="_________LLL07">#REF!</definedName>
    <definedName localSheetId="18" name="plywood4mm">#REF!</definedName>
    <definedName localSheetId="44" name="R44..">#REF!</definedName>
    <definedName localSheetId="20" name="k.ddg.20.25.rmn.crk">#REF!</definedName>
    <definedName localSheetId="24" name="p.triplek">#REF!</definedName>
    <definedName localSheetId="34" name="Meni">#REF!</definedName>
    <definedName localSheetId="32" name="FORM7610">#REF!</definedName>
    <definedName localSheetId="24" name="URAIAN917">#REF!</definedName>
    <definedName localSheetId="7" name="_MMM04">#REF!</definedName>
    <definedName localSheetId="41" name="Lamp">#REF!</definedName>
    <definedName localSheetId="9" name="Lamp">#REF!</definedName>
    <definedName localSheetId="33" name="pipatanah">#REF!</definedName>
    <definedName localSheetId="33" name="f">#REF!</definedName>
    <definedName localSheetId="6" name="gmp">#REF!</definedName>
    <definedName localSheetId="24" name="R84..">#REF!</definedName>
    <definedName localSheetId="9" name="_______DIV4">#REF!</definedName>
    <definedName localSheetId="17" name="___MMM44">#REF!</definedName>
    <definedName localSheetId="10" name="URAIAN633">#REF!</definedName>
    <definedName localSheetId="32" name="reng">#REF!</definedName>
    <definedName localSheetId="3" name="R33..">#REF!</definedName>
    <definedName localSheetId="39" name="beton100kg">#REF!</definedName>
    <definedName name="Tbt">#REF!</definedName>
    <definedName localSheetId="39" name="tanahliat">#REF!</definedName>
    <definedName localSheetId="23" name="gentengdecrabond">#REF!</definedName>
    <definedName localSheetId="24" name="______MMM48">#REF!</definedName>
    <definedName localSheetId="13" name="vinylkaret3030">#REF!</definedName>
    <definedName localSheetId="6" name="jj">#REF!</definedName>
    <definedName localSheetId="39" name="kawatnyamuk">#REF!</definedName>
    <definedName localSheetId="36" name="tegelporselen">#REF!</definedName>
    <definedName localSheetId="10" name="borneo4.6">#REF!</definedName>
    <definedName localSheetId="32" name="bakkontrol">#REF!</definedName>
    <definedName localSheetId="32" name="Ker.L13">#REF!</definedName>
    <definedName localSheetId="10" name="y">#REF!</definedName>
    <definedName localSheetId="24" name="_________LLL06">#REF!</definedName>
    <definedName localSheetId="13" name="lp">#REF!</definedName>
    <definedName localSheetId="39" name="sengplatbjls25">#REF!</definedName>
    <definedName localSheetId="15" name="_HAL5">#REF!</definedName>
    <definedName localSheetId="25" name="pasirbeton">#REF!</definedName>
    <definedName localSheetId="18" name="M">#REF!</definedName>
    <definedName localSheetId="19" name="Ker.L13">#REF!</definedName>
    <definedName localSheetId="21" name="________DIV5">#REF!</definedName>
    <definedName localSheetId="0" name="kunciselot">#REF!</definedName>
    <definedName localSheetId="25" name="______MMM02">#REF!</definedName>
    <definedName localSheetId="7" name="______MMM21">#REF!</definedName>
    <definedName localSheetId="38" name="plintubinwarna1040">#REF!</definedName>
    <definedName localSheetId="27" name="FORM66PERMUKAAN">#REF!</definedName>
    <definedName localSheetId="34" name="pasirbeton">#REF!</definedName>
    <definedName localSheetId="20" name="floorhardenerferrovak">#REF!</definedName>
    <definedName localSheetId="30" name="kacacermin8">#REF!</definedName>
    <definedName localSheetId="40" name="gypsum.prf">#REF!</definedName>
    <definedName localSheetId="3" name="______MMM19">#REF!</definedName>
    <definedName localSheetId="38" name="metal">#REF!</definedName>
    <definedName localSheetId="21" name="_________LLL07">#REF!</definedName>
    <definedName localSheetId="4" name="spirtus">#REF!</definedName>
    <definedName localSheetId="3" name="_______DIV6">#REF!</definedName>
    <definedName localSheetId="28" name="_pvc105">#REF!</definedName>
    <definedName localSheetId="30" name="TANAH">#REF!</definedName>
    <definedName localSheetId="10" name="Status">#REF!</definedName>
    <definedName localSheetId="36" name="waterstop230">#REF!</definedName>
    <definedName localSheetId="17" name="_________MMM42">#REF!</definedName>
    <definedName localSheetId="5" name="FORM7612b">#REF!</definedName>
    <definedName localSheetId="36" name="flordrain">#REF!</definedName>
    <definedName localSheetId="8" name="____MMM02">#REF!</definedName>
    <definedName localSheetId="8" name="UP">#REF!</definedName>
    <definedName localSheetId="15" name="karpetwooldannilon">#REF!</definedName>
    <definedName localSheetId="40" name="Excel_BuiltIn_Print_Titles_1">#REF!</definedName>
    <definedName localSheetId="9" name="tegelpc20x20">#REF!</definedName>
    <definedName localSheetId="4" name="kayuramin">#REF!</definedName>
    <definedName localSheetId="7" name="tp80x80">#REF!</definedName>
    <definedName localSheetId="23" name="___pvc105">#REF!</definedName>
    <definedName localSheetId="33" name="R1..">#REF!</definedName>
    <definedName localSheetId="34" name="______HAL2">#REF!</definedName>
    <definedName localSheetId="3" name="plintubinkeramikartistik1020">#REF!</definedName>
    <definedName localSheetId="21" name="pddk">#REF!</definedName>
    <definedName localSheetId="0" name="Batupuru">#REF!</definedName>
    <definedName localSheetId="34" name="___HAL3">#REF!</definedName>
    <definedName localSheetId="17" name="_MMM09">#REF!</definedName>
    <definedName localSheetId="34" name="list">#REF!</definedName>
    <definedName localSheetId="7" name="___MMM09">#REF!</definedName>
    <definedName localSheetId="21" name="ppn2.30">#REF!</definedName>
    <definedName localSheetId="24" name="closedjongkok">#REF!</definedName>
    <definedName localSheetId="27" name="FORM66PERATA">#REF!</definedName>
    <definedName localSheetId="15" name="____HAL3">#REF!</definedName>
    <definedName localSheetId="40" name="Excel_BuiltIn_Print_Titles_10">#REF!</definedName>
    <definedName localSheetId="31" name="bouwplnk">#REF!</definedName>
    <definedName localSheetId="11" name="closedjongkok">#REF!</definedName>
    <definedName localSheetId="38" name="kapursirih">#REF!</definedName>
    <definedName localSheetId="38" name="sealer.mowi">#REF!</definedName>
    <definedName localSheetId="17" name="R5..">#REF!</definedName>
    <definedName localSheetId="21" name="_____MMM36">#REF!</definedName>
    <definedName localSheetId="5" name="beton175m">#REF!</definedName>
    <definedName localSheetId="24" name="FORM734">#REF!</definedName>
    <definedName localSheetId="0" name="URAIAN21">#REF!</definedName>
    <definedName name="______DIV4">#REF!</definedName>
    <definedName localSheetId="30" name="waterstop200">#REF!</definedName>
    <definedName localSheetId="31" name="FORM632">#REF!</definedName>
    <definedName localSheetId="7" name="_MMM52">#REF!</definedName>
    <definedName localSheetId="34" name="bubungangentengbeton">#REF!</definedName>
    <definedName localSheetId="21" name="____MMM28">#REF!</definedName>
    <definedName localSheetId="24" name="jendelanako">#REF!</definedName>
    <definedName localSheetId="3" name="_MMM28">#REF!</definedName>
    <definedName localSheetId="7" name="_______MMM45">#REF!</definedName>
    <definedName localSheetId="15" name="pindahan">#REF!</definedName>
    <definedName localSheetId="15" name="_tl2">#REF!</definedName>
    <definedName name="_____LLL09">#REF!</definedName>
    <definedName localSheetId="8" name="_HAL5">#REF!</definedName>
    <definedName localSheetId="27" name="kayubulian">#REF!</definedName>
    <definedName localSheetId="3" name="_______MMM22">#REF!</definedName>
    <definedName localSheetId="24" name="besi16u">#REF!</definedName>
    <definedName localSheetId="9" name="BAJA">#REF!</definedName>
    <definedName localSheetId="24" name="__MMM46">#REF!</definedName>
    <definedName localSheetId="30" name="tegelplinpc10x20">#REF!</definedName>
    <definedName localSheetId="20" name="papanbekisting">#REF!</definedName>
    <definedName localSheetId="5" name="zzz">#REF!</definedName>
    <definedName localSheetId="17" name="vinylwallcovering">#REF!</definedName>
    <definedName localSheetId="10" name="Papanbouplank">#REF!</definedName>
    <definedName localSheetId="23" name="kenek">#REF!</definedName>
    <definedName localSheetId="10" name="kawatnyamuk">#REF!</definedName>
    <definedName localSheetId="21" name="______LLL04">#REF!</definedName>
    <definedName localSheetId="21" name="________MMM43">#REF!</definedName>
    <definedName localSheetId="7" name="________DIV8">#REF!</definedName>
    <definedName localSheetId="5" name="Uraian8410">#REF!</definedName>
    <definedName localSheetId="32" name="Papanbouplank">#REF!</definedName>
    <definedName localSheetId="38" name="p.bI">#REF!</definedName>
    <definedName localSheetId="19" name="M">#REF!</definedName>
    <definedName localSheetId="20" name="teakwood9mm">#REF!</definedName>
    <definedName localSheetId="32" name="ktky">#REF!</definedName>
    <definedName localSheetId="40" name="________DIV1">#REF!</definedName>
    <definedName localSheetId="40" name="catpenutup2kali">#REF!</definedName>
    <definedName localSheetId="28" name="____MMM02">#REF!</definedName>
    <definedName name="URAIAN641L">#REF!</definedName>
    <definedName localSheetId="31" name="_Tl1">#REF!</definedName>
    <definedName localSheetId="25" name="sengplatbjls28">#REF!</definedName>
    <definedName localSheetId="19" name="R100..">#REF!</definedName>
    <definedName localSheetId="44" name="URAIAN631">#REF!</definedName>
    <definedName localSheetId="39" name="__HAL4">#REF!</definedName>
    <definedName localSheetId="6" name="pddk">#REF!</definedName>
    <definedName localSheetId="5" name="kayualbasiah">#REF!</definedName>
    <definedName localSheetId="21" name="p.bI">#REF!</definedName>
    <definedName localSheetId="23" name="plintubinteraluxmarmer1030">#REF!</definedName>
    <definedName localSheetId="3" name="____MMM411">#REF!</definedName>
    <definedName localSheetId="17" name="ubintahanasam">#REF!</definedName>
    <definedName localSheetId="4" name="KECAMATAN_KODEOHA">#REF!</definedName>
    <definedName localSheetId="42" name="siap1">#REF!</definedName>
    <definedName localSheetId="38" name="kaca3">#REF!</definedName>
    <definedName localSheetId="20" name="URAIAN7613c">#REF!</definedName>
    <definedName localSheetId="24" name="Absen">#REF!</definedName>
    <definedName localSheetId="15" name="gypsum.prf">#REF!</definedName>
    <definedName localSheetId="8" name="SUNGAI_BERTAM">#REF!</definedName>
    <definedName localSheetId="6" name="URAIAN79mekanis">#REF!</definedName>
    <definedName localSheetId="3" name="R50..">#REF!</definedName>
    <definedName localSheetId="15" name="bakkontrol">#REF!</definedName>
    <definedName localSheetId="12" name="kunciselot">#REF!</definedName>
    <definedName localSheetId="17" name="eeeeee">#REF!</definedName>
    <definedName localSheetId="38" name="_________MMM03">#REF!</definedName>
    <definedName localSheetId="21" name="______DIV4">#REF!</definedName>
    <definedName localSheetId="7" name="nokstelrata092">#REF!</definedName>
    <definedName localSheetId="9" name="medan5.10">#REF!</definedName>
    <definedName localSheetId="20" name="tbkr">#REF!</definedName>
    <definedName localSheetId="25" name="kayutembesu">#REF!</definedName>
    <definedName name="____MMM46">#REF!</definedName>
    <definedName localSheetId="3" name="_MMM19">#REF!</definedName>
    <definedName localSheetId="8" name="p.kmp.smrd.3.20">#REF!</definedName>
    <definedName localSheetId="28" name="B.Aparatur">#REF!</definedName>
    <definedName localSheetId="41" name="__pvc105">#REF!</definedName>
    <definedName localSheetId="36" name="kayujati">#REF!</definedName>
    <definedName localSheetId="13" name="URAIAN79manual">#REF!</definedName>
    <definedName localSheetId="17" name="________MMM27">#REF!</definedName>
    <definedName localSheetId="32" name="_kop5">#REF!</definedName>
    <definedName localSheetId="4" name="KunciPintu">#REF!</definedName>
    <definedName localSheetId="17" name="p.bI">#REF!</definedName>
    <definedName localSheetId="44" name="Print_Titles_MI_1">#REF!</definedName>
    <definedName localSheetId="15" name="___DIV3">#REF!</definedName>
    <definedName localSheetId="42" name="ktky">#REF!</definedName>
    <definedName localSheetId="7" name="URAIAN911">#REF!</definedName>
    <definedName localSheetId="31" name="wallpaper">#REF!</definedName>
    <definedName localSheetId="24" name="FORM844">#REF!</definedName>
    <definedName localSheetId="21" name="koralbeton">#REF!</definedName>
    <definedName localSheetId="11" name="plastikaerator">#REF!</definedName>
    <definedName localSheetId="27" name="Gypsum">#REF!</definedName>
    <definedName localSheetId="9" name="JUDUL">#REF!</definedName>
    <definedName localSheetId="10" name="plintubinteraluxkerang1040">#REF!</definedName>
    <definedName localSheetId="5" name="f">#REF!</definedName>
    <definedName localSheetId="3" name="asbesgelombang">#REF!</definedName>
    <definedName localSheetId="41" name="KunciPintu">#REF!</definedName>
    <definedName name="pa">#REF!</definedName>
    <definedName localSheetId="23" name="lemvinyl">#REF!</definedName>
    <definedName localSheetId="3" name="______DIV5">#REF!</definedName>
    <definedName localSheetId="20" name="gali">#REF!</definedName>
    <definedName localSheetId="44" name="paku5.7.10">#REF!</definedName>
    <definedName localSheetId="40" name="Overhead">#REF!</definedName>
    <definedName localSheetId="32" name="SusunanOrg">#REF!</definedName>
    <definedName localSheetId="30" name="__MMM01">#REF!</definedName>
    <definedName localSheetId="0" name="bakkontrol">#REF!</definedName>
    <definedName localSheetId="19" name="Tbs">#REF!</definedName>
    <definedName localSheetId="44" name="rosterterawang">#REF!</definedName>
    <definedName localSheetId="33" name="FORM842">#REF!</definedName>
    <definedName localSheetId="20" name="KunciPintu">#REF!</definedName>
    <definedName localSheetId="9" name="__DIV1">#REF!</definedName>
    <definedName localSheetId="17" name="rollingdoor">#REF!</definedName>
    <definedName localSheetId="25" name="kawatduri">#REF!</definedName>
    <definedName localSheetId="28" name="plintubinwarna1020">#REF!</definedName>
    <definedName localSheetId="38" name="k.beton">#REF!</definedName>
    <definedName localSheetId="41" name="rollingdoor">#REF!</definedName>
    <definedName localSheetId="27" name="ubinteraso30">#REF!</definedName>
    <definedName localSheetId="36" name="FORM771a">#REF!</definedName>
    <definedName localSheetId="44" name="badkip">#REF!</definedName>
    <definedName localSheetId="31" name="ramset">#REF!</definedName>
    <definedName localSheetId="41" name="_DIV1">#REF!</definedName>
    <definedName localSheetId="3" name="kran.bbk">#REF!</definedName>
    <definedName localSheetId="21" name="R72..">#REF!</definedName>
    <definedName name="_________MMM12">#REF!</definedName>
    <definedName localSheetId="13" name="M">#REF!</definedName>
    <definedName localSheetId="5" name="URAIANLatasirKL">#REF!</definedName>
    <definedName localSheetId="18" name="s.tukang">#REF!</definedName>
    <definedName localSheetId="12" name="plintubinteraluxmarmer1030">#REF!</definedName>
    <definedName localSheetId="44" name="_HAL5">#REF!</definedName>
    <definedName localSheetId="20" name="FORM66PERATA">#REF!</definedName>
    <definedName localSheetId="21" name="________HAL6">#REF!</definedName>
    <definedName localSheetId="24" name="waterstop250">#REF!</definedName>
    <definedName localSheetId="41" name="URAIAN745">#REF!</definedName>
    <definedName localSheetId="17" name="______DIV1">#REF!</definedName>
    <definedName localSheetId="21" name="______HAL1">#REF!</definedName>
    <definedName localSheetId="4" name="________DIV1">#REF!</definedName>
    <definedName name="bubungangentengpalentongbesar">#REF!</definedName>
    <definedName localSheetId="9" name="d">#REF!</definedName>
    <definedName localSheetId="41" name="_____DIV3">#REF!</definedName>
    <definedName localSheetId="33" name="_LLL02">#REF!</definedName>
    <definedName localSheetId="20" name="water.prof">#REF!</definedName>
    <definedName localSheetId="24" name="Pjgsloof">#REF!</definedName>
    <definedName localSheetId="15" name="____MMM02">#REF!</definedName>
    <definedName localSheetId="7" name="besi16sii">#REF!</definedName>
    <definedName localSheetId="40" name="Closet.ddk">#REF!</definedName>
    <definedName localSheetId="31" name="__pvc105">#REF!</definedName>
    <definedName localSheetId="39" name="catpenutup">#REF!</definedName>
    <definedName localSheetId="21" name="gmp">#REF!</definedName>
    <definedName localSheetId="21" name="______MMM08">#REF!</definedName>
    <definedName name="mm">#REF!</definedName>
    <definedName localSheetId="17" name="pvc.0.7.5.Mas.d">#REF!</definedName>
    <definedName localSheetId="25" name="k.ddg.rmn.20.25.pls">#REF!</definedName>
    <definedName localSheetId="36" name="plamur.matex">#REF!</definedName>
    <definedName name="mapel">#REF!</definedName>
    <definedName localSheetId="20" name="KT">#REF!</definedName>
    <definedName localSheetId="40" name="paku5.7.10">#REF!</definedName>
    <definedName localSheetId="25" name="p.kmp.smrd.3.20">#REF!</definedName>
    <definedName localSheetId="20" name="d">#REF!</definedName>
    <definedName localSheetId="44" name="______MMM41">#REF!</definedName>
    <definedName localSheetId="8" name="_____DIV1">#REF!</definedName>
    <definedName localSheetId="34" name="Jendelabesibaja">#REF!</definedName>
    <definedName localSheetId="3" name="plywood9mm">#REF!</definedName>
    <definedName localSheetId="44" name="FORM612">#REF!</definedName>
    <definedName localSheetId="15" name="plintubinwarna1040">#REF!</definedName>
    <definedName localSheetId="3" name="R58..">#REF!</definedName>
    <definedName localSheetId="11" name="________DIV1">#REF!</definedName>
    <definedName localSheetId="34" name="Pengadaan">#REF!</definedName>
    <definedName localSheetId="34" name="gggg">#REF!</definedName>
    <definedName localSheetId="17" name="bubungangentengmonier">#REF!</definedName>
    <definedName localSheetId="33" name="ASPAL">#REF!</definedName>
    <definedName localSheetId="15" name="Closet.ddk">#REF!</definedName>
    <definedName localSheetId="19" name="besipresstressedpolos">#REF!</definedName>
    <definedName localSheetId="36" name="______MMM03">#REF!</definedName>
    <definedName localSheetId="15" name="springknip">#REF!</definedName>
    <definedName localSheetId="34" name="beton100kg">#REF!</definedName>
    <definedName localSheetId="23" name="ss">#REF!</definedName>
    <definedName localSheetId="17" name="_____MMM54">#REF!</definedName>
    <definedName localSheetId="24" name="kayubulian">#REF!</definedName>
    <definedName localSheetId="3" name="__MMM32">#REF!</definedName>
    <definedName localSheetId="24" name="rosterterawang">#REF!</definedName>
    <definedName localSheetId="42" name="aaaa">#REF!</definedName>
    <definedName localSheetId="20" name="kacawireglass5">#REF!</definedName>
    <definedName localSheetId="41" name="______DIV1">#REF!</definedName>
    <definedName localSheetId="23" name="Kunci1">#REF!</definedName>
    <definedName localSheetId="3" name="__MMM15">#REF!</definedName>
    <definedName localSheetId="23" name="e">#REF!</definedName>
    <definedName localSheetId="6" name="plintubingranito1030">#REF!</definedName>
    <definedName localSheetId="5" name="_MMM01">#REF!</definedName>
    <definedName localSheetId="7" name="____DIV8">#REF!</definedName>
    <definedName localSheetId="11" name="vertikalsblinds">#REF!</definedName>
    <definedName localSheetId="7" name="pvc.2.mas.d">#REF!</definedName>
    <definedName localSheetId="0" name="kkkk">#REF!</definedName>
    <definedName name="tp80x80">#REF!</definedName>
    <definedName localSheetId="42" name="______MMM01">#REF!</definedName>
    <definedName localSheetId="42" name="_____DIV3">#REF!</definedName>
    <definedName localSheetId="23" name="FORM771b">#REF!</definedName>
    <definedName localSheetId="44" name="___DIV3">#REF!</definedName>
    <definedName localSheetId="10" name="seng25">#REF!</definedName>
    <definedName localSheetId="13" name="URAIAN731">#REF!</definedName>
    <definedName localSheetId="20" name="Faktorial">#REF!</definedName>
    <definedName localSheetId="8" name="tempatcucipiring">#REF!</definedName>
    <definedName localSheetId="11" name="bondbeam">#REF!</definedName>
    <definedName localSheetId="44" name="pagar2m">#REF!</definedName>
    <definedName localSheetId="32" name="akustikarmstrong">#REF!</definedName>
    <definedName localSheetId="28" name="Ktbt">#REF!</definedName>
    <definedName localSheetId="3" name="na">#REF!</definedName>
    <definedName localSheetId="44" name="ubinkeramik1520">#REF!</definedName>
    <definedName localSheetId="31" name="d">#REF!</definedName>
    <definedName localSheetId="24" name="na">#REF!</definedName>
    <definedName localSheetId="39" name="__Tl1">#REF!</definedName>
    <definedName localSheetId="23" name="URAIANLatasirKL">#REF!</definedName>
    <definedName localSheetId="17" name="________MMM29">#REF!</definedName>
    <definedName localSheetId="12" name="URAIAN22E">#REF!</definedName>
    <definedName localSheetId="24" name="Aluminium">#REF!</definedName>
    <definedName localSheetId="4" name="MATERIAL">#REF!</definedName>
    <definedName localSheetId="17" name="_______DIV4">#REF!</definedName>
    <definedName localSheetId="7" name="____LLL11">#REF!</definedName>
    <definedName localSheetId="6" name="sofboard">#REF!</definedName>
    <definedName localSheetId="36" name="kategori">#REF!</definedName>
    <definedName localSheetId="41" name="gentengdecrabond">#REF!</definedName>
    <definedName localSheetId="0" name="grendeltanam">#REF!</definedName>
    <definedName localSheetId="7" name="FORM844">#REF!</definedName>
    <definedName localSheetId="17" name="R102..">#REF!</definedName>
    <definedName localSheetId="13" name="__MMM03">#REF!</definedName>
    <definedName name="____MMM52">#REF!</definedName>
    <definedName localSheetId="21" name="________MMM49">#REF!</definedName>
    <definedName localSheetId="7" name="URAIAN635">#REF!</definedName>
    <definedName localSheetId="0" name="___pvc2">#REF!</definedName>
    <definedName localSheetId="24" name="________MMM31">#REF!</definedName>
    <definedName name="____MMM411">#REF!</definedName>
    <definedName localSheetId="30" name="pakubulian">#REF!</definedName>
    <definedName localSheetId="27" name="plintubinteraso1030">#REF!</definedName>
    <definedName localSheetId="19" name="gali">#REF!</definedName>
    <definedName localSheetId="31" name="bilikbambu">#REF!</definedName>
    <definedName localSheetId="21" name="mowi.w.shield">#REF!</definedName>
    <definedName name="_MMM34">#REF!</definedName>
    <definedName localSheetId="25" name="URAIAN7614a">#REF!</definedName>
    <definedName localSheetId="24" name="bubunganstelgelombang">#REF!</definedName>
    <definedName localSheetId="44" name="Excel_BuiltIn_Print_Titles_5">#REF!</definedName>
    <definedName localSheetId="32" name="vinylasbes">#REF!</definedName>
    <definedName localSheetId="31" name="k.beton">#REF!</definedName>
    <definedName localSheetId="8" name="kompresor">#REF!</definedName>
    <definedName localSheetId="6" name="Akustik">#REF!</definedName>
    <definedName localSheetId="12" name="FORMLatasirKL">#REF!</definedName>
    <definedName localSheetId="17" name="________MMM34">#REF!</definedName>
    <definedName localSheetId="21" name="__MMM43">#REF!</definedName>
    <definedName localSheetId="41" name="Analisa511">#REF!</definedName>
    <definedName localSheetId="24" name="____DIV1">#REF!</definedName>
    <definedName localSheetId="17" name="_________MMM24">#REF!</definedName>
    <definedName localSheetId="39" name="Nok">#REF!</definedName>
    <definedName localSheetId="32" name="Nokmetal3mm">#REF!</definedName>
    <definedName localSheetId="10" name="FORM7612b">#REF!</definedName>
    <definedName localSheetId="33" name="waterstop200">#REF!</definedName>
    <definedName localSheetId="8" name="_KOP7">#REF!</definedName>
    <definedName localSheetId="21" name="_818FA">#REF!</definedName>
    <definedName localSheetId="20" name="_HAL1">#REF!</definedName>
    <definedName localSheetId="44" name="jurnal1">#REF!</definedName>
    <definedName localSheetId="28" name="plintubinteraluxmarmer1040">#REF!</definedName>
    <definedName localSheetId="24" name="________MMM28">#REF!</definedName>
    <definedName localSheetId="20" name="kacapolos5mm">#REF!</definedName>
    <definedName localSheetId="6" name="lb">#REF!</definedName>
    <definedName localSheetId="18" name="___DIV2">#REF!</definedName>
    <definedName localSheetId="17" name="_______LLL08">#REF!</definedName>
    <definedName localSheetId="9" name="mm">#REF!</definedName>
    <definedName localSheetId="5" name="FORM8410">#REF!</definedName>
    <definedName localSheetId="23" name="w.stain">#REF!</definedName>
    <definedName localSheetId="24" name="ubinteraluxkerang60">#REF!</definedName>
    <definedName localSheetId="34" name="roster">#REF!</definedName>
    <definedName localSheetId="15" name="FORM7612c">#REF!</definedName>
    <definedName localSheetId="21" name="R54..">#REF!</definedName>
    <definedName localSheetId="20" name="pakugypsum">#REF!</definedName>
    <definedName localSheetId="21" name="_____DIV10">#REF!</definedName>
    <definedName name="_LLL06">#REF!</definedName>
    <definedName localSheetId="21" name="_____MMM34">#REF!</definedName>
    <definedName localSheetId="44" name="Jendelabesibaja">#REF!</definedName>
    <definedName localSheetId="21" name="________MMM01">#REF!</definedName>
    <definedName localSheetId="17" name="__MMM49">#REF!</definedName>
    <definedName localSheetId="23" name="kayubulian">#REF!</definedName>
    <definedName localSheetId="28" name="e">#REF!</definedName>
    <definedName localSheetId="4" name="yyyyyyy">#REF!</definedName>
    <definedName localSheetId="24" name="__MMM33">#REF!</definedName>
    <definedName localSheetId="44" name="pagarseng2m">#REF!</definedName>
    <definedName localSheetId="17" name="R83..">#REF!</definedName>
    <definedName localSheetId="17" name="perancahkayu">#REF!</definedName>
    <definedName localSheetId="42" name="URAIAN7612c">#REF!</definedName>
    <definedName localSheetId="21" name="____MMM54">#REF!</definedName>
    <definedName localSheetId="20" name="__pvc05">#REF!</definedName>
    <definedName localSheetId="12" name="ASPAL">#REF!</definedName>
    <definedName name="bubunganstelgelombang105">#REF!</definedName>
    <definedName localSheetId="25" name="______DIV2">#REF!</definedName>
    <definedName localSheetId="39" name="keramik40">#REF!</definedName>
    <definedName localSheetId="44" name="KT">#REF!</definedName>
    <definedName localSheetId="17" name="_______HAL4">#REF!</definedName>
    <definedName localSheetId="33" name="_____DIV4">#REF!</definedName>
    <definedName localSheetId="7" name="plintubinteraso1040">#REF!</definedName>
    <definedName localSheetId="34" name="_______DIV1">#REF!</definedName>
    <definedName localSheetId="42" name="plastikaerator">#REF!</definedName>
    <definedName localSheetId="39" name="DUDI">#REF!</definedName>
    <definedName localSheetId="17" name="_____LLL04">#REF!</definedName>
    <definedName localSheetId="17" name="nokstandar">#REF!</definedName>
    <definedName localSheetId="3" name="kuncitanamantik">#REF!</definedName>
    <definedName localSheetId="11" name="water.prof">#REF!</definedName>
    <definedName localSheetId="32" name="DSSDD">#REF!</definedName>
    <definedName localSheetId="36" name="_______HAL3">#REF!</definedName>
    <definedName localSheetId="24" name="kacacermin5">#REF!</definedName>
    <definedName localSheetId="28" name="nokpaten092">#REF!</definedName>
    <definedName localSheetId="34" name="perancahkayu">#REF!</definedName>
    <definedName name="besi12sii">#REF!</definedName>
    <definedName localSheetId="44" name="Closet.c420">#REF!</definedName>
    <definedName localSheetId="21" name="vinylmotifkembang">#REF!</definedName>
    <definedName localSheetId="39" name="Z">#REF!</definedName>
    <definedName localSheetId="10" name="batukali14">#REF!</definedName>
    <definedName localSheetId="9" name="KECAMATAN_KODEOHA">#REF!</definedName>
    <definedName localSheetId="11" name="oke">#REF!</definedName>
    <definedName localSheetId="44" name="R60..">#REF!</definedName>
    <definedName localSheetId="13" name="tl2x40">#REF!</definedName>
    <definedName localSheetId="42" name="c.mowi.luar">#REF!</definedName>
    <definedName localSheetId="15" name="teakwood4mm">#REF!</definedName>
    <definedName localSheetId="5" name="a">#REF!</definedName>
    <definedName localSheetId="5" name="_______DIV3">#REF!</definedName>
    <definedName localSheetId="4" name="Kunci1">#REF!</definedName>
    <definedName localSheetId="25" name="waterstop200">#REF!</definedName>
    <definedName localSheetId="34" name="__LLL03">#REF!</definedName>
    <definedName localSheetId="21" name="URAIAN919">#REF!</definedName>
    <definedName localSheetId="30" name="BAHU">#REF!</definedName>
    <definedName localSheetId="27" name="oke">#REF!</definedName>
    <definedName localSheetId="15" name="_pc40">#REF!</definedName>
    <definedName name="__pvc05">#REF!</definedName>
    <definedName localSheetId="25" name="batuapung">#REF!</definedName>
    <definedName localSheetId="40" name="plamur.matex">#REF!</definedName>
    <definedName localSheetId="13" name="____HAL1">#REF!</definedName>
    <definedName localSheetId="33" name="Status">#REF!</definedName>
    <definedName localSheetId="17" name="floorhardenermastercron">#REF!</definedName>
    <definedName localSheetId="19" name="____DIV4">#REF!</definedName>
    <definedName localSheetId="42" name="batapelapisklinker">#REF!</definedName>
    <definedName localSheetId="7" name="R57..">#REF!</definedName>
    <definedName localSheetId="7" name="____MMM41">#REF!</definedName>
    <definedName localSheetId="17" name="_____LLL01">#REF!</definedName>
    <definedName localSheetId="21" name="_____MMM51">#REF!</definedName>
    <definedName name="____LLL11">#REF!</definedName>
    <definedName localSheetId="38" name="ktky">#REF!</definedName>
    <definedName localSheetId="33" name="URAIAN612">#REF!</definedName>
    <definedName localSheetId="21" name="___LLL05">#REF!</definedName>
    <definedName localSheetId="4" name="Analisa512">#REF!</definedName>
    <definedName localSheetId="38" name="mapel">#REF!</definedName>
    <definedName localSheetId="6" name="ngsel4">#REF!</definedName>
    <definedName localSheetId="13" name="FORM79manual">#REF!</definedName>
    <definedName localSheetId="32" name="b.belah">#REF!</definedName>
    <definedName localSheetId="21" name="_____MMM54">#REF!</definedName>
    <definedName localSheetId="27" name="___HAL3">#REF!</definedName>
    <definedName localSheetId="42" name="_______MMM03">#REF!</definedName>
    <definedName localSheetId="21" name="ubinkeramik1515">#REF!</definedName>
    <definedName localSheetId="27" name="Meni">#REF!</definedName>
    <definedName localSheetId="6" name="engsel4">#REF!</definedName>
    <definedName localSheetId="24" name="__DIV8">#REF!</definedName>
    <definedName localSheetId="3" name="_MMM45">#REF!</definedName>
    <definedName localSheetId="6" name="bbm">#REF!</definedName>
    <definedName name="___MMM24">#REF!</definedName>
    <definedName localSheetId="10" name="sengplatbjls24">#REF!</definedName>
    <definedName localSheetId="3" name="_______LLL04">#REF!</definedName>
    <definedName localSheetId="12" name="URAIAN7612a">#REF!</definedName>
    <definedName localSheetId="44" name="URAIAN234L">#REF!</definedName>
    <definedName localSheetId="38" name="kacacermin5">#REF!</definedName>
    <definedName localSheetId="12" name="FORM732">#REF!</definedName>
    <definedName localSheetId="33" name="papanbulian">#REF!</definedName>
    <definedName localSheetId="21" name="_________DIV7">#REF!</definedName>
    <definedName localSheetId="4" name="kawatsengpolos">#REF!</definedName>
    <definedName localSheetId="17" name="____HAL1">#REF!</definedName>
    <definedName localSheetId="25" name="pajak">#REF!</definedName>
    <definedName localSheetId="36" name="____DIV4">#REF!</definedName>
    <definedName localSheetId="7" name="R11..">#REF!</definedName>
    <definedName localSheetId="7" name="ubingranito30">#REF!</definedName>
    <definedName localSheetId="17" name="__LLL02">#REF!</definedName>
    <definedName localSheetId="17" name="_______LLL02">#REF!</definedName>
    <definedName localSheetId="17" name="R64..">#REF!</definedName>
    <definedName localSheetId="33" name="oke">#REF!</definedName>
    <definedName localSheetId="38" name="doorcloser">#REF!</definedName>
    <definedName localSheetId="13" name="__HAL1">#REF!</definedName>
    <definedName localSheetId="24" name="____MMM09">#REF!</definedName>
    <definedName localSheetId="34" name="catpenutup">#REF!</definedName>
    <definedName localSheetId="27" name="DAYWORKS">#REF!</definedName>
    <definedName localSheetId="27" name="jurnal1">#REF!</definedName>
    <definedName localSheetId="21" name="____LLL01">#REF!</definedName>
    <definedName localSheetId="34" name="R41..">#REF!</definedName>
    <definedName localSheetId="4" name="plintubinteraluxkerang1040">#REF!</definedName>
    <definedName localSheetId="4" name="pasirsilika">#REF!</definedName>
    <definedName localSheetId="32" name="grendeltanam">#REF!</definedName>
    <definedName localSheetId="5" name="meni.kayu">#REF!</definedName>
    <definedName localSheetId="17" name="batupecah">#REF!</definedName>
    <definedName localSheetId="36" name="_DIV2">#REF!</definedName>
    <definedName localSheetId="44" name="____LLL04">#REF!</definedName>
    <definedName localSheetId="12" name="batu.jogja">#REF!</definedName>
    <definedName localSheetId="36" name="___MMM01">#REF!</definedName>
    <definedName localSheetId="20" name="gabin_al">#REF!</definedName>
    <definedName localSheetId="9" name="FORM731">#REF!</definedName>
    <definedName localSheetId="27" name="_____HAL1">#REF!</definedName>
    <definedName localSheetId="0" name="parquetjati">#REF!</definedName>
    <definedName localSheetId="25" name="hollowblok">#REF!</definedName>
    <definedName localSheetId="5" name="kacacermin8">#REF!</definedName>
    <definedName localSheetId="19" name="waterstop150">#REF!</definedName>
    <definedName localSheetId="39" name="URAIAN721">#REF!</definedName>
    <definedName localSheetId="34" name="engsel3">#REF!</definedName>
    <definedName localSheetId="27" name="R2..">#REF!</definedName>
    <definedName localSheetId="12" name="_________MMM01">#REF!</definedName>
    <definedName localSheetId="10" name="BAHU">#REF!</definedName>
    <definedName localSheetId="41" name="amplas">#REF!</definedName>
    <definedName localSheetId="18" name="_DIV1">#REF!</definedName>
    <definedName localSheetId="12" name="URAIAN79manual">#REF!</definedName>
    <definedName localSheetId="28" name="koralbeton">#REF!</definedName>
    <definedName localSheetId="38" name="FORM7613b">#REF!</definedName>
    <definedName localSheetId="23" name="cycllop">#REF!</definedName>
    <definedName localSheetId="38" name="G">#REF!</definedName>
    <definedName localSheetId="36" name="bondbeam">#REF!</definedName>
    <definedName localSheetId="11" name="pakubulian">#REF!</definedName>
    <definedName localSheetId="5" name="k.ddg.20.25.rmn.crk">#REF!</definedName>
    <definedName localSheetId="17" name="_________MMM13">#REF!</definedName>
    <definedName localSheetId="17" name="___DIV1">#REF!</definedName>
    <definedName localSheetId="30" name="KECAMATAN_KODEOHA">#REF!</definedName>
    <definedName localSheetId="21" name="URAIAN233">#REF!</definedName>
    <definedName localSheetId="0" name="LAINLAIN">#REF!</definedName>
    <definedName localSheetId="24" name="_________MMM50">#REF!</definedName>
    <definedName localSheetId="18" name="sirlak">#REF!</definedName>
    <definedName localSheetId="12" name="___pvc3">#REF!</definedName>
    <definedName localSheetId="38" name="FORM611">#REF!</definedName>
    <definedName localSheetId="17" name="_HAL5">#REF!</definedName>
    <definedName localSheetId="9" name="yyyyyyy">#REF!</definedName>
    <definedName localSheetId="21" name="ubinkeramik1520">#REF!</definedName>
    <definedName localSheetId="36" name="R4..">#REF!</definedName>
    <definedName localSheetId="10" name="URAIAN7612c">#REF!</definedName>
    <definedName localSheetId="34" name="zzz">#REF!</definedName>
    <definedName localSheetId="32" name="plintubinkeramikartistik1020">#REF!</definedName>
    <definedName localSheetId="18" name="sengplatbjls28">#REF!</definedName>
    <definedName localSheetId="4" name="batuapung">#REF!</definedName>
    <definedName localSheetId="17" name="________MMM16">#REF!</definedName>
    <definedName localSheetId="40" name="SEKRETARIAT_DPRD">#REF!</definedName>
    <definedName localSheetId="25" name="kompresor">#REF!</definedName>
    <definedName localSheetId="40" name="alangalang">#REF!</definedName>
    <definedName localSheetId="10" name="Psr.psg">#REF!</definedName>
    <definedName name="__MMM45">#REF!</definedName>
    <definedName localSheetId="21" name="plastik">#REF!</definedName>
    <definedName localSheetId="39" name="kmp.banjar">#REF!</definedName>
    <definedName name="engselpintu">#REF!</definedName>
    <definedName localSheetId="33" name="roll">#REF!</definedName>
    <definedName localSheetId="9" name="Jendelabesibaja">#REF!</definedName>
    <definedName localSheetId="10" name="URAIAN7614d">#REF!</definedName>
    <definedName localSheetId="42" name="______HAL1">#REF!</definedName>
    <definedName localSheetId="17" name="Faktorial">#REF!</definedName>
    <definedName localSheetId="24" name="_MMM29">#REF!</definedName>
    <definedName localSheetId="17" name="_________MMM10">#REF!</definedName>
    <definedName localSheetId="32" name="pintugulungbesi">#REF!</definedName>
    <definedName localSheetId="20" name="kran.ddg">#REF!</definedName>
    <definedName localSheetId="3" name="plamour">#REF!</definedName>
    <definedName localSheetId="31" name="FORM621">#REF!</definedName>
    <definedName localSheetId="21" name="pvc.2.mas.d">#REF!</definedName>
    <definedName localSheetId="5" name="sirap">#REF!</definedName>
    <definedName localSheetId="30" name="FORM732">#REF!</definedName>
    <definedName localSheetId="13" name="_DIV3">#REF!</definedName>
    <definedName localSheetId="21" name="FORM913">#REF!</definedName>
    <definedName localSheetId="8" name="batu.jogja">#REF!</definedName>
    <definedName localSheetId="8" name="R40..">#REF!</definedName>
    <definedName localSheetId="7" name="grendeltanam">#REF!</definedName>
    <definedName localSheetId="33" name="k.beton">#REF!</definedName>
    <definedName localSheetId="4" name="Ktbt">#REF!</definedName>
    <definedName localSheetId="4" name="besi13u">#REF!</definedName>
    <definedName localSheetId="40" name="R30..">#REF!</definedName>
    <definedName localSheetId="5" name="sengbjls25">#REF!</definedName>
    <definedName localSheetId="34" name="plintubinteraluxkerang1060">#REF!</definedName>
    <definedName localSheetId="0" name="________MMM02">#REF!</definedName>
    <definedName localSheetId="33" name="Excel_BuiltIn_Print_Area_10">#REF!</definedName>
    <definedName localSheetId="8" name="FORM731">#REF!</definedName>
    <definedName name="URAIAN622">#REF!</definedName>
    <definedName localSheetId="42" name="__DIV2">#REF!</definedName>
    <definedName name="R38..">#REF!</definedName>
    <definedName localSheetId="19" name="__HAL3">#REF!</definedName>
    <definedName localSheetId="0" name="_______HAL1">#REF!</definedName>
    <definedName localSheetId="24" name="____LLL11">#REF!</definedName>
    <definedName localSheetId="8" name="tp80x80">#REF!</definedName>
    <definedName localSheetId="0" name="sengplatbjls28">#REF!</definedName>
    <definedName localSheetId="7" name="kayuramin">#REF!</definedName>
    <definedName localSheetId="44" name="_______MMM50">#REF!</definedName>
    <definedName localSheetId="21" name="______DIV1">#REF!</definedName>
    <definedName localSheetId="25" name="FORM7614a">#REF!</definedName>
    <definedName localSheetId="24" name="R11..">#REF!</definedName>
    <definedName localSheetId="24" name="pagarseng2m">#REF!</definedName>
    <definedName localSheetId="36" name="_Tl1">#REF!</definedName>
    <definedName localSheetId="0" name="RoolingdoorAlumunium">#REF!</definedName>
    <definedName localSheetId="11" name="plintubingranito1040">#REF!</definedName>
    <definedName localSheetId="5" name="badkip">#REF!</definedName>
    <definedName localSheetId="21" name="Kunci2">#REF!</definedName>
    <definedName localSheetId="9" name="__LLL02">#REF!</definedName>
    <definedName localSheetId="3" name="__MMM40">#REF!</definedName>
    <definedName localSheetId="27" name="aa">#REF!</definedName>
    <definedName localSheetId="8" name="kacapolos5mm">#REF!</definedName>
    <definedName localSheetId="15" name="___pvc105">#REF!</definedName>
    <definedName localSheetId="38" name="RPHL">#REF!</definedName>
    <definedName name="__MMM04">#REF!</definedName>
    <definedName localSheetId="44" name="beton175R">#REF!</definedName>
    <definedName localSheetId="34" name="R61..">#REF!</definedName>
    <definedName localSheetId="7" name="____HAL7">#REF!</definedName>
    <definedName localSheetId="19" name="Per">#REF!</definedName>
    <definedName localSheetId="13" name="bubungangentengkodok">#REF!</definedName>
    <definedName localSheetId="24" name="_818PK">#REF!</definedName>
    <definedName localSheetId="17" name="URAIAN636">#REF!</definedName>
    <definedName localSheetId="24" name="Meni">#REF!</definedName>
    <definedName localSheetId="36" name="_____DIV2">#REF!</definedName>
    <definedName localSheetId="44" name="Grendel">#REF!</definedName>
    <definedName localSheetId="10" name="gentengdecrabond">#REF!</definedName>
    <definedName localSheetId="13" name="seng30">#REF!</definedName>
    <definedName localSheetId="5" name="leni">#REF!</definedName>
    <definedName localSheetId="3" name="R98..">#REF!</definedName>
    <definedName localSheetId="7" name="gabin_al">#REF!</definedName>
    <definedName localSheetId="21" name="R12..">#REF!</definedName>
    <definedName localSheetId="34" name="FORM771b">#REF!</definedName>
    <definedName localSheetId="7" name="____MMM12">#REF!</definedName>
    <definedName localSheetId="10" name="batuteraso">#REF!</definedName>
    <definedName localSheetId="39" name="URAIAN731">#REF!</definedName>
    <definedName localSheetId="0" name="drkeet">#REF!</definedName>
    <definedName localSheetId="34" name="pa">#REF!</definedName>
    <definedName localSheetId="36" name="_kop5">#REF!</definedName>
    <definedName localSheetId="7" name="_____LLL03">#REF!</definedName>
    <definedName localSheetId="25" name="menibesi">#REF!</definedName>
    <definedName localSheetId="13" name="____MMM01">#REF!</definedName>
    <definedName localSheetId="18" name="FRRDS">#REF!</definedName>
    <definedName localSheetId="36" name="d">#REF!</definedName>
    <definedName localSheetId="25" name="___pvc05">#REF!</definedName>
    <definedName localSheetId="41" name="____MMM03">#REF!</definedName>
    <definedName localSheetId="0" name="minyaksolar">#REF!</definedName>
    <definedName localSheetId="30" name="beton175m">#REF!</definedName>
    <definedName localSheetId="18" name="ktbs">#REF!</definedName>
    <definedName localSheetId="44" name="kawatharmonika">#REF!</definedName>
    <definedName name="______MMM36">#REF!</definedName>
    <definedName localSheetId="17" name="aaaaa">#REF!</definedName>
    <definedName localSheetId="6" name="______DIV1">#REF!</definedName>
    <definedName localSheetId="9" name="doorstop">#REF!</definedName>
    <definedName localSheetId="42" name="URAIAN21">#REF!</definedName>
    <definedName localSheetId="8" name="amplas">#REF!</definedName>
    <definedName localSheetId="25" name="____MMM01">#REF!</definedName>
    <definedName localSheetId="3" name="________HAL8">#REF!</definedName>
    <definedName localSheetId="42" name="s.warna">#REF!</definedName>
    <definedName localSheetId="17" name="a">#REF!</definedName>
    <definedName name="R53..">#REF!</definedName>
    <definedName localSheetId="34" name="k.beton">#REF!</definedName>
    <definedName localSheetId="10" name="SUNGAI_BERTAM">#REF!</definedName>
    <definedName localSheetId="4" name="__pvc105">#REF!</definedName>
    <definedName localSheetId="8" name="besijaringkawatbaja">#REF!</definedName>
    <definedName localSheetId="24" name="___pvc205">#REF!</definedName>
    <definedName localSheetId="4" name="alangalang">#REF!</definedName>
    <definedName localSheetId="8" name="papanbulian">#REF!</definedName>
    <definedName localSheetId="39" name="paku5.7.10">#REF!</definedName>
    <definedName localSheetId="24" name="sengplatbjls25">#REF!</definedName>
    <definedName localSheetId="9" name="FORM7612b">#REF!</definedName>
    <definedName localSheetId="0" name="jurnal1">#REF!</definedName>
    <definedName localSheetId="18" name="kompresor">#REF!</definedName>
    <definedName localSheetId="23" name="R61..">#REF!</definedName>
    <definedName localSheetId="28" name="papanII">#REF!</definedName>
    <definedName localSheetId="10" name="___DIV3">#REF!</definedName>
    <definedName localSheetId="32" name="_pc40">#REF!</definedName>
    <definedName localSheetId="40" name="kayukamper">#REF!</definedName>
    <definedName localSheetId="33" name="sis">#REF!</definedName>
    <definedName localSheetId="11" name="plintubingranito1030">#REF!</definedName>
    <definedName localSheetId="23" name="dempul">#REF!</definedName>
    <definedName localSheetId="20" name="ASET">#REF!</definedName>
    <definedName localSheetId="3" name="Overhead">#REF!</definedName>
    <definedName localSheetId="24" name="________MMM39">#REF!</definedName>
    <definedName name="_________MMM43">#REF!</definedName>
    <definedName localSheetId="24" name="pvc.1.M.abu">#REF!</definedName>
    <definedName localSheetId="21" name="bubunganstelgelombang105">#REF!</definedName>
    <definedName localSheetId="4" name="___DIV1">#REF!</definedName>
    <definedName localSheetId="12" name="________MMM03">#REF!</definedName>
    <definedName localSheetId="0" name="FORM7614b">#REF!</definedName>
    <definedName localSheetId="40" name="pintubesibaja">#REF!</definedName>
    <definedName localSheetId="34" name="URAIAN7614a">#REF!</definedName>
    <definedName localSheetId="42" name="teakwood4mm">#REF!</definedName>
    <definedName localSheetId="7" name="______MMM46">#REF!</definedName>
    <definedName localSheetId="25" name="________DIV2">#REF!</definedName>
    <definedName localSheetId="10" name="beton175m">#REF!</definedName>
    <definedName localSheetId="27" name="plintubinteraluxmarmer1060">#REF!</definedName>
    <definedName localSheetId="28" name="seng25">#REF!</definedName>
    <definedName localSheetId="6" name="__tl2">#REF!</definedName>
    <definedName localSheetId="25" name="Ker.L13">#REF!</definedName>
    <definedName localSheetId="9" name="ubinteraso40">#REF!</definedName>
    <definedName name="got">#REF!</definedName>
    <definedName name="DPRD_KOLAKA_UTARA">#REF!</definedName>
    <definedName localSheetId="19" name="FORM632">#REF!</definedName>
    <definedName localSheetId="36" name="engsel4">#REF!</definedName>
    <definedName localSheetId="7" name="_MMM08">#REF!</definedName>
    <definedName localSheetId="3" name="_______HAL7">#REF!</definedName>
    <definedName name="_____MMM27">#REF!</definedName>
    <definedName localSheetId="10" name="beton.tumbuk">#REF!</definedName>
    <definedName localSheetId="21" name="____MMM20">#REF!</definedName>
    <definedName localSheetId="25" name="ts">#REF!</definedName>
    <definedName localSheetId="17" name="URAIAN7612b">#REF!</definedName>
    <definedName localSheetId="5" name="Kunci2">#REF!</definedName>
    <definedName localSheetId="25" name="besi13u">#REF!</definedName>
    <definedName localSheetId="38" name="Ktbt">#REF!</definedName>
    <definedName localSheetId="28" name="________MMM03">#REF!</definedName>
    <definedName name="___HAL4">#REF!</definedName>
    <definedName localSheetId="36" name="___pvc105">#REF!</definedName>
    <definedName localSheetId="21" name="pvc4d">#REF!</definedName>
    <definedName localSheetId="44" name="_____MMM12">#REF!</definedName>
    <definedName localSheetId="24" name="_________LLL03">#REF!</definedName>
    <definedName localSheetId="17" name="______MMM26">#REF!</definedName>
    <definedName localSheetId="23" name="______DIV10">#REF!</definedName>
    <definedName localSheetId="0" name="FORM841">#REF!</definedName>
    <definedName localSheetId="18" name="lb">#REF!</definedName>
    <definedName localSheetId="44" name="kuncitanambiasa">#REF!</definedName>
    <definedName localSheetId="25" name="kalkarium">#REF!</definedName>
    <definedName localSheetId="5" name="aaaa">#REF!</definedName>
    <definedName localSheetId="3" name="paving">#REF!</definedName>
    <definedName localSheetId="17" name="R18..">#REF!</definedName>
    <definedName localSheetId="24" name="gali">#REF!</definedName>
    <definedName localSheetId="44" name="________MMM13">#REF!</definedName>
    <definedName localSheetId="20" name="kuncialfa">#REF!</definedName>
    <definedName localSheetId="10" name="Kunci2">#REF!</definedName>
    <definedName localSheetId="23" name="R4..">#REF!</definedName>
    <definedName localSheetId="12" name="_DIV10">#REF!</definedName>
    <definedName localSheetId="13" name="Excel_BuiltIn_Print_Titles_1">#REF!</definedName>
    <definedName name="w.stain">#REF!</definedName>
    <definedName localSheetId="7" name="vinylkaretklII">#REF!</definedName>
    <definedName localSheetId="20" name="w.stain">#REF!</definedName>
    <definedName localSheetId="21" name="GUIIII">#REF!</definedName>
    <definedName localSheetId="3" name="___pc50">#REF!</definedName>
    <definedName localSheetId="18" name="sealer">#REF!</definedName>
    <definedName localSheetId="3" name="_________MMM06">#REF!</definedName>
    <definedName localSheetId="24" name="____MMM36">#REF!</definedName>
    <definedName localSheetId="6" name="semen50">#REF!</definedName>
    <definedName localSheetId="7" name="pintualuminium">#REF!</definedName>
    <definedName localSheetId="27" name="kacapolos5mm">#REF!</definedName>
    <definedName name="________MMM05">#REF!</definedName>
    <definedName localSheetId="24" name="FORM7614c">#REF!</definedName>
    <definedName localSheetId="0" name="SPJ">#REF!</definedName>
    <definedName localSheetId="12" name="_______MMM03">#REF!</definedName>
    <definedName localSheetId="33" name="Jasa">#REF!</definedName>
    <definedName localSheetId="44" name="URAIAN21">#REF!</definedName>
    <definedName localSheetId="11" name="begisting">#REF!</definedName>
    <definedName localSheetId="21" name="_____MMM24">#REF!</definedName>
    <definedName localSheetId="0" name="BAJA">#REF!</definedName>
    <definedName localSheetId="15" name="STRUKTUR">#REF!</definedName>
    <definedName localSheetId="23" name="mowi.ws">#REF!</definedName>
    <definedName localSheetId="19" name="SSSSSSSSSSSSSSSSSSSSSSSSSSSSS">#REF!</definedName>
    <definedName localSheetId="24" name="sengplatbjls28">#REF!</definedName>
    <definedName name="yyyyyyy">#REF!</definedName>
    <definedName localSheetId="21" name="kalkarium">#REF!</definedName>
    <definedName localSheetId="34" name="plastik">#REF!</definedName>
    <definedName localSheetId="13" name="kacacermin8">#REF!</definedName>
    <definedName localSheetId="44" name="ubinteraso30">#REF!</definedName>
    <definedName localSheetId="24" name="Gypsum">#REF!</definedName>
    <definedName localSheetId="21" name="doorstop">#REF!</definedName>
    <definedName localSheetId="9" name="mlex.w">#REF!</definedName>
    <definedName localSheetId="3" name="___MMM46">#REF!</definedName>
    <definedName localSheetId="7" name="____MMM29">#REF!</definedName>
    <definedName localSheetId="17" name="tp80x80">#REF!</definedName>
    <definedName localSheetId="5" name="pengencer">#REF!</definedName>
    <definedName localSheetId="11" name="rooflightfiibreglass">#REF!</definedName>
    <definedName localSheetId="42" name="___DIV3">#REF!</definedName>
    <definedName localSheetId="5" name="___HAL1">#REF!</definedName>
    <definedName localSheetId="39" name="TANAH">#REF!</definedName>
    <definedName localSheetId="27" name="M">#REF!</definedName>
    <definedName localSheetId="32" name="__pvc105">#REF!</definedName>
    <definedName localSheetId="17" name="________MMM18">#REF!</definedName>
    <definedName localSheetId="21" name="karpet">#REF!</definedName>
    <definedName localSheetId="4" name="_________MMM03">#REF!</definedName>
    <definedName localSheetId="18" name="_pvc105">#REF!</definedName>
    <definedName localSheetId="18" name="FORM731">#REF!</definedName>
    <definedName localSheetId="7" name="R92..">#REF!</definedName>
    <definedName localSheetId="21" name="venetionblinds">#REF!</definedName>
    <definedName localSheetId="32" name="B.Jambi">#REF!</definedName>
    <definedName localSheetId="31" name="_______DIV4">#REF!</definedName>
    <definedName localSheetId="3" name="kayuramin">#REF!</definedName>
    <definedName localSheetId="36" name="bubunganasbesgelombang">#REF!</definedName>
    <definedName localSheetId="44" name="_______LLL01">#REF!</definedName>
    <definedName localSheetId="0" name="teakwood4mm">#REF!</definedName>
    <definedName localSheetId="40" name="KT">#REF!</definedName>
    <definedName localSheetId="7" name="_MMM33">#REF!</definedName>
    <definedName localSheetId="8" name="URAIAN721">#REF!</definedName>
    <definedName localSheetId="0" name="_________MMM03">#REF!</definedName>
    <definedName localSheetId="7" name="kuncilemari">#REF!</definedName>
    <definedName localSheetId="12" name="pakusirap">#REF!</definedName>
    <definedName localSheetId="17" name="URAIAN7612c">#REF!</definedName>
    <definedName localSheetId="7" name="_____MMM46">#REF!</definedName>
    <definedName localSheetId="25" name="_______MMM03">#REF!</definedName>
    <definedName localSheetId="33" name="rollingdoor">#REF!</definedName>
    <definedName localSheetId="21" name="NAMA2">#REF!</definedName>
    <definedName localSheetId="18" name="_HAL4">#REF!</definedName>
    <definedName localSheetId="7" name="seng25">#REF!</definedName>
    <definedName localSheetId="25" name="_MMM01">#REF!</definedName>
    <definedName localSheetId="13" name="gentengaspal">#REF!</definedName>
    <definedName localSheetId="41" name="psr.trs">#REF!</definedName>
    <definedName localSheetId="9" name="kompresor">#REF!</definedName>
    <definedName localSheetId="38" name="venetionblinds">#REF!</definedName>
    <definedName localSheetId="9" name="Closet.c420">#REF!</definedName>
    <definedName localSheetId="4" name="FORM732">#REF!</definedName>
    <definedName localSheetId="36" name="Excel_BuiltIn_Print_Area_1">#REF!</definedName>
    <definedName localSheetId="38" name="f.drain">#REF!</definedName>
    <definedName localSheetId="28" name="URAIAN745">#REF!</definedName>
    <definedName localSheetId="7" name="_LLL02">#REF!</definedName>
    <definedName localSheetId="12" name="kacapolos5mm">#REF!</definedName>
    <definedName localSheetId="8" name="kayuborneo">#REF!</definedName>
    <definedName localSheetId="28" name="________HAL3">#REF!</definedName>
    <definedName localSheetId="23" name="FORM7614b">#REF!</definedName>
    <definedName localSheetId="31" name="sealent">#REF!</definedName>
    <definedName localSheetId="7" name="besi6sii">#REF!</definedName>
    <definedName localSheetId="27" name="_____DIV10">#REF!</definedName>
    <definedName localSheetId="44" name="Uraian842">#REF!</definedName>
    <definedName localSheetId="34" name="kran.ddg">#REF!</definedName>
    <definedName localSheetId="30" name="medan5.10">#REF!</definedName>
    <definedName name="__MMM25">#REF!</definedName>
    <definedName localSheetId="11" name="sirap">#REF!</definedName>
    <definedName localSheetId="20" name="plintubinteraluxmarmer1030">#REF!</definedName>
    <definedName localSheetId="24" name="_________LLL08">#REF!</definedName>
    <definedName localSheetId="17" name="tegelporselen">#REF!</definedName>
    <definedName localSheetId="32" name="namaabsen">#REF!</definedName>
    <definedName localSheetId="24" name="__MMM52">#REF!</definedName>
    <definedName localSheetId="5" name="tukng">#REF!</definedName>
    <definedName localSheetId="7" name="pengencer">#REF!</definedName>
    <definedName localSheetId="24" name="aaaaaaaaaaa">#REF!</definedName>
    <definedName localSheetId="24" name="__MMM35">#REF!</definedName>
    <definedName localSheetId="34" name="engselangin">#REF!</definedName>
    <definedName localSheetId="12" name="besiprofilWF">#REF!</definedName>
    <definedName localSheetId="27" name="Papanbouplank">#REF!</definedName>
    <definedName localSheetId="31" name="kolombetonpracetak">#REF!</definedName>
    <definedName localSheetId="7" name="___MMM02">#REF!</definedName>
    <definedName localSheetId="7" name="_________MMM14">#REF!</definedName>
    <definedName localSheetId="21" name="floorhardenermastercron">#REF!</definedName>
    <definedName localSheetId="32" name="kacacermin5">#REF!</definedName>
    <definedName localSheetId="9" name="___HAL2">#REF!</definedName>
    <definedName localSheetId="33" name="rubbercorrugate">#REF!</definedName>
    <definedName localSheetId="7" name="___MMM43">#REF!</definedName>
    <definedName localSheetId="24" name="URAIAN642">#REF!</definedName>
    <definedName localSheetId="40" name="floorhardenermastercron">#REF!</definedName>
    <definedName name="URAIAN635A">#REF!</definedName>
    <definedName localSheetId="33" name="URAIAN633">#REF!</definedName>
    <definedName localSheetId="40" name="RPHL">#REF!</definedName>
    <definedName localSheetId="12" name="MINOR">#REF!</definedName>
    <definedName localSheetId="13" name="lem">#REF!</definedName>
    <definedName localSheetId="4" name="semen50">#REF!</definedName>
    <definedName localSheetId="17" name="___MMM05">#REF!</definedName>
    <definedName localSheetId="27" name="pintulipat">#REF!</definedName>
    <definedName localSheetId="36" name="btn">#REF!</definedName>
    <definedName localSheetId="23" name="plywood4">#REF!</definedName>
    <definedName localSheetId="13" name="________DIV1">#REF!</definedName>
    <definedName localSheetId="17" name="R88..">#REF!</definedName>
    <definedName localSheetId="5" name="Excel_BuiltIn_Print_Titles_10">#REF!</definedName>
    <definedName localSheetId="0" name="______DIV10">#REF!</definedName>
    <definedName localSheetId="44" name="P">#REF!</definedName>
    <definedName localSheetId="8" name="semen50">#REF!</definedName>
    <definedName localSheetId="13" name="borneo5.10">#REF!</definedName>
    <definedName localSheetId="17" name="Analisa71003">#REF!</definedName>
    <definedName localSheetId="19" name="__DIV3">#REF!</definedName>
    <definedName localSheetId="17" name="_________MMM47">#REF!</definedName>
    <definedName localSheetId="31" name="KECAMATAN_KODEOHA">#REF!</definedName>
    <definedName name="___LLL05">#REF!</definedName>
    <definedName localSheetId="39" name="Jasa">#REF!</definedName>
    <definedName localSheetId="17" name="sengbjls25">#REF!</definedName>
    <definedName localSheetId="38" name="aaaa">#REF!</definedName>
    <definedName localSheetId="15" name="k.ddg.rmn.20.25.pls">#REF!</definedName>
    <definedName localSheetId="15" name="p.triplek">#REF!</definedName>
    <definedName localSheetId="6" name="papanjelutung">#REF!</definedName>
    <definedName localSheetId="24" name="_HAL5">#REF!</definedName>
    <definedName localSheetId="6" name="ramset">#REF!</definedName>
    <definedName localSheetId="40" name="_______DIV2">#REF!</definedName>
    <definedName name="_____MMM30">#REF!</definedName>
    <definedName localSheetId="3" name="_pc40">#REF!</definedName>
    <definedName localSheetId="39" name="Grendel">#REF!</definedName>
    <definedName localSheetId="11" name="FORM7613a">#REF!</definedName>
    <definedName localSheetId="20" name="Lamp">#REF!</definedName>
    <definedName localSheetId="30" name="Akustik">#REF!</definedName>
    <definedName localSheetId="23" name="kalkarium">#REF!</definedName>
    <definedName localSheetId="15" name="kayudamarlaut">#REF!</definedName>
    <definedName localSheetId="44" name="Galam">#REF!</definedName>
    <definedName localSheetId="31" name="nokpaten092">#REF!</definedName>
    <definedName localSheetId="31" name="bakcuciteraso">#REF!</definedName>
    <definedName localSheetId="8" name="FORM7612a">#REF!</definedName>
    <definedName localSheetId="42" name="semenwarna">#REF!</definedName>
    <definedName localSheetId="30" name="bubungangentengbeton">#REF!</definedName>
    <definedName localSheetId="3" name="R72..">#REF!</definedName>
    <definedName name="________MMM30">#REF!</definedName>
    <definedName name="____MMM54">#REF!</definedName>
    <definedName localSheetId="19" name="besi13">#REF!</definedName>
    <definedName localSheetId="32" name="_DIV2">#REF!</definedName>
    <definedName localSheetId="20" name="__LLL02">#REF!</definedName>
    <definedName localSheetId="32" name="tl2x40">#REF!</definedName>
    <definedName localSheetId="6" name="mlex.w">#REF!</definedName>
    <definedName localSheetId="25" name="bubunganasbesnok">#REF!</definedName>
    <definedName localSheetId="44" name="______DIV2">#REF!</definedName>
    <definedName localSheetId="11" name="Tbs">#REF!</definedName>
    <definedName localSheetId="12" name="Minyak">#REF!</definedName>
    <definedName localSheetId="36" name="plintubinkeramikartistik1020">#REF!</definedName>
    <definedName localSheetId="28" name="sengplatbjls25">#REF!</definedName>
    <definedName localSheetId="36" name="platasbes4mm">#REF!</definedName>
    <definedName localSheetId="8" name="water.prof">#REF!</definedName>
    <definedName localSheetId="11" name="ubingranito30">#REF!</definedName>
    <definedName localSheetId="44" name="cycllop">#REF!</definedName>
    <definedName localSheetId="7" name="R8..">#REF!</definedName>
    <definedName name="___MMM33">#REF!</definedName>
    <definedName localSheetId="36" name="__HAL3">#REF!</definedName>
    <definedName localSheetId="34" name="_____DIV3">#REF!</definedName>
    <definedName localSheetId="36" name="roll">#REF!</definedName>
    <definedName localSheetId="19" name="pintugulungbesi">#REF!</definedName>
    <definedName localSheetId="8" name="URAIAN771a">#REF!</definedName>
    <definedName localSheetId="19" name="kacacermin5">#REF!</definedName>
    <definedName localSheetId="11" name="_____DIV10">#REF!</definedName>
    <definedName localSheetId="41" name="catpenutup">#REF!</definedName>
    <definedName localSheetId="44" name="R12..">#REF!</definedName>
    <definedName localSheetId="31" name="drkeet">#REF!</definedName>
    <definedName localSheetId="3" name="pakugypsum">#REF!</definedName>
    <definedName localSheetId="21" name="URAIAN913">#REF!</definedName>
    <definedName localSheetId="24" name="Analisa611">#REF!</definedName>
    <definedName localSheetId="24" name="R50..">#REF!</definedName>
    <definedName localSheetId="7" name="kategori">#REF!</definedName>
    <definedName localSheetId="30" name="_kop5">#REF!</definedName>
    <definedName localSheetId="11" name="besipresstressedpolos">#REF!</definedName>
    <definedName localSheetId="44" name="_________MMM04">#REF!</definedName>
    <definedName localSheetId="8" name="parquetjati">#REF!</definedName>
    <definedName localSheetId="40" name="y">#REF!</definedName>
    <definedName localSheetId="12" name="btn">#REF!</definedName>
    <definedName localSheetId="19" name="Uraian842">#REF!</definedName>
    <definedName name="medan3.4">#REF!</definedName>
    <definedName localSheetId="7" name="R87..">#REF!</definedName>
    <definedName localSheetId="41" name="_Tl1">#REF!</definedName>
    <definedName localSheetId="9" name="plintubinteraluxmarmer1040">#REF!</definedName>
    <definedName localSheetId="7" name="_MMM03">#REF!</definedName>
    <definedName localSheetId="41" name="plintubinwarna1040">#REF!</definedName>
    <definedName localSheetId="24" name="pvc1.2.wav.aw">#REF!</definedName>
    <definedName localSheetId="13" name="URAIAN323L">#REF!</definedName>
    <definedName localSheetId="40" name="nokpaten105">#REF!</definedName>
    <definedName localSheetId="3" name="______MMM32">#REF!</definedName>
    <definedName localSheetId="32" name="pasirpas">#REF!</definedName>
    <definedName localSheetId="38" name="FORM323L">#REF!</definedName>
    <definedName localSheetId="34" name="______MMM03">#REF!</definedName>
    <definedName localSheetId="32" name="ubinkeramik1515">#REF!</definedName>
    <definedName localSheetId="12" name="besi13">#REF!</definedName>
    <definedName localSheetId="11" name="list">#REF!</definedName>
    <definedName localSheetId="21" name="__MMM22">#REF!</definedName>
    <definedName localSheetId="30" name="kayuramin">#REF!</definedName>
    <definedName localSheetId="6" name="GUIIII">#REF!</definedName>
    <definedName localSheetId="33" name="FORM7612a">#REF!</definedName>
    <definedName localSheetId="4" name="FORM66PERATA">#REF!</definedName>
    <definedName localSheetId="31" name="KT">#REF!</definedName>
    <definedName name="plintubingranito1030">#REF!</definedName>
    <definedName localSheetId="3" name="BPS">#REF!</definedName>
    <definedName localSheetId="6" name="________DIV3">#REF!</definedName>
    <definedName name="_LLL09">#REF!</definedName>
    <definedName localSheetId="12" name="URAIAN22L">#REF!</definedName>
    <definedName localSheetId="27" name="paku5.7.10">#REF!</definedName>
    <definedName localSheetId="39" name="hcs">#REF!</definedName>
    <definedName localSheetId="12" name="flordrain">#REF!</definedName>
    <definedName localSheetId="20" name="pengencer">#REF!</definedName>
    <definedName localSheetId="44" name="_________DIV4">#REF!</definedName>
    <definedName localSheetId="23" name="Kunci2">#REF!</definedName>
    <definedName localSheetId="28" name="plywood4">#REF!</definedName>
    <definedName localSheetId="19" name="batu.jogja">#REF!</definedName>
    <definedName localSheetId="3" name="vinylwallcovering">#REF!</definedName>
    <definedName localSheetId="7" name="bak">#REF!</definedName>
    <definedName localSheetId="30" name="bilikbambu">#REF!</definedName>
    <definedName localSheetId="5" name="URAIAN745">#REF!</definedName>
    <definedName name="doorholder">#REF!</definedName>
    <definedName localSheetId="19" name="R61..">#REF!</definedName>
    <definedName localSheetId="18" name="Fak">#REF!</definedName>
    <definedName localSheetId="39" name="tegelplin20x20">#REF!</definedName>
    <definedName localSheetId="11" name="_____DIV4">#REF!</definedName>
    <definedName localSheetId="8" name="w.stain">#REF!</definedName>
    <definedName localSheetId="10" name="begisting">#REF!</definedName>
    <definedName localSheetId="21" name="______MMM39">#REF!</definedName>
    <definedName localSheetId="28" name="kaca3">#REF!</definedName>
    <definedName localSheetId="40" name="k.ddg.rmn.20.25.pls">#REF!</definedName>
    <definedName localSheetId="18" name="Ker.L13">#REF!</definedName>
    <definedName localSheetId="44" name="URAIAN231">#REF!</definedName>
    <definedName localSheetId="23" name="____DIV1">#REF!</definedName>
    <definedName localSheetId="4" name="FORM323L">#REF!</definedName>
    <definedName localSheetId="24" name="ubinteraluxkerang30">#REF!</definedName>
    <definedName localSheetId="3" name="_______LLL07">#REF!</definedName>
    <definedName localSheetId="21" name="_________MMM09">#REF!</definedName>
    <definedName localSheetId="17" name="_________MMM25">#REF!</definedName>
    <definedName localSheetId="7" name="R98..">#REF!</definedName>
    <definedName localSheetId="21" name="kali">#REF!</definedName>
    <definedName localSheetId="44" name="______MMM01">#REF!</definedName>
    <definedName localSheetId="7" name="______MMM411">#REF!</definedName>
    <definedName localSheetId="25" name="FORM621">#REF!</definedName>
    <definedName localSheetId="24" name="ngsel4">#REF!</definedName>
    <definedName localSheetId="13" name="k.ddg.rmn.20.25.pls">#REF!</definedName>
    <definedName localSheetId="25" name="drkeet">#REF!</definedName>
    <definedName localSheetId="32" name="____MMM01">#REF!</definedName>
    <definedName localSheetId="6" name="kayukelas2">#REF!</definedName>
    <definedName localSheetId="21" name="_________DIV10">#REF!</definedName>
    <definedName localSheetId="21" name="___MMM24">#REF!</definedName>
    <definedName localSheetId="44" name="waterstop150">#REF!</definedName>
    <definedName localSheetId="21" name="__MMM09">#REF!</definedName>
    <definedName localSheetId="44" name="_________MMM09">#REF!</definedName>
    <definedName localSheetId="9" name="catantara">#REF!</definedName>
    <definedName localSheetId="3" name="teakwood6mm">#REF!</definedName>
    <definedName localSheetId="12" name="plamour">#REF!</definedName>
    <definedName localSheetId="31" name="________DIV10">#REF!</definedName>
    <definedName localSheetId="25" name="Tbt">#REF!</definedName>
    <definedName localSheetId="33" name="FORM841">#REF!</definedName>
    <definedName localSheetId="9" name="Z">#REF!</definedName>
    <definedName localSheetId="11" name="_______HAL1">#REF!</definedName>
    <definedName localSheetId="34" name="URAIAN633">#REF!</definedName>
    <definedName localSheetId="44" name="R76..">#REF!</definedName>
    <definedName localSheetId="10" name="kategori">#REF!</definedName>
    <definedName localSheetId="21" name="URAIAN">#REF!</definedName>
    <definedName localSheetId="18" name="pindahan">#REF!</definedName>
    <definedName localSheetId="17" name="FORM842">#REF!</definedName>
    <definedName localSheetId="3" name="kacacermin5">#REF!</definedName>
    <definedName localSheetId="11" name="URAIAN7612a">#REF!</definedName>
    <definedName localSheetId="12" name="dasar">#REF!</definedName>
    <definedName localSheetId="17" name="Analisa634">#REF!</definedName>
    <definedName localSheetId="11" name="kaca5">#REF!</definedName>
    <definedName localSheetId="19" name="UPAH">#REF!</definedName>
    <definedName localSheetId="40" name="sengbjls25">#REF!</definedName>
    <definedName localSheetId="27" name="Kekurangan">#REF!</definedName>
    <definedName localSheetId="5" name="______DIV1">#REF!</definedName>
    <definedName name="R25..">#REF!</definedName>
    <definedName localSheetId="31" name="bubungangentengbesar">#REF!</definedName>
    <definedName localSheetId="3" name="Tbt">#REF!</definedName>
    <definedName localSheetId="30" name="FORM633">#REF!</definedName>
    <definedName localSheetId="21" name="FORM844">#REF!</definedName>
    <definedName localSheetId="15" name="___pvc2">#REF!</definedName>
    <definedName localSheetId="28" name="klosetjongkok">#REF!</definedName>
    <definedName localSheetId="7" name="______MMM52">#REF!</definedName>
    <definedName localSheetId="33" name="kacapolos3mm">#REF!</definedName>
    <definedName localSheetId="41" name="paku5.7.10">#REF!</definedName>
    <definedName localSheetId="41" name="sealer.mowi">#REF!</definedName>
    <definedName localSheetId="42" name="borneo4.6">#REF!</definedName>
    <definedName localSheetId="6" name="begisting">#REF!</definedName>
    <definedName name="R61..">#REF!</definedName>
    <definedName name="parquetjati">#REF!</definedName>
    <definedName localSheetId="23" name="beton.tumbuk">#REF!</definedName>
    <definedName localSheetId="8" name="_818FA">#REF!</definedName>
    <definedName localSheetId="32" name="plintubinteraluxkerang1060">#REF!</definedName>
    <definedName localSheetId="40" name="dd">#REF!</definedName>
    <definedName localSheetId="11" name="Pc.50">#REF!</definedName>
    <definedName localSheetId="6" name="vernis">#REF!</definedName>
    <definedName name="_MMM44">#REF!</definedName>
    <definedName localSheetId="38" name="beton175m">#REF!</definedName>
    <definedName localSheetId="13" name="kayubulian">#REF!</definedName>
    <definedName localSheetId="13" name="_HAL6">#REF!</definedName>
    <definedName localSheetId="18" name="bubunganasbesgelombang">#REF!</definedName>
    <definedName localSheetId="3" name="_________MMM47">#REF!</definedName>
    <definedName localSheetId="31" name="batuapung">#REF!</definedName>
    <definedName localSheetId="23" name="plywood6mm">#REF!</definedName>
    <definedName localSheetId="0" name="zzz">#REF!</definedName>
    <definedName localSheetId="3" name="R9..">#REF!</definedName>
    <definedName localSheetId="12" name="________DIV10">#REF!</definedName>
    <definedName localSheetId="44" name="__MMM53">#REF!</definedName>
    <definedName localSheetId="0" name="tl2x40">#REF!</definedName>
    <definedName localSheetId="19" name="_Tl1">#REF!</definedName>
    <definedName localSheetId="23" name="gmp">#REF!</definedName>
    <definedName localSheetId="28" name="kali">#REF!</definedName>
    <definedName localSheetId="5" name="plintubinteraluxmarmer1040">#REF!</definedName>
    <definedName name="______MMM15">#REF!</definedName>
    <definedName localSheetId="30" name="vinylasbes">#REF!</definedName>
    <definedName localSheetId="0" name="kayuterentang">#REF!</definedName>
    <definedName localSheetId="7" name="________MMM20">#REF!</definedName>
    <definedName localSheetId="27" name="pagar2m">#REF!</definedName>
    <definedName localSheetId="31" name="nnnnn">#REF!</definedName>
    <definedName localSheetId="6" name="FORM7613a">#REF!</definedName>
    <definedName name="plintubinteraluxkerang1040">#REF!</definedName>
    <definedName localSheetId="25" name="________DIV3">#REF!</definedName>
    <definedName localSheetId="24" name="FORM731">#REF!</definedName>
    <definedName localSheetId="12" name="sdg">#REF!</definedName>
    <definedName localSheetId="39" name="ubinwarna30">#REF!</definedName>
    <definedName localSheetId="13" name="Pc.50">#REF!</definedName>
    <definedName localSheetId="31" name="URAIAN7614b">#REF!</definedName>
    <definedName localSheetId="21" name="_______MMM03">#REF!</definedName>
    <definedName localSheetId="44" name="pasirpas">#REF!</definedName>
    <definedName localSheetId="6" name="FORM8410">#REF!</definedName>
    <definedName localSheetId="38" name="Akustik">#REF!</definedName>
    <definedName localSheetId="24" name="borneo4.6">#REF!</definedName>
    <definedName localSheetId="3" name="tempatcucipiring">#REF!</definedName>
    <definedName localSheetId="44" name="k.zink">#REF!</definedName>
    <definedName localSheetId="28" name="c.mowi.luar">#REF!</definedName>
    <definedName localSheetId="24" name="_____LLL06">#REF!</definedName>
    <definedName localSheetId="21" name="________MMM39">#REF!</definedName>
    <definedName localSheetId="33" name="batugranito">#REF!</definedName>
    <definedName localSheetId="7" name="bubungangentengmetal">#REF!</definedName>
    <definedName localSheetId="38" name="___DIV2">#REF!</definedName>
    <definedName localSheetId="33" name="____HAL1">#REF!</definedName>
    <definedName localSheetId="3" name="Excel_BuiltIn_Print_Area_1">#REF!</definedName>
    <definedName localSheetId="6" name="tes">#REF!</definedName>
    <definedName localSheetId="32" name="waterdrainaksesoris">#REF!</definedName>
    <definedName localSheetId="3" name="____MMM21">#REF!</definedName>
    <definedName localSheetId="24" name="gymfloor">#REF!</definedName>
    <definedName localSheetId="21" name="dempul">#REF!</definedName>
    <definedName localSheetId="3" name="Z">#REF!</definedName>
    <definedName localSheetId="24" name="_MMM26">#REF!</definedName>
    <definedName localSheetId="44" name="kayuramin">#REF!</definedName>
    <definedName localSheetId="25" name="______DIV3">#REF!</definedName>
    <definedName localSheetId="18" name="FORM79mekanis">#REF!</definedName>
    <definedName name="_________MMM05">#REF!</definedName>
    <definedName name="karung">#REF!</definedName>
    <definedName localSheetId="21" name="platasbes35mm">#REF!</definedName>
    <definedName localSheetId="34" name="besi12sii">#REF!</definedName>
    <definedName localSheetId="6" name="_HAL4">#REF!</definedName>
    <definedName localSheetId="4" name="c.maxi">#REF!</definedName>
    <definedName localSheetId="13" name="psr.trs">#REF!</definedName>
    <definedName localSheetId="27" name="batamerah">#REF!</definedName>
    <definedName localSheetId="19" name="Akustik">#REF!</definedName>
    <definedName localSheetId="0" name="_____MMM03">#REF!</definedName>
    <definedName localSheetId="4" name="doorholder">#REF!</definedName>
    <definedName localSheetId="30" name="pintulipat">#REF!</definedName>
    <definedName localSheetId="28" name="FORM79mekanis">#REF!</definedName>
    <definedName localSheetId="28" name="kayukruing">#REF!</definedName>
    <definedName localSheetId="8" name="tpipa">#REF!</definedName>
    <definedName localSheetId="34" name="__MMM02">#REF!</definedName>
    <definedName localSheetId="33" name="tl2x40">#REF!</definedName>
    <definedName localSheetId="33" name="jj">#REF!</definedName>
    <definedName localSheetId="10" name="_____MMM01">#REF!</definedName>
    <definedName localSheetId="11" name="bilikbambu">#REF!</definedName>
    <definedName localSheetId="15" name="______DIV10">#REF!</definedName>
    <definedName localSheetId="41" name="Aluminium">#REF!</definedName>
    <definedName localSheetId="6" name="URAIAN731">#REF!</definedName>
    <definedName localSheetId="6" name="leni">#REF!</definedName>
    <definedName localSheetId="3" name="Meni">#REF!</definedName>
    <definedName localSheetId="17" name="___MMM18">#REF!</definedName>
    <definedName localSheetId="25" name="c.mowi.luar">#REF!</definedName>
    <definedName localSheetId="13" name="w">#REF!</definedName>
    <definedName localSheetId="36" name="FORM7612b">#REF!</definedName>
    <definedName localSheetId="33" name="sengplatbjls25">#REF!</definedName>
    <definedName localSheetId="30" name="platasbes">#REF!</definedName>
    <definedName localSheetId="24" name="ubinwarna30">#REF!</definedName>
    <definedName localSheetId="31" name="Kunci2">#REF!</definedName>
    <definedName localSheetId="12" name="ubinkeramik1020">#REF!</definedName>
    <definedName localSheetId="30" name="ubinkeramikartistik1010">#REF!</definedName>
    <definedName localSheetId="10" name="plesteran13">#REF!</definedName>
    <definedName localSheetId="28" name="tbkr">#REF!</definedName>
    <definedName localSheetId="27" name="Ker.L13">#REF!</definedName>
    <definedName localSheetId="33" name="teakwood4mm">#REF!</definedName>
    <definedName name="__MMM46">#REF!</definedName>
    <definedName localSheetId="17" name="Analisa70105">#REF!</definedName>
    <definedName localSheetId="21" name="hollowblok">#REF!</definedName>
    <definedName localSheetId="4" name="_____MMM03">#REF!</definedName>
    <definedName localSheetId="7" name="MASTER">#REF!</definedName>
    <definedName localSheetId="34" name="R2..">#REF!</definedName>
    <definedName localSheetId="42" name="URAIAN731">#REF!</definedName>
    <definedName localSheetId="44" name="____MMM53">#REF!</definedName>
    <definedName localSheetId="7" name="plintkeramikartistik1010">#REF!</definedName>
    <definedName name="aaaa">#REF!</definedName>
    <definedName localSheetId="21" name="BAJA">#REF!</definedName>
    <definedName localSheetId="36" name="___pvc3">#REF!</definedName>
    <definedName localSheetId="3" name="____LLL05">#REF!</definedName>
    <definedName localSheetId="21" name="pintulipat">#REF!</definedName>
    <definedName localSheetId="17" name="_____MMM42">#REF!</definedName>
    <definedName localSheetId="23" name="BAHU">#REF!</definedName>
    <definedName localSheetId="25" name="_______MMM02">#REF!</definedName>
    <definedName localSheetId="25" name="roster">#REF!</definedName>
    <definedName localSheetId="41" name="tl2x40">#REF!</definedName>
    <definedName localSheetId="3" name="kayudamarlaut">#REF!</definedName>
    <definedName localSheetId="36" name="______HAL2">#REF!</definedName>
    <definedName localSheetId="8" name="Catbesi">#REF!</definedName>
    <definedName localSheetId="24" name="_MMM09">#REF!</definedName>
    <definedName localSheetId="3" name="hakangin">#REF!</definedName>
    <definedName localSheetId="4" name="mm">#REF!</definedName>
    <definedName localSheetId="40" name="sirap">#REF!</definedName>
    <definedName localSheetId="32" name="KUANTITAS">#REF!</definedName>
    <definedName localSheetId="41" name="rincian">#REF!</definedName>
    <definedName localSheetId="31" name="Status">#REF!</definedName>
    <definedName localSheetId="7" name="sirlak">#REF!</definedName>
    <definedName localSheetId="23" name="teakwood9mm">#REF!</definedName>
    <definedName localSheetId="18" name="kayukelas2">#REF!</definedName>
    <definedName localSheetId="39" name="URAIAN21">#REF!</definedName>
    <definedName localSheetId="42" name="UP">#REF!</definedName>
    <definedName localSheetId="17" name="Akustik">#REF!</definedName>
    <definedName localSheetId="41" name="besi13">#REF!</definedName>
    <definedName localSheetId="7" name="___MMM38">#REF!</definedName>
    <definedName localSheetId="39" name="Excel_BuiltIn_Print_Area_1">#REF!</definedName>
    <definedName localSheetId="21" name="R91..">#REF!</definedName>
    <definedName localSheetId="5" name="kaca.es">#REF!</definedName>
    <definedName localSheetId="17" name="vinylkaret3030">#REF!</definedName>
    <definedName localSheetId="7" name="beton250r">#REF!</definedName>
    <definedName localSheetId="34" name="sealer.mowi">#REF!</definedName>
    <definedName localSheetId="7" name="_MMM31">#REF!</definedName>
    <definedName localSheetId="27" name="Faktor">#REF!</definedName>
    <definedName localSheetId="30" name="borneo5.10">#REF!</definedName>
    <definedName localSheetId="13" name="FORM8410">#REF!</definedName>
    <definedName localSheetId="24" name="______MMM04">#REF!</definedName>
    <definedName localSheetId="30" name="alba2.20">#REF!</definedName>
    <definedName localSheetId="38" name="oemar">#REF!</definedName>
    <definedName localSheetId="27" name="R4..">#REF!</definedName>
    <definedName localSheetId="28" name="kunci2slag">#REF!</definedName>
    <definedName localSheetId="44" name="____MMM19">#REF!</definedName>
    <definedName localSheetId="7" name="PU">#REF!</definedName>
    <definedName localSheetId="7" name="________MMM52">#REF!</definedName>
    <definedName localSheetId="38" name="plastikaerator">#REF!</definedName>
    <definedName localSheetId="25" name="panelbetonpracetak">#REF!</definedName>
    <definedName localSheetId="17" name="_______DIV5">#REF!</definedName>
    <definedName localSheetId="19" name="rapidrant">#REF!</definedName>
    <definedName localSheetId="23" name="xxxxx">#REF!</definedName>
    <definedName localSheetId="6" name="floorhardenerferrovak">#REF!</definedName>
    <definedName localSheetId="27" name="pakuskrup">#REF!</definedName>
    <definedName localSheetId="32" name="MINOR">#REF!</definedName>
    <definedName localSheetId="7" name="_____MMM35">#REF!</definedName>
    <definedName localSheetId="44" name="___MMM24">#REF!</definedName>
    <definedName localSheetId="32" name="kunciselot">#REF!</definedName>
    <definedName localSheetId="41" name="kmp.banjar">#REF!</definedName>
    <definedName localSheetId="13" name="jendelanako">#REF!</definedName>
    <definedName localSheetId="31" name="lemvinyl">#REF!</definedName>
    <definedName localSheetId="19" name="hollowblok">#REF!</definedName>
    <definedName localSheetId="4" name="koralbeton">#REF!</definedName>
    <definedName localSheetId="24" name="____MMM22">#REF!</definedName>
    <definedName localSheetId="17" name="R80..">#REF!</definedName>
    <definedName localSheetId="17" name="______MMM18">#REF!</definedName>
    <definedName localSheetId="31" name="bjls25">#REF!</definedName>
    <definedName localSheetId="38" name="drainase">#REF!</definedName>
    <definedName localSheetId="44" name="__MMM38">#REF!</definedName>
    <definedName name="formica">#REF!</definedName>
    <definedName localSheetId="41" name="URAIAN7612c">#REF!</definedName>
    <definedName localSheetId="0" name="_______DIV4">#REF!</definedName>
    <definedName localSheetId="15" name="URAIAN721">#REF!</definedName>
    <definedName localSheetId="0" name="_MMM01">#REF!</definedName>
    <definedName localSheetId="17" name="Kunci1">#REF!</definedName>
    <definedName localSheetId="17" name="R77..">#REF!</definedName>
    <definedName localSheetId="20" name="kalkarium">#REF!</definedName>
    <definedName localSheetId="5" name="Grendel">#REF!</definedName>
    <definedName localSheetId="42" name="R21..">#REF!</definedName>
    <definedName localSheetId="44" name="________MMM29">#REF!</definedName>
    <definedName localSheetId="3" name="_MMM15">#REF!</definedName>
    <definedName localSheetId="30" name="URAIAN633">#REF!</definedName>
    <definedName localSheetId="17" name="URAIAN95">#REF!</definedName>
    <definedName localSheetId="27" name="kran.bbk">#REF!</definedName>
    <definedName localSheetId="28" name="besiprofilWF">#REF!</definedName>
    <definedName localSheetId="24" name="KECAMATAN_KODEOHA">#REF!</definedName>
    <definedName localSheetId="21" name="URAIAN234L">#REF!</definedName>
    <definedName localSheetId="10" name="ubinkeramik1515">#REF!</definedName>
    <definedName localSheetId="3" name="_PC50">#REF!</definedName>
    <definedName localSheetId="24" name="___MMM51">#REF!</definedName>
    <definedName localSheetId="10" name="kayujati">#REF!</definedName>
    <definedName localSheetId="32" name="kacapolos3mm">#REF!</definedName>
    <definedName localSheetId="27" name="______DIV3">#REF!</definedName>
    <definedName localSheetId="28" name="Psr.psg">#REF!</definedName>
    <definedName localSheetId="3" name="_____LLL01">#REF!</definedName>
    <definedName localSheetId="36" name="FORM7613a">#REF!</definedName>
    <definedName name="MMM17A">#REF!</definedName>
    <definedName localSheetId="44" name="_DIV7">#REF!</definedName>
    <definedName name="URAIAN99">#REF!</definedName>
    <definedName localSheetId="17" name="_____LLL11">#REF!</definedName>
    <definedName localSheetId="34" name="DAYWORKS">#REF!</definedName>
    <definedName name="R93..">#REF!</definedName>
    <definedName localSheetId="33" name="btn">#REF!</definedName>
    <definedName name="R36..">#REF!</definedName>
    <definedName localSheetId="19" name="kacacermin8">#REF!</definedName>
    <definedName localSheetId="24" name="FORM842">#REF!</definedName>
    <definedName localSheetId="32" name="sssssss">#REF!</definedName>
    <definedName localSheetId="36" name="ss">#REF!</definedName>
    <definedName localSheetId="5" name="plintkeramikartistik1010">#REF!</definedName>
    <definedName localSheetId="44" name="_____DIV7">#REF!</definedName>
    <definedName localSheetId="3" name="_________LLL10">#REF!</definedName>
    <definedName localSheetId="3" name="besi10.sii">#REF!</definedName>
    <definedName localSheetId="27" name="__DIV1">#REF!</definedName>
    <definedName localSheetId="7" name="________MMM15">#REF!</definedName>
    <definedName localSheetId="0" name="SUNGAI_BERTAM">#REF!</definedName>
    <definedName localSheetId="33" name="BM">#REF!</definedName>
    <definedName localSheetId="17" name="coveartistik">#REF!</definedName>
    <definedName localSheetId="3" name="_DIV2">#REF!</definedName>
    <definedName localSheetId="24" name="gggg">#REF!</definedName>
    <definedName localSheetId="17" name="_MMM38">#REF!</definedName>
    <definedName localSheetId="39" name="FORM621">#REF!</definedName>
    <definedName localSheetId="23" name="Pc.50">#REF!</definedName>
    <definedName localSheetId="44" name="_MMM37">#REF!</definedName>
    <definedName localSheetId="40" name="semen50">#REF!</definedName>
    <definedName localSheetId="5" name="URAIAN721">#REF!</definedName>
    <definedName localSheetId="38" name="bubungangentengkodok">#REF!</definedName>
    <definedName localSheetId="0" name="akustikarmstrong">#REF!</definedName>
    <definedName localSheetId="18" name="u.besi">#REF!</definedName>
    <definedName localSheetId="7" name="sdg">#REF!</definedName>
    <definedName localSheetId="27" name="Fak">#REF!</definedName>
    <definedName localSheetId="5" name="______MMM03">#REF!</definedName>
    <definedName localSheetId="12" name="bubunganasbesgelombang">#REF!</definedName>
    <definedName localSheetId="18" name="__DIV4">#REF!</definedName>
    <definedName localSheetId="9" name="________DIV2">#REF!</definedName>
    <definedName localSheetId="31" name="coveartistik">#REF!</definedName>
    <definedName localSheetId="34" name="FORM612">#REF!</definedName>
    <definedName localSheetId="25" name="tegelporselen">#REF!</definedName>
    <definedName localSheetId="40" name="__HAL1">#REF!</definedName>
    <definedName localSheetId="33" name="hakangin">#REF!</definedName>
    <definedName localSheetId="7" name="_____DIV2">#REF!</definedName>
    <definedName localSheetId="19" name="ramset">#REF!</definedName>
    <definedName localSheetId="7" name="__MMM01">#REF!</definedName>
    <definedName localSheetId="21" name="URAIAN771d">#REF!</definedName>
    <definedName localSheetId="6" name="__pvc205">#REF!</definedName>
    <definedName localSheetId="27" name="_HAL1">#REF!</definedName>
    <definedName localSheetId="17" name="tegelporselen20x20warna">#REF!</definedName>
    <definedName localSheetId="42" name="k.ddg.20.25.rmn.crk">#REF!</definedName>
    <definedName localSheetId="17" name="c.vinilex.dlm">#REF!</definedName>
    <definedName name="zzz">#REF!</definedName>
    <definedName localSheetId="40" name="______DIV4">#REF!</definedName>
    <definedName localSheetId="28" name="_HAL6">#REF!</definedName>
    <definedName localSheetId="18" name="__tl2">#REF!</definedName>
    <definedName localSheetId="21" name="_____MMM23">#REF!</definedName>
    <definedName localSheetId="11" name="kmp.banjar">#REF!</definedName>
    <definedName localSheetId="15" name="Print_Area_MI">#REF!</definedName>
    <definedName localSheetId="9" name="_tl2">#REF!</definedName>
    <definedName localSheetId="8" name="kkkk">#REF!</definedName>
    <definedName localSheetId="9" name="pindahan">#REF!</definedName>
    <definedName localSheetId="44" name="R42..">#REF!</definedName>
    <definedName localSheetId="36" name="teakwood4mm">#REF!</definedName>
    <definedName localSheetId="7" name="Analisa71202">#REF!</definedName>
    <definedName localSheetId="24" name="R54..">#REF!</definedName>
    <definedName localSheetId="18" name="FORM7614a">#REF!</definedName>
    <definedName localSheetId="32" name="Jasa">#REF!</definedName>
    <definedName localSheetId="4" name="FORM842">#REF!</definedName>
    <definedName localSheetId="17" name="DSSDD">#REF!</definedName>
    <definedName localSheetId="44" name="________MMM53">#REF!</definedName>
    <definedName localSheetId="38" name="kayukelas2">#REF!</definedName>
    <definedName localSheetId="19" name="G">#REF!</definedName>
    <definedName localSheetId="17" name="______MMM50">#REF!</definedName>
    <definedName localSheetId="44" name="__MMM37">#REF!</definedName>
    <definedName localSheetId="19" name="kuncialfa">#REF!</definedName>
    <definedName localSheetId="3" name="tukng">#REF!</definedName>
    <definedName localSheetId="10" name="URAIAN7612b">#REF!</definedName>
    <definedName localSheetId="3" name="__LLL11">#REF!</definedName>
    <definedName localSheetId="21" name="SPJ">#REF!</definedName>
    <definedName localSheetId="8" name="___HAL3">#REF!</definedName>
    <definedName localSheetId="18" name="SPJ">#REF!</definedName>
    <definedName localSheetId="33" name="__DIV2">#REF!</definedName>
    <definedName localSheetId="24" name="pagar2m">#REF!</definedName>
    <definedName localSheetId="15" name="plintubingranito1040">#REF!</definedName>
    <definedName localSheetId="24" name="_________MMM06">#REF!</definedName>
    <definedName localSheetId="41" name="floorhardenerferrovak">#REF!</definedName>
    <definedName localSheetId="24" name="tbkr">#REF!</definedName>
    <definedName localSheetId="33" name="Tbs">#REF!</definedName>
    <definedName localSheetId="7" name="kapursirih">#REF!</definedName>
    <definedName localSheetId="44" name="FORM7610">#REF!</definedName>
    <definedName localSheetId="11" name="FORM66PERATA">#REF!</definedName>
    <definedName localSheetId="36" name="__LLL03">#REF!</definedName>
    <definedName localSheetId="28" name="besi12sii">#REF!</definedName>
    <definedName localSheetId="44" name="___pvc2">#REF!</definedName>
    <definedName localSheetId="21" name="_________DIV8">#REF!</definedName>
    <definedName localSheetId="33" name="Batupuru">#REF!</definedName>
    <definedName localSheetId="17" name="terntang">#REF!</definedName>
    <definedName localSheetId="17" name="_MMM42">#REF!</definedName>
    <definedName localSheetId="24" name="nokgentengaspal">#REF!</definedName>
    <definedName localSheetId="3" name="tegelporselen10x20warna">#REF!</definedName>
    <definedName localSheetId="8" name="bak">#REF!</definedName>
    <definedName localSheetId="0" name="G">#REF!</definedName>
    <definedName localSheetId="17" name="pakubiasa">#REF!</definedName>
    <definedName localSheetId="17" name="__tl2">#REF!</definedName>
    <definedName localSheetId="9" name="ktbs">#REF!</definedName>
    <definedName localSheetId="44" name="__MMM20">#REF!</definedName>
    <definedName localSheetId="27" name="________HAL3">#REF!</definedName>
    <definedName localSheetId="38" name="MINOR">#REF!</definedName>
    <definedName localSheetId="17" name="__MMM21">#REF!</definedName>
    <definedName localSheetId="8" name="URAIAN234L">#REF!</definedName>
    <definedName localSheetId="3" name="__MMM25">#REF!</definedName>
    <definedName localSheetId="0" name="pasirpas">#REF!</definedName>
    <definedName localSheetId="7" name="___DIV3">#REF!</definedName>
    <definedName localSheetId="24" name="engselangin">#REF!</definedName>
    <definedName localSheetId="21" name="plintkeramikartistik1010">#REF!</definedName>
    <definedName localSheetId="30" name="UPAH">#REF!</definedName>
    <definedName name="_MMM49">#REF!</definedName>
    <definedName localSheetId="41" name="batugranito">#REF!</definedName>
    <definedName localSheetId="31" name="k.ddg.20.25.rmn.crk">#REF!</definedName>
    <definedName localSheetId="12" name="L">#REF!</definedName>
    <definedName localSheetId="40" name="siap1">#REF!</definedName>
    <definedName localSheetId="27" name="R60..">#REF!</definedName>
    <definedName localSheetId="17" name="______MMM46">#REF!</definedName>
    <definedName localSheetId="17" name="__DIV1">#REF!</definedName>
    <definedName localSheetId="19" name="jki">#REF!</definedName>
    <definedName localSheetId="17" name="___LLL10">#REF!</definedName>
    <definedName localSheetId="4" name="kacacermin5">#REF!</definedName>
    <definedName localSheetId="7" name="LAINLAIN">#REF!</definedName>
    <definedName localSheetId="36" name="lis">#REF!</definedName>
    <definedName localSheetId="28" name="formica">#REF!</definedName>
    <definedName localSheetId="21" name="______MMM10">#REF!</definedName>
    <definedName localSheetId="0" name="sealer">#REF!</definedName>
    <definedName localSheetId="40" name="batu.jogja">#REF!</definedName>
    <definedName localSheetId="44" name="_________MMM411">#REF!</definedName>
    <definedName localSheetId="24" name="___HAL5">#REF!</definedName>
    <definedName localSheetId="44" name="___DIV7">#REF!</definedName>
    <definedName localSheetId="40" name="tempatcucipiring">#REF!</definedName>
    <definedName localSheetId="6" name="list">#REF!</definedName>
    <definedName localSheetId="17" name="_____MMM10">#REF!</definedName>
    <definedName localSheetId="36" name="plintubinwarna1030">#REF!</definedName>
    <definedName localSheetId="24" name="DFFFGGG">#REF!</definedName>
    <definedName localSheetId="17" name="nnnnn">#REF!</definedName>
    <definedName localSheetId="25" name="plintubinwarna1020">#REF!</definedName>
    <definedName localSheetId="6" name="engsel3">#REF!</definedName>
    <definedName localSheetId="24" name="___MMM25">#REF!</definedName>
    <definedName localSheetId="21" name="medan5.10">#REF!</definedName>
    <definedName localSheetId="0" name="FORM7613a">#REF!</definedName>
    <definedName localSheetId="39" name="DAYWORKS">#REF!</definedName>
    <definedName localSheetId="17" name="tct">#REF!</definedName>
    <definedName localSheetId="21" name="______DIV10">#REF!</definedName>
    <definedName localSheetId="4" name="FORM721">#REF!</definedName>
    <definedName localSheetId="19" name="_818FA">#REF!</definedName>
    <definedName name="__MMM19">#REF!</definedName>
    <definedName localSheetId="6" name="R1..">#REF!</definedName>
    <definedName localSheetId="28" name="kalkarium">#REF!</definedName>
    <definedName localSheetId="39" name="R100..">#REF!</definedName>
    <definedName localSheetId="6" name="ASISTEN_BIDANG_PEMERINTAHAN">#REF!</definedName>
    <definedName localSheetId="17" name="__Tl1">#REF!</definedName>
    <definedName localSheetId="17" name="b.super.5.10">#REF!</definedName>
    <definedName localSheetId="24" name="begisting">#REF!</definedName>
    <definedName localSheetId="44" name="R23..">#REF!</definedName>
    <definedName localSheetId="32" name="beton175R">#REF!</definedName>
    <definedName localSheetId="42" name="sodaapi">#REF!</definedName>
    <definedName localSheetId="33" name="___HAL1">#REF!</definedName>
    <definedName localSheetId="42" name="begisting">#REF!</definedName>
    <definedName localSheetId="24" name="_____DIV3">#REF!</definedName>
    <definedName localSheetId="40" name="kayukruing">#REF!</definedName>
    <definedName localSheetId="17" name="_____MMM05">#REF!</definedName>
    <definedName localSheetId="42" name="klosetjongkok">#REF!</definedName>
    <definedName localSheetId="24" name="_____MMM07">#REF!</definedName>
    <definedName localSheetId="18" name="urugantanah">#REF!</definedName>
    <definedName localSheetId="34" name="_______DIV3">#REF!</definedName>
    <definedName localSheetId="24" name="pajak">#REF!</definedName>
    <definedName localSheetId="20" name="pintulipat">#REF!</definedName>
    <definedName localSheetId="5" name="s.warna">#REF!</definedName>
    <definedName localSheetId="19" name="pintulipat">#REF!</definedName>
    <definedName hidden="1" localSheetId="0" name="_xlnm._FilterDatabase">'01. Dinas Pendidikan'!$A$9:$N$176</definedName>
    <definedName hidden="1" localSheetId="1" name="_xlnm._FilterDatabase">'02. Dinas Kesehatan'!$A$9:$Z$253</definedName>
    <definedName hidden="1" localSheetId="7" name="_xlnm._FilterDatabase">'08. BPBD'!$A$16:$N$38</definedName>
    <definedName hidden="1" localSheetId="14" name="_xlnm._FilterDatabase">'14. DPPKB'!$A$10:$P$121</definedName>
    <definedName hidden="1" localSheetId="15" name="_xlnm._FilterDatabase">'15. Dishub'!$A$10:$N$52</definedName>
    <definedName hidden="1" localSheetId="17" name="_xlnm._FilterDatabase">'17. Diskoperindag'!$B$16:$O$46</definedName>
    <definedName hidden="1" localSheetId="21" name="_xlnm._FilterDatabase">'21. Disparpora'!$A$16:$N$35</definedName>
    <definedName hidden="1" localSheetId="28" name="_xlnm._FilterDatabase">'28. BKD'!$A$10:$N$38</definedName>
    <definedName hidden="1" localSheetId="43" name="_xlnm._FilterDatabase">Dinkes!$AB$1:$AB$1000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37">
      <text>
        <t xml:space="preserve">HP:
No rangka terbalik dan sdh diperbaiki
</t>
      </text>
    </comment>
  </commentList>
</comments>
</file>

<file path=xl/sharedStrings.xml><?xml version="1.0" encoding="utf-8"?>
<sst xmlns="http://schemas.openxmlformats.org/spreadsheetml/2006/main" count="24014" uniqueCount="9101">
  <si>
    <t>KARTU INVENTARIS BARANG ( KIB )</t>
  </si>
  <si>
    <t>B. PERALATAN MESIN ( KENDARAAN RODA 4 ( EMPAT ) DAN 2 ( DUA )</t>
  </si>
  <si>
    <t>PEMERINTAH PROVINSI</t>
  </si>
  <si>
    <t>: JAMBI</t>
  </si>
  <si>
    <t>KABUPATEN / KOTA</t>
  </si>
  <si>
    <t>: MUARO JAMBI</t>
  </si>
  <si>
    <t>UNIT ORGANISASI</t>
  </si>
  <si>
    <t>: DINAS PENDIDIKAN</t>
  </si>
  <si>
    <t>no</t>
  </si>
  <si>
    <t>spesifikasi</t>
  </si>
  <si>
    <t>spesifikasi_lainnya</t>
  </si>
  <si>
    <t>unit_kerja</t>
  </si>
  <si>
    <t>kondisi</t>
  </si>
  <si>
    <t>harga</t>
  </si>
  <si>
    <t>merk</t>
  </si>
  <si>
    <t>tahun</t>
  </si>
  <si>
    <t>no_polisi</t>
  </si>
  <si>
    <t>no_rangka</t>
  </si>
  <si>
    <t>no_Mesin</t>
  </si>
  <si>
    <t>no bpkb</t>
  </si>
  <si>
    <t>keterangan</t>
  </si>
  <si>
    <t>pengguna</t>
  </si>
  <si>
    <t/>
  </si>
  <si>
    <t>KENDARAAN BERMOTOR PENUMPANG</t>
  </si>
  <si>
    <t>Mini Bus</t>
  </si>
  <si>
    <t>Ada</t>
  </si>
  <si>
    <t>Dinas Pendidikan dan Kebudayaan</t>
  </si>
  <si>
    <t>Rusak Berat</t>
  </si>
  <si>
    <t>Isuzu TBR541 LV25</t>
  </si>
  <si>
    <t>2000</t>
  </si>
  <si>
    <t>BH 1140 G EX BH 441 GZ</t>
  </si>
  <si>
    <t>MHCTBR54BYK083723</t>
  </si>
  <si>
    <t>E083723</t>
  </si>
  <si>
    <t>A-9091859</t>
  </si>
  <si>
    <t>Plat Baru BH 1140 G</t>
  </si>
  <si>
    <t>Bambang Wigiyanto, A.Md Bendahara Pengeluaran</t>
  </si>
  <si>
    <t xml:space="preserve">Daihatsu Terrios TS </t>
  </si>
  <si>
    <t>2007</t>
  </si>
  <si>
    <t>BH 1060 GZ</t>
  </si>
  <si>
    <t>MHKG2CJIJK001781</t>
  </si>
  <si>
    <t>DAE1521</t>
  </si>
  <si>
    <t>E-6734067</t>
  </si>
  <si>
    <t>Kurang Baik</t>
  </si>
  <si>
    <t>Mitsubitshi L.300+AC</t>
  </si>
  <si>
    <t>2012</t>
  </si>
  <si>
    <t>BH 1158 GZ</t>
  </si>
  <si>
    <t>MHML0WY39CK007241</t>
  </si>
  <si>
    <t>4D56C-H54440</t>
  </si>
  <si>
    <t>J-03565887</t>
  </si>
  <si>
    <t>Pengurus Barang Pengguna</t>
  </si>
  <si>
    <t>Minibus Double Cabin</t>
  </si>
  <si>
    <t>Suzuki APV</t>
  </si>
  <si>
    <t>BH 1160 GZ</t>
  </si>
  <si>
    <t>MHYGDN42VCJ-368299</t>
  </si>
  <si>
    <t>G15AID-257750</t>
  </si>
  <si>
    <t>J-03571868</t>
  </si>
  <si>
    <t>Agustiarso Kasubag Umum dan Kepegawaian</t>
  </si>
  <si>
    <t>Rush tipe 1,56 M/T</t>
  </si>
  <si>
    <t>2014</t>
  </si>
  <si>
    <t>BH 1232 G EX BH 1203 GZ</t>
  </si>
  <si>
    <t>MHFE2CJ2JEK043744</t>
  </si>
  <si>
    <t>3SZ-DEG1618</t>
  </si>
  <si>
    <t>K-06089680</t>
  </si>
  <si>
    <t>BH 1232 G</t>
  </si>
  <si>
    <t>Kabid PAUD dan PNF</t>
  </si>
  <si>
    <t>BH 1231 G EX BH 1202 GZ</t>
  </si>
  <si>
    <t>MHFE2CJ2JEK043454</t>
  </si>
  <si>
    <t>3SZ-DEF5612</t>
  </si>
  <si>
    <t>K-06089679</t>
  </si>
  <si>
    <t>BH 1231 G</t>
  </si>
  <si>
    <t>Baik</t>
  </si>
  <si>
    <t>2017</t>
  </si>
  <si>
    <t>BH 1006 G</t>
  </si>
  <si>
    <t>MHFE2CJ2JHK056691</t>
  </si>
  <si>
    <t>3SZDGE3070</t>
  </si>
  <si>
    <t>L-10936516</t>
  </si>
  <si>
    <t>Kabid SMP</t>
  </si>
  <si>
    <t>Wulling Cortez 1.5L LUX+CVT</t>
  </si>
  <si>
    <t>2019</t>
  </si>
  <si>
    <t>BH 1069 G</t>
  </si>
  <si>
    <t>Sekretaris</t>
  </si>
  <si>
    <t>ALAT ANGKUTAN BARANG</t>
  </si>
  <si>
    <t>Pick Up Double Cabin</t>
  </si>
  <si>
    <t xml:space="preserve">Mitsubishi Strada </t>
  </si>
  <si>
    <t>2009</t>
  </si>
  <si>
    <t>BH 8113 G EX BH 9326 GZ</t>
  </si>
  <si>
    <t>MMBJN2409D033303</t>
  </si>
  <si>
    <t>4D56UCBL7100</t>
  </si>
  <si>
    <t>F-8112119</t>
  </si>
  <si>
    <t>BH 8113 G</t>
  </si>
  <si>
    <t>Kasi Kelembagaan dan Sarana Prasarana SD</t>
  </si>
  <si>
    <t>Ford</t>
  </si>
  <si>
    <t>2013</t>
  </si>
  <si>
    <t xml:space="preserve">BH 8093 G EX BH 9352 GZ </t>
  </si>
  <si>
    <t>MNBLMFF80CW140661</t>
  </si>
  <si>
    <t>P4AT1046052</t>
  </si>
  <si>
    <t>K-00103962</t>
  </si>
  <si>
    <t>BH 8093 G</t>
  </si>
  <si>
    <t>Kabid SD</t>
  </si>
  <si>
    <t>KENDARAAN BERMOTOR BERODA DUA</t>
  </si>
  <si>
    <t>Sepeda Motor</t>
  </si>
  <si>
    <t>Suzuki Bravo</t>
  </si>
  <si>
    <t>1993</t>
  </si>
  <si>
    <t>BH 5428 AZ</t>
  </si>
  <si>
    <t>MHDA100VxDJ274054</t>
  </si>
  <si>
    <t>A100.ID.161536</t>
  </si>
  <si>
    <t>BH 7948 AZ</t>
  </si>
  <si>
    <t>MHDA100VxDS274243</t>
  </si>
  <si>
    <t>A100.ID.161699</t>
  </si>
  <si>
    <t>Suzuki A100</t>
  </si>
  <si>
    <t>1994</t>
  </si>
  <si>
    <t>BH 8001 AZ</t>
  </si>
  <si>
    <t>MHDA100VxPJ274210</t>
  </si>
  <si>
    <t>A100.ID.161665</t>
  </si>
  <si>
    <t>BH 8054 AZ</t>
  </si>
  <si>
    <t>MHDRC100PPJ.112304</t>
  </si>
  <si>
    <t>E104.ID335552</t>
  </si>
  <si>
    <t>BH 7945 AZ</t>
  </si>
  <si>
    <t>MHDA100VxPJ274302</t>
  </si>
  <si>
    <t>A100.ID.161750</t>
  </si>
  <si>
    <t>1995</t>
  </si>
  <si>
    <t>BH 7947 AZ</t>
  </si>
  <si>
    <t>MHDA100VxB</t>
  </si>
  <si>
    <t>A100.10161.728</t>
  </si>
  <si>
    <t>BH 8030 AZ</t>
  </si>
  <si>
    <t>MHJA100VPJ274325</t>
  </si>
  <si>
    <t>A100.70161.156</t>
  </si>
  <si>
    <t>1996</t>
  </si>
  <si>
    <t>BH 5386 AZ</t>
  </si>
  <si>
    <t>MHDA1006x0635720</t>
  </si>
  <si>
    <t>A10016215411</t>
  </si>
  <si>
    <t>1997</t>
  </si>
  <si>
    <t>BH 8034 AZ</t>
  </si>
  <si>
    <t>BH 5383 AZ</t>
  </si>
  <si>
    <t>MHDA100VxVJ.338704</t>
  </si>
  <si>
    <t>A100.ID.215446</t>
  </si>
  <si>
    <t>BH 8031 HZ</t>
  </si>
  <si>
    <t>MHDA100VxPJ</t>
  </si>
  <si>
    <t>BH 9545 HZ</t>
  </si>
  <si>
    <t>MHDRC.100 PVJ/329385</t>
  </si>
  <si>
    <t>E.104-10-551398</t>
  </si>
  <si>
    <t>BH 8124 AZ</t>
  </si>
  <si>
    <t>MHDA100.VxVY538527</t>
  </si>
  <si>
    <t>A100.ID.215235</t>
  </si>
  <si>
    <t>Honda Win</t>
  </si>
  <si>
    <t>2005</t>
  </si>
  <si>
    <t>BH 5315 GZ</t>
  </si>
  <si>
    <t>MH1HABD155K119070</t>
  </si>
  <si>
    <t>HABDE-1118239</t>
  </si>
  <si>
    <t>D-5514963</t>
  </si>
  <si>
    <t>Gudang</t>
  </si>
  <si>
    <t>BH 5318 GZ</t>
  </si>
  <si>
    <t>MH1HABD165K118400</t>
  </si>
  <si>
    <t>HABDE-1118272</t>
  </si>
  <si>
    <t>D-5514956</t>
  </si>
  <si>
    <t>BH 5317 GZ</t>
  </si>
  <si>
    <t>MH1HABD165K119269</t>
  </si>
  <si>
    <t>HABDE-1118838</t>
  </si>
  <si>
    <t>D-5514955</t>
  </si>
  <si>
    <t>BH 5316 GZ</t>
  </si>
  <si>
    <t>MH1HABD175K119152</t>
  </si>
  <si>
    <t>HABDE-1118647</t>
  </si>
  <si>
    <t>D-5514964</t>
  </si>
  <si>
    <t>Honda Supra Fit</t>
  </si>
  <si>
    <t>BH 5586 GZ</t>
  </si>
  <si>
    <t>MH1HB32127K316352</t>
  </si>
  <si>
    <t>HB32E-1313071</t>
  </si>
  <si>
    <t>E-7787714</t>
  </si>
  <si>
    <t>BH 5587 GZ</t>
  </si>
  <si>
    <t>MH1HB32147K316448</t>
  </si>
  <si>
    <t>HB32E-1313078</t>
  </si>
  <si>
    <t>E-7787704</t>
  </si>
  <si>
    <t>BH 5622 GZ</t>
  </si>
  <si>
    <t>MH1HB32187K303136</t>
  </si>
  <si>
    <t>HB32E-1295669</t>
  </si>
  <si>
    <t>E-7787678</t>
  </si>
  <si>
    <t>BH 5592 GZ</t>
  </si>
  <si>
    <t>MH1HB32157K300243</t>
  </si>
  <si>
    <t>HB32E-1278496</t>
  </si>
  <si>
    <t>E-7787668</t>
  </si>
  <si>
    <t>BH 5608 GZ</t>
  </si>
  <si>
    <t>MH1HB32147K301366</t>
  </si>
  <si>
    <t>HB32E-1293932</t>
  </si>
  <si>
    <t>E-7787718</t>
  </si>
  <si>
    <t>BH 5602 GZ</t>
  </si>
  <si>
    <t>MH1HB32167K297241</t>
  </si>
  <si>
    <t>HB32E-1290167</t>
  </si>
  <si>
    <t>E-7787733</t>
  </si>
  <si>
    <t>BH 5545 GZ</t>
  </si>
  <si>
    <t>MH1HB32117K316360</t>
  </si>
  <si>
    <t>HB32E-1309155</t>
  </si>
  <si>
    <t>E-7787712</t>
  </si>
  <si>
    <t>BH 5601 GZ</t>
  </si>
  <si>
    <t>MH1HB321x7K301128</t>
  </si>
  <si>
    <t>HB32E-1294103</t>
  </si>
  <si>
    <t>E-7787666</t>
  </si>
  <si>
    <t>BH 5616 GZ</t>
  </si>
  <si>
    <t>MH1HB32177K303113</t>
  </si>
  <si>
    <t>HB32E-1295397</t>
  </si>
  <si>
    <t>E-7787690</t>
  </si>
  <si>
    <t>BH 5624 GZ</t>
  </si>
  <si>
    <t>MH1HB32147K303134</t>
  </si>
  <si>
    <t>HB32E-1295662</t>
  </si>
  <si>
    <t>E-7787689</t>
  </si>
  <si>
    <t>BH 5596 GZ</t>
  </si>
  <si>
    <t>MH1HB32127K301138</t>
  </si>
  <si>
    <t>HB32E-1294209</t>
  </si>
  <si>
    <t>E-7787729</t>
  </si>
  <si>
    <t>BH 5614 GZ</t>
  </si>
  <si>
    <t>MH1HB32157K316457</t>
  </si>
  <si>
    <t>HB32E-1309156</t>
  </si>
  <si>
    <t>E-7787707</t>
  </si>
  <si>
    <t>BH 5585 GZ</t>
  </si>
  <si>
    <t>MH1HB32137K297441</t>
  </si>
  <si>
    <t>HB32E-1290121</t>
  </si>
  <si>
    <t>E-7787673</t>
  </si>
  <si>
    <t>BH 5584 GZ</t>
  </si>
  <si>
    <t>MH1HB32127K275804</t>
  </si>
  <si>
    <t>HB32E-1259918</t>
  </si>
  <si>
    <t>E-7787728</t>
  </si>
  <si>
    <t>Ripto, S. Pd Koorwil Sungai Gelam</t>
  </si>
  <si>
    <t>BH 5549 GZ</t>
  </si>
  <si>
    <t>MH1HB32167K301384</t>
  </si>
  <si>
    <t>HB32E-1293942</t>
  </si>
  <si>
    <t>E-7787539</t>
  </si>
  <si>
    <t>BH 5550 GZ</t>
  </si>
  <si>
    <t>MH1HB32137K301147</t>
  </si>
  <si>
    <t>HB32E-1293409</t>
  </si>
  <si>
    <t>E-7787700</t>
  </si>
  <si>
    <t>BH 5582 GZ</t>
  </si>
  <si>
    <t>MH1HB32147K301478</t>
  </si>
  <si>
    <t>HB32E-1293880</t>
  </si>
  <si>
    <t>E-7787720</t>
  </si>
  <si>
    <t>BH 5581 GZ</t>
  </si>
  <si>
    <t>MH1HB32117K301356</t>
  </si>
  <si>
    <t>HB32E-1293892</t>
  </si>
  <si>
    <t>E-7787730</t>
  </si>
  <si>
    <t>BH 5627 GZ</t>
  </si>
  <si>
    <t>MH1HB32187K315920</t>
  </si>
  <si>
    <t>HB32E-1313237</t>
  </si>
  <si>
    <t>E-7787699</t>
  </si>
  <si>
    <t>BH 5565 GZ</t>
  </si>
  <si>
    <t>MH1HB32147K191869</t>
  </si>
  <si>
    <t>HB32E-1177095</t>
  </si>
  <si>
    <t>E-7787676</t>
  </si>
  <si>
    <t>BH 5543 GZ</t>
  </si>
  <si>
    <t>MH1HB32177K160812</t>
  </si>
  <si>
    <t>HB32E-1157432</t>
  </si>
  <si>
    <t>E-7787682</t>
  </si>
  <si>
    <t>BH 5615 GZ</t>
  </si>
  <si>
    <t>MH1HB32137K315906</t>
  </si>
  <si>
    <t>HB32E-1313229</t>
  </si>
  <si>
    <t>E-7787708</t>
  </si>
  <si>
    <t>BH 5597 GZ</t>
  </si>
  <si>
    <t>MH1HB32137K297424</t>
  </si>
  <si>
    <t>HB32E-1290307</t>
  </si>
  <si>
    <t>E-7787695</t>
  </si>
  <si>
    <t>BH 5606 GZ</t>
  </si>
  <si>
    <t>MH1HB32197K315912</t>
  </si>
  <si>
    <t>HB32E-1313187</t>
  </si>
  <si>
    <t>E-7787705</t>
  </si>
  <si>
    <t>Yasin Staf Korwil Jaluko</t>
  </si>
  <si>
    <t>BH 5576 GZ</t>
  </si>
  <si>
    <t>MH1HB32137K316005</t>
  </si>
  <si>
    <t>HB32E-1309026</t>
  </si>
  <si>
    <t>E-7787687</t>
  </si>
  <si>
    <t>BH 5619 GZ</t>
  </si>
  <si>
    <t>MH1HB321x7K316471</t>
  </si>
  <si>
    <t>HB32E-1309243</t>
  </si>
  <si>
    <t>E-7787698</t>
  </si>
  <si>
    <t>Turman, SE Staf Sekretaris</t>
  </si>
  <si>
    <t>BH 5563 GZ</t>
  </si>
  <si>
    <t>MH1HB32187K301466</t>
  </si>
  <si>
    <t>HB32E-1293855</t>
  </si>
  <si>
    <t>E-7787721</t>
  </si>
  <si>
    <t xml:space="preserve">Suhaimi M, ST Staf Sekretaris </t>
  </si>
  <si>
    <t>BH 5570 GZ</t>
  </si>
  <si>
    <t>MH1HB32157K301375</t>
  </si>
  <si>
    <t>HB32E-1293909</t>
  </si>
  <si>
    <t>E-7787683</t>
  </si>
  <si>
    <t>BH 5618 GZ</t>
  </si>
  <si>
    <t>MH1HB32117K297440</t>
  </si>
  <si>
    <t>HB32E-1290118</t>
  </si>
  <si>
    <t>E-7787694</t>
  </si>
  <si>
    <t xml:space="preserve">Eka Nasution Staf Sekretaris </t>
  </si>
  <si>
    <t>BH 5542 GZ</t>
  </si>
  <si>
    <t>MH1HB32197K301394</t>
  </si>
  <si>
    <t>HB32E-1294213</t>
  </si>
  <si>
    <t>E-7787723</t>
  </si>
  <si>
    <t xml:space="preserve">Asmadi Staff Korwil Kec. Kumpeh </t>
  </si>
  <si>
    <t>BH 5612 GZ</t>
  </si>
  <si>
    <t>MH1HB32117K303267</t>
  </si>
  <si>
    <t>HB32E-1293265</t>
  </si>
  <si>
    <t>E-7787716</t>
  </si>
  <si>
    <t>Ade Rizki Syaputra Staf Bidang SMP</t>
  </si>
  <si>
    <t>BH 5573 GZ</t>
  </si>
  <si>
    <t>MH1HB32187K303007</t>
  </si>
  <si>
    <t>HB32E-1295041</t>
  </si>
  <si>
    <t>E-7787670</t>
  </si>
  <si>
    <t>BH 5551 GZ</t>
  </si>
  <si>
    <t>MH1HB321x7K301470</t>
  </si>
  <si>
    <t>HB32E-1293805</t>
  </si>
  <si>
    <t>E-7787542</t>
  </si>
  <si>
    <t>BH 5572 GZ</t>
  </si>
  <si>
    <t>MH1HB32107K301123</t>
  </si>
  <si>
    <t>HB32E-1294207</t>
  </si>
  <si>
    <t>E-7787674</t>
  </si>
  <si>
    <t>BH 5546 GZ</t>
  </si>
  <si>
    <t>MH1HB32187K316467</t>
  </si>
  <si>
    <t>HB32E-1309194</t>
  </si>
  <si>
    <t>BH 5617 GZ</t>
  </si>
  <si>
    <t>MH1HB32197K316459</t>
  </si>
  <si>
    <t>HB32E-1309107</t>
  </si>
  <si>
    <t>E-7787709</t>
  </si>
  <si>
    <t>Toto Wariyo, S. Pd Penilik PLS Kec. Mestong</t>
  </si>
  <si>
    <t xml:space="preserve"> </t>
  </si>
  <si>
    <t>BH 5605 GZ</t>
  </si>
  <si>
    <t>MH1HB32147K315929</t>
  </si>
  <si>
    <t>HB32E-1313200</t>
  </si>
  <si>
    <t>E-7787727</t>
  </si>
  <si>
    <t>BH 5569 GZ</t>
  </si>
  <si>
    <t>MH1HB321x7K316440</t>
  </si>
  <si>
    <t>HB32E-1313074</t>
  </si>
  <si>
    <t>E-7787711</t>
  </si>
  <si>
    <t>Reno Harianda, S.Pd Staf Sekretaris</t>
  </si>
  <si>
    <t>BH 5560 GZ</t>
  </si>
  <si>
    <t>MH1HB32177K301457</t>
  </si>
  <si>
    <t>HB32E-1293848</t>
  </si>
  <si>
    <t>E-7787684</t>
  </si>
  <si>
    <t>Sahrul  Staf Sekretaris</t>
  </si>
  <si>
    <t>BH 5595 GZ</t>
  </si>
  <si>
    <t>MH1HB32147K316353</t>
  </si>
  <si>
    <t>HB32E-1313063</t>
  </si>
  <si>
    <t>E-7787703</t>
  </si>
  <si>
    <t>BH 5620 GZ</t>
  </si>
  <si>
    <t>MH1HB321x7K301355</t>
  </si>
  <si>
    <t>HB32E-1293900</t>
  </si>
  <si>
    <t>E-7787726</t>
  </si>
  <si>
    <t>Des Ardiansyah Staf Bidang SD</t>
  </si>
  <si>
    <t>BH 5559 GZ</t>
  </si>
  <si>
    <t>MH1HB32137K303271</t>
  </si>
  <si>
    <t>HB32E-1295375</t>
  </si>
  <si>
    <t>E-7787686</t>
  </si>
  <si>
    <t>BH 5580 GZ</t>
  </si>
  <si>
    <t>MH1HB32157K301201</t>
  </si>
  <si>
    <t>HB32E-1294163</t>
  </si>
  <si>
    <t>E-7787677</t>
  </si>
  <si>
    <t xml:space="preserve">Rudi Staf Sekretaris </t>
  </si>
  <si>
    <t>BH 5589 GZ</t>
  </si>
  <si>
    <t>MH1HB32177K316346</t>
  </si>
  <si>
    <t>HB32E-1313122</t>
  </si>
  <si>
    <t>E-7787710</t>
  </si>
  <si>
    <t>BH 5607 GZ</t>
  </si>
  <si>
    <t>MH1HB32147K316188</t>
  </si>
  <si>
    <t>HB32E-1309016</t>
  </si>
  <si>
    <t>E-7787680</t>
  </si>
  <si>
    <t>BH 5552 GZ</t>
  </si>
  <si>
    <t>MH1HB32167K301112</t>
  </si>
  <si>
    <t>HB32E-1293599</t>
  </si>
  <si>
    <t>E-7787675</t>
  </si>
  <si>
    <t>Bahtera. S.Pd Penilik PLS Kec. Sungai Gelam</t>
  </si>
  <si>
    <t>BH 5548 GZ</t>
  </si>
  <si>
    <t>MH1HB32177K301362</t>
  </si>
  <si>
    <t>HB32E-1293898</t>
  </si>
  <si>
    <t>E-7787724</t>
  </si>
  <si>
    <t>Khalik Penjaga Kantor</t>
  </si>
  <si>
    <t>BH 5610 GZ</t>
  </si>
  <si>
    <t>MH1HB32167K301207</t>
  </si>
  <si>
    <t>HB32E-1293928</t>
  </si>
  <si>
    <t>E-7787738</t>
  </si>
  <si>
    <t>BH 5557 GZ</t>
  </si>
  <si>
    <t>MH1HB32187K301127</t>
  </si>
  <si>
    <t>HB32E-1294239</t>
  </si>
  <si>
    <t>E-7787688</t>
  </si>
  <si>
    <t>BH 5578 GZ</t>
  </si>
  <si>
    <t>MH1HB32107K316186</t>
  </si>
  <si>
    <t>HB32E-1308965</t>
  </si>
  <si>
    <t>E-7787719</t>
  </si>
  <si>
    <t>BH 5562 GZ</t>
  </si>
  <si>
    <t>MH1HB32197K301380</t>
  </si>
  <si>
    <t>HB32E-1293906</t>
  </si>
  <si>
    <t>E-7787672</t>
  </si>
  <si>
    <t>BH 5609 GZ</t>
  </si>
  <si>
    <t>MH1HB32117K301499</t>
  </si>
  <si>
    <t>HB32E-1293929</t>
  </si>
  <si>
    <t>E-7787725</t>
  </si>
  <si>
    <t>BH 5591 GZ</t>
  </si>
  <si>
    <t>MH1HB32117K301244</t>
  </si>
  <si>
    <t>HB32E-1294109</t>
  </si>
  <si>
    <t>E-7787735</t>
  </si>
  <si>
    <t>Honda Supra x 125 TD</t>
  </si>
  <si>
    <t>2008</t>
  </si>
  <si>
    <t>BH 5725 GZ</t>
  </si>
  <si>
    <t>MH1JB81198K160344</t>
  </si>
  <si>
    <t>JB81E-1157321</t>
  </si>
  <si>
    <t>F-6036437</t>
  </si>
  <si>
    <t>Juherman, S.Pd Koorwil Bahar Utara</t>
  </si>
  <si>
    <t>BH 5731 GZ</t>
  </si>
  <si>
    <t>MH1JB81198K216007</t>
  </si>
  <si>
    <t>JB81E1211799</t>
  </si>
  <si>
    <t>F-6036433</t>
  </si>
  <si>
    <t>BH 5740 GZ</t>
  </si>
  <si>
    <t>MH1JB81108K215747</t>
  </si>
  <si>
    <t>JB81E-1212558</t>
  </si>
  <si>
    <t>F-6036313</t>
  </si>
  <si>
    <t>BH 5737 GZ</t>
  </si>
  <si>
    <t>MH1JB81168K221875</t>
  </si>
  <si>
    <t>JB81E1218665</t>
  </si>
  <si>
    <t>F-6036311</t>
  </si>
  <si>
    <t>BH 5730 GZ</t>
  </si>
  <si>
    <t>MH17B81138K172148</t>
  </si>
  <si>
    <t>JB81E1169680</t>
  </si>
  <si>
    <t>F-6036431</t>
  </si>
  <si>
    <t>BH 5727 GZ</t>
  </si>
  <si>
    <t>MH1JB81188K216001</t>
  </si>
  <si>
    <t>JB81E1211782</t>
  </si>
  <si>
    <t>F-6036432</t>
  </si>
  <si>
    <t>BH 5717 GZ</t>
  </si>
  <si>
    <t>MH1JB81188K221859</t>
  </si>
  <si>
    <t>JB81E1218589</t>
  </si>
  <si>
    <t>F-6036319</t>
  </si>
  <si>
    <t xml:space="preserve">Hendra Gustian Staff Bidang PAUD </t>
  </si>
  <si>
    <t>BH 5719 GZ</t>
  </si>
  <si>
    <t>MH1JB81118K162525</t>
  </si>
  <si>
    <t>JB81E1159413</t>
  </si>
  <si>
    <t>F-6036312</t>
  </si>
  <si>
    <t xml:space="preserve">Fahmi, SE Kasi Kelembagaan dan Sarana Prasarana Pendidikan Non Formal </t>
  </si>
  <si>
    <t>BH 5738 GZ</t>
  </si>
  <si>
    <t>MH1JB81168K160219</t>
  </si>
  <si>
    <t>JB81E1157162</t>
  </si>
  <si>
    <t>F-6036440</t>
  </si>
  <si>
    <t>BH 5724 GZ</t>
  </si>
  <si>
    <t>MH1JB81118K215756</t>
  </si>
  <si>
    <t>JB81E1212601</t>
  </si>
  <si>
    <t>F-6036316</t>
  </si>
  <si>
    <t>BH 5739 GZ</t>
  </si>
  <si>
    <t>MH1JB81188K207363</t>
  </si>
  <si>
    <t>JB81E1205153</t>
  </si>
  <si>
    <t>F-6036439</t>
  </si>
  <si>
    <t>BH 5732 GZ</t>
  </si>
  <si>
    <t>MH1JB81188K160383</t>
  </si>
  <si>
    <t>JB81E1157433</t>
  </si>
  <si>
    <t>F-6036435</t>
  </si>
  <si>
    <t>BH 5721 GZ</t>
  </si>
  <si>
    <t>MH1JB81148K172157</t>
  </si>
  <si>
    <t>JB81E1169635</t>
  </si>
  <si>
    <t>F-6036318</t>
  </si>
  <si>
    <t>Ismail Staf Korwil Taman Rajo</t>
  </si>
  <si>
    <t>BH 5735 GZ</t>
  </si>
  <si>
    <t>MH1JB81168K165405</t>
  </si>
  <si>
    <t>JB81E1162122</t>
  </si>
  <si>
    <t>F-6036314</t>
  </si>
  <si>
    <t>BH 5720 GZ</t>
  </si>
  <si>
    <t>MH1JB81148K221826</t>
  </si>
  <si>
    <t>JB81E1218570</t>
  </si>
  <si>
    <t>F-4997825</t>
  </si>
  <si>
    <t>BH 5734 GZ</t>
  </si>
  <si>
    <t>MHIJB81108K166551</t>
  </si>
  <si>
    <t>JB81E1163937</t>
  </si>
  <si>
    <t>F-6036436</t>
  </si>
  <si>
    <t>BH 5729 GZ</t>
  </si>
  <si>
    <t>MH1JB811x8K206389</t>
  </si>
  <si>
    <t>JB81E1204272</t>
  </si>
  <si>
    <t>F-6036320</t>
  </si>
  <si>
    <t xml:space="preserve">Raifizen, S.Ag, MM Kasi Kurikulum dan Penilaian Pendidikan Non Formal </t>
  </si>
  <si>
    <t>BH 5726 GZ</t>
  </si>
  <si>
    <t>MH1JB81118K160385</t>
  </si>
  <si>
    <t>JB81E1157411</t>
  </si>
  <si>
    <t>F-6036434</t>
  </si>
  <si>
    <t>BH 5728 GZ</t>
  </si>
  <si>
    <t>MH1JB81108K160653</t>
  </si>
  <si>
    <t>JB81E-1157723</t>
  </si>
  <si>
    <t>F-6036317</t>
  </si>
  <si>
    <t>Yamaha New Jupiter Z</t>
  </si>
  <si>
    <t>2010</t>
  </si>
  <si>
    <t>BH 5967 GZ</t>
  </si>
  <si>
    <t>MH331B001AJ552991</t>
  </si>
  <si>
    <t>31B-563072</t>
  </si>
  <si>
    <t>H-05777930</t>
  </si>
  <si>
    <t>Ahyat Staff Korwil Kec. Maro Sebo</t>
  </si>
  <si>
    <t>BH 5968 GZ</t>
  </si>
  <si>
    <t>MH331B001AJ569735</t>
  </si>
  <si>
    <t>31B-569823</t>
  </si>
  <si>
    <t>H-05777929</t>
  </si>
  <si>
    <t>BH 5970 GZ</t>
  </si>
  <si>
    <t>MH331B001AJ560467</t>
  </si>
  <si>
    <t>31B-560551</t>
  </si>
  <si>
    <t>H-05777927</t>
  </si>
  <si>
    <t>BH 5966 GZ</t>
  </si>
  <si>
    <t>MH331B001AJ560501</t>
  </si>
  <si>
    <t>31B-560441</t>
  </si>
  <si>
    <t>H-05777931</t>
  </si>
  <si>
    <t xml:space="preserve">Pengawas SD </t>
  </si>
  <si>
    <t>BH 5969 GZ</t>
  </si>
  <si>
    <t>MH331B001AJ520422</t>
  </si>
  <si>
    <t>31B-520498</t>
  </si>
  <si>
    <t>H-05777928</t>
  </si>
  <si>
    <t>Sundari Staf Sekretaris</t>
  </si>
  <si>
    <t>BH 5965 GZ</t>
  </si>
  <si>
    <t>MH331B001AJ518854</t>
  </si>
  <si>
    <t>31B-518939</t>
  </si>
  <si>
    <t>H-05777932</t>
  </si>
  <si>
    <t>Juwita Bento Wilado, S.Pd Kasi Kurikulum &amp; Penilaian SMP</t>
  </si>
  <si>
    <t>Kawa14i</t>
  </si>
  <si>
    <t>BH 6146 GZ</t>
  </si>
  <si>
    <t>MH4LX150CCKP54816</t>
  </si>
  <si>
    <t>LX150CEP84149</t>
  </si>
  <si>
    <t>J-01552067</t>
  </si>
  <si>
    <t>BH 6141 GZ</t>
  </si>
  <si>
    <t>MH4LX150CCKP54469</t>
  </si>
  <si>
    <t>LX150CEP841635</t>
  </si>
  <si>
    <t>J-01552061</t>
  </si>
  <si>
    <t>BH 6143 GZ</t>
  </si>
  <si>
    <t>MH4LX150CCKP54820</t>
  </si>
  <si>
    <t>LX150CEP84161</t>
  </si>
  <si>
    <t>J-01552064</t>
  </si>
  <si>
    <t>Mentaflison, S.Pd Kasi Kelembagaan dan Sarana Prasarana SMP</t>
  </si>
  <si>
    <t>BH 6145 GZ</t>
  </si>
  <si>
    <t>MH4LX150CCKP54683</t>
  </si>
  <si>
    <t>LX150CEP84126</t>
  </si>
  <si>
    <t>J-01552066</t>
  </si>
  <si>
    <t>Sugiman, SE Kasi Kelembagaan dan Sarana Prasarana SD</t>
  </si>
  <si>
    <t>Yamaha Jupiter Z</t>
  </si>
  <si>
    <t>BH 6304 GZ</t>
  </si>
  <si>
    <t>MH3IDY002DJI40418</t>
  </si>
  <si>
    <t>IDY- 140433</t>
  </si>
  <si>
    <t>K-03779664</t>
  </si>
  <si>
    <t>Diknas</t>
  </si>
  <si>
    <t>Mubarid Staf Bidang SD</t>
  </si>
  <si>
    <t xml:space="preserve">   BH 6316 GZ</t>
  </si>
  <si>
    <t>MH3IDY005DJI193641</t>
  </si>
  <si>
    <t>IDY- 193660</t>
  </si>
  <si>
    <t>K-03781278</t>
  </si>
  <si>
    <t>BH 6315 GZ</t>
  </si>
  <si>
    <t>MH3IDY005DJI93640</t>
  </si>
  <si>
    <t>IDY- 193659</t>
  </si>
  <si>
    <t>K-03781279</t>
  </si>
  <si>
    <t xml:space="preserve">Cincun Supriadi Staf Sekretaris </t>
  </si>
  <si>
    <t>BH 6307 GZ</t>
  </si>
  <si>
    <t>MH3IDY002DJI75766</t>
  </si>
  <si>
    <t>IDY- 175770</t>
  </si>
  <si>
    <t>K-03779685</t>
  </si>
  <si>
    <t>M. Dodi, SE Kasi PTK PAUD dan Pendidikan Non Formal</t>
  </si>
  <si>
    <t>BH 6301 GZ</t>
  </si>
  <si>
    <t>MH3IDY005DJ204114</t>
  </si>
  <si>
    <t>IDY- 204132</t>
  </si>
  <si>
    <t>K-03779669</t>
  </si>
  <si>
    <t>BH 6309 GZ</t>
  </si>
  <si>
    <t>MH3IDY005DJ199160</t>
  </si>
  <si>
    <t>IDY- 199170</t>
  </si>
  <si>
    <t>K-03779683</t>
  </si>
  <si>
    <t>BH 6306 GZ</t>
  </si>
  <si>
    <t>MH3IDY005DJI98242</t>
  </si>
  <si>
    <t>IDY- 198265</t>
  </si>
  <si>
    <t>K-03779684</t>
  </si>
  <si>
    <t>Yuliasih, SE Staf Sekretaris</t>
  </si>
  <si>
    <t>BH 6305 GZ</t>
  </si>
  <si>
    <t>MH3IDY002DJI75773</t>
  </si>
  <si>
    <t>IDY- 175794</t>
  </si>
  <si>
    <t>K-03779665</t>
  </si>
  <si>
    <t>BH 6303 GZ</t>
  </si>
  <si>
    <t>MH3IDY002DJI36580</t>
  </si>
  <si>
    <t>IDY- 136597</t>
  </si>
  <si>
    <t>K-03779667</t>
  </si>
  <si>
    <t xml:space="preserve">Kurnia Eka Puri Staf Sekretaris </t>
  </si>
  <si>
    <t>BH 6308 GZ</t>
  </si>
  <si>
    <t>MH3IDY005DJ206047</t>
  </si>
  <si>
    <t>IDY- 206069</t>
  </si>
  <si>
    <t>K-03779682</t>
  </si>
  <si>
    <t>Masithah, S.Pd Pengawas SMP</t>
  </si>
  <si>
    <t>BH 6302 GZ</t>
  </si>
  <si>
    <t>MH3IDY002DJI50350</t>
  </si>
  <si>
    <t>IDY- 150368</t>
  </si>
  <si>
    <t>K-03779666</t>
  </si>
  <si>
    <t>Budi Harto, S.Pd Kasi Peserta Didik dan Pembangunan Karakter SMP</t>
  </si>
  <si>
    <t>BH 6300 GZ</t>
  </si>
  <si>
    <t>MH3IDY005DJ203040</t>
  </si>
  <si>
    <t>IDY- 203054</t>
  </si>
  <si>
    <t>K-03779668</t>
  </si>
  <si>
    <t>Helmi KM, S.Pd Pengawas SMP</t>
  </si>
  <si>
    <t>Yamaha All New Vixion</t>
  </si>
  <si>
    <t>MH3RG4610KK123416</t>
  </si>
  <si>
    <t>G3E7E-0501093</t>
  </si>
  <si>
    <t>MH3RG4610KK123411</t>
  </si>
  <si>
    <t>G3E7E-0501087</t>
  </si>
  <si>
    <t>Yamaha NMAX Non Abs</t>
  </si>
  <si>
    <t>MH3SG3190KK717848</t>
  </si>
  <si>
    <t>G3E4E-1638737</t>
  </si>
  <si>
    <t>MH3SG3190KK756326</t>
  </si>
  <si>
    <t>G3E4E-1659286</t>
  </si>
  <si>
    <t>MH3SG3190KK789167</t>
  </si>
  <si>
    <t>G3E4E-1743079</t>
  </si>
  <si>
    <t>MH3RG4610KK121324</t>
  </si>
  <si>
    <t>G3E7E-0499012</t>
  </si>
  <si>
    <t>MH3SG3190KJ734877</t>
  </si>
  <si>
    <t>G3E4E-1664291</t>
  </si>
  <si>
    <t>MH3SG3190KJ804852</t>
  </si>
  <si>
    <t>G3E4E-1766528</t>
  </si>
  <si>
    <t>MH3SG3190KJ804837</t>
  </si>
  <si>
    <t>G3E4E-1766513</t>
  </si>
  <si>
    <t>MH3RG4610KK112123</t>
  </si>
  <si>
    <t>G3E7E-0489839</t>
  </si>
  <si>
    <t>MH3RG4610KK125903</t>
  </si>
  <si>
    <t>G3E7E-0503619</t>
  </si>
  <si>
    <t>MH3SG3190KK804120</t>
  </si>
  <si>
    <t>G3E4E-1764772</t>
  </si>
  <si>
    <t>MH3RG4610KK119470</t>
  </si>
  <si>
    <t>G3E7E-0497184</t>
  </si>
  <si>
    <t>MH3RG4610KK119445</t>
  </si>
  <si>
    <t>G3E7E-0497142</t>
  </si>
  <si>
    <t>Nmax</t>
  </si>
  <si>
    <t>2024</t>
  </si>
  <si>
    <t>BH 2894 G</t>
  </si>
  <si>
    <t>MH3SG5680PK210696</t>
  </si>
  <si>
    <t>GL8E-1931538</t>
  </si>
  <si>
    <t>U-05207905</t>
  </si>
  <si>
    <t>Dinas Pendidikan</t>
  </si>
  <si>
    <t>Sukamdi, S.Pd, M.Pd Pengawas SMP</t>
  </si>
  <si>
    <t>BH 2889 G</t>
  </si>
  <si>
    <t>MH3SG5680PK180316</t>
  </si>
  <si>
    <t>G3L8E-1661829</t>
  </si>
  <si>
    <t>U-05207900</t>
  </si>
  <si>
    <t>Boi Syafrizal, SE Penilik Kec. Mestong</t>
  </si>
  <si>
    <t>BH 2880 G</t>
  </si>
  <si>
    <t>MH3SG5680PK213068</t>
  </si>
  <si>
    <t>G3L8E-1945494</t>
  </si>
  <si>
    <t>U-05207892</t>
  </si>
  <si>
    <t>Hormin, S.Pd Penilik PLS Kec Maro Sebo</t>
  </si>
  <si>
    <t>Grand Filano</t>
  </si>
  <si>
    <t>BH 2884 G</t>
  </si>
  <si>
    <t>MH3SEK610PJ023503</t>
  </si>
  <si>
    <t>E34KE-0023504</t>
  </si>
  <si>
    <t>U-05207895</t>
  </si>
  <si>
    <t>Sari Sintia Kumala, S.Pd Pengawas TK</t>
  </si>
  <si>
    <t>WR 155R</t>
  </si>
  <si>
    <t>BH 2885 G</t>
  </si>
  <si>
    <t>MH3DG3710PK060997</t>
  </si>
  <si>
    <t>G3N6E-0065736</t>
  </si>
  <si>
    <t>U-05207896</t>
  </si>
  <si>
    <t>Fatlan Asril, A.Md Pengurus Barang Pengguna</t>
  </si>
  <si>
    <t>BH 2871 G</t>
  </si>
  <si>
    <t>MH3SG5680PK202614</t>
  </si>
  <si>
    <t>G3L8E-1880651</t>
  </si>
  <si>
    <t>U-05207883</t>
  </si>
  <si>
    <t>Siasmullah Penilik PLS</t>
  </si>
  <si>
    <t>BH 2875 G</t>
  </si>
  <si>
    <t>MH3SG5680PK198189</t>
  </si>
  <si>
    <t>G3L8E-1843321</t>
  </si>
  <si>
    <t>U-05207887</t>
  </si>
  <si>
    <t>Ismiyanto, S.Pd Pengawas SMP</t>
  </si>
  <si>
    <t>BH 2877 G</t>
  </si>
  <si>
    <t>MH3SEK610PJ032203</t>
  </si>
  <si>
    <t>E34KE-0032204</t>
  </si>
  <si>
    <t>U-05207889</t>
  </si>
  <si>
    <t>Betty Kasita Bangun. M.Pd Pengawas SMP</t>
  </si>
  <si>
    <t>BH 2881 G</t>
  </si>
  <si>
    <t>MH3SEK610PJ040409</t>
  </si>
  <si>
    <t>E34KE-0040412</t>
  </si>
  <si>
    <t>U-05207893</t>
  </si>
  <si>
    <t>Eni Mahliza S.Pd Pengawas TK</t>
  </si>
  <si>
    <t>BH 2883 G</t>
  </si>
  <si>
    <t>MH3SEK610PJ37216</t>
  </si>
  <si>
    <t>E34KE-0037219</t>
  </si>
  <si>
    <t>U-05207894</t>
  </si>
  <si>
    <t>Hariyansah, S.Pd Pengawas SD</t>
  </si>
  <si>
    <t>BH 2890 G</t>
  </si>
  <si>
    <t>MH3SEK610PJ030075</t>
  </si>
  <si>
    <t>E34KE-0030076</t>
  </si>
  <si>
    <t>U-05207901</t>
  </si>
  <si>
    <t>Dian Feriyanty, S.Pd Pengawas SD</t>
  </si>
  <si>
    <t>BH 2869 G</t>
  </si>
  <si>
    <t>G3L8E-1927146</t>
  </si>
  <si>
    <t>Mulyadi, S.Pd Penilik Kec. Jaluko</t>
  </si>
  <si>
    <t>BH 2870 G</t>
  </si>
  <si>
    <t>MH3SG5680PK206630</t>
  </si>
  <si>
    <t>G3L8E-1906549</t>
  </si>
  <si>
    <t>U-05207882</t>
  </si>
  <si>
    <t>Karsini, S.Pd Kepala SKB</t>
  </si>
  <si>
    <t>BH 2872 G</t>
  </si>
  <si>
    <t>MH3SG5680PK202465</t>
  </si>
  <si>
    <t>G3L8E-1878615</t>
  </si>
  <si>
    <t>U-05207884</t>
  </si>
  <si>
    <t>Ziadi, S.Pd Pengawas SMP</t>
  </si>
  <si>
    <t>BH 2873 G</t>
  </si>
  <si>
    <t>MH3SG5680PK201552</t>
  </si>
  <si>
    <t>G3L8E-1871473</t>
  </si>
  <si>
    <t>U-05207885</t>
  </si>
  <si>
    <t xml:space="preserve">Muhtarom, M.Pd Pengawas SD Kec. Bahar Selatan </t>
  </si>
  <si>
    <t>BH 2874 G</t>
  </si>
  <si>
    <t>MH3SG5680PK200431</t>
  </si>
  <si>
    <t>G3L8E-1865276</t>
  </si>
  <si>
    <t>U-05207886</t>
  </si>
  <si>
    <t>Budiyanto, S.Pd Pengawas SD Kec. Mestong</t>
  </si>
  <si>
    <t>BH 2876 G</t>
  </si>
  <si>
    <t>MH3SG5680PK197253</t>
  </si>
  <si>
    <t>G3L8E-1833595</t>
  </si>
  <si>
    <t>U-05207888</t>
  </si>
  <si>
    <t>Watini, S.Pd Pengawas SD Kec. Mestong</t>
  </si>
  <si>
    <t>BH 2878 G</t>
  </si>
  <si>
    <t>MH3SG5680PK212956</t>
  </si>
  <si>
    <t>G3L8E-1945430</t>
  </si>
  <si>
    <t>U-05207890</t>
  </si>
  <si>
    <t>Mawardi, S.Pd Pengawas SMP</t>
  </si>
  <si>
    <t>BH 2879 G</t>
  </si>
  <si>
    <t>MH3SG5680PK217857</t>
  </si>
  <si>
    <t>G3L8E-1975902</t>
  </si>
  <si>
    <t>U-05207891</t>
  </si>
  <si>
    <t>Afrizal, S.Pd Pengawas SMP</t>
  </si>
  <si>
    <t>BH 2886 G</t>
  </si>
  <si>
    <t>MH3SG5680PK196424</t>
  </si>
  <si>
    <t>G3L8E-1825336</t>
  </si>
  <si>
    <t>U-05207897</t>
  </si>
  <si>
    <t>Mudiono, S.Pd Pengawas SD</t>
  </si>
  <si>
    <t>BH 2887 G</t>
  </si>
  <si>
    <t>MH3SG5680PK192826</t>
  </si>
  <si>
    <t>G3L8E-1787921</t>
  </si>
  <si>
    <t>U-05207898</t>
  </si>
  <si>
    <t>Yeni Aziza, M.Pd Kasi Kurikulum &amp; Penilaian SD</t>
  </si>
  <si>
    <t>BH 2888 G</t>
  </si>
  <si>
    <t>MH3SG5680PK190591</t>
  </si>
  <si>
    <t>G3L8E-1762804</t>
  </si>
  <si>
    <t>U-05207899</t>
  </si>
  <si>
    <t xml:space="preserve">Wiki Waridan, S.Pd Penilik PLS Kec. Jaluko </t>
  </si>
  <si>
    <t>BH 2891 G</t>
  </si>
  <si>
    <t>MH3SG5680PK207076</t>
  </si>
  <si>
    <t>GL8E-1909125</t>
  </si>
  <si>
    <t>U-05207902</t>
  </si>
  <si>
    <t>M. Amin. M.Pd Penilik Kec. Taman Rajo</t>
  </si>
  <si>
    <t>BH 2892 G</t>
  </si>
  <si>
    <t>MH3SG5680PK208946</t>
  </si>
  <si>
    <t>GL8E-1920234</t>
  </si>
  <si>
    <t>U-05207903</t>
  </si>
  <si>
    <t>BH 2893 G</t>
  </si>
  <si>
    <t>MH3SG5680PK209247</t>
  </si>
  <si>
    <t>GL8E-1922525</t>
  </si>
  <si>
    <t>U-05207904</t>
  </si>
  <si>
    <t>Nuraedi, S.Pd Penilik PLS Kec. Kumpeh Ulu</t>
  </si>
  <si>
    <t>BH 2895 G</t>
  </si>
  <si>
    <t>MH3SG5680PK211398</t>
  </si>
  <si>
    <t>GL8E-1936135</t>
  </si>
  <si>
    <t>U-05207906</t>
  </si>
  <si>
    <t>Superman, SE Kasubbag Keuangan</t>
  </si>
  <si>
    <t>BH 2896 G</t>
  </si>
  <si>
    <t>MH3SG5680PK211523</t>
  </si>
  <si>
    <t>GL8E-1936511</t>
  </si>
  <si>
    <t>U-05207907</t>
  </si>
  <si>
    <t>Drs. Suwatri Pengawas SMP</t>
  </si>
  <si>
    <t>BH 2897 G</t>
  </si>
  <si>
    <t>MH3SG5680PK211885</t>
  </si>
  <si>
    <t>GL8E-1938928</t>
  </si>
  <si>
    <t>U-05207908</t>
  </si>
  <si>
    <t xml:space="preserve">Hustardi, S.Pd Penilik PLS Kec. Sungai Bahar </t>
  </si>
  <si>
    <t>BH 2898 G</t>
  </si>
  <si>
    <t>MH3SG5680PK212200</t>
  </si>
  <si>
    <t>GL8E-1941180</t>
  </si>
  <si>
    <t>U-05207909</t>
  </si>
  <si>
    <t>Drs. Jamain, M.Pd Pengawas SMP</t>
  </si>
  <si>
    <t>: DINAS KESEHATAN</t>
  </si>
  <si>
    <t>Merk</t>
  </si>
  <si>
    <t>rehab</t>
  </si>
  <si>
    <t>type</t>
  </si>
  <si>
    <t>bahan</t>
  </si>
  <si>
    <t>satuan</t>
  </si>
  <si>
    <t>jumlah</t>
  </si>
  <si>
    <t>umur_ekonomis</t>
  </si>
  <si>
    <t>no_sertifikat</t>
  </si>
  <si>
    <t>no mesin</t>
  </si>
  <si>
    <t>tgl_ada</t>
  </si>
  <si>
    <t>Micro Bus ( Penumpang 15 S/D 29 Orang )</t>
  </si>
  <si>
    <t xml:space="preserve">Micro Bus </t>
  </si>
  <si>
    <t>Dinas Kesehatan</t>
  </si>
  <si>
    <t>Besi+ Baja</t>
  </si>
  <si>
    <t>Unit</t>
  </si>
  <si>
    <t>BH 7502 G EX BH 422 GZ EX BH 604 GZ</t>
  </si>
  <si>
    <t>MHCNK55EY9J026342</t>
  </si>
  <si>
    <t>M026342</t>
  </si>
  <si>
    <t>F-8676057</t>
  </si>
  <si>
    <t>ada</t>
  </si>
  <si>
    <t>RSUD Sungai Gelam</t>
  </si>
  <si>
    <t>Mini Bus ( Penumpang 14 Orang Kebawah )</t>
  </si>
  <si>
    <t>Minibus</t>
  </si>
  <si>
    <t>Besi + Baja</t>
  </si>
  <si>
    <t>2002</t>
  </si>
  <si>
    <t>BH 1264 G EX BH  332 GZ</t>
  </si>
  <si>
    <t>MHF11KF7020035692</t>
  </si>
  <si>
    <t>7K-0479015</t>
  </si>
  <si>
    <t>C-1667739</t>
  </si>
  <si>
    <t xml:space="preserve"> Dinas Kesehatan  (RUSAK BERAT)</t>
  </si>
  <si>
    <t>2004</t>
  </si>
  <si>
    <t>BH 1266 G EX BH  1042 GZ</t>
  </si>
  <si>
    <t>MHFXW426442009300</t>
  </si>
  <si>
    <t>1TR-6019734</t>
  </si>
  <si>
    <t>D-3117754</t>
  </si>
  <si>
    <t xml:space="preserve"> Dinas Kesehatan  </t>
  </si>
  <si>
    <t>BH 1050 GZ</t>
  </si>
  <si>
    <t>MHYGDN41V535J-133989</t>
  </si>
  <si>
    <t>G1SAID-134473</t>
  </si>
  <si>
    <t>D-7511940</t>
  </si>
  <si>
    <t>AHMAD RIPIN</t>
  </si>
  <si>
    <t>di Rumah R. Fauzi Rasor</t>
  </si>
  <si>
    <t>BH 1075 GZ</t>
  </si>
  <si>
    <t>MHYESL 4153J-539080</t>
  </si>
  <si>
    <t>GISA-IA-539080</t>
  </si>
  <si>
    <t>C-5101477</t>
  </si>
  <si>
    <t>BPKB ADA, Perubahan Nopol dari BH 53 GZ, 34 GZ jadi BH 1075 GZ (RUSAK BERAT)</t>
  </si>
  <si>
    <t>Minivan</t>
  </si>
  <si>
    <t>BH 1180 G EX BH 40 GZ</t>
  </si>
  <si>
    <t>MJJFC522KOO2743</t>
  </si>
  <si>
    <t>TB002727</t>
  </si>
  <si>
    <t>F-0923441</t>
  </si>
  <si>
    <t>BH 1057 GZ</t>
  </si>
  <si>
    <t>MHCTBR54FGK250098</t>
  </si>
  <si>
    <t>E280098</t>
  </si>
  <si>
    <t>E-1991172</t>
  </si>
  <si>
    <t>BH 1330 G EX BH 410 GZ EX BH 1123 GZ</t>
  </si>
  <si>
    <t>MHFE2CJ2JAK016743</t>
  </si>
  <si>
    <t>DBU4353</t>
  </si>
  <si>
    <t>H-O 4610849</t>
  </si>
  <si>
    <t>Reclass Dari set Lain RB</t>
  </si>
  <si>
    <t>Ertiga</t>
  </si>
  <si>
    <t>BH 1346 G EX BH 1147 GZ</t>
  </si>
  <si>
    <t xml:space="preserve">MHYKZE81SCJ-105638 </t>
  </si>
  <si>
    <t xml:space="preserve">K14BT-1006068 </t>
  </si>
  <si>
    <t>I-11593447</t>
  </si>
  <si>
    <t>RSUD AHMAD RIPIN</t>
  </si>
  <si>
    <t>Dr. Spesialis</t>
  </si>
  <si>
    <t>BH 1347 G EX BH 1167 G EX BH 1175 GZ EX BH 42 GZ</t>
  </si>
  <si>
    <t>MHFE2CJ2JCK031971</t>
  </si>
  <si>
    <t xml:space="preserve">DDB3016 </t>
  </si>
  <si>
    <t>J-04079880</t>
  </si>
  <si>
    <t>SEI.GELAM</t>
  </si>
  <si>
    <t>BH 1148 GZ</t>
  </si>
  <si>
    <t xml:space="preserve">MHYKZE81SCJ-104022 </t>
  </si>
  <si>
    <t xml:space="preserve"> K14BT- 1004235 </t>
  </si>
  <si>
    <t>I-11593448</t>
  </si>
  <si>
    <t>BH 1262 G EX BH 1192 GZ</t>
  </si>
  <si>
    <t>MHYKZE8 1SDJ 100555</t>
  </si>
  <si>
    <t>K14BT - 1035142</t>
  </si>
  <si>
    <t>K-03088177</t>
  </si>
  <si>
    <t>BH 1261 G EX BH 1191 GZ</t>
  </si>
  <si>
    <t>MHYKZE81SDJ - 100351</t>
  </si>
  <si>
    <t>K14BT - 1035148</t>
  </si>
  <si>
    <t>K-03088176</t>
  </si>
  <si>
    <t>BH 1201 G EX BH 41 GZ</t>
  </si>
  <si>
    <t>MHFE2CJ2JDKO35877</t>
  </si>
  <si>
    <t>DD14702</t>
  </si>
  <si>
    <t>K-02786816</t>
  </si>
  <si>
    <t>BH 1235 G EX BH 1205GZ</t>
  </si>
  <si>
    <t>MHYLZG81SDJ201233</t>
  </si>
  <si>
    <t>K14BT1078081</t>
  </si>
  <si>
    <t>K-06090825</t>
  </si>
  <si>
    <t>Mobil Roda 4</t>
  </si>
  <si>
    <t>BH 1007 G</t>
  </si>
  <si>
    <t>MHKM5EB4JHK006700</t>
  </si>
  <si>
    <t>1NRF265264</t>
  </si>
  <si>
    <t>L-10936795</t>
  </si>
  <si>
    <t>RSU Sungai Bahar</t>
  </si>
  <si>
    <t>Kendaraan roda empat</t>
  </si>
  <si>
    <t>Besi</t>
  </si>
  <si>
    <t>BH 1046 G</t>
  </si>
  <si>
    <t>Direktur RSU Sungai Bahar</t>
  </si>
  <si>
    <t>Kendaraan Roda Empat</t>
  </si>
  <si>
    <t>2020</t>
  </si>
  <si>
    <t>BH 1301 G</t>
  </si>
  <si>
    <t>MHKV3BA6JLK013755</t>
  </si>
  <si>
    <t>K3MH69502</t>
  </si>
  <si>
    <t>P-06450335</t>
  </si>
  <si>
    <t>BH 1088 G</t>
  </si>
  <si>
    <t>MHFAW8EM4L0214883</t>
  </si>
  <si>
    <t>1TR-A729433</t>
  </si>
  <si>
    <t>KEPALA DINAS</t>
  </si>
  <si>
    <t>BH 1087 G</t>
  </si>
  <si>
    <t xml:space="preserve"> MHFJB8EM2L1066920</t>
  </si>
  <si>
    <t>2GD-C677880</t>
  </si>
  <si>
    <t>Mutasi ke DPRD</t>
  </si>
  <si>
    <t>Mobil Donor Darah</t>
  </si>
  <si>
    <t xml:space="preserve"> Hiace M/T </t>
  </si>
  <si>
    <t>Hiace</t>
  </si>
  <si>
    <t>BH 9038 G</t>
  </si>
  <si>
    <t>JTFST22P6R0046765</t>
  </si>
  <si>
    <t>1KD-B190110</t>
  </si>
  <si>
    <t>U-02080764</t>
  </si>
  <si>
    <t>RSUD AHMAD RIPIN/ UPD Darah</t>
  </si>
  <si>
    <t>Mini Bus ( Penumpang 14 Orang ke Bawah )</t>
  </si>
  <si>
    <t>Toyota Avanza 1.3 E. M/T / Ambulance</t>
  </si>
  <si>
    <t>Toyota</t>
  </si>
  <si>
    <t xml:space="preserve"> Besi </t>
  </si>
  <si>
    <t>2025</t>
  </si>
  <si>
    <t xml:space="preserve"> BH 9047 G</t>
  </si>
  <si>
    <t xml:space="preserve">MHKAA1BY9S1005467 </t>
  </si>
  <si>
    <t>1NRG309655</t>
  </si>
  <si>
    <t>Dinkes AMBULAN TEMPINO</t>
  </si>
  <si>
    <t>Dinkes</t>
  </si>
  <si>
    <t xml:space="preserve"> BH 9045 G</t>
  </si>
  <si>
    <t>MHKAA1BY1S1005480</t>
  </si>
  <si>
    <t>Dinkes JMBI KECIL</t>
  </si>
  <si>
    <t xml:space="preserve"> BH 9046 G</t>
  </si>
  <si>
    <t xml:space="preserve">MHKAA1BY1S1005530 </t>
  </si>
  <si>
    <t xml:space="preserve"> Pkm. Muaro Kumpeh </t>
  </si>
  <si>
    <t>Ambulance rawat inap</t>
  </si>
  <si>
    <t>Toyota Innova 2.4 G. M/T / Ambulance</t>
  </si>
  <si>
    <t>Kijang Inova 2.4 G /MT</t>
  </si>
  <si>
    <t xml:space="preserve">Besi </t>
  </si>
  <si>
    <t>BH 9048 G</t>
  </si>
  <si>
    <t>MHFIB8EM551175340</t>
  </si>
  <si>
    <t>2GD5873243</t>
  </si>
  <si>
    <t>AA00086546</t>
  </si>
  <si>
    <t>Pkm. Tanjung</t>
  </si>
  <si>
    <t>Pick Up</t>
  </si>
  <si>
    <t>Mobil Box</t>
  </si>
  <si>
    <t>2016</t>
  </si>
  <si>
    <t>BH 9361 GZ</t>
  </si>
  <si>
    <t>MHCTBR54FGK175469</t>
  </si>
  <si>
    <t>E175469</t>
  </si>
  <si>
    <t>L-08629036</t>
  </si>
  <si>
    <t xml:space="preserve"> Instalasi Farmasi </t>
  </si>
  <si>
    <t>Mobil Ambulance</t>
  </si>
  <si>
    <t>Ambulance</t>
  </si>
  <si>
    <t>1992</t>
  </si>
  <si>
    <t>BH 9016 BZ</t>
  </si>
  <si>
    <t>KF50-091389</t>
  </si>
  <si>
    <t>5K-9053199</t>
  </si>
  <si>
    <t xml:space="preserve"> Raden Mustofa  (SUDAH LELANG)</t>
  </si>
  <si>
    <t xml:space="preserve">Pusling </t>
  </si>
  <si>
    <t>2003</t>
  </si>
  <si>
    <t>BH  2012 GZ</t>
  </si>
  <si>
    <t>MHF11KF8030080842</t>
  </si>
  <si>
    <t>7K-0606988</t>
  </si>
  <si>
    <t>C-5973506</t>
  </si>
  <si>
    <t xml:space="preserve"> Pkm. Tan Tan (SUDAH LELANG)</t>
  </si>
  <si>
    <t>Toyota Kijang</t>
  </si>
  <si>
    <t>RB</t>
  </si>
  <si>
    <t>BH  1089 GZ</t>
  </si>
  <si>
    <t>MHFIIKF8030080842</t>
  </si>
  <si>
    <t xml:space="preserve"> Pkm. Tempino </t>
  </si>
  <si>
    <t>Usulkan Lelang 2026</t>
  </si>
  <si>
    <t>Toyota KIjang L200</t>
  </si>
  <si>
    <t>BH  9315 GZ</t>
  </si>
  <si>
    <t>MMBCNK5704F000614</t>
  </si>
  <si>
    <t>4M40ZA0702</t>
  </si>
  <si>
    <t>D-3116629</t>
  </si>
  <si>
    <t xml:space="preserve"> Pkm Sungai Bahar VII </t>
  </si>
  <si>
    <t>Pusling</t>
  </si>
  <si>
    <t>BH 9311 GZ</t>
  </si>
  <si>
    <t>MHML300DB3RZ32380</t>
  </si>
  <si>
    <t>4D56-390012</t>
  </si>
  <si>
    <t>C-7206020</t>
  </si>
  <si>
    <t>RS A RIPIN</t>
  </si>
  <si>
    <t>2006</t>
  </si>
  <si>
    <t>BH  9317 GZ</t>
  </si>
  <si>
    <t>MHKSPRRHE6K003366</t>
  </si>
  <si>
    <t>D-9865431</t>
  </si>
  <si>
    <t xml:space="preserve"> Dinas Kesehatan </t>
  </si>
  <si>
    <t>BH 8140 G EX BH  9018 GZ</t>
  </si>
  <si>
    <t>MROAW12G870005042</t>
  </si>
  <si>
    <t>1TR6404434</t>
  </si>
  <si>
    <t>F-2415815</t>
  </si>
  <si>
    <t xml:space="preserve"> Gudang Farmasi </t>
  </si>
  <si>
    <t>Perbaikan Kendaraan Roda 4 ( Pusling )</t>
  </si>
  <si>
    <t>Toyota Hilux</t>
  </si>
  <si>
    <t>BH  9019 GZ</t>
  </si>
  <si>
    <t>MROAW12G570005662</t>
  </si>
  <si>
    <t>1TR-6424436</t>
  </si>
  <si>
    <t xml:space="preserve"> Pkm Jambi Kecil </t>
  </si>
  <si>
    <t>BH  9024 GZ</t>
  </si>
  <si>
    <t>MROAW12G180011959</t>
  </si>
  <si>
    <t>1TR6620512</t>
  </si>
  <si>
    <t>F-6465554</t>
  </si>
  <si>
    <t xml:space="preserve"> Pkm. SEI DUREN</t>
  </si>
  <si>
    <t>BH  9025 GZ</t>
  </si>
  <si>
    <t xml:space="preserve"> Pkm. Pir II Bajubang </t>
  </si>
  <si>
    <t>Pusling + Kelengkapan Pusling ( Roda 4 )</t>
  </si>
  <si>
    <t>BH  9026 GZ</t>
  </si>
  <si>
    <t>MHCTBR54F9K300767</t>
  </si>
  <si>
    <t>E300767</t>
  </si>
  <si>
    <t xml:space="preserve"> Dinas Kesehatan  (BERUBAH NOPOL)</t>
  </si>
  <si>
    <t>BH  331 GZ</t>
  </si>
  <si>
    <t>MHCTBR54F9K300765</t>
  </si>
  <si>
    <t>E300765</t>
  </si>
  <si>
    <t>2011</t>
  </si>
  <si>
    <t>BH 1139 G EX BH 9072 GZ</t>
  </si>
  <si>
    <t>MHCTBR54FBK312127</t>
  </si>
  <si>
    <t>E312127</t>
  </si>
  <si>
    <t xml:space="preserve">Ambulance </t>
  </si>
  <si>
    <t>BH 1603 HE</t>
  </si>
  <si>
    <t>MHKV3CA3JCK009298</t>
  </si>
  <si>
    <t>DCM2813</t>
  </si>
  <si>
    <t>Kendaraan Ambulance</t>
  </si>
  <si>
    <t>Isuzu Panther</t>
  </si>
  <si>
    <t>BH 1367 G EX BH 1187 GZ</t>
  </si>
  <si>
    <t>MHCTBR54FDK319301</t>
  </si>
  <si>
    <t>E319301</t>
  </si>
  <si>
    <t xml:space="preserve"> Pkm. Puding </t>
  </si>
  <si>
    <t>PUSLING</t>
  </si>
  <si>
    <t>Pengadaan Puskesmas Keliling</t>
  </si>
  <si>
    <t>BH 1197 GZ</t>
  </si>
  <si>
    <t>MHCTBR54FDK321076</t>
  </si>
  <si>
    <t>E321076</t>
  </si>
  <si>
    <t>Pkm. Tangkit</t>
  </si>
  <si>
    <t>BH 1215 G EX BH 1198 GZ</t>
  </si>
  <si>
    <t>MHCTBR54FDK320203</t>
  </si>
  <si>
    <t>E320203</t>
  </si>
  <si>
    <t>K-06086065</t>
  </si>
  <si>
    <t xml:space="preserve"> Pkm. Sengeti </t>
  </si>
  <si>
    <t>PUSLING PKM SENGETI</t>
  </si>
  <si>
    <t>BH 1196 GZ</t>
  </si>
  <si>
    <t>MHCTBR54FDK320679</t>
  </si>
  <si>
    <t>E320679</t>
  </si>
  <si>
    <t xml:space="preserve"> Pkm. Sungai Duren </t>
  </si>
  <si>
    <t>Isuzu  Panther 2499 cc</t>
  </si>
  <si>
    <t>BH 1189 GZ</t>
  </si>
  <si>
    <t>MHCTBR54FDK319302</t>
  </si>
  <si>
    <t>E319302</t>
  </si>
  <si>
    <t xml:space="preserve"> Pkm. Pondok Meja </t>
  </si>
  <si>
    <t>Kepala UPTD Puskesmas (dr. Dewi Lidiya Astuti)</t>
  </si>
  <si>
    <t>Kendaraan Pusling</t>
  </si>
  <si>
    <t>BH 1271 G EX BH 1210 GZ</t>
  </si>
  <si>
    <t>MHCTBR54FEK321968</t>
  </si>
  <si>
    <t>E321968</t>
  </si>
  <si>
    <t>K-06092898</t>
  </si>
  <si>
    <t xml:space="preserve"> Pkm. Bahar IV </t>
  </si>
  <si>
    <t>BH 1267 G EX BH 1209 GZ</t>
  </si>
  <si>
    <t>MHCTBR54FEK321961</t>
  </si>
  <si>
    <t>E321961</t>
  </si>
  <si>
    <t>K-06092896</t>
  </si>
  <si>
    <t>Isuzu</t>
  </si>
  <si>
    <t>Panther Turbo LM</t>
  </si>
  <si>
    <t>BH 1243 G EX BH 1207 GZ</t>
  </si>
  <si>
    <t>K-06092897</t>
  </si>
  <si>
    <t xml:space="preserve"> Pkm. Tanjung </t>
  </si>
  <si>
    <t>Sudah Diserahkan Ke Dinas Kesehatan</t>
  </si>
  <si>
    <t>BH 9110 G</t>
  </si>
  <si>
    <t>MHYGDN42VDJ-375911</t>
  </si>
  <si>
    <t>G15AID-281387</t>
  </si>
  <si>
    <t>J-06145326</t>
  </si>
  <si>
    <t xml:space="preserve"> Hibah Angkasa Pura II  Pkm. Kebon IX</t>
  </si>
  <si>
    <t>BH 1350 G EX BH 1208 GZ</t>
  </si>
  <si>
    <t>MHCTBR54FEK321962</t>
  </si>
  <si>
    <t>E321962</t>
  </si>
  <si>
    <t>K-06092895</t>
  </si>
  <si>
    <t>2015</t>
  </si>
  <si>
    <t>BH 9032 GZ</t>
  </si>
  <si>
    <t>Kendaraan Puskesmas Keliling + Acesories</t>
  </si>
  <si>
    <t>BH 1328 G EX BH 1241 GZ</t>
  </si>
  <si>
    <t>MHCTBR54FGK327691</t>
  </si>
  <si>
    <t>E327691</t>
  </si>
  <si>
    <t>L-08628935</t>
  </si>
  <si>
    <t xml:space="preserve"> Pkm. Tantan </t>
  </si>
  <si>
    <t>BH 1325 G EX BH 1242 GZ</t>
  </si>
  <si>
    <t>MHCTBR54FGK327697</t>
  </si>
  <si>
    <t>E327697</t>
  </si>
  <si>
    <t>L-08628936</t>
  </si>
  <si>
    <t xml:space="preserve"> Pkm. Sekernan Ilir </t>
  </si>
  <si>
    <t>BH 1324 G EX BH 1243 GZ</t>
  </si>
  <si>
    <t>MHCTBR54FGK327695</t>
  </si>
  <si>
    <t>E327695</t>
  </si>
  <si>
    <t>L-08628937</t>
  </si>
  <si>
    <t>puskesmas keliling</t>
  </si>
  <si>
    <t>Panter</t>
  </si>
  <si>
    <t>BH 1245 GZ</t>
  </si>
  <si>
    <t xml:space="preserve"> Pkm. Jambi Kecil </t>
  </si>
  <si>
    <t>BH 1240 GZ</t>
  </si>
  <si>
    <t>MHCTBR54FGK327692</t>
  </si>
  <si>
    <t>E327692</t>
  </si>
  <si>
    <t>L-08628964</t>
  </si>
  <si>
    <t xml:space="preserve"> Pkm. Kemingking Dalam </t>
  </si>
  <si>
    <t>BH 1329 G EX BH 1244 GZ</t>
  </si>
  <si>
    <t>MHCTBR54FGK327694</t>
  </si>
  <si>
    <t>E327694</t>
  </si>
  <si>
    <t>L-08628938</t>
  </si>
  <si>
    <t xml:space="preserve"> Pkm. Penyengat Olak </t>
  </si>
  <si>
    <t>BH 1012 G</t>
  </si>
  <si>
    <t>MHFJW8EM2H2330207</t>
  </si>
  <si>
    <t>1TR-A280426</t>
  </si>
  <si>
    <t>M-04238290</t>
  </si>
  <si>
    <t>PKM.SEI GELAM</t>
  </si>
  <si>
    <t>2018</t>
  </si>
  <si>
    <t>BH 9006 G</t>
  </si>
  <si>
    <t>MJEC1JG41J5170312</t>
  </si>
  <si>
    <t>W04DTRR78226</t>
  </si>
  <si>
    <t>O-06920098</t>
  </si>
  <si>
    <t>SUNGAI BAHAR</t>
  </si>
  <si>
    <t>Mobil Ambulance + Akesoris</t>
  </si>
  <si>
    <t>BH 9010 G</t>
  </si>
  <si>
    <t>MHYGDN42VKJ400890</t>
  </si>
  <si>
    <t>G15A1D432228</t>
  </si>
  <si>
    <t>P-06384568</t>
  </si>
  <si>
    <t>Ambulance PSC 119 DINKES</t>
  </si>
  <si>
    <t>Mobil Puskesmas Keliling + Aksesoris</t>
  </si>
  <si>
    <t>Puskesmas BAJUBANG (MOBIL COVID)</t>
  </si>
  <si>
    <t>BH 9014 G</t>
  </si>
  <si>
    <t>MHYGDN42VKJ402508</t>
  </si>
  <si>
    <t>G15AID434567</t>
  </si>
  <si>
    <t>P-06411472</t>
  </si>
  <si>
    <t>Puskesmas Kasang Pudak</t>
  </si>
  <si>
    <t>BH 9015 G</t>
  </si>
  <si>
    <t>MHYGDN42VKJ402522</t>
  </si>
  <si>
    <t>G15AID434695</t>
  </si>
  <si>
    <t>P-06411473</t>
  </si>
  <si>
    <t>Puskesmas Talang Bukit</t>
  </si>
  <si>
    <t>BH 9016 G</t>
  </si>
  <si>
    <t>MHYGDN42VKJ402517</t>
  </si>
  <si>
    <t>G15AID434696</t>
  </si>
  <si>
    <t>P-06411474</t>
  </si>
  <si>
    <t>Puskesmas Suko Awin Jaya</t>
  </si>
  <si>
    <t>BH 9012 G</t>
  </si>
  <si>
    <t>Puskesmas BAHAR I (MOBIL COVID)</t>
  </si>
  <si>
    <t>BH 9019 G</t>
  </si>
  <si>
    <t>MHYGDN42VLJ400482</t>
  </si>
  <si>
    <t xml:space="preserve"> G15AID436185</t>
  </si>
  <si>
    <t>BH 1304 G</t>
  </si>
  <si>
    <t>MHFJB8EM9L1071516</t>
  </si>
  <si>
    <t>2GD C717005</t>
  </si>
  <si>
    <t>RSUD Ahmad Ripin</t>
  </si>
  <si>
    <t>Mutasi Ke CAPIL</t>
  </si>
  <si>
    <t>BH 1306 G</t>
  </si>
  <si>
    <t xml:space="preserve"> MHFJB8EM1L1069467</t>
  </si>
  <si>
    <t xml:space="preserve"> 2GD C702409</t>
  </si>
  <si>
    <t>RSUD Sungai Bahar</t>
  </si>
  <si>
    <t>Mutasi ke Diknas</t>
  </si>
  <si>
    <t>Toyota Innova</t>
  </si>
  <si>
    <t>BH 1309 G</t>
  </si>
  <si>
    <t>MHFIW8EM8L2380635</t>
  </si>
  <si>
    <t>1TRA732064</t>
  </si>
  <si>
    <t>P07641322F</t>
  </si>
  <si>
    <t>Pkm. Tempino</t>
  </si>
  <si>
    <t>BH 1308 G</t>
  </si>
  <si>
    <t>MHFJW8EL2383326</t>
  </si>
  <si>
    <t>1TR-A758952</t>
  </si>
  <si>
    <t>Pkm. Markanding</t>
  </si>
  <si>
    <t>Ambulans Tran</t>
  </si>
  <si>
    <t xml:space="preserve"> sport Toyota </t>
  </si>
  <si>
    <t>BH 9028 G</t>
  </si>
  <si>
    <t>MHFJB8EM2R1133279</t>
  </si>
  <si>
    <t>2GDD372756</t>
  </si>
  <si>
    <t>U-02076362</t>
  </si>
  <si>
    <t>DINAS KESEHATANP PKM.SEI DUREN</t>
  </si>
  <si>
    <t>DINAS KESEHATAN</t>
  </si>
  <si>
    <t>BH 9029 G</t>
  </si>
  <si>
    <t>MHFJB8EM8R1133125</t>
  </si>
  <si>
    <t>2GDD371928</t>
  </si>
  <si>
    <t>U-02076363</t>
  </si>
  <si>
    <t>DINAS KESEHATAN PKM.PETALING</t>
  </si>
  <si>
    <t>BH 9030 G</t>
  </si>
  <si>
    <t>MHFJB8EM1R1132611</t>
  </si>
  <si>
    <t>2GDD404251</t>
  </si>
  <si>
    <t>U-02076364</t>
  </si>
  <si>
    <t>DINAS KESEHATAN Pkm. Kebon IX</t>
  </si>
  <si>
    <t>BH 9031 G</t>
  </si>
  <si>
    <t>MHFJB8EM4R1133476</t>
  </si>
  <si>
    <t>2GDD407254</t>
  </si>
  <si>
    <t>U-02076365</t>
  </si>
  <si>
    <t>DINAS KESEHATAN PKM.KASANG PUDAK</t>
  </si>
  <si>
    <t>BH 9032 G</t>
  </si>
  <si>
    <t>MHFJB8EM1R1134018</t>
  </si>
  <si>
    <t>2GDD409411</t>
  </si>
  <si>
    <t>U-02076366</t>
  </si>
  <si>
    <t>PKM PONDOK MEJA (DINAS KESEHATAN)</t>
  </si>
  <si>
    <t>BH 9033 G</t>
  </si>
  <si>
    <t>MHFJB8EMXR1134342</t>
  </si>
  <si>
    <t>2GDD408520</t>
  </si>
  <si>
    <t>U-02076367</t>
  </si>
  <si>
    <t>PKM.Sungai Bahar VII (DINAS KESEHATAN )</t>
  </si>
  <si>
    <t>BH 9034 G</t>
  </si>
  <si>
    <t>MHFJB8EM1R1134472</t>
  </si>
  <si>
    <t>2GDD410535</t>
  </si>
  <si>
    <t>U-02076368</t>
  </si>
  <si>
    <t>DINAS KESEHATAN PKM.SEI BAHAR IV</t>
  </si>
  <si>
    <t>BH 9035 G</t>
  </si>
  <si>
    <t>MHFJB8EM7R1133682</t>
  </si>
  <si>
    <t>2GDD407576</t>
  </si>
  <si>
    <t>U-02076369</t>
  </si>
  <si>
    <r>
      <rPr/>
      <t xml:space="preserve">DINAS KESEHATAN </t>
    </r>
    <r>
      <rPr>
        <color rgb="FF1155CC"/>
        <u/>
      </rPr>
      <t>PKM.SI</t>
    </r>
    <r>
      <rPr/>
      <t>.BAHARI I</t>
    </r>
  </si>
  <si>
    <t>BH 9036 G</t>
  </si>
  <si>
    <t>MHFJB8EM3R1133906</t>
  </si>
  <si>
    <t>2GDD407938</t>
  </si>
  <si>
    <t>U-02076370</t>
  </si>
  <si>
    <t>DINAS KESEHATAN PKM.TALANG BUKIT</t>
  </si>
  <si>
    <t>Mobil Jenazah</t>
  </si>
  <si>
    <t>BH 9020 G</t>
  </si>
  <si>
    <t xml:space="preserve"> JTFSS22P3L0190235</t>
  </si>
  <si>
    <t>2KD B036761</t>
  </si>
  <si>
    <t>PSC DINKES</t>
  </si>
  <si>
    <t>Mobil Ambulance Jenazah</t>
  </si>
  <si>
    <t>BH 9043 G</t>
  </si>
  <si>
    <t>MHYGDN41VRJ400956</t>
  </si>
  <si>
    <t>G15AID451629</t>
  </si>
  <si>
    <t>RSUD S. Bahar</t>
  </si>
  <si>
    <t>Kasubbag TU (Rudiyanto, S.Kep)</t>
  </si>
  <si>
    <t>Sepeda motor</t>
  </si>
  <si>
    <t>1990</t>
  </si>
  <si>
    <t>BH  5150 BZ</t>
  </si>
  <si>
    <t>A100-234255</t>
  </si>
  <si>
    <t>A100-ID-121621</t>
  </si>
  <si>
    <t>suzuki TRS</t>
  </si>
  <si>
    <t>BH  6987 AZ</t>
  </si>
  <si>
    <t>TRS61588</t>
  </si>
  <si>
    <t>E.101.ID.119102</t>
  </si>
  <si>
    <t xml:space="preserve"> Pkm Puding </t>
  </si>
  <si>
    <t>Sudah Diserahkan Ke Dinas</t>
  </si>
  <si>
    <t>BH  5362 BZ</t>
  </si>
  <si>
    <t>MHDA100VXRJ286358</t>
  </si>
  <si>
    <t>A100.1D.173555</t>
  </si>
  <si>
    <t>1991</t>
  </si>
  <si>
    <t>BH  7199 AZ</t>
  </si>
  <si>
    <t>TRS70578</t>
  </si>
  <si>
    <t>E101.1D.127898</t>
  </si>
  <si>
    <t>BH  5213 BZ</t>
  </si>
  <si>
    <t>NC07761532</t>
  </si>
  <si>
    <t>NCE1066177</t>
  </si>
  <si>
    <t>BH  7446 BZ</t>
  </si>
  <si>
    <t>RC100.209323</t>
  </si>
  <si>
    <t>E104-ID-298814</t>
  </si>
  <si>
    <t>BH  7866 BZ</t>
  </si>
  <si>
    <t>MHDRC110NPJ194729</t>
  </si>
  <si>
    <t>E107.1D.194939</t>
  </si>
  <si>
    <t>BH  7505 BZ</t>
  </si>
  <si>
    <t>3WL005077</t>
  </si>
  <si>
    <t>3HB.063236</t>
  </si>
  <si>
    <t>BH  7496 AZ</t>
  </si>
  <si>
    <t>3WL.005184</t>
  </si>
  <si>
    <t>3HB.063311</t>
  </si>
  <si>
    <t>BH  5357 BZ</t>
  </si>
  <si>
    <t>MHDRC100PRJ-164868</t>
  </si>
  <si>
    <t>E104.1D.388453</t>
  </si>
  <si>
    <t>A-2497950</t>
  </si>
  <si>
    <t>Sudah diserahkan ke Dinkes</t>
  </si>
  <si>
    <t>BH  5361 BZ</t>
  </si>
  <si>
    <t>MHDRC100PRJ-165760</t>
  </si>
  <si>
    <t>E104-ID-389030</t>
  </si>
  <si>
    <t>A-2497954</t>
  </si>
  <si>
    <t xml:space="preserve"> Dinkes </t>
  </si>
  <si>
    <t>BH  5324 BZ</t>
  </si>
  <si>
    <t>MHDRC.100DRJ212356</t>
  </si>
  <si>
    <t>E107.1D.212479</t>
  </si>
  <si>
    <t>BH  5701 AZ</t>
  </si>
  <si>
    <t>MH33AY101XK115922</t>
  </si>
  <si>
    <t>3AY.840613</t>
  </si>
  <si>
    <t>tidak ada</t>
  </si>
  <si>
    <t xml:space="preserve"> Pkm Pondok Meja </t>
  </si>
  <si>
    <t>BH  5397 BZ</t>
  </si>
  <si>
    <t>MHDA100VXTJ305151</t>
  </si>
  <si>
    <t>A.1D.192046</t>
  </si>
  <si>
    <t>BH  7864 BZ</t>
  </si>
  <si>
    <t>MHDRC110NPJ29431</t>
  </si>
  <si>
    <t>E.107.ID.94934</t>
  </si>
  <si>
    <t>BH  5360 BZ</t>
  </si>
  <si>
    <t>MHDRC.100PRJ164968</t>
  </si>
  <si>
    <t>E104.1D.388015</t>
  </si>
  <si>
    <t>A-2497953</t>
  </si>
  <si>
    <t xml:space="preserve"> Pkm Sengeti </t>
  </si>
  <si>
    <t>BH  5516 BZ</t>
  </si>
  <si>
    <t>MH3.3AY008.TK956929</t>
  </si>
  <si>
    <t>3AY.783362</t>
  </si>
  <si>
    <t>BH  5515 HZ</t>
  </si>
  <si>
    <t>NH3AY008TK957100</t>
  </si>
  <si>
    <t>3AY.783365</t>
  </si>
  <si>
    <t>BH  5468 BZ</t>
  </si>
  <si>
    <t>MHDRC10054J298338</t>
  </si>
  <si>
    <t>E.107.ID.597382</t>
  </si>
  <si>
    <t>Yamaha</t>
  </si>
  <si>
    <t>BH  5712 HZ</t>
  </si>
  <si>
    <t>MH3.3AY101</t>
  </si>
  <si>
    <t>3AY.840605</t>
  </si>
  <si>
    <t>BH  5276 HZ</t>
  </si>
  <si>
    <t>MH345T001.VK104943</t>
  </si>
  <si>
    <t>4ST057709</t>
  </si>
  <si>
    <t>BH  5710 AZ</t>
  </si>
  <si>
    <t>NH33AY008TK</t>
  </si>
  <si>
    <t>3AY783365</t>
  </si>
  <si>
    <t xml:space="preserve"> Pkm. Kebon IX </t>
  </si>
  <si>
    <t>RC100</t>
  </si>
  <si>
    <t>1998</t>
  </si>
  <si>
    <t>BH  5611 HZ</t>
  </si>
  <si>
    <t>MHDRC.100NWJ240437</t>
  </si>
  <si>
    <t>E108.1D.240175</t>
  </si>
  <si>
    <t>A-7892856</t>
  </si>
  <si>
    <t>RC100 TORNADO</t>
  </si>
  <si>
    <t>BH  5617 HZ</t>
  </si>
  <si>
    <t>MHDRC100NWJ-240482</t>
  </si>
  <si>
    <t>E108-ID240672</t>
  </si>
  <si>
    <t>A-7892862</t>
  </si>
  <si>
    <t>BH  5679 HZ</t>
  </si>
  <si>
    <t>BH  5155 BZ</t>
  </si>
  <si>
    <t>1999</t>
  </si>
  <si>
    <t>BH  5883 HZ</t>
  </si>
  <si>
    <t>MDRC100NY2249596</t>
  </si>
  <si>
    <t>E108.1D.249663</t>
  </si>
  <si>
    <t>Suzuki</t>
  </si>
  <si>
    <t>BH  5490 BZ</t>
  </si>
  <si>
    <t>MHDRL100PVJ326601</t>
  </si>
  <si>
    <t>E104.1D.549361</t>
  </si>
  <si>
    <t>BH  5860 HZ</t>
  </si>
  <si>
    <t>MHDRC100NYJ249603</t>
  </si>
  <si>
    <t>E.108.ID.249603</t>
  </si>
  <si>
    <t>BH  5866 HZ</t>
  </si>
  <si>
    <t>MHDRC.100NY2249602</t>
  </si>
  <si>
    <t>E108.1249668</t>
  </si>
  <si>
    <t>A-9091110</t>
  </si>
  <si>
    <t>BH  5622 HZ</t>
  </si>
  <si>
    <t>MHDRC100NWJ 240426</t>
  </si>
  <si>
    <t>E108.1D.240464</t>
  </si>
  <si>
    <t>A-7892867</t>
  </si>
  <si>
    <t>BH  5878 HZ</t>
  </si>
  <si>
    <t>MHDRC.100NV22449564</t>
  </si>
  <si>
    <t>E108.ID.249809</t>
  </si>
  <si>
    <t>A-9091143</t>
  </si>
  <si>
    <t>BH  5610 HZ</t>
  </si>
  <si>
    <t>MHDRC100NWJ240534</t>
  </si>
  <si>
    <t>E108.1D.240173</t>
  </si>
  <si>
    <t>BH  2511 HZ</t>
  </si>
  <si>
    <t>MHDRC100NYZ245</t>
  </si>
  <si>
    <t>E108.1D.249655</t>
  </si>
  <si>
    <t>VEGA R</t>
  </si>
  <si>
    <t>BH  5863 HZ</t>
  </si>
  <si>
    <t>MHDRC100NY2249596</t>
  </si>
  <si>
    <t>A-9091128</t>
  </si>
  <si>
    <t>BH  5024 GZ</t>
  </si>
  <si>
    <t>MHIHABA144K056052</t>
  </si>
  <si>
    <t>HABBE-1056162</t>
  </si>
  <si>
    <t>B-0382327</t>
  </si>
  <si>
    <t>BH  5330 GZ</t>
  </si>
  <si>
    <t>MH1JB22195K546155</t>
  </si>
  <si>
    <t>JB22E.1545128</t>
  </si>
  <si>
    <t>D-6749744</t>
  </si>
  <si>
    <t>BH  5333 GZ</t>
  </si>
  <si>
    <t>MH1JB22115K541824</t>
  </si>
  <si>
    <t>JB22E.1540434</t>
  </si>
  <si>
    <t>D-6749743</t>
  </si>
  <si>
    <t>BH  5336 GZ</t>
  </si>
  <si>
    <t>MH1JB22145K540327</t>
  </si>
  <si>
    <t>JB22E-1540627</t>
  </si>
  <si>
    <t>D-6749741</t>
  </si>
  <si>
    <t xml:space="preserve"> Pkm Muaro Kumpeh </t>
  </si>
  <si>
    <t>Di daftar tidak laku lelang tahun 2023</t>
  </si>
  <si>
    <t>BH  5342 GZ</t>
  </si>
  <si>
    <t>MH34ST21058K022132</t>
  </si>
  <si>
    <t>4ST-1380612</t>
  </si>
  <si>
    <t>D-7356049</t>
  </si>
  <si>
    <t xml:space="preserve"> Pkm. Bahar I </t>
  </si>
  <si>
    <t>BH  5343 GZ</t>
  </si>
  <si>
    <t>MH34ST2105K021847</t>
  </si>
  <si>
    <t>4ST-1380512</t>
  </si>
  <si>
    <t>D-7356050</t>
  </si>
  <si>
    <t xml:space="preserve"> Pkm Pir II Bajubang </t>
  </si>
  <si>
    <t>Yamaha Veza</t>
  </si>
  <si>
    <t>BH  5345 GZ</t>
  </si>
  <si>
    <t>MH34ST2105K022169</t>
  </si>
  <si>
    <t>4ST-1380520</t>
  </si>
  <si>
    <t xml:space="preserve"> Pkm Tempino </t>
  </si>
  <si>
    <t>Sudah dieserahkan ke Dinkes</t>
  </si>
  <si>
    <t>BH  5347 GZ</t>
  </si>
  <si>
    <t>MH34STT2105K021864</t>
  </si>
  <si>
    <t>4ST-1380170</t>
  </si>
  <si>
    <t>D-7356054</t>
  </si>
  <si>
    <t>Yamaha Vega R</t>
  </si>
  <si>
    <t>BH 2593 G Ex BH  5354 GZ</t>
  </si>
  <si>
    <t>MH34ST2105K022035</t>
  </si>
  <si>
    <t>4ST-1380458</t>
  </si>
  <si>
    <t>D-7356060</t>
  </si>
  <si>
    <t>BH  5356 GZ</t>
  </si>
  <si>
    <t>MH34ST2105K022136</t>
  </si>
  <si>
    <t>4ST-1380291</t>
  </si>
  <si>
    <t>D-7356062</t>
  </si>
  <si>
    <t xml:space="preserve"> Pkm Bahar I </t>
  </si>
  <si>
    <t>BH 2573 G EX BH  5358 GZ</t>
  </si>
  <si>
    <t>MH34ST2105K022019</t>
  </si>
  <si>
    <t>4ST-1380632</t>
  </si>
  <si>
    <t>D-7356063</t>
  </si>
  <si>
    <t>BH  5367 GZ</t>
  </si>
  <si>
    <t>MH34ST2105K059611</t>
  </si>
  <si>
    <t>4ST-1418540</t>
  </si>
  <si>
    <t>D-8076176</t>
  </si>
  <si>
    <t xml:space="preserve"> Pkm Sungai Duren </t>
  </si>
  <si>
    <t>VEGA</t>
  </si>
  <si>
    <t>BH  5368 GZ</t>
  </si>
  <si>
    <t>MH34ST2105K059609</t>
  </si>
  <si>
    <t>4ST-1418523</t>
  </si>
  <si>
    <t>D-8076177</t>
  </si>
  <si>
    <t>Honda Supra X</t>
  </si>
  <si>
    <t>BH 2610 G EX BH  5371 GZ</t>
  </si>
  <si>
    <t>MH34ST2105K059562</t>
  </si>
  <si>
    <t>4ST-1418509</t>
  </si>
  <si>
    <t>D-8076180</t>
  </si>
  <si>
    <t xml:space="preserve"> Pkm Markanding </t>
  </si>
  <si>
    <t>BH 2574 G EX BH  5372 GZ</t>
  </si>
  <si>
    <t>MH34ST2105K059465</t>
  </si>
  <si>
    <t>4ST-1418278</t>
  </si>
  <si>
    <t>D-8076181</t>
  </si>
  <si>
    <t>BH 5488 GZ</t>
  </si>
  <si>
    <t>MH4AN13085KP12659</t>
  </si>
  <si>
    <t>AN130BEP20324</t>
  </si>
  <si>
    <t>E-1991113</t>
  </si>
  <si>
    <t xml:space="preserve"> Pkm. Sungai Duren ( Kusnadi I ) </t>
  </si>
  <si>
    <t>BH 5489 GZ</t>
  </si>
  <si>
    <t>MH4AN13085KP14989</t>
  </si>
  <si>
    <t>AN130BEP26549</t>
  </si>
  <si>
    <t>E-1991112</t>
  </si>
  <si>
    <t xml:space="preserve"> Dinkes ( Fitri Mardesni ) </t>
  </si>
  <si>
    <t>BH 5322 GZ</t>
  </si>
  <si>
    <t>MH1KEVA275K158803</t>
  </si>
  <si>
    <t>KEVAE2157683</t>
  </si>
  <si>
    <t>D-5514953</t>
  </si>
  <si>
    <t>BH 5327 GZ</t>
  </si>
  <si>
    <t>MH1KEVA255K158816</t>
  </si>
  <si>
    <t>KEVAE-2158136</t>
  </si>
  <si>
    <t>D-5514579</t>
  </si>
  <si>
    <t>BH 5324 GZ</t>
  </si>
  <si>
    <t>MH1KEVA275K158817</t>
  </si>
  <si>
    <t>KEVAE-2158085</t>
  </si>
  <si>
    <t>D-5514576</t>
  </si>
  <si>
    <t>Honda Supra</t>
  </si>
  <si>
    <t>BH 5352 GZ</t>
  </si>
  <si>
    <t>MH34ST2105K022328</t>
  </si>
  <si>
    <t>4ST-1380833</t>
  </si>
  <si>
    <t>D-7356059</t>
  </si>
  <si>
    <t>Yamaha vega</t>
  </si>
  <si>
    <t>BH 2581 G EX BH  5370 GZ</t>
  </si>
  <si>
    <t>MH34ST2105K059605</t>
  </si>
  <si>
    <t>4ST-1418537</t>
  </si>
  <si>
    <t>D-8076179</t>
  </si>
  <si>
    <t>BH  5376 GZ</t>
  </si>
  <si>
    <t>MH33K40156K809131</t>
  </si>
  <si>
    <t>3KA-783231</t>
  </si>
  <si>
    <t>D-8076185</t>
  </si>
  <si>
    <t>BH  5350 GZ</t>
  </si>
  <si>
    <t>MH34ST2105K021905</t>
  </si>
  <si>
    <t>4ST-1381604</t>
  </si>
  <si>
    <t>D-7356057</t>
  </si>
  <si>
    <t>BH  5344 GZ</t>
  </si>
  <si>
    <t>MH34ST2105K021731</t>
  </si>
  <si>
    <t>4ST-1380082</t>
  </si>
  <si>
    <t>D-7356051</t>
  </si>
  <si>
    <t>BH  5373 GZ</t>
  </si>
  <si>
    <t>MH33WL0046K16554</t>
  </si>
  <si>
    <t>3HB-343490</t>
  </si>
  <si>
    <t>D-8076182</t>
  </si>
  <si>
    <t>yamaha RX king</t>
  </si>
  <si>
    <t>BH  5378 GZ</t>
  </si>
  <si>
    <t>MH33KA0156K809033</t>
  </si>
  <si>
    <t>3KA-783133</t>
  </si>
  <si>
    <t>D-8076187</t>
  </si>
  <si>
    <t>BH  5389 GZ</t>
  </si>
  <si>
    <t>MH33S00016K072159</t>
  </si>
  <si>
    <t>350-070187</t>
  </si>
  <si>
    <t>D-9201103</t>
  </si>
  <si>
    <t>BH  5391 GZ</t>
  </si>
  <si>
    <t>MH33S00016K072134</t>
  </si>
  <si>
    <t>350-070168</t>
  </si>
  <si>
    <t>D-9199253</t>
  </si>
  <si>
    <t>BH  5392 GZ</t>
  </si>
  <si>
    <t>MH33S00016K072609</t>
  </si>
  <si>
    <t>350-070605</t>
  </si>
  <si>
    <t>D-9201105</t>
  </si>
  <si>
    <t>Gudang Pkm Sengeti</t>
  </si>
  <si>
    <t>BH  5393 GZ</t>
  </si>
  <si>
    <t>MH33S00016K072137</t>
  </si>
  <si>
    <t>350-070163</t>
  </si>
  <si>
    <t>D-9201098</t>
  </si>
  <si>
    <t>BH  5421 GZ</t>
  </si>
  <si>
    <t>MH4AN112D5KPA3529</t>
  </si>
  <si>
    <t>AN112BEPB3764</t>
  </si>
  <si>
    <t>E-0186288</t>
  </si>
  <si>
    <t>BH  5425 GZ</t>
  </si>
  <si>
    <t>MH4AN112D5KPA2549</t>
  </si>
  <si>
    <t>AN112BEPB3044</t>
  </si>
  <si>
    <t>E-0186292</t>
  </si>
  <si>
    <t>BH 5471 GZ</t>
  </si>
  <si>
    <t>MH4AN125FGKP00280</t>
  </si>
  <si>
    <t>AN125FEP00396</t>
  </si>
  <si>
    <t>E-1991130</t>
  </si>
  <si>
    <t xml:space="preserve"> Dinkes ( Haryanto) </t>
  </si>
  <si>
    <t>kawasaki kaze</t>
  </si>
  <si>
    <t>BH 5474 GZ</t>
  </si>
  <si>
    <t>MH4AN125FGKP00498</t>
  </si>
  <si>
    <t>AN125FEP00666</t>
  </si>
  <si>
    <t>E-1991127</t>
  </si>
  <si>
    <t xml:space="preserve"> Pkm. Puding ( Rukison ) </t>
  </si>
  <si>
    <t>BH 5479 GZ</t>
  </si>
  <si>
    <t>MH4AN125FGKP00454</t>
  </si>
  <si>
    <t>AN125FEP00498</t>
  </si>
  <si>
    <t>E-1991122</t>
  </si>
  <si>
    <t xml:space="preserve"> Dinkes ( Hardiyan ) </t>
  </si>
  <si>
    <t>BH 5482 GZ</t>
  </si>
  <si>
    <t>MH4AN125FGKP00572</t>
  </si>
  <si>
    <t>AN125FEP00751</t>
  </si>
  <si>
    <t>E-1991119</t>
  </si>
  <si>
    <t xml:space="preserve"> Ex Kadis ( A.Manap. MKM ) </t>
  </si>
  <si>
    <t>BH 5486 GZ</t>
  </si>
  <si>
    <t>MH4AN125FGKP00714</t>
  </si>
  <si>
    <t>AN125FEPO1111</t>
  </si>
  <si>
    <t>E-1991115</t>
  </si>
  <si>
    <t xml:space="preserve"> Pustu Talang Kerinci ( Rismauli ) </t>
  </si>
  <si>
    <t>BH 5487 GZ</t>
  </si>
  <si>
    <t>MH4AN125FGKP00439</t>
  </si>
  <si>
    <t>AN125FEP00591</t>
  </si>
  <si>
    <t>E-1991114</t>
  </si>
  <si>
    <t xml:space="preserve"> Pkm. Sungai Duren ( Rosmeri ) </t>
  </si>
  <si>
    <t>BH 5491 GZ</t>
  </si>
  <si>
    <t>MH1HB41196K770555</t>
  </si>
  <si>
    <t>HB41E1770078</t>
  </si>
  <si>
    <t>E-1990839</t>
  </si>
  <si>
    <t xml:space="preserve"> Dinkes ( Rahmat Yuliansyah ) </t>
  </si>
  <si>
    <t>BH 5293 GZ</t>
  </si>
  <si>
    <t>MH1HB41136K770552</t>
  </si>
  <si>
    <t>HB41E-1771069</t>
  </si>
  <si>
    <t>E-1990840</t>
  </si>
  <si>
    <t>BH 5494 GZ</t>
  </si>
  <si>
    <t>MH1HB41166K772019</t>
  </si>
  <si>
    <t>HB41E1769936</t>
  </si>
  <si>
    <t xml:space="preserve"> Pkm. Sekernan Ilir ( Jalima Tusakdiyah ) </t>
  </si>
  <si>
    <t>BH 5497 GZ</t>
  </si>
  <si>
    <t>MH1HB41166K772098</t>
  </si>
  <si>
    <t>HB41E1769884</t>
  </si>
  <si>
    <t>E-1990844</t>
  </si>
  <si>
    <t xml:space="preserve"> Pkm.Pir II Bajubang ( Prety Mulyani ) </t>
  </si>
  <si>
    <t>BH 2575 G EX BH 5498 GZ</t>
  </si>
  <si>
    <t>MH1HB41116K772011</t>
  </si>
  <si>
    <t>HB41E1769726</t>
  </si>
  <si>
    <t>E-1990845</t>
  </si>
  <si>
    <t>BH 5532 GZ</t>
  </si>
  <si>
    <t>MH8EN125A6J344430</t>
  </si>
  <si>
    <t>F405ID345538</t>
  </si>
  <si>
    <t>E-5772329</t>
  </si>
  <si>
    <t xml:space="preserve"> Dinkes ( Andi ) </t>
  </si>
  <si>
    <t>BH 5535 GZ</t>
  </si>
  <si>
    <t>MH8EN125A6J346446</t>
  </si>
  <si>
    <t>F405ID347082</t>
  </si>
  <si>
    <t xml:space="preserve"> Dinkes ( Sinta Romauli ) </t>
  </si>
  <si>
    <t>BH 5534 GZ</t>
  </si>
  <si>
    <t>MH8EN12546J346446</t>
  </si>
  <si>
    <t>E-5772330</t>
  </si>
  <si>
    <t xml:space="preserve"> Dinkes ( Joko Prayitno ) </t>
  </si>
  <si>
    <t>BH 5496 GZ</t>
  </si>
  <si>
    <t>MH1HB41186K772040</t>
  </si>
  <si>
    <t>HB41E1770407</t>
  </si>
  <si>
    <t>E-1990843</t>
  </si>
  <si>
    <t xml:space="preserve"> Dinkes ( Dedi Gunadi ) </t>
  </si>
  <si>
    <t>Kawasaki Kaze</t>
  </si>
  <si>
    <t>BH 5484 GZ</t>
  </si>
  <si>
    <t>MH4AN125FGKP00538</t>
  </si>
  <si>
    <t>AN125FEP00842</t>
  </si>
  <si>
    <t>E-1991117</t>
  </si>
  <si>
    <t xml:space="preserve"> Pkm. Tangkit ( Nengah Tresno Denti ) </t>
  </si>
  <si>
    <t>keberadaan sekarang di Puskesmas Petaling</t>
  </si>
  <si>
    <t>BH 5477 GZ</t>
  </si>
  <si>
    <t>MH4AN125FGKP00432</t>
  </si>
  <si>
    <t>AN125FEP00511</t>
  </si>
  <si>
    <t>E-1991124</t>
  </si>
  <si>
    <t xml:space="preserve"> Pustu Kedotan ( Ningcik ) </t>
  </si>
  <si>
    <t>BH 5473 GZ</t>
  </si>
  <si>
    <t>MH4AN125FGKP00471</t>
  </si>
  <si>
    <t>AN125FEP00567</t>
  </si>
  <si>
    <t>E-1991128</t>
  </si>
  <si>
    <t xml:space="preserve"> Pkm. Jambi Kecil ( Ponimun ) </t>
  </si>
  <si>
    <t>BH  5426 GZ</t>
  </si>
  <si>
    <t>MH4AN112D5KPA2982</t>
  </si>
  <si>
    <t>AN112BEPB3070</t>
  </si>
  <si>
    <t>E-0186293</t>
  </si>
  <si>
    <t>BH 2582 G EX BH  5395 GZ</t>
  </si>
  <si>
    <t>MH33S00016K072035</t>
  </si>
  <si>
    <t>350-070045</t>
  </si>
  <si>
    <t>D-9199254</t>
  </si>
  <si>
    <t>BH  5424 GZ</t>
  </si>
  <si>
    <t>MH4AN112D5KPA2981</t>
  </si>
  <si>
    <t>AN112BEPB3064</t>
  </si>
  <si>
    <t>E-0186291</t>
  </si>
  <si>
    <t>BH  5390 GZ</t>
  </si>
  <si>
    <t>MH33S00016K072642</t>
  </si>
  <si>
    <t>350-070512</t>
  </si>
  <si>
    <t>D-9201104</t>
  </si>
  <si>
    <t>BH  5670 GZ</t>
  </si>
  <si>
    <t>MH1JB51137K997197</t>
  </si>
  <si>
    <t>JB51E-1986101</t>
  </si>
  <si>
    <t>E-9782784</t>
  </si>
  <si>
    <t>BH  5672 GZ</t>
  </si>
  <si>
    <t>MH1JB51157K907127</t>
  </si>
  <si>
    <t>JB51E-1896292</t>
  </si>
  <si>
    <t>E-9782814</t>
  </si>
  <si>
    <t>Honda</t>
  </si>
  <si>
    <t>BH  5681 GZ</t>
  </si>
  <si>
    <t>MH1JB51187K932135</t>
  </si>
  <si>
    <t>JB51E-1921745</t>
  </si>
  <si>
    <t>BH  5683 GZ</t>
  </si>
  <si>
    <t>MH1JB51117K997182</t>
  </si>
  <si>
    <t>JB51E-1985908</t>
  </si>
  <si>
    <t>E-9782789</t>
  </si>
  <si>
    <t>BH  5684 GZ</t>
  </si>
  <si>
    <t>MH1JB51137K999127</t>
  </si>
  <si>
    <t>JB51E-1987841</t>
  </si>
  <si>
    <t>E-9782812</t>
  </si>
  <si>
    <t>BH 2692 G Ex BH 5685 GZ</t>
  </si>
  <si>
    <t>MH1JB51277K030018</t>
  </si>
  <si>
    <t>JB51E-2019011</t>
  </si>
  <si>
    <t>BH  5689 GZ</t>
  </si>
  <si>
    <t>MH1JB51177K948598</t>
  </si>
  <si>
    <t>JB51E-1934399</t>
  </si>
  <si>
    <t>E-9782815</t>
  </si>
  <si>
    <t>Zulfariani</t>
  </si>
  <si>
    <t>P2P</t>
  </si>
  <si>
    <t>BH  5690 GZ</t>
  </si>
  <si>
    <t>MH1JB51177K915102</t>
  </si>
  <si>
    <t>JB51E-1904123</t>
  </si>
  <si>
    <t>E-9782816</t>
  </si>
  <si>
    <t>BH  5691 GZ</t>
  </si>
  <si>
    <t>MH1JB512X7K024231</t>
  </si>
  <si>
    <t>JB51E-2013388</t>
  </si>
  <si>
    <t>E-9782817</t>
  </si>
  <si>
    <t>Koordinator UKM (Rini Kurniasih, AM. Keb)</t>
  </si>
  <si>
    <t>BH  5693 GZ</t>
  </si>
  <si>
    <t>MH1JB51267K033234</t>
  </si>
  <si>
    <t>JB51E-2022237</t>
  </si>
  <si>
    <t>E-9782819</t>
  </si>
  <si>
    <t xml:space="preserve"> Pkm Tan Tan </t>
  </si>
  <si>
    <t>BH  5694 GZ</t>
  </si>
  <si>
    <t>MH1JB51137K993716</t>
  </si>
  <si>
    <t>JB51E-1982560</t>
  </si>
  <si>
    <t>E-9782820</t>
  </si>
  <si>
    <t>BH  5695 GZ</t>
  </si>
  <si>
    <t>MH1JB51277K028124</t>
  </si>
  <si>
    <t>JB51E-2017269</t>
  </si>
  <si>
    <t>E-9782821</t>
  </si>
  <si>
    <t>BH 4079 G (EX BH  5697 GZ)</t>
  </si>
  <si>
    <t>MH1JB51186K822653</t>
  </si>
  <si>
    <t>JB51E-1957409</t>
  </si>
  <si>
    <t xml:space="preserve"> Pkm Kemingking Dalam </t>
  </si>
  <si>
    <t>ROSDIANA SITANGGANG, S.Keb</t>
  </si>
  <si>
    <t>BH  5701 GZ</t>
  </si>
  <si>
    <t>MH1JB51166K786896</t>
  </si>
  <si>
    <t>JB51E-1779812</t>
  </si>
  <si>
    <t>Lili Marlina</t>
  </si>
  <si>
    <t xml:space="preserve">Sepeda Motor </t>
  </si>
  <si>
    <t>BH  5675 GZ</t>
  </si>
  <si>
    <t>JB81E1115143</t>
  </si>
  <si>
    <t>BH  5679 GZ</t>
  </si>
  <si>
    <t>MH1JB81148K121354</t>
  </si>
  <si>
    <t>JB91E1119716</t>
  </si>
  <si>
    <t>E-9781507</t>
  </si>
  <si>
    <t>BH  5680 GZ</t>
  </si>
  <si>
    <t>MH1JB81118K118265</t>
  </si>
  <si>
    <t>JB81E1117175</t>
  </si>
  <si>
    <t>E-9781508</t>
  </si>
  <si>
    <t>BH  5676 GZ</t>
  </si>
  <si>
    <t>MH1JB81188K111510</t>
  </si>
  <si>
    <t>JB81E1112109</t>
  </si>
  <si>
    <t>E-9781506</t>
  </si>
  <si>
    <t>BH 2595 G (EX BH  5696 GZ)</t>
  </si>
  <si>
    <t>MH1JB51237K032266</t>
  </si>
  <si>
    <t>JB51E-2021413</t>
  </si>
  <si>
    <t>E-9782822</t>
  </si>
  <si>
    <t>Alfikar</t>
  </si>
  <si>
    <t>BH  5686 GZ</t>
  </si>
  <si>
    <t>MH1JB51187K919773</t>
  </si>
  <si>
    <t>JB51E-1913292</t>
  </si>
  <si>
    <t>E-9782786</t>
  </si>
  <si>
    <t>BH  5682 GZ</t>
  </si>
  <si>
    <t>MH1JB51237K028265</t>
  </si>
  <si>
    <t>JB51E-2016441</t>
  </si>
  <si>
    <t>E-9782788</t>
  </si>
  <si>
    <t xml:space="preserve"> Pkm Tanjung </t>
  </si>
  <si>
    <t>BH  5692 GZ</t>
  </si>
  <si>
    <t>MH1JB51137K904761</t>
  </si>
  <si>
    <t>JB51E-1894114</t>
  </si>
  <si>
    <t>E-9782818</t>
  </si>
  <si>
    <t>BH  5782 GZ</t>
  </si>
  <si>
    <t>MH1JB81178K338235</t>
  </si>
  <si>
    <t>JB81E1332295</t>
  </si>
  <si>
    <t>HONDA SUPRA</t>
  </si>
  <si>
    <t>BH  5785 GZ</t>
  </si>
  <si>
    <t>MH1JB81128K336764</t>
  </si>
  <si>
    <t>JB81E1333605</t>
  </si>
  <si>
    <t>F-6468409</t>
  </si>
  <si>
    <t>BH  5786 GZ</t>
  </si>
  <si>
    <t>MHIJB811X8K336348</t>
  </si>
  <si>
    <t>JB8IE1332849</t>
  </si>
  <si>
    <t>F-6468520</t>
  </si>
  <si>
    <t>BH 2641 G EX BH  5787 GZ</t>
  </si>
  <si>
    <t>MHIJB81118K338232</t>
  </si>
  <si>
    <t>JB8IE1332309</t>
  </si>
  <si>
    <t>F-6468522</t>
  </si>
  <si>
    <t>BH  5789 GZ</t>
  </si>
  <si>
    <t>MHIJ81198K336342</t>
  </si>
  <si>
    <t>JB8IE1332873</t>
  </si>
  <si>
    <t>F-6468521</t>
  </si>
  <si>
    <t>BH 4015 G EX BH  5791 GZ</t>
  </si>
  <si>
    <t>MH1JB81118K338215</t>
  </si>
  <si>
    <t>JB81E1334823</t>
  </si>
  <si>
    <t>T-00683854</t>
  </si>
  <si>
    <t>BH  5788 GZ</t>
  </si>
  <si>
    <t>MH1JB81198K338236</t>
  </si>
  <si>
    <t>JB81E1332283</t>
  </si>
  <si>
    <t>F-6468414</t>
  </si>
  <si>
    <t>BH  5784 GZ</t>
  </si>
  <si>
    <t>MH1JB81118K336335</t>
  </si>
  <si>
    <t>JB81E1332899</t>
  </si>
  <si>
    <t>F-6468413</t>
  </si>
  <si>
    <t xml:space="preserve"> Laboratorium Kesehatan </t>
  </si>
  <si>
    <t>Sepeda Motor +Logo Bakti Husada + Box</t>
  </si>
  <si>
    <t>BH  5854 GZ</t>
  </si>
  <si>
    <t>MH8BF45CA9J-163433</t>
  </si>
  <si>
    <t>F496ID320928</t>
  </si>
  <si>
    <t>G-0277503</t>
  </si>
  <si>
    <t>BH  5856 GZ</t>
  </si>
  <si>
    <t>MH8BF45CA9J-160219</t>
  </si>
  <si>
    <t>F496ID300581</t>
  </si>
  <si>
    <t>G-0277505</t>
  </si>
  <si>
    <t>Suzuki Shogun R 125 cc</t>
  </si>
  <si>
    <t>BH 2425 G (Ex BH 5857 GZ)</t>
  </si>
  <si>
    <t>MH8BF45CA9J-161521</t>
  </si>
  <si>
    <t>F496ID311829</t>
  </si>
  <si>
    <t>Farmasi (Masnaria, FB)</t>
  </si>
  <si>
    <t>BH  5859 GZ</t>
  </si>
  <si>
    <t>MH8BF45CA9J-163738</t>
  </si>
  <si>
    <t>F496ID322788</t>
  </si>
  <si>
    <t>G-0277507</t>
  </si>
  <si>
    <t>BH  5855 GZ</t>
  </si>
  <si>
    <t>MH8BF45CA9J-163751</t>
  </si>
  <si>
    <t>F496ID322744</t>
  </si>
  <si>
    <t>G-0277504</t>
  </si>
  <si>
    <t>DISERAHKAN UTK USULAN LELANG</t>
  </si>
  <si>
    <t>BH 2693 G EX BH 6131 GZ</t>
  </si>
  <si>
    <t>MHUBG115CK065296</t>
  </si>
  <si>
    <t>JBG1E-1064340</t>
  </si>
  <si>
    <t>I-11594916</t>
  </si>
  <si>
    <t>BH 2694 G EX BH 6132 GZ</t>
  </si>
  <si>
    <t>MH1JBG119CK063549</t>
  </si>
  <si>
    <t>JBG1E-1062568</t>
  </si>
  <si>
    <t>I-11594915</t>
  </si>
  <si>
    <t>BH 2434 G EX BH 6327 GZ</t>
  </si>
  <si>
    <t>MH31FD001/DJ026385</t>
  </si>
  <si>
    <t xml:space="preserve">IFD.026394 </t>
  </si>
  <si>
    <t>K-03783672</t>
  </si>
  <si>
    <t>RSU A RIPIN</t>
  </si>
  <si>
    <t>BH 2436 G EX BH 6329 GZ</t>
  </si>
  <si>
    <t>MH31FD001/DJ037091</t>
  </si>
  <si>
    <t>IFD.037097</t>
  </si>
  <si>
    <t>K-03783670</t>
  </si>
  <si>
    <t>BH 6328 GZ</t>
  </si>
  <si>
    <t>MH31FD004DJ033972</t>
  </si>
  <si>
    <t>1FD-033980</t>
  </si>
  <si>
    <t>K-03783669</t>
  </si>
  <si>
    <t>BH 2695 G EX BH 6226 GZ</t>
  </si>
  <si>
    <t>MH1CBG110DK118021</t>
  </si>
  <si>
    <t>JBG1E-1116990</t>
  </si>
  <si>
    <t>K-01753464</t>
  </si>
  <si>
    <t>BH 2696 G EX BH 6227 GZ</t>
  </si>
  <si>
    <t>MH1CBG116DK117990</t>
  </si>
  <si>
    <t>JBG1E-1116919</t>
  </si>
  <si>
    <t>K-01753463</t>
  </si>
  <si>
    <t>BH 2437 G EX BH 6332 GZ</t>
  </si>
  <si>
    <t>MH31FD001/DJ032364</t>
  </si>
  <si>
    <t>IFD.032371</t>
  </si>
  <si>
    <t>K-03784149</t>
  </si>
  <si>
    <t>BH 2438 G EX BH 6428 GZ</t>
  </si>
  <si>
    <t>MH32BJ003EJ547456</t>
  </si>
  <si>
    <t>2BJ-547665</t>
  </si>
  <si>
    <t>K-09676834</t>
  </si>
  <si>
    <t>Motor</t>
  </si>
  <si>
    <t>Besi+Baja</t>
  </si>
  <si>
    <t>BH 2018 G</t>
  </si>
  <si>
    <t>MH1JFY111HK092156</t>
  </si>
  <si>
    <t>JFY1E-1089756</t>
  </si>
  <si>
    <t>M-11749772</t>
  </si>
  <si>
    <t>BH 2019 G</t>
  </si>
  <si>
    <t>MH1JFY117HK092145</t>
  </si>
  <si>
    <t>JFY1E-1089748</t>
  </si>
  <si>
    <t>M-11749776</t>
  </si>
  <si>
    <t>Sepeda motor + Box Belakang</t>
  </si>
  <si>
    <t>Yamaha Mio</t>
  </si>
  <si>
    <t>BH 2257 G</t>
  </si>
  <si>
    <t>MH3SE88H0LJ181151</t>
  </si>
  <si>
    <t xml:space="preserve"> E3R2E-2680251</t>
  </si>
  <si>
    <t xml:space="preserve"> Pkm. Markanding </t>
  </si>
  <si>
    <t>BH 2258 G</t>
  </si>
  <si>
    <t>MH3SE88H0LJ179433</t>
  </si>
  <si>
    <t>E3R2E-2675738</t>
  </si>
  <si>
    <t xml:space="preserve"> Pkm. Muara Kumpeh </t>
  </si>
  <si>
    <t>Bidan Mahir/ Pj. Imunisasi</t>
  </si>
  <si>
    <t>BH 2260 G</t>
  </si>
  <si>
    <t>MH3SE88H0LJ215721</t>
  </si>
  <si>
    <t>E3R2E-2752723</t>
  </si>
  <si>
    <t>BH 2261 G</t>
  </si>
  <si>
    <t>MH3SE88H0LJ215467</t>
  </si>
  <si>
    <t>E3R2E-2752170</t>
  </si>
  <si>
    <t>BH 2262 G</t>
  </si>
  <si>
    <t>MH3SE88H0LJ215455</t>
  </si>
  <si>
    <t>E3R2E-2752158</t>
  </si>
  <si>
    <t>Yamaha Mio 125 cc</t>
  </si>
  <si>
    <t>BH 2263 G</t>
  </si>
  <si>
    <t>MH3SE88H0LJ202364</t>
  </si>
  <si>
    <t>E3R2E-2731115</t>
  </si>
  <si>
    <t>Koordinator Imunisasi (Desi Murniyati, AM. Kep)</t>
  </si>
  <si>
    <t>BH 2265 G</t>
  </si>
  <si>
    <t xml:space="preserve"> MH3SE88H0LJ196882</t>
  </si>
  <si>
    <t>E3R2E-2715383</t>
  </si>
  <si>
    <t>BH 2267 G</t>
  </si>
  <si>
    <t>MH3SE88H0LJ196197</t>
  </si>
  <si>
    <t>E3R2E-2713998</t>
  </si>
  <si>
    <t>BH 2268 G</t>
  </si>
  <si>
    <t xml:space="preserve"> MH3SE88H0LJ196190</t>
  </si>
  <si>
    <t>E3R2E-2713991</t>
  </si>
  <si>
    <t>BH 2270 G</t>
  </si>
  <si>
    <t>MH3SE88H0LJ196175</t>
  </si>
  <si>
    <t>E3R2E-2713976</t>
  </si>
  <si>
    <t xml:space="preserve"> Pkm. Simp Sei Duren </t>
  </si>
  <si>
    <t>BH 2271 G</t>
  </si>
  <si>
    <t>MH3SE88H0LJ196178</t>
  </si>
  <si>
    <t>E3R2E-2713974</t>
  </si>
  <si>
    <t xml:space="preserve"> Pkm. Kasang Pudak </t>
  </si>
  <si>
    <t>BH 2272 G</t>
  </si>
  <si>
    <t>MH3SE88H0LJ196145</t>
  </si>
  <si>
    <t>E3R2E-2713949</t>
  </si>
  <si>
    <t>BH 2273 G</t>
  </si>
  <si>
    <t>E3R2E-2713947</t>
  </si>
  <si>
    <t>BH 2274 G</t>
  </si>
  <si>
    <t xml:space="preserve"> MH3SE88H0LJ187514</t>
  </si>
  <si>
    <t>E3R2E-2710972</t>
  </si>
  <si>
    <t xml:space="preserve"> Dinas Kesehatan ( P2P ) </t>
  </si>
  <si>
    <t>Mio M3</t>
  </si>
  <si>
    <t>BH 2275 G</t>
  </si>
  <si>
    <t>MH3SE88H0LJ187514</t>
  </si>
  <si>
    <t>E3R2E-2695518</t>
  </si>
  <si>
    <t>P06466605F</t>
  </si>
  <si>
    <t>Bagian Imunisasi</t>
  </si>
  <si>
    <t>BH 2276 G</t>
  </si>
  <si>
    <t xml:space="preserve"> MH3SE88H0LJ181198</t>
  </si>
  <si>
    <t>E3R2E-2680298</t>
  </si>
  <si>
    <t>P-06466606F</t>
  </si>
  <si>
    <t>Samaratul Jannah, Am. Kep/ Bagian Imunisasi</t>
  </si>
  <si>
    <t>BH 2278 G</t>
  </si>
  <si>
    <t>MH3SE88H0LJ181169</t>
  </si>
  <si>
    <t xml:space="preserve"> Pkm. Talang Bukit </t>
  </si>
  <si>
    <t xml:space="preserve">BH 2259 G </t>
  </si>
  <si>
    <t>MH3SE88H0LJ236737</t>
  </si>
  <si>
    <t>E3R2E-2796089</t>
  </si>
  <si>
    <t>BH 2251 G</t>
  </si>
  <si>
    <t>MH3SE88H0LJ203752</t>
  </si>
  <si>
    <t xml:space="preserve"> E3R2E-2728853</t>
  </si>
  <si>
    <t xml:space="preserve"> Pkm. Suko Awin Jaya </t>
  </si>
  <si>
    <t>BH 2252 G</t>
  </si>
  <si>
    <t>MH3SE88H0LJ179490</t>
  </si>
  <si>
    <t>E3R2E-2675992</t>
  </si>
  <si>
    <t xml:space="preserve">SITI MASFAH </t>
  </si>
  <si>
    <t>BH 2253 G</t>
  </si>
  <si>
    <t>MH3SE88H0LJ236742</t>
  </si>
  <si>
    <t>E3R2E-2796094</t>
  </si>
  <si>
    <t xml:space="preserve"> Pkm. Simp Sei Duren/Rd </t>
  </si>
  <si>
    <t>BH 2254 G</t>
  </si>
  <si>
    <t xml:space="preserve"> MH3SE88H0LJ179453</t>
  </si>
  <si>
    <t xml:space="preserve"> E3R2E-2675961</t>
  </si>
  <si>
    <t>Yamaha M3</t>
  </si>
  <si>
    <t>BH 2256 G</t>
  </si>
  <si>
    <t>MH3SE88H0LJ178516</t>
  </si>
  <si>
    <t>E3R2E-2673516</t>
  </si>
  <si>
    <t>SRIYANTI</t>
  </si>
  <si>
    <t>imunisasi</t>
  </si>
  <si>
    <t>BH 2269 G</t>
  </si>
  <si>
    <t>MH3SE88H0LJ196189</t>
  </si>
  <si>
    <t>E3R2E-2713990</t>
  </si>
  <si>
    <t>BH 2264 G</t>
  </si>
  <si>
    <t xml:space="preserve"> E3R2E-2725716</t>
  </si>
  <si>
    <t xml:space="preserve">Kendaraan tercatat di OPD yang tidak tercatat pada BI </t>
  </si>
  <si>
    <t>Yamaha 102 cc</t>
  </si>
  <si>
    <t>BH 5366 GZ</t>
  </si>
  <si>
    <t>Pkm Pondok Meja</t>
  </si>
  <si>
    <t>Sudah Laku Lelang Tahun 2023</t>
  </si>
  <si>
    <t>Honda 125 cc</t>
  </si>
  <si>
    <t>BH 5783 GZ</t>
  </si>
  <si>
    <t>Honda Supra x</t>
  </si>
  <si>
    <t>BH 2612 G</t>
  </si>
  <si>
    <t>Pkm Markanding</t>
  </si>
  <si>
    <t>Toyota Kijang Super KF</t>
  </si>
  <si>
    <t>BH 9306 GZ</t>
  </si>
  <si>
    <t>MHF31KF6020015366</t>
  </si>
  <si>
    <t>7K-0488100</t>
  </si>
  <si>
    <t>C-2191132</t>
  </si>
  <si>
    <t>Kawasaki Kaze R</t>
  </si>
  <si>
    <t>PEF011...</t>
  </si>
  <si>
    <t>Pkm. Sengeti</t>
  </si>
  <si>
    <t>: DINAS PEKERJAAN UMUM DAN PENATAAN RUANG</t>
  </si>
  <si>
    <t>KEBERADAAN SAAT PEMERIKSAAN</t>
  </si>
  <si>
    <t>no_mesin</t>
  </si>
  <si>
    <t>no_bpkb</t>
  </si>
  <si>
    <t>Pengguna</t>
  </si>
  <si>
    <t>KENDARAAN DINAS BERMOTOR PERORANGAN</t>
  </si>
  <si>
    <t>Multi Purpose Vehicle (MPV)</t>
  </si>
  <si>
    <t>Kijang Standar</t>
  </si>
  <si>
    <t>Dinas Pekerjaan Umum dan Penataan Ruang</t>
  </si>
  <si>
    <t>BH 1277 G</t>
  </si>
  <si>
    <t>MHF11KF70Y0031224</t>
  </si>
  <si>
    <t>7K-0372156</t>
  </si>
  <si>
    <t>B-0009508</t>
  </si>
  <si>
    <t>Rusak Berat (Usulan Lelang)</t>
  </si>
  <si>
    <t>Innova Luxury V</t>
  </si>
  <si>
    <t>BH 1135 G EXS BH 27 GZ</t>
  </si>
  <si>
    <t>MHFXW43G8C4070098</t>
  </si>
  <si>
    <t>ITR 7379385</t>
  </si>
  <si>
    <t>J-01541391</t>
  </si>
  <si>
    <t>Kepala Dinas</t>
  </si>
  <si>
    <t>Rush Type S</t>
  </si>
  <si>
    <t>BH 1170 G</t>
  </si>
  <si>
    <t>MHFE2CJ3JDK062840</t>
  </si>
  <si>
    <t>DDK6793</t>
  </si>
  <si>
    <t>K-00104004</t>
  </si>
  <si>
    <t>Sekretaris Dinas</t>
  </si>
  <si>
    <t>BH 1171 G EXS BH 272 GZ</t>
  </si>
  <si>
    <t>MHFE2CJ3JDK062733</t>
  </si>
  <si>
    <t>DDK5526</t>
  </si>
  <si>
    <t>K-00104005</t>
  </si>
  <si>
    <t>Kepala Bidang Jasa Konstruksi</t>
  </si>
  <si>
    <t>Rush TRD</t>
  </si>
  <si>
    <t>BH 1196 G EXS BH 275 GZ</t>
  </si>
  <si>
    <t>MHFE2CJ3JDK072742</t>
  </si>
  <si>
    <t>DDY6661</t>
  </si>
  <si>
    <t>K-03202460</t>
  </si>
  <si>
    <t>Kepala Bidang Pengairan</t>
  </si>
  <si>
    <t>BH 1203 G</t>
  </si>
  <si>
    <t>MHFE2CJ3JDK072195</t>
  </si>
  <si>
    <t>DDY0728</t>
  </si>
  <si>
    <t>K-03202459</t>
  </si>
  <si>
    <t>Kepala Bidang Bina Marga</t>
  </si>
  <si>
    <t>BH 1202 G EXS BH 273 GZ</t>
  </si>
  <si>
    <t>MHFE2CJ3JDK073634</t>
  </si>
  <si>
    <t>DDZ5807</t>
  </si>
  <si>
    <t>K-03202458</t>
  </si>
  <si>
    <t>Kepala Bidang Cipta Karya dan Penataan Ruang</t>
  </si>
  <si>
    <t>Sport Utility Vehicle (SUV)</t>
  </si>
  <si>
    <t>Pajero Sport GLX 4x4 MT</t>
  </si>
  <si>
    <t>Mitsubishi</t>
  </si>
  <si>
    <t>BH 1237 G</t>
  </si>
  <si>
    <t>MMBGNKH40ED019576</t>
  </si>
  <si>
    <t>4D56UCFB5407</t>
  </si>
  <si>
    <t>K-06092841</t>
  </si>
  <si>
    <t>KENDARAAN BERMOTOR ANGKUTAN BARANG</t>
  </si>
  <si>
    <t>Truck + Attachment</t>
  </si>
  <si>
    <t>Dyna 130 PS HT High Gear PS</t>
  </si>
  <si>
    <t>BH 8152 G</t>
  </si>
  <si>
    <t>MHFC1JU43C5064582</t>
  </si>
  <si>
    <t>W04DT-RJ66224</t>
  </si>
  <si>
    <t>J-04375795</t>
  </si>
  <si>
    <t>Kepala UPTD</t>
  </si>
  <si>
    <t>Panter Pick Up Turbo</t>
  </si>
  <si>
    <t>BH 8126 G EXS BH 9356 GZ</t>
  </si>
  <si>
    <t>MHCTBR54FEK169811</t>
  </si>
  <si>
    <t>E169811</t>
  </si>
  <si>
    <t>K-06099461</t>
  </si>
  <si>
    <t>Colt Diesel FE 74 HDV</t>
  </si>
  <si>
    <t>Mitsubushi</t>
  </si>
  <si>
    <t>BH 8125 GZ</t>
  </si>
  <si>
    <t>MHMFE74P5EK129587</t>
  </si>
  <si>
    <t>4D34T-K69879</t>
  </si>
  <si>
    <t>K-06098627</t>
  </si>
  <si>
    <t>136 HDX DUMP TRUK DROP SIDE 4,5 M3</t>
  </si>
  <si>
    <t>Hino</t>
  </si>
  <si>
    <t>BH 8042 G</t>
  </si>
  <si>
    <t>MJECCB2FXS5028545</t>
  </si>
  <si>
    <t>N04CWYJ38981</t>
  </si>
  <si>
    <t>W-07720296</t>
  </si>
  <si>
    <t>BH 8043 G</t>
  </si>
  <si>
    <t>MJECCB2F6S5028591</t>
  </si>
  <si>
    <t>N04CWYJ39022</t>
  </si>
  <si>
    <t>W-07720297</t>
  </si>
  <si>
    <t>BH 8044 G</t>
  </si>
  <si>
    <t>MJECCB2F1S5028529</t>
  </si>
  <si>
    <t>N04CWYJ38975</t>
  </si>
  <si>
    <t>W-07720298</t>
  </si>
  <si>
    <t>BH 8046 G</t>
  </si>
  <si>
    <t>MJECCB2F8S5028558</t>
  </si>
  <si>
    <t>N04CWYJ39003</t>
  </si>
  <si>
    <t>W-07720300</t>
  </si>
  <si>
    <t>BH 8047 G</t>
  </si>
  <si>
    <t>MJECCB2F6S5028557</t>
  </si>
  <si>
    <t>N04CWYJ39004</t>
  </si>
  <si>
    <t>W-07720301</t>
  </si>
  <si>
    <t>136 HDL Truk Pengangkut Alat Berat (Winch 10 T)</t>
  </si>
  <si>
    <t>BH 8045 G</t>
  </si>
  <si>
    <t>MJEECB2F1S5006670</t>
  </si>
  <si>
    <t>N0CWYJ39666</t>
  </si>
  <si>
    <t>W-07720299</t>
  </si>
  <si>
    <t>Win Type M.CB</t>
  </si>
  <si>
    <t>BH 5029 GZ</t>
  </si>
  <si>
    <t>MHIHABA101K056894</t>
  </si>
  <si>
    <t>HABAE-1056832</t>
  </si>
  <si>
    <t>B-0620750</t>
  </si>
  <si>
    <t>Supra</t>
  </si>
  <si>
    <t>BH 5055 GZ</t>
  </si>
  <si>
    <t>MH1KEV381K132676</t>
  </si>
  <si>
    <t>KEV3E-1132846</t>
  </si>
  <si>
    <t>Operasional Bidang Sekretariat</t>
  </si>
  <si>
    <t>GL MAX</t>
  </si>
  <si>
    <t>BH 5274 GZ</t>
  </si>
  <si>
    <t>MH1UABE144K070682</t>
  </si>
  <si>
    <t>UABEE-1070472</t>
  </si>
  <si>
    <t>D-0410433</t>
  </si>
  <si>
    <t>BH 5272 GZ</t>
  </si>
  <si>
    <t>MH1UABE114K070350</t>
  </si>
  <si>
    <t>UABEE-1070435</t>
  </si>
  <si>
    <t>D-0410431</t>
  </si>
  <si>
    <t>Satrio Aji Prasojo, ST</t>
  </si>
  <si>
    <t>BH 2489 G</t>
  </si>
  <si>
    <t>MH1UABR144K069502</t>
  </si>
  <si>
    <t>UABEE-1068830</t>
  </si>
  <si>
    <t>Ahmad Sodiqin, S.Kom (Bid. BM)</t>
  </si>
  <si>
    <t>Supra Fit</t>
  </si>
  <si>
    <t>BH 5275 GZ</t>
  </si>
  <si>
    <t>MH1HB21164K265722</t>
  </si>
  <si>
    <t>HB21E-1265560</t>
  </si>
  <si>
    <t>D-1606007</t>
  </si>
  <si>
    <t>Rahma Mastofani, SE</t>
  </si>
  <si>
    <t>Mega Pro
 Type GL 160 D</t>
  </si>
  <si>
    <t>BH 5852 GZ</t>
  </si>
  <si>
    <t>MH1KCIII59K235583</t>
  </si>
  <si>
    <t>KC11E1237519</t>
  </si>
  <si>
    <t>G-0276778</t>
  </si>
  <si>
    <t>Ricky Eka Putra, SE (Bid. Pengairan)</t>
  </si>
  <si>
    <t>Mega Pro</t>
  </si>
  <si>
    <t>BH 2654 G (EX BH 5850 GZ)</t>
  </si>
  <si>
    <t>MH1KC11129K235668</t>
  </si>
  <si>
    <t>KC11E1237612</t>
  </si>
  <si>
    <t>Mega Pro GL 160 D</t>
  </si>
  <si>
    <t>BH 2410 G</t>
  </si>
  <si>
    <t>MH1KC111X9K235661</t>
  </si>
  <si>
    <t>KC11E1237648</t>
  </si>
  <si>
    <t>G-0276779</t>
  </si>
  <si>
    <t>Abdul Rasyid, ST</t>
  </si>
  <si>
    <t>BH 2428 G</t>
  </si>
  <si>
    <t>MH1KCIII49K235669</t>
  </si>
  <si>
    <t>KC11E1237630</t>
  </si>
  <si>
    <t>G-0276722</t>
  </si>
  <si>
    <t>Amri (Bid. Pengairan)</t>
  </si>
  <si>
    <t>BH 2409 G</t>
  </si>
  <si>
    <t>MH1KC11109K235667</t>
  </si>
  <si>
    <t>KC11E1237614</t>
  </si>
  <si>
    <t>G-0276777</t>
  </si>
  <si>
    <t>New Mega Pro CW</t>
  </si>
  <si>
    <t>ADA</t>
  </si>
  <si>
    <t>BH 2537 G</t>
  </si>
  <si>
    <t>MH1KC311XBK153317</t>
  </si>
  <si>
    <t>KC31E-1153057</t>
  </si>
  <si>
    <t>I-05804043</t>
  </si>
  <si>
    <t>M. Hairul Roji, ST (Pengawas)</t>
  </si>
  <si>
    <t>BH 2566 G</t>
  </si>
  <si>
    <t>MH1KC3111BK159491</t>
  </si>
  <si>
    <t>KC31E-1160130</t>
  </si>
  <si>
    <t>Sumartono, S.Sos (Fungsional Tehnik Jalan dan Jembatan)</t>
  </si>
  <si>
    <t>BH 2623 G</t>
  </si>
  <si>
    <t>MH1KC3112BK159466</t>
  </si>
  <si>
    <t>KC31E 1159955</t>
  </si>
  <si>
    <t>I-05804045</t>
  </si>
  <si>
    <t>Ferdi Fadlan Hamdani, ST, MT (Fungsional Tehnik Jalan dan Jembatan)</t>
  </si>
  <si>
    <t>BH 2538 G</t>
  </si>
  <si>
    <t>MH1KC3114BK153457</t>
  </si>
  <si>
    <t>KC31E1152776</t>
  </si>
  <si>
    <t>I-05804041</t>
  </si>
  <si>
    <t>Bastari (Kepala UPTD )</t>
  </si>
  <si>
    <t>New Supra X 125</t>
  </si>
  <si>
    <t>BH 6063 GZ</t>
  </si>
  <si>
    <t>MH1JBF1F1188KO311183</t>
  </si>
  <si>
    <t>JBF1E 1029874</t>
  </si>
  <si>
    <t>I-05804042</t>
  </si>
  <si>
    <t>BH 2563 G</t>
  </si>
  <si>
    <t>MH1KC3111CK171156</t>
  </si>
  <si>
    <t>KC31E-1170807</t>
  </si>
  <si>
    <t>I-09291257</t>
  </si>
  <si>
    <t>Yanora Handayani, SE (BPP CK)</t>
  </si>
  <si>
    <t>BH 2562 G (Ex BH 6086 GZ)</t>
  </si>
  <si>
    <t>MH1KC3119CK171194</t>
  </si>
  <si>
    <t>KC31E-1170539</t>
  </si>
  <si>
    <t>BH 2540 G</t>
  </si>
  <si>
    <t>MH1KC3112CK186586</t>
  </si>
  <si>
    <t>KC31E-1186088</t>
  </si>
  <si>
    <t>I-09291255</t>
  </si>
  <si>
    <t>Sefrizal (UPTD</t>
  </si>
  <si>
    <t>BH 2570 G (EX BH 6088 GZ)</t>
  </si>
  <si>
    <t>MH1KC3116CK186588</t>
  </si>
  <si>
    <t>KC31E-1186210</t>
  </si>
  <si>
    <t>I-09291194</t>
  </si>
  <si>
    <t>Alpin, A. Md (Pengawas)</t>
  </si>
  <si>
    <t>BH 2541 G</t>
  </si>
  <si>
    <t>MH1KC3110CK184769</t>
  </si>
  <si>
    <t>KC31E-1184516</t>
  </si>
  <si>
    <t>I-09292914</t>
  </si>
  <si>
    <t>(Bend. Gaji)</t>
  </si>
  <si>
    <t>Vixion</t>
  </si>
  <si>
    <t>BH 6155 GZ</t>
  </si>
  <si>
    <t>MH331C1205CK110014</t>
  </si>
  <si>
    <t>3C11106189</t>
  </si>
  <si>
    <t>Jufiter MX</t>
  </si>
  <si>
    <t>BH 2758 G (Ex BH 6311 GZ)</t>
  </si>
  <si>
    <t>MH350C004DK664542</t>
  </si>
  <si>
    <t>50C-664672</t>
  </si>
  <si>
    <t>K-03780335</t>
  </si>
  <si>
    <t>M. Jufri</t>
  </si>
  <si>
    <t>BH 6312 GZ</t>
  </si>
  <si>
    <t>MH350C004DK654446</t>
  </si>
  <si>
    <t>50C-654481</t>
  </si>
  <si>
    <t>K-03780334</t>
  </si>
  <si>
    <t>Reza Ilham, ST (Bid. Pengairan)</t>
  </si>
  <si>
    <t>Xride</t>
  </si>
  <si>
    <t>BH 4064 G</t>
  </si>
  <si>
    <t>MH32BU001DJ055143</t>
  </si>
  <si>
    <t>2BU-055155</t>
  </si>
  <si>
    <t>K-03780367</t>
  </si>
  <si>
    <t>Fatima, SE (Pengawas Bid. BM)</t>
  </si>
  <si>
    <t>BH 2242 G</t>
  </si>
  <si>
    <t>MH31PA002DK333127</t>
  </si>
  <si>
    <t>1PA-333163</t>
  </si>
  <si>
    <t>K-03780333</t>
  </si>
  <si>
    <t>Edi Wahyono, A.Md (Fungsional Tehnik Tata Bangunan dan Perumahan)</t>
  </si>
  <si>
    <t>BH 6314 GZ</t>
  </si>
  <si>
    <t>MH31PA002DK333140</t>
  </si>
  <si>
    <t>1PA-333146</t>
  </si>
  <si>
    <t>K-03780332</t>
  </si>
  <si>
    <t>KLX 150 S (trail)</t>
  </si>
  <si>
    <t>Kawasaki</t>
  </si>
  <si>
    <t>BH 2761 G</t>
  </si>
  <si>
    <t>MH4LX150CDKP89195</t>
  </si>
  <si>
    <t>LX150CEPD4196</t>
  </si>
  <si>
    <t>K-03782132</t>
  </si>
  <si>
    <t>BH 2405 G</t>
  </si>
  <si>
    <t>MH4LX150CDKP89162</t>
  </si>
  <si>
    <t>LX150CEPD4172</t>
  </si>
  <si>
    <t>K-03782131</t>
  </si>
  <si>
    <t>Mustaim (Bid. BM)</t>
  </si>
  <si>
    <t>BH 2768 G (Ex BH 6319 GZ)</t>
  </si>
  <si>
    <t>MH4LX150CDKP88992</t>
  </si>
  <si>
    <t>LX150CEPD3619</t>
  </si>
  <si>
    <t>K-03782133</t>
  </si>
  <si>
    <t>NEW VIXION LIGHTNING</t>
  </si>
  <si>
    <t>BH 2478 G</t>
  </si>
  <si>
    <t>MH31PA004EK538246</t>
  </si>
  <si>
    <t>1PA-538386</t>
  </si>
  <si>
    <t>K-08472970</t>
  </si>
  <si>
    <t>Mundi Rahmat Hariawan, ST (Fungsional Tehnik Jalan dan Jembatan)</t>
  </si>
  <si>
    <t>Vixion KS</t>
  </si>
  <si>
    <t>BH 4082 G</t>
  </si>
  <si>
    <t>MH31PA004EK732162</t>
  </si>
  <si>
    <t>1PA-733738</t>
  </si>
  <si>
    <t>U-05221819
 (EX L-03923349)</t>
  </si>
  <si>
    <t>Ali Mudin, SE (Bid. BM)</t>
  </si>
  <si>
    <t>BH 2476 G</t>
  </si>
  <si>
    <t>MH31PA004EK732165</t>
  </si>
  <si>
    <t>1PA-733747</t>
  </si>
  <si>
    <t>L-03923353</t>
  </si>
  <si>
    <t>Sukemi, SE (Sekretariat)</t>
  </si>
  <si>
    <t>Jupiter MXCW</t>
  </si>
  <si>
    <t>BH 2426 G</t>
  </si>
  <si>
    <t>MH350C006EK887328</t>
  </si>
  <si>
    <t>50C-887329</t>
  </si>
  <si>
    <t>L-03923352</t>
  </si>
  <si>
    <t>Jupiter MXCW
 50C (T135HC)</t>
  </si>
  <si>
    <t>BH 2473 G</t>
  </si>
  <si>
    <t>MH350C006EK887337</t>
  </si>
  <si>
    <t>50C-887321</t>
  </si>
  <si>
    <t>L-03923351</t>
  </si>
  <si>
    <t>Romaidi, ST (Fungsional Tehnik Penyehatan Lingkungan)</t>
  </si>
  <si>
    <t>BH 4084 G (EX BH 6541 GZ)</t>
  </si>
  <si>
    <t>MH350C006EK885703</t>
  </si>
  <si>
    <t>50C-885843</t>
  </si>
  <si>
    <t>L-03923350</t>
  </si>
  <si>
    <t>Pitri Yulianti, SE (Bid. BM)</t>
  </si>
  <si>
    <t>Vega RRDB</t>
  </si>
  <si>
    <t>BH 2492 G</t>
  </si>
  <si>
    <t>MH35D9207EJ95826</t>
  </si>
  <si>
    <t>5D9-195818</t>
  </si>
  <si>
    <t>L-03923338</t>
  </si>
  <si>
    <t>Ismet, A.Md (Bid. Pengairan)</t>
  </si>
  <si>
    <t>New Vixion Advance</t>
  </si>
  <si>
    <t>BH 2491 GZ</t>
  </si>
  <si>
    <t>MH3RG1810FK109675</t>
  </si>
  <si>
    <t>G3E7E-0110180</t>
  </si>
  <si>
    <t>L-06232087</t>
  </si>
  <si>
    <t>BPP Bidang BM</t>
  </si>
  <si>
    <t>BH 6620 GZ</t>
  </si>
  <si>
    <t>MH3RG1810FK123579</t>
  </si>
  <si>
    <t>G3E7E-0124402</t>
  </si>
  <si>
    <t>L-06232086</t>
  </si>
  <si>
    <t>Nanda Yudistira, ST</t>
  </si>
  <si>
    <t>jupiter CW FI</t>
  </si>
  <si>
    <t>BH 6628 GZ</t>
  </si>
  <si>
    <t>MH3UEII20FJ046885</t>
  </si>
  <si>
    <t>G3R5E-0048691</t>
  </si>
  <si>
    <t>L-06232093</t>
  </si>
  <si>
    <t>Mashuri, SE (Pengawas)</t>
  </si>
  <si>
    <t>Type KLX 150 G</t>
  </si>
  <si>
    <t>BH 6696 GZ</t>
  </si>
  <si>
    <t>MH4LX150GGJP37204</t>
  </si>
  <si>
    <t>LX 150 CEW 08058</t>
  </si>
  <si>
    <t>Dafrizal (Bid. Pengairan)</t>
  </si>
  <si>
    <t>BH 6695 GZ</t>
  </si>
  <si>
    <t>MH4LX150GGJP37336</t>
  </si>
  <si>
    <t>LX 150 CEW 08283</t>
  </si>
  <si>
    <t>BH 6694 GZ</t>
  </si>
  <si>
    <t>MH4LX150GGJP37203</t>
  </si>
  <si>
    <t>LX 150 CEW 08055</t>
  </si>
  <si>
    <t>Jhantan Grahadayana (Bid. BM)</t>
  </si>
  <si>
    <t>BH 6697 GZ</t>
  </si>
  <si>
    <t>MH4LX150GGJP37335</t>
  </si>
  <si>
    <t>LX 150 CEW 08286</t>
  </si>
  <si>
    <t>Suhenri Zulkarnain, ST (Fungsional tehnik Pengairan)</t>
  </si>
  <si>
    <t>BH 6702 GZ</t>
  </si>
  <si>
    <t>MH3RG1810GK304533</t>
  </si>
  <si>
    <t>G3E7E-0306277</t>
  </si>
  <si>
    <t>Ludfi ibrahim Martawijaya, ST, ME (Bid. BM)</t>
  </si>
  <si>
    <t>BH 6701 GZ</t>
  </si>
  <si>
    <t>MH3RG1810GK302839</t>
  </si>
  <si>
    <t>G3E7E-0304469</t>
  </si>
  <si>
    <t>Nur Azizah, S.Kom (Kasubbag Umum dan Keuangan)</t>
  </si>
  <si>
    <t>: DINAS PERUMAHAN DAN KAWASAN PERMUKIMAN</t>
  </si>
  <si>
    <t>Keterangan</t>
  </si>
  <si>
    <t>UPDATE</t>
  </si>
  <si>
    <t>Perkim</t>
  </si>
  <si>
    <t>Isuzu Phanter Adventure</t>
  </si>
  <si>
    <t>BH 1156 G</t>
  </si>
  <si>
    <t>MHCTBR54FCK315810</t>
  </si>
  <si>
    <t>E315810</t>
  </si>
  <si>
    <t>M-11771787</t>
  </si>
  <si>
    <t>Baik (Baru Diperbaiki)</t>
  </si>
  <si>
    <t>Sekdis/ baik</t>
  </si>
  <si>
    <t>Toyota-Kijang Inova</t>
  </si>
  <si>
    <t>BH 1004 G</t>
  </si>
  <si>
    <t>MHFAW8EM3H0205115</t>
  </si>
  <si>
    <t>ITR-A247234</t>
  </si>
  <si>
    <t>L-10935830</t>
  </si>
  <si>
    <t>kadis / baik</t>
  </si>
  <si>
    <t>Kendaraan Roda 4</t>
  </si>
  <si>
    <t>Sudah dimutasi ke DLH</t>
  </si>
  <si>
    <t>TOYOTA RUSH -1.5 G M/T ALL NEW</t>
  </si>
  <si>
    <t>BH 1051 G</t>
  </si>
  <si>
    <t>MHKE8FA2JKJ000259</t>
  </si>
  <si>
    <t>2NRF903179</t>
  </si>
  <si>
    <t>P-06385530</t>
  </si>
  <si>
    <t xml:space="preserve"> Reklas dari Kendaraan Bermotor Khusus </t>
  </si>
  <si>
    <t>Kepala Bidang Permukiman</t>
  </si>
  <si>
    <t>kabid/ RR</t>
  </si>
  <si>
    <t>BH 1052 G</t>
  </si>
  <si>
    <t>MHKE8FA2JKK008126</t>
  </si>
  <si>
    <t>2NRF909639</t>
  </si>
  <si>
    <t>P-06385531</t>
  </si>
  <si>
    <t>Kepala Bidang PSU</t>
  </si>
  <si>
    <t>kabid PSU/baik</t>
  </si>
  <si>
    <t>Honda Mega Pro CW 160 DB</t>
  </si>
  <si>
    <t>BH 2406 G exs BH 5840 GZ</t>
  </si>
  <si>
    <t>MH1KC11179K211222</t>
  </si>
  <si>
    <t>KC11E-1213402</t>
  </si>
  <si>
    <t>F-8688107</t>
  </si>
  <si>
    <t>BH 5840 GZ/BH 2406 G</t>
  </si>
  <si>
    <t>Armen Sutera (Bendahara Pengeluaran)</t>
  </si>
  <si>
    <t>Bend. Pengeluaran/RR</t>
  </si>
  <si>
    <t>BH 2407 G exs BH 5841 GZ</t>
  </si>
  <si>
    <t>MH1KC11189K211102</t>
  </si>
  <si>
    <t>KC11E-1213316</t>
  </si>
  <si>
    <t>F-8688108</t>
  </si>
  <si>
    <t>BH 5841 GZ/BH 2407 G</t>
  </si>
  <si>
    <t>Adam Malik (Fungsional umum)</t>
  </si>
  <si>
    <t>Fungsional Umum/ baik</t>
  </si>
  <si>
    <t>Sepeda Motor Roda 2</t>
  </si>
  <si>
    <t>Honda Verza 150 CW</t>
  </si>
  <si>
    <t>BH 2202 G/ EX BH 6225 GZ</t>
  </si>
  <si>
    <t>MHIKC5215DK023801</t>
  </si>
  <si>
    <t>KC52E1024057</t>
  </si>
  <si>
    <t>K-01753071</t>
  </si>
  <si>
    <t xml:space="preserve">EX BH 6225 GZ    </t>
  </si>
  <si>
    <t>Plt. kasubag keuangan/baik</t>
  </si>
  <si>
    <t>BH 2212 G/ EX BH 6224 GZ</t>
  </si>
  <si>
    <t>MHIKC5218DK024571</t>
  </si>
  <si>
    <t>KC52E1024675</t>
  </si>
  <si>
    <t>K-01753056</t>
  </si>
  <si>
    <t>EX BH 6224 GZ</t>
  </si>
  <si>
    <t>Sarizal Efendi (Pembantu PPK SKPD)</t>
  </si>
  <si>
    <t>Pemb. PPPK SKPD/baik</t>
  </si>
  <si>
    <t>Yamaha New Aerox 155 VVA (standar Version)</t>
  </si>
  <si>
    <t>BH 2048 G</t>
  </si>
  <si>
    <t>MH3SG4610HJ079912</t>
  </si>
  <si>
    <t>G3J1E-0118500</t>
  </si>
  <si>
    <t>M-11807738</t>
  </si>
  <si>
    <t>Meti Erinawati, S.HI (Fungsional Tehnik Penyehatan Lingkungan)</t>
  </si>
  <si>
    <t>Fungsional Teknis/ baik</t>
  </si>
  <si>
    <t>BH 2049 G</t>
  </si>
  <si>
    <t>MH3SG4610HJ060844</t>
  </si>
  <si>
    <t>G3J1E- 0087931</t>
  </si>
  <si>
    <t>M-11807739</t>
  </si>
  <si>
    <t>Rahmat Supriadi (Fungsional Tehnik Tata Bangunan dan Perumahan)</t>
  </si>
  <si>
    <t>BH 2050 G</t>
  </si>
  <si>
    <t>MH3SG4610HJ080499</t>
  </si>
  <si>
    <t>G3J1E-0118977</t>
  </si>
  <si>
    <t>M-11807740</t>
  </si>
  <si>
    <t>Nyimas Yabin, SE (Fungsional Tehnik Tata Bangunan dan Perumahan)</t>
  </si>
  <si>
    <t>BH 2051 G</t>
  </si>
  <si>
    <t>MH3SG4610HJ080493</t>
  </si>
  <si>
    <t>G3J1E-0119081</t>
  </si>
  <si>
    <t>M-11807741</t>
  </si>
  <si>
    <t>Ade Rahmat Kurniawan (PPK SKPD)</t>
  </si>
  <si>
    <t>Kasubag Perencanaan/baik</t>
  </si>
  <si>
    <t>BH 2052 G</t>
  </si>
  <si>
    <t>MH3SG4610HJ079917</t>
  </si>
  <si>
    <t>G3J1E-0118504</t>
  </si>
  <si>
    <t>M-11807742</t>
  </si>
  <si>
    <t>Dewi Utami (Pembantu PPK SKPD)</t>
  </si>
  <si>
    <t>BH 2053 G</t>
  </si>
  <si>
    <t>MH3SG4610HJ069680</t>
  </si>
  <si>
    <t>G3J1E-0099157</t>
  </si>
  <si>
    <t>M-11807743</t>
  </si>
  <si>
    <t>Maradhona Habibie, ST (Fungsional Tehnik Penyehatan Lingkungan)</t>
  </si>
  <si>
    <t>BH 2054 G</t>
  </si>
  <si>
    <t>MH3SG4610HJ062553</t>
  </si>
  <si>
    <t>G3J1E-0089919</t>
  </si>
  <si>
    <t>M-11807744</t>
  </si>
  <si>
    <t>Zulkifli, SH (Fungsional Tehnik Tata Bangunan dan Perumahan)</t>
  </si>
  <si>
    <t>BH 2055 G</t>
  </si>
  <si>
    <t>MH3SG4610HJ069371</t>
  </si>
  <si>
    <t>G3J1E-0098830</t>
  </si>
  <si>
    <t>M-11807745</t>
  </si>
  <si>
    <t>Sri Anggraini, SH (Fungsional Tehnik Tata Bangunan dan Perumahan)</t>
  </si>
  <si>
    <t>BH 2056 G</t>
  </si>
  <si>
    <t>MH3SG4610HJ070445</t>
  </si>
  <si>
    <t>G3J1E-0100551</t>
  </si>
  <si>
    <t>M-11807746</t>
  </si>
  <si>
    <t>Heriyanto (Fungsional Teknis)</t>
  </si>
  <si>
    <t>Honda Scoopy Vin 2018</t>
  </si>
  <si>
    <t>BH 2101 G</t>
  </si>
  <si>
    <t>MH1JM312XJK191033</t>
  </si>
  <si>
    <t>JM31E-2186114</t>
  </si>
  <si>
    <t>O-00840721</t>
  </si>
  <si>
    <t>Lita Agusta (Bendahara Pengeluaran Pembantu)</t>
  </si>
  <si>
    <t>Bend. Gajibaik</t>
  </si>
  <si>
    <t>Kendaraan Roda Dua</t>
  </si>
  <si>
    <t xml:space="preserve"> Yamaha Lexi 125 cc</t>
  </si>
  <si>
    <t xml:space="preserve"> Yamaha Lexi</t>
  </si>
  <si>
    <t>2023</t>
  </si>
  <si>
    <t>BH 2386 G</t>
  </si>
  <si>
    <t>MH3SEF310PJ266533</t>
  </si>
  <si>
    <t>E31VE-0338826</t>
  </si>
  <si>
    <t>T-04344624</t>
  </si>
  <si>
    <t>DISPERKIM</t>
  </si>
  <si>
    <t>Adha Riadi, A.Md (Bendahara Pengeluaran Pembantu)</t>
  </si>
  <si>
    <t>BPP/baik</t>
  </si>
  <si>
    <t xml:space="preserve">Kendaraan Bermotor Beroda Dua </t>
  </si>
  <si>
    <t>YAMAHA  AEROX 155 CC</t>
  </si>
  <si>
    <t>YAMAHA AEROX 155 CC</t>
  </si>
  <si>
    <t>BH 2863 G</t>
  </si>
  <si>
    <t>MH3SG6410PJ291434</t>
  </si>
  <si>
    <t>G3P4E-0212119</t>
  </si>
  <si>
    <t>U-02070890</t>
  </si>
  <si>
    <t>Erik Ahmad, ST (Fungsional Tehnik Tata Bangunan dan Perumahan)</t>
  </si>
  <si>
    <t>Kendaraan Bermotor Beroda Dua</t>
  </si>
  <si>
    <t>Yamaha Aerox 155 CC</t>
  </si>
  <si>
    <t>BH 2862 G</t>
  </si>
  <si>
    <t>MH3SG6410PJ297979</t>
  </si>
  <si>
    <t>G3P2E-0324845</t>
  </si>
  <si>
    <t>U-02070889</t>
  </si>
  <si>
    <t>Muhammad Kurniawan, SH  (Fungsional Tehnik Tata Bangunan dan Perumahan)</t>
  </si>
  <si>
    <t>Yamaha Jupiter Z CW FI</t>
  </si>
  <si>
    <t>YAMAHA JUPITER Z CW FI</t>
  </si>
  <si>
    <t>BH 2864 G</t>
  </si>
  <si>
    <t>MH3UE1120RJ402580</t>
  </si>
  <si>
    <t>E3R5E-0415089</t>
  </si>
  <si>
    <t>U-02070891</t>
  </si>
  <si>
    <t>Dudi Ruhian (Pengurus Barang Pengguna)</t>
  </si>
  <si>
    <t>Bend. Barang/baik</t>
  </si>
  <si>
    <t>: SATUAN POLISI PAMONG PRAJA</t>
  </si>
  <si>
    <t>Jabatan Pengguna</t>
  </si>
  <si>
    <t>Usulan Lelang 2026</t>
  </si>
  <si>
    <t>Satpol PP</t>
  </si>
  <si>
    <t>Suzuki ST 150 Futura</t>
  </si>
  <si>
    <t>BH 1076 GZ</t>
  </si>
  <si>
    <t>MHYESL4153J539035</t>
  </si>
  <si>
    <t>G15A-IA-539035</t>
  </si>
  <si>
    <t>Usulan Lelang</t>
  </si>
  <si>
    <t>Mobil Patroli</t>
  </si>
  <si>
    <t>Mitsubishi New strada Triton</t>
  </si>
  <si>
    <t>BH 8110 G/ EX BH 9343 GZ/ EX BH 50 GZ</t>
  </si>
  <si>
    <t>MMBJNKB40CD015286</t>
  </si>
  <si>
    <t>4D56UCDA5187</t>
  </si>
  <si>
    <t>I-10037985</t>
  </si>
  <si>
    <t>BH 50 GZ/BH 9343 GZ/BH 8110 G (Rusak Ringan)</t>
  </si>
  <si>
    <t>Toyota Rush 1500 VVTI Manual</t>
  </si>
  <si>
    <t>BH 1220 G/ EX BH 50 GZ/ EX BH 1185 GZ</t>
  </si>
  <si>
    <t>MHFE2CJ3JDK064859</t>
  </si>
  <si>
    <t>DDN0868</t>
  </si>
  <si>
    <t>K-02786533</t>
  </si>
  <si>
    <t>BH 1185 GZ/BH 50 GZ/BH 1220 G</t>
  </si>
  <si>
    <t>Arif Rahman Hakim, S.Ag, MH</t>
  </si>
  <si>
    <t>TOYOTA Innova Venture 2.0 M/T</t>
  </si>
  <si>
    <t>BH 1022 G</t>
  </si>
  <si>
    <t>MHFAW8EM3J0210336</t>
  </si>
  <si>
    <t>1TRA484592</t>
  </si>
  <si>
    <t>M-11828166</t>
  </si>
  <si>
    <t>Mutasi ke DPTH 2026</t>
  </si>
  <si>
    <t>Indra, S.Sos</t>
  </si>
  <si>
    <t>TOYOTA AVANZA NEW 1.3 ESTD M/T</t>
  </si>
  <si>
    <t>BH 1095 G</t>
  </si>
  <si>
    <t>MHKM5EA2JLK079725</t>
  </si>
  <si>
    <t>1NRG096924</t>
  </si>
  <si>
    <t>P-06421968</t>
  </si>
  <si>
    <t>Kendaraan Dinas Operasional PPNS</t>
  </si>
  <si>
    <t>Evirawati, S.Sos</t>
  </si>
  <si>
    <t>Kepala Bidang Penegakan Perundang-Undangan Daerah</t>
  </si>
  <si>
    <t>Toyota KF60</t>
  </si>
  <si>
    <t>BH 9312 GZ</t>
  </si>
  <si>
    <t>MHF31KF6040031559</t>
  </si>
  <si>
    <t>7K-0717070</t>
  </si>
  <si>
    <t>D-0972420</t>
  </si>
  <si>
    <t>Patroli</t>
  </si>
  <si>
    <t>Said Afnie, SE</t>
  </si>
  <si>
    <t>Kepala Sub Bagian Umum dan Keuangan</t>
  </si>
  <si>
    <t>Mobil Dalmas</t>
  </si>
  <si>
    <t>Toyota Dyna/130 HT High Gear PS</t>
  </si>
  <si>
    <t>BH 8015 GZ</t>
  </si>
  <si>
    <t>MHFC1JU43C50604878</t>
  </si>
  <si>
    <t>W04DTRI66545</t>
  </si>
  <si>
    <t>J-04079882</t>
  </si>
  <si>
    <t>Dalmas</t>
  </si>
  <si>
    <t>Iswandi Ali Basah,SH.,MH</t>
  </si>
  <si>
    <t>Kepala Sub Bagian Perencanaan dan Kepegawaian</t>
  </si>
  <si>
    <t>Toyota Hilux Double Cabin 2.4 E 4x4/T</t>
  </si>
  <si>
    <t>BH 8012 G</t>
  </si>
  <si>
    <t>MR0DB8CDXL0180926</t>
  </si>
  <si>
    <t>2GD-4815531</t>
  </si>
  <si>
    <t>P-06451380</t>
  </si>
  <si>
    <t>Moh. Haffis, SE</t>
  </si>
  <si>
    <t>Kepala Bidang Ketentraman dan Ketertiban Umum</t>
  </si>
  <si>
    <t>Toyota/Hilux 2.4V</t>
  </si>
  <si>
    <t>BH 8048 G</t>
  </si>
  <si>
    <t>MR0BB3CD2S5817352</t>
  </si>
  <si>
    <t>2GDD540718</t>
  </si>
  <si>
    <t>W-0772339</t>
  </si>
  <si>
    <t>Pengawalan Bupati</t>
  </si>
  <si>
    <t>Iskandar, S.Sos, MM</t>
  </si>
  <si>
    <t>Kepala Sub Bagian Perencanaa</t>
  </si>
  <si>
    <t>BH 5294 GZ</t>
  </si>
  <si>
    <t>MH1KEVA15YK786347</t>
  </si>
  <si>
    <t>KEVAE-1785486</t>
  </si>
  <si>
    <t>D-1608692</t>
  </si>
  <si>
    <t>Honda CRF 150 LVIN</t>
  </si>
  <si>
    <t>BH 2169 G</t>
  </si>
  <si>
    <t>MH1KD1111KK090173</t>
  </si>
  <si>
    <t>KD11E-1089473</t>
  </si>
  <si>
    <t>P-06390277</t>
  </si>
  <si>
    <t>Feri Irawan</t>
  </si>
  <si>
    <t>Fungsional/Pengelola Gaji</t>
  </si>
  <si>
    <t>BH 2170 G</t>
  </si>
  <si>
    <t>MH1KD1117KK091067</t>
  </si>
  <si>
    <t>KD11E-1090368</t>
  </si>
  <si>
    <t>P-06390278</t>
  </si>
  <si>
    <t>Muhamad Syahril. SE</t>
  </si>
  <si>
    <t>Kepala Seksi Operasional dan Pengendalian</t>
  </si>
  <si>
    <t>Honda CRF 150LVIN</t>
  </si>
  <si>
    <t>BH 2168 G</t>
  </si>
  <si>
    <t>MH1KD1112KK090182</t>
  </si>
  <si>
    <t>KD11E-1089478</t>
  </si>
  <si>
    <t>P-06390276</t>
  </si>
  <si>
    <t>Adi Candra</t>
  </si>
  <si>
    <t>Bendahara Pengeluaran</t>
  </si>
  <si>
    <t>BH 2171 G</t>
  </si>
  <si>
    <t>MH1KD1111KK092375</t>
  </si>
  <si>
    <t>KD11E-1091757</t>
  </si>
  <si>
    <t>P-06390279</t>
  </si>
  <si>
    <t>Andiansyah, S.Pdi</t>
  </si>
  <si>
    <t>Kepala Seksi Satuan Perlindungan Masyarakat</t>
  </si>
  <si>
    <t>BH 2166 G</t>
  </si>
  <si>
    <t>MH1KD1113KK092359</t>
  </si>
  <si>
    <t>KD11E-1091741</t>
  </si>
  <si>
    <t>P-06390274</t>
  </si>
  <si>
    <t>Plt. Kepala Seksi Pembinaan, Penyuluhan dan Pengawasan</t>
  </si>
  <si>
    <t>BH 2167 G</t>
  </si>
  <si>
    <t>MH1KD1114KK092371</t>
  </si>
  <si>
    <t>KD11E-1091753</t>
  </si>
  <si>
    <t>P-06390275</t>
  </si>
  <si>
    <t>H.Harianto, SE</t>
  </si>
  <si>
    <t>Kepala Seksi Bina Potensi dan Kerjasama Masyarakat</t>
  </si>
  <si>
    <t>Mutasi dari Sekretariat Daerah (Kepala Satuan)</t>
  </si>
  <si>
    <t>Jeep</t>
  </si>
  <si>
    <t>Mitsubishi Pajero Sport GLX</t>
  </si>
  <si>
    <t>SETDA</t>
  </si>
  <si>
    <t>BH 1008 G</t>
  </si>
  <si>
    <t>MMBGNKS30GH041595</t>
  </si>
  <si>
    <t>Operasional Bagian Umum</t>
  </si>
  <si>
    <t>: PEMADAM KEBAKARAN DAN PENYELAMATAN</t>
  </si>
  <si>
    <t>Update</t>
  </si>
  <si>
    <t>Kterangan</t>
  </si>
  <si>
    <t>DAMKAR</t>
  </si>
  <si>
    <t>Toyota  KF80</t>
  </si>
  <si>
    <t>BH 340 GZ/ ex BH 26 GZ</t>
  </si>
  <si>
    <t>MHF11KF8040089127</t>
  </si>
  <si>
    <t>7K-0696096</t>
  </si>
  <si>
    <t>D-0972414</t>
  </si>
  <si>
    <t>BH 26 GZ/BH 340 GZ</t>
  </si>
  <si>
    <t>A. Marzuki, SE</t>
  </si>
  <si>
    <t>A. Marzuki, SE (Kabid Pemadaman dan penyelamatan)</t>
  </si>
  <si>
    <t>Hapus dari usulan lelang</t>
  </si>
  <si>
    <t>Pick Up Single Cabin</t>
  </si>
  <si>
    <t>Toyota Hi Lux</t>
  </si>
  <si>
    <t>BH 8109 G/ ex BH 9328 GZ</t>
  </si>
  <si>
    <t>MR0AW12GX80014505</t>
  </si>
  <si>
    <t>ITR-6661492</t>
  </si>
  <si>
    <t>F-8679506</t>
  </si>
  <si>
    <t>BH 9328 GZ/BH 8109 G</t>
  </si>
  <si>
    <t>M. Sugiarto, SH</t>
  </si>
  <si>
    <t>M. Sugiarto, SH (Kabid sarpras)</t>
  </si>
  <si>
    <t>Damkar</t>
  </si>
  <si>
    <t>Mitsubishi FE349</t>
  </si>
  <si>
    <t>BH 8008 GZ</t>
  </si>
  <si>
    <t>MHMFE349E4R059750</t>
  </si>
  <si>
    <t>4D34-419818</t>
  </si>
  <si>
    <t>D-3117908</t>
  </si>
  <si>
    <t xml:space="preserve"> Mutasi dari Distakokeberta 3 Jan 2017 </t>
  </si>
  <si>
    <t>Herman Susilo, SE</t>
  </si>
  <si>
    <t>Fire Truck</t>
  </si>
  <si>
    <t>Mitsubishi FE 74</t>
  </si>
  <si>
    <t>BH 8014 GZ</t>
  </si>
  <si>
    <t>MHMFE74P47K000533</t>
  </si>
  <si>
    <t>4D34T-C21374</t>
  </si>
  <si>
    <t>F-6038165</t>
  </si>
  <si>
    <t>Mitsubih FE 74 125 PS</t>
  </si>
  <si>
    <t>BH 8012 GZ</t>
  </si>
  <si>
    <t>MHMFE74P48K013528</t>
  </si>
  <si>
    <t>4D34T-D37025</t>
  </si>
  <si>
    <t>F-0929476</t>
  </si>
  <si>
    <t>BH 8013 GZ</t>
  </si>
  <si>
    <t>MHMFE74P48K011951</t>
  </si>
  <si>
    <t>4D34T-D22515</t>
  </si>
  <si>
    <t>F-0929477</t>
  </si>
  <si>
    <t>Doni Suhedi, SE</t>
  </si>
  <si>
    <t>BH 8019 GZ</t>
  </si>
  <si>
    <t>MHFC1JU43E5118354</t>
  </si>
  <si>
    <t>W04DT-RR16075</t>
  </si>
  <si>
    <t>K-06101231</t>
  </si>
  <si>
    <t>BH 5299 GZ</t>
  </si>
  <si>
    <t>MHIKEVA194K786383</t>
  </si>
  <si>
    <t>KEVAE-1785344</t>
  </si>
  <si>
    <t>D-1608697</t>
  </si>
  <si>
    <t>Mutasi dari Setda Kendaraan Ex Dinas ESDM</t>
  </si>
  <si>
    <t>Reni Salfiyanti, SE</t>
  </si>
  <si>
    <t>Reni Salfiyanti, SE (Kasubbid Perencanaan)</t>
  </si>
  <si>
    <t>BH 5362 GZ</t>
  </si>
  <si>
    <t>MH1HB411125K156199</t>
  </si>
  <si>
    <t>HB41E-1148444</t>
  </si>
  <si>
    <t>D-7689692</t>
  </si>
  <si>
    <t>Musohhiron, SH</t>
  </si>
  <si>
    <t>Irwanto, SE (Kabid Pencegahan)</t>
  </si>
  <si>
    <t>Honda Mega Pro CW</t>
  </si>
  <si>
    <t>BH 6115 GZ</t>
  </si>
  <si>
    <t>MH1KC3114CK170762</t>
  </si>
  <si>
    <t>KC31E-1170356</t>
  </si>
  <si>
    <t>I-10608586</t>
  </si>
  <si>
    <t>M. Hambali Hs, SE</t>
  </si>
  <si>
    <t>M. Hambali Hs, SE (Kasubbag umum dan kepegawaian)</t>
  </si>
  <si>
    <t>BH 6114 GZ</t>
  </si>
  <si>
    <t>MH1KC3117CK170982</t>
  </si>
  <si>
    <t>KC31E-1170614</t>
  </si>
  <si>
    <t>I-10608587</t>
  </si>
  <si>
    <t>Musilimin</t>
  </si>
  <si>
    <t>Musilimin (Bendahara Pengeluaran)</t>
  </si>
  <si>
    <t>Honda CRF 150 L</t>
  </si>
  <si>
    <t>BH 2946 G</t>
  </si>
  <si>
    <t>MH1KD1112SK641503</t>
  </si>
  <si>
    <t>KD11E-1640695</t>
  </si>
  <si>
    <t>W-01950781</t>
  </si>
  <si>
    <t>Pitra Ramdhani</t>
  </si>
  <si>
    <t>Pitra Ramdhani (Koor pos Kumpeh Ulu)</t>
  </si>
  <si>
    <t>Honda CRF 150 L/Merah</t>
  </si>
  <si>
    <t>BH 2947 G</t>
  </si>
  <si>
    <t>MH1KD1115SK641060</t>
  </si>
  <si>
    <t>KD11E-1640237</t>
  </si>
  <si>
    <t>W-01950782</t>
  </si>
  <si>
    <t>Hendro</t>
  </si>
  <si>
    <t>Hendro (Pengurus Barang)</t>
  </si>
  <si>
    <t>BH 2945 G</t>
  </si>
  <si>
    <t>MH1KD1113SK641557</t>
  </si>
  <si>
    <t>KD11E-1640784</t>
  </si>
  <si>
    <t>W-01950780</t>
  </si>
  <si>
    <t>Heri Andriyadi</t>
  </si>
  <si>
    <t>Heri Andriyadi (Komandan Pos Sungai Bahar)</t>
  </si>
  <si>
    <t>BH 2951 G</t>
  </si>
  <si>
    <t>MH1KD1111SK641539</t>
  </si>
  <si>
    <t>KD11E-1640765</t>
  </si>
  <si>
    <t>W-01950786</t>
  </si>
  <si>
    <t>Hasbiallah</t>
  </si>
  <si>
    <t>Hasbiallah (Pengelola daftar gaji)</t>
  </si>
  <si>
    <t>: DINAS SOSIAL, PP dan PA</t>
  </si>
  <si>
    <t>Dinas Sosial, PP dan PA</t>
  </si>
  <si>
    <t>Kijang Inova G</t>
  </si>
  <si>
    <t>BH 1103 G (EX BH 1115 G)</t>
  </si>
  <si>
    <t>MHFXW42GOA2160940</t>
  </si>
  <si>
    <t>1TR-6924969</t>
  </si>
  <si>
    <t>H-01976588</t>
  </si>
  <si>
    <t>Mutasi ke Damkar</t>
  </si>
  <si>
    <t>Isuzu Phanter Smash Tubo LM</t>
  </si>
  <si>
    <t>BH 1139 G</t>
  </si>
  <si>
    <t>MHCTBR54FAK303645</t>
  </si>
  <si>
    <t>E303645</t>
  </si>
  <si>
    <t>H-0 3141103</t>
  </si>
  <si>
    <t>Mutasi ex Bahar Utara</t>
  </si>
  <si>
    <t>Azhari, S.Ag, M.Pdi</t>
  </si>
  <si>
    <t>Plt. Sekretaris</t>
  </si>
  <si>
    <t>KIA Sportege 2 M/T</t>
  </si>
  <si>
    <t>BH 44 GZ</t>
  </si>
  <si>
    <t>MJJSL5232CK000666</t>
  </si>
  <si>
    <t>G4KDBS185892</t>
  </si>
  <si>
    <t>I-10608291</t>
  </si>
  <si>
    <t>Mutasi Aset Setda</t>
  </si>
  <si>
    <t>Ika Nurhayati,SE/Lelang</t>
  </si>
  <si>
    <t>RR</t>
  </si>
  <si>
    <t>Daihatsu LUXIO1,5X M/T</t>
  </si>
  <si>
    <t>BH 1002 G</t>
  </si>
  <si>
    <t>MHKW3CA3JGK016939</t>
  </si>
  <si>
    <t>3SZDGB0574</t>
  </si>
  <si>
    <t>L-10935259</t>
  </si>
  <si>
    <t>Mobil Perlindungan</t>
  </si>
  <si>
    <t>Yoppy Ariansyah, S.TP, MH</t>
  </si>
  <si>
    <t>Kepala Bidang Pemberdayaan Perempuan dan Perlindungan Anak</t>
  </si>
  <si>
    <t>All New Kijang Innova 2.4 GM/T</t>
  </si>
  <si>
    <t>BH 1310 G</t>
  </si>
  <si>
    <t>MHFJB8EM6L1074843</t>
  </si>
  <si>
    <t>2GD-C767118</t>
  </si>
  <si>
    <t>P-07642253</t>
  </si>
  <si>
    <t>Aset Dinas Sosial</t>
  </si>
  <si>
    <t>Drs. Rossa Candra Budy.,M.Pd</t>
  </si>
  <si>
    <t>Rush 1.5 S A/T GR Sport</t>
  </si>
  <si>
    <t>BH 1376 G</t>
  </si>
  <si>
    <t>MHKE8FB3JSKI08869</t>
  </si>
  <si>
    <t>2NR4E12847</t>
  </si>
  <si>
    <t>AA00083074</t>
  </si>
  <si>
    <t>Sutinem, SP</t>
  </si>
  <si>
    <t>Kepala Bidang Rehabilitasi Sosial</t>
  </si>
  <si>
    <t>Hilux Double Cabin 2.4 E (4X4) DSL M/T</t>
  </si>
  <si>
    <t>BH 8041G</t>
  </si>
  <si>
    <t>MR0DB8CD0S0134665</t>
  </si>
  <si>
    <t>2GDD498401</t>
  </si>
  <si>
    <t>AA-00082977</t>
  </si>
  <si>
    <t>Rahmat Hidayat, S.Sos</t>
  </si>
  <si>
    <t>Kepala Bidang Perlindungan Jaminan Sosial dan Penanganan Fakir Miskin</t>
  </si>
  <si>
    <t>Honda WIN</t>
  </si>
  <si>
    <t>BH 5257 GZ</t>
  </si>
  <si>
    <t>MHIHABC133K016437</t>
  </si>
  <si>
    <t>HABCE-1016393</t>
  </si>
  <si>
    <t>C-4693222</t>
  </si>
  <si>
    <t>Mutasi dari Setda</t>
  </si>
  <si>
    <t>Djunaidi Abu Padhil, S.Kom</t>
  </si>
  <si>
    <t>Jabatan Fungsional Perencanaan</t>
  </si>
  <si>
    <t>Yamaha RX King</t>
  </si>
  <si>
    <t>BH 5276 GZ</t>
  </si>
  <si>
    <t>MH33KA0144K705086</t>
  </si>
  <si>
    <t>0047581F</t>
  </si>
  <si>
    <t>Ika Nurhayati,SE</t>
  </si>
  <si>
    <t>Pengelola Kesejahteraan Sosial/Pejabat Pengelola Barang SKPD</t>
  </si>
  <si>
    <t>Honda Supra X 125 TD</t>
  </si>
  <si>
    <t>BH 5795 GZ</t>
  </si>
  <si>
    <t>MHIJB811688K289890</t>
  </si>
  <si>
    <t>JB81E-1286039</t>
  </si>
  <si>
    <t>F-6858741</t>
  </si>
  <si>
    <t>Mutasi dari BPPKB</t>
  </si>
  <si>
    <t>Rustiawati, S.Ag</t>
  </si>
  <si>
    <t>Jabatan Fungsional Penyuluh Sosial Ahli Muda</t>
  </si>
  <si>
    <t>Honda Supra X 125</t>
  </si>
  <si>
    <t>BH 6048 GZ</t>
  </si>
  <si>
    <t>MHIJBF11XBK031556</t>
  </si>
  <si>
    <t>JBF1E-1030719</t>
  </si>
  <si>
    <t>I-05390862</t>
  </si>
  <si>
    <t>Kendaraan Berada di DPPKB dan belum dimutasi</t>
  </si>
  <si>
    <t>Honda City Sport One</t>
  </si>
  <si>
    <t>BH 6023 GZ</t>
  </si>
  <si>
    <t>MHijba116bk130765</t>
  </si>
  <si>
    <t>I02354451F</t>
  </si>
  <si>
    <t>Shanty, SE</t>
  </si>
  <si>
    <t>Analis Perencanaan Anggaran</t>
  </si>
  <si>
    <t>Yamaha Vixion</t>
  </si>
  <si>
    <t>BH 6107 GZ</t>
  </si>
  <si>
    <t>MH33C1005CK847583</t>
  </si>
  <si>
    <t>3CI-848318</t>
  </si>
  <si>
    <t>I-10605018</t>
  </si>
  <si>
    <t>Mira Marlina</t>
  </si>
  <si>
    <t>Jabatan Pengadministrasian Barang Milik Negara</t>
  </si>
  <si>
    <t>Honda New Vario 125 CBS ISS</t>
  </si>
  <si>
    <t>BH 2488 G</t>
  </si>
  <si>
    <t>MHIJFV112GK513198</t>
  </si>
  <si>
    <t>JFV1E1520614</t>
  </si>
  <si>
    <t>P-06416260</t>
  </si>
  <si>
    <t>Mutasi dari Kemen</t>
  </si>
  <si>
    <t>Arif Rohman</t>
  </si>
  <si>
    <t>Pengadministrasian Perkantoran</t>
  </si>
  <si>
    <t>BH 2487 G</t>
  </si>
  <si>
    <t>MH1JFV116GK512930</t>
  </si>
  <si>
    <t>JFV1E1520246</t>
  </si>
  <si>
    <t>P-06416241</t>
  </si>
  <si>
    <t>Lindawati, S.Gz</t>
  </si>
  <si>
    <t>Jabatan Fungsional Analis Kebijakan Muda</t>
  </si>
  <si>
    <t>Yamaha N-Max 155 Non ABS</t>
  </si>
  <si>
    <t>BH 2298 G</t>
  </si>
  <si>
    <t>MH3SG3192LK014268</t>
  </si>
  <si>
    <t>G3E4E-2069430</t>
  </si>
  <si>
    <t>P-07662441</t>
  </si>
  <si>
    <t>Hairosani, S.IP</t>
  </si>
  <si>
    <t>Yamaha Aerox 155 VVA</t>
  </si>
  <si>
    <t>BH 2293 G</t>
  </si>
  <si>
    <t>MH3SG4610LJ323012</t>
  </si>
  <si>
    <t>G3JE-0529910</t>
  </si>
  <si>
    <t>P-07661957</t>
  </si>
  <si>
    <t>Budiman, SE</t>
  </si>
  <si>
    <t>Honda Vario 150 Sporty</t>
  </si>
  <si>
    <t>BH 2328 G</t>
  </si>
  <si>
    <t>MH1KF4124MK435669</t>
  </si>
  <si>
    <t>KF41E2439593</t>
  </si>
  <si>
    <t>Q-09563794</t>
  </si>
  <si>
    <t>Pirdaus, SE</t>
  </si>
  <si>
    <t>Kepala Sub Bagian Umum dan Kepegawaian</t>
  </si>
  <si>
    <t>Honda VARIO 160 ABS MMC</t>
  </si>
  <si>
    <t>BH 2906 G</t>
  </si>
  <si>
    <t>MH1KFA112RK270055</t>
  </si>
  <si>
    <t>KFA1E-1269750</t>
  </si>
  <si>
    <t>V-01660434</t>
  </si>
  <si>
    <t>M. Joko Susanto</t>
  </si>
  <si>
    <t>Operator Data Penata Usaha Keuangan</t>
  </si>
  <si>
    <t>B. PERALATAN DAN MESIN</t>
  </si>
  <si>
    <t>Periode Laporan 1900 - 2025</t>
  </si>
  <si>
    <t>PEMERINTAH PROPINSI</t>
  </si>
  <si>
    <t>KABUPATEN/KOTA</t>
  </si>
  <si>
    <t>URUSAN</t>
  </si>
  <si>
    <t>: URUSAN PILIHAN</t>
  </si>
  <si>
    <t>BIDANG</t>
  </si>
  <si>
    <t>: Ketentraman dan Ketertiban Umum Serta Perlindungan Masyarakat</t>
  </si>
  <si>
    <t>: Badan Penanggulangan Bencana Daerah</t>
  </si>
  <si>
    <t>spesifikasi lainnya</t>
  </si>
  <si>
    <t>unit kerja</t>
  </si>
  <si>
    <t>no polisi</t>
  </si>
  <si>
    <t>no rangka</t>
  </si>
  <si>
    <t>PERALATAN DAN MESIN</t>
  </si>
  <si>
    <t>ALAT ANGKUTAN DARAT BERMOTOR</t>
  </si>
  <si>
    <t>BPBD</t>
  </si>
  <si>
    <t>Toyota Rush 1,5 S A/T</t>
  </si>
  <si>
    <t>BH 1059 G</t>
  </si>
  <si>
    <t>MHKE8FB3JKJ001537</t>
  </si>
  <si>
    <t>2NRF902767</t>
  </si>
  <si>
    <t>P-06385928</t>
  </si>
  <si>
    <t>Sekretaris BPBD</t>
  </si>
  <si>
    <t>Mitsubishi L 300</t>
  </si>
  <si>
    <t>B 9376 TTA</t>
  </si>
  <si>
    <t>MK2L0PU3377004969</t>
  </si>
  <si>
    <t>4D56C877712</t>
  </si>
  <si>
    <t>O-00997551</t>
  </si>
  <si>
    <t>Kabid KL</t>
  </si>
  <si>
    <t>Mitsubishi Triton 2.4 LDC GLS (4x4)</t>
  </si>
  <si>
    <t>2021</t>
  </si>
  <si>
    <t>BH 8019 G</t>
  </si>
  <si>
    <t>MMBJJKL10MH040474</t>
  </si>
  <si>
    <t>4N15UHN7352</t>
  </si>
  <si>
    <t>S-01518078</t>
  </si>
  <si>
    <t>Kepala Badan</t>
  </si>
  <si>
    <t>Honda Mega Pro</t>
  </si>
  <si>
    <t>BH 6181 GZ</t>
  </si>
  <si>
    <t>MH1KC3117CK250282</t>
  </si>
  <si>
    <t>KC31E-1250260</t>
  </si>
  <si>
    <t>J-04077721</t>
  </si>
  <si>
    <t>Kabid RR</t>
  </si>
  <si>
    <t>Operasional</t>
  </si>
  <si>
    <t>BH 6180 GZ</t>
  </si>
  <si>
    <t>MH1KC3112CK247743</t>
  </si>
  <si>
    <t>KC31E-1247439</t>
  </si>
  <si>
    <t>J-04077722</t>
  </si>
  <si>
    <t>Kasubbag TU</t>
  </si>
  <si>
    <t>Honda CRF 150L</t>
  </si>
  <si>
    <t>2022</t>
  </si>
  <si>
    <t>BH 2369 G</t>
  </si>
  <si>
    <t>MH1KDD111NK337955</t>
  </si>
  <si>
    <t>KD11E-1337377</t>
  </si>
  <si>
    <t>T-01477560</t>
  </si>
  <si>
    <t>Darmulus</t>
  </si>
  <si>
    <t>BH 2368 G</t>
  </si>
  <si>
    <t>MH1KD1111XNK340739</t>
  </si>
  <si>
    <t>KD11E-1340023</t>
  </si>
  <si>
    <t>T-01477559</t>
  </si>
  <si>
    <t>Sepeda Motor Patroli</t>
  </si>
  <si>
    <t>Kawasaki LX 150</t>
  </si>
  <si>
    <t>BH 2527 G</t>
  </si>
  <si>
    <t>MH4LX150CCKP53820</t>
  </si>
  <si>
    <t>LX150CEP82912</t>
  </si>
  <si>
    <t>P-07644772</t>
  </si>
  <si>
    <t xml:space="preserve">Ex. B 6035 PTQ / NPH No. PRJ-32/BNPB/05/2016 </t>
  </si>
  <si>
    <t>Leni Fitriani</t>
  </si>
  <si>
    <t>B 6034 PTQ</t>
  </si>
  <si>
    <t>MH4LX150CCKP53490</t>
  </si>
  <si>
    <t>LX150CEP82893</t>
  </si>
  <si>
    <t>J-01961235</t>
  </si>
  <si>
    <t xml:space="preserve"> NPH No. PRJ-32/BNPB/05/2016 </t>
  </si>
  <si>
    <t>Nasaruddin</t>
  </si>
  <si>
    <t>Di Gudang</t>
  </si>
  <si>
    <t>Kawasaki KLX 150S</t>
  </si>
  <si>
    <t>BH 6228 GZ</t>
  </si>
  <si>
    <t>MH4LX150CDKP72632</t>
  </si>
  <si>
    <t>LX150CEPB1912</t>
  </si>
  <si>
    <t>K-01756469</t>
  </si>
  <si>
    <t>Kabid PK</t>
  </si>
  <si>
    <t>Kawasaki KLX 150 S</t>
  </si>
  <si>
    <t>BH 2529 G</t>
  </si>
  <si>
    <t>MH4LX150CFJP28038</t>
  </si>
  <si>
    <t>LX150CEPM5425</t>
  </si>
  <si>
    <t>P-07644774</t>
  </si>
  <si>
    <t xml:space="preserve">NPH No. PRJ-926/BNPB/09/2016 </t>
  </si>
  <si>
    <t>Sudarto, ST</t>
  </si>
  <si>
    <t>BH 2528 G</t>
  </si>
  <si>
    <t>MH4LX150CFJP27995</t>
  </si>
  <si>
    <t>LX150CEPM5187</t>
  </si>
  <si>
    <t>P-07644773</t>
  </si>
  <si>
    <t>NPH No. PRJ-926/BNPB/09/2016 (Ex B 6597 TQC)</t>
  </si>
  <si>
    <t>Hasan Basri</t>
  </si>
  <si>
    <t>KENDARAAN BERMOTOR KHUSUS</t>
  </si>
  <si>
    <t>Mobil Tangki Air</t>
  </si>
  <si>
    <t xml:space="preserve">Isuzu NKR 71 HD </t>
  </si>
  <si>
    <t>B 9293 PMA</t>
  </si>
  <si>
    <t>MHCNKR71HEJ063054</t>
  </si>
  <si>
    <t>B063054</t>
  </si>
  <si>
    <t>L-08481401</t>
  </si>
  <si>
    <t xml:space="preserve"> NPH No. PRJ-350/BNPB/08/2016 </t>
  </si>
  <si>
    <t>Rescue Car</t>
  </si>
  <si>
    <t>Ford Ranger</t>
  </si>
  <si>
    <t>BH 8141 G</t>
  </si>
  <si>
    <t>MNBDMFF80CW150204</t>
  </si>
  <si>
    <t>P4AT1058364</t>
  </si>
  <si>
    <t>P-07742029</t>
  </si>
  <si>
    <t xml:space="preserve"> NPH No. PRJ-925/BNPB/09/2016 (Ex B 9015 PSD)</t>
  </si>
  <si>
    <t>Di Bengkel</t>
  </si>
  <si>
    <t>: DINAS TENAGA KERJA DAN TRANSMIGRASI</t>
  </si>
  <si>
    <t>Dinas Tenaga Kerja dan Transmigrasi</t>
  </si>
  <si>
    <t>Toyota KF80LX Standar</t>
  </si>
  <si>
    <t>BH 45 GZ</t>
  </si>
  <si>
    <t>MHF11KF8040091324</t>
  </si>
  <si>
    <t>7K-0719321</t>
  </si>
  <si>
    <t>D-0972416F</t>
  </si>
  <si>
    <t xml:space="preserve"> Ir. H. Muhammad Yamin </t>
  </si>
  <si>
    <t>Kadis Lamo/ Tarik</t>
  </si>
  <si>
    <t xml:space="preserve">Minibus </t>
  </si>
  <si>
    <t xml:space="preserve">Toyota Rush      </t>
  </si>
  <si>
    <t>BH 1297 G/ EX BH 1226 GZ</t>
  </si>
  <si>
    <t>MHFE2CJ3JGK111199</t>
  </si>
  <si>
    <t>3SZDFU8260</t>
  </si>
  <si>
    <t>L-08617691F</t>
  </si>
  <si>
    <t>Wawan Suprianto.S.Sos,MH.</t>
  </si>
  <si>
    <t>Toyota Avanza New Pelos</t>
  </si>
  <si>
    <t>BH 1024 G</t>
  </si>
  <si>
    <t>MHKM5EA4JJK025079</t>
  </si>
  <si>
    <t>1NRF391911</t>
  </si>
  <si>
    <t>M-11829737F</t>
  </si>
  <si>
    <t>M. Amin. HS.SH.</t>
  </si>
  <si>
    <t>Mitsubishi Triton GLS 2,5</t>
  </si>
  <si>
    <t>BH 8091 G/ EX BH 9331 G</t>
  </si>
  <si>
    <t>MMBJNKB40AD020811</t>
  </si>
  <si>
    <t>4D56UCBW4440</t>
  </si>
  <si>
    <t>H-00769112F</t>
  </si>
  <si>
    <t xml:space="preserve"> Operasional Kantor </t>
  </si>
  <si>
    <t>Kadis</t>
  </si>
  <si>
    <t>BH 5255 GZ</t>
  </si>
  <si>
    <t>MHIHABC123K016493</t>
  </si>
  <si>
    <t>C-4693220</t>
  </si>
  <si>
    <t>Rusak Berat/digudang</t>
  </si>
  <si>
    <t>BH 5380 GZ</t>
  </si>
  <si>
    <t>MH33P90016K005396</t>
  </si>
  <si>
    <t>3P9-005360</t>
  </si>
  <si>
    <t>D-8939620F</t>
  </si>
  <si>
    <t>Operasional Kantor</t>
  </si>
  <si>
    <t>BH 2503 G/ EX BH 5384 G</t>
  </si>
  <si>
    <t>MH33P90016K003302</t>
  </si>
  <si>
    <t>3P9-002876</t>
  </si>
  <si>
    <t>D-8939618F</t>
  </si>
  <si>
    <t xml:space="preserve"> Azmi, S.Hi.</t>
  </si>
  <si>
    <t>BH 2501 G/ EX BH 5382 GZ</t>
  </si>
  <si>
    <t>MH33P90016K003229</t>
  </si>
  <si>
    <t>3P9-003551</t>
  </si>
  <si>
    <t>D-8939619F</t>
  </si>
  <si>
    <t>Winton Candra.NS.SE.</t>
  </si>
  <si>
    <t>BH 2502 G/ EX BH 5383 GZ</t>
  </si>
  <si>
    <t>MH33P90016K003549</t>
  </si>
  <si>
    <t>3P9-002866</t>
  </si>
  <si>
    <t>D-8939621F</t>
  </si>
  <si>
    <t>Syafri Agus Zulbahri,ST</t>
  </si>
  <si>
    <t>BH 2571 G/ EX BH 5381 GZ</t>
  </si>
  <si>
    <t>MH33P90016K000435</t>
  </si>
  <si>
    <t>3P9-000424</t>
  </si>
  <si>
    <t>D-8939622F</t>
  </si>
  <si>
    <t>Afrizal, SH</t>
  </si>
  <si>
    <t>Honda Mega Pro STD</t>
  </si>
  <si>
    <t>BH 2404 G/ EX BH 5838 GZ</t>
  </si>
  <si>
    <t>MH1KC121XPK161222</t>
  </si>
  <si>
    <t>KC12E-1160653</t>
  </si>
  <si>
    <t>F-8688105F</t>
  </si>
  <si>
    <t>M.Subhan. SE.</t>
  </si>
  <si>
    <t>Honda Supra Helm in</t>
  </si>
  <si>
    <t>BH 2536 G/ EX BH 6047 GZ</t>
  </si>
  <si>
    <t>MH1JBF112BK032524</t>
  </si>
  <si>
    <t>JBF1E-1031686</t>
  </si>
  <si>
    <t>I-05389810F</t>
  </si>
  <si>
    <t>Siti Aminah, S.Sos.I</t>
  </si>
  <si>
    <t>BH 2564 G/ EX BH6091 GZ</t>
  </si>
  <si>
    <t>MH1JBG118CK036391</t>
  </si>
  <si>
    <t>JBG1E-1035386</t>
  </si>
  <si>
    <t>I-10037634F</t>
  </si>
  <si>
    <t>Ratumas Nurida</t>
  </si>
  <si>
    <t>: DINAS KETAHANAN PANGAN</t>
  </si>
  <si>
    <t>Nama Pengguna</t>
  </si>
  <si>
    <t>Jabatan</t>
  </si>
  <si>
    <t>Station Wagon</t>
  </si>
  <si>
    <t>YD25404695T</t>
  </si>
  <si>
    <t>Dinas Ketahanan Pangan</t>
  </si>
  <si>
    <t>Nissan Navara</t>
  </si>
  <si>
    <t>BH 8135 G/ EX BH 280 GZ/
 EX BH 9340 GZ</t>
  </si>
  <si>
    <t>MNTVCU40Z0-045588</t>
  </si>
  <si>
    <t>YD25-404695T</t>
  </si>
  <si>
    <t>I-11006956</t>
  </si>
  <si>
    <t>Dr. M Iqbal, ME</t>
  </si>
  <si>
    <t>DBE8375</t>
  </si>
  <si>
    <t>Toyota Rush 1,5 G</t>
  </si>
  <si>
    <t>BH 29 G/ Ex. BH 30 GZ/
 EX BH 1101 GZ</t>
  </si>
  <si>
    <t>MHFE2CJ2J9K010029</t>
  </si>
  <si>
    <t>F-7702936</t>
  </si>
  <si>
    <t>Vivi Emilda, SP</t>
  </si>
  <si>
    <t>Kabid Konsumsi dan Keamanan Pangan</t>
  </si>
  <si>
    <t>7K-0480694</t>
  </si>
  <si>
    <t>Toyota Kijang Standar</t>
  </si>
  <si>
    <t>BH 1270 G/ EX BH 300 GZ/
 EX BH 31 GZ</t>
  </si>
  <si>
    <t>MHF11KF020035768</t>
  </si>
  <si>
    <t>C-1667737</t>
  </si>
  <si>
    <t>Amransyah, SE</t>
  </si>
  <si>
    <t>Pengawas Mutu Hasil Pertanian Ahli Muda</t>
  </si>
  <si>
    <t>KCE-1010568</t>
  </si>
  <si>
    <t>Honda GL 100</t>
  </si>
  <si>
    <t>BH 5574 BZ</t>
  </si>
  <si>
    <t>HABAE-1040054</t>
  </si>
  <si>
    <t>BH 5528 BZ</t>
  </si>
  <si>
    <t>MHIHABA14XK041081</t>
  </si>
  <si>
    <t>A-8117387</t>
  </si>
  <si>
    <t>BH 5573 BZ</t>
  </si>
  <si>
    <t>HABAE-1036356</t>
  </si>
  <si>
    <t>BH 5096 GZ</t>
  </si>
  <si>
    <t>MHIHABB122K036355</t>
  </si>
  <si>
    <t>1PA264269</t>
  </si>
  <si>
    <t>Yanaha Vixion</t>
  </si>
  <si>
    <t>BH 2739 G/ EX BH 6284 GZ</t>
  </si>
  <si>
    <t>MH31PA002DK263997</t>
  </si>
  <si>
    <t>1PA-264269</t>
  </si>
  <si>
    <t>K-03769646</t>
  </si>
  <si>
    <t>M. Randy Muchsin, S.Pt</t>
  </si>
  <si>
    <t>Analis Pasar Hasil Pertanian Ahli Muda</t>
  </si>
  <si>
    <t>IPA-257145</t>
  </si>
  <si>
    <t>BH 2745 G/ EX BH 6285 GZ</t>
  </si>
  <si>
    <t>MH31PA002DK257012</t>
  </si>
  <si>
    <t>K-03769647</t>
  </si>
  <si>
    <t>Noermala Dewi, SE</t>
  </si>
  <si>
    <t>Kasubbag Umum dan Keuangan</t>
  </si>
  <si>
    <t>1PA264256</t>
  </si>
  <si>
    <t>BH 2640 G/ EX BH 6286 GZ</t>
  </si>
  <si>
    <t>MH31PA002DK263995</t>
  </si>
  <si>
    <t>1PA-264256</t>
  </si>
  <si>
    <t>K-03769648</t>
  </si>
  <si>
    <t>Ma'Ali.Y, SH</t>
  </si>
  <si>
    <t>Staff</t>
  </si>
  <si>
    <t>IDY-186610</t>
  </si>
  <si>
    <t>Yamaha Jupiter Z 1</t>
  </si>
  <si>
    <t>BH 2738 G/ EX BH 6280 GZ</t>
  </si>
  <si>
    <t>MH31DY005DJ186591</t>
  </si>
  <si>
    <t>K-03767645</t>
  </si>
  <si>
    <t>Yuli Astuti</t>
  </si>
  <si>
    <t>IDY-186581</t>
  </si>
  <si>
    <t>BH 2746 G/ EX BH 6281 GZ</t>
  </si>
  <si>
    <t>MH31DY005DJ186557</t>
  </si>
  <si>
    <t>K-03767646</t>
  </si>
  <si>
    <t>Arjuna Ibun, SP</t>
  </si>
  <si>
    <t>Analis Ketahanan Pangan Ahli Muda</t>
  </si>
  <si>
    <t>KC25E1243789</t>
  </si>
  <si>
    <t>Honda Verza CW F1</t>
  </si>
  <si>
    <t>BH 2452 G/ Ex BH 6563 GZ</t>
  </si>
  <si>
    <t>MHIKC5210FK246685</t>
  </si>
  <si>
    <t>KC25E-1243789</t>
  </si>
  <si>
    <t>L-03963343</t>
  </si>
  <si>
    <t>Zulkoni, SH</t>
  </si>
  <si>
    <t>KC25E1244210</t>
  </si>
  <si>
    <t>BH 2451 G/ Ex BH 6572 GZ</t>
  </si>
  <si>
    <t>MHIKC5215FK246665</t>
  </si>
  <si>
    <t>KC25E-1244210</t>
  </si>
  <si>
    <t>L-03963098</t>
  </si>
  <si>
    <t>Daiman Mauhlis, SH</t>
  </si>
  <si>
    <t>BH 280 GZ</t>
  </si>
  <si>
    <t>Kasi Pengawas Mutu Hasil Pertanian Ahli Muda</t>
  </si>
  <si>
    <t>BPKB TIDAK ADA</t>
  </si>
  <si>
    <t>BH 29 GZ, Ex. BH 30 GZ</t>
  </si>
  <si>
    <t>BH 300  GZ</t>
  </si>
  <si>
    <t>RUSAK</t>
  </si>
  <si>
    <t>HILANG</t>
  </si>
  <si>
    <t>HABAE-1040654</t>
  </si>
  <si>
    <t>2001</t>
  </si>
  <si>
    <t>BH 6284 GZ</t>
  </si>
  <si>
    <t>Kasubag Umum dan Keuangan</t>
  </si>
  <si>
    <t>BH 6285 GZ</t>
  </si>
  <si>
    <t>BH 6286 GZ</t>
  </si>
  <si>
    <t>Ma Ali.Y, SH</t>
  </si>
  <si>
    <t>BH 6280 GZ</t>
  </si>
  <si>
    <t>Pengadministrasi Perencana dan Program</t>
  </si>
  <si>
    <t>BH 6281 GZ</t>
  </si>
  <si>
    <t>BH 2452, Ex. BH 6563 GZ</t>
  </si>
  <si>
    <t>KC52E-1243789</t>
  </si>
  <si>
    <t>Analis Perencanaan Umum</t>
  </si>
  <si>
    <t>BH 2451 G, Ex. BH 6572 GZ</t>
  </si>
  <si>
    <t>KC52E-1244210</t>
  </si>
  <si>
    <t>Pengawas Harga Pangan</t>
  </si>
  <si>
    <t>: DINAS LINGKUNGAN HIDUP</t>
  </si>
  <si>
    <t>Dinas Lingkungan Hidup</t>
  </si>
  <si>
    <t xml:space="preserve">Toyota Avanza 1300E </t>
  </si>
  <si>
    <t>BH 1268 G</t>
  </si>
  <si>
    <t>MHFM1BA2J9K017927</t>
  </si>
  <si>
    <t>DE00633</t>
  </si>
  <si>
    <t>F-8110670</t>
  </si>
  <si>
    <t>BH 1103 GZ/BH 1268 G</t>
  </si>
  <si>
    <t>ADE KURNIAWAN.SH /JABATAN/KEPALA BIDANG DAN PENINGKATAN KAPASITAS LINGKUNGAN HIDUP</t>
  </si>
  <si>
    <t>KEPALA BIDANG DAN PENINGKATAN KAPASITAS LINGKUNGAN HIDUP</t>
  </si>
  <si>
    <t xml:space="preserve">Toyota Hilux Pick up 2,0L </t>
  </si>
  <si>
    <t>BH 8132 G/ EX BH 9330 GZ</t>
  </si>
  <si>
    <t>MR0AW12G190017794</t>
  </si>
  <si>
    <t>1TR-6794973</t>
  </si>
  <si>
    <t>G-2143514</t>
  </si>
  <si>
    <t>RUSAK BERAT</t>
  </si>
  <si>
    <t>USULAN LELANG</t>
  </si>
  <si>
    <t>Suzuki APV Pick UP</t>
  </si>
  <si>
    <t>73161600-KDR-000065758</t>
  </si>
  <si>
    <t>Toyota Kijang Innova 2.4 V A/T DIESEL</t>
  </si>
  <si>
    <t>MHFGB8EM0J0419684</t>
  </si>
  <si>
    <t>BH 8133 G/ EX BH 462 GZ</t>
  </si>
  <si>
    <t>MROFR22GB0DO758837</t>
  </si>
  <si>
    <t>2KDA136349</t>
  </si>
  <si>
    <t>BH 462 GZ/BH8133</t>
  </si>
  <si>
    <t>REFIANDY/JAB.KEPALA BID.PENGENDALIAN DAM PENCEMARAN KERUSAKAN LINGKUNGAN</t>
  </si>
  <si>
    <t>Mobil Pick Up</t>
  </si>
  <si>
    <t>Suzuki New Carry Pick Up (New)</t>
  </si>
  <si>
    <t>Kendaraan Roda 6 (enam)</t>
  </si>
  <si>
    <t>MJECCB2F7N5004868</t>
  </si>
  <si>
    <t>Mutasi dari Dinas Perkim TA 2023</t>
  </si>
  <si>
    <t>New Carry PICK UP FD</t>
  </si>
  <si>
    <t xml:space="preserve">Truck </t>
  </si>
  <si>
    <t>Truck Hino</t>
  </si>
  <si>
    <t>HINO</t>
  </si>
  <si>
    <t>BH 8034 G</t>
  </si>
  <si>
    <t>MJECCB2F8R5020034</t>
  </si>
  <si>
    <t>N04CWJ30159</t>
  </si>
  <si>
    <t>U-02078058</t>
  </si>
  <si>
    <t>Pick Up Sampah</t>
  </si>
  <si>
    <t>new carry pick up FD Suzuki</t>
  </si>
  <si>
    <t>BH 8036 G</t>
  </si>
  <si>
    <t>MHYHDC61TRJ223182</t>
  </si>
  <si>
    <t>K15BT1625459</t>
  </si>
  <si>
    <t>DATA BARU</t>
  </si>
  <si>
    <t xml:space="preserve">Pick Up </t>
  </si>
  <si>
    <t>Pick Up Pertamanan</t>
  </si>
  <si>
    <t>New Carry Pick Up Suzuki</t>
  </si>
  <si>
    <t>BH 8037 G</t>
  </si>
  <si>
    <t>MHYHDC61TRJ223362</t>
  </si>
  <si>
    <t>K15BT1625426</t>
  </si>
  <si>
    <t xml:space="preserve"> new carry 04-FD UP 2025 </t>
  </si>
  <si>
    <t>new carry 04-FD UP 2025</t>
  </si>
  <si>
    <t>BH 8040 G</t>
  </si>
  <si>
    <t>MHYHDC61TSJ272333</t>
  </si>
  <si>
    <t>K15BT1675031</t>
  </si>
  <si>
    <t>Yamaha V-IXION</t>
  </si>
  <si>
    <t>BH 2441 G</t>
  </si>
  <si>
    <t>MH33C10029K194820</t>
  </si>
  <si>
    <t>3C1-196008</t>
  </si>
  <si>
    <t>F-8236522</t>
  </si>
  <si>
    <t>BH 5823 GZ/BH 2441 G</t>
  </si>
  <si>
    <t>AULIF.S.T/BENDAHARA PENGELUARAN</t>
  </si>
  <si>
    <t>BH 2440 G</t>
  </si>
  <si>
    <t>MH33C1205DK160064</t>
  </si>
  <si>
    <t>3C1-1159782</t>
  </si>
  <si>
    <t>K-01377759</t>
  </si>
  <si>
    <t>BH 6211 GZ/BH 2440 G</t>
  </si>
  <si>
    <t>ASREN/BEND.PEMBUAT DAFTAR GAJI</t>
  </si>
  <si>
    <t>Yamahan Xeon</t>
  </si>
  <si>
    <t>BH 2439 G</t>
  </si>
  <si>
    <t>MH31LB001DK029267</t>
  </si>
  <si>
    <t>1LB-029368</t>
  </si>
  <si>
    <t>K-01377761</t>
  </si>
  <si>
    <t>BH 6210 GZ/BH 2439 G</t>
  </si>
  <si>
    <t>FADLAN/BENDAHARA PEMBANTU</t>
  </si>
  <si>
    <t xml:space="preserve"> vario 160 ABS LW I </t>
  </si>
  <si>
    <t>BH 2942 G</t>
  </si>
  <si>
    <t>MH1KFA114SK314627</t>
  </si>
  <si>
    <t>KFA1E-1314484</t>
  </si>
  <si>
    <t>V-06993026</t>
  </si>
  <si>
    <t>RTS.INDAH KARTINI,S.STP.M.H/KASUBBAG KEUANGAN DAN ASET</t>
  </si>
  <si>
    <t>KENDARAAN BERMOTOR BERODA TIGA</t>
  </si>
  <si>
    <t>Bemo</t>
  </si>
  <si>
    <t>Sepeda Motor Roda 3 ( Pengangkut Sampah )</t>
  </si>
  <si>
    <t>Montrada</t>
  </si>
  <si>
    <t>BH 6126 GZ</t>
  </si>
  <si>
    <t>MGVA1T152BK001264</t>
  </si>
  <si>
    <t>I-11004772</t>
  </si>
  <si>
    <t xml:space="preserve">Mutasi dari Dinas Perkim TA 2023 </t>
  </si>
  <si>
    <t>BH 6127 GZ</t>
  </si>
  <si>
    <t>MGVA1T152BK001165</t>
  </si>
  <si>
    <t>I-11004773</t>
  </si>
  <si>
    <t>BH 6129 GZ</t>
  </si>
  <si>
    <t>MGVA1T152BK001378</t>
  </si>
  <si>
    <t>I-11004775</t>
  </si>
  <si>
    <t>BH 6125 GZ</t>
  </si>
  <si>
    <t>MGVA1T152BK001373</t>
  </si>
  <si>
    <t>I-11004771</t>
  </si>
  <si>
    <t>BH 6128 GZ</t>
  </si>
  <si>
    <t>MGVA1T152BK001263</t>
  </si>
  <si>
    <t>I-11004774</t>
  </si>
  <si>
    <t>Jialing JH 150</t>
  </si>
  <si>
    <t>BH 6176 GZ</t>
  </si>
  <si>
    <t>MJ2MHAM1FCJ000708</t>
  </si>
  <si>
    <t>J-04073890</t>
  </si>
  <si>
    <t>BH 6178 GZ</t>
  </si>
  <si>
    <t>MJ2MHAM1FCJ000067</t>
  </si>
  <si>
    <t>J-04073889</t>
  </si>
  <si>
    <t>BH 6177 GZ</t>
  </si>
  <si>
    <t>MJ2MHAM1FCJ000634</t>
  </si>
  <si>
    <t>J-04073891</t>
  </si>
  <si>
    <t>Sepeda Motor Roda 3</t>
  </si>
  <si>
    <t>NAZOMI</t>
  </si>
  <si>
    <t>BH 6219 GZ</t>
  </si>
  <si>
    <t>MGZB3TMAHDJ001227</t>
  </si>
  <si>
    <t>K-01750639</t>
  </si>
  <si>
    <t>BH 6215 GZ</t>
  </si>
  <si>
    <t>MGZB3TMAHCJ001089</t>
  </si>
  <si>
    <t>K-01749454</t>
  </si>
  <si>
    <t>BH 6217 GZ</t>
  </si>
  <si>
    <t>MGZB3TMAHCJ001254</t>
  </si>
  <si>
    <t>K-01749458</t>
  </si>
  <si>
    <t>Kecamatan Sungai Bahar</t>
  </si>
  <si>
    <t>BH 6218 GZ</t>
  </si>
  <si>
    <t>MGZB8TMAHCJ000875</t>
  </si>
  <si>
    <t>K-01750638</t>
  </si>
  <si>
    <t>BH 6414 GZ</t>
  </si>
  <si>
    <t>MGZB3TMAHDJ000590</t>
  </si>
  <si>
    <t>K-09672813</t>
  </si>
  <si>
    <t>BH 6415 GZ</t>
  </si>
  <si>
    <t>MGZB3TMAHDJ002239</t>
  </si>
  <si>
    <t>K-09672814</t>
  </si>
  <si>
    <t>BH 6416 GZ</t>
  </si>
  <si>
    <t>MGZB3TMAHDJ0013</t>
  </si>
  <si>
    <t>K-09672815</t>
  </si>
  <si>
    <t>BH 6417 GZ</t>
  </si>
  <si>
    <t>MGZB3TMAHDJ000503</t>
  </si>
  <si>
    <t>K-09672816</t>
  </si>
  <si>
    <t>BH 6545 GZ</t>
  </si>
  <si>
    <t>MGZB4TMAHEJ000751</t>
  </si>
  <si>
    <t>L-03944271</t>
  </si>
  <si>
    <t>BH 6546 GZ</t>
  </si>
  <si>
    <t>MGZB4TMAHEJ000762</t>
  </si>
  <si>
    <t>L-03944272</t>
  </si>
  <si>
    <t>BH 6547 GZ</t>
  </si>
  <si>
    <t>MGZB4TMAHEJ000686</t>
  </si>
  <si>
    <t>BH 6548 GZ</t>
  </si>
  <si>
    <t>MGZB4TMAHEJ001201</t>
  </si>
  <si>
    <t>L-03944274</t>
  </si>
  <si>
    <t>Body panjang x lebar x tinggi 3600x1300x1450 mm,Floor Panel ;SUS 304 4 V MM</t>
  </si>
  <si>
    <t>R3</t>
  </si>
  <si>
    <t>Body panjang x lebar x tinggi 3600x1300x1450 mm,kapasitas slinder 200 cc</t>
  </si>
  <si>
    <t>Bak Sampah</t>
  </si>
  <si>
    <t xml:space="preserve">Dump Truck Sampah Hino Dutro 136 HDX
</t>
  </si>
  <si>
    <t>BH 8024 G</t>
  </si>
  <si>
    <t>MJECCB2F7P5013301</t>
  </si>
  <si>
    <t>N04CWYJ23077</t>
  </si>
  <si>
    <t>T-01502502</t>
  </si>
  <si>
    <t>R6</t>
  </si>
  <si>
    <t>BH 8025 G</t>
  </si>
  <si>
    <t>MJECCB2F9P5013302</t>
  </si>
  <si>
    <t>N04CWYJ23078</t>
  </si>
  <si>
    <t>T-01502503</t>
  </si>
  <si>
    <t>BH 8026 G</t>
  </si>
  <si>
    <t>MJECCB2F9P5013300</t>
  </si>
  <si>
    <t>N04CWYJ23076</t>
  </si>
  <si>
    <t>T-01502504</t>
  </si>
  <si>
    <t>BH 8027 G</t>
  </si>
  <si>
    <t>MJECCB2F9P5013303</t>
  </si>
  <si>
    <t>N04CWYJ23079</t>
  </si>
  <si>
    <t>T-01502505</t>
  </si>
  <si>
    <t>Kendaraan Bermotor Beroda Tiga</t>
  </si>
  <si>
    <t>motor viar type new karya 150-bak ram/2024</t>
  </si>
  <si>
    <t>VIAR</t>
  </si>
  <si>
    <t>BH 2913 G</t>
  </si>
  <si>
    <t>MGRVR15TARL404396</t>
  </si>
  <si>
    <t>YX161FMG24403922</t>
  </si>
  <si>
    <t>V-01680245</t>
  </si>
  <si>
    <t>Truck Sampah</t>
  </si>
  <si>
    <t>Dump Truck</t>
  </si>
  <si>
    <t>Mitsubishi Colt Diesel</t>
  </si>
  <si>
    <t>BH 4001 GZ</t>
  </si>
  <si>
    <t>MHMFE334EYR004859</t>
  </si>
  <si>
    <t>4D31-091520</t>
  </si>
  <si>
    <t>B-0020776</t>
  </si>
  <si>
    <t>RUSAK BERAT/LELANG</t>
  </si>
  <si>
    <t>BH 8009 GZ</t>
  </si>
  <si>
    <t>MHMFE334E6R035774</t>
  </si>
  <si>
    <t>4D31-A99681</t>
  </si>
  <si>
    <t>D-8938505</t>
  </si>
  <si>
    <t>BH 8047 HZ</t>
  </si>
  <si>
    <t>MHC4KHL16J1004581</t>
  </si>
  <si>
    <t>D-9865464</t>
  </si>
  <si>
    <t xml:space="preserve">Toyota Dyna 130 HT Light Truck Dump </t>
  </si>
  <si>
    <t>BH 8135 HZ</t>
  </si>
  <si>
    <t>MHCFIJ043B5032126</t>
  </si>
  <si>
    <t>W04DT-RJ36748</t>
  </si>
  <si>
    <t>I-05089040</t>
  </si>
  <si>
    <t>Toyota Dyna Ht High Gear PS (Truck) Warna Biru</t>
  </si>
  <si>
    <t>BH 8002 G</t>
  </si>
  <si>
    <t>MHFC1JU43H5154781</t>
  </si>
  <si>
    <t>W04DT-RR45847</t>
  </si>
  <si>
    <t>M-04265872</t>
  </si>
  <si>
    <t>ARIPIN</t>
  </si>
  <si>
    <t>Toyota Dyna Ht High Gear PS (Truck) Warna Merah</t>
  </si>
  <si>
    <t>BH 8001 G</t>
  </si>
  <si>
    <t>MHFC1JU43H5154081</t>
  </si>
  <si>
    <t>W04DT-RR45477</t>
  </si>
  <si>
    <t>M-04265871</t>
  </si>
  <si>
    <t>M.YUNUS UTOMO</t>
  </si>
  <si>
    <t>BH 8001 K</t>
  </si>
  <si>
    <t>MHFC1JU43H5155629</t>
  </si>
  <si>
    <t>W04DT-RR46355</t>
  </si>
  <si>
    <t>M-11775090</t>
  </si>
  <si>
    <t>AGISTI SAFARI</t>
  </si>
  <si>
    <t>Hino Dutro 130 HD PS PTO Wanra Hijau</t>
  </si>
  <si>
    <t>BH 8007 A</t>
  </si>
  <si>
    <t>MJEC1JG43H5-159850</t>
  </si>
  <si>
    <t>W04D TRR-50226</t>
  </si>
  <si>
    <t>M-04266723</t>
  </si>
  <si>
    <t>M.RIDWAN</t>
  </si>
  <si>
    <t>Isuzu NMR 71T HD 6,1 (4X2) Dump Sampah 7M3</t>
  </si>
  <si>
    <t>BH 8003 G</t>
  </si>
  <si>
    <t>MHCNMR71HJJ089143</t>
  </si>
  <si>
    <t>B089143</t>
  </si>
  <si>
    <t>M-11826439</t>
  </si>
  <si>
    <t>M.ZUL IKHSAN</t>
  </si>
  <si>
    <t>: DINAS KEPENDUDUKAN DAN PENCATATAN SIPIL</t>
  </si>
  <si>
    <t>Column1</t>
  </si>
  <si>
    <t>Column2</t>
  </si>
  <si>
    <t>Capil</t>
  </si>
  <si>
    <t xml:space="preserve">Toyota Rush 1,5 G </t>
  </si>
  <si>
    <t>BH 201 GZ</t>
  </si>
  <si>
    <t>MHFE2CJ2J9K009552</t>
  </si>
  <si>
    <t>KABID</t>
  </si>
  <si>
    <t>Tidak Ada</t>
  </si>
  <si>
    <t>Usul Lelang</t>
  </si>
  <si>
    <t>Innova G</t>
  </si>
  <si>
    <t>BH 67 GZ/BH 1143 G</t>
  </si>
  <si>
    <t>MHFXW42G3A2162214</t>
  </si>
  <si>
    <t>1TR-6936130</t>
  </si>
  <si>
    <t>H-0 2618058</t>
  </si>
  <si>
    <t>SEKDIS</t>
  </si>
  <si>
    <t xml:space="preserve"> Ada</t>
  </si>
  <si>
    <t>Mutasi DPRD</t>
  </si>
  <si>
    <t>KIA</t>
  </si>
  <si>
    <t>BH 20 GZ</t>
  </si>
  <si>
    <t>MJJSL5232DK002014</t>
  </si>
  <si>
    <t>Dari Beli</t>
  </si>
  <si>
    <t>New RUSH 1.5 G M/T</t>
  </si>
  <si>
    <t>BH 1307 G</t>
  </si>
  <si>
    <t>MHKE8FA2JLJ2147</t>
  </si>
  <si>
    <t>2NRG541887</t>
  </si>
  <si>
    <t>P-06452814</t>
  </si>
  <si>
    <t>Mobil</t>
  </si>
  <si>
    <t xml:space="preserve">HILUX DOUBLE CABIN 2.4 G (4X4) DSL M/T </t>
  </si>
  <si>
    <t>HILUX</t>
  </si>
  <si>
    <t>BH 8023 G</t>
  </si>
  <si>
    <t>MROKB8CD5P1142768</t>
  </si>
  <si>
    <t>2GD1366384</t>
  </si>
  <si>
    <t>T-01498894</t>
  </si>
  <si>
    <t>KADIS</t>
  </si>
  <si>
    <t>Honda Supra X 125 SD</t>
  </si>
  <si>
    <t>BH 5526 GZ</t>
  </si>
  <si>
    <t>MH1JB51197K955178</t>
  </si>
  <si>
    <t>JB51E-1942457</t>
  </si>
  <si>
    <t>E-5584258</t>
  </si>
  <si>
    <t>STAF</t>
  </si>
  <si>
    <t>Yamaha Jupiter MX</t>
  </si>
  <si>
    <t>BH 5829 GZ</t>
  </si>
  <si>
    <t>MH31S70069K527516</t>
  </si>
  <si>
    <t>1S7-527749</t>
  </si>
  <si>
    <t>F-8675088</t>
  </si>
  <si>
    <t>Mutasi Dari DPRD</t>
  </si>
  <si>
    <t>Honda Revo</t>
  </si>
  <si>
    <t>BH 5820 GZ</t>
  </si>
  <si>
    <t>MH1JBC2109K014613</t>
  </si>
  <si>
    <t>JBC2E-1019931</t>
  </si>
  <si>
    <t>F-8110356</t>
  </si>
  <si>
    <t>KASUBAG</t>
  </si>
  <si>
    <t>Honda New Mega Pro</t>
  </si>
  <si>
    <t>BH 6098 GZ</t>
  </si>
  <si>
    <t>MH1KC8119CK194894</t>
  </si>
  <si>
    <t>KC31E-1194333</t>
  </si>
  <si>
    <t>I-10039165</t>
  </si>
  <si>
    <t>FUNGSIONAL</t>
  </si>
  <si>
    <t>Honda Supra X 125 CW</t>
  </si>
  <si>
    <t>BH 6099 GZ</t>
  </si>
  <si>
    <t>MH1JB9132CK005182</t>
  </si>
  <si>
    <t>JB91E-2995289</t>
  </si>
  <si>
    <t>I-10039164</t>
  </si>
  <si>
    <t xml:space="preserve">Honda Supra X 125 </t>
  </si>
  <si>
    <t>BH 6207 GZ</t>
  </si>
  <si>
    <t>MJHIJB8119DK868765</t>
  </si>
  <si>
    <t>JB81E-1864858</t>
  </si>
  <si>
    <t>K-01376557</t>
  </si>
  <si>
    <t>BH 6206 GZ</t>
  </si>
  <si>
    <t>JB119DK868717</t>
  </si>
  <si>
    <t>JB81E-1864857</t>
  </si>
  <si>
    <t>K-01376558</t>
  </si>
  <si>
    <t>Honda New Mega Pro CW</t>
  </si>
  <si>
    <t>BH 6208 GZ</t>
  </si>
  <si>
    <t>MH1KC311XDK282774</t>
  </si>
  <si>
    <t>KC31E-1281560</t>
  </si>
  <si>
    <t>K-01376556</t>
  </si>
  <si>
    <t>Yamaha AEROK 155 VVA VIN 2019</t>
  </si>
  <si>
    <t>BH 2281 G</t>
  </si>
  <si>
    <t>MH3SG4610LJ312431</t>
  </si>
  <si>
    <t>G3J1E-0514288</t>
  </si>
  <si>
    <t>P-07648276</t>
  </si>
  <si>
    <t>LEXI Warna Merah  No Mesin : E31VE - 0334792</t>
  </si>
  <si>
    <t>LEXI</t>
  </si>
  <si>
    <t>BH 2383 G</t>
  </si>
  <si>
    <t>MH3SEF310PJ262860</t>
  </si>
  <si>
    <t>E31VE-0334792</t>
  </si>
  <si>
    <t>T-04341898</t>
  </si>
  <si>
    <t>LEXI Warna Biru  No Mesin : E31VE - 0333657</t>
  </si>
  <si>
    <t>BH 2384 G</t>
  </si>
  <si>
    <t>MH3SEF310PJ261804</t>
  </si>
  <si>
    <t>E31VE-0333657</t>
  </si>
  <si>
    <t>T-04341899</t>
  </si>
  <si>
    <t>LEXI Warna Hijau  No Mesin : E31VE - 0329659</t>
  </si>
  <si>
    <t>BH 2385 G</t>
  </si>
  <si>
    <t>MH3SEF320PJ258247</t>
  </si>
  <si>
    <t>E31VE-0329659</t>
  </si>
  <si>
    <t>T-04341900</t>
  </si>
  <si>
    <t>Hitam  No. Mesin : JB91E-2995348</t>
  </si>
  <si>
    <t>BH 6101 GZ</t>
  </si>
  <si>
    <t>MHIJB9136CK004908</t>
  </si>
  <si>
    <t>JB91E-2995348</t>
  </si>
  <si>
    <t>I-10039163</t>
  </si>
  <si>
    <t>Hitam  No. Mesin : HABBE-1009230</t>
  </si>
  <si>
    <t>BH 5031 GZ</t>
  </si>
  <si>
    <t>MHIHABBIXYK009090</t>
  </si>
  <si>
    <t>HABBE-1009230</t>
  </si>
  <si>
    <t xml:space="preserve">B-0382541 </t>
  </si>
  <si>
    <t>laku lelang 2023</t>
  </si>
  <si>
    <t>: DINAS PEMBERDAYAAN MASYARAKAT DAN DESA</t>
  </si>
  <si>
    <t>PMD</t>
  </si>
  <si>
    <t>Toyota KF70 LX Standar</t>
  </si>
  <si>
    <t>BH 212 GZ/ 1214 G</t>
  </si>
  <si>
    <t>MHF11KF70Y00331147</t>
  </si>
  <si>
    <t>7K03370200</t>
  </si>
  <si>
    <t>Mutasi dari Dinas Perhubungan</t>
  </si>
  <si>
    <t>BONI SEBAYANG</t>
  </si>
  <si>
    <t>Toyota KF80</t>
  </si>
  <si>
    <t>BH 1713 GZ</t>
  </si>
  <si>
    <t>MHF11KF8030078546</t>
  </si>
  <si>
    <t>7K-0583846</t>
  </si>
  <si>
    <t>Mutasi Dari Sekda</t>
  </si>
  <si>
    <t>Toyota Rush</t>
  </si>
  <si>
    <t>BH 1140 GZ</t>
  </si>
  <si>
    <t>MHFE2CJ2JBK025030</t>
  </si>
  <si>
    <t>DCK8416</t>
  </si>
  <si>
    <t>UMAR. S.E</t>
  </si>
  <si>
    <t>Toyota Kijang Inova</t>
  </si>
  <si>
    <t>BH 21 GZ</t>
  </si>
  <si>
    <t>MHFJW8EM6G230772</t>
  </si>
  <si>
    <t xml:space="preserve">1 TR A08293  </t>
  </si>
  <si>
    <t>DRS.SUKISNO.MM</t>
  </si>
  <si>
    <t>Mitsubishi Triton GLS/2008</t>
  </si>
  <si>
    <t>BH 9325 GZ</t>
  </si>
  <si>
    <t>MMBJNKB409D012481</t>
  </si>
  <si>
    <t>4D56UCBH8231</t>
  </si>
  <si>
    <t>ARMAN BUNADI.SE</t>
  </si>
  <si>
    <t>Honda Legenda</t>
  </si>
  <si>
    <t>BH 5048 GZ</t>
  </si>
  <si>
    <t>MH1NFGE181K038994</t>
  </si>
  <si>
    <t>NFGEE-103875</t>
  </si>
  <si>
    <t>JASRIL CHAN/ Pensiun</t>
  </si>
  <si>
    <t>BH 5044 GZ</t>
  </si>
  <si>
    <t>MHIHABA101K056863</t>
  </si>
  <si>
    <t>HABAE-1056825</t>
  </si>
  <si>
    <t>B-0620747</t>
  </si>
  <si>
    <t>Reclass dari Aset  Lain-Lain</t>
  </si>
  <si>
    <t>ARYANTI NINGSIH.A.Md</t>
  </si>
  <si>
    <t>BH 5103 GZ</t>
  </si>
  <si>
    <t>MH1HABB192K036370</t>
  </si>
  <si>
    <t>HABBE-1036357</t>
  </si>
  <si>
    <t>C-2999033</t>
  </si>
  <si>
    <t>ELIYA SUSANTI. S.E</t>
  </si>
  <si>
    <t>BH 5758 GZ</t>
  </si>
  <si>
    <t>MH1KC12108K111865</t>
  </si>
  <si>
    <t>KC12E-1111806</t>
  </si>
  <si>
    <t>DEDDY SUNARYA</t>
  </si>
  <si>
    <t>BH 5781 GZ</t>
  </si>
  <si>
    <t>RAHMAT PUTRA.S.E</t>
  </si>
  <si>
    <t>Suzuki  Thunder</t>
  </si>
  <si>
    <t>BH 5847 GZ</t>
  </si>
  <si>
    <t>MH8EN125A9J609342</t>
  </si>
  <si>
    <t>F405ID609233</t>
  </si>
  <si>
    <t>ASNI.S.E</t>
  </si>
  <si>
    <t>Suzuki Thunder</t>
  </si>
  <si>
    <t xml:space="preserve">BH 5846 GZ </t>
  </si>
  <si>
    <t>MH8EN125A9J-609430</t>
  </si>
  <si>
    <t>F405-1D-609266</t>
  </si>
  <si>
    <t>ABDUL RAZAK.S.E</t>
  </si>
  <si>
    <t>Yamaha Fino Sporty</t>
  </si>
  <si>
    <t>BH 2080 G</t>
  </si>
  <si>
    <t>MH3SE8840HJ222327</t>
  </si>
  <si>
    <t>E3R2E-1575567</t>
  </si>
  <si>
    <t>M-11870677</t>
  </si>
  <si>
    <t>IMELDA SOSARINOVA.S.H</t>
  </si>
  <si>
    <t>Honda Vario 160 CBS Aksesoris</t>
  </si>
  <si>
    <t>HONDA VARIO</t>
  </si>
  <si>
    <t>BH 2857 G</t>
  </si>
  <si>
    <t>MH1KF0115RK605867</t>
  </si>
  <si>
    <t>KF01E-1605516</t>
  </si>
  <si>
    <t>U-02063540</t>
  </si>
  <si>
    <t>Dinas Pemberdayaan Masyarakat dan Desa</t>
  </si>
  <si>
    <t>FORMIDE</t>
  </si>
  <si>
    <t>Honda Vario</t>
  </si>
  <si>
    <t>BH 2856 G</t>
  </si>
  <si>
    <t>MHIKF0117RK605403</t>
  </si>
  <si>
    <t>KF01E-1605308</t>
  </si>
  <si>
    <t>U-02063539</t>
  </si>
  <si>
    <t>SITI AMINAH.S.H</t>
  </si>
  <si>
    <t>AEROX 155 / BH 2925 G</t>
  </si>
  <si>
    <t>AEROX 155 ALPHA CYBERCITY</t>
  </si>
  <si>
    <t>BH 2925 G</t>
  </si>
  <si>
    <t>MH3SG9750SJ004012</t>
  </si>
  <si>
    <t>G3W1E-0020172</t>
  </si>
  <si>
    <t>V-06961463</t>
  </si>
  <si>
    <t>M.ASRULLAH. S.T</t>
  </si>
  <si>
    <t>All New Nmax / BH 2924 G</t>
  </si>
  <si>
    <t xml:space="preserve"> ALL NEW NMAX155 S- CUSTOM PAINTING</t>
  </si>
  <si>
    <t>BH 2924 G</t>
  </si>
  <si>
    <t>MH3SG5670RK441611</t>
  </si>
  <si>
    <t>G3L8E-2020917</t>
  </si>
  <si>
    <t>V-06961462</t>
  </si>
  <si>
    <t>HALIPIAN</t>
  </si>
  <si>
    <t>: DINAS PENENDALIAN PENDUDUK DAN KELUARG BERENCANA</t>
  </si>
  <si>
    <t>keterangan2</t>
  </si>
  <si>
    <t>KF80 (LX Standar)</t>
  </si>
  <si>
    <t>DPPKB</t>
  </si>
  <si>
    <t>BH 1244 G</t>
  </si>
  <si>
    <t>MHF11KF8040088715</t>
  </si>
  <si>
    <t>7K-0692026</t>
  </si>
  <si>
    <t>D-0972415</t>
  </si>
  <si>
    <t>Usulan Lelang Tahun 2026</t>
  </si>
  <si>
    <t>Grand Livina</t>
  </si>
  <si>
    <t>Nissan</t>
  </si>
  <si>
    <t>BH 1239 G</t>
  </si>
  <si>
    <t>MHBG1CG1F9J027566</t>
  </si>
  <si>
    <t>HR15-939711A</t>
  </si>
  <si>
    <t>G-0684855</t>
  </si>
  <si>
    <t>Akan diperbaiki</t>
  </si>
  <si>
    <t>Kijang Innova 2.4 V AT</t>
  </si>
  <si>
    <t>BH 1018 GZ</t>
  </si>
  <si>
    <t>MHFGB8EM3J0419291</t>
  </si>
  <si>
    <t>2GD-C345769</t>
  </si>
  <si>
    <t>M-11800953</t>
  </si>
  <si>
    <t>Nur Subyantoro,SE (Kepala Dinas)</t>
  </si>
  <si>
    <t>Sanex Beta</t>
  </si>
  <si>
    <t>BH 2045 GZ</t>
  </si>
  <si>
    <t>LAWXEGOE2YA002221</t>
  </si>
  <si>
    <t>QJ15OFMG-300000393</t>
  </si>
  <si>
    <t>C-0767699</t>
  </si>
  <si>
    <t>Supra X125 TR</t>
  </si>
  <si>
    <t>BH 5864 GZ</t>
  </si>
  <si>
    <t>MH1JB91119K929314</t>
  </si>
  <si>
    <t>JB91E-1925932</t>
  </si>
  <si>
    <t>G-1302211</t>
  </si>
  <si>
    <t>Oyong Hadril,SE (Seksi Penyuluhan dan Pemberdayaan PLKB dan Kader KB)</t>
  </si>
  <si>
    <t>Supra X 125 TR</t>
  </si>
  <si>
    <t>BH 5865 GZ</t>
  </si>
  <si>
    <t>MH1JB911X9K931191</t>
  </si>
  <si>
    <t>JB91E-1928234</t>
  </si>
  <si>
    <t>G-1302480</t>
  </si>
  <si>
    <t>Mega Pro CW</t>
  </si>
  <si>
    <t>BH 5808 GZ</t>
  </si>
  <si>
    <t>MH1KC121X8K126937</t>
  </si>
  <si>
    <t>KC12E-1126635</t>
  </si>
  <si>
    <t>F-6858347</t>
  </si>
  <si>
    <t>Supra X125 TD</t>
  </si>
  <si>
    <t>BH 5806 GZ</t>
  </si>
  <si>
    <t>MHIJ811688K277285</t>
  </si>
  <si>
    <t>F-6858350</t>
  </si>
  <si>
    <t>Rhis Quatrin Palupy, SKM (Bendahara Pengeluaran Pembantu)</t>
  </si>
  <si>
    <t>BH 5801 GZ</t>
  </si>
  <si>
    <t>MH1JB81118K292966</t>
  </si>
  <si>
    <t>JB81E-1289660</t>
  </si>
  <si>
    <t>F-6858345</t>
  </si>
  <si>
    <t>BH 5802 GZ</t>
  </si>
  <si>
    <t>MH1JB811X8K277298</t>
  </si>
  <si>
    <t>JB81E-1274031</t>
  </si>
  <si>
    <t>F-6858346</t>
  </si>
  <si>
    <t>Masrifah, S.Ag (Bendahara Pengeluaran Pembantu)</t>
  </si>
  <si>
    <t>BH 5805 GZ</t>
  </si>
  <si>
    <t>MH1JB81118K277285</t>
  </si>
  <si>
    <t>JB81E-1274285</t>
  </si>
  <si>
    <t>F-6858353</t>
  </si>
  <si>
    <t>BH 5809 GZ</t>
  </si>
  <si>
    <t>MH1JB81148K283131</t>
  </si>
  <si>
    <t>JB81E-1279681</t>
  </si>
  <si>
    <t>F-6858349</t>
  </si>
  <si>
    <t>BH 5810 GZ</t>
  </si>
  <si>
    <t>MH1JB81128K289848</t>
  </si>
  <si>
    <t>JB81E-1286037</t>
  </si>
  <si>
    <t>F-6858348</t>
  </si>
  <si>
    <t>BH 5796 GZ</t>
  </si>
  <si>
    <t>MH1JB81188K294259</t>
  </si>
  <si>
    <t>JB81E-1290357</t>
  </si>
  <si>
    <t>F-6858740</t>
  </si>
  <si>
    <t>Dika Ristio Ritonga (Staff)</t>
  </si>
  <si>
    <t>BH 5804 GZ</t>
  </si>
  <si>
    <t>MH1KC12108K126929</t>
  </si>
  <si>
    <t>KC12E-1126637</t>
  </si>
  <si>
    <t>F-6858351</t>
  </si>
  <si>
    <t>Maisyarah, S.Pd (PKB Kec. Taman Rajo)</t>
  </si>
  <si>
    <t>BH 5807 GZ</t>
  </si>
  <si>
    <t>MH1KC12138K126861</t>
  </si>
  <si>
    <t>KC12E-1126708</t>
  </si>
  <si>
    <t>F-6858344</t>
  </si>
  <si>
    <t>BH 5803 GZ</t>
  </si>
  <si>
    <t>MH1KC12118K126938</t>
  </si>
  <si>
    <t>KC12E-1126639</t>
  </si>
  <si>
    <t>F-6858352</t>
  </si>
  <si>
    <t>BH 5869 GZ</t>
  </si>
  <si>
    <t>MH1JB911X9K929294</t>
  </si>
  <si>
    <t>JB91E-1926123</t>
  </si>
  <si>
    <t>G-1302482</t>
  </si>
  <si>
    <t>Usman Gumanti (Bendahara Barang Milik Daerah)</t>
  </si>
  <si>
    <t>BH 5866 GZ</t>
  </si>
  <si>
    <t>MH1JB911X9K929330</t>
  </si>
  <si>
    <t>JB91E-1925479</t>
  </si>
  <si>
    <t>G-1302481</t>
  </si>
  <si>
    <t>BH 5868 GZ</t>
  </si>
  <si>
    <t>MH1JB91139K931310</t>
  </si>
  <si>
    <t>JB91E-1928121</t>
  </si>
  <si>
    <t>G-1302486</t>
  </si>
  <si>
    <t>Syechfe'i Muhammad M (Staff)</t>
  </si>
  <si>
    <t>BH 5872 GZ</t>
  </si>
  <si>
    <t>MH1JB91109K929336</t>
  </si>
  <si>
    <t>JB91E-1926165</t>
  </si>
  <si>
    <t>G-1302210</t>
  </si>
  <si>
    <t>Mulyadi, S.Sos i (Seksi Advokasi dan Penggerakan)</t>
  </si>
  <si>
    <t>BH 5871 GZ</t>
  </si>
  <si>
    <t>MH1JB91119K929331</t>
  </si>
  <si>
    <t>JB91E-1925476</t>
  </si>
  <si>
    <t>G-1302487</t>
  </si>
  <si>
    <t>Ratih Mayang Sari, SE (Seksi Pembinaan dan Peningkatan Kesertaan KB)</t>
  </si>
  <si>
    <t>Supra X 125 Tr</t>
  </si>
  <si>
    <t>BH 5867 GZ</t>
  </si>
  <si>
    <t>MH1JB91169K928952</t>
  </si>
  <si>
    <t>JB91E-1926078</t>
  </si>
  <si>
    <t>G-1302484</t>
  </si>
  <si>
    <t>BH 5870 GZ</t>
  </si>
  <si>
    <t>MH1JB91189K929391</t>
  </si>
  <si>
    <t>JB91E-1926199</t>
  </si>
  <si>
    <t>G-1302483</t>
  </si>
  <si>
    <t>Murtiningsih,SKM (Seksi Pengendalian dan Distribusi Alat Kontrasepsi)</t>
  </si>
  <si>
    <t>BH 5873 GZ</t>
  </si>
  <si>
    <t>MH1JB91169K928949</t>
  </si>
  <si>
    <t>JB91E-1926012</t>
  </si>
  <si>
    <t>G-1302485</t>
  </si>
  <si>
    <t>Smash Titan</t>
  </si>
  <si>
    <t>BH 5921 GZ</t>
  </si>
  <si>
    <t>MH8BE 4DUAAJ-127778</t>
  </si>
  <si>
    <t>Dra. Surya Linda Syam (PKB Kec. Jambi Luar Kota)</t>
  </si>
  <si>
    <t>BH 5925 GZ</t>
  </si>
  <si>
    <t>MH8BE 4DUAAJ-125471</t>
  </si>
  <si>
    <t>E470-ID-128367</t>
  </si>
  <si>
    <t>H-04608690</t>
  </si>
  <si>
    <t>Ropina, S.Ag (PKB Kec. Sungai Gelam)</t>
  </si>
  <si>
    <t>BH 5929 GZ</t>
  </si>
  <si>
    <t>MH8BE 4DUAAJ-112465</t>
  </si>
  <si>
    <t>E470-ID-114085</t>
  </si>
  <si>
    <t>H-04608795</t>
  </si>
  <si>
    <t>BH 5919 GZ</t>
  </si>
  <si>
    <t>MH8BE 4DUAAJ-131460</t>
  </si>
  <si>
    <t>E470-ID-135130</t>
  </si>
  <si>
    <t>H-04608689</t>
  </si>
  <si>
    <t>Riska Ermeli (Staff)</t>
  </si>
  <si>
    <t>BH 5922 GZ</t>
  </si>
  <si>
    <t>MH8BE 4DUAAJ-128747</t>
  </si>
  <si>
    <t>E470-ID-132420</t>
  </si>
  <si>
    <t>H-04608738</t>
  </si>
  <si>
    <t>Nia Kurniati (PKB Kec. Jambi Luar Kota)</t>
  </si>
  <si>
    <t>ia Kurniati</t>
  </si>
  <si>
    <t>BH 5923 GZ</t>
  </si>
  <si>
    <t>MH8BE 4DUAAJ-125444</t>
  </si>
  <si>
    <t>E470ID-128655</t>
  </si>
  <si>
    <t>H-04608768</t>
  </si>
  <si>
    <t>Ririn Oktaria, SH (P3K Kec. Sekernan)</t>
  </si>
  <si>
    <t>rUSAK RINGAN</t>
  </si>
  <si>
    <t>BH 5924 GZ</t>
  </si>
  <si>
    <t>MH8BE 4DUAAJ-126030</t>
  </si>
  <si>
    <t>E470-ID-129283</t>
  </si>
  <si>
    <t>H-04608788</t>
  </si>
  <si>
    <t>Cindy Clareza, Am. Keb (P3K Kec. Bahar Selatan)</t>
  </si>
  <si>
    <t>BH 5926 GZ</t>
  </si>
  <si>
    <t>MH8BE 4DUAAJ-125466</t>
  </si>
  <si>
    <t>E470-ID-128362</t>
  </si>
  <si>
    <t>H-04608691</t>
  </si>
  <si>
    <t>BH 5927 GZ</t>
  </si>
  <si>
    <t>MH8BE 4DUAAJ-125457</t>
  </si>
  <si>
    <t>E470-ID-128340</t>
  </si>
  <si>
    <t>H-04608692</t>
  </si>
  <si>
    <t>BH 5928 GZ</t>
  </si>
  <si>
    <t>MH8BE 4DUAAJ-123359</t>
  </si>
  <si>
    <t>E470-ID-126174</t>
  </si>
  <si>
    <t>H-04608794</t>
  </si>
  <si>
    <t>Selli Aulia Sapitri (Staf)</t>
  </si>
  <si>
    <t>BH 5930 GZ</t>
  </si>
  <si>
    <t>MH8BE 4DUAAJ-112443</t>
  </si>
  <si>
    <t>E470-ID-114277</t>
  </si>
  <si>
    <t>H-04608796</t>
  </si>
  <si>
    <t>BH 5931 GZ</t>
  </si>
  <si>
    <t>MH8BE 4DUAAJ-112441</t>
  </si>
  <si>
    <t>E470-ID-114299</t>
  </si>
  <si>
    <t>H-04608797</t>
  </si>
  <si>
    <t>BH 5932 GZ</t>
  </si>
  <si>
    <t>MH8BE 4DUAAJ-111174</t>
  </si>
  <si>
    <t>E470-ID-112905</t>
  </si>
  <si>
    <t>H-04608798</t>
  </si>
  <si>
    <t>M. Lukman Zainuri (PKB Kec. Sungai Gelam)</t>
  </si>
  <si>
    <t>BH 5933 GZ</t>
  </si>
  <si>
    <t>MH8BE 4DUAAJ-141714</t>
  </si>
  <si>
    <t>E470-ID-146661</t>
  </si>
  <si>
    <t>H-04608799</t>
  </si>
  <si>
    <t>Derfandi (P3K Kec. Kumpeh)</t>
  </si>
  <si>
    <t>BH 5934 GZ</t>
  </si>
  <si>
    <t>MH8BE 4DUAAJ-128016</t>
  </si>
  <si>
    <t>E470-ID-131255</t>
  </si>
  <si>
    <t>H-04608800</t>
  </si>
  <si>
    <t>Anisah Ulfah (P3K Kec. Jambi Luar Kota)</t>
  </si>
  <si>
    <t>BH 5935 GZ</t>
  </si>
  <si>
    <t>MH8BE 4DUAAJ-127987</t>
  </si>
  <si>
    <t>E470-ID-131080</t>
  </si>
  <si>
    <t>H-04608752</t>
  </si>
  <si>
    <t>Rini Suprapti, SE (PKB Kec. Mestong)</t>
  </si>
  <si>
    <t>BH 5936 GZ</t>
  </si>
  <si>
    <t>MH8BE 4DUAAJ-128843</t>
  </si>
  <si>
    <t>H-04608753</t>
  </si>
  <si>
    <t>Nurbadi'ah, SH (PKB Kec. Jambi Luar Kota)</t>
  </si>
  <si>
    <t>BH 5938 GZ</t>
  </si>
  <si>
    <t>MH8BE 4DUAAJ-134222</t>
  </si>
  <si>
    <t>E470-ID-138186</t>
  </si>
  <si>
    <t>H-04608755</t>
  </si>
  <si>
    <t>Rillo nugraha SE (P3K Kec. Kumpeh Ulu)</t>
  </si>
  <si>
    <t>BH 5939 GZ</t>
  </si>
  <si>
    <t>MH8BE 4DUAAJ-128845</t>
  </si>
  <si>
    <t>E470-ID-132660</t>
  </si>
  <si>
    <t>H-04608756</t>
  </si>
  <si>
    <t>Salmah (P3K Kec. Maro Sebo)</t>
  </si>
  <si>
    <t>BH 5940 GZ</t>
  </si>
  <si>
    <t>MH8BE 4DUAAJ-135866</t>
  </si>
  <si>
    <t>E470-ID-139924</t>
  </si>
  <si>
    <t>H-04608693</t>
  </si>
  <si>
    <t>Waliyanti (Staff)</t>
  </si>
  <si>
    <t>BH 5942 GZ</t>
  </si>
  <si>
    <t>MH8BE 4DUAAJ-125445</t>
  </si>
  <si>
    <t>E470-ID-128343</t>
  </si>
  <si>
    <t>H-04608801</t>
  </si>
  <si>
    <t>Meri Frafina (Staff)</t>
  </si>
  <si>
    <t>BH 5943 GZ</t>
  </si>
  <si>
    <t>MH8BE 4DUAAJ-135876</t>
  </si>
  <si>
    <t>E470-ID-140060</t>
  </si>
  <si>
    <t>H-0 4608802</t>
  </si>
  <si>
    <t>BH 5944 GZ</t>
  </si>
  <si>
    <t>MH8BE 4DUAAJ-134941</t>
  </si>
  <si>
    <t>E470-ID-138802</t>
  </si>
  <si>
    <t>H-04608803</t>
  </si>
  <si>
    <t>BH 5946 GZ</t>
  </si>
  <si>
    <t>MH8BE 4DUAAJ-126421</t>
  </si>
  <si>
    <t>E470-ID-129546</t>
  </si>
  <si>
    <t>H-04608805</t>
  </si>
  <si>
    <t>BH 5947 GZ</t>
  </si>
  <si>
    <t>MH8BE 4DUAAJ-126409</t>
  </si>
  <si>
    <t>E470-ID-129947</t>
  </si>
  <si>
    <t>H-04608806</t>
  </si>
  <si>
    <t>BH 5948 GZ</t>
  </si>
  <si>
    <t>MH8BE 4DUAAJ-125864</t>
  </si>
  <si>
    <t>E470-ID-129046</t>
  </si>
  <si>
    <t>H-04608727</t>
  </si>
  <si>
    <t>Dra Supartiningsih (PKB Kec. Maro Sebo)</t>
  </si>
  <si>
    <t>BH 5949 GZ</t>
  </si>
  <si>
    <t>MH8BE 4DUAAJ-125855</t>
  </si>
  <si>
    <t>E470-ID-128939</t>
  </si>
  <si>
    <t>H-04608726</t>
  </si>
  <si>
    <t>BH 5950 GZ</t>
  </si>
  <si>
    <t>MH8BE 4DUAAJ-141712</t>
  </si>
  <si>
    <t>E470-ID-146636</t>
  </si>
  <si>
    <t>H-04608725</t>
  </si>
  <si>
    <t>BH 5951 GZ</t>
  </si>
  <si>
    <t>MH8BE 4DUAAJ-141710</t>
  </si>
  <si>
    <t>E470-ID-146647</t>
  </si>
  <si>
    <t>H-04608724</t>
  </si>
  <si>
    <t>Nurhayati, SE (PKB Kec. Maro Sebo)</t>
  </si>
  <si>
    <t>BH 5952 GZ</t>
  </si>
  <si>
    <t>MH8BE 4DUAAJ-141726</t>
  </si>
  <si>
    <t>E470-ID-145930</t>
  </si>
  <si>
    <t>H-04608723</t>
  </si>
  <si>
    <t>BH 5954 GZ</t>
  </si>
  <si>
    <t>MH8BE 4DUAAJ-134927</t>
  </si>
  <si>
    <t>E470-ID-139133</t>
  </si>
  <si>
    <t>H-04608721</t>
  </si>
  <si>
    <t>Endang Lestari (P3K Kec. Sungai Bahar)</t>
  </si>
  <si>
    <t>BH 5955 GZ</t>
  </si>
  <si>
    <t>MH8BE 4DUAAJ-127925</t>
  </si>
  <si>
    <t>E470-ID-131034</t>
  </si>
  <si>
    <t>H-04608720</t>
  </si>
  <si>
    <t>Hanifa Ninda Rahayu (P3K Kec. Bahar Utara)</t>
  </si>
  <si>
    <t>BH 5956 GZ</t>
  </si>
  <si>
    <t>MH8BE 4DUAAJ-131442</t>
  </si>
  <si>
    <t>E470-ID-135312</t>
  </si>
  <si>
    <t>H-04608719</t>
  </si>
  <si>
    <t>Diana (PKB Kec. Sungai Gelam)</t>
  </si>
  <si>
    <t>Sepeda Motro</t>
  </si>
  <si>
    <t>BH 5958 GZ</t>
  </si>
  <si>
    <t>MH8BE 4DUAAJ-128789</t>
  </si>
  <si>
    <t>E470-ID-132059</t>
  </si>
  <si>
    <t>H-04608717</t>
  </si>
  <si>
    <t>BH 5960 GZ</t>
  </si>
  <si>
    <t>MH8BE 4DUAAJ-127835</t>
  </si>
  <si>
    <t>E470-ID-131372</t>
  </si>
  <si>
    <t>H-04608716</t>
  </si>
  <si>
    <t>Evi Oktaria (PKB Kec. Taman Rajo)</t>
  </si>
  <si>
    <t>BH 5961 GZ</t>
  </si>
  <si>
    <t>MH8BE 4DUAAJ-143253</t>
  </si>
  <si>
    <t>E470-ID-148217</t>
  </si>
  <si>
    <t>H-04608715</t>
  </si>
  <si>
    <t>Dwika Fitria Riza (Staff)</t>
  </si>
  <si>
    <t>BH 5963 GZ</t>
  </si>
  <si>
    <t>MH8BE 4DUAAJ-127942</t>
  </si>
  <si>
    <t>E470-ID-130914</t>
  </si>
  <si>
    <t>H-04608708</t>
  </si>
  <si>
    <t>Jumiati, SE (Staff)</t>
  </si>
  <si>
    <t>BH 5945 GZ</t>
  </si>
  <si>
    <t>MH8BE 4DUAAJ-126433</t>
  </si>
  <si>
    <t>E470-ID-130021</t>
  </si>
  <si>
    <t>H-04608804</t>
  </si>
  <si>
    <t>Tuginem (PKB Kec. Kumpeh Ulu)</t>
  </si>
  <si>
    <t>BH 5962 GZ</t>
  </si>
  <si>
    <t>MH8BE 4DUAAJ-131402</t>
  </si>
  <si>
    <t>E470-ID-135276</t>
  </si>
  <si>
    <t>H-04608714</t>
  </si>
  <si>
    <t>Sherly Esa Putri (P3K Kec. Sekernan)</t>
  </si>
  <si>
    <t>Rusak Ringan</t>
  </si>
  <si>
    <t>BH 5953 GZ</t>
  </si>
  <si>
    <t>MH8BE 4DUAAJ-136426</t>
  </si>
  <si>
    <t>E470-ID-140978</t>
  </si>
  <si>
    <t>H-04608722</t>
  </si>
  <si>
    <t>Hasanawati (PKB Kec. Maro Sebo)</t>
  </si>
  <si>
    <t>BH 5957 GZ</t>
  </si>
  <si>
    <t>MH8BE 4DUAAJ-131441</t>
  </si>
  <si>
    <t>E470-ID-135313</t>
  </si>
  <si>
    <t>H-04608718</t>
  </si>
  <si>
    <t>Gustinah Ningsih (P3K Kec. Jambi Luar Kota)</t>
  </si>
  <si>
    <t>BH 5941 GZ</t>
  </si>
  <si>
    <t>MH8BE 4DUAAJ-134944</t>
  </si>
  <si>
    <t>E470-ID-138788</t>
  </si>
  <si>
    <t>H-04608758</t>
  </si>
  <si>
    <t>Charlia Ramadhani, SH (PKB Kec. Kumpeh Ulu)</t>
  </si>
  <si>
    <t>BH 5937 GZ</t>
  </si>
  <si>
    <t>MH8BE 4DUAAJ-134848</t>
  </si>
  <si>
    <t>E470-ID-139001</t>
  </si>
  <si>
    <t>H-04608754</t>
  </si>
  <si>
    <t>Yesteti, S.Kom (PKB Kec. Kumpeh Ulu)</t>
  </si>
  <si>
    <t>BH 6049 GZ</t>
  </si>
  <si>
    <t>MH1JBF11XBK032142</t>
  </si>
  <si>
    <t>JBF1E-1031295</t>
  </si>
  <si>
    <t>I-05390920</t>
  </si>
  <si>
    <t>BH 6050 GZ</t>
  </si>
  <si>
    <t>MH1JBF119BK032147</t>
  </si>
  <si>
    <t>JBF1E-1031324</t>
  </si>
  <si>
    <t>I-05390921</t>
  </si>
  <si>
    <t>Ria Octaviani, Amd (P3K Kec. Bahar Selatan)</t>
  </si>
  <si>
    <t>BH 6051 GZ</t>
  </si>
  <si>
    <t>MH1JBF117BK032048</t>
  </si>
  <si>
    <t>JBF1E-1031325</t>
  </si>
  <si>
    <t>I-05390922</t>
  </si>
  <si>
    <t>BH 6052 GZ</t>
  </si>
  <si>
    <t>MH1JBF115BK032047</t>
  </si>
  <si>
    <t>JBF1E-1031293</t>
  </si>
  <si>
    <t>I-05390923</t>
  </si>
  <si>
    <t>BH 6053 GZ</t>
  </si>
  <si>
    <t>MH1JBF119BK031905</t>
  </si>
  <si>
    <t>JBF1E-1031090</t>
  </si>
  <si>
    <t>I-05390924</t>
  </si>
  <si>
    <t>BH 6591 GZ</t>
  </si>
  <si>
    <t>MH345P005FK300784</t>
  </si>
  <si>
    <t>45P-310751</t>
  </si>
  <si>
    <t>L-03985871</t>
  </si>
  <si>
    <t>Suryandi, SE (PKB Kec. Mestong)</t>
  </si>
  <si>
    <t>BH 6595 GZ</t>
  </si>
  <si>
    <t>MH345P005FK298119</t>
  </si>
  <si>
    <t>45P-308076</t>
  </si>
  <si>
    <t>L-03985878</t>
  </si>
  <si>
    <t>Siti Aminah, SKM (P3K Kec. Bahar Selatan)</t>
  </si>
  <si>
    <t>BH 6596 GZ</t>
  </si>
  <si>
    <t>MH345P005FK300764</t>
  </si>
  <si>
    <t>45P-310776</t>
  </si>
  <si>
    <t>L-03985876</t>
  </si>
  <si>
    <t>BH 6589 GZ</t>
  </si>
  <si>
    <t>MH345P005FK301941</t>
  </si>
  <si>
    <t>45P-311978</t>
  </si>
  <si>
    <t>L-03985873</t>
  </si>
  <si>
    <t>Abdul Khafid (Staff)</t>
  </si>
  <si>
    <t>BH 6587 GZ</t>
  </si>
  <si>
    <t>MH345P005FK301855</t>
  </si>
  <si>
    <t>45P-311869</t>
  </si>
  <si>
    <t>L-03985875</t>
  </si>
  <si>
    <t>BH 6590 GZ</t>
  </si>
  <si>
    <t>MH345P005FK301951</t>
  </si>
  <si>
    <t>45P-311995</t>
  </si>
  <si>
    <t>L-03985869</t>
  </si>
  <si>
    <t>Sargani, S.Sos (Bendahara Pengeluaran)</t>
  </si>
  <si>
    <t>BH 6588 GZ</t>
  </si>
  <si>
    <t>MH345P005FK301949</t>
  </si>
  <si>
    <t>45P-311997</t>
  </si>
  <si>
    <t>L-03985874</t>
  </si>
  <si>
    <t>Cholimatus sakdiyah (PKB Kec. Sungai Bahar)</t>
  </si>
  <si>
    <t>BH 6623 GZ</t>
  </si>
  <si>
    <t>MH345P005FK300768</t>
  </si>
  <si>
    <t>45P-310767</t>
  </si>
  <si>
    <t>L-06232088</t>
  </si>
  <si>
    <t>Solikin,SE (PKB Kec. Kumpeh)</t>
  </si>
  <si>
    <t>BH 6592 GZ</t>
  </si>
  <si>
    <t>MH345P005FK301945</t>
  </si>
  <si>
    <t>L-03985870</t>
  </si>
  <si>
    <t>Drs. Armen (PKB Kec. Kumpeh)</t>
  </si>
  <si>
    <t>BH 6627 GZ</t>
  </si>
  <si>
    <t>MH345P005FK301910</t>
  </si>
  <si>
    <t>45P-311942</t>
  </si>
  <si>
    <t>L-06232092</t>
  </si>
  <si>
    <t>Nurdin Syahril (P3K Kec. Sekernan)</t>
  </si>
  <si>
    <t>BAIK</t>
  </si>
  <si>
    <t>BH 6594 GZ</t>
  </si>
  <si>
    <t>MH345P005FK301940</t>
  </si>
  <si>
    <t>45P-311972</t>
  </si>
  <si>
    <t>L-03985879</t>
  </si>
  <si>
    <t>Tiara Dinda (PKB Kec. Sungai Bahar)</t>
  </si>
  <si>
    <t>BH 6593 GZ</t>
  </si>
  <si>
    <t>MH345P005FK301960</t>
  </si>
  <si>
    <t>45P-312034</t>
  </si>
  <si>
    <t>L-03985872</t>
  </si>
  <si>
    <t>BH 2084 G</t>
  </si>
  <si>
    <t>MH3UE1120JJ177073</t>
  </si>
  <si>
    <t>E3R5E-0186689</t>
  </si>
  <si>
    <t>N-01269702</t>
  </si>
  <si>
    <t>MOTOR YAMAHA JUPITER Z1</t>
  </si>
  <si>
    <t>BH 2085 GZ</t>
  </si>
  <si>
    <t>MH3UE1120JJ187662</t>
  </si>
  <si>
    <t>E3R5E-0198179</t>
  </si>
  <si>
    <t>N-07482112</t>
  </si>
  <si>
    <t>BH 2347 G</t>
  </si>
  <si>
    <t>MH3SG6410NJ194578 G3P2E-0250154</t>
  </si>
  <si>
    <t>Ernawati,SE (PKB Kec. Mestong)</t>
  </si>
  <si>
    <t>BH 2344 G</t>
  </si>
  <si>
    <t>MH3SG6410NJ194595, G3P2E-0250171</t>
  </si>
  <si>
    <t>Ernawati, Amd (PPKB Kec. Jambi Luar Kota)</t>
  </si>
  <si>
    <t xml:space="preserve"> BH 2357 G</t>
  </si>
  <si>
    <t>MH3SG6410NJ194579, G3P2E-0250135</t>
  </si>
  <si>
    <t>Susi Marlina (PKB Kec. Taman Rajo)</t>
  </si>
  <si>
    <t>BH 2348 G</t>
  </si>
  <si>
    <t>MH3SG6410NJ194575, G3P2E-0250136</t>
  </si>
  <si>
    <t>Mujiati (PPKB Kec. Mestong)</t>
  </si>
  <si>
    <t>BH 2352 G</t>
  </si>
  <si>
    <t>MH3SG6410NJ194586, G3P2E-0250162</t>
  </si>
  <si>
    <t>M.Syahril, SE (PPKB Kec. Kumpeh Ulu)</t>
  </si>
  <si>
    <t>BH 2360 G</t>
  </si>
  <si>
    <t>MH3SG6410NJ194597, G3P2E-0250170</t>
  </si>
  <si>
    <t>Harmen Derita (PPKB Kec. Sungai Bahar)</t>
  </si>
  <si>
    <t>BH 2355 G</t>
  </si>
  <si>
    <t>MH3SG6410NJ194584, G3P2E-0250159</t>
  </si>
  <si>
    <t>Mufliardi, S.Pd (PPKB Kec. Bahar Utara)</t>
  </si>
  <si>
    <t>BH 2353 G</t>
  </si>
  <si>
    <t>MH3SG6410NJ194587, G3P2E-0250163</t>
  </si>
  <si>
    <t>Mustikawati, SE (PPKB Kec. Maro Sebo)</t>
  </si>
  <si>
    <t xml:space="preserve"> BH 2350 G</t>
  </si>
  <si>
    <t>MH3SG6410NJ194572, G3P2E-0250150</t>
  </si>
  <si>
    <t>Anwar Laksamana (PPKB Kec. Sungai Gelam)</t>
  </si>
  <si>
    <t>BH 2349 G</t>
  </si>
  <si>
    <t>MH3SG6410NJ194577</t>
  </si>
  <si>
    <t>G3P2E-0250153</t>
  </si>
  <si>
    <t>Leni Kurniati (PPKB Kec. Sekernan)</t>
  </si>
  <si>
    <t>STNK MOTOR YAMAHA AEROX</t>
  </si>
  <si>
    <t>BH 2356 G</t>
  </si>
  <si>
    <t>MH3SG6410NJ194585C, G3P2E-0250161</t>
  </si>
  <si>
    <t>Darmawi (PPKB Kec. Kumpeh)</t>
  </si>
  <si>
    <t>BH 2346 G</t>
  </si>
  <si>
    <t>MH3SG6410NJ194591, G3P2E-0250166</t>
  </si>
  <si>
    <t>Erlinda Sopri (PKB Kec. Bahar Utara)</t>
  </si>
  <si>
    <t>BH 2351 G</t>
  </si>
  <si>
    <t>MH3SG6410NJ194573, G3P2E-0250142</t>
  </si>
  <si>
    <t>Endang Kosasi (PPKB Kec. Bahar Selatan)</t>
  </si>
  <si>
    <t>BH 2358 G</t>
  </si>
  <si>
    <t>MH3SG6410NJ194582</t>
  </si>
  <si>
    <t>G3P2E-0250158</t>
  </si>
  <si>
    <t>Tia Maryati, S.Tr. Keb (P3K Kec. Sekernan)</t>
  </si>
  <si>
    <t>baIK</t>
  </si>
  <si>
    <t>BH 2359 G</t>
  </si>
  <si>
    <t>MH3SG6410NJ194590, G3P2E-0250165</t>
  </si>
  <si>
    <t>Tarmuzi ,SE (PPKB Kec. Taman Rajo)</t>
  </si>
  <si>
    <t>Mobil Unit Penerangan Darat</t>
  </si>
  <si>
    <t>D-Max</t>
  </si>
  <si>
    <t>BH 8146 G</t>
  </si>
  <si>
    <t>MPATFS85HBT103769</t>
  </si>
  <si>
    <t>I04676080F</t>
  </si>
  <si>
    <t>Yusmiati, SE (Kasubbag Keuangan dan Umum)</t>
  </si>
  <si>
    <t xml:space="preserve">Mobil Unit Penerangan </t>
  </si>
  <si>
    <t>BH 8013 G</t>
  </si>
  <si>
    <t>4056UBBB2018</t>
  </si>
  <si>
    <t>P07641360F</t>
  </si>
  <si>
    <t>Mobil Unit Rehabilitasi Sosial Keliling</t>
  </si>
  <si>
    <t>MHCNH55EYCJ046071</t>
  </si>
  <si>
    <t>Colt Diesel FE71 BC</t>
  </si>
  <si>
    <t>BH 7020 GZ</t>
  </si>
  <si>
    <t>MHMFE71P9FK005745</t>
  </si>
  <si>
    <t>4D34T-L96022</t>
  </si>
  <si>
    <t>L-01858972</t>
  </si>
  <si>
    <t>(Kabid Pengendalian Penduduk, Penyuluhan dan Penggerakan)</t>
  </si>
  <si>
    <t>L300 CC (4X2) M/T BOX (Mobil Alkon &amp; Karoseri)</t>
  </si>
  <si>
    <t>BH 8011 G</t>
  </si>
  <si>
    <t>MK2L0PU39KJ025199</t>
  </si>
  <si>
    <t>4D56CTX4489</t>
  </si>
  <si>
    <t>P-06419118</t>
  </si>
  <si>
    <t>: DINAS PERHUBUNGAN</t>
  </si>
  <si>
    <t>Dinas Perhubungan</t>
  </si>
  <si>
    <t>BH 1228 G EX BH 370 G</t>
  </si>
  <si>
    <t>MHF11KF8040091869</t>
  </si>
  <si>
    <t>7K-0726328</t>
  </si>
  <si>
    <t>D-0123609</t>
  </si>
  <si>
    <t>BH 37 GZ/BH 370 GZ/BH 1228 G</t>
  </si>
  <si>
    <t>Pajar Ilham Adhandi R (Teknisi LPJU)</t>
  </si>
  <si>
    <t>Toyota Kijang KF 80</t>
  </si>
  <si>
    <t>BH 1320 GEX BH 363 GZ</t>
  </si>
  <si>
    <t>MHFKF8030078769</t>
  </si>
  <si>
    <t>7K-0586221</t>
  </si>
  <si>
    <t>C-5139031</t>
  </si>
  <si>
    <t>ZULKARNAIN, SE (Kabid Sarana dan Prasarana)</t>
  </si>
  <si>
    <t>Toyota Avanza G 1300 Manual</t>
  </si>
  <si>
    <t>BH 1242 G EX BH 360 GZ</t>
  </si>
  <si>
    <t>MHKM1BA3JCK057276</t>
  </si>
  <si>
    <t>DK94869</t>
  </si>
  <si>
    <t>I-11003630</t>
  </si>
  <si>
    <t>MISHUR, SH (Sekretaris)</t>
  </si>
  <si>
    <t>BH 1321 G EX BH 1220 GZ</t>
  </si>
  <si>
    <t>MHKM1BA3JEJ089121</t>
  </si>
  <si>
    <t>ME56558</t>
  </si>
  <si>
    <t>K06100192F</t>
  </si>
  <si>
    <t>BH 36 GZ/BH 1321 G</t>
  </si>
  <si>
    <t>Muhammad Zuharman, SE, MM (Kepala Dinas)</t>
  </si>
  <si>
    <t>Isuzu TBR54</t>
  </si>
  <si>
    <t>BH 8122 G EX BH 9305 GZ</t>
  </si>
  <si>
    <t>MHCTBR54B2K103804</t>
  </si>
  <si>
    <t>E 103804</t>
  </si>
  <si>
    <t>C-1667703</t>
  </si>
  <si>
    <t>BH 9305 GZ/ BH 8122 G</t>
  </si>
  <si>
    <t>Iwan Syahferi (Staf UPTD PKB)</t>
  </si>
  <si>
    <t>BH 8117 G EX BH 9307 GZ</t>
  </si>
  <si>
    <t>MHF31KF6030021886</t>
  </si>
  <si>
    <t>7K-0586356</t>
  </si>
  <si>
    <t>C-5139001</t>
  </si>
  <si>
    <t>BH 9307 GZ/BH 8117</t>
  </si>
  <si>
    <t>Iswadianto (Teknisi LPJU)</t>
  </si>
  <si>
    <t>Minibus Double Cabin + Serine</t>
  </si>
  <si>
    <t>Mitsubishi Strada Triton L200</t>
  </si>
  <si>
    <t>BH 8124 G EX BH 333 GZ</t>
  </si>
  <si>
    <t>MMBJNK7406F038740</t>
  </si>
  <si>
    <t>4D56CK4458</t>
  </si>
  <si>
    <t>E-9775844</t>
  </si>
  <si>
    <t>Mutasi Dari Dinas Pendapatan Daerah</t>
  </si>
  <si>
    <t>Surhayanto, S.HI (Kabid Lalu Lintas)</t>
  </si>
  <si>
    <t>Hilux</t>
  </si>
  <si>
    <t>BH 8020 G</t>
  </si>
  <si>
    <t>MR0KB8CD1N1132753</t>
  </si>
  <si>
    <t>2GD1187942</t>
  </si>
  <si>
    <t>S01521606F</t>
  </si>
  <si>
    <t>Raden Rusdan (Staf Operasional Lalu Lintas)</t>
  </si>
  <si>
    <t>BH 2423 G</t>
  </si>
  <si>
    <t>MHIHABB172K028056</t>
  </si>
  <si>
    <t>HABBE-1027904</t>
  </si>
  <si>
    <t>C-2190610</t>
  </si>
  <si>
    <t>Agus Saputra (Staf Subbag Umum dan Keuangan)</t>
  </si>
  <si>
    <t>Honda Tiger 2000</t>
  </si>
  <si>
    <t>BH 2414 G</t>
  </si>
  <si>
    <t>MHI5ABJ133KOO4376</t>
  </si>
  <si>
    <t>SABJ-1003323</t>
  </si>
  <si>
    <t>C-4563312</t>
  </si>
  <si>
    <t>HENDRA GUNAWAN, SE (Staf Manajemen dan Reka Lalu Lintas)</t>
  </si>
  <si>
    <t>BH 2417 G EX BH 5124 GZ</t>
  </si>
  <si>
    <t>MHISABJ113K004389</t>
  </si>
  <si>
    <t>SABJE-1003498</t>
  </si>
  <si>
    <t>C 4563313F</t>
  </si>
  <si>
    <t>DARMANTO (Staf Operasional Lalu Lintas)</t>
  </si>
  <si>
    <t>BH 2413 G</t>
  </si>
  <si>
    <t>MHIKEVA164K786454</t>
  </si>
  <si>
    <t>KEVAE-1784572</t>
  </si>
  <si>
    <t>D-1608695</t>
  </si>
  <si>
    <t>Ade Candra Firdaus (Staf Subbag Umum dan Keuangan)</t>
  </si>
  <si>
    <t>Honda New Tiger</t>
  </si>
  <si>
    <t>BH 2412 G</t>
  </si>
  <si>
    <t>MH1MC22139K017851</t>
  </si>
  <si>
    <t>MC22E-1017791</t>
  </si>
  <si>
    <t>F-8236108</t>
  </si>
  <si>
    <t>Mohamad Ali (Staf Operasional Lalu Lintas)</t>
  </si>
  <si>
    <t>BH 2418 G EX BH 5825 GZ</t>
  </si>
  <si>
    <t>MH1MC22179K022230</t>
  </si>
  <si>
    <t>MC22E-1022184</t>
  </si>
  <si>
    <t>F-8236109</t>
  </si>
  <si>
    <t>Mario Wahyu Maulana (Staf Penguji UPTD PKB)</t>
  </si>
  <si>
    <t>BH 2411 G</t>
  </si>
  <si>
    <t>MH1JBC2109K131463</t>
  </si>
  <si>
    <t>JBC2E-1133573</t>
  </si>
  <si>
    <t>G-0684027</t>
  </si>
  <si>
    <t>ISMARIZON (Staf Angkutan Sungai)</t>
  </si>
  <si>
    <t>BH 2415 G EX BH 5861 GZ</t>
  </si>
  <si>
    <t>MH1JBC2199K123457</t>
  </si>
  <si>
    <t>JBC2E 1127449</t>
  </si>
  <si>
    <t>G-0682041</t>
  </si>
  <si>
    <t>Denci Astuti (Staf Subbag Umum dan Keuangan)</t>
  </si>
  <si>
    <t>BH 5891 GZ</t>
  </si>
  <si>
    <t>MH1JBC21XAK475676</t>
  </si>
  <si>
    <t>JBC2E1463840</t>
  </si>
  <si>
    <t>H-03406733F</t>
  </si>
  <si>
    <t>Samsul Bahari (Staf UPTD PKB)</t>
  </si>
  <si>
    <t>BH 2477 G</t>
  </si>
  <si>
    <t>MH1JBC215AK484351</t>
  </si>
  <si>
    <t>JBC2E-1472920</t>
  </si>
  <si>
    <t>H-03406736</t>
  </si>
  <si>
    <t>BH 5888 GZ</t>
  </si>
  <si>
    <t>SUPERMADI (Staf Subbag Perencanaan dan Kepegawaian)</t>
  </si>
  <si>
    <t>BH 2416 G</t>
  </si>
  <si>
    <t>MH1JBC216AK485086</t>
  </si>
  <si>
    <t>JBC2E-1472776</t>
  </si>
  <si>
    <t>H-0 3406735</t>
  </si>
  <si>
    <t>BH 5889 GZ</t>
  </si>
  <si>
    <t>SABKI, SE (Staf Subbag Umum dan Keuangan)</t>
  </si>
  <si>
    <t>Honda New Blade Repsol</t>
  </si>
  <si>
    <t>BH 2420 G</t>
  </si>
  <si>
    <t>MH1JBH113DK074129</t>
  </si>
  <si>
    <t>IBH1E1073312</t>
  </si>
  <si>
    <t>I-05374304</t>
  </si>
  <si>
    <t>BH 6032 GZ</t>
  </si>
  <si>
    <t>Fahmi, SE (Kasubbag Umum dan Keuangan)</t>
  </si>
  <si>
    <t>New Mega Pro</t>
  </si>
  <si>
    <t>BH 2419 G</t>
  </si>
  <si>
    <t>MH1KC2110CK059880</t>
  </si>
  <si>
    <t>KC21E-1059669</t>
  </si>
  <si>
    <t>I-10035217</t>
  </si>
  <si>
    <t>BH 6090 GZ</t>
  </si>
  <si>
    <t>SUHAIMI (Staf Subbag Umum dan Keuangan)</t>
  </si>
  <si>
    <t>Honda New Revo</t>
  </si>
  <si>
    <t>BH 4113 G EX BH 6549 GZ</t>
  </si>
  <si>
    <t>MH1JBK314FK085771</t>
  </si>
  <si>
    <t>JBK3E-1085363</t>
  </si>
  <si>
    <t>L-03947858</t>
  </si>
  <si>
    <t>Pengembalian Rp. 375.000,-</t>
  </si>
  <si>
    <t>BH 2086 G</t>
  </si>
  <si>
    <t>MH1JFY11JK115633</t>
  </si>
  <si>
    <t>JFY1E-1114310</t>
  </si>
  <si>
    <t>N-07482932</t>
  </si>
  <si>
    <t>Juliansyah Harahap (Staf Operasional Lalin)</t>
  </si>
  <si>
    <t>Honda PCX, Warna Putih</t>
  </si>
  <si>
    <t>BH 2197 G</t>
  </si>
  <si>
    <t>MH1KF2218KK139481</t>
  </si>
  <si>
    <t>KF22E1139104</t>
  </si>
  <si>
    <t>P-06427402</t>
  </si>
  <si>
    <t>RUDI HARTONO, SE (Kasi Manajemen dan Rekayasa Lalin)</t>
  </si>
  <si>
    <t>BH 2198 G</t>
  </si>
  <si>
    <t>MH1KF2210KK139488</t>
  </si>
  <si>
    <t>KF22E1139095</t>
  </si>
  <si>
    <t>P-06427403</t>
  </si>
  <si>
    <t>SYAIFUL ANWAR, SE (Fungsional Kebijakan)</t>
  </si>
  <si>
    <t>Honda CRF, warna hitam</t>
  </si>
  <si>
    <t>BH 3005 G</t>
  </si>
  <si>
    <t>MH1KD1118KK102657</t>
  </si>
  <si>
    <t>KD11E1101945</t>
  </si>
  <si>
    <t>P-06427408</t>
  </si>
  <si>
    <t>WARDANA FERDIANSYAH, SH (Kasi Angkutan Barang)</t>
  </si>
  <si>
    <t>Honda Scoopy , Warna Putih</t>
  </si>
  <si>
    <t>BH 3004 G</t>
  </si>
  <si>
    <t>MH1JM3130KK102130</t>
  </si>
  <si>
    <t>JM31E3096438</t>
  </si>
  <si>
    <t>P-06427407</t>
  </si>
  <si>
    <t>SAHARUDIN, S.KOM, MH (Fungsional Kebijakan)</t>
  </si>
  <si>
    <t>BH 3002 G</t>
  </si>
  <si>
    <t>MH1KF2215KK139485</t>
  </si>
  <si>
    <t>KF22E1139091</t>
  </si>
  <si>
    <t>P-06427406</t>
  </si>
  <si>
    <t>MARTONIS TAME (Staf Operasional Lalin)</t>
  </si>
  <si>
    <t>BH 3001 G</t>
  </si>
  <si>
    <t>MH1KF2210139491</t>
  </si>
  <si>
    <t>KF22E1139096</t>
  </si>
  <si>
    <t>P-06427405</t>
  </si>
  <si>
    <t>Budi Ustami, SE (Staf Operasional Lalin)</t>
  </si>
  <si>
    <t>BH 3006 G</t>
  </si>
  <si>
    <t>MH1KF2215KK139194</t>
  </si>
  <si>
    <t>KF22E1138930</t>
  </si>
  <si>
    <t>P-06427409</t>
  </si>
  <si>
    <t>SABKI (Staf Operasional Lalin)</t>
  </si>
  <si>
    <t>BH 2199 G</t>
  </si>
  <si>
    <t>MH1KF2212KK139492</t>
  </si>
  <si>
    <t>KF22E1139116</t>
  </si>
  <si>
    <t>P-06427404</t>
  </si>
  <si>
    <t>GATOT DIDIK SISWANTO (Staf Operasional Lalin)</t>
  </si>
  <si>
    <t>All New Nmax Neo S Version BH 2941 G</t>
  </si>
  <si>
    <t>All New Nmax Neo S Version</t>
  </si>
  <si>
    <t>BH 2941 G</t>
  </si>
  <si>
    <t>MH3SG9310SK148409</t>
  </si>
  <si>
    <t>G3V5E-0430885</t>
  </si>
  <si>
    <t>V06991528</t>
  </si>
  <si>
    <t>Erman (Staf Subbag Umum dan Keuangan)</t>
  </si>
  <si>
    <t>All New Nmax Neo S Version BH 2940 G</t>
  </si>
  <si>
    <t>BH 2940 G</t>
  </si>
  <si>
    <t>MH3SG9310SK149582</t>
  </si>
  <si>
    <t>G3V5E-0435884</t>
  </si>
  <si>
    <t>V06991527</t>
  </si>
  <si>
    <t>Sofyan Syah (Staf Subbag Umum dan Keuangan)</t>
  </si>
  <si>
    <t>All New Nmax Neo S Version BH 2938 G</t>
  </si>
  <si>
    <t>BH 2938 G</t>
  </si>
  <si>
    <t>MH3SG9310SK146828</t>
  </si>
  <si>
    <t>G3V5E-0427758</t>
  </si>
  <si>
    <t>V06991525</t>
  </si>
  <si>
    <t>Kemas Dolly Elfilza, SH (KaSubbag Perencanaan dan Kepegawaian)</t>
  </si>
  <si>
    <t>All New Nmax Neo S Version BH 2939 G</t>
  </si>
  <si>
    <t>BH 2939 G</t>
  </si>
  <si>
    <t>MH3SG9310SK152283</t>
  </si>
  <si>
    <t>G3V5E-0442878</t>
  </si>
  <si>
    <t>V06991526</t>
  </si>
  <si>
    <t>Mat Nahari, SE (Kasi Angkutan Sungai)</t>
  </si>
  <si>
    <t>Suzuki APV SGX 2017, warning light LED)</t>
  </si>
  <si>
    <t>BH 1023 G</t>
  </si>
  <si>
    <t>MHYGDN42VHJ413299</t>
  </si>
  <si>
    <t>G15AID-408639</t>
  </si>
  <si>
    <t>M11828871</t>
  </si>
  <si>
    <t>Mutasi dari Perkim</t>
  </si>
  <si>
    <t>Syafril (Teknisi LPJU)</t>
  </si>
  <si>
    <t>Truck Hino Dutro 130 HD</t>
  </si>
  <si>
    <t>BH 8009 G</t>
  </si>
  <si>
    <t>MJEC1JG43K5185002</t>
  </si>
  <si>
    <t>W04DTRR74722</t>
  </si>
  <si>
    <t>P-06410645</t>
  </si>
  <si>
    <t>Mulyono (Teknisi LPJU)</t>
  </si>
  <si>
    <t>: DINAS KOMUNIKASI DAN INFORMATIKA</t>
  </si>
  <si>
    <t>Diskominfo</t>
  </si>
  <si>
    <t>BH 1142 G</t>
  </si>
  <si>
    <t>MHFXW42G0A2160369</t>
  </si>
  <si>
    <t>1TR-6921747</t>
  </si>
  <si>
    <t>H01976587F</t>
  </si>
  <si>
    <t>Damankhuri</t>
  </si>
  <si>
    <t>Terios</t>
  </si>
  <si>
    <t>Daihatsu</t>
  </si>
  <si>
    <t>BH 1204 G</t>
  </si>
  <si>
    <t>MHKG2CJ1JCK018982</t>
  </si>
  <si>
    <t>DDB1968</t>
  </si>
  <si>
    <t>K00103224F</t>
  </si>
  <si>
    <t>Saddia Nazal, MA</t>
  </si>
  <si>
    <t>Kabid Persandian dan Statistik</t>
  </si>
  <si>
    <t>New Rush 1.5 S M/T TRD VIN 2019</t>
  </si>
  <si>
    <t>BH 1057 G</t>
  </si>
  <si>
    <t>MHKE8FA3JKJ002117</t>
  </si>
  <si>
    <t>2NRF918572</t>
  </si>
  <si>
    <t>P06385536F</t>
  </si>
  <si>
    <t>Faisa Harahap, SE,</t>
  </si>
  <si>
    <t>Fontier Navara MT</t>
  </si>
  <si>
    <t>BH 8116 G (ex BH 9332 GZ)</t>
  </si>
  <si>
    <t>MNTVCUD40ZO022919</t>
  </si>
  <si>
    <t>YD25-213685T</t>
  </si>
  <si>
    <t>H-02365367</t>
  </si>
  <si>
    <t>Frans Almarta</t>
  </si>
  <si>
    <t>Kabid Penyelenggaran E-Government</t>
  </si>
  <si>
    <t>D-MAXDC-3 4X4 M/T</t>
  </si>
  <si>
    <t>BH 8129 G (ex BH 531 GZ)</t>
  </si>
  <si>
    <t>MPATFS85HCT104340</t>
  </si>
  <si>
    <t>JS8484</t>
  </si>
  <si>
    <t>K0010430SF</t>
  </si>
  <si>
    <t>M. Amin</t>
  </si>
  <si>
    <t>Revo</t>
  </si>
  <si>
    <t>BH 2475 G (ex BH 5890 GZ)</t>
  </si>
  <si>
    <t>MH1JBC214AK431589</t>
  </si>
  <si>
    <t>JBC2E-1420519</t>
  </si>
  <si>
    <t>H03406734F</t>
  </si>
  <si>
    <t>Kendaraan Roda 2</t>
  </si>
  <si>
    <t>Nyimas Faiza Amalia, SE</t>
  </si>
  <si>
    <t>NEW VARIO 125 ESP CBS ISS VIN</t>
  </si>
  <si>
    <t>BH 2179 G</t>
  </si>
  <si>
    <t>MH1JM5118KK410852</t>
  </si>
  <si>
    <t>JM51E-1410494</t>
  </si>
  <si>
    <t>P06396590F</t>
  </si>
  <si>
    <t>Wahono, S.Sos</t>
  </si>
  <si>
    <t>BH 2180 G</t>
  </si>
  <si>
    <t>MH1JM5115KK410856</t>
  </si>
  <si>
    <t>JM51E-1410489</t>
  </si>
  <si>
    <t>P06396591F</t>
  </si>
  <si>
    <t>Nur Aisyah, S.Kom</t>
  </si>
  <si>
    <t>BH 2181 G</t>
  </si>
  <si>
    <t>MH1JM5114KK410847</t>
  </si>
  <si>
    <t>JM51E-1410474</t>
  </si>
  <si>
    <t>P06396592F</t>
  </si>
  <si>
    <t>Indri Yani, S.Kom</t>
  </si>
  <si>
    <t>Fungsional Statistik</t>
  </si>
  <si>
    <t>BH 2182 G</t>
  </si>
  <si>
    <t>MH1JM5118KK410866</t>
  </si>
  <si>
    <t>JM51E-1410429</t>
  </si>
  <si>
    <t>P-06396593F</t>
  </si>
  <si>
    <t>Ramli, SE</t>
  </si>
  <si>
    <t>BPP</t>
  </si>
  <si>
    <t>All New Nmax 155 ABS</t>
  </si>
  <si>
    <t>NMax</t>
  </si>
  <si>
    <t>BH 2382 G</t>
  </si>
  <si>
    <t>MH3SG5680PK173434</t>
  </si>
  <si>
    <t>G38E-1620001</t>
  </si>
  <si>
    <t>T04340375F</t>
  </si>
  <si>
    <t>Khibti'ah</t>
  </si>
  <si>
    <t>All New XSR 155</t>
  </si>
  <si>
    <t>XSR 125</t>
  </si>
  <si>
    <t>BH 2381 G</t>
  </si>
  <si>
    <t>MH3RG4760PK059427</t>
  </si>
  <si>
    <t>G3S7E-0068038</t>
  </si>
  <si>
    <t>T-04340374F</t>
  </si>
  <si>
    <t>Virdi Verdian, A.Md</t>
  </si>
  <si>
    <t>Honda CB150 X SE</t>
  </si>
  <si>
    <t>CB150X STD</t>
  </si>
  <si>
    <t>BH 2390 G</t>
  </si>
  <si>
    <t>MH1KCE11XPK018132</t>
  </si>
  <si>
    <t>KCE1E-1018100</t>
  </si>
  <si>
    <t>T-04349762F</t>
  </si>
  <si>
    <t>Drs. Saddia Naizal</t>
  </si>
  <si>
    <t>PPID</t>
  </si>
  <si>
    <t>BH 2391 G</t>
  </si>
  <si>
    <t>MH1KCE117PK021554</t>
  </si>
  <si>
    <t>KCE1E-1021481</t>
  </si>
  <si>
    <t>T04349763F</t>
  </si>
  <si>
    <t>Pandapotan Rambe</t>
  </si>
  <si>
    <t>BH 2392 G</t>
  </si>
  <si>
    <t>MH1KCE111PK021646</t>
  </si>
  <si>
    <t>KCE1E-1021474</t>
  </si>
  <si>
    <t>T04349764F</t>
  </si>
  <si>
    <t>Khamsa Kamil, A.Md</t>
  </si>
  <si>
    <t>Nmax Neo S 155 ABS</t>
  </si>
  <si>
    <t>BH 2899 G</t>
  </si>
  <si>
    <t>MH3SG5680PK209663</t>
  </si>
  <si>
    <t>G3L8E-1924941</t>
  </si>
  <si>
    <t>U05219178F</t>
  </si>
  <si>
    <t>Fahrul Rozi, A.Md</t>
  </si>
  <si>
    <t>Bend. Barang</t>
  </si>
  <si>
    <t>: URUSAN WAJIB BUKAN PELAYANAN DASAR</t>
  </si>
  <si>
    <t>: Koperasi, Usaha Kecil dan Menengah</t>
  </si>
  <si>
    <t>: Dinas Koperasi Usaha Kecil Menengah, Perindustrian dan Perdagangan</t>
  </si>
  <si>
    <t>DISKOPERINDAG</t>
  </si>
  <si>
    <t>Chevrolet Spin1.5L LT MT</t>
  </si>
  <si>
    <t>BH 1253 G EX BH 321 GZ</t>
  </si>
  <si>
    <t>MJBJF75BOEJO17248</t>
  </si>
  <si>
    <t>B15D21113962CB6X0551</t>
  </si>
  <si>
    <t>K-06098966</t>
  </si>
  <si>
    <t>EX BH 321 GZ</t>
  </si>
  <si>
    <t>Syamsul Hidayat, SH (Kabid Perdagangan</t>
  </si>
  <si>
    <t>Toyota  New rRush 1.5 S.M/T</t>
  </si>
  <si>
    <t>BH 1058 G</t>
  </si>
  <si>
    <t>MHKE8FA3JKJ002350</t>
  </si>
  <si>
    <t>2NRF920873</t>
  </si>
  <si>
    <t>P-06385761</t>
  </si>
  <si>
    <t>Suirman, S.Pd, M.Pd (Kabid Koperasi)</t>
  </si>
  <si>
    <t>Toyota All New Kijang Innova</t>
  </si>
  <si>
    <t>BH 1131 G</t>
  </si>
  <si>
    <t xml:space="preserve">  MHFJW8EM8G2306542</t>
  </si>
  <si>
    <t>ITR-A066765</t>
  </si>
  <si>
    <t>L-08617696</t>
  </si>
  <si>
    <t>A. Mustohari, SE (Sekretaris Dinas)</t>
  </si>
  <si>
    <t>Mitsubishi  Strada</t>
  </si>
  <si>
    <t>BH 9324 GZ EX BH 440 GZ</t>
  </si>
  <si>
    <t>MMBJNKB409D021806</t>
  </si>
  <si>
    <t>4D56UCBK2670</t>
  </si>
  <si>
    <t>F-7701523</t>
  </si>
  <si>
    <t>Mutasi dari Setda Ex Aset ESDM 
BH 9324 GZ/BH 440 GZ</t>
  </si>
  <si>
    <t>Irwanto, SE (Kabid Industri)</t>
  </si>
  <si>
    <t>Toyota Hilux-2.4G 4X4 Double Cabin</t>
  </si>
  <si>
    <t>BH 8010 G</t>
  </si>
  <si>
    <t>MRCKB8CD4K11210608</t>
  </si>
  <si>
    <t>2GD4623864</t>
  </si>
  <si>
    <t>P-06411203</t>
  </si>
  <si>
    <t>Harian Todi, SE (Kepala UPTD Metrologi Legal)</t>
  </si>
  <si>
    <t>BH 5056 GZ</t>
  </si>
  <si>
    <t>MHIHABA101K059682</t>
  </si>
  <si>
    <t>HABAE-1059605</t>
  </si>
  <si>
    <t>C-1433662</t>
  </si>
  <si>
    <t>Honda New Mega Pro STD</t>
  </si>
  <si>
    <t>BH 2450 G EX BH 5821 GZ</t>
  </si>
  <si>
    <t>MH1KC11159K211221</t>
  </si>
  <si>
    <t>KC11E-1213425</t>
  </si>
  <si>
    <t>F-8111568</t>
  </si>
  <si>
    <t>BH 5821 GZ/BH 2450 G</t>
  </si>
  <si>
    <t>Nasrul, SE (Pengadministrasian Sarana Pengembangan Usaha)</t>
  </si>
  <si>
    <t>BH 5822 GZ</t>
  </si>
  <si>
    <t>MH1KC11119K211295</t>
  </si>
  <si>
    <t>KC11E-1213384</t>
  </si>
  <si>
    <t>F-8111545</t>
  </si>
  <si>
    <t>Yamaha Jupiter MX CW</t>
  </si>
  <si>
    <t>BH 6118 GZ</t>
  </si>
  <si>
    <t>MH350C002CK328474</t>
  </si>
  <si>
    <t>5DC-328023</t>
  </si>
  <si>
    <t>I-11000528</t>
  </si>
  <si>
    <t>BH 2609 G</t>
  </si>
  <si>
    <t>MH350C002CK361993</t>
  </si>
  <si>
    <t>5DC-362049</t>
  </si>
  <si>
    <t>I-11000529</t>
  </si>
  <si>
    <t>EX BH 6119 GZ</t>
  </si>
  <si>
    <t>Yamaha 50c (T135hc)</t>
  </si>
  <si>
    <t>BH 2449 G</t>
  </si>
  <si>
    <t>MH350C002CK474108</t>
  </si>
  <si>
    <t>K-00106173</t>
  </si>
  <si>
    <t>EX BH 6193 GZ</t>
  </si>
  <si>
    <t>Hendry Yansyah, SE (Staf Sekretariat)</t>
  </si>
  <si>
    <t>BH 2709 G</t>
  </si>
  <si>
    <t>MH350C002CK478178</t>
  </si>
  <si>
    <t>K-00108907</t>
  </si>
  <si>
    <t>EX BH 6194 GZ</t>
  </si>
  <si>
    <t>Soponyono, SE (Penyuluh Perindustrian dan Perdagangan)</t>
  </si>
  <si>
    <t>BH 6195 GZ</t>
  </si>
  <si>
    <t>MH350C002CK442597</t>
  </si>
  <si>
    <t>K-00108906</t>
  </si>
  <si>
    <t>BH 4018 G EX BH 6196 GZ</t>
  </si>
  <si>
    <t>MH350C002CK471193</t>
  </si>
  <si>
    <t>50C471066</t>
  </si>
  <si>
    <t>T-00684364
(Ex K-00108905)</t>
  </si>
  <si>
    <t>EX BH 6196 GZ</t>
  </si>
  <si>
    <t>Rika Aulia Dewi, ST (Analis Kebijakan)</t>
  </si>
  <si>
    <t>Kawasaki/LX 150c(KLX 1503)</t>
  </si>
  <si>
    <t>BH 2707 G EX BH 6201 GZ</t>
  </si>
  <si>
    <t>MH4LX150CDKP67098</t>
  </si>
  <si>
    <t>LX150CEPA3988</t>
  </si>
  <si>
    <t>K-00110853</t>
  </si>
  <si>
    <t>EX BH 6201 GZ</t>
  </si>
  <si>
    <t>Antoni, SE (Analis Kebijakan)</t>
  </si>
  <si>
    <t>BH 2708 G EX BH 6202 GZ</t>
  </si>
  <si>
    <t>MH4LX150CDKP67096</t>
  </si>
  <si>
    <t>LX150CEPA3986</t>
  </si>
  <si>
    <t>K-00110854</t>
  </si>
  <si>
    <t>EX BH 6202 GZ</t>
  </si>
  <si>
    <t>Rismawati, SH (Analis Kebijakan)</t>
  </si>
  <si>
    <t>Yamaha New JX</t>
  </si>
  <si>
    <t>BH 6533 GZ</t>
  </si>
  <si>
    <t>MH350C006EK858809</t>
  </si>
  <si>
    <t>5DC-858858</t>
  </si>
  <si>
    <t>L-03919471</t>
  </si>
  <si>
    <t>BH 2448 G</t>
  </si>
  <si>
    <t>MH350C006EK852121</t>
  </si>
  <si>
    <t>5DC-852178</t>
  </si>
  <si>
    <t>L-03919470</t>
  </si>
  <si>
    <t>EX BH 6532 GZ</t>
  </si>
  <si>
    <t>Ermiyani, SE (Pengawas Perdagangan)</t>
  </si>
  <si>
    <t>Yamaha Vixion Sport 150 cc</t>
  </si>
  <si>
    <t>BH 2136 G</t>
  </si>
  <si>
    <t>MH3RG4610JK085375</t>
  </si>
  <si>
    <t>G3E7E-D463027</t>
  </si>
  <si>
    <t>P-05023794</t>
  </si>
  <si>
    <t>Zairudi, SE (Pengawas Perdagangan)</t>
  </si>
  <si>
    <t>Yamaha NMAX ABS METIC 155 cc</t>
  </si>
  <si>
    <t>BH 2133 G</t>
  </si>
  <si>
    <t>MH3SG3180KK069127</t>
  </si>
  <si>
    <t>G3E4E-1463149</t>
  </si>
  <si>
    <t>P-05018299</t>
  </si>
  <si>
    <t>Yenni Puspitasari, SE (Analis Perdagangan)</t>
  </si>
  <si>
    <t>BH 2174 G</t>
  </si>
  <si>
    <t>MH3SG3182KK088307</t>
  </si>
  <si>
    <t>G3E4E-1696159</t>
  </si>
  <si>
    <t>P-06395348</t>
  </si>
  <si>
    <t>Yoanna Mizzani A, SH (Penyuluh Perindustrian dan Perdagangan)</t>
  </si>
  <si>
    <t>Yamaha NMAX NON ABS METIC 155 cc</t>
  </si>
  <si>
    <t>BH 2175 G</t>
  </si>
  <si>
    <t>MH3SG3190KJ794907</t>
  </si>
  <si>
    <t>G3E4E-1751563</t>
  </si>
  <si>
    <t>P-06395349</t>
  </si>
  <si>
    <t>Maiwanti, S.Kom (Kasubbag Umum dan Keuangan)</t>
  </si>
  <si>
    <t>BH 2176 G</t>
  </si>
  <si>
    <t>MH3SG3190KK789105</t>
  </si>
  <si>
    <t>G3E4E-1740457</t>
  </si>
  <si>
    <t>P-06395350</t>
  </si>
  <si>
    <t>Mulyadi, SE (Kasubbag Perencanaan dan Kepegawaian)</t>
  </si>
  <si>
    <t>: DINAS PENANAMAN MODAL DAN PELAYANAN TERPADU SATU PINTU</t>
  </si>
  <si>
    <t>No_Mesin</t>
  </si>
  <si>
    <t>Mitsubishi Strada</t>
  </si>
  <si>
    <t>BH 8113 G (EX BH 9326 GZ)</t>
  </si>
  <si>
    <t>Mutasi dari Dinas Pendidikan dan kebudayaan</t>
  </si>
  <si>
    <t>Kepala Dinas (Alias, SH, MH)</t>
  </si>
  <si>
    <t>DPMPTSP</t>
  </si>
  <si>
    <t>BH 1158 G (Ex BH 69 GZ/BH 1718 GZ/BH 390 GZ)</t>
  </si>
  <si>
    <t>MHF11KF8030078016</t>
  </si>
  <si>
    <t>C-5139029</t>
  </si>
  <si>
    <t>Toyota Kijang Innova G Manual</t>
  </si>
  <si>
    <t>BH 1106 G (Ex BH 1145 GZ/BH 39 GZ)</t>
  </si>
  <si>
    <t>MHFXW42G4C2226795</t>
  </si>
  <si>
    <t>I-10608674</t>
  </si>
  <si>
    <t>Kabid Penanaman Modal (Noverdo Endarsyah, S.IP.MH)</t>
  </si>
  <si>
    <t>Mitsubishi Expander 1,5 L</t>
  </si>
  <si>
    <t>BH 1062 G</t>
  </si>
  <si>
    <t>MK2NCWHAPKJ002651</t>
  </si>
  <si>
    <t>P-06386652</t>
  </si>
  <si>
    <t>Sekretaris (Ikhsan Maskuri, Sos)</t>
  </si>
  <si>
    <t>Mitsubishi Expander</t>
  </si>
  <si>
    <t>BH 1063 G</t>
  </si>
  <si>
    <t>MK2MCMWHARKJ001963</t>
  </si>
  <si>
    <t>P-06386687</t>
  </si>
  <si>
    <t>Kabid Pelayanan (Agoes Sukarman, SE)</t>
  </si>
  <si>
    <t>Double Cabin</t>
  </si>
  <si>
    <t>New Hilux Double Cabin 2 G (4x4)</t>
  </si>
  <si>
    <t>BH 8014 G</t>
  </si>
  <si>
    <t>MROKB8CD3L1125087</t>
  </si>
  <si>
    <t>P-07670072</t>
  </si>
  <si>
    <t>MUTASI KE SETDA ADC BUPATI (2025)</t>
  </si>
  <si>
    <t>Honda New Megapro Cw</t>
  </si>
  <si>
    <t>BH 2760 G (Ex BH 6124 GZ)</t>
  </si>
  <si>
    <t>MH1JF8118CK495026</t>
  </si>
  <si>
    <t>I-11002900</t>
  </si>
  <si>
    <t>Analis Kebijakan (Rizki Iryawan)</t>
  </si>
  <si>
    <t>BH 2725 G (Ex BH 6123 GZ)</t>
  </si>
  <si>
    <t>MH1KC3116CK194660</t>
  </si>
  <si>
    <t>I-11002356</t>
  </si>
  <si>
    <t>Penata Perizinan Ahli Pertama (EKO YULI PURWANTO,S.IP)</t>
  </si>
  <si>
    <t>BH 2757 G (Ex BH 6122 GZ)</t>
  </si>
  <si>
    <t>MH1KC3114CK194656</t>
  </si>
  <si>
    <t>I-11002357</t>
  </si>
  <si>
    <t>Penata Perizinan Ahli Pertama (SISWANTO,SE)</t>
  </si>
  <si>
    <t>BH 2763 G (Ex BH 6121 GZ)</t>
  </si>
  <si>
    <t>KC3110CK194671</t>
  </si>
  <si>
    <t>I-11002358</t>
  </si>
  <si>
    <t>Penata Perizinan Ahli Pertama (DION KURNIADI,SE</t>
  </si>
  <si>
    <t>BH 2762 G (Ex BH 6120 GZ)</t>
  </si>
  <si>
    <t>KC3119CK194667</t>
  </si>
  <si>
    <t>I-11002202</t>
  </si>
  <si>
    <t>Analis Kebijakan (TAUFIK,HS,SH)</t>
  </si>
  <si>
    <t>Honda Vario 125 cc</t>
  </si>
  <si>
    <t>BH 2165 G</t>
  </si>
  <si>
    <t>MHIJM5116KK402806</t>
  </si>
  <si>
    <t>P-06390273</t>
  </si>
  <si>
    <t>Penata Perizinan Ahli Pertama (HAKIKI SHIBLY,SH.MH)</t>
  </si>
  <si>
    <t>BH 2163 G</t>
  </si>
  <si>
    <t>MHIJM5119KK402835</t>
  </si>
  <si>
    <t>P-06390271</t>
  </si>
  <si>
    <t>Staf Fungsional (AHMAD IRAWAN FADLI)</t>
  </si>
  <si>
    <t>BH 2162 G</t>
  </si>
  <si>
    <t>MHIJM5119KK402842</t>
  </si>
  <si>
    <t>P-06390270</t>
  </si>
  <si>
    <t>Penata Perizinan Ahli Pertama (Ainiah, SE)</t>
  </si>
  <si>
    <t>BH 2161 G</t>
  </si>
  <si>
    <t>MHIJM5112KK401404</t>
  </si>
  <si>
    <t>P-06390269</t>
  </si>
  <si>
    <t>Analis Kebijakan (FEBRINA JUSMITA,SP)</t>
  </si>
  <si>
    <t>BH 2160 G</t>
  </si>
  <si>
    <t>MHIJM5113KK401802</t>
  </si>
  <si>
    <t>P-06390268</t>
  </si>
  <si>
    <t>Kasubbag Umum dan Keuangan (DIAN YEVITA,SE)</t>
  </si>
  <si>
    <t>BH 2159 G</t>
  </si>
  <si>
    <t>MHIJM5112KK402830</t>
  </si>
  <si>
    <t>P-06390267</t>
  </si>
  <si>
    <t>Penata Perizinan Ahli Pertama (FITRIANI,SE)</t>
  </si>
  <si>
    <t>BH 2158 G</t>
  </si>
  <si>
    <t>MH1JM511TKK403014</t>
  </si>
  <si>
    <t>P-06390266</t>
  </si>
  <si>
    <t>Staff Fungsional (SAFE'I SAAT,SE)</t>
  </si>
  <si>
    <t>BH 2164 G</t>
  </si>
  <si>
    <t>MHIJM5116KK401406</t>
  </si>
  <si>
    <t>P-06390272</t>
  </si>
  <si>
    <t>Penata Perizinan Ahli Muda (Ardiansyah, S.Sos)</t>
  </si>
  <si>
    <t>ASET LAIN-LAIN (Status Tidak Laku Lelang)</t>
  </si>
  <si>
    <t>1.5.4.01.01.01.002</t>
  </si>
  <si>
    <t>Micro bus</t>
  </si>
  <si>
    <t>2.12.01.00</t>
  </si>
  <si>
    <t>Dinas Penanaman Modal dan Pelayanan Terpadu Satu Pintu</t>
  </si>
  <si>
    <t>#####</t>
  </si>
  <si>
    <t>BH 9351 GZ</t>
  </si>
  <si>
    <t>APBD</t>
  </si>
  <si>
    <t>Dana DAK</t>
  </si>
  <si>
    <t>: DINAS PERPUSTAKAAN DAN ARSIP DAERAH</t>
  </si>
  <si>
    <t>no-mesin</t>
  </si>
  <si>
    <t>TBR541 LV25</t>
  </si>
  <si>
    <t>DPAD</t>
  </si>
  <si>
    <t>BH 1338 G (Ex. BH 530 GZ)</t>
  </si>
  <si>
    <t>MHCTBR54F1K207903</t>
  </si>
  <si>
    <t>E207903</t>
  </si>
  <si>
    <t>B-0380991</t>
  </si>
  <si>
    <t>Dari SKPD Lama PDE, Perpust dan Arda</t>
  </si>
  <si>
    <t>Joni Erlintas, M.PD</t>
  </si>
  <si>
    <t>Spin 1,5 L LT/MT</t>
  </si>
  <si>
    <t>Chevrolet</t>
  </si>
  <si>
    <t>BH 1233 G (Ex. BH 25 G)</t>
  </si>
  <si>
    <t>MJBJF7590EJ014716</t>
  </si>
  <si>
    <t>Y13DTC5057282</t>
  </si>
  <si>
    <t>K-06091999</t>
  </si>
  <si>
    <t>Ertiga Diesel Hybrid</t>
  </si>
  <si>
    <t>BH 1027 G</t>
  </si>
  <si>
    <t>MA3PZEK1SH0453127</t>
  </si>
  <si>
    <t>D13A-5411355</t>
  </si>
  <si>
    <t>M11830615F</t>
  </si>
  <si>
    <t>Adi, SH, MH</t>
  </si>
  <si>
    <t>Kepala Bidang Arsip</t>
  </si>
  <si>
    <t>Supra x 125 helm-in CM</t>
  </si>
  <si>
    <t>BH 2354 G (Ex. BH 6283 GZ)</t>
  </si>
  <si>
    <t>MH1JBG117CK083685</t>
  </si>
  <si>
    <t>JBG1E1082148</t>
  </si>
  <si>
    <t>K-03767442</t>
  </si>
  <si>
    <t>Yessi Erlian, SE</t>
  </si>
  <si>
    <t>Arsiparis Muda</t>
  </si>
  <si>
    <t>SUPRA X 125 HELM-IN FI</t>
  </si>
  <si>
    <t>BH 2577 G (Ex. BH 6283 GZ)</t>
  </si>
  <si>
    <t>MH11BF117BR032681</t>
  </si>
  <si>
    <t>IBF1E1031724</t>
  </si>
  <si>
    <t>K03767442F</t>
  </si>
  <si>
    <t>Farup Fairi</t>
  </si>
  <si>
    <t>Pengadministrasi Perkantoran</t>
  </si>
  <si>
    <t>All New NMAX 155</t>
  </si>
  <si>
    <t>BH 2370 G</t>
  </si>
  <si>
    <t>MH3SG5620NK699194</t>
  </si>
  <si>
    <t>G3L8E-1442484</t>
  </si>
  <si>
    <t>T01477749F</t>
  </si>
  <si>
    <t>Isyatul Mardiah, S.Kom</t>
  </si>
  <si>
    <t>Pustakawan Muda</t>
  </si>
  <si>
    <t>BH 2372 G (Ex BH 8375 GZ)</t>
  </si>
  <si>
    <t>MH3SG5620NK699206</t>
  </si>
  <si>
    <t>G3L8E-1442501</t>
  </si>
  <si>
    <t>T01477751</t>
  </si>
  <si>
    <t>Sri Lestari, S.Sos</t>
  </si>
  <si>
    <t>BH 2374 G</t>
  </si>
  <si>
    <t>MH3SG5620NK699188</t>
  </si>
  <si>
    <t>G3L8E-1442480</t>
  </si>
  <si>
    <t>T01477753F</t>
  </si>
  <si>
    <t>Noverta Rahmat, SH</t>
  </si>
  <si>
    <t>Penelaah Teknis Kebijakan</t>
  </si>
  <si>
    <t>BH 2373 G</t>
  </si>
  <si>
    <t>MH3SG5620NK698725</t>
  </si>
  <si>
    <t>G3L8E-1442495</t>
  </si>
  <si>
    <t>T01477752F</t>
  </si>
  <si>
    <t>Siti Mardiah</t>
  </si>
  <si>
    <t>BH 2371 G</t>
  </si>
  <si>
    <t>MH3SG5620NK699199</t>
  </si>
  <si>
    <t>G3L8E-1442499</t>
  </si>
  <si>
    <t>T01477750F</t>
  </si>
  <si>
    <t>Rudiansyah, SH</t>
  </si>
  <si>
    <t>Kendaraan Bemotor</t>
  </si>
  <si>
    <t>ALL NEW NMEX 155 ABS</t>
  </si>
  <si>
    <t>BH 2849 G</t>
  </si>
  <si>
    <t>MH3SG5680PK212199</t>
  </si>
  <si>
    <t>G3L8E-1941183</t>
  </si>
  <si>
    <t>U-02056247</t>
  </si>
  <si>
    <t>Dessi Sriani, SE</t>
  </si>
  <si>
    <t>NMAX NEO S VERSION</t>
  </si>
  <si>
    <t>BH 2914 G</t>
  </si>
  <si>
    <t>MH3SG9310RK032062</t>
  </si>
  <si>
    <t>G3V5E-0097297</t>
  </si>
  <si>
    <t>V-01680434</t>
  </si>
  <si>
    <t>Betti Aryani</t>
  </si>
  <si>
    <t>Kendaraan Perpustakaan Keliling</t>
  </si>
  <si>
    <t>Hilux 2.0 L/MT</t>
  </si>
  <si>
    <t>BH 8103 G, Ex. BH 9189 PQU</t>
  </si>
  <si>
    <t>NIRDAW126440022699</t>
  </si>
  <si>
    <t>1TR6952863</t>
  </si>
  <si>
    <t>H-04840604</t>
  </si>
  <si>
    <t>Yanti, S.Pd</t>
  </si>
  <si>
    <t>Kabid Perpustakaan/Yanti,S.Pd</t>
  </si>
  <si>
    <t>: DINAS PERIKANAN</t>
  </si>
  <si>
    <t>Nama Peminjam</t>
  </si>
  <si>
    <t>Tanggal Peminjaman</t>
  </si>
  <si>
    <t>Nama yang mengembalikan</t>
  </si>
  <si>
    <t>tangal pengembalian</t>
  </si>
  <si>
    <t>Pengguna/ Pemakai Kendaraan</t>
  </si>
  <si>
    <t>kondisi 2</t>
  </si>
  <si>
    <t>Dinas  Perikanan</t>
  </si>
  <si>
    <t>Daihatsu  Terios</t>
  </si>
  <si>
    <t>BH 1293 G EXS BH 1136 GZ</t>
  </si>
  <si>
    <t>MHKG2CJ2JBK050965</t>
  </si>
  <si>
    <t>DCJ4048</t>
  </si>
  <si>
    <t>I-05374034</t>
  </si>
  <si>
    <t>Dinas Perikanan</t>
  </si>
  <si>
    <t>Andy Afrizal, S.St.Pi</t>
  </si>
  <si>
    <t>Oktarinda/ Plt. Kabid Perairan Umum</t>
  </si>
  <si>
    <t>Rusak Ringan/ bengkel</t>
  </si>
  <si>
    <t xml:space="preserve">Toyota Hi Lux </t>
  </si>
  <si>
    <t>BH 8112 G exs BH 9320 GZ</t>
  </si>
  <si>
    <t>MROAW12G670005895</t>
  </si>
  <si>
    <t>1TR-6433886</t>
  </si>
  <si>
    <t>F-2415817</t>
  </si>
  <si>
    <t>Proses Lelang</t>
  </si>
  <si>
    <t>Ditarik ke rumah dinas Wakil Bupati</t>
  </si>
  <si>
    <t>Mitsubishi Colt T 120 SS</t>
  </si>
  <si>
    <t>BH 8114 G exs BH 9333 GZ</t>
  </si>
  <si>
    <t>MHMU5TU2EAK039656</t>
  </si>
  <si>
    <t>4G15-F82502</t>
  </si>
  <si>
    <t>H-04031405</t>
  </si>
  <si>
    <t>BBI Tempino</t>
  </si>
  <si>
    <t>Kasyono, S.Pi</t>
  </si>
  <si>
    <t>Kasyono/ Kepala BBI Tempino</t>
  </si>
  <si>
    <t>Mitsubishi Strada Triton 4 WD</t>
  </si>
  <si>
    <t>BH 8143 G exs bh 313 GZ</t>
  </si>
  <si>
    <t>MMBJNKB70CD005574</t>
  </si>
  <si>
    <t>4M40UAC6143</t>
  </si>
  <si>
    <t>I-05374048</t>
  </si>
  <si>
    <t>Dwiana Ambarsari, S.Pt</t>
  </si>
  <si>
    <t>Azwan Assazali/ Kabid Budidaya</t>
  </si>
  <si>
    <t>Toyota Hi Lux Double Cabin</t>
  </si>
  <si>
    <t>BH 8092 G exs BH 9349 GZ</t>
  </si>
  <si>
    <t>MROFR 22GXCO615702</t>
  </si>
  <si>
    <t>2KD-S073254</t>
  </si>
  <si>
    <t>J-03567165</t>
  </si>
  <si>
    <t>M. Azwan Assazali, SE</t>
  </si>
  <si>
    <t>Mutasi Ke Kominfo</t>
  </si>
  <si>
    <t>Ford Ranger/biru</t>
  </si>
  <si>
    <t>BH 8139 G exs BH 9358 GZ</t>
  </si>
  <si>
    <t>MNBLMFF80FW402610</t>
  </si>
  <si>
    <t>P4AT2001473</t>
  </si>
  <si>
    <t>L-01852683</t>
  </si>
  <si>
    <t>Drs. Fahmi Julira</t>
  </si>
  <si>
    <t>Mutasi ke DAMKAR</t>
  </si>
  <si>
    <t>Kendaraan Operasional</t>
  </si>
  <si>
    <t>SUZUKI / GC415 4X2 MT</t>
  </si>
  <si>
    <t>BH 8104 G exs B 9107 PTB</t>
  </si>
  <si>
    <t xml:space="preserve">MHYGDN41TGJ426406 </t>
  </si>
  <si>
    <t>615A1O380538</t>
  </si>
  <si>
    <t>M-08283719</t>
  </si>
  <si>
    <t>H.M. Yanto, SP</t>
  </si>
  <si>
    <t>M. Yanto/ Fungsional Teknis</t>
  </si>
  <si>
    <t>baik</t>
  </si>
  <si>
    <t>BH 5067 BZ</t>
  </si>
  <si>
    <t>MHIHABA18XKO40967</t>
  </si>
  <si>
    <t>Lelang</t>
  </si>
  <si>
    <t>tidak diketahui/ tidak ada digudang</t>
  </si>
  <si>
    <t>Sepeda motor Roda 2 D. Khusus</t>
  </si>
  <si>
    <t>Yamaha Jupiter mX</t>
  </si>
  <si>
    <t>BH 5747 GZ</t>
  </si>
  <si>
    <t>MH31S70048K471102</t>
  </si>
  <si>
    <t>1S7-471274</t>
  </si>
  <si>
    <t>F-6255827</t>
  </si>
  <si>
    <t>digudang</t>
  </si>
  <si>
    <t>rusak berat</t>
  </si>
  <si>
    <t>BH 5749 GZ</t>
  </si>
  <si>
    <t>MH31S70048K453883</t>
  </si>
  <si>
    <t>1S7-453569</t>
  </si>
  <si>
    <t>F-6255965</t>
  </si>
  <si>
    <t>BH 2597 G exs BH 5750 GZ</t>
  </si>
  <si>
    <t>MH31S70048K452208</t>
  </si>
  <si>
    <t>1S7-452274</t>
  </si>
  <si>
    <t>F-6255905</t>
  </si>
  <si>
    <t>Vera Umami</t>
  </si>
  <si>
    <t>Vera Umami/ Petugas kebersihan kantor</t>
  </si>
  <si>
    <t>BH 2568 G exs BH 5744 GZ</t>
  </si>
  <si>
    <t>MH33C10028K116480</t>
  </si>
  <si>
    <t>3C1-117241</t>
  </si>
  <si>
    <t>F-6255826</t>
  </si>
  <si>
    <t>M. Arifin</t>
  </si>
  <si>
    <t>Aripin/ staf (PPPK)</t>
  </si>
  <si>
    <t>BH 5745 GZ</t>
  </si>
  <si>
    <t>MH3C10028K116407</t>
  </si>
  <si>
    <t>BH 2616 G exs BH 6066 GZ</t>
  </si>
  <si>
    <t>MH1JB9123BK858549</t>
  </si>
  <si>
    <t>JB91E-2849237</t>
  </si>
  <si>
    <t>I-05805007 F</t>
  </si>
  <si>
    <t>Hendra Sakti, S.Pt</t>
  </si>
  <si>
    <t>hendra sakti/ staf (PPPK)</t>
  </si>
  <si>
    <t>BH 2596 G exs BH 6067 GZ</t>
  </si>
  <si>
    <t>MH1JB9129BK858538</t>
  </si>
  <si>
    <t>JB91E-2849635</t>
  </si>
  <si>
    <t>I-05805006 F</t>
  </si>
  <si>
    <t>Uzairah, S.Pt, M.Si</t>
  </si>
  <si>
    <t>uzairah/ fungsional Teknis</t>
  </si>
  <si>
    <t>Kawassaki</t>
  </si>
  <si>
    <t>BH 2733 G exs BH 6179 GZ</t>
  </si>
  <si>
    <t>MH4LX150CCKP61105</t>
  </si>
  <si>
    <t>LX150CEP95641</t>
  </si>
  <si>
    <t>J-04077354</t>
  </si>
  <si>
    <t>Ilham Guntur Taruna Utama, S.Tr.Pi</t>
  </si>
  <si>
    <t>ilham/ staf (honorer)</t>
  </si>
  <si>
    <t>Yamaha Mio Soul</t>
  </si>
  <si>
    <t>BH 2532 G exs BH 6238 GZ</t>
  </si>
  <si>
    <t>MH31KP001DK376897</t>
  </si>
  <si>
    <t>1KP-376906</t>
  </si>
  <si>
    <t>K-02032992</t>
  </si>
  <si>
    <t>Widia Wati</t>
  </si>
  <si>
    <t>widiawati/ staf (PPPK)</t>
  </si>
  <si>
    <t>dikadis</t>
  </si>
  <si>
    <t>BH 2530 G exs BH 6243 GZ</t>
  </si>
  <si>
    <t>MH31KP001DK328049</t>
  </si>
  <si>
    <t>1KP-328149</t>
  </si>
  <si>
    <t>K-02033054</t>
  </si>
  <si>
    <t>Oktarinda, S.Pt</t>
  </si>
  <si>
    <t>oktarinda/ Fungsional Teknis</t>
  </si>
  <si>
    <t>BH 2729 G exs BH 6237 GZ</t>
  </si>
  <si>
    <t>MH31DY002DJ137878</t>
  </si>
  <si>
    <t>IDY-137895</t>
  </si>
  <si>
    <t>K-02032993</t>
  </si>
  <si>
    <t>Siti Aisyah, SE</t>
  </si>
  <si>
    <t>siti aisyah/ staf (PPPK)</t>
  </si>
  <si>
    <t>BH 2773 G exs BH 6236 GZ</t>
  </si>
  <si>
    <t>MH 31DY002DJ150211</t>
  </si>
  <si>
    <t>1DY-150238</t>
  </si>
  <si>
    <t>K-02032994</t>
  </si>
  <si>
    <t>David Saputra, S.Pi</t>
  </si>
  <si>
    <t>david/ bend. gaji</t>
  </si>
  <si>
    <t>Yamaha Scorpio</t>
  </si>
  <si>
    <t xml:space="preserve">BH 2771 G exs BH 6242 GZ </t>
  </si>
  <si>
    <t>MH354D003DK044392</t>
  </si>
  <si>
    <t>54D-044411</t>
  </si>
  <si>
    <t>K-02033053</t>
  </si>
  <si>
    <t>Dadang Kusmihadi, S.Pi</t>
  </si>
  <si>
    <t>dadang/ Bend. barang</t>
  </si>
  <si>
    <t>BH 2732 G exs BH 6230 GZ</t>
  </si>
  <si>
    <t>MH354D002CK031518</t>
  </si>
  <si>
    <t>54D-031576</t>
  </si>
  <si>
    <t>K-01756746</t>
  </si>
  <si>
    <t>Muntazir Muhammad Al Madani</t>
  </si>
  <si>
    <t>dhani/ staf BBI (Honorer)</t>
  </si>
  <si>
    <t>BH 2731 G</t>
  </si>
  <si>
    <t>MH31PA002DK138641</t>
  </si>
  <si>
    <t>K-02032990</t>
  </si>
  <si>
    <t>Leni Marlina, SE</t>
  </si>
  <si>
    <t>leni marlina/ bend penerimaan</t>
  </si>
  <si>
    <t>BH 2770 G exs BH 6239 GZ</t>
  </si>
  <si>
    <t>MH31PA002DK126627</t>
  </si>
  <si>
    <t>1PA-125897</t>
  </si>
  <si>
    <t>K-02032991</t>
  </si>
  <si>
    <t>Nanang Dwiharmoko, A.Md</t>
  </si>
  <si>
    <t>andy afrizal/ fungsional teknis</t>
  </si>
  <si>
    <t>BH 2531 G exs BH 6235 GZ</t>
  </si>
  <si>
    <t>MH31PA002DK138637</t>
  </si>
  <si>
    <t>1PA-138737</t>
  </si>
  <si>
    <t>K-02032995</t>
  </si>
  <si>
    <t>M.Fikri, ST</t>
  </si>
  <si>
    <t>m. fikri/ staf (PPPK)</t>
  </si>
  <si>
    <t>BH 2726 G exs BH 6241 GZ</t>
  </si>
  <si>
    <t>MH31PA002DK138615</t>
  </si>
  <si>
    <t>1PA-138092</t>
  </si>
  <si>
    <t>K-02033052</t>
  </si>
  <si>
    <t>Luqman, S.Pi</t>
  </si>
  <si>
    <t>dwiana ambarsari/ Kasubag Keuangan</t>
  </si>
  <si>
    <t>dipenyuluh</t>
  </si>
  <si>
    <t>BH 2728 G exs BH 6234 GZ</t>
  </si>
  <si>
    <t>MH31PA002DK138633</t>
  </si>
  <si>
    <t>1PA-138731</t>
  </si>
  <si>
    <t>K-02033074</t>
  </si>
  <si>
    <t>LH. Tri Hartoyo</t>
  </si>
  <si>
    <t>lh tryhartoyo/ staf (PPPK)</t>
  </si>
  <si>
    <t>Yamaha / 5D9 (Vega ZR)</t>
  </si>
  <si>
    <t>BH 6234 GZ</t>
  </si>
  <si>
    <t>Honda/VARIO 160 ABS</t>
  </si>
  <si>
    <t>BH 2859 G</t>
  </si>
  <si>
    <t>MH1KFA11XRK212050</t>
  </si>
  <si>
    <t>KFA1E-1211930</t>
  </si>
  <si>
    <t>U-02065868</t>
  </si>
  <si>
    <t>Ambo Herzana, A.Md</t>
  </si>
  <si>
    <t>ambo herzana/ perencana</t>
  </si>
  <si>
    <t>Yamaha/ All New Aerox 155</t>
  </si>
  <si>
    <t>BH 2935 G</t>
  </si>
  <si>
    <t>MH3SG6410SJ557832</t>
  </si>
  <si>
    <t>G3P2E-0711368</t>
  </si>
  <si>
    <t>V-06982750</t>
  </si>
  <si>
    <t>M. Ridwan. S, SE</t>
  </si>
  <si>
    <t>ridwan/ bendahara pengeluaran</t>
  </si>
  <si>
    <t>Yamaha/ Aerox Alpha</t>
  </si>
  <si>
    <t>BH 2934 G</t>
  </si>
  <si>
    <t>MH3SG9770SJ038387</t>
  </si>
  <si>
    <t>G3W1E-0047628</t>
  </si>
  <si>
    <t>V-06982748</t>
  </si>
  <si>
    <t>M. Afrizal, S.Pi</t>
  </si>
  <si>
    <t>afrizal/ penyuluh</t>
  </si>
  <si>
    <t>: Pariwisata</t>
  </si>
  <si>
    <t>: Dinas Pariwisata, Kepemudaan dan Olahraga</t>
  </si>
  <si>
    <t>DISPARPORA</t>
  </si>
  <si>
    <t>Toyota All New Kijang Innova 2.0 G M/T</t>
  </si>
  <si>
    <t>BH 1298 G EX BH 43 GZ</t>
  </si>
  <si>
    <t>MHFJW8EM7G2306273</t>
  </si>
  <si>
    <t>ITR-A063129</t>
  </si>
  <si>
    <t>L-08617791</t>
  </si>
  <si>
    <t>EX BH 43 GZ</t>
  </si>
  <si>
    <t>Suparman, S.Pd (Kepala Bidang Kepemudaan dan Olahraga)</t>
  </si>
  <si>
    <t>Daihatsu Terios TS Extra</t>
  </si>
  <si>
    <t>BH 1282 G EX BH 1095 GZ</t>
  </si>
  <si>
    <t>MHKG2CJ1J8K007240</t>
  </si>
  <si>
    <t>DBC1049</t>
  </si>
  <si>
    <t>F-7547981</t>
  </si>
  <si>
    <t>EX BH 1095 GZ</t>
  </si>
  <si>
    <t xml:space="preserve">Honda Win </t>
  </si>
  <si>
    <t>BH 5074 GZ</t>
  </si>
  <si>
    <t>MHIHABB192K029886</t>
  </si>
  <si>
    <t>HABBE-1029816</t>
  </si>
  <si>
    <t>C-2190619</t>
  </si>
  <si>
    <t>BH 5297 GZ</t>
  </si>
  <si>
    <t>MHIKEVA144K786338</t>
  </si>
  <si>
    <t>KEVAE-1785498</t>
  </si>
  <si>
    <t>D-1608694</t>
  </si>
  <si>
    <t>Honda New Supra X 125 TD</t>
  </si>
  <si>
    <t>BH 5756 GZ</t>
  </si>
  <si>
    <t>MH1JB81128K157835</t>
  </si>
  <si>
    <t>JB81E-1154915</t>
  </si>
  <si>
    <t>F-6464253</t>
  </si>
  <si>
    <t>Siska Herlina (Bendahara Penerimaan)</t>
  </si>
  <si>
    <t>BH 5882 GZ</t>
  </si>
  <si>
    <t>MHKC1119AK257493</t>
  </si>
  <si>
    <t>KC11E-1259117</t>
  </si>
  <si>
    <t>H-00703588</t>
  </si>
  <si>
    <t>Erlena (Bendahara Gaji)</t>
  </si>
  <si>
    <t>BH 5881 GZ</t>
  </si>
  <si>
    <t>MHKC1111AK257200</t>
  </si>
  <si>
    <t>KC11E-1258845</t>
  </si>
  <si>
    <t>H-00703589</t>
  </si>
  <si>
    <t>Weti Anggraini (Bendahara Pengeluaran)</t>
  </si>
  <si>
    <t>Honda Supra X Helm in Fi</t>
  </si>
  <si>
    <t>BH 6133 GZ</t>
  </si>
  <si>
    <t>MH1JBG115CK060339</t>
  </si>
  <si>
    <t>JBG1E-1059391</t>
  </si>
  <si>
    <t>I-11595664</t>
  </si>
  <si>
    <t>Hatimah, SE (Operasional Bagian Umum dan Keuangan)</t>
  </si>
  <si>
    <t>Yamaha Aerox</t>
  </si>
  <si>
    <t>BH 2287 G</t>
  </si>
  <si>
    <t>MH3SG4610LJ324556</t>
  </si>
  <si>
    <t>G8J1E-0532133</t>
  </si>
  <si>
    <t>P-07659410</t>
  </si>
  <si>
    <t>Azwardi, SE (Operasional Bidang Kepemudaan dan Olahraga)</t>
  </si>
  <si>
    <t>BH 2290 G</t>
  </si>
  <si>
    <t>MH3SG410LJ298536</t>
  </si>
  <si>
    <t>G3J1E0491354</t>
  </si>
  <si>
    <t>P-07659412</t>
  </si>
  <si>
    <t>Erwin Haryono, S.Sos (Kasubbag Perencanaan dan Kepegawaian)</t>
  </si>
  <si>
    <t>BH 2286 G</t>
  </si>
  <si>
    <t>MH3SG4610LJ331141</t>
  </si>
  <si>
    <t>G3J1EO541439</t>
  </si>
  <si>
    <t>P-07659409</t>
  </si>
  <si>
    <t>Fahrurozi (Operasional Bagian Keuangan)</t>
  </si>
  <si>
    <t xml:space="preserve">BH 2289 G </t>
  </si>
  <si>
    <t>MH 3SG4610L332177</t>
  </si>
  <si>
    <t>G3J1E-0543474</t>
  </si>
  <si>
    <t>P-07659411</t>
  </si>
  <si>
    <t>Analis Kebijakan</t>
  </si>
  <si>
    <t>: DINAS TANAMAN PANGAN DAN HORTICULTURA</t>
  </si>
  <si>
    <t>DTPH</t>
  </si>
  <si>
    <t>Toyota Kijang Standar KF 60</t>
  </si>
  <si>
    <t>BH 9314 GZ</t>
  </si>
  <si>
    <t>MHF31KF6040033003</t>
  </si>
  <si>
    <t>7K-0739780</t>
  </si>
  <si>
    <t>D-2646829</t>
  </si>
  <si>
    <t>Dinas Pertanian</t>
  </si>
  <si>
    <t>Opersonal Balai Benih</t>
  </si>
  <si>
    <t xml:space="preserve">Isuzu D Max E2 Rodeo LS </t>
  </si>
  <si>
    <t>BH 8148 G EX BH 9321 GZ</t>
  </si>
  <si>
    <t>MPATFS85H8H549325</t>
  </si>
  <si>
    <t>FR3244</t>
  </si>
  <si>
    <t>F-3751261</t>
  </si>
  <si>
    <t>Opersonal Dinas</t>
  </si>
  <si>
    <t>Kendaran Dinas Mini Bus</t>
  </si>
  <si>
    <t>KIA ALL NEW Sportage Option MT</t>
  </si>
  <si>
    <t>BH 1241 G EX BH 28 GZ</t>
  </si>
  <si>
    <t>MJJSL5232DK002163</t>
  </si>
  <si>
    <t>G4KDCH374752</t>
  </si>
  <si>
    <t>K-00104405</t>
  </si>
  <si>
    <t>Sekdis</t>
  </si>
  <si>
    <t>Cheverolet Spin LT</t>
  </si>
  <si>
    <t>BH 1236 G EX BH 281 GZ</t>
  </si>
  <si>
    <t>MJBJF7590EJ017008</t>
  </si>
  <si>
    <t>Y13DTC5082665</t>
  </si>
  <si>
    <t>K-06092405</t>
  </si>
  <si>
    <t>kabid TP</t>
  </si>
  <si>
    <t xml:space="preserve">Toyota INNOVA </t>
  </si>
  <si>
    <t>BH 1129 G</t>
  </si>
  <si>
    <t>MHFJW8EMOG2306549</t>
  </si>
  <si>
    <t>1TR-A066948</t>
  </si>
  <si>
    <t>L-08617679</t>
  </si>
  <si>
    <t>Kabid PSP</t>
  </si>
  <si>
    <t>B 6234 SQC</t>
  </si>
  <si>
    <t>MH33KA0166K828764</t>
  </si>
  <si>
    <t>3KA802847</t>
  </si>
  <si>
    <t xml:space="preserve"> Hibah BPSDM Kementerian Pertanian </t>
  </si>
  <si>
    <t>ADERIA QU’ANNISYA (PENYULUH ) RB</t>
  </si>
  <si>
    <t>B 6347 SQC</t>
  </si>
  <si>
    <t>MH33KA0166K828776</t>
  </si>
  <si>
    <t>3KA802868</t>
  </si>
  <si>
    <t>MUHAMMAD ALVIN</t>
  </si>
  <si>
    <t>B 6297 SQC</t>
  </si>
  <si>
    <t>MH33KA0166K828788</t>
  </si>
  <si>
    <t>3KAA802878</t>
  </si>
  <si>
    <t>3KA802873</t>
  </si>
  <si>
    <t>SAFENDI ERWANTO, SST (RB)</t>
  </si>
  <si>
    <t>Dikembalikan ke DTPH</t>
  </si>
  <si>
    <t>B 6343 SQC</t>
  </si>
  <si>
    <t>MH33KA0166K828793</t>
  </si>
  <si>
    <t>3KA802848</t>
  </si>
  <si>
    <t xml:space="preserve">MEILIN MANIK, SP </t>
  </si>
  <si>
    <t>B 6260 SQC</t>
  </si>
  <si>
    <t>MH33KA0166K828795</t>
  </si>
  <si>
    <t>3KA802856</t>
  </si>
  <si>
    <t>RIAN GUSMAN ARRI, SP</t>
  </si>
  <si>
    <t>B 6329 SQC</t>
  </si>
  <si>
    <t>MH33KA0166K828798</t>
  </si>
  <si>
    <t>3KA802852</t>
  </si>
  <si>
    <t>SILVERIUS SIMATUPANG, SP (PENYULUH)</t>
  </si>
  <si>
    <t>B 6582 SQI</t>
  </si>
  <si>
    <t>MH33KA0167K-841330</t>
  </si>
  <si>
    <t>3KA815436</t>
  </si>
  <si>
    <t>GUDANG</t>
  </si>
  <si>
    <t>B 6637 SQH</t>
  </si>
  <si>
    <t>MH33KA0167K-841560</t>
  </si>
  <si>
    <t>3KA-815652</t>
  </si>
  <si>
    <t>B 6663 SQH</t>
  </si>
  <si>
    <t>MH33KA0167K-841402</t>
  </si>
  <si>
    <t>3KA815553</t>
  </si>
  <si>
    <t>RIKI APRINALDI HARMUS, SP</t>
  </si>
  <si>
    <t>B 6676 SQH</t>
  </si>
  <si>
    <t>MH33KA0167K-841586</t>
  </si>
  <si>
    <t>3KA-815667</t>
  </si>
  <si>
    <t>ALFERDYANTO JUKHAIDI, A.Md</t>
  </si>
  <si>
    <t>B 6047 SQL</t>
  </si>
  <si>
    <t>MH33KA0167K-840572</t>
  </si>
  <si>
    <t>3KA-814675</t>
  </si>
  <si>
    <t>TOMIZI (PENYULUH) RB</t>
  </si>
  <si>
    <t>B 6275 SQJ</t>
  </si>
  <si>
    <t>MH33KA0167K-840532</t>
  </si>
  <si>
    <t>3KA-814604</t>
  </si>
  <si>
    <t>AHMAD JUNAIDI</t>
  </si>
  <si>
    <t>B 6276 SQI</t>
  </si>
  <si>
    <t>MH33KA0167K-840559</t>
  </si>
  <si>
    <t>3KA-814650</t>
  </si>
  <si>
    <t>B 6277 SQI</t>
  </si>
  <si>
    <t>MH33KA0167K-840533</t>
  </si>
  <si>
    <t>3KA-814637</t>
  </si>
  <si>
    <t>RAHMANTO WIBOWO, SP</t>
  </si>
  <si>
    <t>B 6278 SQI</t>
  </si>
  <si>
    <t>MH33KA0167K-840581</t>
  </si>
  <si>
    <t>3KA-814662</t>
  </si>
  <si>
    <t>MUHAMMAD GURITNO RAHARJO,SP</t>
  </si>
  <si>
    <t>B 6279 SQH</t>
  </si>
  <si>
    <t>MH33KA0167K-840530</t>
  </si>
  <si>
    <t>3KA-814641</t>
  </si>
  <si>
    <t>RABA’I</t>
  </si>
  <si>
    <t>B 6281 SQI</t>
  </si>
  <si>
    <t>MH33KA0167K-840552</t>
  </si>
  <si>
    <t>3KA-814613</t>
  </si>
  <si>
    <t>TOMI</t>
  </si>
  <si>
    <t>B 6282 SQH</t>
  </si>
  <si>
    <t>MH33KA0167K-840586</t>
  </si>
  <si>
    <t>3KA-814666</t>
  </si>
  <si>
    <t>B 6291 SQI</t>
  </si>
  <si>
    <t>MH33KA0167K-840717</t>
  </si>
  <si>
    <t>3KA-814819</t>
  </si>
  <si>
    <t>B 6542 SQH</t>
  </si>
  <si>
    <t>MH33KA0167K-840550</t>
  </si>
  <si>
    <t>3KA-814617</t>
  </si>
  <si>
    <t>B 6372 SQI</t>
  </si>
  <si>
    <t>MH33KA0167K-840705</t>
  </si>
  <si>
    <t>3KA-814807</t>
  </si>
  <si>
    <r>
      <rPr>
        <rFont val="Calibri"/>
        <color theme="1"/>
        <sz val="11.0"/>
      </rPr>
      <t xml:space="preserve">MUJTAHIDUL IKHLAS, </t>
    </r>
    <r>
      <rPr>
        <rFont val="Calibri"/>
        <color rgb="FF1155CC"/>
        <sz val="11.0"/>
        <u/>
      </rPr>
      <t>A.Md</t>
    </r>
    <r>
      <rPr>
        <rFont val="Calibri"/>
        <color theme="1"/>
        <sz val="11.0"/>
      </rPr>
      <t xml:space="preserve"> (RB)</t>
    </r>
  </si>
  <si>
    <t>B 6374 SQI</t>
  </si>
  <si>
    <t>MH33KA0167K-840709</t>
  </si>
  <si>
    <t>3KA-814814</t>
  </si>
  <si>
    <t>WANTO, A.Md</t>
  </si>
  <si>
    <t>B 6498 SQI</t>
  </si>
  <si>
    <t>MH33KA0167K-840712</t>
  </si>
  <si>
    <t>3KA-814812</t>
  </si>
  <si>
    <t>Suzuki Arashi 125 M</t>
  </si>
  <si>
    <t>B 6032 SQL</t>
  </si>
  <si>
    <t>MH8BF44XA6J106692</t>
  </si>
  <si>
    <t>F4821ID106853</t>
  </si>
  <si>
    <t>RADEN DEDI, SP (PENYULUH)</t>
  </si>
  <si>
    <t>B 6034 SQL</t>
  </si>
  <si>
    <t>MH8BF44XA6J106724</t>
  </si>
  <si>
    <t>F4821ID106982</t>
  </si>
  <si>
    <t>B 6035 SQL</t>
  </si>
  <si>
    <t>MH8BF44XA6J106730</t>
  </si>
  <si>
    <t>F4821ID106911</t>
  </si>
  <si>
    <t>B 6790 SQJ</t>
  </si>
  <si>
    <t>MH8BF44XA6J109770</t>
  </si>
  <si>
    <t>F4821ID109751</t>
  </si>
  <si>
    <t>ZUHRUL AINI</t>
  </si>
  <si>
    <t>PENSIUNAN</t>
  </si>
  <si>
    <t>B 6792 SQJ</t>
  </si>
  <si>
    <t>MH8BF44XA6J109765</t>
  </si>
  <si>
    <t>F4821ID109802</t>
  </si>
  <si>
    <t>Arneti</t>
  </si>
  <si>
    <t>B 6794 SQJ</t>
  </si>
  <si>
    <t>MH8BF44XA6J109277</t>
  </si>
  <si>
    <t>F4821ID109156</t>
  </si>
  <si>
    <t>RENO, SP</t>
  </si>
  <si>
    <t>B 6795 SQJ</t>
  </si>
  <si>
    <t>MH8BF44XA6J109804</t>
  </si>
  <si>
    <t>F4821ID109370</t>
  </si>
  <si>
    <t>DODI HARPIANSYAH</t>
  </si>
  <si>
    <t>B 6803 SQJ</t>
  </si>
  <si>
    <t>MH8BF44XA6J109229</t>
  </si>
  <si>
    <t>F4821ID109429</t>
  </si>
  <si>
    <t>YASMANITA, S.PKP</t>
  </si>
  <si>
    <t>B 6804 SQJ</t>
  </si>
  <si>
    <t>MH8BF44XA6J109522</t>
  </si>
  <si>
    <t>F4821ID109675</t>
  </si>
  <si>
    <t>HASIAH (PENULUH)</t>
  </si>
  <si>
    <t>B 6805 SQJ</t>
  </si>
  <si>
    <t>MH8BF44XA6J109541</t>
  </si>
  <si>
    <t>F4821ID109681</t>
  </si>
  <si>
    <t>MUHAMMAD NIZOMUDDIN, SP</t>
  </si>
  <si>
    <t>B 6806 SQJ</t>
  </si>
  <si>
    <t>MH8BF44XA6J108911</t>
  </si>
  <si>
    <t>F4821ID109028</t>
  </si>
  <si>
    <t>SITI MAISAROH, S.PKP</t>
  </si>
  <si>
    <t>B 6823 SQJ</t>
  </si>
  <si>
    <t>MH8BF44XA6J109540</t>
  </si>
  <si>
    <t>F4821ID109685</t>
  </si>
  <si>
    <t>MAYLINA SUSANA, SP</t>
  </si>
  <si>
    <t>B 6828 SQJ</t>
  </si>
  <si>
    <t>MH8BF44XA6J108124</t>
  </si>
  <si>
    <t>F4821ID108019</t>
  </si>
  <si>
    <t>B 6829 SQJ</t>
  </si>
  <si>
    <t>MH8BF44XA6J109780</t>
  </si>
  <si>
    <t>F4821ID109759</t>
  </si>
  <si>
    <t>B 6831 SQJ</t>
  </si>
  <si>
    <t>MH8BF44XA6J107292</t>
  </si>
  <si>
    <t>F4821ID107408</t>
  </si>
  <si>
    <t>B 6833 SQJ</t>
  </si>
  <si>
    <t>MH8BF44XA6J108175</t>
  </si>
  <si>
    <t>F4821ID108308</t>
  </si>
  <si>
    <t>B 6838 SQJ</t>
  </si>
  <si>
    <t>MH8BF44XA6J109204</t>
  </si>
  <si>
    <t>F4821ID109273</t>
  </si>
  <si>
    <t>AZIS</t>
  </si>
  <si>
    <t>B 6842 SQJ</t>
  </si>
  <si>
    <t>MH8BF44XA6J108469</t>
  </si>
  <si>
    <t>F4821ID108495</t>
  </si>
  <si>
    <t>RISKA AMALIA, SP</t>
  </si>
  <si>
    <t>B 6844 SQJ</t>
  </si>
  <si>
    <t>MH8BF44XA6J109294</t>
  </si>
  <si>
    <t>F4821ID109331</t>
  </si>
  <si>
    <t>Viar</t>
  </si>
  <si>
    <t>Suzuki New Thunder 125</t>
  </si>
  <si>
    <t>B 3222 SQA</t>
  </si>
  <si>
    <t>MH8NF4FAABJ106309</t>
  </si>
  <si>
    <t>F4B1ID106238</t>
  </si>
  <si>
    <t>JAILANI</t>
  </si>
  <si>
    <t>B 3210 SQA</t>
  </si>
  <si>
    <t>MH8NF4FAABJ106328</t>
  </si>
  <si>
    <t>F4B1ID106233</t>
  </si>
  <si>
    <t xml:space="preserve">Rusak </t>
  </si>
  <si>
    <t>Suzuki Shogun Axelo FL 125</t>
  </si>
  <si>
    <t>B 6630 SQW</t>
  </si>
  <si>
    <t>MH8BF45SABJ139433</t>
  </si>
  <si>
    <t>F496ID420875</t>
  </si>
  <si>
    <t>ARYANI, STP</t>
  </si>
  <si>
    <t>Honda Verza 150</t>
  </si>
  <si>
    <t>BH 4007 G EX BH 6364 GZ</t>
  </si>
  <si>
    <t>MH1KC5212DK105520</t>
  </si>
  <si>
    <t>KC52E 1106101</t>
  </si>
  <si>
    <t>K-03793490</t>
  </si>
  <si>
    <t>RUDY FIBRIAN, SE</t>
  </si>
  <si>
    <t>BH 4008 G EX BH 6365 GZ</t>
  </si>
  <si>
    <t>MH1KC521XDK103370</t>
  </si>
  <si>
    <t>KC52E 1104623</t>
  </si>
  <si>
    <t>K-03793489</t>
  </si>
  <si>
    <t>AHMAD SAIPU</t>
  </si>
  <si>
    <t>BH 4009 G EX BH 6366 GZ</t>
  </si>
  <si>
    <t>MH1KC5218DK103450</t>
  </si>
  <si>
    <t>KC52E 1104592</t>
  </si>
  <si>
    <t>K-03793488</t>
  </si>
  <si>
    <t>SADIKIN, SP</t>
  </si>
  <si>
    <t>BH 4092 G EX BH 6367 GZ</t>
  </si>
  <si>
    <t>MH1KC5210DK105516</t>
  </si>
  <si>
    <t>KC52E-1106154</t>
  </si>
  <si>
    <t>K-03793487</t>
  </si>
  <si>
    <t>RUSLI. M</t>
  </si>
  <si>
    <t>BH 4010 G EX BH 6368 GZ</t>
  </si>
  <si>
    <t>MH1KC521XDK105457</t>
  </si>
  <si>
    <t>KC52E 1106107</t>
  </si>
  <si>
    <t>K-03793486</t>
  </si>
  <si>
    <t>LUTHFI NOOR, SP/ Pengawas Alat dan Mesin</t>
  </si>
  <si>
    <t>BH 4070 G EX BH 6373 GZ</t>
  </si>
  <si>
    <t>MH1KC5210DK103409</t>
  </si>
  <si>
    <t>KC52E 1104492</t>
  </si>
  <si>
    <t>MULYADI</t>
  </si>
  <si>
    <t>BH 4011 G EX BH 6374 GZ</t>
  </si>
  <si>
    <t>MH1KC521XDK103434</t>
  </si>
  <si>
    <t>KC52E 1104504</t>
  </si>
  <si>
    <t>K-03795548</t>
  </si>
  <si>
    <t>Buhari syam</t>
  </si>
  <si>
    <t>BH 6282 GZ</t>
  </si>
  <si>
    <t>MH31DY005DJ187186</t>
  </si>
  <si>
    <t>1DY-187210</t>
  </si>
  <si>
    <t xml:space="preserve"> Mutasi Aset dari BPPKP </t>
  </si>
  <si>
    <t>MUTTAQIN, SP</t>
  </si>
  <si>
    <t>Motor Sport</t>
  </si>
  <si>
    <t>Honda Verza CW FI</t>
  </si>
  <si>
    <t>BH 2458 G EX BH 6571 GZ</t>
  </si>
  <si>
    <t>MH1KC5212FK250270</t>
  </si>
  <si>
    <t>KC52E-1248392</t>
  </si>
  <si>
    <t>L-03963207</t>
  </si>
  <si>
    <t>DARMADI, SP/ Pengawas Mutu Hasil Pertanian</t>
  </si>
  <si>
    <t>BH 4102 G EX BH 6569 GZ</t>
  </si>
  <si>
    <t>MH1KC5210FK250977</t>
  </si>
  <si>
    <t>KC25E 1248952</t>
  </si>
  <si>
    <t>L-03963205</t>
  </si>
  <si>
    <r>
      <rPr>
        <rFont val="Calibri"/>
        <color theme="1"/>
        <sz val="11.0"/>
      </rPr>
      <t xml:space="preserve">EKO HARYONO, </t>
    </r>
    <r>
      <rPr>
        <rFont val="Calibri"/>
        <color rgb="FF1155CC"/>
        <sz val="11.0"/>
        <u/>
      </rPr>
      <t>A.Md</t>
    </r>
    <r>
      <rPr>
        <rFont val="Calibri"/>
        <color theme="1"/>
        <sz val="11.0"/>
      </rPr>
      <t xml:space="preserve"> (PENYULUH)</t>
    </r>
  </si>
  <si>
    <t>BH 2460 G EX BH 6562 GZ</t>
  </si>
  <si>
    <t>MH1KC5214FK250979</t>
  </si>
  <si>
    <t>KC52E-1248954</t>
  </si>
  <si>
    <t>L-03963181</t>
  </si>
  <si>
    <t>SOFIAN</t>
  </si>
  <si>
    <t>BH 2462 G EX BH 6568 GZ</t>
  </si>
  <si>
    <t>MH1KC521XFK250985</t>
  </si>
  <si>
    <t>KC25E 1248995</t>
  </si>
  <si>
    <t>L-03963206</t>
  </si>
  <si>
    <t>ZAINAL</t>
  </si>
  <si>
    <t>SAFENDI ERWANTO, SST</t>
  </si>
  <si>
    <t>BH 2461 G EX BH 6566 GZ</t>
  </si>
  <si>
    <t>MH1KC5216FK251003</t>
  </si>
  <si>
    <t>KC25E 1249215</t>
  </si>
  <si>
    <t>L-03963209</t>
  </si>
  <si>
    <t>Romi Topandas, SE</t>
  </si>
  <si>
    <t>BH 2467 G EX BH 6581 GZ</t>
  </si>
  <si>
    <t>MH1KC5211FK245013</t>
  </si>
  <si>
    <t xml:space="preserve">KC25E 1242980 </t>
  </si>
  <si>
    <t>L-03963107</t>
  </si>
  <si>
    <t>MAHILI FAHMI (PENYULIH)</t>
  </si>
  <si>
    <t>BH 2455 G EX BH 6580 GZ</t>
  </si>
  <si>
    <t>MH1KC521XFK247679</t>
  </si>
  <si>
    <t>KC52E-1246333</t>
  </si>
  <si>
    <t>L-03963216</t>
  </si>
  <si>
    <r>
      <rPr>
        <rFont val="Calibri"/>
        <color theme="1"/>
        <sz val="11.0"/>
      </rPr>
      <t xml:space="preserve">MURHALIM, </t>
    </r>
    <r>
      <rPr>
        <rFont val="Calibri"/>
        <color rgb="FF1155CC"/>
        <sz val="11.0"/>
        <u/>
      </rPr>
      <t>A.Md</t>
    </r>
    <r>
      <rPr>
        <rFont val="Calibri"/>
        <color theme="1"/>
        <sz val="11.0"/>
      </rPr>
      <t xml:space="preserve"> (PENYULUH)</t>
    </r>
  </si>
  <si>
    <t>BH 6583 GZ</t>
  </si>
  <si>
    <t>MH1KC5214FK247693</t>
  </si>
  <si>
    <t>KC25E 1246641</t>
  </si>
  <si>
    <t>DONI JANUANSYAH</t>
  </si>
  <si>
    <t>BH 2468 G EX BH 6582 GZ</t>
  </si>
  <si>
    <t>MH1KC5210FK247710</t>
  </si>
  <si>
    <t>KC25E 1246866</t>
  </si>
  <si>
    <t>L-03963108</t>
  </si>
  <si>
    <t>Edi Yanto</t>
  </si>
  <si>
    <t>BH 4093 G EX BH 6564 GZ</t>
  </si>
  <si>
    <t>MH1KC5211FK250986</t>
  </si>
  <si>
    <t>KC52E-1248949</t>
  </si>
  <si>
    <t>L-03963340</t>
  </si>
  <si>
    <t>MAHDI RAHMAN</t>
  </si>
  <si>
    <t>BH 6573 GZ</t>
  </si>
  <si>
    <t>MH1KC521XFK250212</t>
  </si>
  <si>
    <t>KC25E 1248436</t>
  </si>
  <si>
    <t>L-03963112</t>
  </si>
  <si>
    <t>Prata wibowo</t>
  </si>
  <si>
    <t>Revo CW FI</t>
  </si>
  <si>
    <t>BH 2624 G EX BH 6574 GZ</t>
  </si>
  <si>
    <t>MH1JBK318FK096613</t>
  </si>
  <si>
    <t>JBK3E1096240</t>
  </si>
  <si>
    <t>L-03963096</t>
  </si>
  <si>
    <t>RITAWATI MARBUN, SP</t>
  </si>
  <si>
    <t>BH 2468 G EX BH 6575 GZ</t>
  </si>
  <si>
    <t>MH1JBK316FK096688</t>
  </si>
  <si>
    <t>JBK3E1096252</t>
  </si>
  <si>
    <t>L-03963109</t>
  </si>
  <si>
    <t>EKAWATI, SP</t>
  </si>
  <si>
    <t>BH 2464 G EX BH 6576 GZ</t>
  </si>
  <si>
    <t>MH1JBK310FK096606</t>
  </si>
  <si>
    <t>JBK3E-1096292</t>
  </si>
  <si>
    <t>L-03963110</t>
  </si>
  <si>
    <t>ELIZARNA (PENYULIH)</t>
  </si>
  <si>
    <t>BH 2465 G EX BH 6577 GZ</t>
  </si>
  <si>
    <t>MH1JBK313FK096633</t>
  </si>
  <si>
    <t>JBK3E1096314</t>
  </si>
  <si>
    <t>L-03963111</t>
  </si>
  <si>
    <t>SRI LESTARI, SP</t>
  </si>
  <si>
    <t>BH 2466 G EX BH 6578 GZ</t>
  </si>
  <si>
    <t>MH1JBK314FK098679</t>
  </si>
  <si>
    <t>JBK3E-1098124</t>
  </si>
  <si>
    <t>L-03963106</t>
  </si>
  <si>
    <t>ENI SUHAITI, SST</t>
  </si>
  <si>
    <t>BH 2454 G EX BH 6567 GZ</t>
  </si>
  <si>
    <t>MH1JBK316FK098649</t>
  </si>
  <si>
    <t>JBK3E-1098180</t>
  </si>
  <si>
    <t>L-03963099</t>
  </si>
  <si>
    <t>REVI ANGGRAINI FITRI, A.Md</t>
  </si>
  <si>
    <t>BH 2458 G EX BH 6579 GZ</t>
  </si>
  <si>
    <t>MH1JBK311FK098901</t>
  </si>
  <si>
    <t>JBK3E-1098741</t>
  </si>
  <si>
    <t>L-03963217</t>
  </si>
  <si>
    <t>ELLY KARTIKAWATI</t>
  </si>
  <si>
    <t xml:space="preserve"> Sepeda Motor</t>
  </si>
  <si>
    <t>Yamaha Mio Z 125 CW</t>
  </si>
  <si>
    <t>BH 2059 G</t>
  </si>
  <si>
    <t>MH3SE88K0JJ005804</t>
  </si>
  <si>
    <t>E3R2E-1786593</t>
  </si>
  <si>
    <t>M-11814039</t>
  </si>
  <si>
    <t xml:space="preserve"> Dinas TPH </t>
  </si>
  <si>
    <t>SHELLY MAIFUZI, STP</t>
  </si>
  <si>
    <t>BH 2061 G</t>
  </si>
  <si>
    <t>MH3SE88K0JJ002411</t>
  </si>
  <si>
    <t>E3R2E-1760663</t>
  </si>
  <si>
    <t>M-11814040</t>
  </si>
  <si>
    <t>Ir. CANDRA TRIWATI / Kabid Holrtikultura</t>
  </si>
  <si>
    <t>BH 2062 G</t>
  </si>
  <si>
    <t>MH3SE88K0JJ002670</t>
  </si>
  <si>
    <t>E3R2E-1763421</t>
  </si>
  <si>
    <t>M-11814041</t>
  </si>
  <si>
    <t>BH 2063 G</t>
  </si>
  <si>
    <t>MH3SE88K0JJ006407</t>
  </si>
  <si>
    <t>E3R2E-1867423</t>
  </si>
  <si>
    <t>M-11814042</t>
  </si>
  <si>
    <t>bendahara pengeluaran</t>
  </si>
  <si>
    <t>BH 2067 G</t>
  </si>
  <si>
    <t>MH3SE88K0JJ006409</t>
  </si>
  <si>
    <t>E3R2E-1867425</t>
  </si>
  <si>
    <t>M-11814046</t>
  </si>
  <si>
    <t>Bendahara Gaji</t>
  </si>
  <si>
    <t>Yamaha New Aerox 155 VVA</t>
  </si>
  <si>
    <t>BH 2057 G</t>
  </si>
  <si>
    <t>MH3SG4610JJ118758</t>
  </si>
  <si>
    <t>G3J1E-0172325</t>
  </si>
  <si>
    <t>M-11814037</t>
  </si>
  <si>
    <t>Rusak</t>
  </si>
  <si>
    <t>BH 2058 G</t>
  </si>
  <si>
    <t>MH3SG4610JJ127638</t>
  </si>
  <si>
    <t>G3J1E-0189720</t>
  </si>
  <si>
    <t>M-11814038</t>
  </si>
  <si>
    <t>UMI KALSUM,SP/ kabid TP</t>
  </si>
  <si>
    <t>BH 2064 G</t>
  </si>
  <si>
    <t>MH3SG4610JJ112164</t>
  </si>
  <si>
    <t>G3J1E-0159071</t>
  </si>
  <si>
    <t>M-11814043</t>
  </si>
  <si>
    <t>ARLIYANZA, SE/ Analis Keuangan Pusat dan Daerah</t>
  </si>
  <si>
    <t>BH 2065 G</t>
  </si>
  <si>
    <t>MH3SG4610JJ112915</t>
  </si>
  <si>
    <t>G3J1E-0159969</t>
  </si>
  <si>
    <t>M-11814044</t>
  </si>
  <si>
    <t>RAIFIZEN,. S.Ag, M.M/ Kasubag Umum</t>
  </si>
  <si>
    <t>BH 2066 G</t>
  </si>
  <si>
    <t>MH3SG4610JJ126721</t>
  </si>
  <si>
    <t>G3J1E-0187407</t>
  </si>
  <si>
    <t>M-11814145</t>
  </si>
  <si>
    <t>JUNUS YOUNG BREZNEV  (PENYULUH)SIHOMBING, STP</t>
  </si>
  <si>
    <t>BH 2068 G</t>
  </si>
  <si>
    <t>MH3SG4610JJ118738</t>
  </si>
  <si>
    <t>G3J1E-0172304</t>
  </si>
  <si>
    <t>M-11814047</t>
  </si>
  <si>
    <t>E. SUPERATMAN, SP/Perencanaan</t>
  </si>
  <si>
    <t>Yamaha All New Soul GT</t>
  </si>
  <si>
    <t>BH 2071 G</t>
  </si>
  <si>
    <t>MH3SE9040JJ031971</t>
  </si>
  <si>
    <t>E3W9E-0051579</t>
  </si>
  <si>
    <t>M-11862366</t>
  </si>
  <si>
    <t>H. SALAHUDDIN, S.PKP</t>
  </si>
  <si>
    <t>BH 2072 G</t>
  </si>
  <si>
    <t>MH3SE9040JJ031566</t>
  </si>
  <si>
    <t>E3W9E-0050268</t>
  </si>
  <si>
    <t>M-11862367</t>
  </si>
  <si>
    <t>AHMAD SABRI, SP</t>
  </si>
  <si>
    <t>BH 2073 G</t>
  </si>
  <si>
    <t>MH3SE9040JJ028596</t>
  </si>
  <si>
    <t>E3W9E-0044500</t>
  </si>
  <si>
    <t>M-11862368</t>
  </si>
  <si>
    <t>MELA WIDYA, SP</t>
  </si>
  <si>
    <t>BH 2074 G</t>
  </si>
  <si>
    <t>MH3SE9040JJ028575</t>
  </si>
  <si>
    <t>E3W9E-0044485</t>
  </si>
  <si>
    <t>M-11862369</t>
  </si>
  <si>
    <t>SARAH ERYA, SP (PENYULUH)</t>
  </si>
  <si>
    <t>BH 2075 G</t>
  </si>
  <si>
    <t>MH3SE9040JJ034374</t>
  </si>
  <si>
    <t>E3W9E-0056283</t>
  </si>
  <si>
    <t>M-11862370</t>
  </si>
  <si>
    <t>MARIA ULFA, A.Md</t>
  </si>
  <si>
    <t>BH 2076 G</t>
  </si>
  <si>
    <t>MH3SE9040JJ034032</t>
  </si>
  <si>
    <t>E3W9E-0054739</t>
  </si>
  <si>
    <t>M-11862371</t>
  </si>
  <si>
    <t>ANNIES RISKIKA HALALI</t>
  </si>
  <si>
    <t>BH 2077 G</t>
  </si>
  <si>
    <t>MH3SE9040JJ028577</t>
  </si>
  <si>
    <t>E3W9E-0044487</t>
  </si>
  <si>
    <t>M-11862372</t>
  </si>
  <si>
    <t>(PENYULUH)</t>
  </si>
  <si>
    <t>BH 2078 G</t>
  </si>
  <si>
    <t>MH3SE9040JJ033327</t>
  </si>
  <si>
    <t>E3W9E-0053334</t>
  </si>
  <si>
    <t>M-11862373</t>
  </si>
  <si>
    <t>YUNI WAHYADI, SP (PENYULIH)</t>
  </si>
  <si>
    <t>BH 2079 G</t>
  </si>
  <si>
    <t>MH3SE9040JJ032548</t>
  </si>
  <si>
    <t>E3W9E-0052156</t>
  </si>
  <si>
    <t>M-11862374</t>
  </si>
  <si>
    <t>SUSANTI, SP (PENYULUH)</t>
  </si>
  <si>
    <t>: DINAS PERKEBUNAN DAN PETERNAKAN</t>
  </si>
  <si>
    <t>Kondisi</t>
  </si>
  <si>
    <t>pemegang</t>
  </si>
  <si>
    <t>ket1</t>
  </si>
  <si>
    <t>Disbunak</t>
  </si>
  <si>
    <t>Toyota KF 70</t>
  </si>
  <si>
    <t>BH 29 GZ</t>
  </si>
  <si>
    <t>MHF11KF7020035608</t>
  </si>
  <si>
    <t>7K-0476854</t>
  </si>
  <si>
    <t>C-1667738</t>
  </si>
  <si>
    <t>ada dikantor</t>
  </si>
  <si>
    <t>sudah masuk usulan lelang</t>
  </si>
  <si>
    <t>Mitsubishi Strada Triton 4WD GSLM</t>
  </si>
  <si>
    <t>BH 9336 GZ</t>
  </si>
  <si>
    <t>MMBJNKB40CD005113</t>
  </si>
  <si>
    <t>4D56UCCY1838</t>
  </si>
  <si>
    <t>I-05377384</t>
  </si>
  <si>
    <t xml:space="preserve"> Reklas dari Alat Angkutan Bermotor Roda 2 Tahun 2016 </t>
  </si>
  <si>
    <t>Mitsubishi Ekspander</t>
  </si>
  <si>
    <t>BH 1033 GZ</t>
  </si>
  <si>
    <t>MK2NCWMANJJ002224</t>
  </si>
  <si>
    <t>BH 5090 GZ</t>
  </si>
  <si>
    <t>MHIHABB192K028947</t>
  </si>
  <si>
    <t>HABBE-1028844</t>
  </si>
  <si>
    <t>C-2190635</t>
  </si>
  <si>
    <t>BH 5084 GZ</t>
  </si>
  <si>
    <t>MHIHABB142K028936</t>
  </si>
  <si>
    <t>HABBE-1028703</t>
  </si>
  <si>
    <t>C-2190629</t>
  </si>
  <si>
    <t>LUSIYANA</t>
  </si>
  <si>
    <t>rusak ringan</t>
  </si>
  <si>
    <t>lusyana</t>
  </si>
  <si>
    <t>usulkan lelang</t>
  </si>
  <si>
    <t>BH 5068 GZ</t>
  </si>
  <si>
    <t>MHIHABB192K028933</t>
  </si>
  <si>
    <t>HABBE-1028710</t>
  </si>
  <si>
    <t>C-2190613</t>
  </si>
  <si>
    <t>bv</t>
  </si>
  <si>
    <t>BH 5077 GZ</t>
  </si>
  <si>
    <t>MHIHABB172K028946</t>
  </si>
  <si>
    <t>HABBE-1028833</t>
  </si>
  <si>
    <t>C-2190622</t>
  </si>
  <si>
    <t>Sariman Jaya</t>
  </si>
  <si>
    <t>sariman jaya</t>
  </si>
  <si>
    <t>BH 5081 GZ</t>
  </si>
  <si>
    <t>MHIHABB132K029866</t>
  </si>
  <si>
    <t>HABBE-1029827</t>
  </si>
  <si>
    <t>C-2190626</t>
  </si>
  <si>
    <t>-</t>
  </si>
  <si>
    <t>BH 5089 GZ</t>
  </si>
  <si>
    <t>MHIHABB182K028843</t>
  </si>
  <si>
    <t>HABBE-1028784</t>
  </si>
  <si>
    <t>C-2190634</t>
  </si>
  <si>
    <t>Niran Arief</t>
  </si>
  <si>
    <t>nirwan arif</t>
  </si>
  <si>
    <t>BH 5099 GZ</t>
  </si>
  <si>
    <t>MHIKEV6172.KO.37829</t>
  </si>
  <si>
    <t>KEV6E10378941</t>
  </si>
  <si>
    <t>Supriadi</t>
  </si>
  <si>
    <t>supriadi</t>
  </si>
  <si>
    <t>BH 5268 GZ</t>
  </si>
  <si>
    <t>MHIHABD1XK3K07877</t>
  </si>
  <si>
    <t>HABDE-1007084</t>
  </si>
  <si>
    <t>C-6255604</t>
  </si>
  <si>
    <t xml:space="preserve"> Mutasi Aset Diskannak </t>
  </si>
  <si>
    <t>BH 5363 GZ</t>
  </si>
  <si>
    <t>MH1HABD165K140641</t>
  </si>
  <si>
    <t>HABDE-1139428</t>
  </si>
  <si>
    <t>D-7689691</t>
  </si>
  <si>
    <t>BH 5427 GZ</t>
  </si>
  <si>
    <t>MHIJB62186K017935</t>
  </si>
  <si>
    <t>JB62E-1017404</t>
  </si>
  <si>
    <t>E-0426615</t>
  </si>
  <si>
    <t>BH 5540 GZ</t>
  </si>
  <si>
    <t>MH1KC11127K093027</t>
  </si>
  <si>
    <t>KC11E-1095105</t>
  </si>
  <si>
    <t>E-6735967</t>
  </si>
  <si>
    <t>irma yuli wahyu asia</t>
  </si>
  <si>
    <t>irma yuli</t>
  </si>
  <si>
    <t>BH 5541 GZ</t>
  </si>
  <si>
    <t>MH1KC11157K093040</t>
  </si>
  <si>
    <t>KC11E-1095200</t>
  </si>
  <si>
    <t>E-6735968</t>
  </si>
  <si>
    <t>masuk usulan lelang</t>
  </si>
  <si>
    <t>BH 5539 GZ</t>
  </si>
  <si>
    <t>MH1KC11187K093002</t>
  </si>
  <si>
    <t>KC11E-1095132</t>
  </si>
  <si>
    <t>E-6735969</t>
  </si>
  <si>
    <t>MUNJIRI</t>
  </si>
  <si>
    <t>Rusak ringan</t>
  </si>
  <si>
    <t>kantor</t>
  </si>
  <si>
    <t>Honda Mega Pro GL160W</t>
  </si>
  <si>
    <t>BH 5754 GZ</t>
  </si>
  <si>
    <t>MH1KC12158K138834</t>
  </si>
  <si>
    <t>KC12E-1138650</t>
  </si>
  <si>
    <t>F-6462235</t>
  </si>
  <si>
    <t>Honda Supra X 125TRF</t>
  </si>
  <si>
    <t>BH 5753 GZ</t>
  </si>
  <si>
    <t>MH1JB01188K062374</t>
  </si>
  <si>
    <t>JB01E-1062314</t>
  </si>
  <si>
    <t>F-6461677</t>
  </si>
  <si>
    <t>NOTI RODIATI</t>
  </si>
  <si>
    <t>sekretaris</t>
  </si>
  <si>
    <t>Honda 160 cc</t>
  </si>
  <si>
    <t>BH 5760 GZ</t>
  </si>
  <si>
    <t>MH1KC11198K182871</t>
  </si>
  <si>
    <t>KC11E-1184892</t>
  </si>
  <si>
    <t>F-6463845</t>
  </si>
  <si>
    <t>BH 5779 GZ</t>
  </si>
  <si>
    <t>MH1KC11118K183996</t>
  </si>
  <si>
    <t>KC11E-1186067</t>
  </si>
  <si>
    <t>F-6463930</t>
  </si>
  <si>
    <t>BH 5780 GZ</t>
  </si>
  <si>
    <t>MH1JB81108K284955</t>
  </si>
  <si>
    <t>F-6463911</t>
  </si>
  <si>
    <t>BH 5761 GZ</t>
  </si>
  <si>
    <t>MH1KC11118K183920</t>
  </si>
  <si>
    <t>JB81E-1281415</t>
  </si>
  <si>
    <t>F-6463891</t>
  </si>
  <si>
    <t>BH 5762 GZ</t>
  </si>
  <si>
    <t>MH1JB81158K302303</t>
  </si>
  <si>
    <t>JB81E-1298799</t>
  </si>
  <si>
    <t>F-6463846</t>
  </si>
  <si>
    <t>komarudin</t>
  </si>
  <si>
    <t>komarudin/ staf</t>
  </si>
  <si>
    <t>BH 5767 GZ</t>
  </si>
  <si>
    <t>MH1KC11128K182873</t>
  </si>
  <si>
    <t>KC11E-1184936</t>
  </si>
  <si>
    <t>F-6463843</t>
  </si>
  <si>
    <t>ARITA</t>
  </si>
  <si>
    <t>Noti/ Pengurus barang</t>
  </si>
  <si>
    <t>BH 5778 GZ</t>
  </si>
  <si>
    <t>MH1JB811X8K287099</t>
  </si>
  <si>
    <t>JB81E-1283534</t>
  </si>
  <si>
    <t>F-6463836</t>
  </si>
  <si>
    <t>MAHAYATI</t>
  </si>
  <si>
    <t>mahayati/ bend. gaji</t>
  </si>
  <si>
    <t>BH 4001 G,
EX BH 6350 GZ</t>
  </si>
  <si>
    <t>MH1KC118DK3077736</t>
  </si>
  <si>
    <t>KC31E-1306617</t>
  </si>
  <si>
    <t>K-03792011</t>
  </si>
  <si>
    <t>sigit purwoko</t>
  </si>
  <si>
    <t>sigit purwoko/ ka.uptd RPH</t>
  </si>
  <si>
    <t>BH 6347 GZ</t>
  </si>
  <si>
    <t>MH1KC114DK307784</t>
  </si>
  <si>
    <t>KC31E-1306585</t>
  </si>
  <si>
    <t>K-03792014</t>
  </si>
  <si>
    <t>ari rahardian/ staf</t>
  </si>
  <si>
    <t>BH 6357 GZ</t>
  </si>
  <si>
    <t>MH1KC3114DK307701</t>
  </si>
  <si>
    <t>KC31E-1306599</t>
  </si>
  <si>
    <t>K-03791995</t>
  </si>
  <si>
    <t>Nuriza</t>
  </si>
  <si>
    <t>nuriza/ fungsional</t>
  </si>
  <si>
    <t>BH 6360 GZ</t>
  </si>
  <si>
    <t>MH1KC311DK307746</t>
  </si>
  <si>
    <t>KC31E-1306580</t>
  </si>
  <si>
    <t>K-03792005</t>
  </si>
  <si>
    <t>Samsul hadi</t>
  </si>
  <si>
    <t>samsul hadi/ fungsional</t>
  </si>
  <si>
    <t>Kawasaki/ KLX150</t>
  </si>
  <si>
    <t>BH 6337 GZ</t>
  </si>
  <si>
    <t>MH4LX150CEJP04486</t>
  </si>
  <si>
    <t>LX150CEPF4341</t>
  </si>
  <si>
    <t>K-08476397</t>
  </si>
  <si>
    <t>BH 6378 GZ</t>
  </si>
  <si>
    <t>MH4LX150CEJP04505</t>
  </si>
  <si>
    <t>LX150CEPF4211</t>
  </si>
  <si>
    <t>K-08476396</t>
  </si>
  <si>
    <t>Samsul bahri</t>
  </si>
  <si>
    <t>samsul bahri/ fungsional</t>
  </si>
  <si>
    <t>BH 6379 GZ</t>
  </si>
  <si>
    <t>MH4LX150CEJP04504</t>
  </si>
  <si>
    <t>LX150CEPF4213</t>
  </si>
  <si>
    <t>K-08476395</t>
  </si>
  <si>
    <t>khasmr, S.Pt</t>
  </si>
  <si>
    <t>khasmir/ kasubag keuangan</t>
  </si>
  <si>
    <t>BH 6380 GZ</t>
  </si>
  <si>
    <t>MH4LX150CEJP04497</t>
  </si>
  <si>
    <t>LX150CEPF4220</t>
  </si>
  <si>
    <t>K-08476394</t>
  </si>
  <si>
    <t>BH 6381 GZ</t>
  </si>
  <si>
    <t>MH4LX150CEJP04427</t>
  </si>
  <si>
    <t>K-08476393</t>
  </si>
  <si>
    <t>Yamaha Jupiter Z TYPE cw-FI</t>
  </si>
  <si>
    <t>BH 2943 G,
EX BH 6625 GZ</t>
  </si>
  <si>
    <t>MH3UE1120FJ039980</t>
  </si>
  <si>
    <t>E3R5E-0041682</t>
  </si>
  <si>
    <t>L-06232090</t>
  </si>
  <si>
    <t>Putra Alam</t>
  </si>
  <si>
    <t>putra alam/ pembuat daftar gaji</t>
  </si>
  <si>
    <t>BH 6626 GZ</t>
  </si>
  <si>
    <t>MH3UE1120FJ045339</t>
  </si>
  <si>
    <t>E3R5E-0047146</t>
  </si>
  <si>
    <t>L-06232091</t>
  </si>
  <si>
    <t>Doman sihombing</t>
  </si>
  <si>
    <t>doman sihombing/ fungsional</t>
  </si>
  <si>
    <t>BH 6561 GZ</t>
  </si>
  <si>
    <t>MH3UE1120FJ018956</t>
  </si>
  <si>
    <t>E3R5E-0020178</t>
  </si>
  <si>
    <t>L-03963066</t>
  </si>
  <si>
    <t>SURYA KENCANA</t>
  </si>
  <si>
    <t>m. taher/ kabid perkebunan</t>
  </si>
  <si>
    <t>BH 6559 GZ</t>
  </si>
  <si>
    <t>MH3UE1120FJ018997</t>
  </si>
  <si>
    <t>E3R5E-0020186</t>
  </si>
  <si>
    <t>L-03969060</t>
  </si>
  <si>
    <t>Nuryasin</t>
  </si>
  <si>
    <t>nuryasin/ staf</t>
  </si>
  <si>
    <t>BH 6560 GZ</t>
  </si>
  <si>
    <t>MH3UE1120FJ018979</t>
  </si>
  <si>
    <t>E3R5E-0020202</t>
  </si>
  <si>
    <t>L-03963059</t>
  </si>
  <si>
    <t>BH 6558 GZ</t>
  </si>
  <si>
    <t>MH3UE1120FJ018945</t>
  </si>
  <si>
    <t>E3R5E-0020167</t>
  </si>
  <si>
    <t>L-03963041</t>
  </si>
  <si>
    <t>MUHAMMAD TAHER</t>
  </si>
  <si>
    <t>munjiri/ kabid peternakan</t>
  </si>
  <si>
    <t>BH 2944 G</t>
  </si>
  <si>
    <t>MH3SG977OSJ002480</t>
  </si>
  <si>
    <t>G3W1E-0003564</t>
  </si>
  <si>
    <t>V-07005453</t>
  </si>
  <si>
    <t>Disbunnak</t>
  </si>
  <si>
    <t>Drh. ARI KIANTO</t>
  </si>
  <si>
    <t>drh. ari kianto/ ka. uptd sungai landai</t>
  </si>
  <si>
    <t>HONDA 125 CC</t>
  </si>
  <si>
    <t>BH 5766 GZ</t>
  </si>
  <si>
    <t>MH1JB81198K286879</t>
  </si>
  <si>
    <t>JB81E-1282994</t>
  </si>
  <si>
    <t>F-6463892</t>
  </si>
  <si>
    <t>KASMADI</t>
  </si>
  <si>
    <t>kasmadi/ staf</t>
  </si>
  <si>
    <t>: INSPEKTORAT</t>
  </si>
  <si>
    <t>Kijang Innova</t>
  </si>
  <si>
    <t>Inspektorat</t>
  </si>
  <si>
    <t>Kijang / Inova</t>
  </si>
  <si>
    <t>BH 1724 GZ exs BH 141 GZ</t>
  </si>
  <si>
    <t>MHFXW42G872106181</t>
  </si>
  <si>
    <t>1TR-6486891</t>
  </si>
  <si>
    <t>F-1505243</t>
  </si>
  <si>
    <t>Fahrurozi/Kasubbag Evlap</t>
  </si>
  <si>
    <t>Rush</t>
  </si>
  <si>
    <t>Toyota /Rush</t>
  </si>
  <si>
    <t>BH 1189 G exs BH 14 GZ</t>
  </si>
  <si>
    <t>MHFE2CJ3JCK046850</t>
  </si>
  <si>
    <t>DCR1309</t>
  </si>
  <si>
    <t>I-10035856</t>
  </si>
  <si>
    <t>Antoni/Kasubbag Perencanaan</t>
  </si>
  <si>
    <t>BH 1160 G exs BH 140 GZ</t>
  </si>
  <si>
    <t>MHFE2CJ3JK046560</t>
  </si>
  <si>
    <t>DCP9213</t>
  </si>
  <si>
    <t>I-10035858</t>
  </si>
  <si>
    <t>Edi Prianto/Kasubbag Umum</t>
  </si>
  <si>
    <t>Kijang Innova 2.4 Q</t>
  </si>
  <si>
    <t>Kijang / Inova 2.4 Q</t>
  </si>
  <si>
    <t>BH 1319 G exs BH 145 GZ</t>
  </si>
  <si>
    <t>MHFAB3EM9G0001478</t>
  </si>
  <si>
    <t xml:space="preserve">2GD-4071684      </t>
  </si>
  <si>
    <t>L-08617597</t>
  </si>
  <si>
    <t>Selamat/Irban III</t>
  </si>
  <si>
    <t>BH 1005 G</t>
  </si>
  <si>
    <t>MHFE2CJ2JHK056648</t>
  </si>
  <si>
    <t>3SZDGE0837</t>
  </si>
  <si>
    <t>L-10936501</t>
  </si>
  <si>
    <t>Feriyando/Irbansus</t>
  </si>
  <si>
    <t>Innova zenix G CVT</t>
  </si>
  <si>
    <t>BH 21 G (Ex BH 1371 G)</t>
  </si>
  <si>
    <t>MHFAAAAA5R0024813</t>
  </si>
  <si>
    <t>M20ANB51785</t>
  </si>
  <si>
    <t>U-02073719</t>
  </si>
  <si>
    <t>Nazman/Plt Inspektur</t>
  </si>
  <si>
    <t>Rush 1.5 S M/T</t>
  </si>
  <si>
    <t>BH 1375 G</t>
  </si>
  <si>
    <t>MHKE8FA3JRK119585</t>
  </si>
  <si>
    <t>2NRD08699</t>
  </si>
  <si>
    <t>U-02080460</t>
  </si>
  <si>
    <t>Rahadian/Irban II</t>
  </si>
  <si>
    <t>BH 1374 G</t>
  </si>
  <si>
    <t>MHKE8FA3JRK119615</t>
  </si>
  <si>
    <t>2NR4D08632</t>
  </si>
  <si>
    <t>U-02080459</t>
  </si>
  <si>
    <t>Darseno/ Irban IV</t>
  </si>
  <si>
    <t>Hilux 2.4 G Double Cabin 4x4 MT</t>
  </si>
  <si>
    <t xml:space="preserve">Toyota </t>
  </si>
  <si>
    <t>BH 8035 G</t>
  </si>
  <si>
    <t>MR0KB8CD5R1224583</t>
  </si>
  <si>
    <t>2GDD442036</t>
  </si>
  <si>
    <t>U-02080461</t>
  </si>
  <si>
    <t>Aprisal/Sekretaris</t>
  </si>
  <si>
    <t>BH 1373 G</t>
  </si>
  <si>
    <t>MHKE8FA3JRK119733</t>
  </si>
  <si>
    <t>2NR4D10444</t>
  </si>
  <si>
    <t>U-02080458</t>
  </si>
  <si>
    <t>Endriyani/Irban I</t>
  </si>
  <si>
    <t>Honda / Supra</t>
  </si>
  <si>
    <t>BH 5306 GZ</t>
  </si>
  <si>
    <t>MHIHB21104K405893</t>
  </si>
  <si>
    <t>HB21E-1404519</t>
  </si>
  <si>
    <t>D-1606808</t>
  </si>
  <si>
    <t>Honda / Mega Pro</t>
  </si>
  <si>
    <t>BH 5528 GZ</t>
  </si>
  <si>
    <t>MH1KC11127K068418</t>
  </si>
  <si>
    <t>KC11E-1068091</t>
  </si>
  <si>
    <t>E-6005680</t>
  </si>
  <si>
    <t>BH 5653 GZ</t>
  </si>
  <si>
    <t>MH1KC11137K116251</t>
  </si>
  <si>
    <t>KC11E-1118324</t>
  </si>
  <si>
    <t>E-9225621</t>
  </si>
  <si>
    <t>Asril Prianto/Sekretariat</t>
  </si>
  <si>
    <t>BH 5718 G exs BH 5666 GZ</t>
  </si>
  <si>
    <t>MH1KC11147K116243</t>
  </si>
  <si>
    <t>KC11E-1118020</t>
  </si>
  <si>
    <t>E-9225630</t>
  </si>
  <si>
    <t>Jalal Harahap/PPUPD Madya</t>
  </si>
  <si>
    <t>Mutasi ke BH 5718 G</t>
  </si>
  <si>
    <t>BH 5663 GZ</t>
  </si>
  <si>
    <t>MH1KC11127K116368</t>
  </si>
  <si>
    <t>E-9225628</t>
  </si>
  <si>
    <t>BH 2716 G (Ex BH 5661 GZ)</t>
  </si>
  <si>
    <t>MH1KC11147K116257</t>
  </si>
  <si>
    <t>KC11E-1118430</t>
  </si>
  <si>
    <t>E-9225627</t>
  </si>
  <si>
    <t>Aprizal.ST/Auditor Muda</t>
  </si>
  <si>
    <t>BH 2715 G (Ex BH 5654 GZ)</t>
  </si>
  <si>
    <t>MH1KC11127K116435</t>
  </si>
  <si>
    <t>KC11E-1118453</t>
  </si>
  <si>
    <t>E-9225622</t>
  </si>
  <si>
    <t>Ismail Fahmi/Auditor Muda</t>
  </si>
  <si>
    <t>BH 2717 G (Ex BH 5664 GZ)</t>
  </si>
  <si>
    <t>MH1KC11177K116429</t>
  </si>
  <si>
    <t>KC11E-1118452</t>
  </si>
  <si>
    <t>E-9225629</t>
  </si>
  <si>
    <t>Devi Rosfizal/Auditor Muda</t>
  </si>
  <si>
    <t>BH 5644 GZ</t>
  </si>
  <si>
    <t>MHIKC11157K116252</t>
  </si>
  <si>
    <t>KC11E-1118418</t>
  </si>
  <si>
    <t>E-9225612</t>
  </si>
  <si>
    <t>Lukman Thoyeb</t>
  </si>
  <si>
    <t>BH 5662 GZ</t>
  </si>
  <si>
    <t>MH1KC11127K116256</t>
  </si>
  <si>
    <t>KC11E-1118426</t>
  </si>
  <si>
    <t>E-9775174</t>
  </si>
  <si>
    <t>Honda/Revo</t>
  </si>
  <si>
    <t>BH 5648 GZ</t>
  </si>
  <si>
    <t>MH1HB61157K049033</t>
  </si>
  <si>
    <t>HB61E-1050615</t>
  </si>
  <si>
    <t>E-9225616</t>
  </si>
  <si>
    <t>Eko Diantoni/PPUPD</t>
  </si>
  <si>
    <t>Data nya Doble</t>
  </si>
  <si>
    <t>Honda/Supra Pit</t>
  </si>
  <si>
    <t>BH 5720 G exs BH 5527 GZ</t>
  </si>
  <si>
    <t>MH1HB24187K174000</t>
  </si>
  <si>
    <t>HB42E-1175117</t>
  </si>
  <si>
    <t>E-6005678</t>
  </si>
  <si>
    <t>Suherman /Auditor Madya</t>
  </si>
  <si>
    <t>Mutasi ke BH 5720 G</t>
  </si>
  <si>
    <t>New Jupiter MX</t>
  </si>
  <si>
    <t>Yamaha new Juiper MX</t>
  </si>
  <si>
    <t>BH 6279 GZ</t>
  </si>
  <si>
    <t>MH 355S003DK111993</t>
  </si>
  <si>
    <t>Serly/Auditor Madya</t>
  </si>
  <si>
    <t>BH 6278 GZ</t>
  </si>
  <si>
    <t>MH355S003DK111864</t>
  </si>
  <si>
    <t>55S-111870</t>
  </si>
  <si>
    <t>K-03761526</t>
  </si>
  <si>
    <t>Drajat/ Auditor Madya</t>
  </si>
  <si>
    <t>BH 6277 GZ</t>
  </si>
  <si>
    <t>MH355S004DK121744</t>
  </si>
  <si>
    <t>55S-121709</t>
  </si>
  <si>
    <t>K-03761527</t>
  </si>
  <si>
    <t>Ruswita/PPUPD Muda dlm SK, motornya sama Edi</t>
  </si>
  <si>
    <t>BH 6276 GZ</t>
  </si>
  <si>
    <t>MH355S003DK110269</t>
  </si>
  <si>
    <t>55S-110276</t>
  </si>
  <si>
    <t>K-03761528</t>
  </si>
  <si>
    <t>Sapi'i</t>
  </si>
  <si>
    <t>BH 6275 GZ</t>
  </si>
  <si>
    <t>MH 355S004DK118374</t>
  </si>
  <si>
    <t>55S-118009</t>
  </si>
  <si>
    <t>K-03761529</t>
  </si>
  <si>
    <t xml:space="preserve">Saima Gusti/ dalam SK,kendaraan sama </t>
  </si>
  <si>
    <t>BH 6274 GZ</t>
  </si>
  <si>
    <t>MH355S003DK110779</t>
  </si>
  <si>
    <t>55S-110789</t>
  </si>
  <si>
    <t>K-03761530</t>
  </si>
  <si>
    <t>Sahrial</t>
  </si>
  <si>
    <t>BH 6273 GZ</t>
  </si>
  <si>
    <t>MH355S003DK110480</t>
  </si>
  <si>
    <t>55S-110482</t>
  </si>
  <si>
    <t>K-03761531</t>
  </si>
  <si>
    <t>Lina /Auditor Muda</t>
  </si>
  <si>
    <t>N-Max ABS</t>
  </si>
  <si>
    <t>Yamaha N-MAX ABS</t>
  </si>
  <si>
    <t>BH 6684 GZ</t>
  </si>
  <si>
    <t>MH3SG3110GK065985</t>
  </si>
  <si>
    <t>G3E4E0305949</t>
  </si>
  <si>
    <t>Hermansyah/PPUPd Muda</t>
  </si>
  <si>
    <t>N-Max</t>
  </si>
  <si>
    <t xml:space="preserve">Yamaha N- MAX </t>
  </si>
  <si>
    <t>BH 2361 G</t>
  </si>
  <si>
    <t>MH3SG5680NK154962</t>
  </si>
  <si>
    <t>G3L8E-1326196</t>
  </si>
  <si>
    <t>T-00663172</t>
  </si>
  <si>
    <t>Ema Pujiyanti/ Bendahara Pengeluaran</t>
  </si>
  <si>
    <t>: BADAN PERENCANAAN PEMBANGUNAN, RISET DAN INOVASI DAERAH</t>
  </si>
  <si>
    <t>BAPPERIDA</t>
  </si>
  <si>
    <t>Toyota Kijang Innova V</t>
  </si>
  <si>
    <t>BH 1157 G</t>
  </si>
  <si>
    <t>MHFXW42G972095451</t>
  </si>
  <si>
    <t>1 TR-6401070</t>
  </si>
  <si>
    <t>E-9221286</t>
  </si>
  <si>
    <t>EX BH171 GZ</t>
  </si>
  <si>
    <t>Penanggung Jawab Ade Rahayu, SKM</t>
  </si>
  <si>
    <t xml:space="preserve">Toyota Kijang Innova G </t>
  </si>
  <si>
    <t>BH 1175 G EX BH 26 GZ/BH 17 GZ</t>
  </si>
  <si>
    <t>MHFXW43G4C4073046</t>
  </si>
  <si>
    <t>1TR-7438844</t>
  </si>
  <si>
    <t>K-00101979</t>
  </si>
  <si>
    <t>EX BH 26 GZ/BH 17 GZ</t>
  </si>
  <si>
    <t>Penanggung Jawab Hendra Marsadi, SE</t>
  </si>
  <si>
    <t>Minibus (Roda 4)</t>
  </si>
  <si>
    <t>Toyota Avanza G</t>
  </si>
  <si>
    <t>BH  1178 GZ EX BH  170 GZ</t>
  </si>
  <si>
    <t>MHKM 1 BA3JDK144373</t>
  </si>
  <si>
    <t>MB24125</t>
  </si>
  <si>
    <t>K-02786630</t>
  </si>
  <si>
    <t>EX BH  170 GZ</t>
  </si>
  <si>
    <t>Kendaraan Jabatan Kabid Riset dan Inovasi</t>
  </si>
  <si>
    <t>Chevrolet SPIN LTZ</t>
  </si>
  <si>
    <t>BH 1216 G EX BH 172 GZ</t>
  </si>
  <si>
    <t>MJBJ75BOEJO10678</t>
  </si>
  <si>
    <t>B15D211131752CB6X0101</t>
  </si>
  <si>
    <t>K-06087161</t>
  </si>
  <si>
    <t>EX BH 172 GZ</t>
  </si>
  <si>
    <t>Penanggung Jawab Aina, SE</t>
  </si>
  <si>
    <t>KIJANG INNOVA 2.0 G M/T</t>
  </si>
  <si>
    <t>BH 1120 G EX BH 1230 GZ</t>
  </si>
  <si>
    <t>MHFJW8EM0G2306499</t>
  </si>
  <si>
    <t>1TR-A066269</t>
  </si>
  <si>
    <t>L-08617695</t>
  </si>
  <si>
    <t>EX BH 1230 GZ</t>
  </si>
  <si>
    <t>Kendaraan Jabatan Kabid P2PE Baperrida</t>
  </si>
  <si>
    <t>Toyota Rust 1,5.S M/T/ All New</t>
  </si>
  <si>
    <t>BH  1061 G</t>
  </si>
  <si>
    <t>MHKE8FA3JKK040972</t>
  </si>
  <si>
    <t>2 NR F931610</t>
  </si>
  <si>
    <t>P-06386436</t>
  </si>
  <si>
    <t>Kendaraan Jabatan Sekretaris Bapperida</t>
  </si>
  <si>
    <t>Mitsubishi Triton GLS</t>
  </si>
  <si>
    <t>BH 1255 G Ex BH 9327 GZ</t>
  </si>
  <si>
    <t>MHBJNKB409D12604</t>
  </si>
  <si>
    <t>4D56UCH8378</t>
  </si>
  <si>
    <t>F-8235055</t>
  </si>
  <si>
    <t>Ex BH 9327 GZ</t>
  </si>
  <si>
    <t>di Kembalikan  Ke BPKAD - Bidang Aset</t>
  </si>
  <si>
    <t>Honda GL Max</t>
  </si>
  <si>
    <t>BH 5051 GZ</t>
  </si>
  <si>
    <t>MHIUABD111K020318</t>
  </si>
  <si>
    <t>UABDE-1020268</t>
  </si>
  <si>
    <t>C-0964854</t>
  </si>
  <si>
    <t>Di Gudang Bapperida</t>
  </si>
  <si>
    <t>Honda Impressa</t>
  </si>
  <si>
    <t>BH 2657 G EX BH 5041 GZ</t>
  </si>
  <si>
    <t>MHINFGD121K026325</t>
  </si>
  <si>
    <t>NFGDE-1026532</t>
  </si>
  <si>
    <t>B-0620744</t>
  </si>
  <si>
    <t>EX BH 5041 GZ</t>
  </si>
  <si>
    <t>Honda / Supra NF 100 D</t>
  </si>
  <si>
    <t>BH 2658 G EX BH 5063 GZ</t>
  </si>
  <si>
    <t>MHIKEV8122K233349</t>
  </si>
  <si>
    <t>KEV8E-1231911</t>
  </si>
  <si>
    <t>C-2188813</t>
  </si>
  <si>
    <t>EX BH 5063 GZ</t>
  </si>
  <si>
    <t>BH 2661 G EX BH 5639 GZ</t>
  </si>
  <si>
    <t>MH1JB8117BK111224</t>
  </si>
  <si>
    <t>JB81E-1111738</t>
  </si>
  <si>
    <t>E-9221860</t>
  </si>
  <si>
    <t>EX BH 5639 GZ</t>
  </si>
  <si>
    <t>Penangung Jawab Rahmad Kostalani, S.Kom</t>
  </si>
  <si>
    <t>BH 2659 G EX BH 5631 GZ</t>
  </si>
  <si>
    <t>MH1JB81138K111513</t>
  </si>
  <si>
    <t>JB81E-1112114</t>
  </si>
  <si>
    <t>E-9221868</t>
  </si>
  <si>
    <t>EX BH 5631 GZ</t>
  </si>
  <si>
    <t>Penangung Jawab RTS. Yuliana</t>
  </si>
  <si>
    <t>BH 2660 G EX BH 5632 GZ</t>
  </si>
  <si>
    <t>MH1JB81128K111406</t>
  </si>
  <si>
    <t>JB81E-1112158</t>
  </si>
  <si>
    <t>E-9221867</t>
  </si>
  <si>
    <t>EX BH 5632 GZ</t>
  </si>
  <si>
    <t>Penangung Jawab Murni Siahaan, SE</t>
  </si>
  <si>
    <t>Honda Mega Pro GL160D CW</t>
  </si>
  <si>
    <t>BH 2677 G EX BH 5770 GZ</t>
  </si>
  <si>
    <t>MH1KC12198K106713</t>
  </si>
  <si>
    <t>KC12E-1106688</t>
  </si>
  <si>
    <t>F-6463841</t>
  </si>
  <si>
    <t>EX BH 5770 GZ</t>
  </si>
  <si>
    <t>Penangung Jawab Abdillah</t>
  </si>
  <si>
    <t>BH 2676 G EX BH 5768 GZ</t>
  </si>
  <si>
    <t>MH1KC12178K106659</t>
  </si>
  <si>
    <t>KC12E-1106853</t>
  </si>
  <si>
    <t>F-6463832</t>
  </si>
  <si>
    <t>EX BH 5768 GZ</t>
  </si>
  <si>
    <t>Penangung Jawab Dariyono, SH</t>
  </si>
  <si>
    <t>BH 2496 G EX BH 5981 GZ</t>
  </si>
  <si>
    <t>MH!KC3116AK031018</t>
  </si>
  <si>
    <t>KC31E-1030845</t>
  </si>
  <si>
    <t>H-06809021</t>
  </si>
  <si>
    <t>EX BH 5981 GZ</t>
  </si>
  <si>
    <t>Penangung Jawab Sasrwani, SKM</t>
  </si>
  <si>
    <t>Honda Scoopy</t>
  </si>
  <si>
    <t>BH 2665 G EX BH 6082 GZ</t>
  </si>
  <si>
    <t>MH1JF6114CK365023</t>
  </si>
  <si>
    <t>JF61E1359044</t>
  </si>
  <si>
    <t>I-09289968</t>
  </si>
  <si>
    <t>EX BH 6082 GZ</t>
  </si>
  <si>
    <t>Penangung Jawab Aina, SE</t>
  </si>
  <si>
    <t xml:space="preserve">Honda Supra X 125 Helm </t>
  </si>
  <si>
    <t>BH 2679 G EX BH 6083 GZ</t>
  </si>
  <si>
    <t>MH1JBF11XCK043501</t>
  </si>
  <si>
    <t>JBF1E1043106</t>
  </si>
  <si>
    <t>I-09289967</t>
  </si>
  <si>
    <t>EX BH 6083 GZ</t>
  </si>
  <si>
    <t>Penangung Jawab Beny Irawan, SE</t>
  </si>
  <si>
    <t>BH 2663 G EX BH 6080 GZ</t>
  </si>
  <si>
    <t>MH1JBF110CK043555</t>
  </si>
  <si>
    <t>JBF1E1043103</t>
  </si>
  <si>
    <t>I-09290121</t>
  </si>
  <si>
    <t>EX BH 6080 GZ</t>
  </si>
  <si>
    <t>Penangung Jawab Suhartini, SH</t>
  </si>
  <si>
    <t>BH 2664 G EX BH 6081 GZ</t>
  </si>
  <si>
    <t>MH1JBF111CK043435</t>
  </si>
  <si>
    <t>JBF1E1042951</t>
  </si>
  <si>
    <t>I-09290146</t>
  </si>
  <si>
    <t>EX BH 6081 GZ</t>
  </si>
  <si>
    <t>Penangung Jawab Masriana</t>
  </si>
  <si>
    <t>BH 2667 G EX BH 6084 GZ</t>
  </si>
  <si>
    <t>MH1JBF114CK043459</t>
  </si>
  <si>
    <t>JBF1E1042916</t>
  </si>
  <si>
    <t>I-09290642</t>
  </si>
  <si>
    <t>EX BH 6084 GZ</t>
  </si>
  <si>
    <t>Penangung Jawab Minarni, SH</t>
  </si>
  <si>
    <t>Honda Vario Techno</t>
  </si>
  <si>
    <t>BH 2724 G EX BH 6209 GZ</t>
  </si>
  <si>
    <t>MH1 JFC116DK227709</t>
  </si>
  <si>
    <t>JFC1E-1225696</t>
  </si>
  <si>
    <t>K-01376555</t>
  </si>
  <si>
    <t>EX BH 6209 GZ</t>
  </si>
  <si>
    <t>Honda New Blade 125 F1</t>
  </si>
  <si>
    <t>BH 2427 G EX BH 6520</t>
  </si>
  <si>
    <t>MH1JBM118EK012447</t>
  </si>
  <si>
    <t>JBM1E1012359</t>
  </si>
  <si>
    <t>K-12145079</t>
  </si>
  <si>
    <t>EX BH 6520 GZ</t>
  </si>
  <si>
    <t>Penangung Jawab Rosmini, SE</t>
  </si>
  <si>
    <t>Yamaha Jupiter Z CW F1</t>
  </si>
  <si>
    <t>BH 2037 G</t>
  </si>
  <si>
    <t>MH3UE1120HJ159228</t>
  </si>
  <si>
    <t>E3R5E-0168158</t>
  </si>
  <si>
    <t>M-11761974</t>
  </si>
  <si>
    <t>Penangung Jawab Ade Rahayu, SKM</t>
  </si>
  <si>
    <t>BH 2035 G</t>
  </si>
  <si>
    <t>MH3UE1120HJ161487</t>
  </si>
  <si>
    <t>E3R5E-0170568</t>
  </si>
  <si>
    <t>M-11761972</t>
  </si>
  <si>
    <t>Bendahara Gaji/Juru Bayat Gaji</t>
  </si>
  <si>
    <t>Yamaha All New V-IXION</t>
  </si>
  <si>
    <t>BH 2036 G</t>
  </si>
  <si>
    <t>MH3RG4610HK048465</t>
  </si>
  <si>
    <t>G3E7E-0425737</t>
  </si>
  <si>
    <t>M-11761973</t>
  </si>
  <si>
    <t>Pengurus Barang</t>
  </si>
  <si>
    <t>Honda New Vario 125 ESP</t>
  </si>
  <si>
    <t>BH 2220  G</t>
  </si>
  <si>
    <t>MH1JM5117KK460576</t>
  </si>
  <si>
    <t>JM51E1460357</t>
  </si>
  <si>
    <t>P-06427862</t>
  </si>
  <si>
    <t>Penangung Jawab Rizky Iriansyah, SH</t>
  </si>
  <si>
    <t>BH2221 G</t>
  </si>
  <si>
    <t>MH1JM5113KK460591</t>
  </si>
  <si>
    <t>JM51E1460365</t>
  </si>
  <si>
    <t>P-06427863</t>
  </si>
  <si>
    <t>Penangung Jawab Hendra Marsadi, SE</t>
  </si>
  <si>
    <t>: BADAN PENGELOLA KEUANGAN DAN ASET DAERAH</t>
  </si>
  <si>
    <t>BPKAD</t>
  </si>
  <si>
    <t>Toyota New Avanza Veloz 1,5 M/T Luxury</t>
  </si>
  <si>
    <t>BH 1249 G</t>
  </si>
  <si>
    <t>MHKM1CA4JEK081648</t>
  </si>
  <si>
    <t>DER8977</t>
  </si>
  <si>
    <t>K-06095140</t>
  </si>
  <si>
    <t>Mutasi dari Sekretariat Daerah</t>
  </si>
  <si>
    <t xml:space="preserve">Kepala Bidang Perbendaharan </t>
  </si>
  <si>
    <t>BH 1248 G</t>
  </si>
  <si>
    <t>MHKM1CA4EK081853</t>
  </si>
  <si>
    <t>DES0410</t>
  </si>
  <si>
    <t>K-06095139</t>
  </si>
  <si>
    <t>Kepala Bidang Barang Milik Daerah</t>
  </si>
  <si>
    <t>BH 1247 G</t>
  </si>
  <si>
    <t>MHKM1CA4JEK077642</t>
  </si>
  <si>
    <t>DEP1065</t>
  </si>
  <si>
    <t>K-06095142</t>
  </si>
  <si>
    <t>Kepala Bidang Akuntansi</t>
  </si>
  <si>
    <t>BH 1246 G</t>
  </si>
  <si>
    <t>MHKM1CA4JEK080042</t>
  </si>
  <si>
    <t>DEP9358</t>
  </si>
  <si>
    <t>K-06095141</t>
  </si>
  <si>
    <t>Operasional BPKAD</t>
  </si>
  <si>
    <t>Innova Reborn</t>
  </si>
  <si>
    <t>BH 20 G</t>
  </si>
  <si>
    <t>MHFJB8EMXK1061737</t>
  </si>
  <si>
    <t>2GDC635731</t>
  </si>
  <si>
    <t>P-06386629</t>
  </si>
  <si>
    <t>Kepala BPKAD</t>
  </si>
  <si>
    <t>BH 8119 G</t>
  </si>
  <si>
    <t>MROAW12G680013559</t>
  </si>
  <si>
    <t>1TR-6645521</t>
  </si>
  <si>
    <t>F-6862603</t>
  </si>
  <si>
    <t>Honda Supra X 125D</t>
  </si>
  <si>
    <t>BH 5909 GZ mutasi BH 4105 G</t>
  </si>
  <si>
    <t>MH1JB8117AK575703</t>
  </si>
  <si>
    <t>JB81E-1571084</t>
  </si>
  <si>
    <t>H-03730560</t>
  </si>
  <si>
    <t>Pamela Susanti</t>
  </si>
  <si>
    <t>Honda Vario Techno non CBS</t>
  </si>
  <si>
    <t>BH 2510 G EX BH 6014 GZ</t>
  </si>
  <si>
    <t>MH1JF9118AK117534</t>
  </si>
  <si>
    <t>JF91E-1115391</t>
  </si>
  <si>
    <t>H-11430681</t>
  </si>
  <si>
    <t>Perencana</t>
  </si>
  <si>
    <t>BH 6024 GZ</t>
  </si>
  <si>
    <t>MHIKC3112BK079293</t>
  </si>
  <si>
    <t>I-023544450</t>
  </si>
  <si>
    <t xml:space="preserve"> Mutasi dari Setda Ex Aset ESDM </t>
  </si>
  <si>
    <t>Fahrudin Husodo</t>
  </si>
  <si>
    <t>Honda Vario Techno CBS</t>
  </si>
  <si>
    <r>
      <rPr>
        <rFont val="Calibri"/>
        <color theme="1"/>
        <sz val="10.0"/>
      </rPr>
      <t xml:space="preserve">BH 6079 GZ mutasi ke </t>
    </r>
    <r>
      <rPr>
        <rFont val="Calibri"/>
        <b/>
        <color theme="1"/>
        <sz val="10.0"/>
      </rPr>
      <t>BH 2607 G</t>
    </r>
  </si>
  <si>
    <t>MH1JF7118CK224896</t>
  </si>
  <si>
    <t>JF71E-1221804</t>
  </si>
  <si>
    <t>I-09092040</t>
  </si>
  <si>
    <t>Kasubbid Penyusunan Laporan Keuangan</t>
  </si>
  <si>
    <r>
      <rPr>
        <rFont val="Calibri"/>
        <color theme="1"/>
        <sz val="10.0"/>
      </rPr>
      <t xml:space="preserve">BH 6069 GZ mutasi ke </t>
    </r>
    <r>
      <rPr>
        <rFont val="Calibri"/>
        <b/>
        <color theme="1"/>
        <sz val="10.0"/>
      </rPr>
      <t>BH 2605 G</t>
    </r>
  </si>
  <si>
    <t>MH1JF7119CK224891</t>
  </si>
  <si>
    <t>JF71E-1221805</t>
  </si>
  <si>
    <t>I-09092200</t>
  </si>
  <si>
    <t>Kasubbag Umum dan Kepegawaian</t>
  </si>
  <si>
    <t>BH 2511 G</t>
  </si>
  <si>
    <t>MH1JF7116CK224895</t>
  </si>
  <si>
    <t>JF71E-1221809</t>
  </si>
  <si>
    <t>I-09092228</t>
  </si>
  <si>
    <t>Firman</t>
  </si>
  <si>
    <t>Honda NF12A1CF M/T</t>
  </si>
  <si>
    <t>BH 6162 GZ mutasi ke BH 2719 G</t>
  </si>
  <si>
    <t>MH1JBG11XCK097662</t>
  </si>
  <si>
    <t>JBG1E-109718</t>
  </si>
  <si>
    <t>J-04073080</t>
  </si>
  <si>
    <t>Hotnauli, SH</t>
  </si>
  <si>
    <t>BH 6109 GZ mutasi ke BH 2608 G</t>
  </si>
  <si>
    <t>MH33C1005CK847522</t>
  </si>
  <si>
    <t>3C1-848509</t>
  </si>
  <si>
    <t>I-10605035</t>
  </si>
  <si>
    <t>Zulkifli, SE</t>
  </si>
  <si>
    <t>Vario Techno CBS 125 FI</t>
  </si>
  <si>
    <t>BH 6161 GZ mutasi ke BH 2718 G</t>
  </si>
  <si>
    <t>MH1JFC116CK152136</t>
  </si>
  <si>
    <t>JFC1E-1151732</t>
  </si>
  <si>
    <t>J-04073081</t>
  </si>
  <si>
    <t xml:space="preserve">Kepala Sub Bidang Analisis &amp; Evaluasi Data Transaksi </t>
  </si>
  <si>
    <t>Supra X 125 Helm-in CW</t>
  </si>
  <si>
    <t>BH 6075 GZ mutasi ke 2606 G</t>
  </si>
  <si>
    <t>MH1JBF113CK042433</t>
  </si>
  <si>
    <t>JBF1E-1041563</t>
  </si>
  <si>
    <t>I-09092185</t>
  </si>
  <si>
    <t>BH 6262 GZ mutasi ke BH 2722 G</t>
  </si>
  <si>
    <t>MH31PA002DK130767</t>
  </si>
  <si>
    <t>1PA-129889</t>
  </si>
  <si>
    <t>K-02309761</t>
  </si>
  <si>
    <t>Kepala Sub Bidang Pemanfaatan Pemindahtanganan dan Penghapusan BMD</t>
  </si>
  <si>
    <t>Sepeda Motor Matic</t>
  </si>
  <si>
    <t>HONDA Vario CW</t>
  </si>
  <si>
    <t>BH 6298 GZ mutasi ke BH 2765 G</t>
  </si>
  <si>
    <t>MH1JF8111DK880770</t>
  </si>
  <si>
    <t>JF81E-1874896</t>
  </si>
  <si>
    <t>K-03778925</t>
  </si>
  <si>
    <t>Analisis Keuangan Pusat dan Daerah ( Julia R., SE)</t>
  </si>
  <si>
    <t>Sepeda Motor bebek</t>
  </si>
  <si>
    <t>HONDA Supra X 125 CW</t>
  </si>
  <si>
    <t>BH 6292 GZ mutasi ke BH 2766 G</t>
  </si>
  <si>
    <t>MH1 JB9134DK454395</t>
  </si>
  <si>
    <t>JB91E-2436455</t>
  </si>
  <si>
    <t>K-03778929</t>
  </si>
  <si>
    <t>Ade Surya Pangabean</t>
  </si>
  <si>
    <t>Honda Supra X 125 Helm-in CW</t>
  </si>
  <si>
    <t>BH 6255 GZ mutasi ke BH 2723 G</t>
  </si>
  <si>
    <t>JB9132DK328164</t>
  </si>
  <si>
    <t>JB91E-8812873</t>
  </si>
  <si>
    <t>K-02039122</t>
  </si>
  <si>
    <t>Kasubbid Pengelolaan Kas Daerah</t>
  </si>
  <si>
    <t>BH 6260 GZ mutasi BH 2721 G</t>
  </si>
  <si>
    <t>JB9131DK328026</t>
  </si>
  <si>
    <t>JB91E-3312870</t>
  </si>
  <si>
    <t>K-02039117</t>
  </si>
  <si>
    <t>Jemmy Nurasifik</t>
  </si>
  <si>
    <t>BH 6258 GZ mutasi ke BH 2720 G</t>
  </si>
  <si>
    <t>MH1JB9135DK328174</t>
  </si>
  <si>
    <t>JB91E-3312792</t>
  </si>
  <si>
    <t>K-02039119</t>
  </si>
  <si>
    <t>Kasubbid Pelayanan Perbendaharaan</t>
  </si>
  <si>
    <t>Honda Vario 160</t>
  </si>
  <si>
    <t>BH 2366 G</t>
  </si>
  <si>
    <t>MHF1KFA114NK142264</t>
  </si>
  <si>
    <t>KFA1E-1142342</t>
  </si>
  <si>
    <t>T-00680617</t>
  </si>
  <si>
    <t>Bagian Umum &amp; Perlengkapan</t>
  </si>
  <si>
    <t>M. Nasrizal</t>
  </si>
  <si>
    <t>Motor Trail</t>
  </si>
  <si>
    <t>Honda CRF</t>
  </si>
  <si>
    <t>BH 2397 G</t>
  </si>
  <si>
    <t>MH1KD1112PK388707</t>
  </si>
  <si>
    <t>KD11E-1387937</t>
  </si>
  <si>
    <t>T-04352361</t>
  </si>
  <si>
    <t>Kasubbid Perencanaan dan Penatausahaan BMD</t>
  </si>
  <si>
    <t>BH6282 GZ mutasi ke BH 2398 G</t>
  </si>
  <si>
    <t>MH1KD111OPK388642</t>
  </si>
  <si>
    <t>KD11E-1387874</t>
  </si>
  <si>
    <t>T04352362</t>
  </si>
  <si>
    <t>Ciprianto</t>
  </si>
  <si>
    <t>Yamaha N-Max ABS</t>
  </si>
  <si>
    <t>BH 2143 G</t>
  </si>
  <si>
    <t>MH3SG3180KK080085</t>
  </si>
  <si>
    <t>G3E4E-1598403</t>
  </si>
  <si>
    <t>P-06380966</t>
  </si>
  <si>
    <t xml:space="preserve">Mutasi dari Sekretariat Daerah </t>
  </si>
  <si>
    <t xml:space="preserve">Honda Vario 160 ABS </t>
  </si>
  <si>
    <t>Honda Vario 160 ABS</t>
  </si>
  <si>
    <t>BH 2927 G</t>
  </si>
  <si>
    <t>MH1KFA117SK313472</t>
  </si>
  <si>
    <t>KFA1E-1313053</t>
  </si>
  <si>
    <t>V-01717780</t>
  </si>
  <si>
    <t>Novirah</t>
  </si>
  <si>
    <t>Analis Keuangan Pusat dan daerah</t>
  </si>
  <si>
    <t>BH 2928 G</t>
  </si>
  <si>
    <t>MH1KFA118SK313464</t>
  </si>
  <si>
    <t>KFA1E-1313067</t>
  </si>
  <si>
    <t>V-01717781</t>
  </si>
  <si>
    <t>Pipit</t>
  </si>
  <si>
    <t xml:space="preserve">Analis Keuangan Pusat dan daerah </t>
  </si>
  <si>
    <t>BH 2930 G</t>
  </si>
  <si>
    <t>MHK1KFA115SK314622</t>
  </si>
  <si>
    <t>KFA1E-1314202</t>
  </si>
  <si>
    <t>V-01717782</t>
  </si>
  <si>
    <t>Abdurrahman Ivan</t>
  </si>
  <si>
    <t>BH 2932 G</t>
  </si>
  <si>
    <t>MH1KFA113SK314604</t>
  </si>
  <si>
    <t>KFA1E-1314471</t>
  </si>
  <si>
    <t>V01717784</t>
  </si>
  <si>
    <t>Nani</t>
  </si>
  <si>
    <t>Kasubbid Penyusun APBD</t>
  </si>
  <si>
    <t>BH 2933G</t>
  </si>
  <si>
    <t>MH1KFA111SK312639</t>
  </si>
  <si>
    <t>KFA1E-1312327</t>
  </si>
  <si>
    <t>V-01717785</t>
  </si>
  <si>
    <t>Subhan</t>
  </si>
  <si>
    <t>Kasubbid Perencanaan APBD</t>
  </si>
  <si>
    <t>: BADAN PENGELOLAAN PAJAK DAN RESTRIBUSI DAERAH</t>
  </si>
  <si>
    <t>BPPRD</t>
  </si>
  <si>
    <t>BH 1254 G EX BH 260 GZ</t>
  </si>
  <si>
    <t>MHFM1BAJ9K175872</t>
  </si>
  <si>
    <t>DE49042</t>
  </si>
  <si>
    <t>F-8688761</t>
  </si>
  <si>
    <t>BH 1254 G</t>
  </si>
  <si>
    <t>Operasional Pajak 2 /Riskan/Kasubid Evaluasi</t>
  </si>
  <si>
    <t>Minubus</t>
  </si>
  <si>
    <t>BH 1278 G EX BH 261 GZ</t>
  </si>
  <si>
    <t>MHFXW40G9A4501310</t>
  </si>
  <si>
    <t>1TR-6959961</t>
  </si>
  <si>
    <t>H-04030409</t>
  </si>
  <si>
    <t>BH 1278 G (Usulan Lelang)</t>
  </si>
  <si>
    <t>BH 1097 G EX BH 262 GZ EX BH 1156 GZ</t>
  </si>
  <si>
    <t>MHKM1BA3JCK077701</t>
  </si>
  <si>
    <t>DL43998</t>
  </si>
  <si>
    <t>J-01541414</t>
  </si>
  <si>
    <t>BH 1097 G</t>
  </si>
  <si>
    <t>Kabid Pengembangan / Dedi</t>
  </si>
  <si>
    <t>BH 1094 G EX BH 26 GZ</t>
  </si>
  <si>
    <t>MHFXW42G0C2221156</t>
  </si>
  <si>
    <t>1TR-7298551</t>
  </si>
  <si>
    <t>I-0608626</t>
  </si>
  <si>
    <t>BH 1094 G</t>
  </si>
  <si>
    <t>Kabid Pajak 1 /Reza</t>
  </si>
  <si>
    <t>BH 1225 G EX BH 266 GZ</t>
  </si>
  <si>
    <t>MHYKZE81SDJ212637</t>
  </si>
  <si>
    <t>KI4BT-1071475</t>
  </si>
  <si>
    <t>K-06086350</t>
  </si>
  <si>
    <t>BH 1225 G</t>
  </si>
  <si>
    <t>Kasubag Umum / Juanda Saputra</t>
  </si>
  <si>
    <t>BH 1017 G</t>
  </si>
  <si>
    <t>MHFAB3EM3J0008482,</t>
  </si>
  <si>
    <t>2GD4410141</t>
  </si>
  <si>
    <t>M-11799406</t>
  </si>
  <si>
    <t>KABAN</t>
  </si>
  <si>
    <t>BH 1025 G</t>
  </si>
  <si>
    <t>MHKKE8FB2JJK002328,</t>
  </si>
  <si>
    <t>2NRF711069</t>
  </si>
  <si>
    <t>M-11829738</t>
  </si>
  <si>
    <t>Sekban</t>
  </si>
  <si>
    <t>BH 1194 G EX BH 263 GZ</t>
  </si>
  <si>
    <t>MMBJNKB408D094722</t>
  </si>
  <si>
    <t>4D56UCBG0701</t>
  </si>
  <si>
    <t>F-6252731</t>
  </si>
  <si>
    <t>(Usulan Lelang)</t>
  </si>
  <si>
    <t>Supra x 125</t>
  </si>
  <si>
    <t>BH 2514 G EX BH 5406 GZ</t>
  </si>
  <si>
    <t>MH1JB51116K470953</t>
  </si>
  <si>
    <t>JB51E1476275</t>
  </si>
  <si>
    <t>D-9864428</t>
  </si>
  <si>
    <t>Santi / Bendahara Penerimaan</t>
  </si>
  <si>
    <t>BH 5407 GZ</t>
  </si>
  <si>
    <t>MH1JB51136K483283</t>
  </si>
  <si>
    <t>JB51E1480650</t>
  </si>
  <si>
    <t>D-9864429</t>
  </si>
  <si>
    <t>BH 2499 G EX BH 6005 GZ</t>
  </si>
  <si>
    <t>MH1JB9123AK354615</t>
  </si>
  <si>
    <t>JB91E2348353</t>
  </si>
  <si>
    <t>H-07024219</t>
  </si>
  <si>
    <t>sepeda Motor</t>
  </si>
  <si>
    <t>HONDA GL 15.A 1RR M/T</t>
  </si>
  <si>
    <t>BH 2497 G EX BH 6003 GZ</t>
  </si>
  <si>
    <t>MH1KC3113AK032983</t>
  </si>
  <si>
    <t>KC31E1032995</t>
  </si>
  <si>
    <t>H-07024217</t>
  </si>
  <si>
    <t>Pengadministrasi Pengkantoran /Lukman Nasution</t>
  </si>
  <si>
    <t>BH 2498 G EX BH 6004 GZ</t>
  </si>
  <si>
    <t>MH1KC3111AK032982</t>
  </si>
  <si>
    <t>KC31E1033001</t>
  </si>
  <si>
    <t>H-07024218</t>
  </si>
  <si>
    <t>Pengurus Barang /Arifin AZ</t>
  </si>
  <si>
    <t>BH 2539 G EXBH 6065 GZ</t>
  </si>
  <si>
    <t>MH1KC3113BK153188</t>
  </si>
  <si>
    <t>KC31E1152879</t>
  </si>
  <si>
    <t>I-05805239</t>
  </si>
  <si>
    <t>Bend.Gaji /Salman</t>
  </si>
  <si>
    <t>BH 2572 G EX BH 6110 GZ</t>
  </si>
  <si>
    <t>MH1KC3112CK215164</t>
  </si>
  <si>
    <t>KC31E-1214821</t>
  </si>
  <si>
    <t>I-10605215</t>
  </si>
  <si>
    <t>Diding Suryadi /Analis Pajak</t>
  </si>
  <si>
    <t>BH 2580 G EX BH 6111 GZ</t>
  </si>
  <si>
    <t>MH1JBG114CK055777</t>
  </si>
  <si>
    <t>JBG1E1054894</t>
  </si>
  <si>
    <t>I-10605214</t>
  </si>
  <si>
    <t>Verifikator Keuangan /Eli Afida Turizki, SE</t>
  </si>
  <si>
    <t>BH 2576 G EX BH 6112 GZ</t>
  </si>
  <si>
    <t>MH1JBG118CK055782</t>
  </si>
  <si>
    <t>JBG1E1054897</t>
  </si>
  <si>
    <t>I-0605213</t>
  </si>
  <si>
    <t>Hilda Rozi /Kasubid Perencanaan</t>
  </si>
  <si>
    <t>BH 2635 G EX BH 6165 GZ</t>
  </si>
  <si>
    <t>MH333C1205CK100534</t>
  </si>
  <si>
    <t>3C11100229</t>
  </si>
  <si>
    <t>J-04071713</t>
  </si>
  <si>
    <t>Chandriatno Saputra, SE / Analis Pendapatan Daerah</t>
  </si>
  <si>
    <t>BH 2422 G EX BH 6362 GZ</t>
  </si>
  <si>
    <t>MH1KC5212DK106578</t>
  </si>
  <si>
    <t>KC52E1106691</t>
  </si>
  <si>
    <t>K-03793491</t>
  </si>
  <si>
    <t>Pengelola Data Penagihan / M.Iqbal SE</t>
  </si>
  <si>
    <t>Honda Verza</t>
  </si>
  <si>
    <t>BH 2421 G EX BH 6349 GZ</t>
  </si>
  <si>
    <t>MH1KC521XDK107399</t>
  </si>
  <si>
    <t>KC52E1108336</t>
  </si>
  <si>
    <t>K-03792012</t>
  </si>
  <si>
    <t>Penyuluh Pajak / Jurnal SH</t>
  </si>
  <si>
    <t>Verza 150 CW</t>
  </si>
  <si>
    <t>BH 2534 G EX BH 6674 GZ</t>
  </si>
  <si>
    <t>MH1KC521XGK309034</t>
  </si>
  <si>
    <t>KC52E1305530</t>
  </si>
  <si>
    <t>L-10902699</t>
  </si>
  <si>
    <t>Fauzi S.sos / Penagih Pajak</t>
  </si>
  <si>
    <t>BH 2509 G EX BH 6667 GZ</t>
  </si>
  <si>
    <t>MH1JBP119GK426955</t>
  </si>
  <si>
    <t>JBP1E1424622</t>
  </si>
  <si>
    <t>L-10900258</t>
  </si>
  <si>
    <t>Dila Kamala Dewi / Kasubid Pengembangan</t>
  </si>
  <si>
    <t>Honda / AFX 12 U21C08 M/T</t>
  </si>
  <si>
    <t>BH 2508 G EX BH 6668 GZ</t>
  </si>
  <si>
    <t>MH1JBP119GK426499</t>
  </si>
  <si>
    <t>IBP1E1424004</t>
  </si>
  <si>
    <t>l-10900259</t>
  </si>
  <si>
    <t>Bendahara Pengeluaran /Agus Wandi</t>
  </si>
  <si>
    <t>BH 5221 G EX BH 6669 GZ</t>
  </si>
  <si>
    <t>MH1JBP119GK426650</t>
  </si>
  <si>
    <t>IBP1E1424285</t>
  </si>
  <si>
    <t>L-10900255</t>
  </si>
  <si>
    <t>Fungsional Umum/Eka Ningsih</t>
  </si>
  <si>
    <t>BH 2507 G EX BH 6670 GZ</t>
  </si>
  <si>
    <t>MH1JBP110GK424933</t>
  </si>
  <si>
    <t>JBPE1423560</t>
  </si>
  <si>
    <t>L-10900254</t>
  </si>
  <si>
    <t>Kasubid Pengelolaan Pajak Daerah / Zulfikar SH</t>
  </si>
  <si>
    <t>BH 2506 G EX BH 6671 GZ</t>
  </si>
  <si>
    <t>MH1JBP117GK427957</t>
  </si>
  <si>
    <t>JBP1E1424329</t>
  </si>
  <si>
    <t>l-10900251</t>
  </si>
  <si>
    <t>Analis Keuangan Pusat dan Daerah / Adi</t>
  </si>
  <si>
    <t>BH 2512 G EX BH 6672 GZ</t>
  </si>
  <si>
    <t>MH1JBP117GK424816</t>
  </si>
  <si>
    <t>JBP1E1423454</t>
  </si>
  <si>
    <t>L-10900252</t>
  </si>
  <si>
    <t>Pembantu PPTK/Fachrul Rozi, S.Sos</t>
  </si>
  <si>
    <t>BH 2515 G EX BH 6673 GZ</t>
  </si>
  <si>
    <t>MH1JBP118GK426588</t>
  </si>
  <si>
    <t>IBP1E1424219</t>
  </si>
  <si>
    <t>L-10900253</t>
  </si>
  <si>
    <t>Reval Aji Prayuda /Kasubid Pengendalian</t>
  </si>
  <si>
    <t>: BADAN KEPEGAWAIAN DAN PENGEMBANGAN SUMBER DAYA MANUSIA</t>
  </si>
  <si>
    <t>BKPSDM</t>
  </si>
  <si>
    <t>Suzuki ST150 Futura</t>
  </si>
  <si>
    <t>BH 1207 G</t>
  </si>
  <si>
    <t>MHYESL4153J539050</t>
  </si>
  <si>
    <t>G15A-IA-539050</t>
  </si>
  <si>
    <t>C-5101476</t>
  </si>
  <si>
    <t>Ex. BH 341 GZ</t>
  </si>
  <si>
    <t>ARDIYANSYAH, SE (Bendahara Pengeluaran)</t>
  </si>
  <si>
    <t>BH 1172 G</t>
  </si>
  <si>
    <t>MHYESL4153J538136</t>
  </si>
  <si>
    <t>G15A-IA-538136</t>
  </si>
  <si>
    <t>C-5101475</t>
  </si>
  <si>
    <t>Ex. BH 342 GZ</t>
  </si>
  <si>
    <t xml:space="preserve">Kijang Innova G. Diesel </t>
  </si>
  <si>
    <t>BH 1176 G</t>
  </si>
  <si>
    <t>MHFXS42G6D2544947</t>
  </si>
  <si>
    <t>2KD U233108</t>
  </si>
  <si>
    <t>K-02786332</t>
  </si>
  <si>
    <t>Ex. BH 34 GZ</t>
  </si>
  <si>
    <t>HENDRI WIJAYA, S.Pd (Sekretaris)</t>
  </si>
  <si>
    <t>INNOVA G MT Diesel</t>
  </si>
  <si>
    <t>BH 1342 G</t>
  </si>
  <si>
    <t>MHFXS42GX82515473</t>
  </si>
  <si>
    <t>2KD-6227950</t>
  </si>
  <si>
    <t>F-7545751</t>
  </si>
  <si>
    <t>EX BH 345 GZ</t>
  </si>
  <si>
    <t>ABDUL KADIR, SE(Kasubbag Perencanaan &amp; Kepegawaian)</t>
  </si>
  <si>
    <t>RUSH S M/T</t>
  </si>
  <si>
    <t>BH 1174 G</t>
  </si>
  <si>
    <t>MHFE2CJ3JDK064108</t>
  </si>
  <si>
    <t>DDM1644</t>
  </si>
  <si>
    <t>K-00103257</t>
  </si>
  <si>
    <t>Ex. BH 343 GZ</t>
  </si>
  <si>
    <t>JUNAIDI, SE.,ME (Kabid Mutasi dan Promosi)</t>
  </si>
  <si>
    <t>Suzuki, Ertiga GX</t>
  </si>
  <si>
    <t>BH 1205 G</t>
  </si>
  <si>
    <t>MHYKZE81SDJ-121120</t>
  </si>
  <si>
    <t>K14BT-1056414</t>
  </si>
  <si>
    <t>K-03202701</t>
  </si>
  <si>
    <t>Ex. BH 344 GZ</t>
  </si>
  <si>
    <t>ERMA ARIS. S.A.P (Kabid Pengadaan, pemberhentian dan Informasi Kepegawaian)</t>
  </si>
  <si>
    <t xml:space="preserve">Toyota All New Kijang Innova Venturer </t>
  </si>
  <si>
    <t>BH 1060 G</t>
  </si>
  <si>
    <t>MHFAB3EM7K0014268</t>
  </si>
  <si>
    <t>2GDC631846</t>
  </si>
  <si>
    <t>P-06386000</t>
  </si>
  <si>
    <t>BILLY ADHITYA, S.IP (Kepala Badan)</t>
  </si>
  <si>
    <t>BH 5296 GZ</t>
  </si>
  <si>
    <t>MHIKEVA174K787094</t>
  </si>
  <si>
    <t>KEVAE-1784013</t>
  </si>
  <si>
    <t>D-1608693</t>
  </si>
  <si>
    <t>Muhaimiyani.S.Sos (fungsional umum)</t>
  </si>
  <si>
    <t>BH 5282 GZ</t>
  </si>
  <si>
    <t>MHIKEVA184K757876</t>
  </si>
  <si>
    <t>KEVAE-1757159</t>
  </si>
  <si>
    <t>D-0975805</t>
  </si>
  <si>
    <t>Rusak berat</t>
  </si>
  <si>
    <t>BH 5635 GZ</t>
  </si>
  <si>
    <t>MH1JB51237K031487</t>
  </si>
  <si>
    <t>JB51E-2020617</t>
  </si>
  <si>
    <t>BH 5634 GZ</t>
  </si>
  <si>
    <t>MH1JB51197K932001</t>
  </si>
  <si>
    <t>JB51E-1921480</t>
  </si>
  <si>
    <t>E-9221969</t>
  </si>
  <si>
    <t>Sukria Laksana.SH (fungsional umum)</t>
  </si>
  <si>
    <t>Honda mega Pro</t>
  </si>
  <si>
    <t>BH 5874 GZ</t>
  </si>
  <si>
    <t>MHIKC1117K244883</t>
  </si>
  <si>
    <t>KC11E-1247213</t>
  </si>
  <si>
    <t>G-1303214</t>
  </si>
  <si>
    <t>Edy Siswantono,S.Pd.M.Pd (Analis Sumber Daya Manusia Aparatur Ahli Muda)</t>
  </si>
  <si>
    <t>BH 5875 GZ</t>
  </si>
  <si>
    <t>MHIKC11199K245419</t>
  </si>
  <si>
    <t>KC11E-1246955</t>
  </si>
  <si>
    <t>G-1303213</t>
  </si>
  <si>
    <t>yoga saputro.SM(Analis SDM Aparatur Ahli Pertama)</t>
  </si>
  <si>
    <t>BH 2430 G</t>
  </si>
  <si>
    <t>MHIKC11159K245403</t>
  </si>
  <si>
    <t>KC11E-1246978</t>
  </si>
  <si>
    <t>G-1303215</t>
  </si>
  <si>
    <t>BH 5876 GZ</t>
  </si>
  <si>
    <t>Freddy Tambunan.SE (fungsional umum)</t>
  </si>
  <si>
    <t>BH 5877 GZ</t>
  </si>
  <si>
    <t>MHIJB81129K488593</t>
  </si>
  <si>
    <t>JB81E 1484158</t>
  </si>
  <si>
    <t>G-1303216</t>
  </si>
  <si>
    <t>Sabli Bodong.SE (Penata Layanan Operasional)</t>
  </si>
  <si>
    <t>HONDA Supra X 125 Helm IN FI</t>
  </si>
  <si>
    <t>BH 6213 GZ</t>
  </si>
  <si>
    <t>MH1JBG112DK121504</t>
  </si>
  <si>
    <t>JBG1E-1120587</t>
  </si>
  <si>
    <t>K-01748972</t>
  </si>
  <si>
    <t>Widodo (Pengadministrasi Perkantoran)</t>
  </si>
  <si>
    <t>BH 6214 GZ</t>
  </si>
  <si>
    <t>MH1JBG116DK121554</t>
  </si>
  <si>
    <t>JBG1E-1120588</t>
  </si>
  <si>
    <t>K-01748971</t>
  </si>
  <si>
    <t>VIXION KS</t>
  </si>
  <si>
    <t>BH 6318 GZ</t>
  </si>
  <si>
    <t>MH31PA002DK351912</t>
  </si>
  <si>
    <t>IPA-351786</t>
  </si>
  <si>
    <t>K-03782007</t>
  </si>
  <si>
    <t>M.Nizam.SE (Analis Sumber Daya Manusia Aparatur Ahli Muda)</t>
  </si>
  <si>
    <t>JUPITER MX. CW</t>
  </si>
  <si>
    <t>BH 6317 GZ</t>
  </si>
  <si>
    <t>MH350C004DK691774</t>
  </si>
  <si>
    <t>50C-690392</t>
  </si>
  <si>
    <t>K-03782008</t>
  </si>
  <si>
    <t>Periyanto,SE (Analis Sumber Daya Manusia Aparatur Ahli Muda)</t>
  </si>
  <si>
    <t>JUPITER Z. 1</t>
  </si>
  <si>
    <t>BH 6322 GZ</t>
  </si>
  <si>
    <t>MH31DY006DJ213709</t>
  </si>
  <si>
    <t>1DY-213734</t>
  </si>
  <si>
    <t>K-03783099</t>
  </si>
  <si>
    <t>Mardiana.A.Md (fungsional umum)</t>
  </si>
  <si>
    <t>BH 6323 GZ</t>
  </si>
  <si>
    <t>MH31DY006DJ213687</t>
  </si>
  <si>
    <t>1DY-213675</t>
  </si>
  <si>
    <t>K-03783098</t>
  </si>
  <si>
    <t>Agung Mulia Husnir.SE (Analis Sumber Daya Manusia Aparatur Ahli Muda)</t>
  </si>
  <si>
    <t xml:space="preserve">Yamah Jupiter Z CW FI </t>
  </si>
  <si>
    <t>BH 6640 GZ</t>
  </si>
  <si>
    <t>MHUBP114HV-532368</t>
  </si>
  <si>
    <t>JBPIE-1527278</t>
  </si>
  <si>
    <t>Yose Frenza,S.Kom (fungsional umum)</t>
  </si>
  <si>
    <t>BH 2015 G</t>
  </si>
  <si>
    <t>MH1JBP114HK532358</t>
  </si>
  <si>
    <t>JBP1E-1527278</t>
  </si>
  <si>
    <t>M-04257226</t>
  </si>
  <si>
    <t>Debby Astraviana,SIP (Analis Sumber Daya Manusia Aparatur Ahli Muda)</t>
  </si>
  <si>
    <t>Honda Vario 125 ESP CBS ISS125</t>
  </si>
  <si>
    <t>BH 2014 G</t>
  </si>
  <si>
    <t>MH1JFV116HK679385</t>
  </si>
  <si>
    <t>JFV1E-1685892</t>
  </si>
  <si>
    <t>M-04257225</t>
  </si>
  <si>
    <t>Kurniati,SE (Analis Sumber Daya Manusia Aparatur Ahli Muda)</t>
  </si>
  <si>
    <t>Yamaha N Max non ABS</t>
  </si>
  <si>
    <t>BH  2069 G</t>
  </si>
  <si>
    <t xml:space="preserve">MH 3SG3190JJ116788 </t>
  </si>
  <si>
    <t>G3E4E-0828306</t>
  </si>
  <si>
    <t>M-11816494</t>
  </si>
  <si>
    <t>Indah Resiana.SIP (fungsional umum)</t>
  </si>
  <si>
    <t xml:space="preserve">Yamaha Fino Grande 125 </t>
  </si>
  <si>
    <t>BH 2177 G</t>
  </si>
  <si>
    <t>MH3SE88F0KJ059300</t>
  </si>
  <si>
    <t>E3W6E-0242061</t>
  </si>
  <si>
    <t>P-06395351</t>
  </si>
  <si>
    <t>Rengga Fredaswara.SE (fungsional umum)</t>
  </si>
  <si>
    <t>: SEKRETARIAT DAERAH</t>
  </si>
  <si>
    <t>Suzuki Grand Vitara JLX 2WD MT</t>
  </si>
  <si>
    <t>BH 1251 G</t>
  </si>
  <si>
    <t>MHYJTE54V8J-107136</t>
  </si>
  <si>
    <t>J20AID-211858</t>
  </si>
  <si>
    <t>F-3743811</t>
  </si>
  <si>
    <t>Operasional Perencanaan &amp; Keuangan/Rumdis Wabup</t>
  </si>
  <si>
    <t>BH 1080 GZ</t>
  </si>
  <si>
    <t>MHYJTE54V8J-107166</t>
  </si>
  <si>
    <t>J20AID-212263</t>
  </si>
  <si>
    <t>F-3743810</t>
  </si>
  <si>
    <t>Pinjam Pakai DANDIM</t>
  </si>
  <si>
    <t>Ford Escape 2.3 L A.T XLS</t>
  </si>
  <si>
    <t>BH 106 GZ</t>
  </si>
  <si>
    <t>PE2EV2/181JG00103</t>
  </si>
  <si>
    <t>L310387243</t>
  </si>
  <si>
    <t>F-8679513</t>
  </si>
  <si>
    <t>Gudang RUMDIS</t>
  </si>
  <si>
    <t>Toyota Fortuner 2,7 V A/T</t>
  </si>
  <si>
    <t>FORTUNER 2.7 V A/T</t>
  </si>
  <si>
    <t>BH 1154 G exs BH 1 GZ</t>
  </si>
  <si>
    <t>MHFYX59G7C8034703</t>
  </si>
  <si>
    <t>2TR-7336173</t>
  </si>
  <si>
    <t>I-11595941F</t>
  </si>
  <si>
    <t>Mutasi ke Nakertrans</t>
  </si>
  <si>
    <t>PAJERO Sport 2,5 D GLX (4 X 4) M/T</t>
  </si>
  <si>
    <t>Mitsubishi Pajero sport 2.5d</t>
  </si>
  <si>
    <t>BH 1259 G exs BH 4 GZ</t>
  </si>
  <si>
    <t>MMBGNKH40DF008378</t>
  </si>
  <si>
    <t>4D56UCEE1795</t>
  </si>
  <si>
    <t>K-03203083F</t>
  </si>
  <si>
    <t>Pinjam Pakai Kejaksaan</t>
  </si>
  <si>
    <t>Pajero Sport 4X4 GLX MT</t>
  </si>
  <si>
    <t>Mitsubishi Pajero</t>
  </si>
  <si>
    <t>BH 1355 G</t>
  </si>
  <si>
    <t>MMBGNKH4OEF016203</t>
  </si>
  <si>
    <t>4D56VCFG9473</t>
  </si>
  <si>
    <t>K-06101146</t>
  </si>
  <si>
    <t>Sekretaris Daerah</t>
  </si>
  <si>
    <t>Ex.BH 6 G</t>
  </si>
  <si>
    <t>Toyota New Fortuner  VRZ 4x4 AT Diesel</t>
  </si>
  <si>
    <t xml:space="preserve">FORTUNER  </t>
  </si>
  <si>
    <t>BH 1574 G</t>
  </si>
  <si>
    <t>MHFHB3FS6H0035312</t>
  </si>
  <si>
    <t>2GDC268545</t>
  </si>
  <si>
    <t>U-05256444F</t>
  </si>
  <si>
    <t>Wakil Bupati</t>
  </si>
  <si>
    <t>Ex.BH 2 G</t>
  </si>
  <si>
    <t>Laku lelang</t>
  </si>
  <si>
    <t>Mitsubushi Pajero Sport DAKKAR (4x4) A/T</t>
  </si>
  <si>
    <t>BH 1573 G</t>
  </si>
  <si>
    <t>MMBGUKS10GH039959</t>
  </si>
  <si>
    <t>4N15UBC7548</t>
  </si>
  <si>
    <t>Bupati</t>
  </si>
  <si>
    <t>Ex.BH 1 G</t>
  </si>
  <si>
    <t>Mitsubishi Pajero Sport 2,5 L GLX (4x4) M/T</t>
  </si>
  <si>
    <t>BH 1011 G</t>
  </si>
  <si>
    <t>MMBGNKS30GH042177</t>
  </si>
  <si>
    <t>4D56UAH9872</t>
  </si>
  <si>
    <t>M-04237943</t>
  </si>
  <si>
    <t>PAJERO</t>
  </si>
  <si>
    <t>BH 1572 G</t>
  </si>
  <si>
    <t>MK2KSWMDNHJ000228</t>
  </si>
  <si>
    <t>4D56UAK6821</t>
  </si>
  <si>
    <t>U-05227332F</t>
  </si>
  <si>
    <t>Ex.BH 4 G</t>
  </si>
  <si>
    <t>BH  1008 G</t>
  </si>
  <si>
    <t>4D56UAH8966</t>
  </si>
  <si>
    <t>L-11560964</t>
  </si>
  <si>
    <t>Mutasi ke Satpol PP</t>
  </si>
  <si>
    <t xml:space="preserve">MITSUBISHI PAJERO SPORT 2.5 L GLX-H </t>
  </si>
  <si>
    <t>BH 1034 G</t>
  </si>
  <si>
    <t>MK2KSWMDNJJ0011029</t>
  </si>
  <si>
    <t>Pinjam Pakai Pengadilan Negeri</t>
  </si>
  <si>
    <t>Tidak ada di KIB SETDA</t>
  </si>
  <si>
    <t xml:space="preserve"> Mobil Toyota New Fortuner</t>
  </si>
  <si>
    <t>Toyota New Fortuner 2.4 G 4x2 A/T</t>
  </si>
  <si>
    <t>BH 6 G</t>
  </si>
  <si>
    <t>MHFJB8GS0P1590472</t>
  </si>
  <si>
    <t>2GDD117798</t>
  </si>
  <si>
    <t>T-01499285F</t>
  </si>
  <si>
    <t>SEKRETARIAT DAERAH</t>
  </si>
  <si>
    <t>Sekda</t>
  </si>
  <si>
    <t>BH 550 GZ</t>
  </si>
  <si>
    <t>MHF11KF83Y0013117</t>
  </si>
  <si>
    <t>7K-0342204</t>
  </si>
  <si>
    <t>A-9483601</t>
  </si>
  <si>
    <t>Pool</t>
  </si>
  <si>
    <t>ISUZU PHANTER</t>
  </si>
  <si>
    <t>BH 1206 G EX BH 77 GZ</t>
  </si>
  <si>
    <t>MHCTBR54F2K242064</t>
  </si>
  <si>
    <t>E242064</t>
  </si>
  <si>
    <t>C-4170639</t>
  </si>
  <si>
    <t>Pinjam Pakai Samsat</t>
  </si>
  <si>
    <t>Mitsubishi L300</t>
  </si>
  <si>
    <t>BH 193 GZ</t>
  </si>
  <si>
    <t>MHML300DB3R230553</t>
  </si>
  <si>
    <t>4D56C-321846</t>
  </si>
  <si>
    <t>C-5297122</t>
  </si>
  <si>
    <t>Pinjam Pakai BAZNAS</t>
  </si>
  <si>
    <t>BH 1711 GZ</t>
  </si>
  <si>
    <t>MHF11KF8030078880</t>
  </si>
  <si>
    <t>7K-0587501</t>
  </si>
  <si>
    <t>C-5139033</t>
  </si>
  <si>
    <t xml:space="preserve">Toyota LX Standar </t>
  </si>
  <si>
    <t>BH 1064 GZ</t>
  </si>
  <si>
    <t>MHFKF80330079721</t>
  </si>
  <si>
    <t>Toyota Kijang LX</t>
  </si>
  <si>
    <t>BH 1287 G EX BH 1722 GZ</t>
  </si>
  <si>
    <t>MHF11KF8040090602</t>
  </si>
  <si>
    <t>7K-0711148</t>
  </si>
  <si>
    <t>D-0972418</t>
  </si>
  <si>
    <t>Bagian Umum</t>
  </si>
  <si>
    <t>Sari</t>
  </si>
  <si>
    <t>Toyota Kijang LGX</t>
  </si>
  <si>
    <t>BH 1289 G</t>
  </si>
  <si>
    <t>MHF11KF8340110110</t>
  </si>
  <si>
    <t>7K-0698848</t>
  </si>
  <si>
    <t>D-0123610</t>
  </si>
  <si>
    <t>Gudang Umum</t>
  </si>
  <si>
    <t>Toyota Kijang Innova G</t>
  </si>
  <si>
    <t>BH  1263 G EXS BH 330 GZ</t>
  </si>
  <si>
    <t>MHFXW42G742008965</t>
  </si>
  <si>
    <t>1TR-6019055</t>
  </si>
  <si>
    <t>D-3519790F</t>
  </si>
  <si>
    <t>Ex.BH 330 GZ</t>
  </si>
  <si>
    <t>Isuzu  Panther TBR.541.LS25MT</t>
  </si>
  <si>
    <t>BH 1368 G EX BH 510 GZ</t>
  </si>
  <si>
    <t>MHCTBR54F5K274941</t>
  </si>
  <si>
    <t>E274941</t>
  </si>
  <si>
    <t>E-0497904</t>
  </si>
  <si>
    <t>Operasional Protokol, TU RT</t>
  </si>
  <si>
    <t>Ex.BH 510 GZ</t>
  </si>
  <si>
    <t>Jun Radawi</t>
  </si>
  <si>
    <t>Mini bus</t>
  </si>
  <si>
    <t>Toyota All New Avanza 1,3 M/T</t>
  </si>
  <si>
    <t>BH 1240 G  exs BH 220 GZ</t>
  </si>
  <si>
    <t>MHKM1BA3JEJ089423</t>
  </si>
  <si>
    <t>ME57252</t>
  </si>
  <si>
    <t>K-06095206</t>
  </si>
  <si>
    <t>Pinjam Pakai BPS</t>
  </si>
  <si>
    <t>Toyota Kijang Innova type V</t>
  </si>
  <si>
    <t>MHFXW43G274037300</t>
  </si>
  <si>
    <t>1TR-6489250</t>
  </si>
  <si>
    <t>F-4985450</t>
  </si>
  <si>
    <t>Pinjam Pakai PDAM</t>
  </si>
  <si>
    <t>Ex.BH 1247 GZ</t>
  </si>
  <si>
    <t>BH 1159 G</t>
  </si>
  <si>
    <t>MHFXW43G374037290</t>
  </si>
  <si>
    <t>1TR-6488836</t>
  </si>
  <si>
    <t>F-4985451</t>
  </si>
  <si>
    <t>Operasional Perencanaan &amp; Keuangan</t>
  </si>
  <si>
    <t>Mutasi ke Diskoperindag</t>
  </si>
  <si>
    <t>Suzuki GC415V APV DLX</t>
  </si>
  <si>
    <t>BH 1291 G</t>
  </si>
  <si>
    <t>MHYGDN42V7J301061</t>
  </si>
  <si>
    <t>G15AID-163148</t>
  </si>
  <si>
    <t>F-0293142</t>
  </si>
  <si>
    <t>Operasional Sekretariat PKK</t>
  </si>
  <si>
    <t>Micro Bus</t>
  </si>
  <si>
    <t>Hino FB 2 WGLZ-EN (FB130)</t>
  </si>
  <si>
    <t>BH 7507 G</t>
  </si>
  <si>
    <t>MJEFB2WGL7JE-11187</t>
  </si>
  <si>
    <t>W04DTNJ-12280</t>
  </si>
  <si>
    <t>F-1993399</t>
  </si>
  <si>
    <t>Hibah ke KONI</t>
  </si>
  <si>
    <t>Toyota Kijang Innova</t>
  </si>
  <si>
    <t>BH 1224 G</t>
  </si>
  <si>
    <t>MHFXW42G692138579</t>
  </si>
  <si>
    <t>1TR-6749300</t>
  </si>
  <si>
    <t>F-8112127</t>
  </si>
  <si>
    <t>Kepala Bagian KESRA</t>
  </si>
  <si>
    <t>Kijang Innova G</t>
  </si>
  <si>
    <t>TOYOTA INOVA G</t>
  </si>
  <si>
    <t>BH 1102 G exs BH 64 GZ</t>
  </si>
  <si>
    <t>MHFXW42G1A2160848</t>
  </si>
  <si>
    <t>1TR-6925265</t>
  </si>
  <si>
    <t>H-01976586F</t>
  </si>
  <si>
    <t>Mutasi ke DPAD</t>
  </si>
  <si>
    <t>BH 1107 G exs BH63 GZ</t>
  </si>
  <si>
    <t>MHFXW42G9A2161259</t>
  </si>
  <si>
    <t>1TR-6928421</t>
  </si>
  <si>
    <t>H-01976585F</t>
  </si>
  <si>
    <t>Pinjam Pakai MUI</t>
  </si>
  <si>
    <t>BH 1161 GZ</t>
  </si>
  <si>
    <t>MHFXW42G4C2233519</t>
  </si>
  <si>
    <t>Toyota Rush 1,5 S F700RE-GMMFJ</t>
  </si>
  <si>
    <t>TOYOTA RUSH 1,5 S</t>
  </si>
  <si>
    <t>BH 1164 G exs BH 58 GZ</t>
  </si>
  <si>
    <t>MHFE2CJ3JCK047695</t>
  </si>
  <si>
    <t>DCR9470</t>
  </si>
  <si>
    <t>I-10604323F</t>
  </si>
  <si>
    <t>Hudori</t>
  </si>
  <si>
    <t>BH 1191 G exs BH 54 GZ</t>
  </si>
  <si>
    <t>MHFE2CJ3JCK047514</t>
  </si>
  <si>
    <t>DCR7267</t>
  </si>
  <si>
    <t>I-10604320F</t>
  </si>
  <si>
    <t>Kepala Bagian PBJ</t>
  </si>
  <si>
    <t>Kabag PBJ</t>
  </si>
  <si>
    <t>BH 1163 G exs BH 57 GZ</t>
  </si>
  <si>
    <t>MHFE2CJ3JCK047613</t>
  </si>
  <si>
    <t>DCR9073</t>
  </si>
  <si>
    <t>I-10604322F</t>
  </si>
  <si>
    <t>Kepala Bagian Organisasi</t>
  </si>
  <si>
    <t>Kabag Organisasi</t>
  </si>
  <si>
    <t xml:space="preserve"> BH 59 GZ exs BH1143 GZ</t>
  </si>
  <si>
    <t>MHFE2CJ3JCK047900</t>
  </si>
  <si>
    <t>DCS0986</t>
  </si>
  <si>
    <t>I-10606043F</t>
  </si>
  <si>
    <t>Pinjam Pakai Polres</t>
  </si>
  <si>
    <t>BH 1223 G</t>
  </si>
  <si>
    <t>MHFE2CJ3JCK045551</t>
  </si>
  <si>
    <t>Kepala Bagian Tata Pemerintahan</t>
  </si>
  <si>
    <t>Mutasi ke PMI</t>
  </si>
  <si>
    <t>BH 1121 G exs BH 51 GZ</t>
  </si>
  <si>
    <t>MHFE2CJ3JCK047030</t>
  </si>
  <si>
    <t>DCR3842</t>
  </si>
  <si>
    <t>I-10604318F</t>
  </si>
  <si>
    <t>BH 1193 G exs BH 60 GZ</t>
  </si>
  <si>
    <t>MHFE2CJ3JCK047638</t>
  </si>
  <si>
    <t>DCR9209</t>
  </si>
  <si>
    <t>I-10604324F</t>
  </si>
  <si>
    <t>Pinjam Pakai KOREM</t>
  </si>
  <si>
    <t>BH 1162 G exs BH 56 GZ</t>
  </si>
  <si>
    <t>MHFE2CJ3JCK047573</t>
  </si>
  <si>
    <t>DCR8535</t>
  </si>
  <si>
    <t>I-10604321F</t>
  </si>
  <si>
    <t>ISUZU/ELF NOR 71 15 PS</t>
  </si>
  <si>
    <t>ISUZU NQR 71 EC E2-1</t>
  </si>
  <si>
    <t>BH 7506 G exs BH 7017 GZ</t>
  </si>
  <si>
    <t>MHCN1R71LDJ-044063</t>
  </si>
  <si>
    <t>B044063</t>
  </si>
  <si>
    <t>K-02945613F</t>
  </si>
  <si>
    <t>BH 7505 G exs BH 7018 GZ</t>
  </si>
  <si>
    <t>MHCN1R71LDJ-044064</t>
  </si>
  <si>
    <t>B044064</t>
  </si>
  <si>
    <t>K-02945614F</t>
  </si>
  <si>
    <t>Operasional Bagian Umum &amp; Perlengkapan</t>
  </si>
  <si>
    <t>Mutasi Ke KONI</t>
  </si>
  <si>
    <t>TOYOTA Kijang Inova G M/T  (bensin)</t>
  </si>
  <si>
    <t>TOYOTA KIJANG INOVA G</t>
  </si>
  <si>
    <t>BH 1245 G exs BH 9 GZ</t>
  </si>
  <si>
    <t>MHFXW42G8D2255945</t>
  </si>
  <si>
    <t>1TR-7534693</t>
  </si>
  <si>
    <t>K-00103244F</t>
  </si>
  <si>
    <t>Toyota Kijang INOVA V A/T Lux</t>
  </si>
  <si>
    <t>TOYOTA KIJANG INOVA V AT</t>
  </si>
  <si>
    <t>BH 1192 G exs BH1193 GZ</t>
  </si>
  <si>
    <t>MHFXW43G2D4081458</t>
  </si>
  <si>
    <t>1TR-7648300</t>
  </si>
  <si>
    <t>K-03202508F</t>
  </si>
  <si>
    <t>Pinjam Pakai BAWASLU</t>
  </si>
  <si>
    <t>Inova Luxury</t>
  </si>
  <si>
    <t>TOYOTA KIJANG INOVA V</t>
  </si>
  <si>
    <t>BH 1369 G exs BH 33 GZ</t>
  </si>
  <si>
    <t>MHFXW43G3D076747</t>
  </si>
  <si>
    <t>1TR-7520085</t>
  </si>
  <si>
    <t>K-02785739F</t>
  </si>
  <si>
    <t>Staf Ahli Bidang Pemerintahan Hukum &amp; Politik</t>
  </si>
  <si>
    <t>Ex.BH 33 GZ</t>
  </si>
  <si>
    <t>Kabag Kerjasama</t>
  </si>
  <si>
    <t>BH 1250 G</t>
  </si>
  <si>
    <t>MHKM1CA4JEK079285</t>
  </si>
  <si>
    <t>Pinjam Pakai DAI</t>
  </si>
  <si>
    <t>Toyota Kijang Innova V A/T Luxury Gasoline</t>
  </si>
  <si>
    <t>BH 1256 G ex BH 60 GZ</t>
  </si>
  <si>
    <t>MHFXW43G8E4088393</t>
  </si>
  <si>
    <t>1TR-7846456</t>
  </si>
  <si>
    <t>K-06095145F</t>
  </si>
  <si>
    <t>Mutasi dari BPKAD</t>
  </si>
  <si>
    <t>Chevrolet Spin 1,5 L LT/MT</t>
  </si>
  <si>
    <t>CHEVROLET SPIN 1.3 LT M/T</t>
  </si>
  <si>
    <t>BH 16 GZ</t>
  </si>
  <si>
    <t>MJBJF7590EJ013431</t>
  </si>
  <si>
    <t>Y13DTC5050537</t>
  </si>
  <si>
    <t>K-06091996F</t>
  </si>
  <si>
    <t>Pinjam Pakai Sekretariat KPUD</t>
  </si>
  <si>
    <t>BH 1292 G exs BH 24 GZ</t>
  </si>
  <si>
    <t>MJBJF7590EJ014712</t>
  </si>
  <si>
    <t>Y13DTC5057272</t>
  </si>
  <si>
    <t>K-06091998F</t>
  </si>
  <si>
    <t>BH 1252 G exs BH 23 GZ</t>
  </si>
  <si>
    <t>MJBJF7590EJ003084</t>
  </si>
  <si>
    <t>Y13DTC4958227</t>
  </si>
  <si>
    <t>K-06091997F</t>
  </si>
  <si>
    <t>TOYOA NEW AVANZA 1.3G</t>
  </si>
  <si>
    <t>BH 1260 G exs  BH 470 GZ</t>
  </si>
  <si>
    <t>MHKM1BA3JEJ087902</t>
  </si>
  <si>
    <t>ME52879</t>
  </si>
  <si>
    <t>K-06095207F</t>
  </si>
  <si>
    <t>Pinjam Pakai Kantor Pertanahan</t>
  </si>
  <si>
    <t>TOYOTA NEW.AVANZA 1.3G</t>
  </si>
  <si>
    <t>BH 1217 GZ</t>
  </si>
  <si>
    <t>MHKM1BA3JEJ089113</t>
  </si>
  <si>
    <t>ME56529</t>
  </si>
  <si>
    <t>K-06095144F</t>
  </si>
  <si>
    <t>BH 1126 G</t>
  </si>
  <si>
    <t>MHFJW8EM8G2306427</t>
  </si>
  <si>
    <t>1TR-A065432</t>
  </si>
  <si>
    <t>L-08617694</t>
  </si>
  <si>
    <t xml:space="preserve">Toyota Avanza 1.3 New Veloz M/T </t>
  </si>
  <si>
    <t>BH 1299 G EX BH 1227 GZ</t>
  </si>
  <si>
    <t>MHKM5EA4JGK009302</t>
  </si>
  <si>
    <t>1NRF081933</t>
  </si>
  <si>
    <t>L-08617692</t>
  </si>
  <si>
    <t>Pinjam Pakai Koni</t>
  </si>
  <si>
    <t>Toyota All New Innova 2.0 M/T</t>
  </si>
  <si>
    <t>BH 10 G ex BH 1337 G</t>
  </si>
  <si>
    <t>MHFGW8EM4G1002026</t>
  </si>
  <si>
    <t>1TR A038744</t>
  </si>
  <si>
    <t>L-08618447</t>
  </si>
  <si>
    <t>Operasional Umum</t>
  </si>
  <si>
    <t>Indra Gunawan/Staf Ahli</t>
  </si>
  <si>
    <t>BH 11 G</t>
  </si>
  <si>
    <t>MHFGW8EM2G1002090</t>
  </si>
  <si>
    <t>1TR-A040131</t>
  </si>
  <si>
    <t>L-08618446</t>
  </si>
  <si>
    <t>Asisten Perekonomian &amp; Pembangunan</t>
  </si>
  <si>
    <t>BH 12 G</t>
  </si>
  <si>
    <t>MHFGW8EM5G1002150</t>
  </si>
  <si>
    <t>1TR-A042197</t>
  </si>
  <si>
    <t>L-08618445</t>
  </si>
  <si>
    <t>Asisten Administrasi Umum</t>
  </si>
  <si>
    <t>Daihatsu Luxio .5 M/T</t>
  </si>
  <si>
    <t>BH 1239 GZ</t>
  </si>
  <si>
    <t>MHKW3CA3JGK015515</t>
  </si>
  <si>
    <t>Pinjam Pakai Pengadilan Agama</t>
  </si>
  <si>
    <t>BH 1132 G</t>
  </si>
  <si>
    <t xml:space="preserve">  MHFJW8EM8G2306513</t>
  </si>
  <si>
    <t>1TRA066454</t>
  </si>
  <si>
    <t>Kepala Bagian Perencanaan &amp; Keuangan</t>
  </si>
  <si>
    <t>Maskun Sepuan</t>
  </si>
  <si>
    <t xml:space="preserve">Toyota Avanza New 1.3 EM/T </t>
  </si>
  <si>
    <t>BH 1003 G</t>
  </si>
  <si>
    <t xml:space="preserve">MHKM5EA2HK022911   </t>
  </si>
  <si>
    <t>1NRF251118</t>
  </si>
  <si>
    <t>L-10935586</t>
  </si>
  <si>
    <t>Proses Pinjam Pakai LAM</t>
  </si>
  <si>
    <t xml:space="preserve">TOYOTA Grand New Avanza </t>
  </si>
  <si>
    <t>BH 1019 G</t>
  </si>
  <si>
    <t>MHKM5FA4JJK041036</t>
  </si>
  <si>
    <t>2NRF677143</t>
  </si>
  <si>
    <t>M-11826672</t>
  </si>
  <si>
    <t>Pinjam Pakai Kejari Muaro Jambi</t>
  </si>
  <si>
    <t>TOYOTA Grand New Avanza Veloz 1.5 M/T</t>
  </si>
  <si>
    <t>BH 1020 G</t>
  </si>
  <si>
    <t xml:space="preserve"> MHKM5FA4JJK037291</t>
  </si>
  <si>
    <t>2NRF637482</t>
  </si>
  <si>
    <t>M-11826673</t>
  </si>
  <si>
    <t>TOYOTA, All New Fortuner VRZ 2.4</t>
  </si>
  <si>
    <t>B 1058 PQ</t>
  </si>
  <si>
    <t>MHFHB3FS5J0035677</t>
  </si>
  <si>
    <t>2GDC375236</t>
  </si>
  <si>
    <t>Q-00942051</t>
  </si>
  <si>
    <t>Operasional Bupati Muaro Jambi</t>
  </si>
  <si>
    <t>Toyota HIACE PREMIO</t>
  </si>
  <si>
    <t>TOYOTA HIACE 2.8 M/T</t>
  </si>
  <si>
    <t xml:space="preserve">BH 7004 G </t>
  </si>
  <si>
    <t>JTFHB9CP1K6007007</t>
  </si>
  <si>
    <t>1GD-8473700</t>
  </si>
  <si>
    <t>P-06419044F</t>
  </si>
  <si>
    <t>Rumdis Sekda</t>
  </si>
  <si>
    <t>Toyota Innova Venturer  A/T</t>
  </si>
  <si>
    <t>BH 1047 G</t>
  </si>
  <si>
    <t>MHFAB3EM8K0012772</t>
  </si>
  <si>
    <t>2GDC560639</t>
  </si>
  <si>
    <t>P-03227362</t>
  </si>
  <si>
    <t>Kepala Bagian Umum</t>
  </si>
  <si>
    <t>WULING CORTEZ 1.5 L T  LUX CTV 2019</t>
  </si>
  <si>
    <t>WULING CORTEZ 1.5L T LUX CVT</t>
  </si>
  <si>
    <t>BH 1070 G</t>
  </si>
  <si>
    <t>MK3AAAGA6KJ005349</t>
  </si>
  <si>
    <t>LJO*18K51620730*</t>
  </si>
  <si>
    <t>P-06410877F</t>
  </si>
  <si>
    <t>Kepala Bagian Perekonomian</t>
  </si>
  <si>
    <t>Kabag Perekonomian</t>
  </si>
  <si>
    <t>BH 1067 G</t>
  </si>
  <si>
    <t>MK3AAAGA2KJ005350</t>
  </si>
  <si>
    <t>LJO*18K5162073*</t>
  </si>
  <si>
    <t>P-06410874F</t>
  </si>
  <si>
    <t>BH 1068 G</t>
  </si>
  <si>
    <t>MK3AAAGA3KJ005356</t>
  </si>
  <si>
    <t>LJO*18K51620658*</t>
  </si>
  <si>
    <t>P-06410875F</t>
  </si>
  <si>
    <t>Kepala Bagian Hukum</t>
  </si>
  <si>
    <t>WULING CORTEZ 1.8 LUX MT 2019</t>
  </si>
  <si>
    <t xml:space="preserve">WULING CORTEZ 1.8L  LUX </t>
  </si>
  <si>
    <t>BH 1076 G</t>
  </si>
  <si>
    <t>MK3AAAGB7KJ009130</t>
  </si>
  <si>
    <t>LJ479QNE2*J09321038*</t>
  </si>
  <si>
    <t>P-06411104F</t>
  </si>
  <si>
    <t>Pinjam Pakai KPU</t>
  </si>
  <si>
    <t>BH 1085 G</t>
  </si>
  <si>
    <t>MK3AAAGB9KJ009131</t>
  </si>
  <si>
    <t>LJ479QNE2*J08320983*</t>
  </si>
  <si>
    <t>P-06411113</t>
  </si>
  <si>
    <t xml:space="preserve">BH 1072 G  </t>
  </si>
  <si>
    <t>MK3AAAGB0KJ009132</t>
  </si>
  <si>
    <t>LJ479QNE2*J09321001*</t>
  </si>
  <si>
    <t>P-06411100F</t>
  </si>
  <si>
    <t>BH 1073 G</t>
  </si>
  <si>
    <t>MK3AAAGB3KJ009139</t>
  </si>
  <si>
    <t>LJ479QNE2*J08320953*</t>
  </si>
  <si>
    <t>P-06411101F</t>
  </si>
  <si>
    <t xml:space="preserve">TOYOTA INNOVA 2.0 G M/T </t>
  </si>
  <si>
    <t>BH 9 G</t>
  </si>
  <si>
    <t>MHFJW8EM7K2370709</t>
  </si>
  <si>
    <t>1TRA625852</t>
  </si>
  <si>
    <t>P-06386779</t>
  </si>
  <si>
    <t>BH 1065 G</t>
  </si>
  <si>
    <t>MHFJW8EM1K2372732</t>
  </si>
  <si>
    <t>1TRA644375</t>
  </si>
  <si>
    <t>P-06386630</t>
  </si>
  <si>
    <t>TOYOTA RUSH 1.5 SA/T TRD</t>
  </si>
  <si>
    <t>TOYOTA RUSH 1.5 S A/T</t>
  </si>
  <si>
    <t>BH 1303 G</t>
  </si>
  <si>
    <t>MHKE8FB3JLJ006355</t>
  </si>
  <si>
    <t>2NRF975856</t>
  </si>
  <si>
    <t>P-06451163F</t>
  </si>
  <si>
    <t>Kepala Bagian Pembangunan &amp; SDA</t>
  </si>
  <si>
    <t>Kabag Pem</t>
  </si>
  <si>
    <t>Toyota INNOVA VENTURER</t>
  </si>
  <si>
    <t>BH 1092 G</t>
  </si>
  <si>
    <t>MHFAB3EM7L0016457</t>
  </si>
  <si>
    <t>P06421785F</t>
  </si>
  <si>
    <t>Kabag Protokol</t>
  </si>
  <si>
    <t>Toyota All New Inova Adventure</t>
  </si>
  <si>
    <t>TOYOTA INOVA VENTURE 2.0 A/T</t>
  </si>
  <si>
    <t>BH 1090 G</t>
  </si>
  <si>
    <t>MHFAW8EMXK0214255</t>
  </si>
  <si>
    <t>1TR-A694688</t>
  </si>
  <si>
    <t>P-06421486F</t>
  </si>
  <si>
    <t>Staff Ahli</t>
  </si>
  <si>
    <t>Yultasmi</t>
  </si>
  <si>
    <t xml:space="preserve">Toyota Innova Zenix 2.0Q HV CVT TSS </t>
  </si>
  <si>
    <t>Toyota Innova Zenix</t>
  </si>
  <si>
    <t>BH 1337 G</t>
  </si>
  <si>
    <t>MHFABBAA9S0450187</t>
  </si>
  <si>
    <t>M2OANE07721</t>
  </si>
  <si>
    <t>AA-00085555</t>
  </si>
  <si>
    <t>Toyota/GUN Fortuner 166R-SDTHXD BH 2 G</t>
  </si>
  <si>
    <t xml:space="preserve">Fortuner 2.8 VRZ With GR PARTS AERO </t>
  </si>
  <si>
    <t>BH 2 G</t>
  </si>
  <si>
    <t>MHFAA8GS9S0923883</t>
  </si>
  <si>
    <t>1GD5719189</t>
  </si>
  <si>
    <t>V-01715324</t>
  </si>
  <si>
    <t>KIJANG STANDARD KF 60</t>
  </si>
  <si>
    <t>BH 8151 G EX BH 514 GZ</t>
  </si>
  <si>
    <t>MHF31KF6030021461</t>
  </si>
  <si>
    <t>7K-0580993</t>
  </si>
  <si>
    <t>C-5139002</t>
  </si>
  <si>
    <t>Ex.BH 514 GZ</t>
  </si>
  <si>
    <t xml:space="preserve">Mitsubishi L200 Strada Triton </t>
  </si>
  <si>
    <t>BH 8137 G</t>
  </si>
  <si>
    <t>MMBJNKB408D009682</t>
  </si>
  <si>
    <t>4D56UCAU4687</t>
  </si>
  <si>
    <t>E-9005761</t>
  </si>
  <si>
    <t>M. Iqbal/Kabag Pem</t>
  </si>
  <si>
    <t>Isuzu TFS85 HS D-MAX SC 4x4 M/T</t>
  </si>
  <si>
    <t>ISUZU /MBL BARANG</t>
  </si>
  <si>
    <t>BH 8127 G exs BH9338 GZ</t>
  </si>
  <si>
    <t>MPATFS85HCT104200</t>
  </si>
  <si>
    <t>JS9349</t>
  </si>
  <si>
    <t>I-11593281F</t>
  </si>
  <si>
    <t>Chevrolet Colorado LTZ Crew CAB/2013</t>
  </si>
  <si>
    <t>CHEVROLET COLORADO L TZ</t>
  </si>
  <si>
    <t>BH 8136 G exs BH 490 GZ</t>
  </si>
  <si>
    <t>MMM148MG0DH810950</t>
  </si>
  <si>
    <t>A9DG132191338</t>
  </si>
  <si>
    <t>K-06088553F</t>
  </si>
  <si>
    <t>ISUZU ELF NKR 71 HD 125 PS</t>
  </si>
  <si>
    <t>ISUZU NKR 71 HHD E2-2</t>
  </si>
  <si>
    <t>BH 8138 G exs BH 8017 GZ</t>
  </si>
  <si>
    <t>MHCWK71LYDJ044574</t>
  </si>
  <si>
    <t>B044574</t>
  </si>
  <si>
    <t>K-02944811F</t>
  </si>
  <si>
    <t>Toyota New Hilux Pick Up STD M/T Diesel</t>
  </si>
  <si>
    <t>BH 8121 G</t>
  </si>
  <si>
    <t>MROAS12G8E00 14803</t>
  </si>
  <si>
    <t>2KD-S385498</t>
  </si>
  <si>
    <t>K-06095687</t>
  </si>
  <si>
    <t>Toyota New Hilux D-CAB 2,5 G M/T Diesel</t>
  </si>
  <si>
    <t>BH 8128 G exs BH 9355 GZ</t>
  </si>
  <si>
    <t>MROFR22G5E0775294</t>
  </si>
  <si>
    <t>2KD-A430540</t>
  </si>
  <si>
    <t>K-06095500F</t>
  </si>
  <si>
    <t>Toyota Hilux 4X4 M/T</t>
  </si>
  <si>
    <t>BH 8005 G</t>
  </si>
  <si>
    <t>MR0KB8CD8J1207894</t>
  </si>
  <si>
    <t>2GD0595425</t>
  </si>
  <si>
    <t>P-03226214</t>
  </si>
  <si>
    <t>Proses Pinjam Pakai PABUNG</t>
  </si>
  <si>
    <t>Mobil HILUX DOUBLE CABIN 2,4 (4x4) Diesel M/T (EURO)4</t>
  </si>
  <si>
    <t xml:space="preserve">Mobil HILUX DOUBLE CABIN 2,4 (4x4) Diesel M/T (EURO) 4 ) </t>
  </si>
  <si>
    <t>BH 8022 G</t>
  </si>
  <si>
    <t>MR0KB8CD9P1142367</t>
  </si>
  <si>
    <t>2GD5374250</t>
  </si>
  <si>
    <t>Pinjam Pakai BIN</t>
  </si>
  <si>
    <t>Ex. BH 1047 G</t>
  </si>
  <si>
    <t>Toyota The New Voxy 2.0 CVT Tahun 2023 Warna Hitam</t>
  </si>
  <si>
    <t>Toyota The New Voxy 2.0 CVT</t>
  </si>
  <si>
    <t>BH 1363 G</t>
  </si>
  <si>
    <t>JTNAAAAA1P7004540</t>
  </si>
  <si>
    <t>M20AV590372</t>
  </si>
  <si>
    <t>T-01502096F</t>
  </si>
  <si>
    <t>Operasional Bupati</t>
  </si>
  <si>
    <t>HILUX DOUBLE CABIN 2.4 G (4X4) DIESEL M/T (EURO 4)</t>
  </si>
  <si>
    <t>TOYOTA</t>
  </si>
  <si>
    <t>BH 8029 G</t>
  </si>
  <si>
    <t>MR0KB8CD7P1219947</t>
  </si>
  <si>
    <t>2GDD288816</t>
  </si>
  <si>
    <t>U-02072889F</t>
  </si>
  <si>
    <t>Polres</t>
  </si>
  <si>
    <t>BH 8030 G</t>
  </si>
  <si>
    <t>MR0KB8CD5P1220790</t>
  </si>
  <si>
    <t>2GD1510252</t>
  </si>
  <si>
    <t>U-02072890F</t>
  </si>
  <si>
    <t xml:space="preserve">HILUX DOUBLE CABIN 2.4 G (4X4) DIESEL M/T (EURO 4) </t>
  </si>
  <si>
    <t>TOYOTA Hilux</t>
  </si>
  <si>
    <t>BH  8031 G</t>
  </si>
  <si>
    <t xml:space="preserve">MR0KB8CD7P1149337   </t>
  </si>
  <si>
    <t>2GDD348675</t>
  </si>
  <si>
    <t>U-02072891</t>
  </si>
  <si>
    <t>BH 8032 G</t>
  </si>
  <si>
    <t>MR0BB3CD2R5813201</t>
  </si>
  <si>
    <t>2GD1540586</t>
  </si>
  <si>
    <t>U-02073646</t>
  </si>
  <si>
    <t xml:space="preserve">Hilux Double Cabin 2.4 V (4x4) DSL A/T </t>
  </si>
  <si>
    <t>BH 8049 G</t>
  </si>
  <si>
    <t>MR0BB3CDXS5817390</t>
  </si>
  <si>
    <t>2GDD541899</t>
  </si>
  <si>
    <t>W-07720340</t>
  </si>
  <si>
    <t>Patwal</t>
  </si>
  <si>
    <t>BH 5064 GZ</t>
  </si>
  <si>
    <t>MHIKEV8152K233345</t>
  </si>
  <si>
    <t>KEV8E-1227772</t>
  </si>
  <si>
    <t>C-2188814</t>
  </si>
  <si>
    <t>BH 5159 GZ</t>
  </si>
  <si>
    <t>MH1HABC123K015067</t>
  </si>
  <si>
    <t>HABCE-1014709</t>
  </si>
  <si>
    <t>C-4693128</t>
  </si>
  <si>
    <t>Ke BPKAD (di gudang Setda)</t>
  </si>
  <si>
    <t>Yamaha Jupiter</t>
  </si>
  <si>
    <t>BH 5702 GZ</t>
  </si>
  <si>
    <t>MH35LM0033K189889</t>
  </si>
  <si>
    <t>KoMisi Pemilihan Umum tidak ada di skpp bh 5702 gz</t>
  </si>
  <si>
    <t>BH 5313 GZ</t>
  </si>
  <si>
    <t>MH1KEVA295K159368</t>
  </si>
  <si>
    <t>KEVAE-2158070</t>
  </si>
  <si>
    <t>D-5514959</t>
  </si>
  <si>
    <t>BH 2744 G</t>
  </si>
  <si>
    <t>MH1JB51176K716131</t>
  </si>
  <si>
    <t>JB51E-1721706</t>
  </si>
  <si>
    <t>E-9225626</t>
  </si>
  <si>
    <t>Operasional Organisasi</t>
  </si>
  <si>
    <t>Ex.BH 5659 GZ</t>
  </si>
  <si>
    <t>Baim</t>
  </si>
  <si>
    <t>BH 5640 GZ</t>
  </si>
  <si>
    <t>MH1JB51297K024351</t>
  </si>
  <si>
    <t>JB51E-2013246</t>
  </si>
  <si>
    <t>E-9225679</t>
  </si>
  <si>
    <t>Operasional Pembangunan &amp; SDA</t>
  </si>
  <si>
    <t xml:space="preserve">Honda Revo </t>
  </si>
  <si>
    <t>BH 2748 G</t>
  </si>
  <si>
    <t>MH1JBC21X9K054133</t>
  </si>
  <si>
    <t>JBC2E-1053901</t>
  </si>
  <si>
    <t>F-7550350</t>
  </si>
  <si>
    <t>Operasional Umum &amp; Perlengkapan</t>
  </si>
  <si>
    <t>Ex.BH 5816 GZ</t>
  </si>
  <si>
    <t>Basyir</t>
  </si>
  <si>
    <t>BH 5902 GZ</t>
  </si>
  <si>
    <t>MH1JB8114AK575769</t>
  </si>
  <si>
    <t>JB81E-1571085</t>
  </si>
  <si>
    <t>H-03730599</t>
  </si>
  <si>
    <t>BH 4106 G/ EX BH 5906 GZ</t>
  </si>
  <si>
    <t>MH1JB81101K575106</t>
  </si>
  <si>
    <t>JB81E-1570374</t>
  </si>
  <si>
    <t>H-03730557F</t>
  </si>
  <si>
    <t>Operasional Kerjasama</t>
  </si>
  <si>
    <t>Rodiansyah</t>
  </si>
  <si>
    <t>BH 2749 G</t>
  </si>
  <si>
    <t>MH1JB81161K575174</t>
  </si>
  <si>
    <t>JB81E-1570275</t>
  </si>
  <si>
    <t>H-03730480</t>
  </si>
  <si>
    <t>Ex.BH 5895 GZ</t>
  </si>
  <si>
    <t>Kiki Herman</t>
  </si>
  <si>
    <t>BH 6068 GZ</t>
  </si>
  <si>
    <t>JBF111BKO29971</t>
  </si>
  <si>
    <t>Mutasi Ke keuangan</t>
  </si>
  <si>
    <t>BH 2740 G</t>
  </si>
  <si>
    <t>MH1JBF114CK042408</t>
  </si>
  <si>
    <t>JBF1E-1041835</t>
  </si>
  <si>
    <t>I-09092195</t>
  </si>
  <si>
    <t>Ex.BH 6074 GZ</t>
  </si>
  <si>
    <t>Honda Supra X NF12A1CF M/T</t>
  </si>
  <si>
    <t>BH 6167 GZ</t>
  </si>
  <si>
    <t>MH1JBG117CK097652</t>
  </si>
  <si>
    <t>JB31E-1097006</t>
  </si>
  <si>
    <t>J-04073075</t>
  </si>
  <si>
    <t>Helmi</t>
  </si>
  <si>
    <t>BH 6165 GZ</t>
  </si>
  <si>
    <t>MH1JBG113CK097664</t>
  </si>
  <si>
    <t>JBG1E-1097045</t>
  </si>
  <si>
    <t>J-04073077</t>
  </si>
  <si>
    <t>Bagian Kerjasama</t>
  </si>
  <si>
    <t>BH 2011 G</t>
  </si>
  <si>
    <t>MH1JBG119CK097619</t>
  </si>
  <si>
    <t>JBG1E-1097040</t>
  </si>
  <si>
    <t>J-04073079</t>
  </si>
  <si>
    <t>Ex.BH 6163 GZ</t>
  </si>
  <si>
    <t>BH 4054 G</t>
  </si>
  <si>
    <t>MH1JBG119CK097376</t>
  </si>
  <si>
    <t>JBG1E-1096858</t>
  </si>
  <si>
    <t>U-05220548</t>
  </si>
  <si>
    <t>Operasional Hukum</t>
  </si>
  <si>
    <t>ex BH 6166 GZ</t>
  </si>
  <si>
    <t>Yayan</t>
  </si>
  <si>
    <t>BH 2010 G</t>
  </si>
  <si>
    <t>MH1JBF116CK042460</t>
  </si>
  <si>
    <t>JBF1E-1041894</t>
  </si>
  <si>
    <t>I-09092198</t>
  </si>
  <si>
    <t>Ex.BH 6071 GZ</t>
  </si>
  <si>
    <t>Deni</t>
  </si>
  <si>
    <t>Honda GL 15A 1RR M/T</t>
  </si>
  <si>
    <t>BH 2569 G</t>
  </si>
  <si>
    <t>MH1KC3118CK171185</t>
  </si>
  <si>
    <t>KC31E-1170483</t>
  </si>
  <si>
    <t>I-09092196</t>
  </si>
  <si>
    <t>Taufik/Ajudan Sekda</t>
  </si>
  <si>
    <t>BH 6072 GZ</t>
  </si>
  <si>
    <t>MH1KC311XCK171186</t>
  </si>
  <si>
    <t>KC31E-1170480</t>
  </si>
  <si>
    <t>I-09092197F</t>
  </si>
  <si>
    <t>BH 6077 GZ</t>
  </si>
  <si>
    <t>MH1KC3119CK171048</t>
  </si>
  <si>
    <t>KC31E-11700401</t>
  </si>
  <si>
    <t>I-09092229</t>
  </si>
  <si>
    <t>BH 2705 G</t>
  </si>
  <si>
    <t>MH1JF7111CK224884</t>
  </si>
  <si>
    <t>JF71E-1221756</t>
  </si>
  <si>
    <t>I-09092199</t>
  </si>
  <si>
    <t>Ex.BH 6070 GZ</t>
  </si>
  <si>
    <t>Raja</t>
  </si>
  <si>
    <t>BH 4053 G</t>
  </si>
  <si>
    <t>MH1JBG114CK097317</t>
  </si>
  <si>
    <t>JBG1E-1096866</t>
  </si>
  <si>
    <t>U-05220549</t>
  </si>
  <si>
    <t>Ex.BH 6164 GZ</t>
  </si>
  <si>
    <t>Tedi</t>
  </si>
  <si>
    <t>BH 6160 GZ</t>
  </si>
  <si>
    <t>MH1JFC114CK152197</t>
  </si>
  <si>
    <t>JFC1E-1151767</t>
  </si>
  <si>
    <t>J-04073082</t>
  </si>
  <si>
    <t>BH 4062 G</t>
  </si>
  <si>
    <t>MH1JB9137DK328175</t>
  </si>
  <si>
    <t>JB91E-3312781</t>
  </si>
  <si>
    <t>U-05220634</t>
  </si>
  <si>
    <t>Ex.BH 6256 GZ</t>
  </si>
  <si>
    <t>Tuti Hernawati</t>
  </si>
  <si>
    <t>BH 2706 G</t>
  </si>
  <si>
    <t>JB9132DK328178</t>
  </si>
  <si>
    <t>JB91E-3312786</t>
  </si>
  <si>
    <t>K-02039118</t>
  </si>
  <si>
    <t>Ex.BH 6259 GZ</t>
  </si>
  <si>
    <t>Abdurahman</t>
  </si>
  <si>
    <t>BH 2012 G</t>
  </si>
  <si>
    <t>JB9139DK328114</t>
  </si>
  <si>
    <t>JB91E3312922</t>
  </si>
  <si>
    <t>K-02039123</t>
  </si>
  <si>
    <t>Operasional Tata Pemerintahan</t>
  </si>
  <si>
    <t>Ex.BH 6254 GZ</t>
  </si>
  <si>
    <t>Abunjani/Pem</t>
  </si>
  <si>
    <t>BH 6253 GZ</t>
  </si>
  <si>
    <t>MH1JB9135DK328207</t>
  </si>
  <si>
    <t>JB91E-3313214</t>
  </si>
  <si>
    <t>K-02039074</t>
  </si>
  <si>
    <t>BH 4055 G</t>
  </si>
  <si>
    <t>JB9133DK328254</t>
  </si>
  <si>
    <t>JB91E-3313218</t>
  </si>
  <si>
    <t>U-05220551</t>
  </si>
  <si>
    <t>Operasional Protokol</t>
  </si>
  <si>
    <t>Ex.BH 6250 GZ</t>
  </si>
  <si>
    <t>BH 6261 GZ</t>
  </si>
  <si>
    <t>JB9135DK328157</t>
  </si>
  <si>
    <t>JB91E-3313513</t>
  </si>
  <si>
    <t>K-02039116</t>
  </si>
  <si>
    <t>BH 4056 G</t>
  </si>
  <si>
    <t>MH1JB9131DK328110</t>
  </si>
  <si>
    <t>JB91E-3313517</t>
  </si>
  <si>
    <t>U-05220550</t>
  </si>
  <si>
    <t>Ex.BH 6252 GZ</t>
  </si>
  <si>
    <t>Sepeda Motor Sport</t>
  </si>
  <si>
    <t>Kawasaki KLX 150 S.Sport Traill 4 tak 150 cc</t>
  </si>
  <si>
    <t>BH 2742 G</t>
  </si>
  <si>
    <t>MH4LX150CDKP77296</t>
  </si>
  <si>
    <t>LX150CEPB8190</t>
  </si>
  <si>
    <t>K-02310347</t>
  </si>
  <si>
    <t>Ex.BH 6264 GZ</t>
  </si>
  <si>
    <t>Eko</t>
  </si>
  <si>
    <t>BH 6265 GZ</t>
  </si>
  <si>
    <t>MH4LX150CDKP77151</t>
  </si>
  <si>
    <t>LX150CEPB8115</t>
  </si>
  <si>
    <t>K-02310349</t>
  </si>
  <si>
    <t>BH 6266 GZ</t>
  </si>
  <si>
    <t>MH4LX150CDKP77297</t>
  </si>
  <si>
    <t>LX150CEPB8200</t>
  </si>
  <si>
    <t>K-02310350</t>
  </si>
  <si>
    <t>Andi Gunawan</t>
  </si>
  <si>
    <t>BH 4110 G/ EX BH 6291 GZ</t>
  </si>
  <si>
    <t>MH1 JB9137DK453886</t>
  </si>
  <si>
    <t>JB91E-3436139</t>
  </si>
  <si>
    <t>K-03778930</t>
  </si>
  <si>
    <t>Syarif Hidayat</t>
  </si>
  <si>
    <t>BH 4061 G</t>
  </si>
  <si>
    <t>MH1 JB9138DK453900</t>
  </si>
  <si>
    <t>JB91E-3436186</t>
  </si>
  <si>
    <t>U-05220635</t>
  </si>
  <si>
    <t>Operasional KESRA</t>
  </si>
  <si>
    <t xml:space="preserve">Ex.BH 6290 GZ </t>
  </si>
  <si>
    <t>Fatir</t>
  </si>
  <si>
    <t>BH 2022 G</t>
  </si>
  <si>
    <t>MH1 JB9139DK453887</t>
  </si>
  <si>
    <t>JB9IE-2436205</t>
  </si>
  <si>
    <t>K-03778933</t>
  </si>
  <si>
    <t>Operasional Perekonomian</t>
  </si>
  <si>
    <t>Ex.BH 6288 GZ</t>
  </si>
  <si>
    <t>Ice wijaya</t>
  </si>
  <si>
    <t xml:space="preserve">BH 4108 G/ EX BH 6287 GZ </t>
  </si>
  <si>
    <t>MH1 JB913XDK453882</t>
  </si>
  <si>
    <t>JB91E-3436243</t>
  </si>
  <si>
    <t>K-03778934</t>
  </si>
  <si>
    <t>Eka Saputra</t>
  </si>
  <si>
    <t>BH 2741 G</t>
  </si>
  <si>
    <t>MH1 JB9130DK453678</t>
  </si>
  <si>
    <t>JB91E-3436624</t>
  </si>
  <si>
    <t>K-03778926</t>
  </si>
  <si>
    <t xml:space="preserve">Ex.BH 6299 GZ </t>
  </si>
  <si>
    <t>Dodi</t>
  </si>
  <si>
    <t>BH 2743 G</t>
  </si>
  <si>
    <t>MH1 JB9135DK453529</t>
  </si>
  <si>
    <t>JB91E-3436209</t>
  </si>
  <si>
    <t>K-03778922</t>
  </si>
  <si>
    <t>Ex.BH 6296 GZ</t>
  </si>
  <si>
    <t>Rizano</t>
  </si>
  <si>
    <t>BH 2060 G</t>
  </si>
  <si>
    <t>MH1 JB9131DK454337</t>
  </si>
  <si>
    <t>JB91E-3436426</t>
  </si>
  <si>
    <t>K-03778928</t>
  </si>
  <si>
    <t>Ex.BH 6293 GZ</t>
  </si>
  <si>
    <t>Ibnu Sawal</t>
  </si>
  <si>
    <t xml:space="preserve">BH 4107 G/ EX BH 6297 GZ </t>
  </si>
  <si>
    <t>MH1JF8118DK880796</t>
  </si>
  <si>
    <t>JF81E-1874581</t>
  </si>
  <si>
    <t>K-03778924</t>
  </si>
  <si>
    <t>Ridho</t>
  </si>
  <si>
    <t>BH 4057 G</t>
  </si>
  <si>
    <t>MH31PA002DK370266</t>
  </si>
  <si>
    <t>1PA370551</t>
  </si>
  <si>
    <t>U-05220552</t>
  </si>
  <si>
    <t>Ex.BH 6343 GZ</t>
  </si>
  <si>
    <t>Icon</t>
  </si>
  <si>
    <t xml:space="preserve">Honda New Vario 125 </t>
  </si>
  <si>
    <t>BH 2751 G</t>
  </si>
  <si>
    <t>MH1JV110GK370669</t>
  </si>
  <si>
    <t>JFV1E-1379772</t>
  </si>
  <si>
    <t>L-10899402</t>
  </si>
  <si>
    <t>Operasional PBJ</t>
  </si>
  <si>
    <t>Ex.BH 6665 GZ</t>
  </si>
  <si>
    <t>Juwita</t>
  </si>
  <si>
    <t>BH 2750 G</t>
  </si>
  <si>
    <t>MH1JV112GK370656</t>
  </si>
  <si>
    <t>JFV1E-1379709</t>
  </si>
  <si>
    <t>L-10899405</t>
  </si>
  <si>
    <t>Ex.BH 6661 GZ</t>
  </si>
  <si>
    <t>Rizqullah</t>
  </si>
  <si>
    <t>BH 6662 GZ</t>
  </si>
  <si>
    <t>MH1JV115GK371994</t>
  </si>
  <si>
    <t>JFV1E-1381103</t>
  </si>
  <si>
    <t>L-10899406</t>
  </si>
  <si>
    <t>BH 4063 G</t>
  </si>
  <si>
    <t>MH1JV116GK372040</t>
  </si>
  <si>
    <t>JFV1E1381140</t>
  </si>
  <si>
    <t>U-05220671</t>
  </si>
  <si>
    <t>Ex.BH 6663 GZ</t>
  </si>
  <si>
    <t>Alim</t>
  </si>
  <si>
    <t>Yamaha All New Soul</t>
  </si>
  <si>
    <t>BH 2033 GZ</t>
  </si>
  <si>
    <t>MH3SE9040HJ009359</t>
  </si>
  <si>
    <t>E3W9E-0010665</t>
  </si>
  <si>
    <t>M-11761473</t>
  </si>
  <si>
    <t>BH 2039 GZ</t>
  </si>
  <si>
    <t>MH3SE9040HJ014539</t>
  </si>
  <si>
    <t>E3W9E-0018346</t>
  </si>
  <si>
    <t>M-11765905</t>
  </si>
  <si>
    <t>Fadli</t>
  </si>
  <si>
    <t>BH 2144 G</t>
  </si>
  <si>
    <t>MH3SG3180KK087229</t>
  </si>
  <si>
    <t>G3E4E-1681576</t>
  </si>
  <si>
    <t>P-06380967</t>
  </si>
  <si>
    <t>Yamaha  N-Max</t>
  </si>
  <si>
    <t>BH 2151 G</t>
  </si>
  <si>
    <t>MH3SG3190KK789583</t>
  </si>
  <si>
    <t>G3E4E-1743478</t>
  </si>
  <si>
    <t>P-06383395</t>
  </si>
  <si>
    <t>BH 2150 G</t>
  </si>
  <si>
    <t>MH3SG3190KK791405</t>
  </si>
  <si>
    <t>G3E4E-1746186</t>
  </si>
  <si>
    <t>P-06383394</t>
  </si>
  <si>
    <t>BH 2152 G</t>
  </si>
  <si>
    <t>MH3SG3190KK789581</t>
  </si>
  <si>
    <t>G3E4E-1743476</t>
  </si>
  <si>
    <t>P-06383396</t>
  </si>
  <si>
    <t>Roy Suryo</t>
  </si>
  <si>
    <t>BH 2153 G</t>
  </si>
  <si>
    <t>MH3SG3190KK789567</t>
  </si>
  <si>
    <t>G3E4E-1743447</t>
  </si>
  <si>
    <t>P-06383397</t>
  </si>
  <si>
    <t>Zaki</t>
  </si>
  <si>
    <t>BH 2154 G</t>
  </si>
  <si>
    <t>MH3SG3190KK785040</t>
  </si>
  <si>
    <t>G3E4E-1737235</t>
  </si>
  <si>
    <t>P-06383398</t>
  </si>
  <si>
    <t>Ajudan Bupati</t>
  </si>
  <si>
    <t>BH 2155 G</t>
  </si>
  <si>
    <t>MH3SG3190KK783065</t>
  </si>
  <si>
    <t>G3E4E-1732268</t>
  </si>
  <si>
    <t>P-06383399</t>
  </si>
  <si>
    <t>Kabag Umum</t>
  </si>
  <si>
    <t>Kawasaki/DTRACKER 150 SE</t>
  </si>
  <si>
    <t>BH 2306 G</t>
  </si>
  <si>
    <t>MH4LX150HLJP80403</t>
  </si>
  <si>
    <t>LX150CEWN4524</t>
  </si>
  <si>
    <t>P-07666867</t>
  </si>
  <si>
    <t>BH 2305 G</t>
  </si>
  <si>
    <t>MH4LX150HLJP79013</t>
  </si>
  <si>
    <t>LX150CEWN2668</t>
  </si>
  <si>
    <t>P-07666866</t>
  </si>
  <si>
    <t>suryatno</t>
  </si>
  <si>
    <t>Kawasaki /KLX 150 G</t>
  </si>
  <si>
    <t>BH 2307 G</t>
  </si>
  <si>
    <t>MH4L150GLJP84998</t>
  </si>
  <si>
    <t>LX150CEWM1492</t>
  </si>
  <si>
    <t>P-07666868</t>
  </si>
  <si>
    <t>Gustiawan</t>
  </si>
  <si>
    <t>Honda PCX Abs Warna Merah</t>
  </si>
  <si>
    <t>Honda PCX Abs</t>
  </si>
  <si>
    <t>BH 2395 G</t>
  </si>
  <si>
    <t>MH1KF8118PK202753</t>
  </si>
  <si>
    <t>KF81E-1202466</t>
  </si>
  <si>
    <t>T-04350321</t>
  </si>
  <si>
    <t>Yanti</t>
  </si>
  <si>
    <t>Honda PCX Abs Warna Blue</t>
  </si>
  <si>
    <t>BH 2394 G</t>
  </si>
  <si>
    <t>MH1KF8110PK200124</t>
  </si>
  <si>
    <t>KF81E-1199949</t>
  </si>
  <si>
    <t>T-04350320</t>
  </si>
  <si>
    <t>Vita</t>
  </si>
  <si>
    <t>Honda Scoopy Warna Brown</t>
  </si>
  <si>
    <t>BH 2393 G</t>
  </si>
  <si>
    <t>MH1JM0414PK355449</t>
  </si>
  <si>
    <t>JM04E-1355377</t>
  </si>
  <si>
    <t>T-04350319</t>
  </si>
  <si>
    <t>Fahri</t>
  </si>
  <si>
    <t xml:space="preserve">Honda PCX ABS </t>
  </si>
  <si>
    <t>HONDA</t>
  </si>
  <si>
    <t>BH 2858 G</t>
  </si>
  <si>
    <t>MH1KF8116RK301400</t>
  </si>
  <si>
    <t>KF81E-1301117</t>
  </si>
  <si>
    <t>U-02065867</t>
  </si>
  <si>
    <t>Syukur</t>
  </si>
  <si>
    <t>Yamaha Fazzio New Hybrid BH2926 G</t>
  </si>
  <si>
    <t xml:space="preserve">Yamaha Fazzio New Hybrid </t>
  </si>
  <si>
    <t>BH 2926 G</t>
  </si>
  <si>
    <t>MH3SEJ710RJ252377</t>
  </si>
  <si>
    <t>E33WE-0297890</t>
  </si>
  <si>
    <t>V-06963552</t>
  </si>
  <si>
    <t>Umi</t>
  </si>
  <si>
    <t>Honda PCX 160 ABS</t>
  </si>
  <si>
    <t>BH 2952 G</t>
  </si>
  <si>
    <t>MH1KFE215SK054793</t>
  </si>
  <si>
    <t>KFE2E-1054812</t>
  </si>
  <si>
    <t>W-01952555F</t>
  </si>
  <si>
    <t>W-01952555</t>
  </si>
  <si>
    <t>Honda Vario 125 CBS ISS</t>
  </si>
  <si>
    <t>BH 2948 G</t>
  </si>
  <si>
    <t>MHIJMD120SK091479</t>
  </si>
  <si>
    <t>JMD1E-2090995</t>
  </si>
  <si>
    <t>W-01950783</t>
  </si>
  <si>
    <t>BH 2950 G</t>
  </si>
  <si>
    <t>MHIJMD129SK091464</t>
  </si>
  <si>
    <t>JMD1E-2090982</t>
  </si>
  <si>
    <t>W-01950785</t>
  </si>
  <si>
    <t>BH 2949 G</t>
  </si>
  <si>
    <t>MHJIMD120SK092291</t>
  </si>
  <si>
    <t>JMD1E-2091706</t>
  </si>
  <si>
    <t>W-01950784</t>
  </si>
  <si>
    <t>HAULER</t>
  </si>
  <si>
    <t>Angkong</t>
  </si>
  <si>
    <t>Kendaraaan Tak Bermotor Angkutan Barang</t>
  </si>
  <si>
    <t>Hand Truck 350 KG</t>
  </si>
  <si>
    <t>Hand Trolly 250 KG</t>
  </si>
  <si>
    <t>Pajero Sport</t>
  </si>
  <si>
    <t>Sekretariat Daerah</t>
  </si>
  <si>
    <t>BH 1259 G</t>
  </si>
  <si>
    <t>BH 7506 G</t>
  </si>
  <si>
    <t>BH 7505 G</t>
  </si>
  <si>
    <t>BH 8136 G</t>
  </si>
  <si>
    <t>BH 8138 G</t>
  </si>
  <si>
    <t>BH 6256 GZ</t>
  </si>
  <si>
    <t>BH 6259 GZ</t>
  </si>
  <si>
    <t>BH 6254 GZ</t>
  </si>
  <si>
    <t>BH 6250 GZ</t>
  </si>
  <si>
    <t>BH 6252 GZ</t>
  </si>
  <si>
    <t>BH 6264 GZ</t>
  </si>
  <si>
    <t>BH 6291 GZ</t>
  </si>
  <si>
    <t xml:space="preserve">BH 6290 GZ </t>
  </si>
  <si>
    <t>BH 6288 GZ</t>
  </si>
  <si>
    <t xml:space="preserve">BH 6287 GZ </t>
  </si>
  <si>
    <t xml:space="preserve">BH 6299 GZ </t>
  </si>
  <si>
    <t>BH 6296 GZ</t>
  </si>
  <si>
    <t>BH 6293 GZ</t>
  </si>
  <si>
    <t xml:space="preserve">BH 6297 GZ </t>
  </si>
  <si>
    <t>BH 6343 GZ</t>
  </si>
  <si>
    <t>BH 1245 G</t>
  </si>
  <si>
    <t>BH 1192 G</t>
  </si>
  <si>
    <t>BH 33 GZ</t>
  </si>
  <si>
    <t>BH 1256 G</t>
  </si>
  <si>
    <t>BH 8128 G</t>
  </si>
  <si>
    <t>BH 1292 G</t>
  </si>
  <si>
    <t>BH 1252 G</t>
  </si>
  <si>
    <t>BH 1260 G</t>
  </si>
  <si>
    <t>BH 6665 GZ</t>
  </si>
  <si>
    <t>BH 6661 GZ</t>
  </si>
  <si>
    <t>BH 1227 GZ</t>
  </si>
  <si>
    <t>BH 6663 GZ</t>
  </si>
  <si>
    <t>BH 1 G</t>
  </si>
  <si>
    <t>BH 4 G</t>
  </si>
  <si>
    <t>BH 1058 PQ</t>
  </si>
  <si>
    <t>BH 28588 G</t>
  </si>
  <si>
    <t>BH 8031 G</t>
  </si>
  <si>
    <t>: SEKRETARIAT DPRD</t>
  </si>
  <si>
    <t>jabatan</t>
  </si>
  <si>
    <t>Pajero Sport 2.4 DAKAR ULTIMATE (4X4) 8 A/T</t>
  </si>
  <si>
    <t>Sekretariat DPRD</t>
  </si>
  <si>
    <t xml:space="preserve">BH 7 G EX BH 1359 G </t>
  </si>
  <si>
    <t>MK2KRWPNUPJ002248</t>
  </si>
  <si>
    <t>4N15UJY4468</t>
  </si>
  <si>
    <t>T-01500704</t>
  </si>
  <si>
    <t>SEKRETARIAT DPRD</t>
  </si>
  <si>
    <t>waka I</t>
  </si>
  <si>
    <t>WIRANTO</t>
  </si>
  <si>
    <t xml:space="preserve"> Pajero Sport 2.4 DAKAR (4X2) 8 A/T </t>
  </si>
  <si>
    <t>BH 3 G</t>
  </si>
  <si>
    <t>MK2KRWPNUPJ000848</t>
  </si>
  <si>
    <t>T-01500703</t>
  </si>
  <si>
    <t>Ketua DPRD</t>
  </si>
  <si>
    <t>AIDI HATTA</t>
  </si>
  <si>
    <t xml:space="preserve"> New Fortuner 2.4 G 4X2 A/T </t>
  </si>
  <si>
    <t>BH 8 G</t>
  </si>
  <si>
    <t>MHFJB8GSP1591594</t>
  </si>
  <si>
    <t>2GDD242085</t>
  </si>
  <si>
    <t>T-01502777</t>
  </si>
  <si>
    <t>WAKA II</t>
  </si>
  <si>
    <t>JURJANI</t>
  </si>
  <si>
    <t>Mitsubishi Pajero Sport  2.4L</t>
  </si>
  <si>
    <t>BH 1360 G</t>
  </si>
  <si>
    <t>MMBGUKR10HH023840</t>
  </si>
  <si>
    <t>4N15UBR5492</t>
  </si>
  <si>
    <t>M-04239356</t>
  </si>
  <si>
    <t>Wakil Ketua  1 DPRD ( Edison ,S.Sos) BH 1014 G/BH 8 G</t>
  </si>
  <si>
    <t>BH 1362 G</t>
  </si>
  <si>
    <t>MMBGUKR10HH023468</t>
  </si>
  <si>
    <t>4N15UBR3755</t>
  </si>
  <si>
    <t xml:space="preserve"> M-04239355 </t>
  </si>
  <si>
    <t>Wakil Ketua II BH 1013 G/BH 7 G</t>
  </si>
  <si>
    <t>Mitsubishi Pajero Sport Dakka</t>
  </si>
  <si>
    <t>BH 1364 G</t>
  </si>
  <si>
    <t xml:space="preserve">MK2KSWPNUJJ000497 </t>
  </si>
  <si>
    <t>4N15UCX2257</t>
  </si>
  <si>
    <t>M-11831948</t>
  </si>
  <si>
    <t>Ex. BH 38 G</t>
  </si>
  <si>
    <t>BH 1099 G EX BH 15GZ EX BH 1132 GZ</t>
  </si>
  <si>
    <t>MHFXW42G9B2187779</t>
  </si>
  <si>
    <t>1TR-7092860</t>
  </si>
  <si>
    <t>I-03356505</t>
  </si>
  <si>
    <t>Nopol Awal BH 1132 GZ/BH 15 GZ/BH 1099 G / Usulan Lelang</t>
  </si>
  <si>
    <t>Toyota RUSH</t>
  </si>
  <si>
    <t>BH 1185 G</t>
  </si>
  <si>
    <t>MHFE2CJ3JDK061850</t>
  </si>
  <si>
    <t>DDJ5660</t>
  </si>
  <si>
    <t>K-00103375</t>
  </si>
  <si>
    <t>Nopol Awal BH 80 GZ/BH 150 GZ/BH 1185 G</t>
  </si>
  <si>
    <t>Kabag.Risalah</t>
  </si>
  <si>
    <t>H.SULAEMAN</t>
  </si>
  <si>
    <t>BH 1184 G</t>
  </si>
  <si>
    <t>MHFE2CJ3JDK064023</t>
  </si>
  <si>
    <t>DDM1225</t>
  </si>
  <si>
    <t>K-00103253</t>
  </si>
  <si>
    <t>Nopol Awal BH 81 GZ/BH 151 GZ/BH 1184 G</t>
  </si>
  <si>
    <t>Kabag. Umum</t>
  </si>
  <si>
    <t>SUHERMAN</t>
  </si>
  <si>
    <t>BH 1183 G</t>
  </si>
  <si>
    <t>MHFE2CJ3JTK061761</t>
  </si>
  <si>
    <t>DDJ4450</t>
  </si>
  <si>
    <t>K-00103254</t>
  </si>
  <si>
    <t xml:space="preserve"> Nopol Awal BH 82 GZ/BH 152 GZ/BH 1183 G</t>
  </si>
  <si>
    <t>Kabag. Fasilitasi</t>
  </si>
  <si>
    <t>JASRIL</t>
  </si>
  <si>
    <t>Toyota AVANZA</t>
  </si>
  <si>
    <t>BH 1366 G EX BH 1511 GZ</t>
  </si>
  <si>
    <t>MHKM1CA4JDK035420</t>
  </si>
  <si>
    <t>DDL0899</t>
  </si>
  <si>
    <t>K-00103243</t>
  </si>
  <si>
    <t>Mutasi ke BPKAD</t>
  </si>
  <si>
    <t>Bend.Pengeluaran</t>
  </si>
  <si>
    <t>IKE CRISTIAWAN</t>
  </si>
  <si>
    <t>Chevrolet Spin</t>
  </si>
  <si>
    <t>BH 1130 G</t>
  </si>
  <si>
    <t xml:space="preserve"> MJBJF7590FJ104005</t>
  </si>
  <si>
    <t>L-08617545</t>
  </si>
  <si>
    <t>No. Pol. Sebelumnya BH 1515 GZ/BH 1130 G</t>
  </si>
  <si>
    <t>SEKWAN</t>
  </si>
  <si>
    <t>ZAKARIA</t>
  </si>
  <si>
    <t>Supra X</t>
  </si>
  <si>
    <t>BH 5321 GZ</t>
  </si>
  <si>
    <t>MH1KEVA205K158805</t>
  </si>
  <si>
    <t>KEVAE-2157718</t>
  </si>
  <si>
    <t>D-5514961</t>
  </si>
  <si>
    <t>Penjaga Kantor</t>
  </si>
  <si>
    <t>UMBARI</t>
  </si>
  <si>
    <t>BH 5326 GZ</t>
  </si>
  <si>
    <t>MH1KEVA235K159365</t>
  </si>
  <si>
    <t>KEVAE-2158137</t>
  </si>
  <si>
    <t>D-5514578</t>
  </si>
  <si>
    <t>BH 4019 G EX BH 5828 GZ</t>
  </si>
  <si>
    <t>MH31S7006K527546</t>
  </si>
  <si>
    <t>1S75277700</t>
  </si>
  <si>
    <t>T-00684381</t>
  </si>
  <si>
    <t>Nopol Baru BH 4019 G</t>
  </si>
  <si>
    <t>Pemb.Bend. Pengeluaran</t>
  </si>
  <si>
    <t>TOHIR</t>
  </si>
  <si>
    <t>New Supra X 125 Helm-In FI</t>
  </si>
  <si>
    <t xml:space="preserve"> BH 4021 G EX BH 6134 GZ</t>
  </si>
  <si>
    <t>MH1JBG116CK059166</t>
  </si>
  <si>
    <t>JBG1E1058118</t>
  </si>
  <si>
    <t>T-00684459</t>
  </si>
  <si>
    <t>Nopol Baru BH 4021 G</t>
  </si>
  <si>
    <t>BH 6135 GZ</t>
  </si>
  <si>
    <t>MH1JBG117CK059337</t>
  </si>
  <si>
    <t>JBG1E-1058389</t>
  </si>
  <si>
    <t>J-01234032</t>
  </si>
  <si>
    <t>Staf Komisi II</t>
  </si>
  <si>
    <t>SAIBANI</t>
  </si>
  <si>
    <t>BH 4027 G EX BH 6136 GZ</t>
  </si>
  <si>
    <t>MH1JBG119CK059114</t>
  </si>
  <si>
    <t>JBG1E1058168</t>
  </si>
  <si>
    <t>T-00684553</t>
  </si>
  <si>
    <t>Nopol Baru BH 4027 G</t>
  </si>
  <si>
    <t>Kasubbag. Umum &amp; Kepegawaian</t>
  </si>
  <si>
    <t>INDRA AGUSMAN,SE</t>
  </si>
  <si>
    <t>Yamaha Bison</t>
  </si>
  <si>
    <t>BH 4023 G EX BH 6270 GZ</t>
  </si>
  <si>
    <t>MH345P003DK211541</t>
  </si>
  <si>
    <t>45P221635</t>
  </si>
  <si>
    <t>T-00684457</t>
  </si>
  <si>
    <t>Nopol Baru BH 4023 G</t>
  </si>
  <si>
    <t>INDRA SUMANTO</t>
  </si>
  <si>
    <t xml:space="preserve">Yamaha JupiterZ CW </t>
  </si>
  <si>
    <t>BH 6268 GZ</t>
  </si>
  <si>
    <t>MH31DY002DJ150374</t>
  </si>
  <si>
    <t>1DY-150397</t>
  </si>
  <si>
    <t>K-02315214</t>
  </si>
  <si>
    <t>Kasubbag. Perundangan</t>
  </si>
  <si>
    <t>REKA FEBRIYANTI, SH</t>
  </si>
  <si>
    <t>BH 4022 G EX BH 6269 GZ</t>
  </si>
  <si>
    <t>MH31DY002DJ138667</t>
  </si>
  <si>
    <t>1DY138679</t>
  </si>
  <si>
    <t>T-00684458</t>
  </si>
  <si>
    <t>Nopol Baru BH 4022 G</t>
  </si>
  <si>
    <t>Bend. Gaji</t>
  </si>
  <si>
    <t>MUKAYAH, SE</t>
  </si>
  <si>
    <t>Yamaha VIXION</t>
  </si>
  <si>
    <t>BH 4017 G EX BH 6326 GZ</t>
  </si>
  <si>
    <t>MH31PA002DK335862</t>
  </si>
  <si>
    <t>1PA335922</t>
  </si>
  <si>
    <t>T-00684128</t>
  </si>
  <si>
    <t>Nopol Baru BH 4017 G</t>
  </si>
  <si>
    <t>Yamaha JupiterZ1</t>
  </si>
  <si>
    <t>BH 4020 G EX BH 6324 GZ</t>
  </si>
  <si>
    <t>MH31DY005DJ122231</t>
  </si>
  <si>
    <t>1DY192251</t>
  </si>
  <si>
    <t>T-00684380</t>
  </si>
  <si>
    <t>Nopol Baru BH 4020 G</t>
  </si>
  <si>
    <t>HASANUDIN</t>
  </si>
  <si>
    <t>BH 4024 G EX BH 6325 GZ</t>
  </si>
  <si>
    <t>MH31DY005DJ189041</t>
  </si>
  <si>
    <t>1DY189057</t>
  </si>
  <si>
    <t>T-00684456</t>
  </si>
  <si>
    <t>Nopol Baru BH 4024 G</t>
  </si>
  <si>
    <t>Honda Supra 125</t>
  </si>
  <si>
    <t>BH 6289 GZ</t>
  </si>
  <si>
    <t>MH1 JB9134DK453893</t>
  </si>
  <si>
    <t>JB91E-3436188</t>
  </si>
  <si>
    <t>K-03778932</t>
  </si>
  <si>
    <t>Mutasi dari setda</t>
  </si>
  <si>
    <t>Mutasi dari SETDA</t>
  </si>
  <si>
    <t>Pinjam Pakai DPRD</t>
  </si>
  <si>
    <t>Yamaha New GT 125</t>
  </si>
  <si>
    <t>BH 4085 G EX BH 6550 GZ</t>
  </si>
  <si>
    <t>MH32SV003FK255541</t>
  </si>
  <si>
    <t>2SV-255476</t>
  </si>
  <si>
    <t>L-03950321</t>
  </si>
  <si>
    <t>Nopol Baru BH 4085 G</t>
  </si>
  <si>
    <t>Kasubbag. Humas</t>
  </si>
  <si>
    <t>AHMAD IMRAN</t>
  </si>
  <si>
    <t>BH 4087 G EX BH 6553 GZ</t>
  </si>
  <si>
    <t>MH32SV001FJ221524</t>
  </si>
  <si>
    <t>2SV-221627</t>
  </si>
  <si>
    <t>L-03950318</t>
  </si>
  <si>
    <t>Nopol Baru BH 4087 G</t>
  </si>
  <si>
    <t>Plt.Kasubbag. Persidangan</t>
  </si>
  <si>
    <t>NAWAWI, SH</t>
  </si>
  <si>
    <t>BH 4089 G EX BH 6554 GZ</t>
  </si>
  <si>
    <t>MH32SP00AFJ222339</t>
  </si>
  <si>
    <t>2SV-222540</t>
  </si>
  <si>
    <t>L-03950317</t>
  </si>
  <si>
    <t>Nopol Baru BH 4089 G</t>
  </si>
  <si>
    <t>Bend.Barang Pembantu</t>
  </si>
  <si>
    <t>TRI JUITA MANDASARI</t>
  </si>
  <si>
    <t>BH 4088 G EX BH 6555 GZ</t>
  </si>
  <si>
    <t>MH32SP00AFJ225134</t>
  </si>
  <si>
    <t>2SV-225351</t>
  </si>
  <si>
    <t>L-03950316</t>
  </si>
  <si>
    <t>Nopol Baru BH 4088 G</t>
  </si>
  <si>
    <t>Kasubbag.Perencanaan</t>
  </si>
  <si>
    <t>ERLINDA SARI,S.Ag</t>
  </si>
  <si>
    <t>BH 6556 GZ</t>
  </si>
  <si>
    <t>MH32SV00AFJ225138</t>
  </si>
  <si>
    <t>2SV-225354</t>
  </si>
  <si>
    <t>L-03950315</t>
  </si>
  <si>
    <t>Nopol Baru BH 4090 G</t>
  </si>
  <si>
    <t>Kasubbag. Aset &amp; URT</t>
  </si>
  <si>
    <t>Raspan Taufik</t>
  </si>
  <si>
    <t>Yamaha New V-ixion K</t>
  </si>
  <si>
    <t>BH 4086 G EX BH 6551 GZ</t>
  </si>
  <si>
    <t>MH31PA004FK861002</t>
  </si>
  <si>
    <t>1PA-861924</t>
  </si>
  <si>
    <t>L-03950320</t>
  </si>
  <si>
    <t>Nopol Baru BH 4086 G</t>
  </si>
  <si>
    <t>Kasubbag. Fasilitasi</t>
  </si>
  <si>
    <t>muchlisin. S.Sos</t>
  </si>
  <si>
    <t>YAMAHA MIO m3</t>
  </si>
  <si>
    <t>BH 2097 G</t>
  </si>
  <si>
    <t>MH3SE8850JJ028038</t>
  </si>
  <si>
    <t>E3W6E-0077750</t>
  </si>
  <si>
    <t>O-00838589</t>
  </si>
  <si>
    <t>Hasnawing, S.Ag</t>
  </si>
  <si>
    <t>BH 2098 G</t>
  </si>
  <si>
    <t>MH3SE8850JJ031064</t>
  </si>
  <si>
    <t>E3W6E-0090374</t>
  </si>
  <si>
    <t>O-00838590</t>
  </si>
  <si>
    <t>Staf Komisi III</t>
  </si>
  <si>
    <t>Sri Sefyuni</t>
  </si>
  <si>
    <t>BH 2099 G</t>
  </si>
  <si>
    <t>MHSE8850JJ030984</t>
  </si>
  <si>
    <t>E3W6E-0090191</t>
  </si>
  <si>
    <t>O-00838591</t>
  </si>
  <si>
    <t>Kasubag. Aspirasi</t>
  </si>
  <si>
    <t>Resti Pratiwi, SH</t>
  </si>
  <si>
    <t xml:space="preserve"> Yamaha NMAX  </t>
  </si>
  <si>
    <t>BH 2295 G</t>
  </si>
  <si>
    <t>MH3SG5620LJ230334</t>
  </si>
  <si>
    <t>G3L8E-0354505</t>
  </si>
  <si>
    <t>P-07662438</t>
  </si>
  <si>
    <t>Adc. WAKA I</t>
  </si>
  <si>
    <t>BH 2294 G</t>
  </si>
  <si>
    <t>MH3SG5620LJ209556</t>
  </si>
  <si>
    <t>G3L8E-0313995</t>
  </si>
  <si>
    <t>P-07662437</t>
  </si>
  <si>
    <t>Adc. WAKA II</t>
  </si>
  <si>
    <t xml:space="preserve"> Kawasaki KLX 230 </t>
  </si>
  <si>
    <t>BH 2310 G</t>
  </si>
  <si>
    <t>MH4LX230BKJPO0396</t>
  </si>
  <si>
    <t>LX230AEP03759</t>
  </si>
  <si>
    <t>P-07682293</t>
  </si>
  <si>
    <t>Adc. Ketua DPRD</t>
  </si>
  <si>
    <t>: BADAN KESATUAN BANGSA DAN POLITIK</t>
  </si>
  <si>
    <t>Avanza 1300 E</t>
  </si>
  <si>
    <t>BH 1340 G/ EX BH 49 GZ/
 EX BH 1105 GZ</t>
  </si>
  <si>
    <t>MHFM1BA2J9K018720</t>
  </si>
  <si>
    <t>DE14009</t>
  </si>
  <si>
    <t>F-8234871</t>
  </si>
  <si>
    <t>Sobri, SE (Kepala Bidang Kesatuan Bangsa)</t>
  </si>
  <si>
    <t>Rush 1,5 S F700RE-GMMFJ</t>
  </si>
  <si>
    <t>BH 1161 G/ EX BH 59 GZ</t>
  </si>
  <si>
    <t>MHFE2CJ3JCK047177</t>
  </si>
  <si>
    <t>DCR4904</t>
  </si>
  <si>
    <t>I-10604319</t>
  </si>
  <si>
    <t>Hendra Kasmir, SH (Kepala Bidang Poldagri dan Ormas)</t>
  </si>
  <si>
    <t>New Hiliux Double Cabin</t>
  </si>
  <si>
    <t>BH 8006 G</t>
  </si>
  <si>
    <t>MR0KB8CD3K1121197</t>
  </si>
  <si>
    <t>2GD-4656016</t>
  </si>
  <si>
    <t>P-03226528</t>
  </si>
  <si>
    <t>Aset Sudah Diserahkan Ke BPKAD Tanggal 30 Januari 2026</t>
  </si>
  <si>
    <t>Win M.CB</t>
  </si>
  <si>
    <t>BH 2598 G/ EX BH 5023 GZ</t>
  </si>
  <si>
    <t>MHIHABB16YK009118</t>
  </si>
  <si>
    <t>HABBE-1009171</t>
  </si>
  <si>
    <t>B-0382326</t>
  </si>
  <si>
    <t>Fultsar XCD 125 DTS-Si</t>
  </si>
  <si>
    <t>Bajaj</t>
  </si>
  <si>
    <t>BH 2603 G/ EX BH 5815 GZ</t>
  </si>
  <si>
    <t>MD2JB10D58WM01361</t>
  </si>
  <si>
    <t>JAMBRA98170</t>
  </si>
  <si>
    <t>F-7550203</t>
  </si>
  <si>
    <t>Mio 133 CC 28D</t>
  </si>
  <si>
    <t>BH 2602 G/ EX BH 5819 GZ</t>
  </si>
  <si>
    <t>MH328D0029K494166</t>
  </si>
  <si>
    <t>28D-494672</t>
  </si>
  <si>
    <t>F-7550834</t>
  </si>
  <si>
    <t>Apriandi, SE (Penelaah Teknis Kebijakan)</t>
  </si>
  <si>
    <t>Jupiter MX CW 135 CC</t>
  </si>
  <si>
    <t>BH 2599 G/ EX BH 6382 GZ</t>
  </si>
  <si>
    <t>MH350C006EK752474</t>
  </si>
  <si>
    <t>50c-752484</t>
  </si>
  <si>
    <t>K-08472990</t>
  </si>
  <si>
    <t>Sri Purwati, SE (Penata Layanan Operasional)</t>
  </si>
  <si>
    <t>BH 2601 G/ EX BH 6383 GZ</t>
  </si>
  <si>
    <t>MH350C006EK753027</t>
  </si>
  <si>
    <t>50C-753069</t>
  </si>
  <si>
    <t>K-08472989</t>
  </si>
  <si>
    <t>Sribhakti (Penata Layanan Operasional)</t>
  </si>
  <si>
    <t>Aerox 155 VVA 2018</t>
  </si>
  <si>
    <t>BH 2127 G</t>
  </si>
  <si>
    <t>MH3SG4640JJ035603</t>
  </si>
  <si>
    <t>G3J8E-0041173</t>
  </si>
  <si>
    <t>P-05007221</t>
  </si>
  <si>
    <t>Masturi, SE (Kasubbag Umum dan Kepegawaian)</t>
  </si>
  <si>
    <t>: KECAMATAN SEKERNAN</t>
  </si>
  <si>
    <t>Kecamatan Sekernan</t>
  </si>
  <si>
    <t>Wuling Cortez</t>
  </si>
  <si>
    <t>BH 1074 G</t>
  </si>
  <si>
    <t>MK3AAGBOKJ009146</t>
  </si>
  <si>
    <t>LJ479QNE2*J09321008*</t>
  </si>
  <si>
    <t>P-06411102F</t>
  </si>
  <si>
    <t>KALDUNI, SH</t>
  </si>
  <si>
    <t>Camat</t>
  </si>
  <si>
    <t>Honda GL K</t>
  </si>
  <si>
    <t>BH 8474 BZ</t>
  </si>
  <si>
    <t>BH 5088 GZ</t>
  </si>
  <si>
    <t>MHIHABA162K062930</t>
  </si>
  <si>
    <t>HABAE-1062312</t>
  </si>
  <si>
    <t>C-2190633F</t>
  </si>
  <si>
    <t xml:space="preserve">Honda Supra </t>
  </si>
  <si>
    <t>BH 5049 GZ</t>
  </si>
  <si>
    <t>MHIKEV313K132990</t>
  </si>
  <si>
    <t>Kantor Lurah Sengeti</t>
  </si>
  <si>
    <t>RAPIKO, SH</t>
  </si>
  <si>
    <t>unit tidak ada dikecamatan</t>
  </si>
  <si>
    <t>BH 5152 GZ</t>
  </si>
  <si>
    <t>MHIHABC1X3K015138</t>
  </si>
  <si>
    <t>HABCE-1014605</t>
  </si>
  <si>
    <t>C-4693121F</t>
  </si>
  <si>
    <t>BH 5170 GZ</t>
  </si>
  <si>
    <t>MHIHABC113K015156</t>
  </si>
  <si>
    <t>HABCE-1014950</t>
  </si>
  <si>
    <t>C-4693139F</t>
  </si>
  <si>
    <t>BH 5404 GZ</t>
  </si>
  <si>
    <t>MH1HB31136K281062</t>
  </si>
  <si>
    <t>HB31E-1274500</t>
  </si>
  <si>
    <t>D-9864427F</t>
  </si>
  <si>
    <t>SUMIATI, S.Sos</t>
  </si>
  <si>
    <t>nomor rangka salah</t>
  </si>
  <si>
    <t>over target PBB</t>
  </si>
  <si>
    <t>BH 5529 GZ</t>
  </si>
  <si>
    <t>MH1JB51107K967865</t>
  </si>
  <si>
    <t>JB51E-1957290</t>
  </si>
  <si>
    <t>E-6005681F</t>
  </si>
  <si>
    <t>FAHMI, SH</t>
  </si>
  <si>
    <t>kasi pelumsos kecamatan</t>
  </si>
  <si>
    <t>Suzuki Thunder 125 cc + Delta Box Std</t>
  </si>
  <si>
    <t>BH 5707 GZ</t>
  </si>
  <si>
    <t>MH8EN125A8J-517014</t>
  </si>
  <si>
    <t>F405-ID-517503</t>
  </si>
  <si>
    <t>F-4190006F</t>
  </si>
  <si>
    <t>M. AMIN</t>
  </si>
  <si>
    <t>digudang kecamatan</t>
  </si>
  <si>
    <t>Yamaha Vixion 125</t>
  </si>
  <si>
    <t>BH 5813 GZ</t>
  </si>
  <si>
    <t>MH33CIU029KI51102</t>
  </si>
  <si>
    <t>WIDYAWATI</t>
  </si>
  <si>
    <t>BH 5842 GZ</t>
  </si>
  <si>
    <t>MH33C10029K215606</t>
  </si>
  <si>
    <t>3C1-215553</t>
  </si>
  <si>
    <t>F-8686996F</t>
  </si>
  <si>
    <t>Dari Kantor Lurah Sengeti</t>
  </si>
  <si>
    <t>MUHAMMAD SODIKIN, SE</t>
  </si>
  <si>
    <t>Seklur</t>
  </si>
  <si>
    <t>Honda Mega Pro Std</t>
  </si>
  <si>
    <t>BH 5984 GZ</t>
  </si>
  <si>
    <t>MHKC1115AK265770</t>
  </si>
  <si>
    <t>KC11E-1267491</t>
  </si>
  <si>
    <t>H-07017330F</t>
  </si>
  <si>
    <t>JUNAIDI, SH</t>
  </si>
  <si>
    <t>digudang kelurahan</t>
  </si>
  <si>
    <t>Honda Verzha 150 CC</t>
  </si>
  <si>
    <t>BH 6355 GZ</t>
  </si>
  <si>
    <t>MH1KC5218DK105361</t>
  </si>
  <si>
    <t>KC52E-1106473</t>
  </si>
  <si>
    <t>K-03791997F</t>
  </si>
  <si>
    <t>Over Target PBB</t>
  </si>
  <si>
    <t>NASRULLAH</t>
  </si>
  <si>
    <t>Amirudin/ kecamatan</t>
  </si>
  <si>
    <t>Honda Verza150 Spoke</t>
  </si>
  <si>
    <t>BH 6522 GZ</t>
  </si>
  <si>
    <t>MH1KC5113EKO38803</t>
  </si>
  <si>
    <t>KC51E-1039080</t>
  </si>
  <si>
    <t>K-12146753F</t>
  </si>
  <si>
    <t>DENI MARLIANSYAH, SH</t>
  </si>
  <si>
    <t>kasubag perencanaan/ kecamatan</t>
  </si>
  <si>
    <t>BH 6523 GZ</t>
  </si>
  <si>
    <t>MH1KC5118EK038893</t>
  </si>
  <si>
    <t>KC51E-1039192</t>
  </si>
  <si>
    <t>K-12146754F</t>
  </si>
  <si>
    <t>SAIFUDIN SOBRI, SKM, M.Si</t>
  </si>
  <si>
    <t>bend. gaji</t>
  </si>
  <si>
    <t>Honda Verza CW MMC</t>
  </si>
  <si>
    <t>BH 6703 GZ</t>
  </si>
  <si>
    <t>MH1KC521XGK313407</t>
  </si>
  <si>
    <t>KC52E-1309669</t>
  </si>
  <si>
    <t>L-10925034F</t>
  </si>
  <si>
    <t>SODIKIN</t>
  </si>
  <si>
    <t>Bend. Pengeluaran</t>
  </si>
  <si>
    <t>BH 6707 GZ</t>
  </si>
  <si>
    <t>MH1KC5211GK313327</t>
  </si>
  <si>
    <t>KC52E-1309710</t>
  </si>
  <si>
    <t>L-10925153F</t>
  </si>
  <si>
    <t>SOPIANTO, S.Sos</t>
  </si>
  <si>
    <t>kasi trantib kecamatan</t>
  </si>
  <si>
    <t>BH 5708 GZ</t>
  </si>
  <si>
    <t>MH8EN125A8J-517013</t>
  </si>
  <si>
    <t>F405-ID-517504</t>
  </si>
  <si>
    <t>F-4190005F</t>
  </si>
  <si>
    <t>CRF 150</t>
  </si>
  <si>
    <t>HONDA /T4G02T3LLO M/T</t>
  </si>
  <si>
    <t>BH 2193 G</t>
  </si>
  <si>
    <t>MH1KD1117KK099766</t>
  </si>
  <si>
    <t>KD11E-1099050</t>
  </si>
  <si>
    <t>P-06407563F</t>
  </si>
  <si>
    <t>Kantor Camat</t>
  </si>
  <si>
    <t>ISMAIL. S.KOM</t>
  </si>
  <si>
    <t>kasi pem kecamatan</t>
  </si>
  <si>
    <t>Honda SoopySTYLSH</t>
  </si>
  <si>
    <t>BH 2245 G</t>
  </si>
  <si>
    <t>MH 1JM313XLK355134</t>
  </si>
  <si>
    <t>M31E-3349976</t>
  </si>
  <si>
    <t>AMIRUDIN</t>
  </si>
  <si>
    <t>kasi  pelumsos kelurahan</t>
  </si>
  <si>
    <t>STNK dan BPKB tidak ada</t>
  </si>
  <si>
    <t>Kendaraan bermotor roda 2 (dua)</t>
  </si>
  <si>
    <t xml:space="preserve"> NMAX ALL NEW </t>
  </si>
  <si>
    <t xml:space="preserve"> Yamaha </t>
  </si>
  <si>
    <t>BH 2387 GZ</t>
  </si>
  <si>
    <t>MH3SG5680PK176608</t>
  </si>
  <si>
    <t>G3L8E-1637884</t>
  </si>
  <si>
    <t>T-04346060F</t>
  </si>
  <si>
    <t>KECAMATAN SEKERNAN</t>
  </si>
  <si>
    <t>AKMAL, S.Sos</t>
  </si>
  <si>
    <t>Akmal/ Kasi PMD Kecamatan</t>
  </si>
  <si>
    <t xml:space="preserve"> All New N max ConnectedABS </t>
  </si>
  <si>
    <t>BH 2558 GZ</t>
  </si>
  <si>
    <t>MH3SG5680PK195119</t>
  </si>
  <si>
    <t>G3L8E-1810960</t>
  </si>
  <si>
    <t>T-04383176F</t>
  </si>
  <si>
    <t>KELURAHAN SENGETI</t>
  </si>
  <si>
    <t>RAHMIYATI, S.Pd</t>
  </si>
  <si>
    <t>lurah sengeti</t>
  </si>
  <si>
    <t>BH 5652 GZ</t>
  </si>
  <si>
    <t>MH1JB51107K949091</t>
  </si>
  <si>
    <t>JB51E-1937715</t>
  </si>
  <si>
    <t>RAPIKO</t>
  </si>
  <si>
    <t>belum tercatat di BI Kantor CAmat</t>
  </si>
  <si>
    <t>: KECAMATAN MARO SEBO</t>
  </si>
  <si>
    <t>Cortez 4 Cylinder</t>
  </si>
  <si>
    <t>Kecamatan Maro Sebo</t>
  </si>
  <si>
    <t>Wuling</t>
  </si>
  <si>
    <t>BH 1080 G</t>
  </si>
  <si>
    <t>MK3AAAGB2KJ009133</t>
  </si>
  <si>
    <t>LJ479QNE2*J03305568*</t>
  </si>
  <si>
    <t>P-06411108F</t>
  </si>
  <si>
    <t>Yoppy Ariansyah, S.STP.MH (Camat)</t>
  </si>
  <si>
    <t>Panther Smart FF</t>
  </si>
  <si>
    <t>BH 1093 G (EX BH 69 GZ)</t>
  </si>
  <si>
    <t>MHCTBR54FCK315168</t>
  </si>
  <si>
    <t>E315198</t>
  </si>
  <si>
    <t>I-11006610F</t>
  </si>
  <si>
    <t>Abu Bakar, SH (Sekretaris Camat)</t>
  </si>
  <si>
    <t>BH 5835 GZ</t>
  </si>
  <si>
    <t>MH1KC11129K226985</t>
  </si>
  <si>
    <t>KC11E-1228919</t>
  </si>
  <si>
    <t>F-8688103F</t>
  </si>
  <si>
    <t>Sulaiman, S.Ag (Kasi Pelum Kesos Kelurahan Jambi Kecil)</t>
  </si>
  <si>
    <t>STNK tidak ada</t>
  </si>
  <si>
    <t>BH 2649 G (EX BH 5837 GZ)</t>
  </si>
  <si>
    <t>MH1KC11189K226957</t>
  </si>
  <si>
    <t>KC11E-1228907</t>
  </si>
  <si>
    <t>F-8688102F</t>
  </si>
  <si>
    <t>Novriadi (Bendahara Barang)</t>
  </si>
  <si>
    <t>BH 5836 GZ</t>
  </si>
  <si>
    <t>MH1KC11169K208084</t>
  </si>
  <si>
    <t>KC11E-1210083</t>
  </si>
  <si>
    <t>F-8688120F</t>
  </si>
  <si>
    <t>Hamka (Pengadministrasi Umum Sekretariat)</t>
  </si>
  <si>
    <t>Mega Pro Std</t>
  </si>
  <si>
    <t>BH 2642 G/ EX BH 5985 GZ</t>
  </si>
  <si>
    <t>MHKC1112AK264463</t>
  </si>
  <si>
    <t>KC11E1266256</t>
  </si>
  <si>
    <t>H-07017326F</t>
  </si>
  <si>
    <t>Kantor Camat Maro Sebo</t>
  </si>
  <si>
    <t>Supra 125</t>
  </si>
  <si>
    <t>BH 6212 GZ</t>
  </si>
  <si>
    <t>MHIJB9132DK2283095</t>
  </si>
  <si>
    <t>JB91E-3268381</t>
  </si>
  <si>
    <t>K-01379805F</t>
  </si>
  <si>
    <t>Hafni, SE (Kasi Trantib Kelurahan Jambi Kecil)</t>
  </si>
  <si>
    <t>Verza 150 C</t>
  </si>
  <si>
    <t>BH 2650 G (EX BH 6356 GZ)</t>
  </si>
  <si>
    <t>MH1KC5213DK105395</t>
  </si>
  <si>
    <t>KC52E-1106458</t>
  </si>
  <si>
    <t>K-03791996F</t>
  </si>
  <si>
    <t>Ismail (Staff)</t>
  </si>
  <si>
    <t>Vario Techno 125</t>
  </si>
  <si>
    <t>BH 4052 G (EX BH 6249 GZ)</t>
  </si>
  <si>
    <t>MH1JSC111DK214138</t>
  </si>
  <si>
    <t>JFC1E-1213697</t>
  </si>
  <si>
    <t>U-05220365F</t>
  </si>
  <si>
    <t>Muhammad Taufik, SH (Kasi Pemerintahan)</t>
  </si>
  <si>
    <t>Verza 150 CW/GL 15 B1CF</t>
  </si>
  <si>
    <t>BH 2563 G (EX BH 6248 GZ)</t>
  </si>
  <si>
    <t>MH1KC5216BK032846</t>
  </si>
  <si>
    <t>KC52E-1033176</t>
  </si>
  <si>
    <t>K-02038038F</t>
  </si>
  <si>
    <t>Dedi, ST (Kasi Trantib)</t>
  </si>
  <si>
    <t>Cek BPKB (BH 2641 G)</t>
  </si>
  <si>
    <t>Beat</t>
  </si>
  <si>
    <t>BH 4034 G (EX BH 6463 GZ)</t>
  </si>
  <si>
    <t>MH1JFE113EK298055</t>
  </si>
  <si>
    <t>JFE1E-1295354</t>
  </si>
  <si>
    <t>T-00684759F</t>
  </si>
  <si>
    <t>Suzanna, SE (Kasi Kessos dan Pelum)</t>
  </si>
  <si>
    <t>All New X Ride</t>
  </si>
  <si>
    <t>BH 2280 G</t>
  </si>
  <si>
    <t>MH3SE88B0KJ092601</t>
  </si>
  <si>
    <t>E3R4E-0669053</t>
  </si>
  <si>
    <t>P-07645390F</t>
  </si>
  <si>
    <t>Osiani, SE (Sekretaris Lurah Jambi Kecil)</t>
  </si>
  <si>
    <t>Jupiter</t>
  </si>
  <si>
    <t>BH 2279 G</t>
  </si>
  <si>
    <t>MH3UE1120KJ242450</t>
  </si>
  <si>
    <t>E3R5E-0254589</t>
  </si>
  <si>
    <t>P-07645389F</t>
  </si>
  <si>
    <t>Muslim, S.Sos (Kasi Pem Kelurahn Jambi Kecil)</t>
  </si>
  <si>
    <t>BH 2329 G</t>
  </si>
  <si>
    <t>MH1KD1114MK261615</t>
  </si>
  <si>
    <t>KD11E-1260945</t>
  </si>
  <si>
    <t>Q-09564901F</t>
  </si>
  <si>
    <t>Neni Irdawati, S.Kom (Kasubbag Perencanaan dan Kepegawaian)</t>
  </si>
  <si>
    <t>Vario 160 new</t>
  </si>
  <si>
    <t>BH 2363 G</t>
  </si>
  <si>
    <t>MH1KFA11XNK138669</t>
  </si>
  <si>
    <t>KFA1E-1138734</t>
  </si>
  <si>
    <t>T-00677155F</t>
  </si>
  <si>
    <t>Siti Anisyah (Bendahara Pengeluaran)</t>
  </si>
  <si>
    <t>revo fi</t>
  </si>
  <si>
    <t>BH 6629 G</t>
  </si>
  <si>
    <t>MH1JBK317FK125244</t>
  </si>
  <si>
    <t>KBK3E-1125627</t>
  </si>
  <si>
    <t>L-06233192F</t>
  </si>
  <si>
    <t>Mukalam (Operasional Trantib Maro Sebo)</t>
  </si>
  <si>
    <t>NMAX ABS 155CC</t>
  </si>
  <si>
    <t>BH 2543 G</t>
  </si>
  <si>
    <t>MH3SG5680PK176270</t>
  </si>
  <si>
    <t>G3L8E-1635729</t>
  </si>
  <si>
    <t>T-04360543F</t>
  </si>
  <si>
    <t>Rozali, Spd (Lurah Jambi Kecil)</t>
  </si>
  <si>
    <t>BH 2651 G (EX BH 6557 GZ)</t>
  </si>
  <si>
    <t>MH1JBK319FK095101</t>
  </si>
  <si>
    <t>JBK3E-1094702</t>
  </si>
  <si>
    <t>L-03961531F</t>
  </si>
  <si>
    <t>Agusyanti, Amd (Bendahara Gaji)</t>
  </si>
  <si>
    <t>vario 160 new</t>
  </si>
  <si>
    <t>BH 2907 G</t>
  </si>
  <si>
    <t>MH1KF011XRK780146</t>
  </si>
  <si>
    <t>KF01E-1779892</t>
  </si>
  <si>
    <t>V-01660592F</t>
  </si>
  <si>
    <t>Eka Zulaika, SE (Kasubbag Keuangan)</t>
  </si>
  <si>
    <t>: KECAMATAN JAMBI LUAR KOTA</t>
  </si>
  <si>
    <t>No.Mesin</t>
  </si>
  <si>
    <t>Isuzu Smart FF</t>
  </si>
  <si>
    <t>Kecamatan Jambi Luar Kota</t>
  </si>
  <si>
    <t>BH 1169 G (EX BH 72 GZ)</t>
  </si>
  <si>
    <t>MHCTBR54FCK315173</t>
  </si>
  <si>
    <t>E315173</t>
  </si>
  <si>
    <t>I-11006613</t>
  </si>
  <si>
    <t>plat sebelum : BH 72 GZ</t>
  </si>
  <si>
    <t>Sekcam</t>
  </si>
  <si>
    <t>BH 1077 G</t>
  </si>
  <si>
    <t>MK3AAAGB5KJ009143</t>
  </si>
  <si>
    <t>LJ479QNE2*J08320964*</t>
  </si>
  <si>
    <t>P-06411105</t>
  </si>
  <si>
    <t>Marjudi, S.Pd</t>
  </si>
  <si>
    <t>BH 5069 GZ</t>
  </si>
  <si>
    <t>MHIHABA1X2K063028</t>
  </si>
  <si>
    <t>HABAE-1062420</t>
  </si>
  <si>
    <t>C-2190614</t>
  </si>
  <si>
    <t>gudang Ktr cmt</t>
  </si>
  <si>
    <t>BH 5195 GZ</t>
  </si>
  <si>
    <t>MHIHABC143K014700</t>
  </si>
  <si>
    <t>HABCE-1014364</t>
  </si>
  <si>
    <t>BH 5141 GZ</t>
  </si>
  <si>
    <t>MHIHABC153K015130</t>
  </si>
  <si>
    <t>HABCE-1014769</t>
  </si>
  <si>
    <t>C-4693108</t>
  </si>
  <si>
    <t>Kades Simp. Sei. Duren</t>
  </si>
  <si>
    <t>BH 5176 GZ</t>
  </si>
  <si>
    <t>MHIHABC1X3K017648</t>
  </si>
  <si>
    <t>HABCE-1017268</t>
  </si>
  <si>
    <t>C-4693145</t>
  </si>
  <si>
    <t>Kades Sei.Bertam</t>
  </si>
  <si>
    <t>M.Gulan</t>
  </si>
  <si>
    <t>BH 5184 GZ</t>
  </si>
  <si>
    <t>MHIHABC143K015796</t>
  </si>
  <si>
    <t>HABCE-1015492</t>
  </si>
  <si>
    <t>C-4693153</t>
  </si>
  <si>
    <t>Kades Sembubuk</t>
  </si>
  <si>
    <t>Sahrudin</t>
  </si>
  <si>
    <t>BH 5185 GZ</t>
  </si>
  <si>
    <t>MHIHABC113K014959</t>
  </si>
  <si>
    <t>HABCE-1016135</t>
  </si>
  <si>
    <t>C-4693154</t>
  </si>
  <si>
    <t>Kades Sarang Burung</t>
  </si>
  <si>
    <t>Badrun</t>
  </si>
  <si>
    <t xml:space="preserve">BH 5186 GZ </t>
  </si>
  <si>
    <t>MHIHABC173K014965</t>
  </si>
  <si>
    <t>HABCE-1016143</t>
  </si>
  <si>
    <t>C-4693155</t>
  </si>
  <si>
    <t>Kades Muaro Pijoan</t>
  </si>
  <si>
    <t>Yuh Yandi</t>
  </si>
  <si>
    <t>BH 5209 GZ</t>
  </si>
  <si>
    <t>MHIHABC183K015767</t>
  </si>
  <si>
    <t>HABCE-1015814</t>
  </si>
  <si>
    <t>C-4693177</t>
  </si>
  <si>
    <t>Kades Rengas Bandung</t>
  </si>
  <si>
    <t>Wahono</t>
  </si>
  <si>
    <t>BH 5210 GZ</t>
  </si>
  <si>
    <t>MHIHABC123K015778</t>
  </si>
  <si>
    <t>HABCE-1015813</t>
  </si>
  <si>
    <t>C-4693178</t>
  </si>
  <si>
    <t>Kades Mendalo Darat</t>
  </si>
  <si>
    <t>Bambang Santoso</t>
  </si>
  <si>
    <t>BH 5211 GZ</t>
  </si>
  <si>
    <t>MHIHABC113K015769</t>
  </si>
  <si>
    <t>HABCE1015808</t>
  </si>
  <si>
    <t>C-4693179</t>
  </si>
  <si>
    <t>Kades Pematang Jering</t>
  </si>
  <si>
    <t>A. Rasyid</t>
  </si>
  <si>
    <t>BH 5212 GZ</t>
  </si>
  <si>
    <t>MHIHABC1X3K015768</t>
  </si>
  <si>
    <t>HABCE-1015815</t>
  </si>
  <si>
    <t>C-4693180</t>
  </si>
  <si>
    <t>Kades Sungai Duren</t>
  </si>
  <si>
    <t>Zaini</t>
  </si>
  <si>
    <t>BH 5213 GZ</t>
  </si>
  <si>
    <t>MHIHABC153K015774</t>
  </si>
  <si>
    <t>HABCE-1015805</t>
  </si>
  <si>
    <t>C-4693181</t>
  </si>
  <si>
    <t>Kades Mendalo Laut</t>
  </si>
  <si>
    <t>BH 5239 GZ</t>
  </si>
  <si>
    <t>MHIHABC153K016455</t>
  </si>
  <si>
    <t>HABCE-1016132</t>
  </si>
  <si>
    <t>C-4693205</t>
  </si>
  <si>
    <t>Kades Peny..Olak</t>
  </si>
  <si>
    <t>tdk ditempat</t>
  </si>
  <si>
    <t>BH 5240 GZ</t>
  </si>
  <si>
    <t>MHIHABC133K014963</t>
  </si>
  <si>
    <t>HABCE-1016140</t>
  </si>
  <si>
    <t>C-4693206</t>
  </si>
  <si>
    <t>Kades Senaung</t>
  </si>
  <si>
    <t>Zainal Abidin</t>
  </si>
  <si>
    <t>BH 5243 GZ</t>
  </si>
  <si>
    <t>MHIHABC103K014970</t>
  </si>
  <si>
    <t>HABCE-1015914</t>
  </si>
  <si>
    <t>C-4693209</t>
  </si>
  <si>
    <t>Kades Maro Sebo</t>
  </si>
  <si>
    <t>Ragil</t>
  </si>
  <si>
    <t>BH 5244 GZ</t>
  </si>
  <si>
    <t>MHIHABC193K015776</t>
  </si>
  <si>
    <t>HABCE-1015796</t>
  </si>
  <si>
    <t>C-4693210</t>
  </si>
  <si>
    <t>Kades Muhajirin</t>
  </si>
  <si>
    <t>Rahmat</t>
  </si>
  <si>
    <t>BH 5238 GZ</t>
  </si>
  <si>
    <t>MHIHABC1X3K015771</t>
  </si>
  <si>
    <t>HABCE-1015804</t>
  </si>
  <si>
    <t>C-4693204</t>
  </si>
  <si>
    <t>Kades Kademangan</t>
  </si>
  <si>
    <t>Alpian, SH</t>
  </si>
  <si>
    <t>BH 5405 GZ</t>
  </si>
  <si>
    <t>MHIHB31186K242208</t>
  </si>
  <si>
    <t>HB31E-12740375</t>
  </si>
  <si>
    <t>D-9864422</t>
  </si>
  <si>
    <t>Pembuat Daftar Gaji</t>
  </si>
  <si>
    <t>Agus M.Noor,SH</t>
  </si>
  <si>
    <t>Honda Mega Pro  Plux Box Givi Helm</t>
  </si>
  <si>
    <t>BH 5713 GZ</t>
  </si>
  <si>
    <t>MH1KC12188K103155</t>
  </si>
  <si>
    <t>KC12E-1100325</t>
  </si>
  <si>
    <t>Pengelola Barang</t>
  </si>
  <si>
    <t>Ermawati</t>
  </si>
  <si>
    <t>BH 5714 GZ</t>
  </si>
  <si>
    <t>MH1KC188K103154</t>
  </si>
  <si>
    <t>KC12E-11003183</t>
  </si>
  <si>
    <t>Kasi Trantib</t>
  </si>
  <si>
    <t>Kristianto Purba, SE</t>
  </si>
  <si>
    <t>BH 2617 G ( EX BH 5833 GZ)</t>
  </si>
  <si>
    <t>MH33C10029k210898</t>
  </si>
  <si>
    <t>3C-212097</t>
  </si>
  <si>
    <t>F-8678022</t>
  </si>
  <si>
    <t>plat sebelum : BH 5833 GZ</t>
  </si>
  <si>
    <t>Kasi Pemerintahan</t>
  </si>
  <si>
    <t>Muhammad Rais, SE.</t>
  </si>
  <si>
    <t>Honda Type GL 160D Mega Pro</t>
  </si>
  <si>
    <t>BH 5863 GZ</t>
  </si>
  <si>
    <t>Mh 1KC 11169K211048</t>
  </si>
  <si>
    <t>KC11E1213090</t>
  </si>
  <si>
    <t>Kasi Pelum Kel.</t>
  </si>
  <si>
    <t>Reni Hartati, S.Kom.MM</t>
  </si>
  <si>
    <t>BH 2618 G ( EX BH 5992 GZ)</t>
  </si>
  <si>
    <t>MHKC1110AK261450</t>
  </si>
  <si>
    <t>KC11E1263147</t>
  </si>
  <si>
    <t>H-07017321</t>
  </si>
  <si>
    <t>plat sebelum : BH 5992 GZ</t>
  </si>
  <si>
    <t>Kasubbag Perc/Kepg.</t>
  </si>
  <si>
    <t>Ismail, SM</t>
  </si>
  <si>
    <t>BH 5901 GZ</t>
  </si>
  <si>
    <t>MH1JB811XAK576392</t>
  </si>
  <si>
    <t>JBB1E-1571777</t>
  </si>
  <si>
    <t>H-03730598</t>
  </si>
  <si>
    <t>Kades Simp. Limo</t>
  </si>
  <si>
    <t>M. Jamel</t>
  </si>
  <si>
    <t>BH 5910 GZ</t>
  </si>
  <si>
    <t>MH1JB8118AK575774</t>
  </si>
  <si>
    <t>JBB1E-1571248</t>
  </si>
  <si>
    <t>H-03730561</t>
  </si>
  <si>
    <t>Kades Danau Sarang Elang</t>
  </si>
  <si>
    <t>Rizky Wulandari</t>
  </si>
  <si>
    <t>BH 5908 GZ</t>
  </si>
  <si>
    <t>MH1JB8116AK575725</t>
  </si>
  <si>
    <t>JBB1E-1571193</t>
  </si>
  <si>
    <t>H-03730559</t>
  </si>
  <si>
    <t>Kades Penyengat Olak</t>
  </si>
  <si>
    <t>A.Roni</t>
  </si>
  <si>
    <t>Jupiter Z</t>
  </si>
  <si>
    <t>BH 2730 G (EX BH 6372 GZ)</t>
  </si>
  <si>
    <t>MH31DY005DJI88974</t>
  </si>
  <si>
    <t>1DY-188994</t>
  </si>
  <si>
    <t>K-03794373</t>
  </si>
  <si>
    <t>plat Sebelum : BH 6372 GZ</t>
  </si>
  <si>
    <t>Kasi PMD</t>
  </si>
  <si>
    <t>Meiry Aryani, S.Kom.</t>
  </si>
  <si>
    <t>BH 2619 G (EX BH 6359 GZ)</t>
  </si>
  <si>
    <t>MH1KC5219DK105367</t>
  </si>
  <si>
    <t>KC52EE-1106525</t>
  </si>
  <si>
    <t>K-03792006</t>
  </si>
  <si>
    <t>plat sebelum : BH 6359 GZ</t>
  </si>
  <si>
    <t>Kasubbag Umum/Keuangan</t>
  </si>
  <si>
    <t>Hermawati</t>
  </si>
  <si>
    <t>BH 2620 G (EX BH 6467 GZ)</t>
  </si>
  <si>
    <t>MH 31PA004EK552864</t>
  </si>
  <si>
    <t>1PA-553054</t>
  </si>
  <si>
    <t>K-09690196</t>
  </si>
  <si>
    <t>plat sebelum : BH 6467 GZ</t>
  </si>
  <si>
    <t>Kasi Pelum/Kesra</t>
  </si>
  <si>
    <t>Padlan Nugraha, SH</t>
  </si>
  <si>
    <t>YAMAHA NMAX ABS</t>
  </si>
  <si>
    <t>BH 2542 G</t>
  </si>
  <si>
    <t>MH3SG5680PK176267</t>
  </si>
  <si>
    <t>T-04360542</t>
  </si>
  <si>
    <t>Lurah Pijoan</t>
  </si>
  <si>
    <t>Susilawati, S.Kom</t>
  </si>
  <si>
    <t>Grand Filano Hybrid Yamaha BJM-L A/T</t>
  </si>
  <si>
    <t xml:space="preserve">YAMAHA </t>
  </si>
  <si>
    <t>BH 2902 G</t>
  </si>
  <si>
    <t>MH3SEK610RJ130757</t>
  </si>
  <si>
    <t>E34KE0130760</t>
  </si>
  <si>
    <t>U-05219663</t>
  </si>
  <si>
    <t>Muhammad Ali,SH.</t>
  </si>
  <si>
    <t>YAMAHA</t>
  </si>
  <si>
    <t>BH 2903 G</t>
  </si>
  <si>
    <t>MH3SEK610RJ109747</t>
  </si>
  <si>
    <t>E34KE0109750</t>
  </si>
  <si>
    <t>U-05219664</t>
  </si>
  <si>
    <t>Julianto</t>
  </si>
  <si>
    <t>HONDA/L 1K02Q33L1A/T</t>
  </si>
  <si>
    <t>BH 2365 G</t>
  </si>
  <si>
    <t>MHF1KFA112NK142411</t>
  </si>
  <si>
    <t>KFA1E-1142826</t>
  </si>
  <si>
    <t>T-00680616</t>
  </si>
  <si>
    <t>Staf Pelum/Kesra</t>
  </si>
  <si>
    <t>Bona Ripo, SE.</t>
  </si>
  <si>
    <t>: KECAMATAN MESTONG</t>
  </si>
  <si>
    <t>Kecamatan Mestong</t>
  </si>
  <si>
    <t>BH 1101 G/ EX BH 73 GZ</t>
  </si>
  <si>
    <t>MHCTBR54FCK315237</t>
  </si>
  <si>
    <t>E315237</t>
  </si>
  <si>
    <t>I-11006614F</t>
  </si>
  <si>
    <t>BH 73 GZ</t>
  </si>
  <si>
    <t>DIDI MISGIONO,SE</t>
  </si>
  <si>
    <t>BH 1075 G</t>
  </si>
  <si>
    <t>MK3AAAGB3KJ009142</t>
  </si>
  <si>
    <t>LJ479QNE2*J08320948*</t>
  </si>
  <si>
    <t>P-06411103</t>
  </si>
  <si>
    <t>HERMISAHPUTRA,SE</t>
  </si>
  <si>
    <t>BH 5347 BZ</t>
  </si>
  <si>
    <t>MHIHA000102006</t>
  </si>
  <si>
    <t>BH 2734 G</t>
  </si>
  <si>
    <t>TRI MULYANINGSIH,SE</t>
  </si>
  <si>
    <t>BH 2714 G/ EX BH 5079 GZ</t>
  </si>
  <si>
    <t>MHIHABB102K028058</t>
  </si>
  <si>
    <t>HABBE-1027919</t>
  </si>
  <si>
    <t>C-2190624F</t>
  </si>
  <si>
    <t>MASRANI</t>
  </si>
  <si>
    <t>rusak</t>
  </si>
  <si>
    <t>BH 2734 G/ EX BH 5251 GZ</t>
  </si>
  <si>
    <t>MHIHABC103KO17013</t>
  </si>
  <si>
    <t>HABCE-1015454</t>
  </si>
  <si>
    <t>C-4693217F</t>
  </si>
  <si>
    <t>BH 5226 GZ</t>
  </si>
  <si>
    <t>MHIHABC153K017038</t>
  </si>
  <si>
    <t>HABCE-1016370</t>
  </si>
  <si>
    <t>C-4693192F</t>
  </si>
  <si>
    <t>BH 5241 GZ</t>
  </si>
  <si>
    <t>MHIHABC133K017037</t>
  </si>
  <si>
    <t>HABCE-1016373</t>
  </si>
  <si>
    <t>C-4693207F</t>
  </si>
  <si>
    <t>Honda Supra Fit Cakram</t>
  </si>
  <si>
    <t>BH 5416 GZ</t>
  </si>
  <si>
    <t>MHIHAB311K300014</t>
  </si>
  <si>
    <t>HB31E-1297733</t>
  </si>
  <si>
    <t>D-9864425F</t>
  </si>
  <si>
    <t>SAFRIZAL,A.Md</t>
  </si>
  <si>
    <t>Honda Mega Pro CW (Hitam)</t>
  </si>
  <si>
    <t>BH 5752 GZ</t>
  </si>
  <si>
    <t>KC12128K123434</t>
  </si>
  <si>
    <t>KC12E-1123206</t>
  </si>
  <si>
    <t>F-6461983F</t>
  </si>
  <si>
    <t>MUSLAIDIN</t>
  </si>
  <si>
    <t>BH 4016 G/ EX BH 5751 GZ</t>
  </si>
  <si>
    <t>MH1KC12158K123427</t>
  </si>
  <si>
    <t>KC12E-1123427</t>
  </si>
  <si>
    <t>T-00684188F</t>
  </si>
  <si>
    <t>BH 4016 G</t>
  </si>
  <si>
    <t>ISROK VIRGUNAWAN,YP,SE</t>
  </si>
  <si>
    <t>BH 4067 G/ EX BH 5853 GZ</t>
  </si>
  <si>
    <t>MH330C0029J548803</t>
  </si>
  <si>
    <t>30C548805</t>
  </si>
  <si>
    <t>U-05220936F</t>
  </si>
  <si>
    <t>BH 4067 G</t>
  </si>
  <si>
    <t>RUJI ASTUTI,SE</t>
  </si>
  <si>
    <t>BH 5844 GZ</t>
  </si>
  <si>
    <t>MHIKCIII49K236983</t>
  </si>
  <si>
    <t>MARYANAH,E,SE</t>
  </si>
  <si>
    <t>BH 5987 GZ</t>
  </si>
  <si>
    <t>MH1KC1115AK264294</t>
  </si>
  <si>
    <t>KC11E-1266009</t>
  </si>
  <si>
    <t>H-07017324F</t>
  </si>
  <si>
    <t>SUHARDIMAN,SH</t>
  </si>
  <si>
    <t>BH 2628 G/ EX BH 5893 GZ</t>
  </si>
  <si>
    <t>MH1JB8119AK578537</t>
  </si>
  <si>
    <t>JB81E-1573932</t>
  </si>
  <si>
    <t>H-03730478F</t>
  </si>
  <si>
    <t>KASMIANTO</t>
  </si>
  <si>
    <t>BH 2611 G/ EX BH 5894 GZ</t>
  </si>
  <si>
    <t>MH1JB8113AK577285</t>
  </si>
  <si>
    <t>JB81E-1572551</t>
  </si>
  <si>
    <t>H-03730479F</t>
  </si>
  <si>
    <t>BH 2611 G</t>
  </si>
  <si>
    <t>ABDUL RAHMAN SAYUTI</t>
  </si>
  <si>
    <t>BH 6361 GZ</t>
  </si>
  <si>
    <t>MHK1KC5218DK108874</t>
  </si>
  <si>
    <t>OKY TRIBUANA,SE</t>
  </si>
  <si>
    <t>BH 4014 G/ EX BH 6351 GZ</t>
  </si>
  <si>
    <t>MH1KC5217DK105352</t>
  </si>
  <si>
    <t>KC52E-1106531</t>
  </si>
  <si>
    <t>T-00684189F</t>
  </si>
  <si>
    <t>BH 4014 G</t>
  </si>
  <si>
    <t>DARYANTO</t>
  </si>
  <si>
    <t>Yamaha MIO M3 CW</t>
  </si>
  <si>
    <t>BH 6641 GZ</t>
  </si>
  <si>
    <t>MH3SE8810GJ544093</t>
  </si>
  <si>
    <t>L-08608426</t>
  </si>
  <si>
    <t>MEYLIANI,SE</t>
  </si>
  <si>
    <t>BH 6642 GZ</t>
  </si>
  <si>
    <t>MH3SE8810GJ550317</t>
  </si>
  <si>
    <t>HERRU DWILAKSONO,SE</t>
  </si>
  <si>
    <t>Yamaha Freego (merah)</t>
  </si>
  <si>
    <t>BH 2292 G</t>
  </si>
  <si>
    <t>MH3SEF52LJ029530</t>
  </si>
  <si>
    <t>E31XE-0036293</t>
  </si>
  <si>
    <t>P-07660555F</t>
  </si>
  <si>
    <t>ALAHAP,SE</t>
  </si>
  <si>
    <t>Yamaha Freego (Biru)</t>
  </si>
  <si>
    <t>BH 2291 G</t>
  </si>
  <si>
    <t>MH3SEF520LJ028099</t>
  </si>
  <si>
    <t>E31XE-0034856</t>
  </si>
  <si>
    <t>P-07660554F</t>
  </si>
  <si>
    <t>AHADIAH,SE</t>
  </si>
  <si>
    <t>Kendaraan Bermotor Roda Dua</t>
  </si>
  <si>
    <t>YAMAHA NMAX</t>
  </si>
  <si>
    <t>BH 2554 G</t>
  </si>
  <si>
    <t>MH33G5680PK175969</t>
  </si>
  <si>
    <t>G3L8E-1635320</t>
  </si>
  <si>
    <t>T-04364843F</t>
  </si>
  <si>
    <t>KEC.MESTONG</t>
  </si>
  <si>
    <t>HENY SUGIYANTO,SE</t>
  </si>
  <si>
    <t>: KECAMATAN KUMPEH ULU</t>
  </si>
  <si>
    <t>Kecamatan Kumpeh Ulu</t>
  </si>
  <si>
    <t>BH 1229 G / EX BH 71 GZ</t>
  </si>
  <si>
    <t>MHCTBR54FCK315170</t>
  </si>
  <si>
    <t xml:space="preserve"> E315170</t>
  </si>
  <si>
    <t>I-11006612</t>
  </si>
  <si>
    <t xml:space="preserve"> Sekcam (Eks BH 71 GZ) </t>
  </si>
  <si>
    <t>MUSADAT AL ZUBAIR,S.STP</t>
  </si>
  <si>
    <t>Wulling Cortez 1,8 L</t>
  </si>
  <si>
    <t>BH 1083 G</t>
  </si>
  <si>
    <t>MK3AAAGB4K009134</t>
  </si>
  <si>
    <t>LJ479QNE2*J09321034*</t>
  </si>
  <si>
    <t>P-06411111</t>
  </si>
  <si>
    <t xml:space="preserve"> Camat </t>
  </si>
  <si>
    <t>ARIAN SAFUTRA ,S.STP.MM.</t>
  </si>
  <si>
    <t>Junaidi SE</t>
  </si>
  <si>
    <t xml:space="preserve"> KENDARAAN BERMOTOR BERODA DUA</t>
  </si>
  <si>
    <t>BH 5136 GZ</t>
  </si>
  <si>
    <t>MHIHABC103K015164</t>
  </si>
  <si>
    <t>HABCE-1014873</t>
  </si>
  <si>
    <t>C-4693103</t>
  </si>
  <si>
    <t xml:space="preserve"> Kades Lopak Alai </t>
  </si>
  <si>
    <t>DALAM USULAN PENJUALAN/LELANG</t>
  </si>
  <si>
    <t>BH 5173 GZ</t>
  </si>
  <si>
    <t>MHIHABC123K015151</t>
  </si>
  <si>
    <t>HABCE-1014902</t>
  </si>
  <si>
    <t xml:space="preserve"> Kades Sumber Jaya </t>
  </si>
  <si>
    <t>SUDAH LAKU LELANG</t>
  </si>
  <si>
    <t>BH 5207 GZ</t>
  </si>
  <si>
    <t>MHIHABC173K014674</t>
  </si>
  <si>
    <t>HABCE-1014353</t>
  </si>
  <si>
    <t>C-4693175</t>
  </si>
  <si>
    <t xml:space="preserve"> Kades Arang-Arang </t>
  </si>
  <si>
    <t xml:space="preserve">Honda Supra Fit Cakram </t>
  </si>
  <si>
    <t>BH  2583 G (EX. BH.5415 GZ)</t>
  </si>
  <si>
    <t>MHIHB31156K245647</t>
  </si>
  <si>
    <t>HB31E-1246129</t>
  </si>
  <si>
    <t>D-9864423</t>
  </si>
  <si>
    <t xml:space="preserve"> BENDAHARA BARANG</t>
  </si>
  <si>
    <t>EMI SUSILAWATI.S.Ag</t>
  </si>
  <si>
    <t>BENDAHARA BARANG</t>
  </si>
  <si>
    <t>Kendaraan di Kec. Mestong</t>
  </si>
  <si>
    <t>Honda Supra NF 125 SD</t>
  </si>
  <si>
    <t>BH  2584 G ( EX. BH 5538 GZ)</t>
  </si>
  <si>
    <t>MHIJB51247K009546</t>
  </si>
  <si>
    <t>JB51E-1998526</t>
  </si>
  <si>
    <t>E-6408030</t>
  </si>
  <si>
    <t>BENDAHARA PENGGELUARAN</t>
  </si>
  <si>
    <t>NUR AINA, S.KOM</t>
  </si>
  <si>
    <t>Munawir Kudori, SE</t>
  </si>
  <si>
    <t>Fungsional Umum</t>
  </si>
  <si>
    <t>Honda /GL</t>
  </si>
  <si>
    <t>BH 2589 G ( EX BH 6353 GZ)</t>
  </si>
  <si>
    <t>MHIKC5217DK106338</t>
  </si>
  <si>
    <t>KC52E-1107821</t>
  </si>
  <si>
    <t>K-03792008</t>
  </si>
  <si>
    <t>Admin TPP</t>
  </si>
  <si>
    <t>SULASTRI .S.SOS</t>
  </si>
  <si>
    <t>Honda /GL 160 D</t>
  </si>
  <si>
    <t>BH  2586 G / EX. BH. 5991 GZ</t>
  </si>
  <si>
    <t>MHKC1118AK262684</t>
  </si>
  <si>
    <t>KC11E-1264044</t>
  </si>
  <si>
    <t>H-07017328</t>
  </si>
  <si>
    <t xml:space="preserve"> KASI PEMERINTAHAN</t>
  </si>
  <si>
    <t>RD. EFFENDI</t>
  </si>
  <si>
    <t>Kasi Pem</t>
  </si>
  <si>
    <t>Supra X 125 CW/NF 12</t>
  </si>
  <si>
    <t>BH 2587 G / EX. BH.  6231 GZ</t>
  </si>
  <si>
    <t>MHIJB9133DK322521</t>
  </si>
  <si>
    <t>JB91E-3307709</t>
  </si>
  <si>
    <t>K-01756917</t>
  </si>
  <si>
    <t>KASI PMD</t>
  </si>
  <si>
    <t>SUANDI .SE</t>
  </si>
  <si>
    <t>BH  2588 G / EX. BH 6232 GZ</t>
  </si>
  <si>
    <t>MHIJB9133DK322356</t>
  </si>
  <si>
    <t>JB91E-3307068</t>
  </si>
  <si>
    <t>K-01756873</t>
  </si>
  <si>
    <t>KASI PELUMSOS</t>
  </si>
  <si>
    <t>NUR HASANAH ,SE</t>
  </si>
  <si>
    <t>Kasi Pelu mdan Kesos</t>
  </si>
  <si>
    <t>Honda GL 160 D</t>
  </si>
  <si>
    <t>BH  2585 G / EX. BH .5834 GZ</t>
  </si>
  <si>
    <t>MH1KC111X9K228600</t>
  </si>
  <si>
    <t>KC11E-1230413</t>
  </si>
  <si>
    <t>F-8688106</t>
  </si>
  <si>
    <t>BENDAHARA GAJI</t>
  </si>
  <si>
    <t>SAIDAH</t>
  </si>
  <si>
    <t>YAMAHA V-IXION</t>
  </si>
  <si>
    <t>BH 2297 G</t>
  </si>
  <si>
    <t>MH3RG4610LK130489</t>
  </si>
  <si>
    <t>G3E7E-0508092</t>
  </si>
  <si>
    <t>P-07662440</t>
  </si>
  <si>
    <t>KETUA TP.PKKK KECAMATAN</t>
  </si>
  <si>
    <t>DIRA WENDRIYANI ,SE.,MM</t>
  </si>
  <si>
    <t>Komarian</t>
  </si>
  <si>
    <t>Ketua TP PKK Kecamatan</t>
  </si>
  <si>
    <t>YAMAHA FREEGO S</t>
  </si>
  <si>
    <t>BH 2296 G</t>
  </si>
  <si>
    <t>MH3SEF520LJ023011</t>
  </si>
  <si>
    <t>E31XE-0028772</t>
  </si>
  <si>
    <t>P-07662439</t>
  </si>
  <si>
    <t xml:space="preserve"> KASUBAG PERENCANAAN DAN KEPEGAWAIAN</t>
  </si>
  <si>
    <t>MAIDAH SETYA RAHAYU.S.KOM</t>
  </si>
  <si>
    <t>KASUBAG PERENCANAAN DAN KEPEGAWAIAN</t>
  </si>
  <si>
    <t>Pudak ,   17 November 2025</t>
  </si>
  <si>
    <t>CAMAT KUMPEH ULU</t>
  </si>
  <si>
    <t>Penggurus Barang</t>
  </si>
  <si>
    <t>ARIAN SAFUTRA .S.STP. MM</t>
  </si>
  <si>
    <t>NIP.19910505 201206 1 002</t>
  </si>
  <si>
    <t>NIP.19760323 201001 2 001</t>
  </si>
  <si>
    <t>: KECAMATAN KUMPEH</t>
  </si>
  <si>
    <t>Kecamatan Kumpeh</t>
  </si>
  <si>
    <t>BH 1168 G,
EX BH 70 GZ</t>
  </si>
  <si>
    <t>MHCTBR54FCK315169</t>
  </si>
  <si>
    <t>E-315169</t>
  </si>
  <si>
    <t>I-110006611</t>
  </si>
  <si>
    <t>Ex BH 70 GZ</t>
  </si>
  <si>
    <t>Sekretaris Camat (Widyawati S.Sos)</t>
  </si>
  <si>
    <t>Multi Purpose Vehicle (MPV) Wuling</t>
  </si>
  <si>
    <t>BH 1078 G</t>
  </si>
  <si>
    <t>MK3AAAGB9KJ009145</t>
  </si>
  <si>
    <t>LJ479QNE2*J09321082*</t>
  </si>
  <si>
    <t>P-06411106</t>
  </si>
  <si>
    <t>Camat (Benyamin, SP)</t>
  </si>
  <si>
    <t>Honda Supra Fit NF 100 SL</t>
  </si>
  <si>
    <t>BH 5403 GZ</t>
  </si>
  <si>
    <t>MH1HB31146K283936</t>
  </si>
  <si>
    <t>HB31E-1277457</t>
  </si>
  <si>
    <t>D-9864421</t>
  </si>
  <si>
    <t>Bendaharawan Barang (Krsina Noviardi)</t>
  </si>
  <si>
    <t>GL 160 D Mega Pro</t>
  </si>
  <si>
    <t>BH 2698 G,
EX BH 5716 GZ</t>
  </si>
  <si>
    <t>MH1KC12128K106830</t>
  </si>
  <si>
    <t>KC12E-1106760</t>
  </si>
  <si>
    <t>F-4992744</t>
  </si>
  <si>
    <t>Ex BH 5716 GZ</t>
  </si>
  <si>
    <t>Pembantu PPK (Ajis)</t>
  </si>
  <si>
    <t>Bendaharawan Pengeluaran (Yani)</t>
  </si>
  <si>
    <t>Honda Mega Pro 160DCW</t>
  </si>
  <si>
    <t>BH 5715 GZ</t>
  </si>
  <si>
    <t>MH1KC12128K106729</t>
  </si>
  <si>
    <t>KC12E-1106416</t>
  </si>
  <si>
    <t>Kasi PMD Kecamatan (Anwar Sadad, S.Pd.I)</t>
  </si>
  <si>
    <t>Honda NF125</t>
  </si>
  <si>
    <t>MH11KC12198K103259</t>
  </si>
  <si>
    <t xml:space="preserve"> Kantor Lurah Tanjung </t>
  </si>
  <si>
    <t>Yamaha – 3C1 (V-IXION)</t>
  </si>
  <si>
    <t>BH 2672 G,
EX BH 5845 GZ</t>
  </si>
  <si>
    <t>MH33C10029K212625</t>
  </si>
  <si>
    <t>3C1-213694</t>
  </si>
  <si>
    <t>Ex BH 5845 GZ</t>
  </si>
  <si>
    <t>Di Gudang utk usulan lelang</t>
  </si>
  <si>
    <t>BH 5843 GZ</t>
  </si>
  <si>
    <t>MH1KC111X9K231335</t>
  </si>
  <si>
    <t>NF 125 TR – SUPRA125</t>
  </si>
  <si>
    <t>BH 2697 G,
EX BH 5964 GZ</t>
  </si>
  <si>
    <t>MHIJB912XAK293814</t>
  </si>
  <si>
    <t>JB91E-2282685</t>
  </si>
  <si>
    <t>H-05775336</t>
  </si>
  <si>
    <t>Kasubbag Perencanaan &amp; Kepegawaian (Abdul Rahman, SE)</t>
  </si>
  <si>
    <t>Honda Mega Pro - GL 160 D</t>
  </si>
  <si>
    <t>BH 5993 GZ</t>
  </si>
  <si>
    <t>MHKC1115AK261234</t>
  </si>
  <si>
    <t>KC11E-1262864</t>
  </si>
  <si>
    <t>H-07017329</t>
  </si>
  <si>
    <t>Kasi Pelum &amp; Kessos (Apsanah, SE)</t>
  </si>
  <si>
    <t>HONDA SUPRAX 125</t>
  </si>
  <si>
    <t>BH 5904 GZ</t>
  </si>
  <si>
    <t>MH1JB8110AK575753</t>
  </si>
  <si>
    <t>JB81E-1571072</t>
  </si>
  <si>
    <t>H-03730601</t>
  </si>
  <si>
    <t xml:space="preserve"> Kades Londerang </t>
  </si>
  <si>
    <t>BH 5896 GZ</t>
  </si>
  <si>
    <t>MH1JB811XAK576330</t>
  </si>
  <si>
    <t>JB81E-1571822</t>
  </si>
  <si>
    <t>H-03730632</t>
  </si>
  <si>
    <t xml:space="preserve"> Kades Maju Jaya </t>
  </si>
  <si>
    <t>Honda GL 15 A1RR M/T</t>
  </si>
  <si>
    <t xml:space="preserve">BH 2673 G,
EX BH 6247 GZ </t>
  </si>
  <si>
    <t>MH1KC3112DK28911</t>
  </si>
  <si>
    <t>KC31E-1287941</t>
  </si>
  <si>
    <t>K-02038061</t>
  </si>
  <si>
    <t>Kasi Pemerintahan (Iwa Agustiwa, SE)</t>
  </si>
  <si>
    <t>1DY - Yamaha F1 ZR</t>
  </si>
  <si>
    <t>BH 2670 G,
EX BH 6481 GZ</t>
  </si>
  <si>
    <t>MH31DY008EJ307941</t>
  </si>
  <si>
    <t>1DY-307966</t>
  </si>
  <si>
    <t>K-12135545</t>
  </si>
  <si>
    <t>Kasubbag Umum &amp; Keuangan (Rubiati, SE)</t>
  </si>
  <si>
    <t>N-MAX ABS 155 CC, No. Mesin : G3L8E-1635756</t>
  </si>
  <si>
    <t xml:space="preserve"> Yamaha  </t>
  </si>
  <si>
    <t>BH 2389 G</t>
  </si>
  <si>
    <t>MH3SG5680PK176273</t>
  </si>
  <si>
    <t>G3L8E1635756</t>
  </si>
  <si>
    <t>T-04348964</t>
  </si>
  <si>
    <t>Lurah Tanjung (Syahroni, SE)</t>
  </si>
  <si>
    <t>BH 2597 G</t>
  </si>
  <si>
    <t>MH1KD111XSK657920</t>
  </si>
  <si>
    <t>KD11E-1657145</t>
  </si>
  <si>
    <t>W-01968715F</t>
  </si>
  <si>
    <t>STNK di BPKAD (DALAM BPKB)</t>
  </si>
  <si>
    <t>: KECAMATAN SUNGAI BAHAR</t>
  </si>
  <si>
    <t>BH 1336 G, 
Ex. BH 1096 G, 
Ex. BH 74 GZ</t>
  </si>
  <si>
    <t>MHCTBR54FCK315238</t>
  </si>
  <si>
    <t>E-315238</t>
  </si>
  <si>
    <t>I-11006615</t>
  </si>
  <si>
    <t>BH 1082 G</t>
  </si>
  <si>
    <t>MK 3AAAGB1KJ009141</t>
  </si>
  <si>
    <t>LJ479QNE2*J08320940*</t>
  </si>
  <si>
    <t>P-06411110</t>
  </si>
  <si>
    <t>BH 4006, Ex. BH 5250 GZ</t>
  </si>
  <si>
    <t>MHIHABC193K017043</t>
  </si>
  <si>
    <t>HABCE-1016362</t>
  </si>
  <si>
    <t>C-4693216</t>
  </si>
  <si>
    <t>Digudang</t>
  </si>
  <si>
    <t>Pak warno</t>
  </si>
  <si>
    <t>BH 5193 GZ</t>
  </si>
  <si>
    <t>MHIHABC163K014987</t>
  </si>
  <si>
    <t>HABCE-1015778</t>
  </si>
  <si>
    <t>C-4693162</t>
  </si>
  <si>
    <t>Hilang</t>
  </si>
  <si>
    <t>Kades Talang Bukit</t>
  </si>
  <si>
    <t>BH 5182 GZ</t>
  </si>
  <si>
    <t>MHIHABC193K012943</t>
  </si>
  <si>
    <t>HABCE-1015043</t>
  </si>
  <si>
    <t>C-4693151</t>
  </si>
  <si>
    <t>Kades Bahar Mulya</t>
  </si>
  <si>
    <t>BH 5178 GZ</t>
  </si>
  <si>
    <t>MHIHABC163K012916</t>
  </si>
  <si>
    <t>HABCE-1014837</t>
  </si>
  <si>
    <t>C-4693147</t>
  </si>
  <si>
    <t>Kades Markanding</t>
  </si>
  <si>
    <t xml:space="preserve">Rusak Ringan </t>
  </si>
  <si>
    <t>BH 5414 GZ</t>
  </si>
  <si>
    <t>MH1HB31126K300037</t>
  </si>
  <si>
    <t>HB31E-1297464</t>
  </si>
  <si>
    <t>D-9864424</t>
  </si>
  <si>
    <t>BH 4003 G, 
Ex. BH 5764 GZ</t>
  </si>
  <si>
    <t>MHK1KC12118K137843</t>
  </si>
  <si>
    <t>KC12E-1137481</t>
  </si>
  <si>
    <t>F-6463890</t>
  </si>
  <si>
    <t>Kasubbag .Perencanaan &amp; Kepeg.</t>
  </si>
  <si>
    <t>BH 4002 G, 
Ex BH 5763 GZ</t>
  </si>
  <si>
    <t>MHK1KC12138K137729</t>
  </si>
  <si>
    <t>KC12E-1137764</t>
  </si>
  <si>
    <t>F-6463928</t>
  </si>
  <si>
    <t>Analis Perlindungan Masy.</t>
  </si>
  <si>
    <t>BH 5878 GZ</t>
  </si>
  <si>
    <t>MH8EN125A9J-616654</t>
  </si>
  <si>
    <t>F405-ID-616192</t>
  </si>
  <si>
    <t>G. 1304228</t>
  </si>
  <si>
    <t>Analis Pelayanan Umum</t>
  </si>
  <si>
    <t>BH 6013 G, 
Ex BH 6013 GZ</t>
  </si>
  <si>
    <t>MHKC1113AK251835</t>
  </si>
  <si>
    <t>KC11E1253601</t>
  </si>
  <si>
    <t>H-11428383</t>
  </si>
  <si>
    <t>Yamaha Jupiter Z SE</t>
  </si>
  <si>
    <t>BH 2591 G,
EX BH 5978 GZ</t>
  </si>
  <si>
    <t>MH331B002AJ584885</t>
  </si>
  <si>
    <t>31B584904</t>
  </si>
  <si>
    <t>H-06804379</t>
  </si>
  <si>
    <t>Pengelola BMD</t>
  </si>
  <si>
    <t xml:space="preserve">Vario Techno CBS ( Helm In ) </t>
  </si>
  <si>
    <t>BH 2687 G, 
Ex BH 6182 GZ</t>
  </si>
  <si>
    <t>JFC115CK163094</t>
  </si>
  <si>
    <t>JFC1E1161436</t>
  </si>
  <si>
    <t>J-04077720</t>
  </si>
  <si>
    <t>Kasi Pumkes</t>
  </si>
  <si>
    <t>Honda Supra X 125 Helm In Fi</t>
  </si>
  <si>
    <t>BH 2689, 
Ex BH 6183 GZ</t>
  </si>
  <si>
    <t>MHIJBG114K068951</t>
  </si>
  <si>
    <t>JBG1E1068499</t>
  </si>
  <si>
    <t>J-04077719</t>
  </si>
  <si>
    <t>BH 4005 G, Ex. BH 6358 GZ</t>
  </si>
  <si>
    <t>MH1KC5215DK105298</t>
  </si>
  <si>
    <t>KC52E-1105917</t>
  </si>
  <si>
    <t>K-03791994</t>
  </si>
  <si>
    <t>Kasubbag Umum &amp; Keu</t>
  </si>
  <si>
    <t>Sepeda Motor / HondA Verza/ 149,15 CC</t>
  </si>
  <si>
    <t>BH 2246 G</t>
  </si>
  <si>
    <t>MH1KC0215LK101074</t>
  </si>
  <si>
    <t>KC02E1100546</t>
  </si>
  <si>
    <t>P-06465225</t>
  </si>
  <si>
    <t xml:space="preserve">Penyusun Lap.Keuangan </t>
  </si>
  <si>
    <t>BH 2247 G</t>
  </si>
  <si>
    <t>MH1KC0212LK101422</t>
  </si>
  <si>
    <t>KC02E1100907</t>
  </si>
  <si>
    <t>P-06465226</t>
  </si>
  <si>
    <t>Kasi PEM</t>
  </si>
  <si>
    <t>BH 2248 G</t>
  </si>
  <si>
    <t>MH1KC0210LK101080</t>
  </si>
  <si>
    <t>KC02E1100550</t>
  </si>
  <si>
    <t>P-06465227</t>
  </si>
  <si>
    <t>Bendahara</t>
  </si>
  <si>
    <t>Kapasitas Mesin 156,9 CC</t>
  </si>
  <si>
    <t>BH 2504 G</t>
  </si>
  <si>
    <t>MH1KF0112PK445864</t>
  </si>
  <si>
    <t>KF01E-1445872</t>
  </si>
  <si>
    <t>T-04354308</t>
  </si>
  <si>
    <t>: KECAMATAN SUNGAI GELAM</t>
  </si>
  <si>
    <t>Kecamatan Sungai Gelam</t>
  </si>
  <si>
    <t>Isuzu Panther LS Turbo</t>
  </si>
  <si>
    <t>BH 1179 G</t>
  </si>
  <si>
    <t>MHCTBR54F7K285390</t>
  </si>
  <si>
    <t>E-8444622</t>
  </si>
  <si>
    <t>ANDI SAMSUDDUHA, SH., MH</t>
  </si>
  <si>
    <t>BH 1079 G</t>
  </si>
  <si>
    <t>MK3AAAGBKJ009128</t>
  </si>
  <si>
    <t>LJ479QNE2*J08320968*</t>
  </si>
  <si>
    <t>P-06411107</t>
  </si>
  <si>
    <t>MUSLIADI, S.Kom., M.E</t>
  </si>
  <si>
    <t>BH 5208 GZ</t>
  </si>
  <si>
    <t>MHIHABC193K015180</t>
  </si>
  <si>
    <t>HABCE-1014931</t>
  </si>
  <si>
    <t>C-4693176</t>
  </si>
  <si>
    <t>BH 5218 GZ</t>
  </si>
  <si>
    <t>MHIHABC153K017503</t>
  </si>
  <si>
    <t>HABCE-1017311</t>
  </si>
  <si>
    <t>C-4693186</t>
  </si>
  <si>
    <t>BH 2680 G / ex BH 5633 GZ</t>
  </si>
  <si>
    <t>MH1KC12147K049061</t>
  </si>
  <si>
    <t>KC12E-1050171</t>
  </si>
  <si>
    <t>E-9221970</t>
  </si>
  <si>
    <t>ARDI,SE</t>
  </si>
  <si>
    <t>Honda NF 125 TR</t>
  </si>
  <si>
    <t>BH 5998 G</t>
  </si>
  <si>
    <t>MH1JB91108K523605</t>
  </si>
  <si>
    <t>JB91E-1525424</t>
  </si>
  <si>
    <t>F-6858739</t>
  </si>
  <si>
    <t>ASISHUDIN</t>
  </si>
  <si>
    <t>BH 5637 GZ</t>
  </si>
  <si>
    <t>MH1JB51157K969806</t>
  </si>
  <si>
    <t>JB51E-1958896</t>
  </si>
  <si>
    <t>E-9221862</t>
  </si>
  <si>
    <t>M.FAHRUR ROZI,SE</t>
  </si>
  <si>
    <t>BH 2682 G / ex BH 5918 GZ</t>
  </si>
  <si>
    <t>MH1JB8111AK575714</t>
  </si>
  <si>
    <t>JB81E-1571210</t>
  </si>
  <si>
    <t>H-03730579</t>
  </si>
  <si>
    <t>MUCHSONI</t>
  </si>
  <si>
    <t>BH 2681 g / ex BH 5907 GZ</t>
  </si>
  <si>
    <t>MH1JB8117AK575684</t>
  </si>
  <si>
    <t>JB81E-1570849</t>
  </si>
  <si>
    <t>H-03730558</t>
  </si>
  <si>
    <t>SUTIONO</t>
  </si>
  <si>
    <t>BH 5897 G</t>
  </si>
  <si>
    <t>MH1JB8119AK575752</t>
  </si>
  <si>
    <t>JB81E-1571132</t>
  </si>
  <si>
    <t>H-03730481</t>
  </si>
  <si>
    <t>ANDI SAPUTRA,A.Md</t>
  </si>
  <si>
    <t>BH 2683 G / ex BH 5989 GZ</t>
  </si>
  <si>
    <t>MHKC11179K220924</t>
  </si>
  <si>
    <t>KC11E-1222898</t>
  </si>
  <si>
    <t>H-07017320</t>
  </si>
  <si>
    <t>SUGENG,SE</t>
  </si>
  <si>
    <t>Honda Supra X 125 Hi PI</t>
  </si>
  <si>
    <t>BH 6205 G</t>
  </si>
  <si>
    <t>MH1JB995G11DK18995</t>
  </si>
  <si>
    <t>SALINA,SE</t>
  </si>
  <si>
    <t>BH 6204 GZ</t>
  </si>
  <si>
    <t>MH1JBG117DK109347</t>
  </si>
  <si>
    <t>SINONG,SE</t>
  </si>
  <si>
    <t>Honda Vario 150 cc</t>
  </si>
  <si>
    <t>BH 2173 G</t>
  </si>
  <si>
    <t>MHIJM511KK442334</t>
  </si>
  <si>
    <t>JM51E-1441157</t>
  </si>
  <si>
    <t>P-06394515</t>
  </si>
  <si>
    <t>ARMANSYAH, SH</t>
  </si>
  <si>
    <t>BH 2172 G</t>
  </si>
  <si>
    <t>MHIJM5119KK419270</t>
  </si>
  <si>
    <t>JM51E-1418886</t>
  </si>
  <si>
    <t>P-06394514</t>
  </si>
  <si>
    <t>WIDI ASTUTI,S.AN</t>
  </si>
  <si>
    <t>: KECAMATAN TAMAN RAJO</t>
  </si>
  <si>
    <t>Kecamatan Taman Rajo</t>
  </si>
  <si>
    <t>Isuzu Phanter Smash Turbo LM</t>
  </si>
  <si>
    <t>BH 76 GZ (EX BH 1118 GZ)</t>
  </si>
  <si>
    <t>MHCTBR54FAK304671</t>
  </si>
  <si>
    <t>E304671</t>
  </si>
  <si>
    <t>Sekretaris Camat</t>
  </si>
  <si>
    <t>BH 1071 G</t>
  </si>
  <si>
    <t>MK3AAAGB0KJ009129</t>
  </si>
  <si>
    <t>P06411099</t>
  </si>
  <si>
    <t>CAMAT</t>
  </si>
  <si>
    <t>BH 5175 GZ</t>
  </si>
  <si>
    <t>MH1HABC1X3K015155</t>
  </si>
  <si>
    <t>HABCE-1014871</t>
  </si>
  <si>
    <t>C-4693144</t>
  </si>
  <si>
    <t>DESA</t>
  </si>
  <si>
    <t>BH 5168 GZ</t>
  </si>
  <si>
    <t>MH1HABC103K015133</t>
  </si>
  <si>
    <t>HABCE-1014628</t>
  </si>
  <si>
    <t>C-4693137</t>
  </si>
  <si>
    <t>Kasi Kesejahteraan Desa Kemingking Luar</t>
  </si>
  <si>
    <t>BH 5157 GZ</t>
  </si>
  <si>
    <t>MH1HABC143K015197</t>
  </si>
  <si>
    <t>HABCE-1014881</t>
  </si>
  <si>
    <t>C-4693126</t>
  </si>
  <si>
    <t>BH 5145 GZ</t>
  </si>
  <si>
    <t>MH1HABC183K015168</t>
  </si>
  <si>
    <t>HABCE-1014811</t>
  </si>
  <si>
    <t>C-4693112</t>
  </si>
  <si>
    <t>Kaur Perencanaan Desa Talang Duku</t>
  </si>
  <si>
    <t>BH 5142 GZ</t>
  </si>
  <si>
    <t>MH1HABC163K015198</t>
  </si>
  <si>
    <t>HABCE-1014943</t>
  </si>
  <si>
    <t>C-4693109</t>
  </si>
  <si>
    <t>BH 5990 GZ</t>
  </si>
  <si>
    <t>MHKC1110AK259665</t>
  </si>
  <si>
    <t>KC11E1261210</t>
  </si>
  <si>
    <t>H-07017322</t>
  </si>
  <si>
    <t>Kasubbag Perencanaan dan Kepegawaian</t>
  </si>
  <si>
    <t xml:space="preserve">SYAHIRMAN HIDAYAT, AMKL </t>
  </si>
  <si>
    <t>BH 6018 GZ</t>
  </si>
  <si>
    <t>MH1KC2116BK028471</t>
  </si>
  <si>
    <t>KC21E-1038373</t>
  </si>
  <si>
    <t>I-00282091</t>
  </si>
  <si>
    <t>Staf/ Pengelola BMD</t>
  </si>
  <si>
    <t>ERNI SORMIN, SE (KASI TRANTIBUM)</t>
  </si>
  <si>
    <t>BH 6017 GZ</t>
  </si>
  <si>
    <t>MH1KC2114BK029991</t>
  </si>
  <si>
    <t>KC21E1030071</t>
  </si>
  <si>
    <t>I-00282092</t>
  </si>
  <si>
    <t>Staf/ Analis Pelayanan Umum</t>
  </si>
  <si>
    <t>AHMAD SARBAINI, S.Pdi (Penata Layanan Operasional)</t>
  </si>
  <si>
    <t>BH 6016 GZ</t>
  </si>
  <si>
    <t>MH1KC2114BK030042</t>
  </si>
  <si>
    <t>KC21E1030103</t>
  </si>
  <si>
    <t>I-00282093</t>
  </si>
  <si>
    <t>Staf/ Analis Pemerintahan Daerah</t>
  </si>
  <si>
    <t>DARMAWAN, S.sos, MM (PENELAAH TEKNIS DAN KEBIJAKAN)</t>
  </si>
  <si>
    <t>BH 6015 GZ</t>
  </si>
  <si>
    <t>MH1KC2119BK028643</t>
  </si>
  <si>
    <t>KC21E-1028748</t>
  </si>
  <si>
    <t>I-00282047</t>
  </si>
  <si>
    <t>Kasi Pelumkessos</t>
  </si>
  <si>
    <t>ISMAIDI, SE</t>
  </si>
  <si>
    <t>Honda Supra X 125  Heml IN F1</t>
  </si>
  <si>
    <t>BH 6097 GZ</t>
  </si>
  <si>
    <t>MH1JBG114CK031818</t>
  </si>
  <si>
    <t>JBG1E-1030920</t>
  </si>
  <si>
    <t>I-10039195</t>
  </si>
  <si>
    <t>TRI MARTINI, S. Sos</t>
  </si>
  <si>
    <t>BH 6096 GZ</t>
  </si>
  <si>
    <t>MH1JBG117CK033711</t>
  </si>
  <si>
    <t>JBGIE1032890</t>
  </si>
  <si>
    <t>I-10039196</t>
  </si>
  <si>
    <t>NURMALIS, S.pd</t>
  </si>
  <si>
    <t>BH 6095 GZ</t>
  </si>
  <si>
    <t>MH1JBG11XCK037610</t>
  </si>
  <si>
    <t>JBG1E1036304</t>
  </si>
  <si>
    <t>I-10039197</t>
  </si>
  <si>
    <t>AGUSTIAN ARIF</t>
  </si>
  <si>
    <t>BH 6094 GZ</t>
  </si>
  <si>
    <t>MH1JBG115CK037675</t>
  </si>
  <si>
    <t>JBG1E1036602</t>
  </si>
  <si>
    <t>I-10039198</t>
  </si>
  <si>
    <t>Kasi Trantibum</t>
  </si>
  <si>
    <t>DINA MARIANA (PENGURUS BARANG)</t>
  </si>
  <si>
    <t xml:space="preserve">Honda Verza </t>
  </si>
  <si>
    <t>BH 6352 GZ</t>
  </si>
  <si>
    <t>MH1KC5215DK105379</t>
  </si>
  <si>
    <t>KC52E-1106545</t>
  </si>
  <si>
    <t>K-03792009</t>
  </si>
  <si>
    <t>ADAM A. ALPAYED, S.STP</t>
  </si>
  <si>
    <t>HONDA CRF</t>
  </si>
  <si>
    <t>BH 2375 GZ</t>
  </si>
  <si>
    <t>MH1KD1114NK343684</t>
  </si>
  <si>
    <t>KD11E-1343063</t>
  </si>
  <si>
    <t>KD11E1343063</t>
  </si>
  <si>
    <t>: KECAMATAN BAHAR UTARA</t>
  </si>
  <si>
    <t>Kecamatan Bahar Utara</t>
  </si>
  <si>
    <t>BH 1084 G</t>
  </si>
  <si>
    <t>MK3AAAGBXKJ009140</t>
  </si>
  <si>
    <t>LJ479QNE2*J08320941*</t>
  </si>
  <si>
    <t>P-06411112</t>
  </si>
  <si>
    <t>Operasional Kec.Bahar Utara</t>
  </si>
  <si>
    <t>Honda Supra X 125 D</t>
  </si>
  <si>
    <t>BH 5911 GZ</t>
  </si>
  <si>
    <t>MH1JB8110AK575705</t>
  </si>
  <si>
    <t>FAISAL,SE</t>
  </si>
  <si>
    <t>Unit 8 Bahar Selatan</t>
  </si>
  <si>
    <t>BH 5914 GZ</t>
  </si>
  <si>
    <t>MH1JB8110AK576563</t>
  </si>
  <si>
    <t>Dk ado</t>
  </si>
  <si>
    <t>BH 5913 GZ</t>
  </si>
  <si>
    <t>MH1JB8116AK578334</t>
  </si>
  <si>
    <t>Di gudang</t>
  </si>
  <si>
    <t>BH 2480 G (EX BH 5898 GZ)</t>
  </si>
  <si>
    <t>JB81E-15711239</t>
  </si>
  <si>
    <t>H-0 3730024</t>
  </si>
  <si>
    <t>BH 5916 GZ</t>
  </si>
  <si>
    <t>MH1JB8113AK575701</t>
  </si>
  <si>
    <t>Plt.Kasubag Umum dan Keuangan</t>
  </si>
  <si>
    <t>Sukatiyem,SE</t>
  </si>
  <si>
    <t xml:space="preserve">Di gudang </t>
  </si>
  <si>
    <t>BH 2505 G (EX BH 5986 GZ)</t>
  </si>
  <si>
    <t>MHKC1113AK250426</t>
  </si>
  <si>
    <t>KC11E-12522017</t>
  </si>
  <si>
    <t>H-07017325</t>
  </si>
  <si>
    <t>Romlan Hidayatulloh</t>
  </si>
  <si>
    <t>BH 4046 G (EX BH 6022 GZ)</t>
  </si>
  <si>
    <t>MH1KC2117BK038149</t>
  </si>
  <si>
    <t>KC21E-1038152</t>
  </si>
  <si>
    <t>U-05220385</t>
  </si>
  <si>
    <t>Abdul Kodir,SE</t>
  </si>
  <si>
    <t>BH 6021 GZ</t>
  </si>
  <si>
    <t>MH1KC2112BK038169</t>
  </si>
  <si>
    <t>KC21E-1037893</t>
  </si>
  <si>
    <t>I-01357939</t>
  </si>
  <si>
    <t>Setya Tri Atmojono, S.Pd</t>
  </si>
  <si>
    <t>Honda Mega Pro CW New</t>
  </si>
  <si>
    <t>BH 4048 G (EX BH 6117 GZ)</t>
  </si>
  <si>
    <t>MHKC3117CK215161</t>
  </si>
  <si>
    <t>KC31E-1214897</t>
  </si>
  <si>
    <t>U-05220383</t>
  </si>
  <si>
    <t>(RB gudang)</t>
  </si>
  <si>
    <t>BH 4047 G (EX BH 6113 GZ)</t>
  </si>
  <si>
    <t>MH1KC3115CK21329</t>
  </si>
  <si>
    <t>KC31E-1212574</t>
  </si>
  <si>
    <t>U-05220387</t>
  </si>
  <si>
    <t>Royan, S.IP, M.Si.</t>
  </si>
  <si>
    <t>Di rumah pak royan</t>
  </si>
  <si>
    <t>BH 4051 G (EX BH 6354 GZ)</t>
  </si>
  <si>
    <t>MH1KC5213DK105378</t>
  </si>
  <si>
    <t>KC52E-1106488</t>
  </si>
  <si>
    <t>U-05220388</t>
  </si>
  <si>
    <t xml:space="preserve">Operasional kantor </t>
  </si>
  <si>
    <t>Jupiter Z1 CW</t>
  </si>
  <si>
    <t>BH 4050 G (EX BH 6246 GZ)</t>
  </si>
  <si>
    <t>MH31DY002DJ164866</t>
  </si>
  <si>
    <t>1DY-164987</t>
  </si>
  <si>
    <t>U-05220384</t>
  </si>
  <si>
    <t>BH 4049 G (EX BH 6244 GZ)</t>
  </si>
  <si>
    <t>MH31DY002DJ156970</t>
  </si>
  <si>
    <t>1DY-156988</t>
  </si>
  <si>
    <t>U-05220386</t>
  </si>
  <si>
    <t>Kawasaki KLX 150</t>
  </si>
  <si>
    <t>BH.6476 GZ</t>
  </si>
  <si>
    <t>MH4LX 150 CE</t>
  </si>
  <si>
    <t xml:space="preserve">Gudang, rusak berat </t>
  </si>
  <si>
    <t>: KECAMATAN BAHAR SELATAN</t>
  </si>
  <si>
    <t>udah di update</t>
  </si>
  <si>
    <t>Kecamatan Bahar Selatan</t>
  </si>
  <si>
    <t>BH 1343 G (EX BH 79 GZ; EX BH 1117 GZ)</t>
  </si>
  <si>
    <t>MHCTBR54FAK303644</t>
  </si>
  <si>
    <t>E303644</t>
  </si>
  <si>
    <t>H-03141101</t>
  </si>
  <si>
    <t>BH 1081 G</t>
  </si>
  <si>
    <t>MK3AAAGB1KJ009138</t>
  </si>
  <si>
    <t>LJ479QNE2*J08320952*</t>
  </si>
  <si>
    <t>P-06411109</t>
  </si>
  <si>
    <t>Sepada Montor</t>
  </si>
  <si>
    <t>BH 5917 GZ</t>
  </si>
  <si>
    <t>MH1JB8118AK576326</t>
  </si>
  <si>
    <t>JB81E-1571829</t>
  </si>
  <si>
    <t>H-03730613</t>
  </si>
  <si>
    <t>Kendaraan Dinas Kades Desa Tanjung Baru</t>
  </si>
  <si>
    <t>Kades Desa Tanjung Baru</t>
  </si>
  <si>
    <t>BH 2634 G (EX BH 5988 GZ)</t>
  </si>
  <si>
    <t>MHKC1115AK248399</t>
  </si>
  <si>
    <t>KC11E1249944</t>
  </si>
  <si>
    <t>H-07017323</t>
  </si>
  <si>
    <t>Kasubib Keuangan dan umum</t>
  </si>
  <si>
    <t>BH 2535 G (EX BH 6020  GZ)</t>
  </si>
  <si>
    <t>MHIKC3110BK082418</t>
  </si>
  <si>
    <t>KC31E-1082269</t>
  </si>
  <si>
    <t>I-00592033</t>
  </si>
  <si>
    <t>Kasubib Perencanaan dan kepegawaian</t>
  </si>
  <si>
    <t>BH 2632 G (EX BH 6106 GZ)</t>
  </si>
  <si>
    <t>MH1KC3119CK170983</t>
  </si>
  <si>
    <t>KC31E1170606</t>
  </si>
  <si>
    <t>I-10601940</t>
  </si>
  <si>
    <t>Stap Sekretaraiat</t>
  </si>
  <si>
    <t>BH 2630 G (EX BH 6104 GZ)</t>
  </si>
  <si>
    <t>MH1KC3118CK170991</t>
  </si>
  <si>
    <t>KC31E1170636</t>
  </si>
  <si>
    <t>I-10601942</t>
  </si>
  <si>
    <t>Kasi Pelumsos</t>
  </si>
  <si>
    <t>BH 2631 G (EX BH 6105 GZ)</t>
  </si>
  <si>
    <t>MH1JB9133CK009533</t>
  </si>
  <si>
    <t>JB91E2999601</t>
  </si>
  <si>
    <t>I-10601941</t>
  </si>
  <si>
    <t>BH 2629 G (EX BH 6103 GZ)</t>
  </si>
  <si>
    <t>MH1JB9134CK009539</t>
  </si>
  <si>
    <t>JB91E-2999653</t>
  </si>
  <si>
    <t>I-10601943</t>
  </si>
  <si>
    <t>Staf</t>
  </si>
  <si>
    <t>BH 4094 G (EX BH 6348 GZ)</t>
  </si>
  <si>
    <t>MH1KC521XDK107189</t>
  </si>
  <si>
    <t>KC52E-1108130</t>
  </si>
  <si>
    <t>K-03792013</t>
  </si>
  <si>
    <t>BH 2633 G (EX BH 6245 GZ)_</t>
  </si>
  <si>
    <t>MH350C003DK535393</t>
  </si>
  <si>
    <t>50C-535340</t>
  </si>
  <si>
    <t>K-02038157</t>
  </si>
  <si>
    <t>Ketua PKK Kecamatan</t>
  </si>
  <si>
    <t>BH  2249 G</t>
  </si>
  <si>
    <t>MH1JM511XLK587341</t>
  </si>
  <si>
    <t>JM51E1585969</t>
  </si>
  <si>
    <t>P-06465501</t>
  </si>
  <si>
    <t>BH  2250 G</t>
  </si>
  <si>
    <t>MH1JM5112LK587320</t>
  </si>
  <si>
    <t>JM51E1585950</t>
  </si>
  <si>
    <t>P-06465502</t>
  </si>
  <si>
    <t>BH 2550 G</t>
  </si>
  <si>
    <t>MH1KD1116PK420123</t>
  </si>
  <si>
    <t>KD11E-1419347</t>
  </si>
  <si>
    <t>T-04362675</t>
  </si>
  <si>
    <t>kode_barang</t>
  </si>
  <si>
    <t>kode_lokasi</t>
  </si>
  <si>
    <t>nomor_register</t>
  </si>
  <si>
    <t>tanggal_bast</t>
  </si>
  <si>
    <t>asal</t>
  </si>
  <si>
    <t>ukuran</t>
  </si>
  <si>
    <t>alamat</t>
  </si>
  <si>
    <t>nomor_spk</t>
  </si>
  <si>
    <t>bentuk_bangunan</t>
  </si>
  <si>
    <t>sumber_dana</t>
  </si>
  <si>
    <t>asal_usul</t>
  </si>
  <si>
    <t>judul</t>
  </si>
  <si>
    <t>pencipta</t>
  </si>
  <si>
    <t>b_pemeliharaan</t>
  </si>
  <si>
    <t>ap_tahun_lalu</t>
  </si>
  <si>
    <t>beban_susut</t>
  </si>
  <si>
    <t>akumulasi_susut</t>
  </si>
  <si>
    <t>nilai_buku</t>
  </si>
  <si>
    <t>1.3.2.02.01.02.002</t>
  </si>
  <si>
    <t>1.02.01.00</t>
  </si>
  <si>
    <t>1031153</t>
  </si>
  <si>
    <t>Swadana</t>
  </si>
  <si>
    <t>1.3.2.02.01.02.003</t>
  </si>
  <si>
    <t>1031129</t>
  </si>
  <si>
    <t>1031130</t>
  </si>
  <si>
    <t>1031144</t>
  </si>
  <si>
    <t>RS. Ahmad Ripin/ R. Fauzi Rasor</t>
  </si>
  <si>
    <t>1031143</t>
  </si>
  <si>
    <t>BPKB ADA, Perubahan Nopol dari BH 53 GZ, 34 GZ jadi BH 1075 GZ</t>
  </si>
  <si>
    <t>1031145</t>
  </si>
  <si>
    <t>BH 40 GZ</t>
  </si>
  <si>
    <t>1031139</t>
  </si>
  <si>
    <t>1031150</t>
  </si>
  <si>
    <t>1031146</t>
  </si>
  <si>
    <t>BH 1346 G ex. BH 1147 GZ</t>
  </si>
  <si>
    <t>RS. Ahmad Ripin</t>
  </si>
  <si>
    <t>1031154</t>
  </si>
  <si>
    <t>BH 1175 GZ EX BH 42 GZ</t>
  </si>
  <si>
    <t>1031147</t>
  </si>
  <si>
    <t>BH 1347 G ex. BH 1148 GZ</t>
  </si>
  <si>
    <t xml:space="preserve"> K14BT- 1004285 </t>
  </si>
  <si>
    <t>1031148</t>
  </si>
  <si>
    <r>
      <rPr/>
      <t xml:space="preserve">BH 1262 G </t>
    </r>
    <r>
      <rPr>
        <color rgb="FF1155CC"/>
        <u/>
      </rPr>
      <t>ex. BH</t>
    </r>
    <r>
      <rPr/>
      <t xml:space="preserve"> 1192 GZ</t>
    </r>
  </si>
  <si>
    <t>Abu- abu Metalic</t>
  </si>
  <si>
    <t>1031149</t>
  </si>
  <si>
    <r>
      <rPr>
        <rFont val="Calibri"/>
        <color theme="1"/>
      </rPr>
      <t xml:space="preserve">BH 1261 G </t>
    </r>
    <r>
      <rPr>
        <rFont val="Calibri"/>
        <color rgb="FF000000"/>
      </rPr>
      <t>ex.BH</t>
    </r>
    <r>
      <rPr>
        <rFont val="Calibri"/>
        <color theme="1"/>
      </rPr>
      <t xml:space="preserve"> 1191 GZ</t>
    </r>
  </si>
  <si>
    <t>1031151</t>
  </si>
  <si>
    <t>1031155</t>
  </si>
  <si>
    <t>1031152</t>
  </si>
  <si>
    <t>1031156</t>
  </si>
  <si>
    <t>1031140</t>
  </si>
  <si>
    <t>1031141</t>
  </si>
  <si>
    <t>1031142</t>
  </si>
  <si>
    <t>1517979</t>
  </si>
  <si>
    <t>Pembelian</t>
  </si>
  <si>
    <t>13/SP-MOBIL/ALKES/ARP/2024</t>
  </si>
  <si>
    <t>Lainnya</t>
  </si>
  <si>
    <t>1765516</t>
  </si>
  <si>
    <t>17/Yankes/APBD/Dinkes/2925</t>
  </si>
  <si>
    <t>1765517</t>
  </si>
  <si>
    <t>1765518</t>
  </si>
  <si>
    <t>1765519</t>
  </si>
  <si>
    <t>1.3.2.02.01.03.002</t>
  </si>
  <si>
    <t>1031157</t>
  </si>
  <si>
    <t>1.3.2.02.01.06.001</t>
  </si>
  <si>
    <t>1031258</t>
  </si>
  <si>
    <t xml:space="preserve"> Raden Mustofa </t>
  </si>
  <si>
    <t>1031158</t>
  </si>
  <si>
    <t xml:space="preserve"> Pkm. Tan Tan </t>
  </si>
  <si>
    <t>1031159</t>
  </si>
  <si>
    <t>1031160</t>
  </si>
  <si>
    <t>1031271</t>
  </si>
  <si>
    <t>BH 9103 G ex. BH 9311 GZ</t>
  </si>
  <si>
    <t>1031161</t>
  </si>
  <si>
    <t>1031162</t>
  </si>
  <si>
    <t>1031164</t>
  </si>
  <si>
    <t>1031163</t>
  </si>
  <si>
    <t>1031165</t>
  </si>
  <si>
    <t>1031166</t>
  </si>
  <si>
    <t>1031167</t>
  </si>
  <si>
    <t>1031168</t>
  </si>
  <si>
    <t>1031169</t>
  </si>
  <si>
    <t>1031274</t>
  </si>
  <si>
    <t>BH 9072 GZ</t>
  </si>
  <si>
    <t>1031275</t>
  </si>
  <si>
    <t>BH1603 HE</t>
  </si>
  <si>
    <t>1031170</t>
  </si>
  <si>
    <t>BH 1187 GZ</t>
  </si>
  <si>
    <t>1031193</t>
  </si>
  <si>
    <t xml:space="preserve"> Pkm Tangkit </t>
  </si>
  <si>
    <t>1031194</t>
  </si>
  <si>
    <t>1031192</t>
  </si>
  <si>
    <t>1031171</t>
  </si>
  <si>
    <t>1031207</t>
  </si>
  <si>
    <t>1031218</t>
  </si>
  <si>
    <t xml:space="preserve"> Pkm. Bahar VII </t>
  </si>
  <si>
    <t>1031229</t>
  </si>
  <si>
    <t>1031251</t>
  </si>
  <si>
    <t xml:space="preserve"> Hibah Angkasa Pura II </t>
  </si>
  <si>
    <t>1031240</t>
  </si>
  <si>
    <t>1031272</t>
  </si>
  <si>
    <t>1031253</t>
  </si>
  <si>
    <t>1031254</t>
  </si>
  <si>
    <t>1031255</t>
  </si>
  <si>
    <t>1031257</t>
  </si>
  <si>
    <t>1031252</t>
  </si>
  <si>
    <t>1031256</t>
  </si>
  <si>
    <t>1031276</t>
  </si>
  <si>
    <t>1031273</t>
  </si>
  <si>
    <t>1031259</t>
  </si>
  <si>
    <t>Ambulance PSC 119</t>
  </si>
  <si>
    <t>1031261</t>
  </si>
  <si>
    <t>Puskesmas Bahar I</t>
  </si>
  <si>
    <t>1031262</t>
  </si>
  <si>
    <t>1031263</t>
  </si>
  <si>
    <t>1031264</t>
  </si>
  <si>
    <t>1031260</t>
  </si>
  <si>
    <t>Puskesmas Pir II Bajubang</t>
  </si>
  <si>
    <t>1031265</t>
  </si>
  <si>
    <t>1031267</t>
  </si>
  <si>
    <t>1031268</t>
  </si>
  <si>
    <t>1031269</t>
  </si>
  <si>
    <t>MHFJW8EL2380635</t>
  </si>
  <si>
    <t>1031270</t>
  </si>
  <si>
    <t>1517838</t>
  </si>
  <si>
    <t>04/DAK/Dinkes/2024</t>
  </si>
  <si>
    <t>1517844</t>
  </si>
  <si>
    <t>1517843</t>
  </si>
  <si>
    <t>1517842</t>
  </si>
  <si>
    <t>1517841</t>
  </si>
  <si>
    <t>1517840</t>
  </si>
  <si>
    <t>BH 9107 G ex. BH 9033 G</t>
  </si>
  <si>
    <t>1517839</t>
  </si>
  <si>
    <t>BH 9108 G ex. BH 9034 G</t>
  </si>
  <si>
    <t>1517837</t>
  </si>
  <si>
    <t>1517836</t>
  </si>
  <si>
    <t>1.3.2.02.01.06.002</t>
  </si>
  <si>
    <t>1031266</t>
  </si>
  <si>
    <t>1.3.2.02.01.04.001</t>
  </si>
  <si>
    <t>1031277</t>
  </si>
  <si>
    <t>1031279</t>
  </si>
  <si>
    <t>1031278</t>
  </si>
  <si>
    <t>1031281</t>
  </si>
  <si>
    <t>1031280</t>
  </si>
  <si>
    <t>1031282</t>
  </si>
  <si>
    <t>1031283</t>
  </si>
  <si>
    <t>1031285</t>
  </si>
  <si>
    <t>1031284</t>
  </si>
  <si>
    <t>1031288</t>
  </si>
  <si>
    <t xml:space="preserve"> Bahar IV </t>
  </si>
  <si>
    <t>1031287</t>
  </si>
  <si>
    <t>1031289</t>
  </si>
  <si>
    <t>1031290</t>
  </si>
  <si>
    <t>1031291</t>
  </si>
  <si>
    <t>1031292</t>
  </si>
  <si>
    <t>1031294</t>
  </si>
  <si>
    <t>1031295</t>
  </si>
  <si>
    <t>1031296</t>
  </si>
  <si>
    <t>1031298</t>
  </si>
  <si>
    <t>1031299</t>
  </si>
  <si>
    <t>1031293</t>
  </si>
  <si>
    <t>1031297</t>
  </si>
  <si>
    <t xml:space="preserve"> Pkm Kebon ix </t>
  </si>
  <si>
    <t>1031300</t>
  </si>
  <si>
    <t>1031302</t>
  </si>
  <si>
    <t>1031303</t>
  </si>
  <si>
    <t>1031301</t>
  </si>
  <si>
    <t>1031304</t>
  </si>
  <si>
    <t>1031305</t>
  </si>
  <si>
    <t>1031306</t>
  </si>
  <si>
    <t>1031307</t>
  </si>
  <si>
    <t>1031308</t>
  </si>
  <si>
    <t>1031310</t>
  </si>
  <si>
    <t>1031311</t>
  </si>
  <si>
    <t>1031312</t>
  </si>
  <si>
    <t>1031309</t>
  </si>
  <si>
    <t>1031313</t>
  </si>
  <si>
    <t xml:space="preserve"> Pkm Bahar VII </t>
  </si>
  <si>
    <t>1031314</t>
  </si>
  <si>
    <t>1031316</t>
  </si>
  <si>
    <t>1031317</t>
  </si>
  <si>
    <t>1031319</t>
  </si>
  <si>
    <t>1031320</t>
  </si>
  <si>
    <t>1031322</t>
  </si>
  <si>
    <t>1031323</t>
  </si>
  <si>
    <t>1031326</t>
  </si>
  <si>
    <t>BH  5354 GZ</t>
  </si>
  <si>
    <t xml:space="preserve"> Pkm Kebon IX </t>
  </si>
  <si>
    <t>1031328</t>
  </si>
  <si>
    <t>1031329</t>
  </si>
  <si>
    <t xml:space="preserve"> Pkm Peny Olak </t>
  </si>
  <si>
    <t>1031331</t>
  </si>
  <si>
    <t>1031332</t>
  </si>
  <si>
    <t>1031334</t>
  </si>
  <si>
    <t>1031335</t>
  </si>
  <si>
    <t xml:space="preserve"> Pkm Penyengat Olak </t>
  </si>
  <si>
    <t>1031391</t>
  </si>
  <si>
    <t>1031392</t>
  </si>
  <si>
    <t>1031441</t>
  </si>
  <si>
    <t>1031443</t>
  </si>
  <si>
    <t>1031442</t>
  </si>
  <si>
    <t>1031390</t>
  </si>
  <si>
    <t>Puskesmas Tangkit</t>
  </si>
  <si>
    <t>1031333</t>
  </si>
  <si>
    <t>1031337</t>
  </si>
  <si>
    <t>1031325</t>
  </si>
  <si>
    <t>1031321</t>
  </si>
  <si>
    <t>1031336</t>
  </si>
  <si>
    <t xml:space="preserve"> Pkm Bahar IV </t>
  </si>
  <si>
    <t>1031338</t>
  </si>
  <si>
    <t>1031340</t>
  </si>
  <si>
    <t>1031342</t>
  </si>
  <si>
    <t>1031343</t>
  </si>
  <si>
    <t>1031344</t>
  </si>
  <si>
    <t>1031348</t>
  </si>
  <si>
    <t>1031350</t>
  </si>
  <si>
    <t>1031393</t>
  </si>
  <si>
    <t>1031395</t>
  </si>
  <si>
    <t>1031398</t>
  </si>
  <si>
    <t>1031400</t>
  </si>
  <si>
    <t>1031402</t>
  </si>
  <si>
    <t>1031403</t>
  </si>
  <si>
    <t>1031406</t>
  </si>
  <si>
    <t>1031407</t>
  </si>
  <si>
    <t xml:space="preserve"> Puskesmas </t>
  </si>
  <si>
    <t>1031408</t>
  </si>
  <si>
    <t xml:space="preserve"> Pkm.Sekernan ( Jalima Tusakdiyah ) </t>
  </si>
  <si>
    <t>1031411</t>
  </si>
  <si>
    <t>1031412</t>
  </si>
  <si>
    <t>1031413</t>
  </si>
  <si>
    <t>1031415</t>
  </si>
  <si>
    <t>1031414</t>
  </si>
  <si>
    <t>1031410</t>
  </si>
  <si>
    <t>1031401</t>
  </si>
  <si>
    <t>1031397</t>
  </si>
  <si>
    <t>1031394</t>
  </si>
  <si>
    <t>1031351</t>
  </si>
  <si>
    <t>1031345</t>
  </si>
  <si>
    <t>1031349</t>
  </si>
  <si>
    <t>1031341</t>
  </si>
  <si>
    <t>1031352</t>
  </si>
  <si>
    <t>1031353</t>
  </si>
  <si>
    <t>1031354</t>
  </si>
  <si>
    <t>1031356</t>
  </si>
  <si>
    <t>1031357</t>
  </si>
  <si>
    <t>1031358</t>
  </si>
  <si>
    <t>BH  5685 GZ</t>
  </si>
  <si>
    <t>1031360</t>
  </si>
  <si>
    <t>1031361</t>
  </si>
  <si>
    <t>1031362</t>
  </si>
  <si>
    <t>1031364</t>
  </si>
  <si>
    <t>1031365</t>
  </si>
  <si>
    <t>1031366</t>
  </si>
  <si>
    <t>1031368</t>
  </si>
  <si>
    <t>BH  5697 GZ</t>
  </si>
  <si>
    <t>1031370</t>
  </si>
  <si>
    <t>1031371</t>
  </si>
  <si>
    <t>1031373</t>
  </si>
  <si>
    <t>1031374</t>
  </si>
  <si>
    <t>1031372</t>
  </si>
  <si>
    <t>1031367</t>
  </si>
  <si>
    <t>BH  5696 GZ</t>
  </si>
  <si>
    <t>1031359</t>
  </si>
  <si>
    <t>1031355</t>
  </si>
  <si>
    <t>1031363</t>
  </si>
  <si>
    <t>1031375</t>
  </si>
  <si>
    <t>1031378</t>
  </si>
  <si>
    <t>1031379</t>
  </si>
  <si>
    <t>1031380</t>
  </si>
  <si>
    <t>1031382</t>
  </si>
  <si>
    <t>1031383</t>
  </si>
  <si>
    <t>1031381</t>
  </si>
  <si>
    <t>1031377</t>
  </si>
  <si>
    <t>1031384</t>
  </si>
  <si>
    <t>1031386</t>
  </si>
  <si>
    <t>1031387</t>
  </si>
  <si>
    <t>BH  5857 GZ</t>
  </si>
  <si>
    <t>1031388</t>
  </si>
  <si>
    <t>1031385</t>
  </si>
  <si>
    <t>1031449</t>
  </si>
  <si>
    <t>1031450</t>
  </si>
  <si>
    <t>1031445</t>
  </si>
  <si>
    <t>BH 2434 G ex. BH 6327 GZ</t>
  </si>
  <si>
    <t>1031446</t>
  </si>
  <si>
    <t>BH 2436 G ex BH 6329 GZ</t>
  </si>
  <si>
    <t>1031447</t>
  </si>
  <si>
    <t>Warna Putih Biru</t>
  </si>
  <si>
    <t>1031451</t>
  </si>
  <si>
    <t>1031452</t>
  </si>
  <si>
    <t>1031444</t>
  </si>
  <si>
    <t>BH 2437 G ex. BH 6332 GZ</t>
  </si>
  <si>
    <t>1031448</t>
  </si>
  <si>
    <t>BH 2438 G ex. BH 6428 GZ</t>
  </si>
  <si>
    <t>1031453</t>
  </si>
  <si>
    <t>1031454</t>
  </si>
  <si>
    <t>1031422</t>
  </si>
  <si>
    <t>1031423</t>
  </si>
  <si>
    <t>1031424</t>
  </si>
  <si>
    <t xml:space="preserve"> Pkm. Bahar 4 </t>
  </si>
  <si>
    <t>1031425</t>
  </si>
  <si>
    <t xml:space="preserve"> Pkm. Kebon IX/Nina </t>
  </si>
  <si>
    <t>1031426</t>
  </si>
  <si>
    <t>1031427</t>
  </si>
  <si>
    <t>1031429</t>
  </si>
  <si>
    <t>1031430</t>
  </si>
  <si>
    <t xml:space="preserve"> Pkm. Tangkit </t>
  </si>
  <si>
    <t>1031431</t>
  </si>
  <si>
    <t>1031433</t>
  </si>
  <si>
    <t>1031434</t>
  </si>
  <si>
    <t>1031435</t>
  </si>
  <si>
    <t>1031436</t>
  </si>
  <si>
    <t>1031437</t>
  </si>
  <si>
    <t>1031438</t>
  </si>
  <si>
    <t>1031439</t>
  </si>
  <si>
    <t>1031440</t>
  </si>
  <si>
    <t>1031416</t>
  </si>
  <si>
    <t>1031417</t>
  </si>
  <si>
    <t>1031418</t>
  </si>
  <si>
    <t>1031419</t>
  </si>
  <si>
    <t>1031420</t>
  </si>
  <si>
    <t>1031421</t>
  </si>
  <si>
    <t>1031432</t>
  </si>
  <si>
    <t xml:space="preserve"> Pkm. Peny Olak </t>
  </si>
  <si>
    <t>1031428</t>
  </si>
  <si>
    <t xml:space="preserve"> Pkm. Bahar 7 </t>
  </si>
  <si>
    <t>B. PERALATAN MESIN ( KENDARAAN RODA 4 ( EMPAT )</t>
  </si>
  <si>
    <t>Multi Purpose Vehicle (MPV) Isuzu Smart FF</t>
  </si>
  <si>
    <t>BH 1168 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</si>
</sst>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_-* #,##0.00_-;\-* #,##0.00_-;_-* &quot;-&quot;??_-;_-@"/>
    <numFmt numFmtId="165" formatCode="_(* #,##0.00_);_(* \(#,##0.00\);_(* &quot;-&quot;_);_(@_)"/>
    <numFmt numFmtId="166" formatCode="_(* #,##0.00_);_(* \(#,##0.00\);_(* &quot;-&quot;??_);_(@_)"/>
    <numFmt numFmtId="167" formatCode="_-&quot;Rp&quot;* #,##0.00_-;\-&quot;Rp&quot;* #,##0.00_-;_-&quot;Rp&quot;* &quot;-&quot;??_-;_-@"/>
    <numFmt numFmtId="168" formatCode="&quot;Rp&quot;#,##0.00"/>
  </numFmts>
  <fonts count="54">
    <font>
      <sz val="11.0"/>
      <color theme="1"/>
      <name val="Calibri"/>
      <scheme val="minor"/>
    </font>
    <font>
      <b/>
      <sz val="12.0"/>
      <color theme="1"/>
      <name val="Calibri"/>
    </font>
    <font>
      <b/>
      <sz val="11.0"/>
      <color theme="1"/>
      <name val="Calibri"/>
    </font>
    <font>
      <color theme="1"/>
      <name val="Calibri"/>
      <scheme val="minor"/>
    </font>
    <font>
      <b/>
      <sz val="11.0"/>
      <color rgb="FFFFFFFF"/>
      <name val="Calibri"/>
    </font>
    <font>
      <sz val="11.0"/>
      <color theme="1"/>
      <name val="Calibri"/>
    </font>
    <font>
      <sz val="10.0"/>
      <color theme="1"/>
      <name val="Arial"/>
    </font>
    <font>
      <color rgb="FFFFFFFF"/>
      <name val="Calibri"/>
      <scheme val="minor"/>
    </font>
    <font>
      <b/>
      <color theme="1"/>
      <name val="Calibri"/>
      <scheme val="minor"/>
    </font>
    <font>
      <b/>
      <sz val="10.0"/>
      <color theme="1"/>
      <name val="Arial"/>
    </font>
    <font>
      <u/>
      <color rgb="FF0000FF"/>
    </font>
    <font>
      <b/>
      <color rgb="FFFF0000"/>
      <name val="Calibri"/>
      <scheme val="minor"/>
    </font>
    <font>
      <b/>
      <sz val="10.0"/>
      <color rgb="FFFF0000"/>
      <name val="Arial"/>
    </font>
    <font>
      <b/>
      <sz val="16.0"/>
      <color theme="1"/>
      <name val="Calibri"/>
      <scheme val="minor"/>
    </font>
    <font>
      <b/>
      <sz val="11.0"/>
      <color rgb="FF000000"/>
      <name val="Calibri"/>
    </font>
    <font>
      <b/>
      <sz val="11.0"/>
      <color rgb="FFFF0000"/>
      <name val="Calibri"/>
    </font>
    <font>
      <sz val="11.0"/>
      <color rgb="FF000000"/>
      <name val="Calibri"/>
    </font>
    <font>
      <b/>
      <u/>
      <sz val="11.0"/>
      <color rgb="FF000000"/>
      <name val="Calibri"/>
    </font>
    <font>
      <color rgb="FF000000"/>
      <name val="Calibri"/>
    </font>
    <font>
      <b/>
      <sz val="10.0"/>
      <color theme="0"/>
      <name val="Calibri"/>
    </font>
    <font>
      <b/>
      <sz val="10.0"/>
      <color rgb="FFFFFFFF"/>
      <name val="Calibri"/>
    </font>
    <font>
      <sz val="10.0"/>
      <color theme="1"/>
      <name val="Calibri"/>
    </font>
    <font>
      <b/>
      <color theme="1"/>
      <name val="Arial"/>
    </font>
    <font>
      <color rgb="FF000000"/>
      <name val="Arial"/>
    </font>
    <font>
      <b/>
      <color rgb="FF000000"/>
      <name val="Arial"/>
    </font>
    <font>
      <b/>
      <i/>
      <sz val="11.0"/>
      <color theme="1"/>
      <name val="Calibri"/>
    </font>
    <font>
      <sz val="11.0"/>
      <color rgb="FFFF0000"/>
      <name val="Calibri"/>
    </font>
    <font>
      <b/>
      <sz val="10.0"/>
      <color theme="1"/>
      <name val="Calibri"/>
    </font>
    <font>
      <sz val="10.0"/>
      <color rgb="FFFF0000"/>
      <name val="Calibri"/>
    </font>
    <font>
      <b/>
      <sz val="11.0"/>
      <color rgb="FF0000FF"/>
      <name val="Calibri"/>
    </font>
    <font>
      <color rgb="FFFF0000"/>
      <name val="Calibri"/>
      <scheme val="minor"/>
    </font>
    <font>
      <color rgb="FF000000"/>
      <name val="&quot;Times New Roman&quot;"/>
    </font>
    <font>
      <color rgb="FF000000"/>
      <name val="&quot;Bookman Old Style&quot;"/>
    </font>
    <font>
      <color rgb="FFFF0000"/>
      <name val="Arial"/>
    </font>
    <font>
      <sz val="12.0"/>
      <color theme="1"/>
      <name val="Calibri"/>
      <scheme val="minor"/>
    </font>
    <font>
      <b/>
      <sz val="12.0"/>
      <color rgb="FF000000"/>
      <name val="Calibri"/>
    </font>
    <font>
      <sz val="12.0"/>
      <color rgb="FF000000"/>
      <name val="Calibri"/>
    </font>
    <font>
      <color theme="1"/>
      <name val="Arial"/>
    </font>
    <font>
      <sz val="11.0"/>
      <color theme="1"/>
      <name val="Arial"/>
    </font>
    <font>
      <sz val="11.0"/>
      <color rgb="FF000000"/>
      <name val="Arial"/>
    </font>
    <font>
      <i/>
      <sz val="11.0"/>
      <color theme="1"/>
      <name val="Calibri"/>
    </font>
    <font>
      <u/>
      <sz val="11.0"/>
      <color theme="1"/>
      <name val="Calibri"/>
    </font>
    <font>
      <sz val="11.0"/>
      <color theme="0"/>
      <name val="Calibri"/>
    </font>
    <font>
      <sz val="11.0"/>
      <color rgb="FFFF9900"/>
      <name val="Calibri"/>
    </font>
    <font>
      <b/>
      <sz val="11.0"/>
      <color theme="1"/>
      <name val="Arial"/>
    </font>
    <font>
      <sz val="10.0"/>
      <color rgb="FF000000"/>
      <name val="Calibri"/>
    </font>
    <font>
      <b/>
      <sz val="10.0"/>
      <color rgb="FFFF0000"/>
      <name val="Calibri"/>
    </font>
    <font>
      <b/>
      <u/>
      <sz val="11.0"/>
      <color rgb="FF000000"/>
      <name val="Calibri"/>
    </font>
    <font>
      <color rgb="FF000000"/>
      <name val="Tahoma"/>
    </font>
    <font>
      <sz val="10.0"/>
      <color theme="1"/>
      <name val="Bookman Old Style"/>
    </font>
    <font>
      <sz val="12.0"/>
      <color theme="1"/>
      <name val="Calibri"/>
    </font>
    <font>
      <sz val="10.0"/>
      <color rgb="FFFF0000"/>
      <name val="Arial"/>
    </font>
    <font>
      <color theme="1"/>
      <name val="Calibri"/>
    </font>
    <font>
      <u/>
      <color rgb="FF0000FF"/>
    </font>
  </fonts>
  <fills count="20">
    <fill>
      <patternFill patternType="none"/>
    </fill>
    <fill>
      <patternFill patternType="lightGray"/>
    </fill>
    <fill>
      <patternFill patternType="solid">
        <fgColor theme="5"/>
        <bgColor theme="5"/>
      </patternFill>
    </fill>
    <fill>
      <patternFill patternType="solid">
        <fgColor rgb="FFF2DBDB"/>
        <bgColor rgb="FFF2DBDB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theme="9"/>
        <bgColor theme="9"/>
      </patternFill>
    </fill>
    <fill>
      <patternFill patternType="solid">
        <fgColor rgb="FF92D050"/>
        <bgColor rgb="FF92D050"/>
      </patternFill>
    </fill>
    <fill>
      <patternFill patternType="solid">
        <fgColor rgb="FFFFFFFF"/>
        <bgColor rgb="FFFFFFFF"/>
      </patternFill>
    </fill>
    <fill>
      <patternFill patternType="solid">
        <fgColor rgb="FFED7D31"/>
        <bgColor rgb="FFED7D31"/>
      </patternFill>
    </fill>
    <fill>
      <patternFill patternType="solid">
        <fgColor rgb="FF00B0F0"/>
        <bgColor rgb="FF00B0F0"/>
      </patternFill>
    </fill>
    <fill>
      <patternFill patternType="solid">
        <fgColor rgb="FFFF0000"/>
        <bgColor rgb="FFFF0000"/>
      </patternFill>
    </fill>
    <fill>
      <patternFill patternType="solid">
        <fgColor rgb="FFD99594"/>
        <bgColor rgb="FFD99594"/>
      </patternFill>
    </fill>
    <fill>
      <patternFill patternType="solid">
        <fgColor rgb="FF00B050"/>
        <bgColor rgb="FF00B050"/>
      </patternFill>
    </fill>
    <fill>
      <patternFill patternType="solid">
        <fgColor rgb="FFFBE4D5"/>
        <bgColor rgb="FFFBE4D5"/>
      </patternFill>
    </fill>
    <fill>
      <patternFill patternType="solid">
        <fgColor rgb="FFFCE5CD"/>
        <bgColor rgb="FFFCE5CD"/>
      </patternFill>
    </fill>
    <fill>
      <patternFill patternType="solid">
        <fgColor rgb="FFFFE599"/>
        <bgColor rgb="FFFFE599"/>
      </patternFill>
    </fill>
    <fill>
      <patternFill patternType="solid">
        <fgColor rgb="FF980000"/>
        <bgColor rgb="FF980000"/>
      </patternFill>
    </fill>
  </fills>
  <borders count="34">
    <border/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/>
      <top/>
      <bottom/>
    </border>
    <border>
      <left/>
      <right/>
      <top/>
      <bottom/>
    </border>
    <border>
      <top style="thin">
        <color rgb="FF000000"/>
      </top>
      <bottom style="thin">
        <color rgb="FF000000"/>
      </bottom>
    </border>
    <border>
      <left/>
      <right style="thin">
        <color theme="1"/>
      </right>
      <top/>
    </border>
    <border>
      <left style="thin">
        <color theme="1"/>
      </left>
      <right style="thin">
        <color theme="1"/>
      </right>
      <top/>
    </border>
    <border>
      <left style="thin">
        <color theme="1"/>
      </left>
      <right/>
      <top/>
    </border>
    <border>
      <top style="thin">
        <color theme="5"/>
      </top>
    </border>
    <border>
      <right style="thin">
        <color theme="5"/>
      </right>
      <top style="thin">
        <color theme="5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top/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97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3" numFmtId="0" xfId="0" applyAlignment="1" applyFont="1">
      <alignment vertical="bottom"/>
    </xf>
    <xf borderId="1" fillId="2" fontId="4" numFmtId="0" xfId="0" applyAlignment="1" applyBorder="1" applyFill="1" applyFont="1">
      <alignment horizontal="center" vertical="center"/>
    </xf>
    <xf borderId="2" fillId="2" fontId="4" numFmtId="0" xfId="0" applyBorder="1" applyFont="1"/>
    <xf borderId="2" fillId="2" fontId="4" numFmtId="0" xfId="0" applyAlignment="1" applyBorder="1" applyFont="1">
      <alignment readingOrder="0"/>
    </xf>
    <xf borderId="3" fillId="2" fontId="4" numFmtId="0" xfId="0" applyBorder="1" applyFont="1"/>
    <xf borderId="4" fillId="3" fontId="5" numFmtId="0" xfId="0" applyAlignment="1" applyBorder="1" applyFill="1" applyFont="1">
      <alignment horizontal="center" vertical="center"/>
    </xf>
    <xf borderId="5" fillId="3" fontId="5" numFmtId="0" xfId="0" applyBorder="1" applyFont="1"/>
    <xf borderId="5" fillId="3" fontId="5" numFmtId="164" xfId="0" applyBorder="1" applyFont="1" applyNumberFormat="1"/>
    <xf borderId="6" fillId="3" fontId="5" numFmtId="0" xfId="0" applyBorder="1" applyFont="1"/>
    <xf borderId="7" fillId="4" fontId="5" numFmtId="0" xfId="0" applyAlignment="1" applyBorder="1" applyFill="1" applyFont="1">
      <alignment horizontal="center" vertical="center"/>
    </xf>
    <xf borderId="5" fillId="4" fontId="5" numFmtId="0" xfId="0" applyBorder="1" applyFont="1"/>
    <xf borderId="5" fillId="4" fontId="5" numFmtId="164" xfId="0" applyBorder="1" applyFont="1" applyNumberFormat="1"/>
    <xf borderId="5" fillId="5" fontId="5" numFmtId="0" xfId="0" applyBorder="1" applyFill="1" applyFont="1"/>
    <xf borderId="5" fillId="4" fontId="5" numFmtId="0" xfId="0" applyAlignment="1" applyBorder="1" applyFont="1">
      <alignment readingOrder="0"/>
    </xf>
    <xf borderId="5" fillId="6" fontId="5" numFmtId="0" xfId="0" applyAlignment="1" applyBorder="1" applyFill="1" applyFont="1">
      <alignment readingOrder="0"/>
    </xf>
    <xf borderId="8" fillId="4" fontId="5" numFmtId="0" xfId="0" applyBorder="1" applyFont="1"/>
    <xf borderId="7" fillId="3" fontId="5" numFmtId="0" xfId="0" applyAlignment="1" applyBorder="1" applyFont="1">
      <alignment horizontal="center" vertical="center"/>
    </xf>
    <xf borderId="8" fillId="3" fontId="5" numFmtId="0" xfId="0" applyBorder="1" applyFont="1"/>
    <xf borderId="5" fillId="3" fontId="5" numFmtId="0" xfId="0" applyAlignment="1" applyBorder="1" applyFont="1">
      <alignment readingOrder="0"/>
    </xf>
    <xf borderId="4" fillId="4" fontId="5" numFmtId="0" xfId="0" applyAlignment="1" applyBorder="1" applyFont="1">
      <alignment horizontal="center" vertical="center"/>
    </xf>
    <xf borderId="6" fillId="4" fontId="5" numFmtId="0" xfId="0" applyBorder="1" applyFont="1"/>
    <xf borderId="5" fillId="7" fontId="5" numFmtId="0" xfId="0" applyBorder="1" applyFill="1" applyFont="1"/>
    <xf borderId="5" fillId="7" fontId="5" numFmtId="0" xfId="0" applyAlignment="1" applyBorder="1" applyFont="1">
      <alignment readingOrder="0"/>
    </xf>
    <xf borderId="0" fillId="3" fontId="3" numFmtId="0" xfId="0" applyFont="1"/>
    <xf borderId="5" fillId="6" fontId="5" numFmtId="0" xfId="0" applyBorder="1" applyFont="1"/>
    <xf borderId="0" fillId="3" fontId="3" numFmtId="0" xfId="0" applyAlignment="1" applyFont="1">
      <alignment readingOrder="0"/>
    </xf>
    <xf borderId="0" fillId="4" fontId="3" numFmtId="0" xfId="0" applyAlignment="1" applyFont="1">
      <alignment readingOrder="0"/>
    </xf>
    <xf borderId="9" fillId="3" fontId="5" numFmtId="0" xfId="0" applyAlignment="1" applyBorder="1" applyFont="1">
      <alignment horizontal="center" vertical="center"/>
    </xf>
    <xf borderId="10" fillId="3" fontId="5" numFmtId="0" xfId="0" applyBorder="1" applyFont="1"/>
    <xf borderId="10" fillId="3" fontId="5" numFmtId="164" xfId="0" applyBorder="1" applyFont="1" applyNumberFormat="1"/>
    <xf borderId="10" fillId="6" fontId="5" numFmtId="0" xfId="0" applyAlignment="1" applyBorder="1" applyFont="1">
      <alignment readingOrder="0"/>
    </xf>
    <xf borderId="11" fillId="3" fontId="5" numFmtId="0" xfId="0" applyBorder="1" applyFont="1"/>
    <xf borderId="0" fillId="0" fontId="6" numFmtId="0" xfId="0" applyFont="1"/>
    <xf borderId="0" fillId="0" fontId="6" numFmtId="0" xfId="0" applyAlignment="1" applyFont="1">
      <alignment horizontal="left"/>
    </xf>
    <xf borderId="0" fillId="0" fontId="6" numFmtId="0" xfId="0" applyAlignment="1" applyFont="1">
      <alignment horizontal="right"/>
    </xf>
    <xf borderId="5" fillId="2" fontId="7" numFmtId="0" xfId="0" applyBorder="1" applyFont="1"/>
    <xf borderId="5" fillId="2" fontId="7" numFmtId="0" xfId="0" applyAlignment="1" applyBorder="1" applyFont="1">
      <alignment readingOrder="0"/>
    </xf>
    <xf borderId="5" fillId="2" fontId="7" numFmtId="0" xfId="0" applyAlignment="1" applyBorder="1" applyFont="1">
      <alignment horizontal="left"/>
    </xf>
    <xf borderId="5" fillId="2" fontId="7" numFmtId="0" xfId="0" applyAlignment="1" applyBorder="1" applyFont="1">
      <alignment horizontal="right"/>
    </xf>
    <xf borderId="0" fillId="8" fontId="7" numFmtId="0" xfId="0" applyFill="1" applyFont="1"/>
    <xf borderId="5" fillId="4" fontId="3" numFmtId="0" xfId="0" applyBorder="1" applyFont="1"/>
    <xf borderId="5" fillId="4" fontId="6" numFmtId="164" xfId="0" applyBorder="1" applyFont="1" applyNumberFormat="1"/>
    <xf borderId="5" fillId="5" fontId="6" numFmtId="0" xfId="0" applyBorder="1" applyFont="1"/>
    <xf borderId="5" fillId="4" fontId="6" numFmtId="0" xfId="0" applyBorder="1" applyFont="1"/>
    <xf borderId="5" fillId="4" fontId="6" numFmtId="0" xfId="0" applyAlignment="1" applyBorder="1" applyFont="1">
      <alignment horizontal="left"/>
    </xf>
    <xf borderId="5" fillId="9" fontId="6" numFmtId="0" xfId="0" applyAlignment="1" applyBorder="1" applyFill="1" applyFont="1">
      <alignment horizontal="right"/>
    </xf>
    <xf borderId="5" fillId="6" fontId="3" numFmtId="0" xfId="0" applyAlignment="1" applyBorder="1" applyFont="1">
      <alignment readingOrder="0"/>
    </xf>
    <xf borderId="0" fillId="4" fontId="3" numFmtId="0" xfId="0" applyFont="1"/>
    <xf borderId="5" fillId="4" fontId="3" numFmtId="0" xfId="0" applyAlignment="1" applyBorder="1" applyFont="1">
      <alignment readingOrder="0"/>
    </xf>
    <xf borderId="0" fillId="5" fontId="8" numFmtId="0" xfId="0" applyFont="1"/>
    <xf borderId="5" fillId="4" fontId="3" numFmtId="0" xfId="0" applyAlignment="1" applyBorder="1" applyFont="1">
      <alignment horizontal="left"/>
    </xf>
    <xf borderId="5" fillId="6" fontId="3" numFmtId="0" xfId="0" applyAlignment="1" applyBorder="1" applyFont="1">
      <alignment horizontal="right" readingOrder="0"/>
    </xf>
    <xf borderId="5" fillId="5" fontId="3" numFmtId="0" xfId="0" applyAlignment="1" applyBorder="1" applyFont="1">
      <alignment readingOrder="0"/>
    </xf>
    <xf borderId="5" fillId="5" fontId="6" numFmtId="0" xfId="0" applyAlignment="1" applyBorder="1" applyFont="1">
      <alignment readingOrder="0"/>
    </xf>
    <xf borderId="5" fillId="5" fontId="3" numFmtId="0" xfId="0" applyBorder="1" applyFont="1"/>
    <xf borderId="5" fillId="4" fontId="3" numFmtId="0" xfId="0" applyAlignment="1" applyBorder="1" applyFont="1">
      <alignment horizontal="left" readingOrder="0"/>
    </xf>
    <xf borderId="5" fillId="4" fontId="3" numFmtId="0" xfId="0" applyAlignment="1" applyBorder="1" applyFont="1">
      <alignment horizontal="right"/>
    </xf>
    <xf borderId="5" fillId="7" fontId="3" numFmtId="0" xfId="0" applyBorder="1" applyFont="1"/>
    <xf borderId="5" fillId="7" fontId="6" numFmtId="164" xfId="0" applyBorder="1" applyFont="1" applyNumberFormat="1"/>
    <xf borderId="5" fillId="7" fontId="3" numFmtId="0" xfId="0" applyAlignment="1" applyBorder="1" applyFont="1">
      <alignment horizontal="left"/>
    </xf>
    <xf borderId="5" fillId="7" fontId="3" numFmtId="0" xfId="0" applyAlignment="1" applyBorder="1" applyFont="1">
      <alignment horizontal="right"/>
    </xf>
    <xf borderId="5" fillId="7" fontId="3" numFmtId="0" xfId="0" applyAlignment="1" applyBorder="1" applyFont="1">
      <alignment readingOrder="0"/>
    </xf>
    <xf borderId="0" fillId="4" fontId="3" numFmtId="0" xfId="0" applyAlignment="1" applyFont="1">
      <alignment readingOrder="0"/>
    </xf>
    <xf borderId="5" fillId="4" fontId="3" numFmtId="0" xfId="0" applyAlignment="1" applyBorder="1" applyFont="1">
      <alignment horizontal="right" readingOrder="0"/>
    </xf>
    <xf borderId="5" fillId="10" fontId="3" numFmtId="0" xfId="0" applyAlignment="1" applyBorder="1" applyFill="1" applyFont="1">
      <alignment readingOrder="0"/>
    </xf>
    <xf borderId="5" fillId="4" fontId="8" numFmtId="0" xfId="0" applyBorder="1" applyFont="1"/>
    <xf borderId="5" fillId="4" fontId="8" numFmtId="0" xfId="0" applyAlignment="1" applyBorder="1" applyFont="1">
      <alignment readingOrder="0"/>
    </xf>
    <xf borderId="5" fillId="4" fontId="9" numFmtId="164" xfId="0" applyBorder="1" applyFont="1" applyNumberFormat="1"/>
    <xf borderId="5" fillId="5" fontId="8" numFmtId="0" xfId="0" applyBorder="1" applyFont="1"/>
    <xf borderId="5" fillId="4" fontId="8" numFmtId="0" xfId="0" applyAlignment="1" applyBorder="1" applyFont="1">
      <alignment horizontal="left"/>
    </xf>
    <xf borderId="5" fillId="4" fontId="8" numFmtId="0" xfId="0" applyAlignment="1" applyBorder="1" applyFont="1">
      <alignment horizontal="right"/>
    </xf>
    <xf borderId="5" fillId="6" fontId="8" numFmtId="0" xfId="0" applyBorder="1" applyFont="1"/>
    <xf borderId="0" fillId="4" fontId="8" numFmtId="0" xfId="0" applyAlignment="1" applyFont="1">
      <alignment readingOrder="0"/>
    </xf>
    <xf borderId="0" fillId="6" fontId="8" numFmtId="0" xfId="0" applyAlignment="1" applyFont="1">
      <alignment readingOrder="0"/>
    </xf>
    <xf borderId="5" fillId="6" fontId="3" numFmtId="0" xfId="0" applyBorder="1" applyFont="1"/>
    <xf borderId="0" fillId="10" fontId="3" numFmtId="0" xfId="0" applyFont="1"/>
    <xf borderId="5" fillId="5" fontId="6" numFmtId="164" xfId="0" applyBorder="1" applyFont="1" applyNumberFormat="1"/>
    <xf borderId="5" fillId="5" fontId="6" numFmtId="0" xfId="0" applyAlignment="1" applyBorder="1" applyFont="1">
      <alignment horizontal="left"/>
    </xf>
    <xf borderId="5" fillId="5" fontId="6" numFmtId="0" xfId="0" applyAlignment="1" applyBorder="1" applyFont="1">
      <alignment horizontal="right"/>
    </xf>
    <xf borderId="12" fillId="4" fontId="6" numFmtId="0" xfId="0" applyBorder="1" applyFont="1"/>
    <xf borderId="13" fillId="4" fontId="6" numFmtId="0" xfId="0" applyBorder="1" applyFont="1"/>
    <xf borderId="13" fillId="10" fontId="6" numFmtId="0" xfId="0" applyBorder="1" applyFont="1"/>
    <xf borderId="5" fillId="9" fontId="6" numFmtId="0" xfId="0" applyAlignment="1" applyBorder="1" applyFont="1">
      <alignment horizontal="left"/>
    </xf>
    <xf borderId="5" fillId="6" fontId="10" numFmtId="0" xfId="0" applyAlignment="1" applyBorder="1" applyFont="1">
      <alignment readingOrder="0"/>
    </xf>
    <xf borderId="5" fillId="4" fontId="11" numFmtId="0" xfId="0" applyBorder="1" applyFont="1"/>
    <xf borderId="5" fillId="4" fontId="11" numFmtId="0" xfId="0" applyAlignment="1" applyBorder="1" applyFont="1">
      <alignment readingOrder="0"/>
    </xf>
    <xf borderId="5" fillId="4" fontId="12" numFmtId="164" xfId="0" applyAlignment="1" applyBorder="1" applyFont="1" applyNumberFormat="1">
      <alignment readingOrder="0"/>
    </xf>
    <xf borderId="5" fillId="4" fontId="11" numFmtId="0" xfId="0" applyAlignment="1" applyBorder="1" applyFont="1">
      <alignment horizontal="left" readingOrder="0"/>
    </xf>
    <xf borderId="5" fillId="4" fontId="11" numFmtId="0" xfId="0" applyAlignment="1" applyBorder="1" applyFont="1">
      <alignment horizontal="right"/>
    </xf>
    <xf borderId="0" fillId="4" fontId="11" numFmtId="0" xfId="0" applyAlignment="1" applyFont="1">
      <alignment readingOrder="0"/>
    </xf>
    <xf borderId="0" fillId="4" fontId="8" numFmtId="0" xfId="0" applyFont="1"/>
    <xf borderId="5" fillId="4" fontId="9" numFmtId="0" xfId="0" applyBorder="1" applyFont="1"/>
    <xf borderId="5" fillId="4" fontId="9" numFmtId="0" xfId="0" applyAlignment="1" applyBorder="1" applyFont="1">
      <alignment horizontal="left"/>
    </xf>
    <xf borderId="5" fillId="9" fontId="9" numFmtId="0" xfId="0" applyAlignment="1" applyBorder="1" applyFont="1">
      <alignment horizontal="right"/>
    </xf>
    <xf borderId="5" fillId="4" fontId="6" numFmtId="0" xfId="0" applyAlignment="1" applyBorder="1" applyFont="1">
      <alignment readingOrder="0"/>
    </xf>
    <xf borderId="5" fillId="9" fontId="9" numFmtId="0" xfId="0" applyAlignment="1" applyBorder="1" applyFont="1">
      <alignment horizontal="left"/>
    </xf>
    <xf borderId="0" fillId="5" fontId="3" numFmtId="0" xfId="0" applyFont="1"/>
    <xf borderId="0" fillId="4" fontId="8" numFmtId="0" xfId="0" applyAlignment="1" applyFont="1">
      <alignment readingOrder="0"/>
    </xf>
    <xf borderId="0" fillId="4" fontId="6" numFmtId="164" xfId="0" applyFont="1" applyNumberFormat="1"/>
    <xf borderId="0" fillId="4" fontId="3" numFmtId="0" xfId="0" applyAlignment="1" applyFont="1">
      <alignment horizontal="left"/>
    </xf>
    <xf borderId="0" fillId="4" fontId="3" numFmtId="0" xfId="0" applyAlignment="1" applyFont="1">
      <alignment horizontal="right"/>
    </xf>
    <xf borderId="0" fillId="4" fontId="3" numFmtId="0" xfId="0" applyAlignment="1" applyFont="1">
      <alignment horizontal="left" readingOrder="0"/>
    </xf>
    <xf borderId="0" fillId="0" fontId="3" numFmtId="0" xfId="0" applyAlignment="1" applyFont="1">
      <alignment horizontal="left"/>
    </xf>
    <xf borderId="0" fillId="0" fontId="3" numFmtId="0" xfId="0" applyAlignment="1" applyFont="1">
      <alignment horizontal="right"/>
    </xf>
    <xf borderId="0" fillId="0" fontId="13" numFmtId="0" xfId="0" applyAlignment="1" applyFont="1">
      <alignment readingOrder="0"/>
    </xf>
    <xf borderId="5" fillId="0" fontId="8" numFmtId="0" xfId="0" applyBorder="1" applyFont="1"/>
    <xf borderId="5" fillId="0" fontId="8" numFmtId="0" xfId="0" applyAlignment="1" applyBorder="1" applyFont="1">
      <alignment readingOrder="0"/>
    </xf>
    <xf borderId="5" fillId="0" fontId="9" numFmtId="164" xfId="0" applyBorder="1" applyFont="1" applyNumberFormat="1"/>
    <xf borderId="5" fillId="0" fontId="9" numFmtId="0" xfId="0" applyAlignment="1" applyBorder="1" applyFont="1">
      <alignment readingOrder="0"/>
    </xf>
    <xf borderId="5" fillId="4" fontId="9" numFmtId="0" xfId="0" applyAlignment="1" applyBorder="1" applyFont="1">
      <alignment readingOrder="0"/>
    </xf>
    <xf borderId="5" fillId="0" fontId="3" numFmtId="0" xfId="0" applyAlignment="1" applyBorder="1" applyFont="1">
      <alignment readingOrder="0"/>
    </xf>
    <xf borderId="5" fillId="0" fontId="3" numFmtId="0" xfId="0" applyBorder="1" applyFont="1"/>
    <xf borderId="5" fillId="0" fontId="6" numFmtId="164" xfId="0" applyBorder="1" applyFont="1" applyNumberFormat="1"/>
    <xf borderId="5" fillId="0" fontId="6" numFmtId="0" xfId="0" applyBorder="1" applyFont="1"/>
    <xf borderId="5" fillId="6" fontId="3" numFmtId="0" xfId="0" applyAlignment="1" applyBorder="1" applyFont="1">
      <alignment readingOrder="0"/>
    </xf>
    <xf borderId="5" fillId="4" fontId="6" numFmtId="0" xfId="0" applyAlignment="1" applyBorder="1" applyFont="1">
      <alignment readingOrder="0"/>
    </xf>
    <xf borderId="5" fillId="4" fontId="6" numFmtId="0" xfId="0" applyAlignment="1" applyBorder="1" applyFont="1">
      <alignment horizontal="left" readingOrder="0"/>
    </xf>
    <xf borderId="5" fillId="4" fontId="6" numFmtId="0" xfId="0" applyAlignment="1" applyBorder="1" applyFont="1">
      <alignment readingOrder="0"/>
    </xf>
    <xf borderId="5" fillId="0" fontId="3" numFmtId="0" xfId="0" applyAlignment="1" applyBorder="1" applyFont="1">
      <alignment readingOrder="0"/>
    </xf>
    <xf borderId="5" fillId="6" fontId="3" numFmtId="0" xfId="0" applyAlignment="1" applyBorder="1" applyFont="1">
      <alignment readingOrder="0"/>
    </xf>
    <xf borderId="5" fillId="4" fontId="6" numFmtId="0" xfId="0" applyAlignment="1" applyBorder="1" applyFont="1">
      <alignment horizontal="left" readingOrder="0"/>
    </xf>
    <xf borderId="1" fillId="11" fontId="4" numFmtId="0" xfId="0" applyAlignment="1" applyBorder="1" applyFill="1" applyFont="1">
      <alignment horizontal="center" readingOrder="0" shrinkToFit="0" wrapText="0"/>
    </xf>
    <xf borderId="2" fillId="11" fontId="4" numFmtId="0" xfId="0" applyAlignment="1" applyBorder="1" applyFont="1">
      <alignment readingOrder="0" shrinkToFit="0" vertical="bottom" wrapText="0"/>
    </xf>
    <xf borderId="7" fillId="12" fontId="14" numFmtId="0" xfId="0" applyAlignment="1" applyBorder="1" applyFill="1" applyFont="1">
      <alignment shrinkToFit="0" vertical="bottom" wrapText="0"/>
    </xf>
    <xf borderId="5" fillId="12" fontId="14" numFmtId="0" xfId="0" applyAlignment="1" applyBorder="1" applyFont="1">
      <alignment readingOrder="0" shrinkToFit="0" vertical="bottom" wrapText="0"/>
    </xf>
    <xf borderId="5" fillId="12" fontId="14" numFmtId="0" xfId="0" applyAlignment="1" applyBorder="1" applyFont="1">
      <alignment shrinkToFit="0" vertical="bottom" wrapText="0"/>
    </xf>
    <xf borderId="5" fillId="12" fontId="14" numFmtId="164" xfId="0" applyAlignment="1" applyBorder="1" applyFont="1" applyNumberFormat="1">
      <alignment readingOrder="0" shrinkToFit="0" vertical="bottom" wrapText="0"/>
    </xf>
    <xf borderId="8" fillId="12" fontId="14" numFmtId="0" xfId="0" applyAlignment="1" applyBorder="1" applyFont="1">
      <alignment shrinkToFit="0" vertical="bottom" wrapText="0"/>
    </xf>
    <xf borderId="7" fillId="10" fontId="15" numFmtId="0" xfId="0" applyAlignment="1" applyBorder="1" applyFont="1">
      <alignment horizontal="right" readingOrder="0" shrinkToFit="0" vertical="bottom" wrapText="0"/>
    </xf>
    <xf borderId="5" fillId="10" fontId="15" numFmtId="0" xfId="0" applyAlignment="1" applyBorder="1" applyFont="1">
      <alignment readingOrder="0" shrinkToFit="0" vertical="bottom" wrapText="0"/>
    </xf>
    <xf borderId="5" fillId="10" fontId="15" numFmtId="164" xfId="0" applyAlignment="1" applyBorder="1" applyFont="1" applyNumberFormat="1">
      <alignment readingOrder="0" shrinkToFit="0" vertical="bottom" wrapText="0"/>
    </xf>
    <xf borderId="5" fillId="10" fontId="15" numFmtId="0" xfId="0" applyAlignment="1" applyBorder="1" applyFont="1">
      <alignment shrinkToFit="0" vertical="bottom" wrapText="0"/>
    </xf>
    <xf borderId="5" fillId="6" fontId="15" numFmtId="0" xfId="0" applyAlignment="1" applyBorder="1" applyFont="1">
      <alignment readingOrder="0" shrinkToFit="0" vertical="bottom" wrapText="0"/>
    </xf>
    <xf borderId="7" fillId="3" fontId="16" numFmtId="0" xfId="0" applyAlignment="1" applyBorder="1" applyFont="1">
      <alignment horizontal="right" readingOrder="0" shrinkToFit="0" vertical="bottom" wrapText="0"/>
    </xf>
    <xf borderId="5" fillId="3" fontId="16" numFmtId="0" xfId="0" applyAlignment="1" applyBorder="1" applyFont="1">
      <alignment readingOrder="0" shrinkToFit="0" vertical="bottom" wrapText="0"/>
    </xf>
    <xf borderId="5" fillId="3" fontId="16" numFmtId="164" xfId="0" applyAlignment="1" applyBorder="1" applyFont="1" applyNumberFormat="1">
      <alignment readingOrder="0" shrinkToFit="0" vertical="bottom" wrapText="0"/>
    </xf>
    <xf borderId="5" fillId="3" fontId="16" numFmtId="0" xfId="0" applyAlignment="1" applyBorder="1" applyFont="1">
      <alignment shrinkToFit="0" vertical="bottom" wrapText="0"/>
    </xf>
    <xf borderId="5" fillId="6" fontId="16" numFmtId="0" xfId="0" applyAlignment="1" applyBorder="1" applyFont="1">
      <alignment readingOrder="0" shrinkToFit="0" vertical="bottom" wrapText="0"/>
    </xf>
    <xf borderId="5" fillId="3" fontId="16" numFmtId="0" xfId="0" applyAlignment="1" applyBorder="1" applyFont="1">
      <alignment readingOrder="0" vertical="bottom"/>
    </xf>
    <xf borderId="7" fillId="10" fontId="16" numFmtId="0" xfId="0" applyAlignment="1" applyBorder="1" applyFont="1">
      <alignment horizontal="right" readingOrder="0" shrinkToFit="0" vertical="bottom" wrapText="0"/>
    </xf>
    <xf borderId="5" fillId="10" fontId="16" numFmtId="0" xfId="0" applyAlignment="1" applyBorder="1" applyFont="1">
      <alignment readingOrder="0" shrinkToFit="0" vertical="bottom" wrapText="0"/>
    </xf>
    <xf borderId="5" fillId="10" fontId="16" numFmtId="164" xfId="0" applyAlignment="1" applyBorder="1" applyFont="1" applyNumberFormat="1">
      <alignment readingOrder="0" shrinkToFit="0" vertical="bottom" wrapText="0"/>
    </xf>
    <xf borderId="5" fillId="10" fontId="16" numFmtId="0" xfId="0" applyAlignment="1" applyBorder="1" applyFont="1">
      <alignment shrinkToFit="0" vertical="bottom" wrapText="0"/>
    </xf>
    <xf borderId="5" fillId="10" fontId="16" numFmtId="0" xfId="0" applyAlignment="1" applyBorder="1" applyFont="1">
      <alignment shrinkToFit="0" vertical="bottom" wrapText="0"/>
    </xf>
    <xf borderId="5" fillId="3" fontId="16" numFmtId="0" xfId="0" applyAlignment="1" applyBorder="1" applyFont="1">
      <alignment shrinkToFit="0" vertical="bottom" wrapText="0"/>
    </xf>
    <xf borderId="5" fillId="10" fontId="15" numFmtId="0" xfId="0" applyAlignment="1" applyBorder="1" applyFont="1">
      <alignment shrinkToFit="0" vertical="bottom" wrapText="0"/>
    </xf>
    <xf borderId="5" fillId="10" fontId="16" numFmtId="0" xfId="0" applyAlignment="1" applyBorder="1" applyFont="1">
      <alignment horizontal="right" readingOrder="0" shrinkToFit="0" vertical="bottom" wrapText="0"/>
    </xf>
    <xf borderId="5" fillId="3" fontId="16" numFmtId="0" xfId="0" applyAlignment="1" applyBorder="1" applyFont="1">
      <alignment horizontal="right" readingOrder="0" shrinkToFit="0" vertical="bottom" wrapText="0"/>
    </xf>
    <xf borderId="7" fillId="3" fontId="15" numFmtId="0" xfId="0" applyAlignment="1" applyBorder="1" applyFont="1">
      <alignment horizontal="right" readingOrder="0" shrinkToFit="0" vertical="bottom" wrapText="0"/>
    </xf>
    <xf borderId="5" fillId="3" fontId="15" numFmtId="0" xfId="0" applyAlignment="1" applyBorder="1" applyFont="1">
      <alignment readingOrder="0" shrinkToFit="0" vertical="bottom" wrapText="0"/>
    </xf>
    <xf borderId="5" fillId="3" fontId="15" numFmtId="0" xfId="0" applyAlignment="1" applyBorder="1" applyFont="1">
      <alignment readingOrder="0" vertical="bottom"/>
    </xf>
    <xf borderId="5" fillId="3" fontId="15" numFmtId="164" xfId="0" applyAlignment="1" applyBorder="1" applyFont="1" applyNumberFormat="1">
      <alignment readingOrder="0" shrinkToFit="0" vertical="bottom" wrapText="0"/>
    </xf>
    <xf borderId="5" fillId="3" fontId="15" numFmtId="0" xfId="0" applyAlignment="1" applyBorder="1" applyFont="1">
      <alignment shrinkToFit="0" vertical="bottom" wrapText="0"/>
    </xf>
    <xf borderId="5" fillId="10" fontId="16" numFmtId="0" xfId="0" applyAlignment="1" applyBorder="1" applyFont="1">
      <alignment readingOrder="0" vertical="bottom"/>
    </xf>
    <xf borderId="5" fillId="6" fontId="16" numFmtId="0" xfId="0" applyAlignment="1" applyBorder="1" applyFont="1">
      <alignment readingOrder="0" shrinkToFit="0" vertical="bottom" wrapText="0"/>
    </xf>
    <xf borderId="7" fillId="10" fontId="16" numFmtId="0" xfId="0" applyAlignment="1" applyBorder="1" applyFont="1">
      <alignment horizontal="right" readingOrder="0" shrinkToFit="0" vertical="top" wrapText="0"/>
    </xf>
    <xf borderId="5" fillId="10" fontId="16" numFmtId="0" xfId="0" applyAlignment="1" applyBorder="1" applyFont="1">
      <alignment readingOrder="0" shrinkToFit="0" vertical="top" wrapText="0"/>
    </xf>
    <xf borderId="5" fillId="10" fontId="16" numFmtId="164" xfId="0" applyAlignment="1" applyBorder="1" applyFont="1" applyNumberFormat="1">
      <alignment readingOrder="0" shrinkToFit="0" vertical="top" wrapText="0"/>
    </xf>
    <xf borderId="5" fillId="6" fontId="16" numFmtId="0" xfId="0" applyAlignment="1" applyBorder="1" applyFont="1">
      <alignment readingOrder="0" shrinkToFit="0" vertical="top" wrapText="0"/>
    </xf>
    <xf borderId="5" fillId="10" fontId="16" numFmtId="0" xfId="0" applyAlignment="1" applyBorder="1" applyFont="1">
      <alignment readingOrder="0" vertical="top"/>
    </xf>
    <xf borderId="0" fillId="0" fontId="6" numFmtId="0" xfId="0" applyAlignment="1" applyFont="1">
      <alignment vertical="top"/>
    </xf>
    <xf borderId="9" fillId="3" fontId="16" numFmtId="0" xfId="0" applyAlignment="1" applyBorder="1" applyFont="1">
      <alignment horizontal="right" readingOrder="0" shrinkToFit="0" vertical="bottom" wrapText="0"/>
    </xf>
    <xf borderId="10" fillId="3" fontId="16" numFmtId="0" xfId="0" applyAlignment="1" applyBorder="1" applyFont="1">
      <alignment readingOrder="0" shrinkToFit="0" vertical="bottom" wrapText="0"/>
    </xf>
    <xf borderId="10" fillId="3" fontId="16" numFmtId="164" xfId="0" applyAlignment="1" applyBorder="1" applyFont="1" applyNumberFormat="1">
      <alignment readingOrder="0" shrinkToFit="0" vertical="bottom" wrapText="0"/>
    </xf>
    <xf borderId="10" fillId="3" fontId="16" numFmtId="0" xfId="0" applyAlignment="1" applyBorder="1" applyFont="1">
      <alignment shrinkToFit="0" vertical="bottom" wrapText="0"/>
    </xf>
    <xf borderId="0" fillId="6" fontId="3" numFmtId="0" xfId="0" applyAlignment="1" applyFont="1">
      <alignment vertical="bottom"/>
    </xf>
    <xf borderId="1" fillId="0" fontId="4" numFmtId="0" xfId="0" applyAlignment="1" applyBorder="1" applyFont="1">
      <alignment horizontal="center" vertical="center"/>
    </xf>
    <xf borderId="2" fillId="0" fontId="4" numFmtId="0" xfId="0" applyBorder="1" applyFont="1"/>
    <xf borderId="3" fillId="0" fontId="4" numFmtId="0" xfId="0" applyBorder="1" applyFont="1"/>
    <xf borderId="0" fillId="0" fontId="4" numFmtId="0" xfId="0" applyAlignment="1" applyFont="1">
      <alignment readingOrder="0"/>
    </xf>
    <xf borderId="5" fillId="12" fontId="2" numFmtId="0" xfId="0" applyBorder="1" applyFont="1"/>
    <xf borderId="5" fillId="12" fontId="2" numFmtId="164" xfId="0" applyBorder="1" applyFont="1" applyNumberFormat="1"/>
    <xf borderId="5" fillId="0" fontId="5" numFmtId="0" xfId="0" applyBorder="1" applyFont="1"/>
    <xf borderId="5" fillId="0" fontId="5" numFmtId="0" xfId="0" applyBorder="1" applyFont="1"/>
    <xf borderId="5" fillId="0" fontId="5" numFmtId="164" xfId="0" applyBorder="1" applyFont="1" applyNumberFormat="1"/>
    <xf borderId="5" fillId="0" fontId="5" numFmtId="0" xfId="0" applyAlignment="1" applyBorder="1" applyFont="1">
      <alignment readingOrder="0"/>
    </xf>
    <xf borderId="0" fillId="0" fontId="5" numFmtId="0" xfId="0" applyFont="1"/>
    <xf borderId="5" fillId="0" fontId="2" numFmtId="0" xfId="0" applyBorder="1" applyFont="1"/>
    <xf borderId="5" fillId="0" fontId="2" numFmtId="164" xfId="0" applyBorder="1" applyFont="1" applyNumberFormat="1"/>
    <xf borderId="5" fillId="4" fontId="2" numFmtId="0" xfId="0" applyBorder="1" applyFont="1"/>
    <xf borderId="5" fillId="13" fontId="5" numFmtId="0" xfId="0" applyAlignment="1" applyBorder="1" applyFill="1" applyFont="1">
      <alignment readingOrder="0"/>
    </xf>
    <xf borderId="5" fillId="0" fontId="2" numFmtId="0" xfId="0" applyAlignment="1" applyBorder="1" applyFont="1">
      <alignment readingOrder="0"/>
    </xf>
    <xf borderId="3" fillId="11" fontId="4" numFmtId="0" xfId="0" applyAlignment="1" applyBorder="1" applyFont="1">
      <alignment readingOrder="0" shrinkToFit="0" vertical="bottom" wrapText="0"/>
    </xf>
    <xf borderId="1" fillId="11" fontId="4" numFmtId="0" xfId="0" applyAlignment="1" applyBorder="1" applyFont="1">
      <alignment readingOrder="0" shrinkToFit="0" vertical="bottom" wrapText="0"/>
    </xf>
    <xf borderId="0" fillId="0" fontId="16" numFmtId="0" xfId="0" applyAlignment="1" applyFont="1">
      <alignment shrinkToFit="0" vertical="bottom" wrapText="0"/>
    </xf>
    <xf borderId="7" fillId="12" fontId="14" numFmtId="0" xfId="0" applyAlignment="1" applyBorder="1" applyFont="1">
      <alignment horizontal="center" shrinkToFit="0" wrapText="0"/>
    </xf>
    <xf borderId="3" fillId="12" fontId="14" numFmtId="0" xfId="0" applyAlignment="1" applyBorder="1" applyFont="1">
      <alignment shrinkToFit="0" vertical="bottom" wrapText="0"/>
    </xf>
    <xf borderId="0" fillId="0" fontId="14" numFmtId="0" xfId="0" applyAlignment="1" applyFont="1">
      <alignment shrinkToFit="0" vertical="bottom" wrapText="0"/>
    </xf>
    <xf borderId="7" fillId="10" fontId="14" numFmtId="0" xfId="0" applyAlignment="1" applyBorder="1" applyFont="1">
      <alignment horizontal="center" readingOrder="0" shrinkToFit="0" wrapText="0"/>
    </xf>
    <xf borderId="5" fillId="10" fontId="14" numFmtId="0" xfId="0" applyAlignment="1" applyBorder="1" applyFont="1">
      <alignment readingOrder="0" shrinkToFit="0" vertical="bottom" wrapText="0"/>
    </xf>
    <xf borderId="5" fillId="10" fontId="14" numFmtId="0" xfId="0" applyAlignment="1" applyBorder="1" applyFont="1">
      <alignment shrinkToFit="0" vertical="bottom" wrapText="0"/>
    </xf>
    <xf borderId="5" fillId="10" fontId="14" numFmtId="164" xfId="0" applyAlignment="1" applyBorder="1" applyFont="1" applyNumberFormat="1">
      <alignment readingOrder="0" shrinkToFit="0" vertical="bottom" wrapText="0"/>
    </xf>
    <xf borderId="8" fillId="10" fontId="14" numFmtId="0" xfId="0" applyAlignment="1" applyBorder="1" applyFont="1">
      <alignment readingOrder="0" shrinkToFit="0" vertical="bottom" wrapText="0"/>
    </xf>
    <xf borderId="5" fillId="10" fontId="14" numFmtId="0" xfId="0" applyAlignment="1" applyBorder="1" applyFont="1">
      <alignment shrinkToFit="0" vertical="bottom" wrapText="0"/>
    </xf>
    <xf borderId="5" fillId="10" fontId="14" numFmtId="0" xfId="0" applyAlignment="1" applyBorder="1" applyFont="1">
      <alignment readingOrder="0" shrinkToFit="0" vertical="bottom" wrapText="0"/>
    </xf>
    <xf borderId="7" fillId="3" fontId="16" numFmtId="0" xfId="0" applyAlignment="1" applyBorder="1" applyFont="1">
      <alignment horizontal="center" readingOrder="0" shrinkToFit="0" wrapText="0"/>
    </xf>
    <xf borderId="8" fillId="3" fontId="16" numFmtId="0" xfId="0" applyAlignment="1" applyBorder="1" applyFont="1">
      <alignment readingOrder="0" shrinkToFit="0" vertical="bottom" wrapText="0"/>
    </xf>
    <xf borderId="5" fillId="3" fontId="16" numFmtId="0" xfId="0" applyAlignment="1" applyBorder="1" applyFont="1">
      <alignment shrinkToFit="0" vertical="bottom" wrapText="0"/>
    </xf>
    <xf borderId="7" fillId="10" fontId="16" numFmtId="0" xfId="0" applyAlignment="1" applyBorder="1" applyFont="1">
      <alignment horizontal="center" readingOrder="0" shrinkToFit="0" wrapText="0"/>
    </xf>
    <xf borderId="5" fillId="5" fontId="16" numFmtId="0" xfId="0" applyAlignment="1" applyBorder="1" applyFont="1">
      <alignment readingOrder="0" shrinkToFit="0" vertical="bottom" wrapText="0"/>
    </xf>
    <xf borderId="8" fillId="10" fontId="16" numFmtId="0" xfId="0" applyAlignment="1" applyBorder="1" applyFont="1">
      <alignment readingOrder="0" shrinkToFit="0" vertical="bottom" wrapText="0"/>
    </xf>
    <xf borderId="5" fillId="10" fontId="16" numFmtId="0" xfId="0" applyAlignment="1" applyBorder="1" applyFont="1">
      <alignment shrinkToFit="0" vertical="bottom" wrapText="0"/>
    </xf>
    <xf borderId="5" fillId="7" fontId="16" numFmtId="0" xfId="0" applyAlignment="1" applyBorder="1" applyFont="1">
      <alignment readingOrder="0" shrinkToFit="0" vertical="bottom" wrapText="0"/>
    </xf>
    <xf borderId="5" fillId="10" fontId="16" numFmtId="0" xfId="0" applyAlignment="1" applyBorder="1" applyFont="1">
      <alignment readingOrder="0" shrinkToFit="0" vertical="bottom" wrapText="0"/>
    </xf>
    <xf borderId="5" fillId="10" fontId="16" numFmtId="0" xfId="0" applyAlignment="1" applyBorder="1" applyFont="1">
      <alignment shrinkToFit="0" vertical="bottom" wrapText="0"/>
    </xf>
    <xf borderId="5" fillId="3" fontId="16" numFmtId="0" xfId="0" applyAlignment="1" applyBorder="1" applyFont="1">
      <alignment shrinkToFit="0" vertical="bottom" wrapText="0"/>
    </xf>
    <xf borderId="5" fillId="3" fontId="16" numFmtId="164" xfId="0" applyAlignment="1" applyBorder="1" applyFont="1" applyNumberFormat="1">
      <alignment shrinkToFit="0" vertical="bottom" wrapText="0"/>
    </xf>
    <xf borderId="5" fillId="3" fontId="16" numFmtId="0" xfId="0" applyAlignment="1" applyBorder="1" applyFont="1">
      <alignment horizontal="left" readingOrder="0" shrinkToFit="0" vertical="bottom" wrapText="0"/>
    </xf>
    <xf borderId="7" fillId="3" fontId="14" numFmtId="0" xfId="0" applyAlignment="1" applyBorder="1" applyFont="1">
      <alignment horizontal="center" readingOrder="0" shrinkToFit="0" wrapText="0"/>
    </xf>
    <xf borderId="5" fillId="3" fontId="14" numFmtId="0" xfId="0" applyAlignment="1" applyBorder="1" applyFont="1">
      <alignment readingOrder="0" shrinkToFit="0" vertical="bottom" wrapText="0"/>
    </xf>
    <xf borderId="5" fillId="3" fontId="14" numFmtId="0" xfId="0" applyAlignment="1" applyBorder="1" applyFont="1">
      <alignment shrinkToFit="0" vertical="bottom" wrapText="0"/>
    </xf>
    <xf borderId="5" fillId="3" fontId="14" numFmtId="164" xfId="0" applyAlignment="1" applyBorder="1" applyFont="1" applyNumberFormat="1">
      <alignment readingOrder="0" shrinkToFit="0" vertical="bottom" wrapText="0"/>
    </xf>
    <xf borderId="5" fillId="6" fontId="14" numFmtId="0" xfId="0" applyAlignment="1" applyBorder="1" applyFont="1">
      <alignment readingOrder="0" shrinkToFit="0" vertical="bottom" wrapText="0"/>
    </xf>
    <xf borderId="8" fillId="3" fontId="14" numFmtId="0" xfId="0" applyAlignment="1" applyBorder="1" applyFont="1">
      <alignment readingOrder="0" shrinkToFit="0" vertical="bottom" wrapText="0"/>
    </xf>
    <xf borderId="5" fillId="3" fontId="14" numFmtId="0" xfId="0" applyAlignment="1" applyBorder="1" applyFont="1">
      <alignment shrinkToFit="0" vertical="bottom" wrapText="0"/>
    </xf>
    <xf borderId="5" fillId="3" fontId="14" numFmtId="0" xfId="0" applyAlignment="1" applyBorder="1" applyFont="1">
      <alignment readingOrder="0" shrinkToFit="0" vertical="bottom" wrapText="0"/>
    </xf>
    <xf borderId="8" fillId="10" fontId="16" numFmtId="0" xfId="0" applyAlignment="1" applyBorder="1" applyFont="1">
      <alignment shrinkToFit="0" vertical="bottom" wrapText="0"/>
    </xf>
    <xf borderId="8" fillId="3" fontId="16" numFmtId="0" xfId="0" applyAlignment="1" applyBorder="1" applyFont="1">
      <alignment shrinkToFit="0" vertical="bottom" wrapText="0"/>
    </xf>
    <xf borderId="5" fillId="3" fontId="16" numFmtId="0" xfId="0" applyAlignment="1" applyBorder="1" applyFont="1">
      <alignment readingOrder="0" shrinkToFit="0" vertical="bottom" wrapText="0"/>
    </xf>
    <xf borderId="0" fillId="0" fontId="17" numFmtId="0" xfId="0" applyAlignment="1" applyFont="1">
      <alignment readingOrder="0" shrinkToFit="0" vertical="bottom" wrapText="0"/>
    </xf>
    <xf borderId="7" fillId="10" fontId="18" numFmtId="0" xfId="0" applyAlignment="1" applyBorder="1" applyFont="1">
      <alignment horizontal="right" readingOrder="0" shrinkToFit="0" vertical="bottom" wrapText="0"/>
    </xf>
    <xf borderId="5" fillId="10" fontId="18" numFmtId="0" xfId="0" applyAlignment="1" applyBorder="1" applyFont="1">
      <alignment readingOrder="0" shrinkToFit="0" vertical="bottom" wrapText="0"/>
    </xf>
    <xf borderId="5" fillId="10" fontId="18" numFmtId="4" xfId="0" applyAlignment="1" applyBorder="1" applyFont="1" applyNumberFormat="1">
      <alignment readingOrder="0" shrinkToFit="0" vertical="bottom" wrapText="0"/>
    </xf>
    <xf borderId="5" fillId="10" fontId="18" numFmtId="0" xfId="0" applyAlignment="1" applyBorder="1" applyFont="1">
      <alignment shrinkToFit="0" vertical="bottom" wrapText="0"/>
    </xf>
    <xf borderId="14" fillId="10" fontId="18" numFmtId="0" xfId="0" applyAlignment="1" applyBorder="1" applyFont="1">
      <alignment readingOrder="0" shrinkToFit="0" vertical="bottom" wrapText="0"/>
    </xf>
    <xf borderId="15" fillId="2" fontId="19" numFmtId="0" xfId="0" applyBorder="1" applyFont="1"/>
    <xf borderId="16" fillId="2" fontId="19" numFmtId="0" xfId="0" applyBorder="1" applyFont="1"/>
    <xf borderId="16" fillId="2" fontId="20" numFmtId="0" xfId="0" applyAlignment="1" applyBorder="1" applyFont="1">
      <alignment readingOrder="0"/>
    </xf>
    <xf borderId="17" fillId="2" fontId="19" numFmtId="0" xfId="0" applyBorder="1" applyFont="1"/>
    <xf borderId="0" fillId="2" fontId="19" numFmtId="0" xfId="0" applyAlignment="1" applyFont="1">
      <alignment readingOrder="0"/>
    </xf>
    <xf borderId="5" fillId="0" fontId="21" numFmtId="0" xfId="0" applyAlignment="1" applyBorder="1" applyFont="1">
      <alignment vertical="center"/>
    </xf>
    <xf borderId="5" fillId="0" fontId="21" numFmtId="164" xfId="0" applyAlignment="1" applyBorder="1" applyFont="1" applyNumberFormat="1">
      <alignment vertical="center"/>
    </xf>
    <xf borderId="5" fillId="0" fontId="21" numFmtId="0" xfId="0" applyAlignment="1" applyBorder="1" applyFont="1">
      <alignment readingOrder="0" vertical="center"/>
    </xf>
    <xf borderId="5" fillId="4" fontId="21" numFmtId="0" xfId="0" applyAlignment="1" applyBorder="1" applyFont="1">
      <alignment readingOrder="0" vertical="center"/>
    </xf>
    <xf borderId="5" fillId="6" fontId="21" numFmtId="0" xfId="0" applyAlignment="1" applyBorder="1" applyFont="1">
      <alignment vertical="center"/>
    </xf>
    <xf borderId="0" fillId="0" fontId="21" numFmtId="0" xfId="0" applyAlignment="1" applyFont="1">
      <alignment readingOrder="0" vertical="center"/>
    </xf>
    <xf borderId="0" fillId="0" fontId="3" numFmtId="0" xfId="0" applyAlignment="1" applyFont="1">
      <alignment vertical="center"/>
    </xf>
    <xf borderId="5" fillId="4" fontId="21" numFmtId="0" xfId="0" applyAlignment="1" applyBorder="1" applyFont="1">
      <alignment readingOrder="0" vertical="center"/>
    </xf>
    <xf borderId="0" fillId="0" fontId="21" numFmtId="0" xfId="0" applyAlignment="1" applyFont="1">
      <alignment vertical="center"/>
    </xf>
    <xf borderId="5" fillId="4" fontId="21" numFmtId="0" xfId="0" applyAlignment="1" applyBorder="1" applyFont="1">
      <alignment vertical="center"/>
    </xf>
    <xf borderId="5" fillId="6" fontId="21" numFmtId="0" xfId="0" applyAlignment="1" applyBorder="1" applyFont="1">
      <alignment readingOrder="0" vertical="center"/>
    </xf>
    <xf borderId="5" fillId="0" fontId="21" numFmtId="164" xfId="0" applyAlignment="1" applyBorder="1" applyFont="1" applyNumberFormat="1">
      <alignment readingOrder="0" vertical="center"/>
    </xf>
    <xf borderId="0" fillId="0" fontId="21" numFmtId="0" xfId="0" applyAlignment="1" applyFont="1">
      <alignment readingOrder="0" vertical="center"/>
    </xf>
    <xf borderId="2" fillId="0" fontId="4" numFmtId="0" xfId="0" applyAlignment="1" applyBorder="1" applyFont="1">
      <alignment readingOrder="0"/>
    </xf>
    <xf borderId="4" fillId="12" fontId="2" numFmtId="0" xfId="0" applyBorder="1" applyFont="1"/>
    <xf borderId="5" fillId="12" fontId="2" numFmtId="0" xfId="0" applyBorder="1" applyFont="1"/>
    <xf borderId="5" fillId="12" fontId="2" numFmtId="164" xfId="0" applyBorder="1" applyFont="1" applyNumberFormat="1"/>
    <xf borderId="6" fillId="12" fontId="2" numFmtId="0" xfId="0" applyBorder="1" applyFont="1"/>
    <xf borderId="2" fillId="12" fontId="5" numFmtId="0" xfId="0" applyBorder="1" applyFont="1"/>
    <xf borderId="0" fillId="12" fontId="5" numFmtId="0" xfId="0" applyFont="1"/>
    <xf borderId="7" fillId="0" fontId="5" numFmtId="0" xfId="0" applyBorder="1" applyFont="1"/>
    <xf borderId="5" fillId="10" fontId="2" numFmtId="0" xfId="0" applyAlignment="1" applyBorder="1" applyFont="1">
      <alignment readingOrder="0" shrinkToFit="0" vertical="bottom" wrapText="0"/>
    </xf>
    <xf borderId="8" fillId="10" fontId="2" numFmtId="0" xfId="0" applyAlignment="1" applyBorder="1" applyFont="1">
      <alignment readingOrder="0" shrinkToFit="0" vertical="bottom" wrapText="0"/>
    </xf>
    <xf borderId="8" fillId="10" fontId="2" numFmtId="0" xfId="0" applyAlignment="1" applyBorder="1" applyFont="1">
      <alignment shrinkToFit="0" vertical="bottom" wrapText="0"/>
    </xf>
    <xf borderId="5" fillId="10" fontId="22" numFmtId="0" xfId="0" applyAlignment="1" applyBorder="1" applyFont="1">
      <alignment shrinkToFit="0" vertical="bottom" wrapText="0"/>
    </xf>
    <xf borderId="5" fillId="3" fontId="23" numFmtId="0" xfId="0" applyAlignment="1" applyBorder="1" applyFont="1">
      <alignment readingOrder="0" shrinkToFit="0" vertical="bottom" wrapText="0"/>
    </xf>
    <xf borderId="5" fillId="3" fontId="23" numFmtId="0" xfId="0" applyAlignment="1" applyBorder="1" applyFont="1">
      <alignment shrinkToFit="0" vertical="bottom" wrapText="0"/>
    </xf>
    <xf borderId="5" fillId="10" fontId="22" numFmtId="0" xfId="0" applyAlignment="1" applyBorder="1" applyFont="1">
      <alignment readingOrder="0" shrinkToFit="0" vertical="bottom" wrapText="0"/>
    </xf>
    <xf borderId="5" fillId="10" fontId="23" numFmtId="0" xfId="0" applyAlignment="1" applyBorder="1" applyFont="1">
      <alignment readingOrder="0" shrinkToFit="0" vertical="bottom" wrapText="0"/>
    </xf>
    <xf borderId="5" fillId="10" fontId="23" numFmtId="0" xfId="0" applyAlignment="1" applyBorder="1" applyFont="1">
      <alignment shrinkToFit="0" vertical="bottom" wrapText="0"/>
    </xf>
    <xf borderId="5" fillId="0" fontId="6" numFmtId="0" xfId="0" applyBorder="1" applyFont="1"/>
    <xf borderId="5" fillId="5" fontId="23" numFmtId="0" xfId="0" applyAlignment="1" applyBorder="1" applyFont="1">
      <alignment readingOrder="0" shrinkToFit="0" vertical="bottom" wrapText="0"/>
    </xf>
    <xf borderId="5" fillId="6" fontId="23" numFmtId="0" xfId="0" applyAlignment="1" applyBorder="1" applyFont="1">
      <alignment readingOrder="0" shrinkToFit="0" vertical="bottom" wrapText="0"/>
    </xf>
    <xf borderId="5" fillId="5" fontId="14" numFmtId="0" xfId="0" applyAlignment="1" applyBorder="1" applyFont="1">
      <alignment readingOrder="0" shrinkToFit="0" vertical="bottom" wrapText="0"/>
    </xf>
    <xf borderId="5" fillId="6" fontId="14" numFmtId="0" xfId="0" applyAlignment="1" applyBorder="1" applyFont="1">
      <alignment readingOrder="0" shrinkToFit="0" vertical="bottom" wrapText="0"/>
    </xf>
    <xf borderId="5" fillId="10" fontId="24" numFmtId="0" xfId="0" applyAlignment="1" applyBorder="1" applyFont="1">
      <alignment readingOrder="0" shrinkToFit="0" vertical="bottom" wrapText="0"/>
    </xf>
    <xf borderId="8" fillId="3" fontId="14" numFmtId="0" xfId="0" applyAlignment="1" applyBorder="1" applyFont="1">
      <alignment shrinkToFit="0" vertical="bottom" wrapText="0"/>
    </xf>
    <xf borderId="5" fillId="3" fontId="24" numFmtId="0" xfId="0" applyAlignment="1" applyBorder="1" applyFont="1">
      <alignment shrinkToFit="0" vertical="bottom" wrapText="0"/>
    </xf>
    <xf borderId="9" fillId="0" fontId="5" numFmtId="0" xfId="0" applyBorder="1" applyFont="1"/>
    <xf borderId="10" fillId="0" fontId="5" numFmtId="0" xfId="0" applyBorder="1" applyFont="1"/>
    <xf borderId="10" fillId="0" fontId="5" numFmtId="164" xfId="0" applyBorder="1" applyFont="1" applyNumberFormat="1"/>
    <xf borderId="10" fillId="5" fontId="16" numFmtId="0" xfId="0" applyAlignment="1" applyBorder="1" applyFont="1">
      <alignment readingOrder="0" shrinkToFit="0" vertical="bottom" wrapText="0"/>
    </xf>
    <xf borderId="10" fillId="6" fontId="16" numFmtId="0" xfId="0" applyAlignment="1" applyBorder="1" applyFont="1">
      <alignment readingOrder="0" shrinkToFit="0" vertical="bottom" wrapText="0"/>
    </xf>
    <xf borderId="11" fillId="3" fontId="16" numFmtId="0" xfId="0" applyAlignment="1" applyBorder="1" applyFont="1">
      <alignment readingOrder="0" shrinkToFit="0" vertical="bottom" wrapText="0"/>
    </xf>
    <xf borderId="18" fillId="0" fontId="6" numFmtId="0" xfId="0" applyBorder="1" applyFont="1"/>
    <xf borderId="18" fillId="0" fontId="6" numFmtId="164" xfId="0" applyBorder="1" applyFont="1" applyNumberFormat="1"/>
    <xf borderId="19" fillId="0" fontId="6" numFmtId="164" xfId="0" applyBorder="1" applyFont="1" applyNumberFormat="1"/>
    <xf borderId="0" fillId="0" fontId="5" numFmtId="0" xfId="0" applyAlignment="1" applyFont="1">
      <alignment horizontal="center"/>
    </xf>
    <xf borderId="0" fillId="0" fontId="5" numFmtId="0" xfId="0" applyAlignment="1" applyFont="1">
      <alignment horizontal="left"/>
    </xf>
    <xf borderId="0" fillId="0" fontId="2" numFmtId="165" xfId="0" applyFont="1" applyNumberFormat="1"/>
    <xf borderId="0" fillId="0" fontId="5" numFmtId="165" xfId="0" applyFont="1" applyNumberFormat="1"/>
    <xf borderId="0" fillId="0" fontId="5" numFmtId="164" xfId="0" applyFont="1" applyNumberFormat="1"/>
    <xf borderId="20" fillId="0" fontId="2" numFmtId="0" xfId="0" applyBorder="1" applyFont="1"/>
    <xf borderId="21" fillId="0" fontId="2" numFmtId="0" xfId="0" applyBorder="1" applyFont="1"/>
    <xf borderId="22" fillId="0" fontId="5" numFmtId="0" xfId="0" applyAlignment="1" applyBorder="1" applyFont="1">
      <alignment readingOrder="0"/>
    </xf>
    <xf borderId="23" fillId="0" fontId="5" numFmtId="0" xfId="0" applyAlignment="1" applyBorder="1" applyFont="1">
      <alignment readingOrder="0"/>
    </xf>
    <xf borderId="5" fillId="14" fontId="2" numFmtId="0" xfId="0" applyBorder="1" applyFill="1" applyFont="1"/>
    <xf borderId="5" fillId="14" fontId="2" numFmtId="166" xfId="0" applyBorder="1" applyFont="1" applyNumberFormat="1"/>
    <xf borderId="8" fillId="14" fontId="2" numFmtId="0" xfId="0" applyBorder="1" applyFont="1"/>
    <xf borderId="5" fillId="15" fontId="2" numFmtId="0" xfId="0" applyBorder="1" applyFill="1" applyFont="1"/>
    <xf borderId="5" fillId="15" fontId="2" numFmtId="164" xfId="0" applyBorder="1" applyFont="1" applyNumberFormat="1"/>
    <xf borderId="8" fillId="15" fontId="2" numFmtId="0" xfId="0" applyBorder="1" applyFont="1"/>
    <xf borderId="5" fillId="5" fontId="2" numFmtId="0" xfId="0" applyBorder="1" applyFont="1"/>
    <xf borderId="5" fillId="5" fontId="2" numFmtId="164" xfId="0" applyBorder="1" applyFont="1" applyNumberFormat="1"/>
    <xf borderId="8" fillId="5" fontId="2" numFmtId="0" xfId="0" applyBorder="1" applyFont="1"/>
    <xf borderId="0" fillId="0" fontId="9" numFmtId="0" xfId="0" applyFont="1"/>
    <xf borderId="8" fillId="12" fontId="2" numFmtId="0" xfId="0" applyBorder="1" applyFont="1"/>
    <xf borderId="5" fillId="0" fontId="5" numFmtId="0" xfId="0" applyBorder="1" applyFont="1"/>
    <xf borderId="5" fillId="0" fontId="5" numFmtId="164" xfId="0" applyBorder="1" applyFont="1" applyNumberFormat="1"/>
    <xf borderId="8" fillId="0" fontId="5" numFmtId="0" xfId="0" applyBorder="1" applyFont="1"/>
    <xf borderId="8" fillId="0" fontId="6" numFmtId="0" xfId="0" applyAlignment="1" applyBorder="1" applyFont="1">
      <alignment readingOrder="0"/>
    </xf>
    <xf borderId="5" fillId="0" fontId="6" numFmtId="0" xfId="0" applyAlignment="1" applyBorder="1" applyFont="1">
      <alignment readingOrder="0"/>
    </xf>
    <xf borderId="8" fillId="0" fontId="6" numFmtId="0" xfId="0" applyBorder="1" applyFont="1"/>
    <xf borderId="5" fillId="0" fontId="5" numFmtId="0" xfId="0" applyAlignment="1" applyBorder="1" applyFont="1">
      <alignment shrinkToFit="0" wrapText="1"/>
    </xf>
    <xf borderId="5" fillId="6" fontId="5" numFmtId="0" xfId="0" applyAlignment="1" applyBorder="1" applyFont="1">
      <alignment shrinkToFit="0" wrapText="1"/>
    </xf>
    <xf borderId="24" fillId="14" fontId="5" numFmtId="0" xfId="0" applyBorder="1" applyFont="1"/>
    <xf borderId="25" fillId="14" fontId="5" numFmtId="0" xfId="0" applyBorder="1" applyFont="1"/>
    <xf borderId="25" fillId="14" fontId="25" numFmtId="164" xfId="0" applyBorder="1" applyFont="1" applyNumberFormat="1"/>
    <xf borderId="26" fillId="14" fontId="5" numFmtId="0" xfId="0" applyBorder="1" applyFont="1"/>
    <xf borderId="27" fillId="14" fontId="5" numFmtId="0" xfId="0" applyBorder="1" applyFont="1"/>
    <xf borderId="28" fillId="14" fontId="5" numFmtId="0" xfId="0" applyBorder="1" applyFont="1"/>
    <xf borderId="0" fillId="0" fontId="5" numFmtId="166" xfId="0" applyFont="1" applyNumberFormat="1"/>
    <xf borderId="3" fillId="0" fontId="4" numFmtId="0" xfId="0" applyAlignment="1" applyBorder="1" applyFont="1">
      <alignment readingOrder="0"/>
    </xf>
    <xf borderId="0" fillId="0" fontId="4" numFmtId="0" xfId="0" applyAlignment="1" applyFont="1">
      <alignment readingOrder="0"/>
    </xf>
    <xf borderId="5" fillId="12" fontId="5" numFmtId="0" xfId="0" applyBorder="1" applyFont="1"/>
    <xf borderId="0" fillId="12" fontId="5" numFmtId="0" xfId="0" applyFont="1"/>
    <xf borderId="5" fillId="0" fontId="5" numFmtId="0" xfId="0" applyAlignment="1" applyBorder="1" applyFont="1">
      <alignment horizontal="center"/>
    </xf>
    <xf borderId="0" fillId="0" fontId="5" numFmtId="0" xfId="0" applyAlignment="1" applyFont="1">
      <alignment readingOrder="0"/>
    </xf>
    <xf borderId="0" fillId="0" fontId="5" numFmtId="0" xfId="0" applyFont="1"/>
    <xf borderId="5" fillId="12" fontId="5" numFmtId="0" xfId="0" applyAlignment="1" applyBorder="1" applyFont="1">
      <alignment horizontal="center"/>
    </xf>
    <xf borderId="5" fillId="11" fontId="4" numFmtId="0" xfId="0" applyAlignment="1" applyBorder="1" applyFont="1">
      <alignment horizontal="center" readingOrder="0" shrinkToFit="0" wrapText="0"/>
    </xf>
    <xf borderId="5" fillId="11" fontId="4" numFmtId="0" xfId="0" applyAlignment="1" applyBorder="1" applyFont="1">
      <alignment readingOrder="0" shrinkToFit="0" vertical="bottom" wrapText="0"/>
    </xf>
    <xf borderId="5" fillId="12" fontId="14" numFmtId="0" xfId="0" applyAlignment="1" applyBorder="1" applyFont="1">
      <alignment horizontal="center" shrinkToFit="0" vertical="bottom" wrapText="0"/>
    </xf>
    <xf borderId="5" fillId="12" fontId="14" numFmtId="164" xfId="0" applyAlignment="1" applyBorder="1" applyFont="1" applyNumberFormat="1">
      <alignment shrinkToFit="0" vertical="bottom" wrapText="0"/>
    </xf>
    <xf borderId="5" fillId="10" fontId="16" numFmtId="0" xfId="0" applyAlignment="1" applyBorder="1" applyFont="1">
      <alignment horizontal="center" readingOrder="0" shrinkToFit="0" vertical="top" wrapText="0"/>
    </xf>
    <xf borderId="5" fillId="5" fontId="16" numFmtId="0" xfId="0" applyAlignment="1" applyBorder="1" applyFont="1">
      <alignment readingOrder="0" shrinkToFit="0" vertical="top" wrapText="0"/>
    </xf>
    <xf borderId="5" fillId="6" fontId="16" numFmtId="0" xfId="0" applyAlignment="1" applyBorder="1" applyFont="1">
      <alignment readingOrder="0" shrinkToFit="0" vertical="top" wrapText="0"/>
    </xf>
    <xf borderId="5" fillId="10" fontId="16" numFmtId="0" xfId="0" applyAlignment="1" applyBorder="1" applyFont="1">
      <alignment shrinkToFit="0" vertical="top" wrapText="0"/>
    </xf>
    <xf borderId="0" fillId="0" fontId="16" numFmtId="0" xfId="0" applyAlignment="1" applyFont="1">
      <alignment shrinkToFit="0" vertical="top" wrapText="0"/>
    </xf>
    <xf borderId="0" fillId="0" fontId="16" numFmtId="0" xfId="0" applyAlignment="1" applyFont="1">
      <alignment shrinkToFit="0" vertical="bottom" wrapText="0"/>
    </xf>
    <xf borderId="5" fillId="3" fontId="16" numFmtId="0" xfId="0" applyAlignment="1" applyBorder="1" applyFont="1">
      <alignment horizontal="center" readingOrder="0" shrinkToFit="0" vertical="top" wrapText="0"/>
    </xf>
    <xf borderId="5" fillId="3" fontId="16" numFmtId="0" xfId="0" applyAlignment="1" applyBorder="1" applyFont="1">
      <alignment readingOrder="0" shrinkToFit="0" vertical="top" wrapText="0"/>
    </xf>
    <xf borderId="5" fillId="3" fontId="16" numFmtId="164" xfId="0" applyAlignment="1" applyBorder="1" applyFont="1" applyNumberFormat="1">
      <alignment readingOrder="0" shrinkToFit="0" vertical="top" wrapText="0"/>
    </xf>
    <xf borderId="5" fillId="3" fontId="16" numFmtId="0" xfId="0" applyAlignment="1" applyBorder="1" applyFont="1">
      <alignment shrinkToFit="0" vertical="top" wrapText="0"/>
    </xf>
    <xf borderId="5" fillId="3" fontId="14" numFmtId="0" xfId="0" applyAlignment="1" applyBorder="1" applyFont="1">
      <alignment horizontal="center" readingOrder="0" shrinkToFit="0" vertical="bottom" wrapText="0"/>
    </xf>
    <xf borderId="5" fillId="4" fontId="14" numFmtId="0" xfId="0" applyAlignment="1" applyBorder="1" applyFont="1">
      <alignment readingOrder="0" shrinkToFit="0" vertical="bottom" wrapText="0"/>
    </xf>
    <xf borderId="5" fillId="10" fontId="14" numFmtId="0" xfId="0" applyAlignment="1" applyBorder="1" applyFont="1">
      <alignment horizontal="center" readingOrder="0" shrinkToFit="0" vertical="bottom" wrapText="0"/>
    </xf>
    <xf borderId="5" fillId="3" fontId="16" numFmtId="0" xfId="0" applyAlignment="1" applyBorder="1" applyFont="1">
      <alignment horizontal="center" readingOrder="0" shrinkToFit="0" vertical="bottom" wrapText="0"/>
    </xf>
    <xf borderId="5" fillId="3" fontId="26" numFmtId="0" xfId="0" applyAlignment="1" applyBorder="1" applyFont="1">
      <alignment shrinkToFit="0" vertical="bottom" wrapText="0"/>
    </xf>
    <xf borderId="0" fillId="0" fontId="26" numFmtId="0" xfId="0" applyAlignment="1" applyFont="1">
      <alignment shrinkToFit="0" vertical="bottom" wrapText="0"/>
    </xf>
    <xf borderId="5" fillId="10" fontId="16" numFmtId="0" xfId="0" applyAlignment="1" applyBorder="1" applyFont="1">
      <alignment horizontal="center" readingOrder="0" shrinkToFit="0" vertical="bottom" wrapText="0"/>
    </xf>
    <xf borderId="5" fillId="10" fontId="26" numFmtId="0" xfId="0" applyAlignment="1" applyBorder="1" applyFont="1">
      <alignment shrinkToFit="0" vertical="bottom" wrapText="0"/>
    </xf>
    <xf borderId="5" fillId="10" fontId="16" numFmtId="0" xfId="0" applyAlignment="1" applyBorder="1" applyFont="1">
      <alignment horizontal="center" readingOrder="0" shrinkToFit="0" wrapText="0"/>
    </xf>
    <xf borderId="5" fillId="10" fontId="16" numFmtId="0" xfId="0" applyAlignment="1" applyBorder="1" applyFont="1">
      <alignment readingOrder="0" shrinkToFit="0" wrapText="0"/>
    </xf>
    <xf borderId="5" fillId="10" fontId="16" numFmtId="164" xfId="0" applyAlignment="1" applyBorder="1" applyFont="1" applyNumberFormat="1">
      <alignment readingOrder="0" shrinkToFit="0" wrapText="0"/>
    </xf>
    <xf borderId="5" fillId="10" fontId="16" numFmtId="0" xfId="0" applyAlignment="1" applyBorder="1" applyFont="1">
      <alignment readingOrder="0"/>
    </xf>
    <xf borderId="5" fillId="6" fontId="16" numFmtId="0" xfId="0" applyAlignment="1" applyBorder="1" applyFont="1">
      <alignment readingOrder="0" shrinkToFit="0" wrapText="0"/>
    </xf>
    <xf borderId="5" fillId="10" fontId="16" numFmtId="0" xfId="0" applyAlignment="1" applyBorder="1" applyFont="1">
      <alignment shrinkToFit="0" wrapText="0"/>
    </xf>
    <xf borderId="0" fillId="0" fontId="16" numFmtId="0" xfId="0" applyAlignment="1" applyFont="1">
      <alignment shrinkToFit="0" wrapText="0"/>
    </xf>
    <xf borderId="5" fillId="3" fontId="16" numFmtId="0" xfId="0" applyAlignment="1" applyBorder="1" applyFont="1">
      <alignment readingOrder="0" vertical="top"/>
    </xf>
    <xf borderId="4" fillId="12" fontId="27" numFmtId="0" xfId="0" applyAlignment="1" applyBorder="1" applyFont="1">
      <alignment horizontal="center"/>
    </xf>
    <xf borderId="5" fillId="12" fontId="27" numFmtId="0" xfId="0" applyBorder="1" applyFont="1"/>
    <xf borderId="5" fillId="12" fontId="27" numFmtId="164" xfId="0" applyBorder="1" applyFont="1" applyNumberFormat="1"/>
    <xf borderId="6" fillId="12" fontId="27" numFmtId="164" xfId="0" applyBorder="1" applyFont="1" applyNumberFormat="1"/>
    <xf borderId="7" fillId="0" fontId="28" numFmtId="0" xfId="0" applyAlignment="1" applyBorder="1" applyFont="1">
      <alignment horizontal="center"/>
    </xf>
    <xf borderId="5" fillId="0" fontId="28" numFmtId="0" xfId="0" applyBorder="1" applyFont="1"/>
    <xf borderId="5" fillId="0" fontId="26" numFmtId="164" xfId="0" applyBorder="1" applyFont="1" applyNumberFormat="1"/>
    <xf borderId="5" fillId="0" fontId="21" numFmtId="0" xfId="0" applyBorder="1" applyFont="1"/>
    <xf borderId="8" fillId="0" fontId="28" numFmtId="0" xfId="0" applyBorder="1" applyFont="1"/>
    <xf borderId="0" fillId="0" fontId="26" numFmtId="0" xfId="0" applyFont="1"/>
    <xf borderId="6" fillId="12" fontId="2" numFmtId="164" xfId="0" applyBorder="1" applyFont="1" applyNumberFormat="1"/>
    <xf borderId="7" fillId="0" fontId="21" numFmtId="0" xfId="0" applyAlignment="1" applyBorder="1" applyFont="1">
      <alignment horizontal="center" vertical="center"/>
    </xf>
    <xf borderId="5" fillId="0" fontId="5" numFmtId="164" xfId="0" applyAlignment="1" applyBorder="1" applyFont="1" applyNumberFormat="1">
      <alignment vertical="center"/>
    </xf>
    <xf borderId="5" fillId="0" fontId="21" numFmtId="0" xfId="0" applyAlignment="1" applyBorder="1" applyFont="1">
      <alignment shrinkToFit="0" vertical="center" wrapText="1"/>
    </xf>
    <xf borderId="8" fillId="0" fontId="21" numFmtId="0" xfId="0" applyAlignment="1" applyBorder="1" applyFont="1">
      <alignment vertical="center"/>
    </xf>
    <xf borderId="0" fillId="0" fontId="5" numFmtId="0" xfId="0" applyAlignment="1" applyFont="1">
      <alignment vertical="center"/>
    </xf>
    <xf borderId="8" fillId="0" fontId="21" numFmtId="0" xfId="0" applyBorder="1" applyFont="1"/>
    <xf borderId="7" fillId="0" fontId="21" numFmtId="0" xfId="0" applyAlignment="1" applyBorder="1" applyFont="1">
      <alignment horizontal="center"/>
    </xf>
    <xf borderId="9" fillId="0" fontId="21" numFmtId="0" xfId="0" applyAlignment="1" applyBorder="1" applyFont="1">
      <alignment horizontal="center" vertical="center"/>
    </xf>
    <xf borderId="10" fillId="0" fontId="21" numFmtId="0" xfId="0" applyAlignment="1" applyBorder="1" applyFont="1">
      <alignment vertical="center"/>
    </xf>
    <xf borderId="10" fillId="0" fontId="5" numFmtId="164" xfId="0" applyAlignment="1" applyBorder="1" applyFont="1" applyNumberFormat="1">
      <alignment vertical="center"/>
    </xf>
    <xf borderId="10" fillId="0" fontId="21" numFmtId="0" xfId="0" applyAlignment="1" applyBorder="1" applyFont="1">
      <alignment shrinkToFit="0" vertical="center" wrapText="1"/>
    </xf>
    <xf borderId="10" fillId="0" fontId="21" numFmtId="0" xfId="0" applyBorder="1" applyFont="1"/>
    <xf borderId="11" fillId="0" fontId="21" numFmtId="0" xfId="0" applyAlignment="1" applyBorder="1" applyFont="1">
      <alignment vertical="center"/>
    </xf>
    <xf borderId="0" fillId="0" fontId="4" numFmtId="0" xfId="0" applyFont="1"/>
    <xf borderId="4" fillId="12" fontId="2" numFmtId="0" xfId="0" applyBorder="1" applyFont="1"/>
    <xf borderId="5" fillId="12" fontId="2" numFmtId="0" xfId="0" applyAlignment="1" applyBorder="1" applyFont="1">
      <alignment horizontal="center" vertical="center"/>
    </xf>
    <xf borderId="6" fillId="12" fontId="2" numFmtId="0" xfId="0" applyBorder="1" applyFont="1"/>
    <xf borderId="2" fillId="0" fontId="5" numFmtId="0" xfId="0" applyBorder="1" applyFont="1"/>
    <xf borderId="7" fillId="0" fontId="5" numFmtId="0" xfId="0" applyAlignment="1" applyBorder="1" applyFont="1">
      <alignment vertical="center"/>
    </xf>
    <xf borderId="5" fillId="0" fontId="5" numFmtId="0" xfId="0" applyAlignment="1" applyBorder="1" applyFont="1">
      <alignment vertical="center"/>
    </xf>
    <xf borderId="5" fillId="0" fontId="5" numFmtId="0" xfId="0" applyAlignment="1" applyBorder="1" applyFont="1">
      <alignment horizontal="center" vertical="center"/>
    </xf>
    <xf borderId="5" fillId="4" fontId="5" numFmtId="0" xfId="0" applyAlignment="1" applyBorder="1" applyFont="1">
      <alignment vertical="center"/>
    </xf>
    <xf borderId="5" fillId="0" fontId="5" numFmtId="0" xfId="0" applyAlignment="1" applyBorder="1" applyFont="1">
      <alignment readingOrder="0" vertical="center"/>
    </xf>
    <xf borderId="5" fillId="6" fontId="5" numFmtId="0" xfId="0" applyAlignment="1" applyBorder="1" applyFont="1">
      <alignment vertical="center"/>
    </xf>
    <xf borderId="8" fillId="0" fontId="5" numFmtId="0" xfId="0" applyAlignment="1" applyBorder="1" applyFont="1">
      <alignment vertical="center"/>
    </xf>
    <xf borderId="5" fillId="0" fontId="5" numFmtId="0" xfId="0" applyAlignment="1" applyBorder="1" applyFont="1">
      <alignment shrinkToFit="0" vertical="center" wrapText="1"/>
    </xf>
    <xf borderId="0" fillId="0" fontId="5" numFmtId="0" xfId="0" applyAlignment="1" applyFont="1">
      <alignment readingOrder="0" shrinkToFit="0" vertical="center" wrapText="1"/>
    </xf>
    <xf borderId="8" fillId="0" fontId="5" numFmtId="0" xfId="0" applyBorder="1" applyFont="1"/>
    <xf borderId="5" fillId="0" fontId="5" numFmtId="0" xfId="0" applyAlignment="1" applyBorder="1" applyFont="1">
      <alignment shrinkToFit="0" wrapText="1"/>
    </xf>
    <xf borderId="0" fillId="0" fontId="15" numFmtId="0" xfId="0" applyAlignment="1" applyFont="1">
      <alignment readingOrder="0" shrinkToFit="0" wrapText="1"/>
    </xf>
    <xf borderId="5" fillId="0" fontId="26" numFmtId="0" xfId="0" applyBorder="1" applyFont="1"/>
    <xf borderId="7" fillId="0" fontId="5" numFmtId="0" xfId="0" applyAlignment="1" applyBorder="1" applyFont="1">
      <alignment vertical="top"/>
    </xf>
    <xf borderId="5" fillId="0" fontId="5" numFmtId="0" xfId="0" applyAlignment="1" applyBorder="1" applyFont="1">
      <alignment vertical="top"/>
    </xf>
    <xf borderId="5" fillId="0" fontId="5" numFmtId="0" xfId="0" applyAlignment="1" applyBorder="1" applyFont="1">
      <alignment horizontal="center" vertical="top"/>
    </xf>
    <xf borderId="5" fillId="0" fontId="5" numFmtId="164" xfId="0" applyAlignment="1" applyBorder="1" applyFont="1" applyNumberFormat="1">
      <alignment vertical="top"/>
    </xf>
    <xf borderId="5" fillId="4" fontId="5" numFmtId="0" xfId="0" applyAlignment="1" applyBorder="1" applyFont="1">
      <alignment readingOrder="0" vertical="top"/>
    </xf>
    <xf borderId="5" fillId="0" fontId="5" numFmtId="0" xfId="0" applyAlignment="1" applyBorder="1" applyFont="1">
      <alignment readingOrder="0" vertical="top"/>
    </xf>
    <xf borderId="8" fillId="0" fontId="5" numFmtId="0" xfId="0" applyAlignment="1" applyBorder="1" applyFont="1">
      <alignment vertical="top"/>
    </xf>
    <xf borderId="5" fillId="0" fontId="5" numFmtId="0" xfId="0" applyAlignment="1" applyBorder="1" applyFont="1">
      <alignment shrinkToFit="0" vertical="top" wrapText="1"/>
    </xf>
    <xf borderId="0" fillId="0" fontId="5" numFmtId="0" xfId="0" applyAlignment="1" applyFont="1">
      <alignment shrinkToFit="0" vertical="top" wrapText="1"/>
    </xf>
    <xf borderId="0" fillId="0" fontId="3" numFmtId="0" xfId="0" applyAlignment="1" applyFont="1">
      <alignment vertical="top"/>
    </xf>
    <xf borderId="0" fillId="0" fontId="5" numFmtId="0" xfId="0" applyAlignment="1" applyFont="1">
      <alignment shrinkToFit="0" wrapText="1"/>
    </xf>
    <xf borderId="5" fillId="4" fontId="5" numFmtId="0" xfId="0" applyAlignment="1" applyBorder="1" applyFont="1">
      <alignment vertical="top"/>
    </xf>
    <xf borderId="5" fillId="6" fontId="5" numFmtId="0" xfId="0" applyAlignment="1" applyBorder="1" applyFont="1">
      <alignment readingOrder="0" vertical="top"/>
    </xf>
    <xf borderId="5" fillId="6" fontId="5" numFmtId="0" xfId="0" applyAlignment="1" applyBorder="1" applyFont="1">
      <alignment vertical="top"/>
    </xf>
    <xf borderId="0" fillId="0" fontId="5" numFmtId="0" xfId="0" applyAlignment="1" applyFont="1">
      <alignment vertical="top"/>
    </xf>
    <xf borderId="4" fillId="12" fontId="2" numFmtId="0" xfId="0" applyAlignment="1" applyBorder="1" applyFont="1">
      <alignment vertical="top"/>
    </xf>
    <xf borderId="5" fillId="12" fontId="2" numFmtId="0" xfId="0" applyAlignment="1" applyBorder="1" applyFont="1">
      <alignment vertical="top"/>
    </xf>
    <xf borderId="5" fillId="12" fontId="2" numFmtId="0" xfId="0" applyAlignment="1" applyBorder="1" applyFont="1">
      <alignment horizontal="center" vertical="top"/>
    </xf>
    <xf borderId="5" fillId="12" fontId="2" numFmtId="164" xfId="0" applyAlignment="1" applyBorder="1" applyFont="1" applyNumberFormat="1">
      <alignment vertical="top"/>
    </xf>
    <xf borderId="5" fillId="4" fontId="2" numFmtId="0" xfId="0" applyAlignment="1" applyBorder="1" applyFont="1">
      <alignment vertical="top"/>
    </xf>
    <xf borderId="6" fillId="12" fontId="2" numFmtId="0" xfId="0" applyAlignment="1" applyBorder="1" applyFont="1">
      <alignment vertical="top"/>
    </xf>
    <xf borderId="0" fillId="0" fontId="15" numFmtId="0" xfId="0" applyAlignment="1" applyFont="1">
      <alignment readingOrder="0" vertical="top"/>
    </xf>
    <xf borderId="9" fillId="0" fontId="5" numFmtId="0" xfId="0" applyAlignment="1" applyBorder="1" applyFont="1">
      <alignment vertical="top"/>
    </xf>
    <xf borderId="10" fillId="0" fontId="5" numFmtId="0" xfId="0" applyAlignment="1" applyBorder="1" applyFont="1">
      <alignment vertical="top"/>
    </xf>
    <xf borderId="10" fillId="0" fontId="5" numFmtId="0" xfId="0" applyAlignment="1" applyBorder="1" applyFont="1">
      <alignment horizontal="center" vertical="top"/>
    </xf>
    <xf borderId="10" fillId="0" fontId="5" numFmtId="164" xfId="0" applyAlignment="1" applyBorder="1" applyFont="1" applyNumberFormat="1">
      <alignment vertical="top"/>
    </xf>
    <xf borderId="10" fillId="4" fontId="5" numFmtId="0" xfId="0" applyAlignment="1" applyBorder="1" applyFont="1">
      <alignment vertical="top"/>
    </xf>
    <xf borderId="10" fillId="0" fontId="5" numFmtId="0" xfId="0" applyAlignment="1" applyBorder="1" applyFont="1">
      <alignment readingOrder="0" vertical="top"/>
    </xf>
    <xf borderId="11" fillId="0" fontId="5" numFmtId="0" xfId="0" applyAlignment="1" applyBorder="1" applyFont="1">
      <alignment vertical="top"/>
    </xf>
    <xf borderId="0" fillId="0" fontId="7" numFmtId="0" xfId="0" applyFont="1"/>
    <xf borderId="0" fillId="0" fontId="7" numFmtId="0" xfId="0" applyAlignment="1" applyFont="1">
      <alignment readingOrder="0"/>
    </xf>
    <xf borderId="4" fillId="12" fontId="5" numFmtId="0" xfId="0" applyBorder="1" applyFont="1"/>
    <xf borderId="5" fillId="12" fontId="5" numFmtId="164" xfId="0" applyBorder="1" applyFont="1" applyNumberFormat="1"/>
    <xf borderId="6" fillId="12" fontId="5" numFmtId="0" xfId="0" applyBorder="1" applyFont="1"/>
    <xf borderId="7" fillId="0" fontId="5" numFmtId="0" xfId="0" applyAlignment="1" applyBorder="1" applyFont="1">
      <alignment horizontal="center"/>
    </xf>
    <xf borderId="0" fillId="0" fontId="15" numFmtId="0" xfId="0" applyAlignment="1" applyFont="1">
      <alignment readingOrder="0"/>
    </xf>
    <xf borderId="0" fillId="0" fontId="5" numFmtId="0" xfId="0" applyFont="1"/>
    <xf borderId="0" fillId="6" fontId="3" numFmtId="0" xfId="0" applyAlignment="1" applyFont="1">
      <alignment readingOrder="0"/>
    </xf>
    <xf borderId="9" fillId="0" fontId="5" numFmtId="0" xfId="0" applyAlignment="1" applyBorder="1" applyFont="1">
      <alignment horizontal="center"/>
    </xf>
    <xf borderId="10" fillId="0" fontId="26" numFmtId="0" xfId="0" applyBorder="1" applyFont="1"/>
    <xf borderId="10" fillId="0" fontId="5" numFmtId="0" xfId="0" applyAlignment="1" applyBorder="1" applyFont="1">
      <alignment readingOrder="0"/>
    </xf>
    <xf borderId="11" fillId="0" fontId="5" numFmtId="0" xfId="0" applyBorder="1" applyFont="1"/>
    <xf borderId="10" fillId="0" fontId="5" numFmtId="0" xfId="0" applyAlignment="1" applyBorder="1" applyFont="1">
      <alignment horizontal="left"/>
    </xf>
    <xf borderId="10" fillId="6" fontId="5" numFmtId="0" xfId="0" applyBorder="1" applyFont="1"/>
    <xf borderId="5" fillId="0" fontId="6" numFmtId="0" xfId="0" applyAlignment="1" applyBorder="1" applyFont="1">
      <alignment readingOrder="0"/>
    </xf>
    <xf borderId="0" fillId="0" fontId="6" numFmtId="164" xfId="0" applyFont="1" applyNumberFormat="1"/>
    <xf borderId="0" fillId="2" fontId="4" numFmtId="0" xfId="0" applyFont="1"/>
    <xf borderId="4" fillId="12" fontId="5" numFmtId="0" xfId="0" applyBorder="1" applyFont="1"/>
    <xf borderId="5" fillId="12" fontId="5" numFmtId="0" xfId="0" applyBorder="1" applyFont="1"/>
    <xf borderId="5" fillId="12" fontId="16" numFmtId="0" xfId="0" applyAlignment="1" applyBorder="1" applyFont="1">
      <alignment shrinkToFit="0" vertical="bottom" wrapText="0"/>
    </xf>
    <xf borderId="6" fillId="12" fontId="5" numFmtId="0" xfId="0" applyBorder="1" applyFont="1"/>
    <xf borderId="0" fillId="16" fontId="5" numFmtId="0" xfId="0" applyFill="1" applyFont="1"/>
    <xf borderId="7" fillId="4" fontId="29" numFmtId="0" xfId="0" applyBorder="1" applyFont="1"/>
    <xf borderId="5" fillId="4" fontId="29" numFmtId="0" xfId="0" applyBorder="1" applyFont="1"/>
    <xf borderId="5" fillId="10" fontId="29" numFmtId="0" xfId="0" applyAlignment="1" applyBorder="1" applyFont="1">
      <alignment readingOrder="0" shrinkToFit="0" vertical="bottom" wrapText="0"/>
    </xf>
    <xf borderId="5" fillId="4" fontId="29" numFmtId="164" xfId="0" applyBorder="1" applyFont="1" applyNumberFormat="1"/>
    <xf borderId="5" fillId="9" fontId="29" numFmtId="0" xfId="0" applyAlignment="1" applyBorder="1" applyFont="1">
      <alignment readingOrder="0" shrinkToFit="0" vertical="bottom" wrapText="0"/>
    </xf>
    <xf borderId="8" fillId="4" fontId="29" numFmtId="0" xfId="0" applyAlignment="1" applyBorder="1" applyFont="1">
      <alignment readingOrder="0"/>
    </xf>
    <xf borderId="8" fillId="10" fontId="29" numFmtId="0" xfId="0" applyAlignment="1" applyBorder="1" applyFont="1">
      <alignment shrinkToFit="0" vertical="bottom" wrapText="0"/>
    </xf>
    <xf borderId="0" fillId="4" fontId="29" numFmtId="0" xfId="0" applyAlignment="1" applyFont="1">
      <alignment shrinkToFit="0" vertical="bottom" wrapText="0"/>
    </xf>
    <xf borderId="7" fillId="16" fontId="5" numFmtId="0" xfId="0" applyBorder="1" applyFont="1"/>
    <xf borderId="5" fillId="16" fontId="5" numFmtId="0" xfId="0" applyBorder="1" applyFont="1"/>
    <xf borderId="5" fillId="16" fontId="16" numFmtId="0" xfId="0" applyAlignment="1" applyBorder="1" applyFont="1">
      <alignment readingOrder="0" shrinkToFit="0" vertical="bottom" wrapText="0"/>
    </xf>
    <xf borderId="5" fillId="16" fontId="5" numFmtId="164" xfId="0" applyBorder="1" applyFont="1" applyNumberFormat="1"/>
    <xf borderId="5" fillId="9" fontId="16" numFmtId="0" xfId="0" applyAlignment="1" applyBorder="1" applyFont="1">
      <alignment readingOrder="0" shrinkToFit="0" vertical="bottom" wrapText="0"/>
    </xf>
    <xf borderId="8" fillId="16" fontId="5" numFmtId="0" xfId="0" applyAlignment="1" applyBorder="1" applyFont="1">
      <alignment readingOrder="0"/>
    </xf>
    <xf borderId="8" fillId="16" fontId="16" numFmtId="0" xfId="0" applyAlignment="1" applyBorder="1" applyFont="1">
      <alignment shrinkToFit="0" vertical="bottom" wrapText="0"/>
    </xf>
    <xf borderId="0" fillId="16" fontId="16" numFmtId="0" xfId="0" applyAlignment="1" applyFont="1">
      <alignment shrinkToFit="0" vertical="bottom" wrapText="0"/>
    </xf>
    <xf borderId="7" fillId="4" fontId="5" numFmtId="0" xfId="0" applyBorder="1" applyFont="1"/>
    <xf borderId="5" fillId="9" fontId="16" numFmtId="0" xfId="0" applyAlignment="1" applyBorder="1" applyFont="1">
      <alignment readingOrder="0" shrinkToFit="0" vertical="bottom" wrapText="0"/>
    </xf>
    <xf borderId="0" fillId="4" fontId="16" numFmtId="0" xfId="0" applyAlignment="1" applyFont="1">
      <alignment readingOrder="0" shrinkToFit="0" vertical="bottom" wrapText="0"/>
    </xf>
    <xf borderId="0" fillId="4" fontId="16" numFmtId="0" xfId="0" applyAlignment="1" applyFont="1">
      <alignment shrinkToFit="0" vertical="bottom" wrapText="0"/>
    </xf>
    <xf borderId="8" fillId="16" fontId="5" numFmtId="0" xfId="0" applyBorder="1" applyFont="1"/>
    <xf borderId="8" fillId="16" fontId="16" numFmtId="0" xfId="0" applyAlignment="1" applyBorder="1" applyFont="1">
      <alignment readingOrder="0" shrinkToFit="0" vertical="bottom" wrapText="0"/>
    </xf>
    <xf borderId="0" fillId="16" fontId="16" numFmtId="0" xfId="0" applyAlignment="1" applyFont="1">
      <alignment readingOrder="0" shrinkToFit="0" vertical="bottom" wrapText="0"/>
    </xf>
    <xf borderId="7" fillId="16" fontId="29" numFmtId="0" xfId="0" applyBorder="1" applyFont="1"/>
    <xf borderId="5" fillId="16" fontId="29" numFmtId="0" xfId="0" applyBorder="1" applyFont="1"/>
    <xf borderId="5" fillId="16" fontId="29" numFmtId="0" xfId="0" applyAlignment="1" applyBorder="1" applyFont="1">
      <alignment readingOrder="0" shrinkToFit="0" vertical="bottom" wrapText="0"/>
    </xf>
    <xf borderId="5" fillId="16" fontId="29" numFmtId="164" xfId="0" applyBorder="1" applyFont="1" applyNumberFormat="1"/>
    <xf borderId="5" fillId="9" fontId="29" numFmtId="0" xfId="0" applyAlignment="1" applyBorder="1" applyFont="1">
      <alignment readingOrder="0" shrinkToFit="0" vertical="bottom" wrapText="0"/>
    </xf>
    <xf borderId="8" fillId="16" fontId="29" numFmtId="0" xfId="0" applyBorder="1" applyFont="1"/>
    <xf borderId="8" fillId="16" fontId="29" numFmtId="0" xfId="0" applyAlignment="1" applyBorder="1" applyFont="1">
      <alignment shrinkToFit="0" vertical="bottom" wrapText="0"/>
    </xf>
    <xf borderId="0" fillId="16" fontId="29" numFmtId="0" xfId="0" applyAlignment="1" applyFont="1">
      <alignment shrinkToFit="0" vertical="bottom" wrapText="0"/>
    </xf>
    <xf borderId="0" fillId="0" fontId="30" numFmtId="0" xfId="0" applyFont="1"/>
    <xf borderId="8" fillId="4" fontId="29" numFmtId="0" xfId="0" applyBorder="1" applyFont="1"/>
    <xf borderId="8" fillId="16" fontId="29" numFmtId="0" xfId="0" applyAlignment="1" applyBorder="1" applyFont="1">
      <alignment readingOrder="0" shrinkToFit="0" vertical="bottom" wrapText="0"/>
    </xf>
    <xf borderId="0" fillId="16" fontId="29" numFmtId="0" xfId="0" applyAlignment="1" applyFont="1">
      <alignment readingOrder="0" shrinkToFit="0" vertical="bottom" wrapText="0"/>
    </xf>
    <xf borderId="8" fillId="16" fontId="29" numFmtId="0" xfId="0" applyAlignment="1" applyBorder="1" applyFont="1">
      <alignment readingOrder="0"/>
    </xf>
    <xf borderId="8" fillId="10" fontId="29" numFmtId="0" xfId="0" applyAlignment="1" applyBorder="1" applyFont="1">
      <alignment readingOrder="0" shrinkToFit="0" vertical="bottom" wrapText="0"/>
    </xf>
    <xf borderId="0" fillId="4" fontId="29" numFmtId="0" xfId="0" applyAlignment="1" applyFont="1">
      <alignment readingOrder="0" shrinkToFit="0" vertical="bottom" wrapText="0"/>
    </xf>
    <xf borderId="0" fillId="4" fontId="16" numFmtId="0" xfId="0" applyAlignment="1" applyFont="1">
      <alignment readingOrder="0" shrinkToFit="0" vertical="bottom" wrapText="0"/>
    </xf>
    <xf borderId="5" fillId="16" fontId="16" numFmtId="0" xfId="0" applyAlignment="1" applyBorder="1" applyFont="1">
      <alignment shrinkToFit="0" vertical="bottom" wrapText="0"/>
    </xf>
    <xf borderId="7" fillId="16" fontId="16" numFmtId="0" xfId="0" applyBorder="1" applyFont="1"/>
    <xf borderId="5" fillId="16" fontId="16" numFmtId="0" xfId="0" applyBorder="1" applyFont="1"/>
    <xf borderId="5" fillId="16" fontId="16" numFmtId="164" xfId="0" applyBorder="1" applyFont="1" applyNumberFormat="1"/>
    <xf borderId="8" fillId="16" fontId="16" numFmtId="0" xfId="0" applyBorder="1" applyFont="1"/>
    <xf borderId="0" fillId="16" fontId="16" numFmtId="0" xfId="0" applyAlignment="1" applyFont="1">
      <alignment readingOrder="0" shrinkToFit="0" vertical="bottom" wrapText="0"/>
    </xf>
    <xf borderId="0" fillId="4" fontId="2" numFmtId="0" xfId="0" applyFont="1"/>
    <xf borderId="1" fillId="11" fontId="4" numFmtId="0" xfId="0" applyAlignment="1" applyBorder="1" applyFont="1">
      <alignment readingOrder="0" shrinkToFit="0" vertical="bottom" wrapText="0"/>
    </xf>
    <xf borderId="1" fillId="11" fontId="4" numFmtId="0" xfId="0" applyAlignment="1" applyBorder="1" applyFont="1">
      <alignment horizontal="left" readingOrder="0" shrinkToFit="0" vertical="bottom" wrapText="0"/>
    </xf>
    <xf borderId="29" fillId="11" fontId="4" numFmtId="0" xfId="0" applyAlignment="1" applyBorder="1" applyFont="1">
      <alignment readingOrder="0" shrinkToFit="0" vertical="bottom" wrapText="0"/>
    </xf>
    <xf borderId="1" fillId="12" fontId="24" numFmtId="0" xfId="0" applyAlignment="1" applyBorder="1" applyFont="1">
      <alignment shrinkToFit="0" vertical="bottom" wrapText="0"/>
    </xf>
    <xf borderId="5" fillId="12" fontId="24" numFmtId="0" xfId="0" applyAlignment="1" applyBorder="1" applyFont="1">
      <alignment readingOrder="0" shrinkToFit="0" vertical="bottom" wrapText="0"/>
    </xf>
    <xf borderId="5" fillId="12" fontId="24" numFmtId="0" xfId="0" applyAlignment="1" applyBorder="1" applyFont="1">
      <alignment shrinkToFit="0" vertical="bottom" wrapText="0"/>
    </xf>
    <xf borderId="5" fillId="12" fontId="24" numFmtId="164" xfId="0" applyAlignment="1" applyBorder="1" applyFont="1" applyNumberFormat="1">
      <alignment readingOrder="0" shrinkToFit="0" vertical="bottom" wrapText="0"/>
    </xf>
    <xf borderId="5" fillId="12" fontId="24" numFmtId="0" xfId="0" applyAlignment="1" applyBorder="1" applyFont="1">
      <alignment horizontal="left" shrinkToFit="0" vertical="bottom" wrapText="0"/>
    </xf>
    <xf borderId="29" fillId="12" fontId="24" numFmtId="0" xfId="0" applyAlignment="1" applyBorder="1" applyFont="1">
      <alignment shrinkToFit="0" vertical="bottom" wrapText="0"/>
    </xf>
    <xf borderId="2" fillId="12" fontId="23" numFmtId="0" xfId="0" applyAlignment="1" applyBorder="1" applyFont="1">
      <alignment shrinkToFit="0" vertical="bottom" wrapText="0"/>
    </xf>
    <xf borderId="1" fillId="10" fontId="16" numFmtId="0" xfId="0" applyAlignment="1" applyBorder="1" applyFont="1">
      <alignment horizontal="right" readingOrder="0" shrinkToFit="0" vertical="bottom" wrapText="0"/>
    </xf>
    <xf borderId="5" fillId="5" fontId="26" numFmtId="0" xfId="0" applyAlignment="1" applyBorder="1" applyFont="1">
      <alignment horizontal="left" readingOrder="0" shrinkToFit="0" vertical="bottom" wrapText="0"/>
    </xf>
    <xf borderId="1" fillId="10" fontId="31" numFmtId="0" xfId="0" applyAlignment="1" applyBorder="1" applyFont="1">
      <alignment horizontal="left" readingOrder="0"/>
    </xf>
    <xf borderId="1" fillId="4" fontId="31" numFmtId="0" xfId="0" applyAlignment="1" applyBorder="1" applyFont="1">
      <alignment horizontal="left" readingOrder="0"/>
    </xf>
    <xf borderId="1" fillId="6" fontId="31" numFmtId="0" xfId="0" applyAlignment="1" applyBorder="1" applyFont="1">
      <alignment horizontal="left" readingOrder="0"/>
    </xf>
    <xf borderId="29" fillId="10" fontId="16" numFmtId="0" xfId="0" applyAlignment="1" applyBorder="1" applyFont="1">
      <alignment readingOrder="0" shrinkToFit="0" vertical="bottom" wrapText="0"/>
    </xf>
    <xf borderId="5" fillId="12" fontId="23" numFmtId="0" xfId="0" applyAlignment="1" applyBorder="1" applyFont="1">
      <alignment shrinkToFit="0" vertical="bottom" wrapText="0"/>
    </xf>
    <xf borderId="5" fillId="5" fontId="16" numFmtId="0" xfId="0" applyAlignment="1" applyBorder="1" applyFont="1">
      <alignment horizontal="left" readingOrder="0" shrinkToFit="0" vertical="bottom" wrapText="0"/>
    </xf>
    <xf borderId="5" fillId="10" fontId="31" numFmtId="0" xfId="0" applyAlignment="1" applyBorder="1" applyFont="1">
      <alignment horizontal="left" readingOrder="0"/>
    </xf>
    <xf borderId="5" fillId="4" fontId="31" numFmtId="0" xfId="0" applyAlignment="1" applyBorder="1" applyFont="1">
      <alignment horizontal="left" readingOrder="0"/>
    </xf>
    <xf borderId="5" fillId="6" fontId="31" numFmtId="0" xfId="0" applyAlignment="1" applyBorder="1" applyFont="1">
      <alignment horizontal="left" readingOrder="0"/>
    </xf>
    <xf borderId="29" fillId="10" fontId="16" numFmtId="0" xfId="0" applyAlignment="1" applyBorder="1" applyFont="1">
      <alignment shrinkToFit="0" vertical="bottom" wrapText="0"/>
    </xf>
    <xf borderId="1" fillId="3" fontId="16" numFmtId="0" xfId="0" applyAlignment="1" applyBorder="1" applyFont="1">
      <alignment horizontal="right" readingOrder="0" shrinkToFit="0" vertical="bottom" wrapText="0"/>
    </xf>
    <xf borderId="5" fillId="5" fontId="31" numFmtId="0" xfId="0" applyAlignment="1" applyBorder="1" applyFont="1">
      <alignment horizontal="left" readingOrder="0"/>
    </xf>
    <xf borderId="5" fillId="3" fontId="31" numFmtId="0" xfId="0" applyAlignment="1" applyBorder="1" applyFont="1">
      <alignment horizontal="left" readingOrder="0"/>
    </xf>
    <xf borderId="29" fillId="3" fontId="16" numFmtId="0" xfId="0" applyAlignment="1" applyBorder="1" applyFont="1">
      <alignment shrinkToFit="0" vertical="bottom" wrapText="0"/>
    </xf>
    <xf borderId="5" fillId="10" fontId="16" numFmtId="0" xfId="0" applyAlignment="1" applyBorder="1" applyFont="1">
      <alignment horizontal="left" readingOrder="0" shrinkToFit="0" vertical="bottom" wrapText="0"/>
    </xf>
    <xf borderId="5" fillId="4" fontId="16" numFmtId="0" xfId="0" applyAlignment="1" applyBorder="1" applyFont="1">
      <alignment horizontal="left" readingOrder="0" shrinkToFit="0" vertical="bottom" wrapText="0"/>
    </xf>
    <xf borderId="5" fillId="6" fontId="16" numFmtId="0" xfId="0" applyAlignment="1" applyBorder="1" applyFont="1">
      <alignment horizontal="left" readingOrder="0" shrinkToFit="0" vertical="bottom" wrapText="0"/>
    </xf>
    <xf borderId="29" fillId="3" fontId="16" numFmtId="0" xfId="0" applyAlignment="1" applyBorder="1" applyFont="1">
      <alignment readingOrder="0" shrinkToFit="0" vertical="bottom" wrapText="0"/>
    </xf>
    <xf borderId="5" fillId="10" fontId="31" numFmtId="0" xfId="0" applyAlignment="1" applyBorder="1" applyFont="1">
      <alignment horizontal="left" readingOrder="0" shrinkToFit="0" wrapText="0"/>
    </xf>
    <xf borderId="5" fillId="4" fontId="31" numFmtId="0" xfId="0" applyAlignment="1" applyBorder="1" applyFont="1">
      <alignment horizontal="left" readingOrder="0" shrinkToFit="0" wrapText="0"/>
    </xf>
    <xf borderId="5" fillId="6" fontId="31" numFmtId="0" xfId="0" applyAlignment="1" applyBorder="1" applyFont="1">
      <alignment horizontal="left" readingOrder="0" shrinkToFit="0" wrapText="0"/>
    </xf>
    <xf borderId="5" fillId="5" fontId="31" numFmtId="0" xfId="0" applyAlignment="1" applyBorder="1" applyFont="1">
      <alignment horizontal="left" readingOrder="0" shrinkToFit="0" wrapText="0"/>
    </xf>
    <xf borderId="5" fillId="3" fontId="31" numFmtId="0" xfId="0" applyAlignment="1" applyBorder="1" applyFont="1">
      <alignment horizontal="left" readingOrder="0" shrinkToFit="0" wrapText="0"/>
    </xf>
    <xf borderId="5" fillId="10" fontId="31" numFmtId="3" xfId="0" applyAlignment="1" applyBorder="1" applyFont="1" applyNumberFormat="1">
      <alignment horizontal="left" readingOrder="0"/>
    </xf>
    <xf borderId="5" fillId="4" fontId="31" numFmtId="3" xfId="0" applyAlignment="1" applyBorder="1" applyFont="1" applyNumberFormat="1">
      <alignment horizontal="left" readingOrder="0"/>
    </xf>
    <xf borderId="5" fillId="5" fontId="16" numFmtId="0" xfId="0" applyAlignment="1" applyBorder="1" applyFont="1">
      <alignment horizontal="left" readingOrder="0" shrinkToFit="0" wrapText="0"/>
    </xf>
    <xf borderId="0" fillId="10" fontId="32" numFmtId="0" xfId="0" applyAlignment="1" applyFont="1">
      <alignment horizontal="left" readingOrder="0" shrinkToFit="0" vertical="bottom" wrapText="0"/>
    </xf>
    <xf borderId="0" fillId="4" fontId="32" numFmtId="0" xfId="0" applyAlignment="1" applyFont="1">
      <alignment horizontal="left" readingOrder="0" shrinkToFit="0" vertical="bottom" wrapText="0"/>
    </xf>
    <xf borderId="0" fillId="6" fontId="32" numFmtId="0" xfId="0" applyAlignment="1" applyFont="1">
      <alignment horizontal="left" readingOrder="0" shrinkToFit="0" vertical="bottom" wrapText="0"/>
    </xf>
    <xf borderId="3" fillId="10" fontId="16" numFmtId="0" xfId="0" applyAlignment="1" applyBorder="1" applyFont="1">
      <alignment shrinkToFit="0" vertical="bottom" wrapText="0"/>
    </xf>
    <xf borderId="5" fillId="10" fontId="23" numFmtId="164" xfId="0" applyAlignment="1" applyBorder="1" applyFont="1" applyNumberFormat="1">
      <alignment readingOrder="0" shrinkToFit="0" vertical="bottom" wrapText="0"/>
    </xf>
    <xf borderId="5" fillId="5" fontId="33" numFmtId="0" xfId="0" applyAlignment="1" applyBorder="1" applyFont="1">
      <alignment horizontal="left" readingOrder="0" shrinkToFit="0" vertical="bottom" wrapText="0"/>
    </xf>
    <xf borderId="5" fillId="10" fontId="23" numFmtId="0" xfId="0" applyAlignment="1" applyBorder="1" applyFont="1">
      <alignment horizontal="left" readingOrder="0" shrinkToFit="0" vertical="bottom" wrapText="0"/>
    </xf>
    <xf borderId="5" fillId="4" fontId="23" numFmtId="0" xfId="0" applyAlignment="1" applyBorder="1" applyFont="1">
      <alignment horizontal="left" readingOrder="0" shrinkToFit="0" vertical="bottom" wrapText="0"/>
    </xf>
    <xf borderId="5" fillId="6" fontId="23" numFmtId="0" xfId="0" applyAlignment="1" applyBorder="1" applyFont="1">
      <alignment horizontal="left" readingOrder="0" shrinkToFit="0" vertical="bottom" wrapText="0"/>
    </xf>
    <xf borderId="5" fillId="3" fontId="23" numFmtId="164" xfId="0" applyAlignment="1" applyBorder="1" applyFont="1" applyNumberFormat="1">
      <alignment readingOrder="0" shrinkToFit="0" vertical="bottom" wrapText="0"/>
    </xf>
    <xf borderId="5" fillId="3" fontId="23" numFmtId="0" xfId="0" applyAlignment="1" applyBorder="1" applyFont="1">
      <alignment horizontal="left" readingOrder="0" shrinkToFit="0" vertical="bottom" wrapText="0"/>
    </xf>
    <xf borderId="1" fillId="10" fontId="16" numFmtId="0" xfId="0" applyAlignment="1" applyBorder="1" applyFont="1">
      <alignment readingOrder="0" shrinkToFit="0" vertical="bottom" wrapText="0"/>
    </xf>
    <xf borderId="1" fillId="10" fontId="16" numFmtId="164" xfId="0" applyAlignment="1" applyBorder="1" applyFont="1" applyNumberFormat="1">
      <alignment readingOrder="0" shrinkToFit="0" vertical="bottom" wrapText="0"/>
    </xf>
    <xf borderId="1" fillId="5" fontId="26" numFmtId="0" xfId="0" applyAlignment="1" applyBorder="1" applyFont="1">
      <alignment horizontal="left" readingOrder="0" shrinkToFit="0" vertical="bottom" wrapText="0"/>
    </xf>
    <xf borderId="1" fillId="10" fontId="31" numFmtId="0" xfId="0" applyAlignment="1" applyBorder="1" applyFont="1">
      <alignment horizontal="left" readingOrder="0" shrinkToFit="0" wrapText="0"/>
    </xf>
    <xf borderId="1" fillId="4" fontId="31" numFmtId="0" xfId="0" applyAlignment="1" applyBorder="1" applyFont="1">
      <alignment horizontal="left" readingOrder="0" shrinkToFit="0" wrapText="0"/>
    </xf>
    <xf borderId="1" fillId="6" fontId="31" numFmtId="0" xfId="0" applyAlignment="1" applyBorder="1" applyFont="1">
      <alignment horizontal="left" readingOrder="0" shrinkToFit="0" wrapText="0"/>
    </xf>
    <xf borderId="2" fillId="3" fontId="16" numFmtId="0" xfId="0" applyAlignment="1" applyBorder="1" applyFont="1">
      <alignment readingOrder="0" shrinkToFit="0" vertical="bottom" wrapText="0"/>
    </xf>
    <xf borderId="0" fillId="0" fontId="34" numFmtId="0" xfId="0" applyFont="1"/>
    <xf borderId="7" fillId="12" fontId="35" numFmtId="0" xfId="0" applyAlignment="1" applyBorder="1" applyFont="1">
      <alignment horizontal="center" shrinkToFit="0" wrapText="0"/>
    </xf>
    <xf borderId="5" fillId="12" fontId="35" numFmtId="0" xfId="0" applyAlignment="1" applyBorder="1" applyFont="1">
      <alignment readingOrder="0" shrinkToFit="0" vertical="bottom" wrapText="0"/>
    </xf>
    <xf borderId="5" fillId="12" fontId="35" numFmtId="0" xfId="0" applyAlignment="1" applyBorder="1" applyFont="1">
      <alignment shrinkToFit="0" vertical="bottom" wrapText="0"/>
    </xf>
    <xf borderId="5" fillId="12" fontId="35" numFmtId="164" xfId="0" applyAlignment="1" applyBorder="1" applyFont="1" applyNumberFormat="1">
      <alignment readingOrder="0" shrinkToFit="0" vertical="bottom" wrapText="0"/>
    </xf>
    <xf borderId="8" fillId="12" fontId="35" numFmtId="0" xfId="0" applyAlignment="1" applyBorder="1" applyFont="1">
      <alignment shrinkToFit="0" vertical="bottom" wrapText="0"/>
    </xf>
    <xf borderId="7" fillId="10" fontId="36" numFmtId="0" xfId="0" applyAlignment="1" applyBorder="1" applyFont="1">
      <alignment horizontal="center" readingOrder="0" shrinkToFit="0" wrapText="0"/>
    </xf>
    <xf borderId="5" fillId="10" fontId="36" numFmtId="0" xfId="0" applyAlignment="1" applyBorder="1" applyFont="1">
      <alignment readingOrder="0" shrinkToFit="0" vertical="bottom" wrapText="0"/>
    </xf>
    <xf borderId="5" fillId="10" fontId="36" numFmtId="164" xfId="0" applyAlignment="1" applyBorder="1" applyFont="1" applyNumberFormat="1">
      <alignment readingOrder="0" shrinkToFit="0" vertical="bottom" wrapText="0"/>
    </xf>
    <xf borderId="5" fillId="10" fontId="36" numFmtId="0" xfId="0" applyAlignment="1" applyBorder="1" applyFont="1">
      <alignment horizontal="right" readingOrder="0" shrinkToFit="0" vertical="bottom" wrapText="0"/>
    </xf>
    <xf borderId="5" fillId="6" fontId="36" numFmtId="0" xfId="0" applyAlignment="1" applyBorder="1" applyFont="1">
      <alignment readingOrder="0" shrinkToFit="0" vertical="bottom" wrapText="0"/>
    </xf>
    <xf borderId="8" fillId="10" fontId="36" numFmtId="0" xfId="0" applyAlignment="1" applyBorder="1" applyFont="1">
      <alignment readingOrder="0" shrinkToFit="0" vertical="bottom" wrapText="0"/>
    </xf>
    <xf borderId="7" fillId="16" fontId="36" numFmtId="0" xfId="0" applyAlignment="1" applyBorder="1" applyFont="1">
      <alignment horizontal="center" readingOrder="0" shrinkToFit="0" wrapText="0"/>
    </xf>
    <xf borderId="5" fillId="16" fontId="36" numFmtId="0" xfId="0" applyAlignment="1" applyBorder="1" applyFont="1">
      <alignment readingOrder="0" shrinkToFit="0" vertical="bottom" wrapText="0"/>
    </xf>
    <xf borderId="5" fillId="16" fontId="36" numFmtId="164" xfId="0" applyAlignment="1" applyBorder="1" applyFont="1" applyNumberFormat="1">
      <alignment readingOrder="0" shrinkToFit="0" vertical="bottom" wrapText="0"/>
    </xf>
    <xf borderId="5" fillId="16" fontId="36" numFmtId="0" xfId="0" applyAlignment="1" applyBorder="1" applyFont="1">
      <alignment horizontal="right" readingOrder="0" shrinkToFit="0" vertical="bottom" wrapText="0"/>
    </xf>
    <xf borderId="8" fillId="16" fontId="36" numFmtId="0" xfId="0" applyAlignment="1" applyBorder="1" applyFont="1">
      <alignment readingOrder="0" shrinkToFit="0" vertical="bottom" wrapText="0"/>
    </xf>
    <xf borderId="8" fillId="12" fontId="35" numFmtId="0" xfId="0" applyAlignment="1" applyBorder="1" applyFont="1">
      <alignment shrinkToFit="0" vertical="bottom" wrapText="0"/>
    </xf>
    <xf borderId="5" fillId="10" fontId="36" numFmtId="0" xfId="0" applyAlignment="1" applyBorder="1" applyFont="1">
      <alignment shrinkToFit="0" vertical="bottom" wrapText="0"/>
    </xf>
    <xf borderId="5" fillId="16" fontId="36" numFmtId="0" xfId="0" applyAlignment="1" applyBorder="1" applyFont="1">
      <alignment shrinkToFit="0" vertical="bottom" wrapText="0"/>
    </xf>
    <xf borderId="5" fillId="0" fontId="5" numFmtId="0" xfId="0" applyAlignment="1" applyBorder="1" applyFont="1">
      <alignment readingOrder="0"/>
    </xf>
    <xf borderId="5" fillId="0" fontId="15" numFmtId="0" xfId="0" applyBorder="1" applyFont="1"/>
    <xf borderId="5" fillId="0" fontId="15" numFmtId="164" xfId="0" applyBorder="1" applyFont="1" applyNumberFormat="1"/>
    <xf borderId="0" fillId="0" fontId="12" numFmtId="0" xfId="0" applyFont="1"/>
    <xf borderId="5" fillId="0" fontId="5" numFmtId="0" xfId="0" applyAlignment="1" applyBorder="1" applyFont="1">
      <alignment vertical="top"/>
    </xf>
    <xf borderId="5" fillId="0" fontId="5" numFmtId="164" xfId="0" applyAlignment="1" applyBorder="1" applyFont="1" applyNumberFormat="1">
      <alignment vertical="top"/>
    </xf>
    <xf borderId="5" fillId="0" fontId="5" numFmtId="0" xfId="0" applyAlignment="1" applyBorder="1" applyFont="1">
      <alignment readingOrder="0" vertical="top"/>
    </xf>
    <xf borderId="5" fillId="6" fontId="5" numFmtId="0" xfId="0" applyAlignment="1" applyBorder="1" applyFont="1">
      <alignment shrinkToFit="0" vertical="top" wrapText="1"/>
    </xf>
    <xf borderId="30" fillId="12" fontId="16" numFmtId="0" xfId="0" applyAlignment="1" applyBorder="1" applyFont="1">
      <alignment shrinkToFit="0" vertical="bottom" wrapText="0"/>
    </xf>
    <xf borderId="30" fillId="12" fontId="16" numFmtId="0" xfId="0" applyAlignment="1" applyBorder="1" applyFont="1">
      <alignment readingOrder="0" shrinkToFit="0" vertical="bottom" wrapText="0"/>
    </xf>
    <xf borderId="30" fillId="12" fontId="16" numFmtId="164" xfId="0" applyAlignment="1" applyBorder="1" applyFont="1" applyNumberFormat="1">
      <alignment readingOrder="0" shrinkToFit="0" vertical="bottom" wrapText="0"/>
    </xf>
    <xf borderId="0" fillId="12" fontId="16" numFmtId="0" xfId="0" applyAlignment="1" applyFont="1">
      <alignment shrinkToFit="0" vertical="bottom" wrapText="0"/>
    </xf>
    <xf borderId="31" fillId="12" fontId="16" numFmtId="0" xfId="0" applyAlignment="1" applyBorder="1" applyFont="1">
      <alignment shrinkToFit="0" vertical="bottom" wrapText="0"/>
    </xf>
    <xf borderId="31" fillId="12" fontId="16" numFmtId="0" xfId="0" applyAlignment="1" applyBorder="1" applyFont="1">
      <alignment shrinkToFit="0" vertical="bottom" wrapText="0"/>
    </xf>
    <xf borderId="5" fillId="10" fontId="16" numFmtId="0" xfId="0" applyAlignment="1" applyBorder="1" applyFont="1">
      <alignment horizontal="center" shrinkToFit="0" wrapText="0"/>
    </xf>
    <xf borderId="5" fillId="5" fontId="16" numFmtId="0" xfId="0" applyAlignment="1" applyBorder="1" applyFont="1">
      <alignment horizontal="right" readingOrder="0" shrinkToFit="0" vertical="bottom" wrapText="0"/>
    </xf>
    <xf borderId="5" fillId="5" fontId="16" numFmtId="0" xfId="0" applyAlignment="1" applyBorder="1" applyFont="1">
      <alignment shrinkToFit="0" vertical="bottom" wrapText="0"/>
    </xf>
    <xf borderId="5" fillId="5" fontId="16" numFmtId="164" xfId="0" applyAlignment="1" applyBorder="1" applyFont="1" applyNumberFormat="1">
      <alignment readingOrder="0" shrinkToFit="0" vertical="bottom" wrapText="0"/>
    </xf>
    <xf borderId="5" fillId="5" fontId="16" numFmtId="0" xfId="0" applyAlignment="1" applyBorder="1" applyFont="1">
      <alignment readingOrder="0" shrinkToFit="0" vertical="bottom" wrapText="0"/>
    </xf>
    <xf borderId="5" fillId="5" fontId="16" numFmtId="0" xfId="0" applyAlignment="1" applyBorder="1" applyFont="1">
      <alignment shrinkToFit="0" vertical="bottom" wrapText="0"/>
    </xf>
    <xf borderId="5" fillId="12" fontId="16" numFmtId="0" xfId="0" applyAlignment="1" applyBorder="1" applyFont="1">
      <alignment readingOrder="0" shrinkToFit="0" vertical="bottom" wrapText="0"/>
    </xf>
    <xf borderId="5" fillId="12" fontId="16" numFmtId="164" xfId="0" applyAlignment="1" applyBorder="1" applyFont="1" applyNumberFormat="1">
      <alignment readingOrder="0" shrinkToFit="0" vertical="bottom" wrapText="0"/>
    </xf>
    <xf borderId="5" fillId="12" fontId="16" numFmtId="0" xfId="0" applyAlignment="1" applyBorder="1" applyFont="1">
      <alignment shrinkToFit="0" vertical="bottom" wrapText="0"/>
    </xf>
    <xf borderId="5" fillId="12" fontId="16" numFmtId="0" xfId="0" applyAlignment="1" applyBorder="1" applyFont="1">
      <alignment shrinkToFit="0" vertical="bottom" wrapText="0"/>
    </xf>
    <xf borderId="5" fillId="13" fontId="4" numFmtId="0" xfId="0" applyAlignment="1" applyBorder="1" applyFont="1">
      <alignment horizontal="right" readingOrder="0" shrinkToFit="0" vertical="bottom" wrapText="0"/>
    </xf>
    <xf borderId="5" fillId="13" fontId="4" numFmtId="0" xfId="0" applyAlignment="1" applyBorder="1" applyFont="1">
      <alignment readingOrder="0" shrinkToFit="0" vertical="bottom" wrapText="0"/>
    </xf>
    <xf borderId="5" fillId="13" fontId="4" numFmtId="0" xfId="0" applyAlignment="1" applyBorder="1" applyFont="1">
      <alignment shrinkToFit="0" vertical="bottom" wrapText="0"/>
    </xf>
    <xf borderId="5" fillId="13" fontId="4" numFmtId="164" xfId="0" applyAlignment="1" applyBorder="1" applyFont="1" applyNumberFormat="1">
      <alignment readingOrder="0" shrinkToFit="0" vertical="bottom" wrapText="0"/>
    </xf>
    <xf borderId="5" fillId="13" fontId="4" numFmtId="0" xfId="0" applyAlignment="1" applyBorder="1" applyFont="1">
      <alignment shrinkToFit="0" vertical="bottom" wrapText="0"/>
    </xf>
    <xf borderId="5" fillId="10" fontId="16" numFmtId="4" xfId="0" applyAlignment="1" applyBorder="1" applyFont="1" applyNumberFormat="1">
      <alignment readingOrder="0" shrinkToFit="0" vertical="bottom" wrapText="0"/>
    </xf>
    <xf borderId="5" fillId="0" fontId="16" numFmtId="0" xfId="0" applyAlignment="1" applyBorder="1" applyFont="1">
      <alignment horizontal="right" readingOrder="0" shrinkToFit="0" vertical="bottom" wrapText="0"/>
    </xf>
    <xf borderId="5" fillId="0" fontId="16" numFmtId="0" xfId="0" applyAlignment="1" applyBorder="1" applyFont="1">
      <alignment readingOrder="0" shrinkToFit="0" vertical="bottom" wrapText="0"/>
    </xf>
    <xf borderId="5" fillId="0" fontId="16" numFmtId="0" xfId="0" applyAlignment="1" applyBorder="1" applyFont="1">
      <alignment horizontal="center" readingOrder="0" shrinkToFit="0" vertical="bottom" wrapText="0"/>
    </xf>
    <xf borderId="5" fillId="0" fontId="16" numFmtId="4" xfId="0" applyAlignment="1" applyBorder="1" applyFont="1" applyNumberFormat="1">
      <alignment readingOrder="0" shrinkToFit="0" vertical="bottom" wrapText="0"/>
    </xf>
    <xf borderId="5" fillId="0" fontId="16" numFmtId="0" xfId="0" applyAlignment="1" applyBorder="1" applyFont="1">
      <alignment shrinkToFit="0" vertical="bottom" wrapText="0"/>
    </xf>
    <xf borderId="0" fillId="0" fontId="5" numFmtId="0" xfId="0" applyAlignment="1" applyFont="1">
      <alignment shrinkToFit="0" wrapText="1"/>
    </xf>
    <xf borderId="3" fillId="11" fontId="4" numFmtId="0" xfId="0" applyAlignment="1" applyBorder="1" applyFont="1">
      <alignment readingOrder="0" vertical="bottom"/>
    </xf>
    <xf borderId="7" fillId="12" fontId="24" numFmtId="0" xfId="0" applyAlignment="1" applyBorder="1" applyFont="1">
      <alignment horizontal="center" shrinkToFit="0" vertical="bottom" wrapText="0"/>
    </xf>
    <xf borderId="5" fillId="12" fontId="24" numFmtId="0" xfId="0" applyAlignment="1" applyBorder="1" applyFont="1">
      <alignment horizontal="left" readingOrder="0" shrinkToFit="0" vertical="bottom" wrapText="0"/>
    </xf>
    <xf borderId="5" fillId="12" fontId="24" numFmtId="0" xfId="0" applyAlignment="1" applyBorder="1" applyFont="1">
      <alignment horizontal="center" shrinkToFit="0" vertical="bottom" wrapText="0"/>
    </xf>
    <xf borderId="5" fillId="12" fontId="24" numFmtId="164" xfId="0" applyAlignment="1" applyBorder="1" applyFont="1" applyNumberFormat="1">
      <alignment horizontal="center" readingOrder="0" shrinkToFit="0" vertical="bottom" wrapText="0"/>
    </xf>
    <xf borderId="5" fillId="12" fontId="24" numFmtId="164" xfId="0" applyAlignment="1" applyBorder="1" applyFont="1" applyNumberFormat="1">
      <alignment horizontal="center" shrinkToFit="0" vertical="bottom" wrapText="0"/>
    </xf>
    <xf borderId="8" fillId="12" fontId="24" numFmtId="164" xfId="0" applyAlignment="1" applyBorder="1" applyFont="1" applyNumberFormat="1">
      <alignment horizontal="center" vertical="bottom"/>
    </xf>
    <xf borderId="3" fillId="12" fontId="24" numFmtId="0" xfId="0" applyAlignment="1" applyBorder="1" applyFont="1">
      <alignment horizontal="center" vertical="bottom"/>
    </xf>
    <xf borderId="0" fillId="0" fontId="14" numFmtId="0" xfId="0" applyAlignment="1" applyFont="1">
      <alignment horizontal="center" shrinkToFit="0" vertical="bottom" wrapText="0"/>
    </xf>
    <xf borderId="7" fillId="10" fontId="37" numFmtId="0" xfId="0" applyAlignment="1" applyBorder="1" applyFont="1">
      <alignment horizontal="center" readingOrder="0" shrinkToFit="0" wrapText="0"/>
    </xf>
    <xf borderId="5" fillId="10" fontId="37" numFmtId="0" xfId="0" applyAlignment="1" applyBorder="1" applyFont="1">
      <alignment readingOrder="0" shrinkToFit="0" wrapText="0"/>
    </xf>
    <xf borderId="5" fillId="10" fontId="5" numFmtId="164" xfId="0" applyAlignment="1" applyBorder="1" applyFont="1" applyNumberFormat="1">
      <alignment readingOrder="0" shrinkToFit="0" wrapText="0"/>
    </xf>
    <xf borderId="5" fillId="9" fontId="37" numFmtId="0" xfId="0" applyAlignment="1" applyBorder="1" applyFont="1">
      <alignment readingOrder="0"/>
    </xf>
    <xf borderId="5" fillId="10" fontId="37" numFmtId="0" xfId="0" applyAlignment="1" applyBorder="1" applyFont="1">
      <alignment readingOrder="0"/>
    </xf>
    <xf borderId="8" fillId="10" fontId="37" numFmtId="0" xfId="0" applyAlignment="1" applyBorder="1" applyFont="1">
      <alignment readingOrder="0"/>
    </xf>
    <xf borderId="0" fillId="0" fontId="5" numFmtId="0" xfId="0" applyAlignment="1" applyFont="1">
      <alignment shrinkToFit="0" wrapText="0"/>
    </xf>
    <xf borderId="7" fillId="3" fontId="22" numFmtId="0" xfId="0" applyAlignment="1" applyBorder="1" applyFont="1">
      <alignment horizontal="center" readingOrder="0" shrinkToFit="0" wrapText="0"/>
    </xf>
    <xf borderId="5" fillId="3" fontId="22" numFmtId="0" xfId="0" applyAlignment="1" applyBorder="1" applyFont="1">
      <alignment readingOrder="0" shrinkToFit="0" wrapText="0"/>
    </xf>
    <xf borderId="5" fillId="3" fontId="2" numFmtId="164" xfId="0" applyAlignment="1" applyBorder="1" applyFont="1" applyNumberFormat="1">
      <alignment readingOrder="0" shrinkToFit="0" wrapText="0"/>
    </xf>
    <xf borderId="5" fillId="3" fontId="22" numFmtId="0" xfId="0" applyAlignment="1" applyBorder="1" applyFont="1">
      <alignment readingOrder="0"/>
    </xf>
    <xf borderId="8" fillId="3" fontId="22" numFmtId="0" xfId="0" applyAlignment="1" applyBorder="1" applyFont="1">
      <alignment readingOrder="0"/>
    </xf>
    <xf borderId="8" fillId="3" fontId="22" numFmtId="0" xfId="0" applyBorder="1" applyFont="1"/>
    <xf borderId="5" fillId="3" fontId="22" numFmtId="0" xfId="0" applyAlignment="1" applyBorder="1" applyFont="1">
      <alignment shrinkToFit="0" wrapText="0"/>
    </xf>
    <xf borderId="7" fillId="10" fontId="37" numFmtId="0" xfId="0" applyAlignment="1" applyBorder="1" applyFont="1">
      <alignment horizontal="center" readingOrder="0" shrinkToFit="0" vertical="bottom" wrapText="0"/>
    </xf>
    <xf borderId="5" fillId="10" fontId="37" numFmtId="0" xfId="0" applyAlignment="1" applyBorder="1" applyFont="1">
      <alignment readingOrder="0" shrinkToFit="0" vertical="bottom" wrapText="0"/>
    </xf>
    <xf borderId="5" fillId="10" fontId="5" numFmtId="164" xfId="0" applyAlignment="1" applyBorder="1" applyFont="1" applyNumberFormat="1">
      <alignment readingOrder="0" shrinkToFit="0" vertical="bottom" wrapText="0"/>
    </xf>
    <xf borderId="5" fillId="9" fontId="37" numFmtId="0" xfId="0" applyAlignment="1" applyBorder="1" applyFont="1">
      <alignment readingOrder="0" shrinkToFit="0" vertical="bottom" wrapText="0"/>
    </xf>
    <xf borderId="8" fillId="10" fontId="37" numFmtId="0" xfId="0" applyAlignment="1" applyBorder="1" applyFont="1">
      <alignment vertical="bottom"/>
    </xf>
    <xf borderId="8" fillId="10" fontId="37" numFmtId="0" xfId="0" applyAlignment="1" applyBorder="1" applyFont="1">
      <alignment readingOrder="0" vertical="bottom"/>
    </xf>
    <xf borderId="0" fillId="0" fontId="5" numFmtId="0" xfId="0" applyAlignment="1" applyFont="1">
      <alignment shrinkToFit="0" vertical="bottom" wrapText="0"/>
    </xf>
    <xf borderId="7" fillId="12" fontId="22" numFmtId="0" xfId="0" applyAlignment="1" applyBorder="1" applyFont="1">
      <alignment horizontal="center" shrinkToFit="0" vertical="bottom" wrapText="0"/>
    </xf>
    <xf borderId="5" fillId="12" fontId="22" numFmtId="0" xfId="0" applyAlignment="1" applyBorder="1" applyFont="1">
      <alignment readingOrder="0" shrinkToFit="0" vertical="bottom" wrapText="0"/>
    </xf>
    <xf borderId="5" fillId="12" fontId="22" numFmtId="0" xfId="0" applyAlignment="1" applyBorder="1" applyFont="1">
      <alignment shrinkToFit="0" vertical="bottom" wrapText="0"/>
    </xf>
    <xf borderId="5" fillId="12" fontId="2" numFmtId="164" xfId="0" applyAlignment="1" applyBorder="1" applyFont="1" applyNumberFormat="1">
      <alignment readingOrder="0" shrinkToFit="0" vertical="bottom" wrapText="0"/>
    </xf>
    <xf borderId="5" fillId="12" fontId="2" numFmtId="164" xfId="0" applyAlignment="1" applyBorder="1" applyFont="1" applyNumberFormat="1">
      <alignment shrinkToFit="0" vertical="bottom" wrapText="0"/>
    </xf>
    <xf borderId="8" fillId="12" fontId="2" numFmtId="164" xfId="0" applyAlignment="1" applyBorder="1" applyFont="1" applyNumberFormat="1">
      <alignment vertical="bottom"/>
    </xf>
    <xf borderId="8" fillId="12" fontId="2" numFmtId="0" xfId="0" applyAlignment="1" applyBorder="1" applyFont="1">
      <alignment vertical="bottom"/>
    </xf>
    <xf borderId="5" fillId="12" fontId="37" numFmtId="0" xfId="0" applyAlignment="1" applyBorder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7" fillId="3" fontId="37" numFmtId="0" xfId="0" applyAlignment="1" applyBorder="1" applyFont="1">
      <alignment horizontal="center" readingOrder="0" shrinkToFit="0" wrapText="0"/>
    </xf>
    <xf borderId="5" fillId="3" fontId="37" numFmtId="0" xfId="0" applyAlignment="1" applyBorder="1" applyFont="1">
      <alignment readingOrder="0" shrinkToFit="0" wrapText="0"/>
    </xf>
    <xf borderId="5" fillId="3" fontId="5" numFmtId="164" xfId="0" applyAlignment="1" applyBorder="1" applyFont="1" applyNumberFormat="1">
      <alignment readingOrder="0" shrinkToFit="0" wrapText="0"/>
    </xf>
    <xf borderId="5" fillId="3" fontId="37" numFmtId="0" xfId="0" applyAlignment="1" applyBorder="1" applyFont="1">
      <alignment readingOrder="0"/>
    </xf>
    <xf borderId="8" fillId="3" fontId="37" numFmtId="0" xfId="0" applyAlignment="1" applyBorder="1" applyFont="1">
      <alignment readingOrder="0"/>
    </xf>
    <xf borderId="7" fillId="3" fontId="37" numFmtId="0" xfId="0" applyAlignment="1" applyBorder="1" applyFont="1">
      <alignment horizontal="center" readingOrder="0" shrinkToFit="0" vertical="bottom" wrapText="0"/>
    </xf>
    <xf borderId="5" fillId="3" fontId="37" numFmtId="0" xfId="0" applyAlignment="1" applyBorder="1" applyFont="1">
      <alignment readingOrder="0" shrinkToFit="0" vertical="bottom" wrapText="0"/>
    </xf>
    <xf borderId="5" fillId="3" fontId="5" numFmtId="164" xfId="0" applyAlignment="1" applyBorder="1" applyFont="1" applyNumberFormat="1">
      <alignment readingOrder="0" shrinkToFit="0" vertical="bottom" wrapText="0"/>
    </xf>
    <xf borderId="8" fillId="3" fontId="37" numFmtId="0" xfId="0" applyAlignment="1" applyBorder="1" applyFont="1">
      <alignment vertical="bottom"/>
    </xf>
    <xf borderId="8" fillId="3" fontId="37" numFmtId="0" xfId="0" applyAlignment="1" applyBorder="1" applyFont="1">
      <alignment readingOrder="0" vertical="bottom"/>
    </xf>
    <xf borderId="5" fillId="9" fontId="37" numFmtId="0" xfId="0" applyAlignment="1" applyBorder="1" applyFont="1">
      <alignment readingOrder="0" shrinkToFit="0" wrapText="0"/>
    </xf>
    <xf borderId="8" fillId="10" fontId="37" numFmtId="0" xfId="0" applyBorder="1" applyFont="1"/>
    <xf borderId="30" fillId="12" fontId="22" numFmtId="0" xfId="0" applyAlignment="1" applyBorder="1" applyFont="1">
      <alignment horizontal="center" shrinkToFit="0" vertical="bottom" wrapText="0"/>
    </xf>
    <xf borderId="30" fillId="12" fontId="22" numFmtId="0" xfId="0" applyAlignment="1" applyBorder="1" applyFont="1">
      <alignment readingOrder="0" shrinkToFit="0" vertical="bottom" wrapText="0"/>
    </xf>
    <xf borderId="30" fillId="12" fontId="22" numFmtId="0" xfId="0" applyAlignment="1" applyBorder="1" applyFont="1">
      <alignment shrinkToFit="0" vertical="bottom" wrapText="0"/>
    </xf>
    <xf borderId="30" fillId="12" fontId="2" numFmtId="164" xfId="0" applyAlignment="1" applyBorder="1" applyFont="1" applyNumberFormat="1">
      <alignment readingOrder="0" shrinkToFit="0" vertical="bottom" wrapText="0"/>
    </xf>
    <xf borderId="30" fillId="12" fontId="2" numFmtId="164" xfId="0" applyAlignment="1" applyBorder="1" applyFont="1" applyNumberFormat="1">
      <alignment shrinkToFit="0" vertical="bottom" wrapText="0"/>
    </xf>
    <xf borderId="0" fillId="12" fontId="2" numFmtId="164" xfId="0" applyAlignment="1" applyFont="1" applyNumberFormat="1">
      <alignment vertical="bottom"/>
    </xf>
    <xf borderId="31" fillId="12" fontId="2" numFmtId="0" xfId="0" applyAlignment="1" applyBorder="1" applyFont="1">
      <alignment vertical="bottom"/>
    </xf>
    <xf borderId="32" fillId="12" fontId="37" numFmtId="0" xfId="0" applyAlignment="1" applyBorder="1" applyFont="1">
      <alignment shrinkToFit="0" vertical="bottom" wrapText="0"/>
    </xf>
    <xf borderId="5" fillId="10" fontId="37" numFmtId="0" xfId="0" applyAlignment="1" applyBorder="1" applyFont="1">
      <alignment horizontal="center" readingOrder="0" shrinkToFit="0" wrapText="0"/>
    </xf>
    <xf borderId="0" fillId="0" fontId="38" numFmtId="0" xfId="0" applyFont="1"/>
    <xf borderId="0" fillId="0" fontId="39" numFmtId="0" xfId="0" applyFont="1"/>
    <xf borderId="1" fillId="0" fontId="4" numFmtId="0" xfId="0" applyAlignment="1" applyBorder="1" applyFont="1">
      <alignment horizontal="center"/>
    </xf>
    <xf borderId="2" fillId="0" fontId="4" numFmtId="0" xfId="0" applyAlignment="1" applyBorder="1" applyFont="1">
      <alignment horizontal="center"/>
    </xf>
    <xf borderId="2" fillId="0" fontId="4" numFmtId="0" xfId="0" applyAlignment="1" applyBorder="1" applyFont="1">
      <alignment horizontal="center" readingOrder="0"/>
    </xf>
    <xf borderId="3" fillId="0" fontId="4" numFmtId="0" xfId="0" applyAlignment="1" applyBorder="1" applyFont="1">
      <alignment horizontal="center"/>
    </xf>
    <xf borderId="0" fillId="0" fontId="4" numFmtId="0" xfId="0" applyAlignment="1" applyFont="1">
      <alignment horizontal="center" readingOrder="0"/>
    </xf>
    <xf borderId="4" fillId="12" fontId="9" numFmtId="0" xfId="0" applyBorder="1" applyFont="1"/>
    <xf borderId="5" fillId="12" fontId="9" numFmtId="0" xfId="0" applyBorder="1" applyFont="1"/>
    <xf borderId="5" fillId="12" fontId="9" numFmtId="164" xfId="0" applyBorder="1" applyFont="1" applyNumberFormat="1"/>
    <xf borderId="6" fillId="12" fontId="9" numFmtId="0" xfId="0" applyBorder="1" applyFont="1"/>
    <xf borderId="2" fillId="0" fontId="6" numFmtId="0" xfId="0" applyBorder="1" applyFont="1"/>
    <xf borderId="0" fillId="0" fontId="6" numFmtId="0" xfId="0" applyFont="1"/>
    <xf borderId="0" fillId="0" fontId="26" numFmtId="0" xfId="0" applyAlignment="1" applyFont="1">
      <alignment readingOrder="0"/>
    </xf>
    <xf borderId="8" fillId="10" fontId="5" numFmtId="0" xfId="0" applyBorder="1" applyFont="1"/>
    <xf borderId="8" fillId="17" fontId="5" numFmtId="0" xfId="0" applyBorder="1" applyFill="1" applyFont="1"/>
    <xf borderId="8" fillId="0" fontId="26" numFmtId="0" xfId="0" applyBorder="1" applyFont="1"/>
    <xf borderId="5" fillId="0" fontId="5" numFmtId="0" xfId="0" applyAlignment="1" applyBorder="1" applyFont="1">
      <alignment horizontal="left"/>
    </xf>
    <xf quotePrefix="1" borderId="10" fillId="0" fontId="5" numFmtId="0" xfId="0" applyBorder="1" applyFont="1"/>
    <xf borderId="8" fillId="13" fontId="5" numFmtId="0" xfId="0" applyAlignment="1" applyBorder="1" applyFont="1">
      <alignment readingOrder="0"/>
    </xf>
    <xf borderId="5" fillId="13" fontId="5" numFmtId="0" xfId="0" applyBorder="1" applyFont="1"/>
    <xf borderId="8" fillId="0" fontId="5" numFmtId="0" xfId="0" applyAlignment="1" applyBorder="1" applyFont="1">
      <alignment readingOrder="0"/>
    </xf>
    <xf borderId="0" fillId="18" fontId="5" numFmtId="0" xfId="0" applyAlignment="1" applyFill="1" applyFont="1">
      <alignment readingOrder="0"/>
    </xf>
    <xf borderId="5" fillId="5" fontId="40" numFmtId="0" xfId="0" applyBorder="1" applyFont="1"/>
    <xf borderId="5" fillId="0" fontId="41" numFmtId="0" xfId="0" applyAlignment="1" applyBorder="1" applyFont="1">
      <alignment readingOrder="0"/>
    </xf>
    <xf borderId="5" fillId="5" fontId="5" numFmtId="0" xfId="0" applyAlignment="1" applyBorder="1" applyFont="1">
      <alignment readingOrder="0"/>
    </xf>
    <xf borderId="10" fillId="5" fontId="5" numFmtId="0" xfId="0" applyBorder="1" applyFont="1"/>
    <xf borderId="1" fillId="0" fontId="4" numFmtId="0" xfId="0" applyBorder="1" applyFont="1"/>
    <xf borderId="5" fillId="0" fontId="26" numFmtId="0" xfId="0" applyBorder="1" applyFont="1"/>
    <xf borderId="5" fillId="19" fontId="42" numFmtId="0" xfId="0" applyBorder="1" applyFill="1" applyFont="1"/>
    <xf borderId="0" fillId="0" fontId="43" numFmtId="0" xfId="0" applyAlignment="1" applyFont="1">
      <alignment readingOrder="0"/>
    </xf>
    <xf borderId="0" fillId="0" fontId="5" numFmtId="0" xfId="0" applyAlignment="1" applyFont="1">
      <alignment readingOrder="0" vertical="top"/>
    </xf>
    <xf borderId="0" fillId="0" fontId="5" numFmtId="0" xfId="0" applyAlignment="1" applyFont="1">
      <alignment vertical="top"/>
    </xf>
    <xf borderId="4" fillId="12" fontId="5" numFmtId="0" xfId="0" applyAlignment="1" applyBorder="1" applyFont="1">
      <alignment horizontal="center" vertical="center"/>
    </xf>
    <xf borderId="7" fillId="0" fontId="5" numFmtId="0" xfId="0" applyAlignment="1" applyBorder="1" applyFont="1">
      <alignment horizontal="center" vertical="center"/>
    </xf>
    <xf borderId="7" fillId="0" fontId="2" numFmtId="0" xfId="0" applyAlignment="1" applyBorder="1" applyFont="1">
      <alignment horizontal="center" vertical="center"/>
    </xf>
    <xf borderId="5" fillId="6" fontId="2" numFmtId="0" xfId="0" applyAlignment="1" applyBorder="1" applyFont="1">
      <alignment readingOrder="0"/>
    </xf>
    <xf borderId="8" fillId="0" fontId="2" numFmtId="0" xfId="0" applyBorder="1" applyFont="1"/>
    <xf borderId="0" fillId="0" fontId="8" numFmtId="0" xfId="0" applyFont="1"/>
    <xf borderId="5" fillId="4" fontId="2" numFmtId="0" xfId="0" applyAlignment="1" applyBorder="1" applyFont="1">
      <alignment readingOrder="0"/>
    </xf>
    <xf borderId="0" fillId="6" fontId="8" numFmtId="0" xfId="0" applyAlignment="1" applyFont="1">
      <alignment readingOrder="0"/>
    </xf>
    <xf borderId="8" fillId="12" fontId="9" numFmtId="0" xfId="0" applyBorder="1" applyFont="1"/>
    <xf borderId="7" fillId="0" fontId="6" numFmtId="0" xfId="0" applyBorder="1" applyFont="1"/>
    <xf borderId="8" fillId="6" fontId="6" numFmtId="0" xfId="0" applyAlignment="1" applyBorder="1" applyFont="1">
      <alignment readingOrder="0"/>
    </xf>
    <xf borderId="8" fillId="0" fontId="6" numFmtId="0" xfId="0" applyBorder="1" applyFont="1"/>
    <xf borderId="5" fillId="7" fontId="6" numFmtId="0" xfId="0" applyBorder="1" applyFont="1"/>
    <xf borderId="5" fillId="7" fontId="6" numFmtId="0" xfId="0" applyAlignment="1" applyBorder="1" applyFont="1">
      <alignment readingOrder="0"/>
    </xf>
    <xf borderId="5" fillId="6" fontId="6" numFmtId="0" xfId="0" applyAlignment="1" applyBorder="1" applyFont="1">
      <alignment readingOrder="0"/>
    </xf>
    <xf borderId="10" fillId="0" fontId="6" numFmtId="0" xfId="0" applyBorder="1" applyFont="1"/>
    <xf borderId="9" fillId="0" fontId="6" numFmtId="0" xfId="0" applyBorder="1" applyFont="1"/>
    <xf borderId="11" fillId="6" fontId="6" numFmtId="0" xfId="0" applyAlignment="1" applyBorder="1" applyFont="1">
      <alignment readingOrder="0"/>
    </xf>
    <xf borderId="11" fillId="0" fontId="6" numFmtId="0" xfId="0" applyBorder="1" applyFont="1"/>
    <xf borderId="5" fillId="0" fontId="4" numFmtId="0" xfId="0" applyBorder="1" applyFont="1"/>
    <xf borderId="0" fillId="0" fontId="44" numFmtId="0" xfId="0" applyFont="1"/>
    <xf borderId="5" fillId="0" fontId="21" numFmtId="0" xfId="0" applyAlignment="1" applyBorder="1" applyFont="1">
      <alignment readingOrder="0"/>
    </xf>
    <xf borderId="5" fillId="6" fontId="21" numFmtId="0" xfId="0" applyBorder="1" applyFont="1"/>
    <xf borderId="5" fillId="0" fontId="21" numFmtId="49" xfId="0" applyAlignment="1" applyBorder="1" applyFont="1" applyNumberFormat="1">
      <alignment readingOrder="0"/>
    </xf>
    <xf borderId="5" fillId="6" fontId="21" numFmtId="0" xfId="0" applyAlignment="1" applyBorder="1" applyFont="1">
      <alignment readingOrder="0"/>
    </xf>
    <xf borderId="5" fillId="0" fontId="45" numFmtId="0" xfId="0" applyBorder="1" applyFont="1"/>
    <xf borderId="30" fillId="0" fontId="45" numFmtId="0" xfId="0" applyBorder="1" applyFont="1"/>
    <xf borderId="7" fillId="0" fontId="45" numFmtId="0" xfId="0" applyAlignment="1" applyBorder="1" applyFont="1">
      <alignment horizontal="left" shrinkToFit="0" vertical="center" wrapText="1"/>
    </xf>
    <xf borderId="7" fillId="0" fontId="45" numFmtId="0" xfId="0" applyBorder="1" applyFont="1"/>
    <xf borderId="7" fillId="0" fontId="21" numFmtId="0" xfId="0" applyBorder="1" applyFont="1"/>
    <xf borderId="10" fillId="0" fontId="6" numFmtId="164" xfId="0" applyBorder="1" applyFont="1" applyNumberFormat="1"/>
    <xf borderId="10" fillId="0" fontId="6" numFmtId="0" xfId="0" applyAlignment="1" applyBorder="1" applyFont="1">
      <alignment readingOrder="0"/>
    </xf>
    <xf borderId="10" fillId="6" fontId="6" numFmtId="0" xfId="0" applyAlignment="1" applyBorder="1" applyFont="1">
      <alignment readingOrder="0"/>
    </xf>
    <xf borderId="11" fillId="0" fontId="21" numFmtId="0" xfId="0" applyBorder="1" applyFont="1"/>
    <xf borderId="8" fillId="5" fontId="16" numFmtId="0" xfId="0" applyAlignment="1" applyBorder="1" applyFont="1">
      <alignment readingOrder="0" shrinkToFit="0" vertical="bottom" wrapText="0"/>
    </xf>
    <xf borderId="3" fillId="13" fontId="16" numFmtId="0" xfId="0" applyAlignment="1" applyBorder="1" applyFont="1">
      <alignment readingOrder="0" shrinkToFit="0" vertical="bottom" wrapText="0"/>
    </xf>
    <xf borderId="3" fillId="5" fontId="16" numFmtId="0" xfId="0" applyAlignment="1" applyBorder="1" applyFont="1">
      <alignment readingOrder="0" shrinkToFit="0" vertical="bottom" wrapText="0"/>
    </xf>
    <xf borderId="8" fillId="12" fontId="16" numFmtId="0" xfId="0" applyAlignment="1" applyBorder="1" applyFont="1">
      <alignment shrinkToFit="0" vertical="bottom" wrapText="0"/>
    </xf>
    <xf borderId="0" fillId="3" fontId="16" numFmtId="0" xfId="0" applyAlignment="1" applyFont="1">
      <alignment readingOrder="0" shrinkToFit="0" vertical="bottom" wrapText="0"/>
    </xf>
    <xf borderId="0" fillId="10" fontId="16" numFmtId="0" xfId="0" applyAlignment="1" applyFont="1">
      <alignment readingOrder="0" shrinkToFit="0" vertical="bottom" wrapText="0"/>
    </xf>
    <xf borderId="31" fillId="5" fontId="16" numFmtId="0" xfId="0" applyAlignment="1" applyBorder="1" applyFont="1">
      <alignment readingOrder="0" shrinkToFit="0" vertical="bottom" wrapText="0"/>
    </xf>
    <xf borderId="4" fillId="3" fontId="27" numFmtId="0" xfId="0" applyBorder="1" applyFont="1"/>
    <xf borderId="5" fillId="3" fontId="27" numFmtId="0" xfId="0" applyBorder="1" applyFont="1"/>
    <xf borderId="5" fillId="3" fontId="27" numFmtId="164" xfId="0" applyBorder="1" applyFont="1" applyNumberFormat="1"/>
    <xf borderId="6" fillId="3" fontId="27" numFmtId="0" xfId="0" applyBorder="1" applyFont="1"/>
    <xf borderId="2" fillId="3" fontId="5" numFmtId="0" xfId="0" applyBorder="1" applyFont="1"/>
    <xf borderId="5" fillId="4" fontId="5" numFmtId="0" xfId="0" applyAlignment="1" applyBorder="1" applyFont="1">
      <alignment shrinkToFit="0" wrapText="1"/>
    </xf>
    <xf borderId="7" fillId="3" fontId="5" numFmtId="0" xfId="0" applyBorder="1" applyFont="1"/>
    <xf borderId="5" fillId="3" fontId="5" numFmtId="0" xfId="0" applyAlignment="1" applyBorder="1" applyFont="1">
      <alignment shrinkToFit="0" wrapText="1"/>
    </xf>
    <xf borderId="5" fillId="3" fontId="3" numFmtId="0" xfId="0" applyBorder="1" applyFont="1"/>
    <xf borderId="9" fillId="4" fontId="5" numFmtId="0" xfId="0" applyBorder="1" applyFont="1"/>
    <xf borderId="10" fillId="4" fontId="5" numFmtId="0" xfId="0" applyBorder="1" applyFont="1"/>
    <xf borderId="10" fillId="4" fontId="5" numFmtId="164" xfId="0" applyBorder="1" applyFont="1" applyNumberFormat="1"/>
    <xf borderId="11" fillId="4" fontId="5" numFmtId="0" xfId="0" applyBorder="1" applyFont="1"/>
    <xf borderId="10" fillId="4" fontId="5" numFmtId="0" xfId="0" applyAlignment="1" applyBorder="1" applyFont="1">
      <alignment shrinkToFit="0" wrapText="1"/>
    </xf>
    <xf borderId="4" fillId="12" fontId="27" numFmtId="0" xfId="0" applyBorder="1" applyFont="1"/>
    <xf borderId="8" fillId="12" fontId="27" numFmtId="0" xfId="0" applyBorder="1" applyFont="1"/>
    <xf borderId="6" fillId="12" fontId="27" numFmtId="0" xfId="0" applyBorder="1" applyFont="1"/>
    <xf borderId="2" fillId="0" fontId="21" numFmtId="0" xfId="0" applyBorder="1" applyFont="1"/>
    <xf borderId="0" fillId="0" fontId="21" numFmtId="0" xfId="0" applyFont="1"/>
    <xf borderId="5" fillId="0" fontId="21" numFmtId="166" xfId="0" applyBorder="1" applyFont="1" applyNumberFormat="1"/>
    <xf borderId="8" fillId="0" fontId="21" numFmtId="0" xfId="0" applyAlignment="1" applyBorder="1" applyFont="1">
      <alignment readingOrder="0"/>
    </xf>
    <xf borderId="8" fillId="6" fontId="21" numFmtId="0" xfId="0" applyAlignment="1" applyBorder="1" applyFont="1">
      <alignment readingOrder="0"/>
    </xf>
    <xf borderId="8" fillId="6" fontId="21" numFmtId="0" xfId="0" applyBorder="1" applyFont="1"/>
    <xf borderId="7" fillId="0" fontId="46" numFmtId="0" xfId="0" applyBorder="1" applyFont="1"/>
    <xf borderId="5" fillId="0" fontId="46" numFmtId="0" xfId="0" applyBorder="1" applyFont="1"/>
    <xf borderId="5" fillId="0" fontId="46" numFmtId="166" xfId="0" applyBorder="1" applyFont="1" applyNumberFormat="1"/>
    <xf borderId="5" fillId="0" fontId="46" numFmtId="0" xfId="0" applyAlignment="1" applyBorder="1" applyFont="1">
      <alignment readingOrder="0"/>
    </xf>
    <xf borderId="8" fillId="0" fontId="46" numFmtId="0" xfId="0" applyAlignment="1" applyBorder="1" applyFont="1">
      <alignment readingOrder="0"/>
    </xf>
    <xf borderId="8" fillId="6" fontId="46" numFmtId="0" xfId="0" applyAlignment="1" applyBorder="1" applyFont="1">
      <alignment readingOrder="0"/>
    </xf>
    <xf borderId="8" fillId="0" fontId="46" numFmtId="0" xfId="0" applyBorder="1" applyFont="1"/>
    <xf borderId="8" fillId="6" fontId="46" numFmtId="0" xfId="0" applyBorder="1" applyFont="1"/>
    <xf borderId="0" fillId="0" fontId="46" numFmtId="0" xfId="0" applyAlignment="1" applyFont="1">
      <alignment readingOrder="0"/>
    </xf>
    <xf borderId="0" fillId="0" fontId="21" numFmtId="0" xfId="0" applyAlignment="1" applyFont="1">
      <alignment readingOrder="0"/>
    </xf>
    <xf borderId="4" fillId="5" fontId="21" numFmtId="0" xfId="0" applyBorder="1" applyFont="1"/>
    <xf borderId="5" fillId="5" fontId="21" numFmtId="0" xfId="0" applyBorder="1" applyFont="1"/>
    <xf borderId="5" fillId="5" fontId="21" numFmtId="166" xfId="0" applyBorder="1" applyFont="1" applyNumberFormat="1"/>
    <xf borderId="8" fillId="5" fontId="21" numFmtId="0" xfId="0" applyBorder="1" applyFont="1"/>
    <xf borderId="6" fillId="5" fontId="21" numFmtId="0" xfId="0" applyBorder="1" applyFont="1"/>
    <xf borderId="6" fillId="6" fontId="21" numFmtId="0" xfId="0" applyBorder="1" applyFont="1"/>
    <xf borderId="0" fillId="5" fontId="21" numFmtId="0" xfId="0" applyFont="1"/>
    <xf borderId="5" fillId="12" fontId="21" numFmtId="0" xfId="0" applyBorder="1" applyFont="1"/>
    <xf borderId="0" fillId="12" fontId="21" numFmtId="0" xfId="0" applyFont="1"/>
    <xf borderId="8" fillId="5" fontId="21" numFmtId="0" xfId="0" applyAlignment="1" applyBorder="1" applyFont="1">
      <alignment readingOrder="0"/>
    </xf>
    <xf borderId="0" fillId="5" fontId="21" numFmtId="0" xfId="0" applyAlignment="1" applyFont="1">
      <alignment readingOrder="0"/>
    </xf>
    <xf borderId="5" fillId="10" fontId="21" numFmtId="0" xfId="0" applyAlignment="1" applyBorder="1" applyFont="1">
      <alignment readingOrder="0"/>
    </xf>
    <xf borderId="5" fillId="10" fontId="21" numFmtId="0" xfId="0" applyBorder="1" applyFont="1"/>
    <xf borderId="8" fillId="10" fontId="21" numFmtId="0" xfId="0" applyAlignment="1" applyBorder="1" applyFont="1">
      <alignment readingOrder="0"/>
    </xf>
    <xf borderId="5" fillId="0" fontId="21" numFmtId="0" xfId="0" applyAlignment="1" applyBorder="1" applyFont="1">
      <alignment horizontal="left"/>
    </xf>
    <xf borderId="5" fillId="0" fontId="21" numFmtId="0" xfId="0" applyAlignment="1" applyBorder="1" applyFont="1">
      <alignment horizontal="left" readingOrder="0"/>
    </xf>
    <xf borderId="8" fillId="0" fontId="21" numFmtId="0" xfId="0" applyAlignment="1" applyBorder="1" applyFont="1">
      <alignment horizontal="left" readingOrder="0"/>
    </xf>
    <xf borderId="8" fillId="0" fontId="21" numFmtId="0" xfId="0" applyAlignment="1" applyBorder="1" applyFont="1">
      <alignment horizontal="left"/>
    </xf>
    <xf borderId="8" fillId="6" fontId="21" numFmtId="0" xfId="0" applyAlignment="1" applyBorder="1" applyFont="1">
      <alignment horizontal="left" readingOrder="0"/>
    </xf>
    <xf borderId="5" fillId="0" fontId="21" numFmtId="164" xfId="0" applyAlignment="1" applyBorder="1" applyFont="1" applyNumberFormat="1">
      <alignment horizontal="left"/>
    </xf>
    <xf borderId="5" fillId="0" fontId="21" numFmtId="164" xfId="0" applyBorder="1" applyFont="1" applyNumberFormat="1"/>
    <xf borderId="5" fillId="0" fontId="21" numFmtId="166" xfId="0" applyAlignment="1" applyBorder="1" applyFont="1" applyNumberFormat="1">
      <alignment horizontal="left"/>
    </xf>
    <xf borderId="7" fillId="0" fontId="27" numFmtId="0" xfId="0" applyBorder="1" applyFont="1"/>
    <xf borderId="5" fillId="0" fontId="27" numFmtId="0" xfId="0" applyBorder="1" applyFont="1"/>
    <xf borderId="5" fillId="0" fontId="27" numFmtId="0" xfId="0" applyAlignment="1" applyBorder="1" applyFont="1">
      <alignment readingOrder="0"/>
    </xf>
    <xf borderId="5" fillId="0" fontId="27" numFmtId="166" xfId="0" applyBorder="1" applyFont="1" applyNumberFormat="1"/>
    <xf borderId="8" fillId="0" fontId="27" numFmtId="0" xfId="0" applyAlignment="1" applyBorder="1" applyFont="1">
      <alignment readingOrder="0"/>
    </xf>
    <xf borderId="8" fillId="0" fontId="27" numFmtId="0" xfId="0" applyBorder="1" applyFont="1"/>
    <xf borderId="0" fillId="0" fontId="27" numFmtId="0" xfId="0" applyAlignment="1" applyFont="1">
      <alignment readingOrder="0"/>
    </xf>
    <xf borderId="9" fillId="0" fontId="21" numFmtId="0" xfId="0" applyBorder="1" applyFont="1"/>
    <xf borderId="10" fillId="0" fontId="21" numFmtId="166" xfId="0" applyBorder="1" applyFont="1" applyNumberFormat="1"/>
    <xf borderId="0" fillId="0" fontId="21" numFmtId="0" xfId="0" applyFont="1"/>
    <xf borderId="0" fillId="0" fontId="2" numFmtId="167" xfId="0" applyFont="1" applyNumberFormat="1"/>
    <xf borderId="0" fillId="0" fontId="3" numFmtId="0" xfId="0" applyFont="1"/>
    <xf borderId="0" fillId="0" fontId="3" numFmtId="0" xfId="0" applyAlignment="1" applyFont="1">
      <alignment readingOrder="0"/>
    </xf>
    <xf borderId="9" fillId="0" fontId="5" numFmtId="0" xfId="0" applyAlignment="1" applyBorder="1" applyFont="1">
      <alignment horizontal="center" vertical="center"/>
    </xf>
    <xf borderId="7" fillId="12" fontId="24" numFmtId="0" xfId="0" applyAlignment="1" applyBorder="1" applyFont="1">
      <alignment shrinkToFit="0" vertical="bottom" wrapText="0"/>
    </xf>
    <xf borderId="5" fillId="12" fontId="24" numFmtId="164" xfId="0" applyAlignment="1" applyBorder="1" applyFont="1" applyNumberFormat="1">
      <alignment horizontal="left" readingOrder="0" shrinkToFit="0" vertical="bottom" wrapText="0"/>
    </xf>
    <xf borderId="8" fillId="12" fontId="24" numFmtId="0" xfId="0" applyAlignment="1" applyBorder="1" applyFont="1">
      <alignment shrinkToFit="0" vertical="bottom" wrapText="0"/>
    </xf>
    <xf borderId="3" fillId="12" fontId="24" numFmtId="0" xfId="0" applyAlignment="1" applyBorder="1" applyFont="1">
      <alignment shrinkToFit="0" vertical="bottom" wrapText="0"/>
    </xf>
    <xf borderId="0" fillId="0" fontId="14" numFmtId="0" xfId="0" applyAlignment="1" applyFont="1">
      <alignment shrinkToFit="0" vertical="bottom" wrapText="0"/>
    </xf>
    <xf borderId="0" fillId="0" fontId="16" numFmtId="0" xfId="0" applyAlignment="1" applyFont="1">
      <alignment shrinkToFit="0" vertical="top" wrapText="0"/>
    </xf>
    <xf borderId="0" fillId="2" fontId="4" numFmtId="0" xfId="0" applyAlignment="1" applyFont="1">
      <alignment horizontal="center" readingOrder="0"/>
    </xf>
    <xf borderId="4" fillId="3" fontId="5" numFmtId="0" xfId="0" applyBorder="1" applyFont="1"/>
    <xf borderId="0" fillId="3" fontId="5" numFmtId="0" xfId="0" applyFont="1"/>
    <xf borderId="0" fillId="4" fontId="5" numFmtId="0" xfId="0" applyAlignment="1" applyFont="1">
      <alignment readingOrder="0"/>
    </xf>
    <xf borderId="0" fillId="4" fontId="5" numFmtId="0" xfId="0" applyFont="1"/>
    <xf borderId="5" fillId="4" fontId="15" numFmtId="0" xfId="0" applyBorder="1" applyFont="1"/>
    <xf borderId="8" fillId="4" fontId="15" numFmtId="0" xfId="0" applyBorder="1" applyFont="1"/>
    <xf borderId="0" fillId="4" fontId="15" numFmtId="0" xfId="0" applyFont="1"/>
    <xf borderId="5" fillId="4" fontId="15" numFmtId="0" xfId="0" applyAlignment="1" applyBorder="1" applyFont="1">
      <alignment readingOrder="0"/>
    </xf>
    <xf borderId="0" fillId="4" fontId="15" numFmtId="0" xfId="0" applyAlignment="1" applyFont="1">
      <alignment readingOrder="0"/>
    </xf>
    <xf borderId="5" fillId="6" fontId="26" numFmtId="0" xfId="0" applyBorder="1" applyFont="1"/>
    <xf borderId="5" fillId="6" fontId="26" numFmtId="0" xfId="0" applyAlignment="1" applyBorder="1" applyFont="1">
      <alignment readingOrder="0"/>
    </xf>
    <xf borderId="0" fillId="3" fontId="5" numFmtId="0" xfId="0" applyAlignment="1" applyFont="1">
      <alignment readingOrder="0"/>
    </xf>
    <xf borderId="0" fillId="4" fontId="5" numFmtId="0" xfId="0" applyAlignment="1" applyFont="1">
      <alignment readingOrder="0"/>
    </xf>
    <xf borderId="0" fillId="3" fontId="15" numFmtId="0" xfId="0" applyAlignment="1" applyFont="1">
      <alignment readingOrder="0"/>
    </xf>
    <xf borderId="0" fillId="3" fontId="5" numFmtId="0" xfId="0" applyAlignment="1" applyFont="1">
      <alignment readingOrder="0"/>
    </xf>
    <xf borderId="5" fillId="6" fontId="5" numFmtId="0" xfId="0" applyAlignment="1" applyBorder="1" applyFont="1">
      <alignment vertical="bottom"/>
    </xf>
    <xf borderId="5" fillId="6" fontId="5" numFmtId="0" xfId="0" applyAlignment="1" applyBorder="1" applyFont="1">
      <alignment vertical="bottom"/>
    </xf>
    <xf borderId="10" fillId="4" fontId="5" numFmtId="0" xfId="0" applyAlignment="1" applyBorder="1" applyFont="1">
      <alignment vertical="bottom"/>
    </xf>
    <xf borderId="10" fillId="4" fontId="5" numFmtId="0" xfId="0" applyAlignment="1" applyBorder="1" applyFont="1">
      <alignment readingOrder="0" vertical="bottom"/>
    </xf>
    <xf borderId="0" fillId="0" fontId="14" numFmtId="0" xfId="0" applyFont="1"/>
    <xf borderId="0" fillId="0" fontId="14" numFmtId="0" xfId="0" applyAlignment="1" applyFont="1">
      <alignment horizontal="left" readingOrder="0"/>
    </xf>
    <xf borderId="0" fillId="0" fontId="14" numFmtId="0" xfId="0" applyAlignment="1" applyFont="1">
      <alignment readingOrder="0"/>
    </xf>
    <xf borderId="0" fillId="0" fontId="14" numFmtId="0" xfId="0" applyAlignment="1" applyFont="1">
      <alignment horizontal="left" readingOrder="0" vertical="center"/>
    </xf>
    <xf borderId="13" fillId="4" fontId="14" numFmtId="0" xfId="0" applyAlignment="1" applyBorder="1" applyFont="1">
      <alignment readingOrder="0"/>
    </xf>
    <xf borderId="0" fillId="0" fontId="14" numFmtId="0" xfId="0" applyAlignment="1" applyFont="1">
      <alignment horizontal="left"/>
    </xf>
    <xf borderId="0" fillId="0" fontId="14" numFmtId="0" xfId="0" applyAlignment="1" applyFont="1">
      <alignment horizontal="center" readingOrder="0" vertical="center"/>
    </xf>
    <xf borderId="0" fillId="4" fontId="14" numFmtId="0" xfId="0" applyFont="1"/>
    <xf borderId="13" fillId="4" fontId="14" numFmtId="0" xfId="0" applyBorder="1" applyFont="1"/>
    <xf borderId="0" fillId="0" fontId="14" numFmtId="0" xfId="0" applyAlignment="1" applyFont="1">
      <alignment vertical="center"/>
    </xf>
    <xf borderId="0" fillId="0" fontId="47" numFmtId="0" xfId="0" applyAlignment="1" applyFont="1">
      <alignment horizontal="left" vertical="center"/>
    </xf>
    <xf borderId="0" fillId="0" fontId="14" numFmtId="0" xfId="0" applyAlignment="1" applyFont="1">
      <alignment horizontal="left" vertical="center"/>
    </xf>
    <xf borderId="0" fillId="0" fontId="14" numFmtId="0" xfId="0" applyFont="1"/>
    <xf borderId="1" fillId="12" fontId="14" numFmtId="0" xfId="0" applyAlignment="1" applyBorder="1" applyFont="1">
      <alignment shrinkToFit="0" vertical="bottom" wrapText="0"/>
    </xf>
    <xf borderId="1" fillId="12" fontId="14" numFmtId="0" xfId="0" applyAlignment="1" applyBorder="1" applyFont="1">
      <alignment readingOrder="0" shrinkToFit="0" vertical="bottom" wrapText="0"/>
    </xf>
    <xf borderId="1" fillId="12" fontId="14" numFmtId="164" xfId="0" applyAlignment="1" applyBorder="1" applyFont="1" applyNumberFormat="1">
      <alignment readingOrder="0" shrinkToFit="0" vertical="bottom" wrapText="0"/>
    </xf>
    <xf borderId="29" fillId="12" fontId="14" numFmtId="0" xfId="0" applyAlignment="1" applyBorder="1" applyFont="1">
      <alignment shrinkToFit="0" vertical="bottom" wrapText="0"/>
    </xf>
    <xf borderId="29" fillId="5" fontId="16" numFmtId="0" xfId="0" applyAlignment="1" applyBorder="1" applyFont="1">
      <alignment readingOrder="0" shrinkToFit="0" vertical="bottom" wrapText="0"/>
    </xf>
    <xf borderId="5" fillId="12" fontId="14" numFmtId="0" xfId="0" applyAlignment="1" applyBorder="1" applyFont="1">
      <alignment readingOrder="0" shrinkToFit="0" vertical="bottom" wrapText="0"/>
    </xf>
    <xf borderId="5" fillId="12" fontId="14" numFmtId="0" xfId="0" applyAlignment="1" applyBorder="1" applyFont="1">
      <alignment shrinkToFit="0" vertical="bottom" wrapText="0"/>
    </xf>
    <xf borderId="5" fillId="12" fontId="14" numFmtId="164" xfId="0" applyAlignment="1" applyBorder="1" applyFont="1" applyNumberFormat="1">
      <alignment readingOrder="0" shrinkToFit="0" vertical="bottom" wrapText="0"/>
    </xf>
    <xf borderId="7" fillId="10" fontId="14" numFmtId="0" xfId="0" applyAlignment="1" applyBorder="1" applyFont="1">
      <alignment horizontal="right" readingOrder="0" shrinkToFit="0" vertical="bottom" wrapText="0"/>
    </xf>
    <xf borderId="29" fillId="5" fontId="14" numFmtId="0" xfId="0" applyAlignment="1" applyBorder="1" applyFont="1">
      <alignment readingOrder="0" shrinkToFit="0" vertical="bottom" wrapText="0"/>
    </xf>
    <xf borderId="7" fillId="3" fontId="14" numFmtId="0" xfId="0" applyAlignment="1" applyBorder="1" applyFont="1">
      <alignment horizontal="right" readingOrder="0" shrinkToFit="0" vertical="bottom" wrapText="0"/>
    </xf>
    <xf borderId="0" fillId="10" fontId="48" numFmtId="0" xfId="0" applyAlignment="1" applyFont="1">
      <alignment readingOrder="0" shrinkToFit="0" vertical="bottom" wrapText="0"/>
    </xf>
    <xf borderId="5" fillId="10" fontId="48" numFmtId="0" xfId="0" applyAlignment="1" applyBorder="1" applyFont="1">
      <alignment readingOrder="0" shrinkToFit="0" vertical="bottom" wrapText="0"/>
    </xf>
    <xf borderId="1" fillId="6" fontId="16" numFmtId="0" xfId="0" applyAlignment="1" applyBorder="1" applyFont="1">
      <alignment readingOrder="0" shrinkToFit="0" vertical="bottom" wrapText="0"/>
    </xf>
    <xf borderId="0" fillId="0" fontId="2" numFmtId="0" xfId="0" applyAlignment="1" applyFont="1">
      <alignment horizontal="left"/>
    </xf>
    <xf borderId="4" fillId="12" fontId="2" numFmtId="0" xfId="0" applyAlignment="1" applyBorder="1" applyFont="1">
      <alignment horizontal="center" vertical="center"/>
    </xf>
    <xf borderId="7" fillId="0" fontId="6" numFmtId="0" xfId="0" applyAlignment="1" applyBorder="1" applyFont="1">
      <alignment horizontal="center"/>
    </xf>
    <xf borderId="5" fillId="6" fontId="6" numFmtId="0" xfId="0" applyBorder="1" applyFont="1"/>
    <xf borderId="0" fillId="0" fontId="49" numFmtId="0" xfId="0" applyAlignment="1" applyFont="1">
      <alignment horizontal="center" shrinkToFit="0" vertical="center" wrapText="1"/>
    </xf>
    <xf borderId="5" fillId="0" fontId="6" numFmtId="0" xfId="0" applyAlignment="1" applyBorder="1" applyFont="1">
      <alignment horizontal="left" shrinkToFit="0" vertical="center" wrapText="1"/>
    </xf>
    <xf borderId="5" fillId="0" fontId="6" numFmtId="0" xfId="0" applyAlignment="1" applyBorder="1" applyFont="1">
      <alignment horizontal="left" readingOrder="0" shrinkToFit="0" vertical="center" wrapText="1"/>
    </xf>
    <xf borderId="5" fillId="0" fontId="49" numFmtId="0" xfId="0" applyAlignment="1" applyBorder="1" applyFont="1">
      <alignment horizontal="left" shrinkToFit="0" vertical="center" wrapText="1"/>
    </xf>
    <xf borderId="9" fillId="0" fontId="6" numFmtId="0" xfId="0" applyAlignment="1" applyBorder="1" applyFont="1">
      <alignment horizontal="center"/>
    </xf>
    <xf borderId="10" fillId="6" fontId="6" numFmtId="0" xfId="0" applyBorder="1" applyFont="1"/>
    <xf borderId="4" fillId="12" fontId="50" numFmtId="0" xfId="0" applyAlignment="1" applyBorder="1" applyFont="1">
      <alignment horizontal="center" vertical="center"/>
    </xf>
    <xf borderId="5" fillId="12" fontId="50" numFmtId="0" xfId="0" applyBorder="1" applyFont="1"/>
    <xf borderId="5" fillId="12" fontId="50" numFmtId="164" xfId="0" applyBorder="1" applyFont="1" applyNumberFormat="1"/>
    <xf borderId="6" fillId="12" fontId="50" numFmtId="0" xfId="0" applyBorder="1" applyFont="1"/>
    <xf borderId="7" fillId="0" fontId="50" numFmtId="0" xfId="0" applyAlignment="1" applyBorder="1" applyFont="1">
      <alignment horizontal="center" vertical="center"/>
    </xf>
    <xf borderId="5" fillId="0" fontId="50" numFmtId="0" xfId="0" applyBorder="1" applyFont="1"/>
    <xf borderId="5" fillId="0" fontId="50" numFmtId="164" xfId="0" applyBorder="1" applyFont="1" applyNumberFormat="1"/>
    <xf borderId="5" fillId="6" fontId="50" numFmtId="0" xfId="0" applyAlignment="1" applyBorder="1" applyFont="1">
      <alignment readingOrder="0"/>
    </xf>
    <xf borderId="5" fillId="0" fontId="50" numFmtId="0" xfId="0" applyAlignment="1" applyBorder="1" applyFont="1">
      <alignment readingOrder="0"/>
    </xf>
    <xf borderId="8" fillId="0" fontId="50" numFmtId="0" xfId="0" applyBorder="1" applyFont="1"/>
    <xf borderId="5" fillId="6" fontId="50" numFmtId="0" xfId="0" applyBorder="1" applyFont="1"/>
    <xf borderId="9" fillId="0" fontId="50" numFmtId="0" xfId="0" applyAlignment="1" applyBorder="1" applyFont="1">
      <alignment horizontal="center" vertical="center"/>
    </xf>
    <xf borderId="10" fillId="0" fontId="50" numFmtId="0" xfId="0" applyBorder="1" applyFont="1"/>
    <xf borderId="10" fillId="0" fontId="50" numFmtId="164" xfId="0" applyBorder="1" applyFont="1" applyNumberFormat="1"/>
    <xf borderId="11" fillId="0" fontId="50" numFmtId="0" xfId="0" applyBorder="1" applyFont="1"/>
    <xf borderId="5" fillId="12" fontId="2" numFmtId="168" xfId="0" applyBorder="1" applyFont="1" applyNumberFormat="1"/>
    <xf borderId="5" fillId="0" fontId="5" numFmtId="168" xfId="0" applyBorder="1" applyFont="1" applyNumberFormat="1"/>
    <xf borderId="0" fillId="0" fontId="5" numFmtId="0" xfId="0" applyAlignment="1" applyFont="1">
      <alignment readingOrder="0"/>
    </xf>
    <xf borderId="10" fillId="0" fontId="5" numFmtId="168" xfId="0" applyBorder="1" applyFont="1" applyNumberFormat="1"/>
    <xf borderId="13" fillId="4" fontId="5" numFmtId="0" xfId="0" applyBorder="1" applyFont="1"/>
    <xf borderId="5" fillId="12" fontId="9" numFmtId="0" xfId="0" applyAlignment="1" applyBorder="1" applyFont="1">
      <alignment horizontal="center"/>
    </xf>
    <xf borderId="0" fillId="12" fontId="2" numFmtId="0" xfId="0" applyFont="1"/>
    <xf borderId="5" fillId="0" fontId="6" numFmtId="0" xfId="0" applyAlignment="1" applyBorder="1" applyFont="1">
      <alignment horizontal="center" vertical="center"/>
    </xf>
    <xf borderId="5" fillId="0" fontId="6" numFmtId="0" xfId="0" applyAlignment="1" applyBorder="1" applyFont="1">
      <alignment vertical="center"/>
    </xf>
    <xf borderId="5" fillId="0" fontId="6" numFmtId="0" xfId="0" applyAlignment="1" applyBorder="1" applyFont="1">
      <alignment readingOrder="0" vertical="center"/>
    </xf>
    <xf borderId="5" fillId="0" fontId="6" numFmtId="0" xfId="0" applyAlignment="1" applyBorder="1" applyFont="1">
      <alignment readingOrder="0" vertical="center"/>
    </xf>
    <xf borderId="0" fillId="0" fontId="51" numFmtId="0" xfId="0" applyAlignment="1" applyFont="1">
      <alignment vertical="center"/>
    </xf>
    <xf borderId="0" fillId="0" fontId="26" numFmtId="0" xfId="0" applyAlignment="1" applyFont="1">
      <alignment readingOrder="0" vertical="center"/>
    </xf>
    <xf borderId="0" fillId="0" fontId="26" numFmtId="0" xfId="0" applyAlignment="1" applyFont="1">
      <alignment vertical="center"/>
    </xf>
    <xf borderId="5" fillId="0" fontId="6" numFmtId="0" xfId="0" applyAlignment="1" applyBorder="1" applyFont="1">
      <alignment horizontal="center"/>
    </xf>
    <xf borderId="5" fillId="0" fontId="6" numFmtId="0" xfId="0" applyBorder="1" applyFont="1"/>
    <xf borderId="0" fillId="0" fontId="5" numFmtId="0" xfId="0" applyAlignment="1" applyFont="1">
      <alignment readingOrder="0"/>
    </xf>
    <xf borderId="5" fillId="12" fontId="6" numFmtId="0" xfId="0" applyAlignment="1" applyBorder="1" applyFont="1">
      <alignment horizontal="center"/>
    </xf>
    <xf borderId="5" fillId="12" fontId="6" numFmtId="0" xfId="0" applyBorder="1" applyFont="1"/>
    <xf borderId="0" fillId="0" fontId="51" numFmtId="0" xfId="0" applyAlignment="1" applyFont="1">
      <alignment readingOrder="0"/>
    </xf>
    <xf borderId="0" fillId="0" fontId="26" numFmtId="0" xfId="0" applyAlignment="1" applyFont="1">
      <alignment readingOrder="0"/>
    </xf>
    <xf borderId="5" fillId="6" fontId="6" numFmtId="0" xfId="0" applyAlignment="1" applyBorder="1" applyFont="1">
      <alignment readingOrder="0" vertical="center"/>
    </xf>
    <xf borderId="5" fillId="13" fontId="6" numFmtId="0" xfId="0" applyAlignment="1" applyBorder="1" applyFont="1">
      <alignment horizontal="center"/>
    </xf>
    <xf borderId="5" fillId="13" fontId="6" numFmtId="0" xfId="0" applyBorder="1" applyFont="1"/>
    <xf borderId="5" fillId="13" fontId="6" numFmtId="0" xfId="0" applyAlignment="1" applyBorder="1" applyFont="1">
      <alignment readingOrder="0"/>
    </xf>
    <xf borderId="5" fillId="13" fontId="5" numFmtId="164" xfId="0" applyBorder="1" applyFont="1" applyNumberFormat="1"/>
    <xf borderId="0" fillId="13" fontId="51" numFmtId="0" xfId="0" applyFont="1"/>
    <xf borderId="0" fillId="13" fontId="26" numFmtId="0" xfId="0" applyFont="1"/>
    <xf borderId="0" fillId="0" fontId="51" numFmtId="0" xfId="0" applyAlignment="1" applyFont="1">
      <alignment readingOrder="0" vertical="center"/>
    </xf>
    <xf borderId="5" fillId="0" fontId="6" numFmtId="0" xfId="0" applyAlignment="1" applyBorder="1" applyFont="1">
      <alignment readingOrder="0" shrinkToFit="0" vertical="center" wrapText="1"/>
    </xf>
    <xf borderId="0" fillId="0" fontId="51" numFmtId="0" xfId="0" applyFont="1"/>
    <xf borderId="0" fillId="13" fontId="6" numFmtId="0" xfId="0" applyFont="1"/>
    <xf borderId="0" fillId="13" fontId="5" numFmtId="0" xfId="0" applyFont="1"/>
    <xf borderId="0" fillId="13" fontId="5" numFmtId="0" xfId="0" applyAlignment="1" applyFont="1">
      <alignment readingOrder="0"/>
    </xf>
    <xf borderId="5" fillId="0" fontId="6" numFmtId="0" xfId="0" applyAlignment="1" applyBorder="1" applyFont="1">
      <alignment horizontal="center"/>
    </xf>
    <xf borderId="5" fillId="0" fontId="5" numFmtId="4" xfId="0" applyAlignment="1" applyBorder="1" applyFont="1" applyNumberFormat="1">
      <alignment readingOrder="0"/>
    </xf>
    <xf borderId="5" fillId="0" fontId="6" numFmtId="0" xfId="0" applyAlignment="1" applyBorder="1" applyFont="1">
      <alignment horizontal="left" readingOrder="0"/>
    </xf>
    <xf borderId="0" fillId="0" fontId="52" numFmtId="0" xfId="0" applyFont="1"/>
    <xf borderId="5" fillId="12" fontId="27" numFmtId="0" xfId="0" applyAlignment="1" applyBorder="1" applyFont="1">
      <alignment horizontal="center" vertical="center"/>
    </xf>
    <xf borderId="5" fillId="12" fontId="27" numFmtId="0" xfId="0" applyAlignment="1" applyBorder="1" applyFont="1">
      <alignment horizontal="left" vertical="center"/>
    </xf>
    <xf borderId="5" fillId="12" fontId="27" numFmtId="164" xfId="0" applyAlignment="1" applyBorder="1" applyFont="1" applyNumberFormat="1">
      <alignment horizontal="center" vertical="center"/>
    </xf>
    <xf borderId="0" fillId="0" fontId="5" numFmtId="0" xfId="0" applyAlignment="1" applyFont="1">
      <alignment horizontal="center" vertical="center"/>
    </xf>
    <xf borderId="5" fillId="6" fontId="5" numFmtId="0" xfId="0" applyAlignment="1" applyBorder="1" applyFont="1">
      <alignment readingOrder="0" shrinkToFit="0" vertical="center" wrapText="1"/>
    </xf>
    <xf borderId="5" fillId="5" fontId="5" numFmtId="0" xfId="0" applyAlignment="1" applyBorder="1" applyFont="1">
      <alignment vertical="center"/>
    </xf>
    <xf borderId="5" fillId="5" fontId="5" numFmtId="0" xfId="0" applyAlignment="1" applyBorder="1" applyFont="1">
      <alignment readingOrder="0"/>
    </xf>
    <xf borderId="5" fillId="5" fontId="5" numFmtId="0" xfId="0" applyBorder="1" applyFont="1"/>
    <xf borderId="0" fillId="0" fontId="5" numFmtId="0" xfId="0" applyFont="1"/>
    <xf borderId="5" fillId="6" fontId="5" numFmtId="0" xfId="0" applyAlignment="1" applyBorder="1" applyFont="1">
      <alignment shrinkToFit="0" vertical="center" wrapText="1"/>
    </xf>
    <xf borderId="5" fillId="5" fontId="5" numFmtId="0" xfId="0" applyAlignment="1" applyBorder="1" applyFont="1">
      <alignment readingOrder="0" vertical="center"/>
    </xf>
    <xf borderId="13" fillId="4" fontId="5" numFmtId="0" xfId="0" applyAlignment="1" applyBorder="1" applyFont="1">
      <alignment vertical="center"/>
    </xf>
    <xf borderId="5" fillId="0" fontId="26" numFmtId="0" xfId="0" applyAlignment="1" applyBorder="1" applyFont="1">
      <alignment horizontal="center"/>
    </xf>
    <xf borderId="5" fillId="5" fontId="26" numFmtId="0" xfId="0" applyBorder="1" applyFont="1"/>
    <xf borderId="13" fillId="4" fontId="26" numFmtId="0" xfId="0" applyBorder="1" applyFont="1"/>
    <xf quotePrefix="1" borderId="5" fillId="5" fontId="5" numFmtId="0" xfId="0" applyBorder="1" applyFont="1"/>
    <xf borderId="5" fillId="0" fontId="4" numFmtId="0" xfId="0" applyBorder="1" applyFont="1"/>
    <xf borderId="8" fillId="12" fontId="5" numFmtId="0" xfId="0" applyBorder="1" applyFont="1"/>
    <xf borderId="12" fillId="4" fontId="5" numFmtId="0" xfId="0" applyBorder="1" applyFont="1"/>
    <xf borderId="7" fillId="0" fontId="2" numFmtId="0" xfId="0" applyBorder="1" applyFont="1"/>
    <xf borderId="5" fillId="4" fontId="2" numFmtId="0" xfId="0" applyBorder="1" applyFont="1"/>
    <xf borderId="5" fillId="4" fontId="2" numFmtId="0" xfId="0" applyAlignment="1" applyBorder="1" applyFont="1">
      <alignment readingOrder="0"/>
    </xf>
    <xf borderId="5" fillId="12" fontId="5" numFmtId="0" xfId="0" applyAlignment="1" applyBorder="1" applyFont="1">
      <alignment readingOrder="0"/>
    </xf>
    <xf borderId="5" fillId="3" fontId="5" numFmtId="0" xfId="0" applyBorder="1" applyFont="1"/>
    <xf borderId="5" fillId="6" fontId="2" numFmtId="0" xfId="0" applyBorder="1" applyFont="1"/>
    <xf borderId="5" fillId="3" fontId="2" numFmtId="0" xfId="0" applyBorder="1" applyFont="1"/>
    <xf borderId="5" fillId="4" fontId="5" numFmtId="0" xfId="0" applyBorder="1" applyFont="1"/>
    <xf borderId="5" fillId="0" fontId="5" numFmtId="0" xfId="0" applyAlignment="1" applyBorder="1" applyFont="1">
      <alignment horizontal="left" vertical="top"/>
    </xf>
    <xf borderId="33" fillId="12" fontId="6" numFmtId="0" xfId="0" applyBorder="1" applyFont="1"/>
    <xf borderId="0" fillId="12" fontId="6" numFmtId="0" xfId="0" applyFont="1"/>
    <xf quotePrefix="1" borderId="5" fillId="0" fontId="5" numFmtId="0" xfId="0" applyBorder="1" applyFont="1"/>
    <xf borderId="0" fillId="0" fontId="6" numFmtId="0" xfId="0" applyAlignment="1" applyFont="1">
      <alignment readingOrder="0"/>
    </xf>
    <xf borderId="10" fillId="13" fontId="6" numFmtId="0" xfId="0" applyBorder="1" applyFont="1"/>
    <xf borderId="11" fillId="0" fontId="6" numFmtId="0" xfId="0" applyAlignment="1" applyBorder="1" applyFont="1">
      <alignment readingOrder="0"/>
    </xf>
    <xf borderId="0" fillId="0" fontId="6" numFmtId="0" xfId="0" applyFont="1"/>
    <xf borderId="2" fillId="12" fontId="2" numFmtId="0" xfId="0" applyBorder="1" applyFont="1"/>
    <xf borderId="8" fillId="0" fontId="2" numFmtId="0" xfId="0" applyAlignment="1" applyBorder="1" applyFont="1">
      <alignment readingOrder="0"/>
    </xf>
    <xf borderId="5" fillId="0" fontId="5" numFmtId="164" xfId="0" applyAlignment="1" applyBorder="1" applyFont="1" applyNumberFormat="1">
      <alignment horizontal="left"/>
    </xf>
    <xf borderId="5" fillId="6" fontId="5" numFmtId="0" xfId="0" applyAlignment="1" applyBorder="1" applyFont="1">
      <alignment horizontal="left" readingOrder="0" vertical="center"/>
    </xf>
    <xf borderId="5" fillId="0" fontId="5" numFmtId="0" xfId="0" applyAlignment="1" applyBorder="1" applyFont="1">
      <alignment horizontal="left" readingOrder="0" vertical="center"/>
    </xf>
    <xf borderId="5" fillId="0" fontId="5" numFmtId="0" xfId="0" applyAlignment="1" applyBorder="1" applyFont="1">
      <alignment horizontal="left" readingOrder="0"/>
    </xf>
    <xf borderId="0" fillId="0" fontId="5" numFmtId="0" xfId="0" applyAlignment="1" applyFont="1">
      <alignment horizontal="left"/>
    </xf>
    <xf borderId="0" fillId="4" fontId="6" numFmtId="14" xfId="0" applyFont="1" applyNumberFormat="1"/>
    <xf borderId="0" fillId="4" fontId="53" numFmtId="0" xfId="0" applyAlignment="1" applyFont="1">
      <alignment readingOrder="0"/>
    </xf>
    <xf borderId="0" fillId="4" fontId="3" numFmtId="0" xfId="0" applyAlignment="1" applyFont="1">
      <alignment readingOrder="0"/>
    </xf>
    <xf borderId="13" fillId="4" fontId="6" numFmtId="14" xfId="0" applyBorder="1" applyFont="1" applyNumberFormat="1"/>
    <xf borderId="13" fillId="4" fontId="6" numFmtId="164" xfId="0" applyBorder="1" applyFont="1" applyNumberFormat="1"/>
    <xf borderId="13" fillId="4" fontId="6" numFmtId="0" xfId="0" applyAlignment="1" applyBorder="1" applyFont="1">
      <alignment readingOrder="0"/>
    </xf>
    <xf borderId="4" fillId="12" fontId="9" numFmtId="0" xfId="0" applyAlignment="1" applyBorder="1" applyFont="1">
      <alignment horizontal="center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theme="5"/>
          <bgColor theme="5"/>
        </patternFill>
      </fill>
      <border/>
    </dxf>
    <dxf>
      <font/>
      <fill>
        <patternFill patternType="solid">
          <fgColor rgb="FFF2DBDB"/>
          <bgColor rgb="FFF2DBDB"/>
        </patternFill>
      </fill>
      <border/>
    </dxf>
    <dxf>
      <font/>
      <fill>
        <patternFill patternType="solid">
          <fgColor rgb="FFFBE4D5"/>
          <bgColor rgb="FFFBE4D5"/>
        </patternFill>
      </fill>
      <border/>
    </dxf>
  </dxfs>
  <tableStyles count="37">
    <tableStyle count="3" pivot="0" name="02. Dinas Kesehatan-style">
      <tableStyleElement dxfId="1" type="headerRow"/>
      <tableStyleElement dxfId="2" type="firstRowStripe"/>
      <tableStyleElement dxfId="2" type="secondRowStripe"/>
    </tableStyle>
    <tableStyle count="3" pivot="0" name="03. DPUPR-style">
      <tableStyleElement dxfId="5" type="headerRow"/>
      <tableStyleElement dxfId="6" type="firstRowStripe"/>
      <tableStyleElement dxfId="2" type="secondRowStripe"/>
    </tableStyle>
    <tableStyle count="3" pivot="0" name="04. Perkim-style">
      <tableStyleElement dxfId="5" type="headerRow"/>
      <tableStyleElement dxfId="6" type="firstRowStripe"/>
      <tableStyleElement dxfId="2" type="secondRowStripe"/>
    </tableStyle>
    <tableStyle count="3" pivot="0" name="05. Satpol PP-style">
      <tableStyleElement dxfId="5" type="headerRow"/>
      <tableStyleElement dxfId="6" type="firstRowStripe"/>
      <tableStyleElement dxfId="2" type="secondRowStripe"/>
    </tableStyle>
    <tableStyle count="3" pivot="0" name="06. Damkar-style">
      <tableStyleElement dxfId="5" type="headerRow"/>
      <tableStyleElement dxfId="6" type="firstRowStripe"/>
      <tableStyleElement dxfId="2" type="secondRowStripe"/>
    </tableStyle>
    <tableStyle count="3" pivot="0" name="07. Dinsos-style">
      <tableStyleElement dxfId="5" type="headerRow"/>
      <tableStyleElement dxfId="6" type="firstRowStripe"/>
      <tableStyleElement dxfId="2" type="secondRowStripe"/>
    </tableStyle>
    <tableStyle count="3" pivot="0" name="9. Nakertrans-style">
      <tableStyleElement dxfId="5" type="headerRow"/>
      <tableStyleElement dxfId="6" type="firstRowStripe"/>
      <tableStyleElement dxfId="2" type="secondRowStripe"/>
    </tableStyle>
    <tableStyle count="3" pivot="0" name="10. DKP-style">
      <tableStyleElement dxfId="5" type="headerRow"/>
      <tableStyleElement dxfId="6" type="firstRowStripe"/>
      <tableStyleElement dxfId="2" type="secondRowStripe"/>
    </tableStyle>
    <tableStyle count="3" pivot="0" name="10. DKP (data lama)-style">
      <tableStyleElement dxfId="5" type="headerRow"/>
      <tableStyleElement dxfId="6" type="firstRowStripe"/>
      <tableStyleElement dxfId="2" type="secondRowStripe"/>
    </tableStyle>
    <tableStyle count="3" pivot="0" name="11. DLH-style">
      <tableStyleElement dxfId="5" type="headerRow"/>
      <tableStyleElement dxfId="6" type="firstRowStripe"/>
      <tableStyleElement dxfId="2" type="secondRowStripe"/>
    </tableStyle>
    <tableStyle count="3" pivot="0" name="12. Disdukcapil-style">
      <tableStyleElement dxfId="5" type="headerRow"/>
      <tableStyleElement dxfId="6" type="firstRowStripe"/>
      <tableStyleElement dxfId="2" type="secondRowStripe"/>
    </tableStyle>
    <tableStyle count="3" pivot="0" name="13. PMD-style">
      <tableStyleElement dxfId="5" type="headerRow"/>
      <tableStyleElement dxfId="6" type="firstRowStripe"/>
      <tableStyleElement dxfId="2" type="secondRowStripe"/>
    </tableStyle>
    <tableStyle count="3" pivot="0" name="16.DISKOMINFO-style">
      <tableStyleElement dxfId="5" type="headerRow"/>
      <tableStyleElement dxfId="7" type="firstRowStripe"/>
      <tableStyleElement dxfId="2" type="secondRowStripe"/>
    </tableStyle>
    <tableStyle count="3" pivot="0" name="18. DPMPTSP-style">
      <tableStyleElement dxfId="5" type="headerRow"/>
      <tableStyleElement dxfId="6" type="firstRowStripe"/>
      <tableStyleElement dxfId="2" type="secondRowStripe"/>
    </tableStyle>
    <tableStyle count="3" pivot="0" name="19. DPAD-style">
      <tableStyleElement dxfId="5" type="headerRow"/>
      <tableStyleElement dxfId="6" type="firstRowStripe"/>
      <tableStyleElement dxfId="2" type="secondRowStripe"/>
    </tableStyle>
    <tableStyle count="3" pivot="0" name="20. Diskan-style">
      <tableStyleElement dxfId="5" type="headerRow"/>
      <tableStyleElement dxfId="6" type="firstRowStripe"/>
      <tableStyleElement dxfId="2" type="secondRowStripe"/>
    </tableStyle>
    <tableStyle count="3" pivot="0" name="22. DTPH-style">
      <tableStyleElement dxfId="5" type="headerRow"/>
      <tableStyleElement dxfId="7" type="firstRowStripe"/>
      <tableStyleElement dxfId="2" type="secondRowStripe"/>
    </tableStyle>
    <tableStyle count="3" pivot="0" name="23. Disbunnak-style">
      <tableStyleElement dxfId="5" type="headerRow"/>
      <tableStyleElement dxfId="6" type="firstRowStripe"/>
      <tableStyleElement dxfId="2" type="secondRowStripe"/>
    </tableStyle>
    <tableStyle count="3" pivot="0" name="24. Inspektorat-style">
      <tableStyleElement dxfId="5" type="headerRow"/>
      <tableStyleElement dxfId="6" type="firstRowStripe"/>
      <tableStyleElement dxfId="2" type="secondRowStripe"/>
    </tableStyle>
    <tableStyle count="3" pivot="0" name="25. Bapperida-style">
      <tableStyleElement dxfId="5" type="headerRow"/>
      <tableStyleElement dxfId="6" type="firstRowStripe"/>
      <tableStyleElement dxfId="2" type="secondRowStripe"/>
    </tableStyle>
    <tableStyle count="3" pivot="0" name="26. BPKAD-style">
      <tableStyleElement dxfId="5" type="headerRow"/>
      <tableStyleElement dxfId="6" type="firstRowStripe"/>
      <tableStyleElement dxfId="2" type="secondRowStripe"/>
    </tableStyle>
    <tableStyle count="3" pivot="0" name="27. BPPRD-style">
      <tableStyleElement dxfId="5" type="headerRow"/>
      <tableStyleElement dxfId="6" type="firstRowStripe"/>
      <tableStyleElement dxfId="2" type="secondRowStripe"/>
    </tableStyle>
    <tableStyle count="3" pivot="0" name="29.SETDA-style">
      <tableStyleElement dxfId="5" type="headerRow"/>
      <tableStyleElement dxfId="7" type="firstRowStripe"/>
      <tableStyleElement dxfId="2" type="secondRowStripe"/>
    </tableStyle>
    <tableStyle count="2" pivot="0" name="29.SETDA-style 2">
      <tableStyleElement dxfId="2" type="firstRowStripe"/>
      <tableStyleElement dxfId="7" type="secondRowStripe"/>
    </tableStyle>
    <tableStyle count="3" pivot="0" name="30. DPRD-style">
      <tableStyleElement dxfId="5" type="headerRow"/>
      <tableStyleElement dxfId="6" type="firstRowStripe"/>
      <tableStyleElement dxfId="2" type="secondRowStripe"/>
    </tableStyle>
    <tableStyle count="3" pivot="0" name="31. Kesbang Pol-style">
      <tableStyleElement dxfId="5" type="headerRow"/>
      <tableStyleElement dxfId="6" type="firstRowStripe"/>
      <tableStyleElement dxfId="2" type="secondRowStripe"/>
    </tableStyle>
    <tableStyle count="3" pivot="0" name="33. Kec. Maro Sebo-style">
      <tableStyleElement dxfId="5" type="headerRow"/>
      <tableStyleElement dxfId="6" type="firstRowStripe"/>
      <tableStyleElement dxfId="2" type="secondRowStripe"/>
    </tableStyle>
    <tableStyle count="3" pivot="0" name="34. Kec. Jaluko-style">
      <tableStyleElement dxfId="5" type="headerRow"/>
      <tableStyleElement dxfId="6" type="firstRowStripe"/>
      <tableStyleElement dxfId="2" type="secondRowStripe"/>
    </tableStyle>
    <tableStyle count="3" pivot="0" name="35. Kec. Mestong-style">
      <tableStyleElement dxfId="5" type="headerRow"/>
      <tableStyleElement dxfId="6" type="firstRowStripe"/>
      <tableStyleElement dxfId="2" type="secondRowStripe"/>
    </tableStyle>
    <tableStyle count="3" pivot="0" name="36. Kec. Kumpeh Ulu-style">
      <tableStyleElement dxfId="5" type="headerRow"/>
      <tableStyleElement dxfId="6" type="firstRowStripe"/>
      <tableStyleElement dxfId="2" type="secondRowStripe"/>
    </tableStyle>
    <tableStyle count="3" pivot="0" name="37. Kec. Kumpeh-style">
      <tableStyleElement dxfId="5" type="headerRow"/>
      <tableStyleElement dxfId="7" type="firstRowStripe"/>
      <tableStyleElement dxfId="2" type="secondRowStripe"/>
    </tableStyle>
    <tableStyle count="3" pivot="0" name="38. Kec. Sungai Bahar-style">
      <tableStyleElement dxfId="5" type="headerRow"/>
      <tableStyleElement dxfId="6" type="firstRowStripe"/>
      <tableStyleElement dxfId="2" type="secondRowStripe"/>
    </tableStyle>
    <tableStyle count="3" pivot="0" name="39. Kec. Sungai Gelam-style">
      <tableStyleElement dxfId="5" type="headerRow"/>
      <tableStyleElement dxfId="6" type="firstRowStripe"/>
      <tableStyleElement dxfId="2" type="secondRowStripe"/>
    </tableStyle>
    <tableStyle count="3" pivot="0" name="40. Kec. Taman Rajo-style">
      <tableStyleElement dxfId="5" type="headerRow"/>
      <tableStyleElement dxfId="6" type="firstRowStripe"/>
      <tableStyleElement dxfId="2" type="secondRowStripe"/>
    </tableStyle>
    <tableStyle count="3" pivot="0" name="41. Kec. Bahar Utara-style">
      <tableStyleElement dxfId="5" type="headerRow"/>
      <tableStyleElement dxfId="6" type="firstRowStripe"/>
      <tableStyleElement dxfId="2" type="secondRowStripe"/>
    </tableStyle>
    <tableStyle count="3" pivot="0" name="42. Kec. Bahar Selatan-style">
      <tableStyleElement dxfId="5" type="headerRow"/>
      <tableStyleElement dxfId="6" type="firstRowStripe"/>
      <tableStyleElement dxfId="2" type="secondRowStripe"/>
    </tableStyle>
    <tableStyle count="3" pivot="0" name="Stlh Diperbaharui (2)-style">
      <tableStyleElement dxfId="5" type="headerRow"/>
      <tableStyleElement dxfId="7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43" Type="http://schemas.openxmlformats.org/officeDocument/2006/relationships/worksheet" Target="worksheets/sheet39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48" Type="http://schemas.openxmlformats.org/officeDocument/2006/relationships/worksheet" Target="worksheets/sheet44.xml"/><Relationship Id="rId47" Type="http://schemas.openxmlformats.org/officeDocument/2006/relationships/worksheet" Target="worksheets/sheet43.xml"/><Relationship Id="rId49" Type="http://schemas.openxmlformats.org/officeDocument/2006/relationships/worksheet" Target="worksheets/sheet4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35" Type="http://schemas.openxmlformats.org/officeDocument/2006/relationships/worksheet" Target="worksheets/sheet31.xml"/><Relationship Id="rId34" Type="http://schemas.openxmlformats.org/officeDocument/2006/relationships/worksheet" Target="worksheets/sheet30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273:W278" displayName="Table_1" name="Table_1" id="1">
  <tableColumns count="23">
    <tableColumn name="no" id="1"/>
    <tableColumn name="spesifikasi" id="2"/>
    <tableColumn name="spesifikasi_lainnya" id="3"/>
    <tableColumn name="Merk" id="4"/>
    <tableColumn name="unit_kerja" id="5"/>
    <tableColumn name="kondisi" id="6"/>
    <tableColumn name="harga" id="7"/>
    <tableColumn name="rehab" id="8"/>
    <tableColumn name="merk" id="9"/>
    <tableColumn name="type" id="10"/>
    <tableColumn name="bahan" id="11"/>
    <tableColumn name="tahun" id="12"/>
    <tableColumn name="satuan" id="13"/>
    <tableColumn name="jumlah" id="14"/>
    <tableColumn name="umur_ekonomis" id="15"/>
    <tableColumn name="no_sertifikat" id="16"/>
    <tableColumn name="no_polisi" id="17"/>
    <tableColumn name="no_rangka" id="18"/>
    <tableColumn name="no mesin" id="19"/>
    <tableColumn name="no bpkb" id="20"/>
    <tableColumn name="tgl_ada" id="21"/>
    <tableColumn name="keterangan" id="22"/>
    <tableColumn name="pengguna" id="23"/>
  </tableColumns>
  <tableStyleInfo name="02. Dinas Kesehatan-style" showColumnStripes="0" showFirstColumn="1" showLastColumn="1" showRowStripes="1"/>
</table>
</file>

<file path=xl/tables/table2.xml><?xml version="1.0" encoding="utf-8"?>
<table xmlns="http://schemas.openxmlformats.org/spreadsheetml/2006/main" ref="A9:N75" displayName="Table_2" name="Table_2" id="2">
  <tableColumns count="14">
    <tableColumn name="no" id="1"/>
    <tableColumn name="spesifikasi" id="2"/>
    <tableColumn name="spesifikasi_lainnya" id="3"/>
    <tableColumn name="unit_kerja" id="4"/>
    <tableColumn name="kondisi" id="5"/>
    <tableColumn name="harga" id="6"/>
    <tableColumn name="merk" id="7"/>
    <tableColumn name="tahun" id="8"/>
    <tableColumn name="KEBERADAAN SAAT PEMERIKSAAN" id="9"/>
    <tableColumn name="no_polisi" id="10"/>
    <tableColumn name="no_rangka" id="11"/>
    <tableColumn name="no_mesin" id="12"/>
    <tableColumn name="no_bpkb" id="13"/>
    <tableColumn name="Pengguna" id="14"/>
  </tableColumns>
  <tableStyleInfo name="03. DPUPR-style" showColumnStripes="0" showFirstColumn="1" showLastColumn="1" showRowStripes="1"/>
</table>
</file>

<file path=xl/tables/table3.xml><?xml version="1.0" encoding="utf-8"?>
<table xmlns="http://schemas.openxmlformats.org/spreadsheetml/2006/main" ref="A9:O34" displayName="Table_3" name="Table_3" id="3">
  <tableColumns count="15">
    <tableColumn name="no" id="1"/>
    <tableColumn name="spesifikasi" id="2"/>
    <tableColumn name="spesifikasi_lainnya" id="3"/>
    <tableColumn name="unit_kerja" id="4"/>
    <tableColumn name="kondisi" id="5"/>
    <tableColumn name="harga" id="6"/>
    <tableColumn name="merk" id="7"/>
    <tableColumn name="tahun" id="8"/>
    <tableColumn name="no_polisi" id="9"/>
    <tableColumn name="no_rangka" id="10"/>
    <tableColumn name="no_mesin" id="11"/>
    <tableColumn name="no_bpkb" id="12"/>
    <tableColumn name="Keterangan" id="13"/>
    <tableColumn name="Pengguna" id="14"/>
    <tableColumn name="UPDATE" id="15"/>
  </tableColumns>
  <tableStyleInfo name="04. Perkim-style" showColumnStripes="0" showFirstColumn="1" showLastColumn="1" showRowStripes="1"/>
</table>
</file>

<file path=xl/tables/table4.xml><?xml version="1.0" encoding="utf-8"?>
<table xmlns="http://schemas.openxmlformats.org/spreadsheetml/2006/main" ref="A9:N28" displayName="Table_4" name="Table_4" id="4">
  <tableColumns count="14">
    <tableColumn name="no" id="1"/>
    <tableColumn name="spesifikasi" id="2"/>
    <tableColumn name="spesifikasi_lainnya" id="3"/>
    <tableColumn name="unit_kerja" id="4"/>
    <tableColumn name="kondisi" id="5"/>
    <tableColumn name="harga" id="6"/>
    <tableColumn name="merk" id="7"/>
    <tableColumn name="tahun" id="8"/>
    <tableColumn name="no_polisi" id="9"/>
    <tableColumn name="no_rangka" id="10"/>
    <tableColumn name="no_mesin" id="11"/>
    <tableColumn name="no_bpkb" id="12"/>
    <tableColumn name="keterangan" id="13"/>
    <tableColumn name="Pengguna" id="14"/>
  </tableColumns>
  <tableStyleInfo name="05. Satpol PP-style" showColumnStripes="0" showFirstColumn="1" showLastColumn="1" showRowStripes="1"/>
</table>
</file>

<file path=xl/tables/table5.xml><?xml version="1.0" encoding="utf-8"?>
<table xmlns="http://schemas.openxmlformats.org/spreadsheetml/2006/main" ref="A9:P25" displayName="Table_5" name="Table_5" id="5">
  <tableColumns count="16">
    <tableColumn name="no" id="1"/>
    <tableColumn name="spesifikasi" id="2"/>
    <tableColumn name="spesifikasi_lainnya" id="3"/>
    <tableColumn name="unit_kerja" id="4"/>
    <tableColumn name="kondisi" id="5"/>
    <tableColumn name="harga" id="6"/>
    <tableColumn name="merk" id="7"/>
    <tableColumn name="tahun" id="8"/>
    <tableColumn name="no_polisi" id="9"/>
    <tableColumn name="no_rangka" id="10"/>
    <tableColumn name="no_mesin" id="11"/>
    <tableColumn name="no_bpkb" id="12"/>
    <tableColumn name="keterangan" id="13"/>
    <tableColumn name="Pengguna" id="14"/>
    <tableColumn name="Update" id="15"/>
    <tableColumn name="Kterangan" id="16"/>
  </tableColumns>
  <tableStyleInfo name="06. Damkar-style" showColumnStripes="0" showFirstColumn="1" showLastColumn="1" showRowStripes="1"/>
</table>
</file>

<file path=xl/tables/table6.xml><?xml version="1.0" encoding="utf-8"?>
<table xmlns="http://schemas.openxmlformats.org/spreadsheetml/2006/main" ref="A9:P30" displayName="Table_6" name="Table_6" id="6">
  <tableColumns count="16">
    <tableColumn name="no" id="1"/>
    <tableColumn name="spesifikasi" id="2"/>
    <tableColumn name="spesifikasi_lainnya" id="3"/>
    <tableColumn name="unit_kerja" id="4"/>
    <tableColumn name="kondisi" id="5"/>
    <tableColumn name="harga" id="6"/>
    <tableColumn name="merk" id="7"/>
    <tableColumn name="tahun" id="8"/>
    <tableColumn name="no_polisi" id="9"/>
    <tableColumn name="no_rangka" id="10"/>
    <tableColumn name="no mesin" id="11"/>
    <tableColumn name="no_bpkb" id="12"/>
    <tableColumn name="keterangan" id="13"/>
    <tableColumn name="Pengguna" id="14"/>
    <tableColumn name="Jabatan Pengguna" id="15"/>
    <tableColumn name="Usulan Lelang" id="16"/>
  </tableColumns>
  <tableStyleInfo name="07. Dinsos-style" showColumnStripes="0" showFirstColumn="1" showLastColumn="1" showRowStripes="1"/>
</table>
</file>

<file path=xl/tables/table7.xml><?xml version="1.0" encoding="utf-8"?>
<table xmlns="http://schemas.openxmlformats.org/spreadsheetml/2006/main" headerRowCount="0" ref="A9:N25" displayName="Table_7" name="Table_7" id="7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9. Nakertran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8.xml><?xml version="1.0" encoding="utf-8"?>
<table xmlns="http://schemas.openxmlformats.org/spreadsheetml/2006/main" ref="A9:O26" displayName="Table_8" name="Table_8" id="8">
  <tableColumns count="15">
    <tableColumn name="no" id="1"/>
    <tableColumn name="spesifikasi" id="2"/>
    <tableColumn name="spesifikasi_lainnya" id="3"/>
    <tableColumn name="unit_kerja" id="4"/>
    <tableColumn name="kondisi" id="5"/>
    <tableColumn name="harga" id="6"/>
    <tableColumn name="merk" id="7"/>
    <tableColumn name="tahun" id="8"/>
    <tableColumn name="no_polisi" id="9"/>
    <tableColumn name="no_rangka" id="10"/>
    <tableColumn name="no_mesin" id="11"/>
    <tableColumn name="no_bpkb" id="12"/>
    <tableColumn name="Nama Pengguna" id="13"/>
    <tableColumn name="Jabatan" id="14"/>
    <tableColumn name="keterangan" id="15"/>
  </tableColumns>
  <tableStyleInfo name="10. DKP-style" showColumnStripes="0" showFirstColumn="1" showLastColumn="1" showRowStripes="1"/>
</table>
</file>

<file path=xl/tables/table9.xml><?xml version="1.0" encoding="utf-8"?>
<table xmlns="http://schemas.openxmlformats.org/spreadsheetml/2006/main" ref="A9:O26" displayName="Table_9" name="Table_9" id="9">
  <tableColumns count="15">
    <tableColumn name="no" id="1"/>
    <tableColumn name="spesifikasi" id="2"/>
    <tableColumn name="spesifikasi_lainnya" id="3"/>
    <tableColumn name="unit_kerja" id="4"/>
    <tableColumn name="kondisi" id="5"/>
    <tableColumn name="harga" id="6"/>
    <tableColumn name="merk" id="7"/>
    <tableColumn name="tahun" id="8"/>
    <tableColumn name="no_polisi" id="9"/>
    <tableColumn name="no_rangka" id="10"/>
    <tableColumn name="no_mesin" id="11"/>
    <tableColumn name="no_bpkb" id="12"/>
    <tableColumn name="Nama Pengguna" id="13"/>
    <tableColumn name="Jabatan" id="14"/>
    <tableColumn name="keterangan" id="15"/>
  </tableColumns>
  <tableStyleInfo name="10. DKP (data lama)-style" showColumnStripes="0" showFirstColumn="1" showLastColumn="1" showRowStripes="1"/>
</table>
</file>

<file path=xl/tables/table10.xml><?xml version="1.0" encoding="utf-8"?>
<table xmlns="http://schemas.openxmlformats.org/spreadsheetml/2006/main" headerRowCount="0" ref="A10:O71" displayName="Table_10" name="Table_10" id="10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11. DLH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1.xml><?xml version="1.0" encoding="utf-8"?>
<table xmlns="http://schemas.openxmlformats.org/spreadsheetml/2006/main" ref="A10:Q33" displayName="Table_11" name="Table_11" id="11">
  <tableColumns count="17">
    <tableColumn name="no" id="1"/>
    <tableColumn name="spesifikasi" id="2"/>
    <tableColumn name="spesifikasi_lainnya" id="3"/>
    <tableColumn name="unit_kerja" id="4"/>
    <tableColumn name="kondisi" id="5"/>
    <tableColumn name="harga" id="6"/>
    <tableColumn name="merk" id="7"/>
    <tableColumn name="tahun" id="8"/>
    <tableColumn name="no_polisi" id="9"/>
    <tableColumn name="no_rangka" id="10"/>
    <tableColumn name="no mesin" id="11"/>
    <tableColumn name="no_bpkb" id="12"/>
    <tableColumn name="keterangan" id="13"/>
    <tableColumn name="Pengguna" id="14"/>
    <tableColumn name="Column1" id="15"/>
    <tableColumn name="Column2" id="16"/>
    <tableColumn name="Keterangan" id="17"/>
  </tableColumns>
  <tableStyleInfo name="12. Disdukcapil-style" showColumnStripes="0" showFirstColumn="1" showLastColumn="1" showRowStripes="1"/>
</table>
</file>

<file path=xl/tables/table12.xml><?xml version="1.0" encoding="utf-8"?>
<table xmlns="http://schemas.openxmlformats.org/spreadsheetml/2006/main" ref="A10:N30" displayName="Table_12" name="Table_12" id="12">
  <tableColumns count="14">
    <tableColumn name="no" id="1"/>
    <tableColumn name="spesifikasi" id="2"/>
    <tableColumn name="spesifikasi_lainnya" id="3"/>
    <tableColumn name="unit_kerja" id="4"/>
    <tableColumn name="kondisi" id="5"/>
    <tableColumn name="harga" id="6"/>
    <tableColumn name="merk" id="7"/>
    <tableColumn name="tahun" id="8"/>
    <tableColumn name="no_polisi" id="9"/>
    <tableColumn name="no_rangka" id="10"/>
    <tableColumn name="no_mesin" id="11"/>
    <tableColumn name="no_bpkb" id="12"/>
    <tableColumn name="keterangan" id="13"/>
    <tableColumn name="Pengguna" id="14"/>
  </tableColumns>
  <tableStyleInfo name="13. PMD-style" showColumnStripes="0" showFirstColumn="1" showLastColumn="1" showRowStripes="1"/>
</table>
</file>

<file path=xl/tables/table13.xml><?xml version="1.0" encoding="utf-8"?>
<table xmlns="http://schemas.openxmlformats.org/spreadsheetml/2006/main" ref="A9:O27" displayName="Table_13" name="Table_13" id="13">
  <tableColumns count="15">
    <tableColumn name="no" id="1"/>
    <tableColumn name="spesifikasi" id="2"/>
    <tableColumn name="spesifikasi_lainnya" id="3"/>
    <tableColumn name="unit_kerja" id="4"/>
    <tableColumn name="kondisi" id="5"/>
    <tableColumn name="harga" id="6"/>
    <tableColumn name="merk" id="7"/>
    <tableColumn name="tahun" id="8"/>
    <tableColumn name="no_polisi" id="9"/>
    <tableColumn name="no_rangka" id="10"/>
    <tableColumn name="no_mesin" id="11"/>
    <tableColumn name="no_bpkb" id="12"/>
    <tableColumn name="keterangan" id="13"/>
    <tableColumn name="Pengguna" id="14"/>
    <tableColumn name="Jabatan Pengguna" id="15"/>
  </tableColumns>
  <tableStyleInfo name="16.DISKOMINFO-style" showColumnStripes="0" showFirstColumn="1" showLastColumn="1" showRowStripes="1"/>
</table>
</file>

<file path=xl/tables/table14.xml><?xml version="1.0" encoding="utf-8"?>
<table xmlns="http://schemas.openxmlformats.org/spreadsheetml/2006/main" ref="A10:N31" displayName="Table_14" name="Table_14" id="14">
  <tableColumns count="14">
    <tableColumn name="no" id="1"/>
    <tableColumn name="spesifikasi" id="2"/>
    <tableColumn name="spesifikasi_lainnya" id="3"/>
    <tableColumn name="unit_kerja" id="4"/>
    <tableColumn name="kondisi" id="5"/>
    <tableColumn name="harga" id="6"/>
    <tableColumn name="merk" id="7"/>
    <tableColumn name="tahun" id="8"/>
    <tableColumn name="no_polisi" id="9"/>
    <tableColumn name="no_rangka" id="10"/>
    <tableColumn name="no_bpkb" id="11"/>
    <tableColumn name="No_Mesin" id="12"/>
    <tableColumn name="keterangan" id="13"/>
    <tableColumn name="Pengguna" id="14"/>
  </tableColumns>
  <tableStyleInfo name="18. DPMPTSP-style" showColumnStripes="0" showFirstColumn="1" showLastColumn="1" showRowStripes="1"/>
</table>
</file>

<file path=xl/tables/table15.xml><?xml version="1.0" encoding="utf-8"?>
<table xmlns="http://schemas.openxmlformats.org/spreadsheetml/2006/main" ref="A10:N26" displayName="Table_15" name="Table_15" id="15">
  <tableColumns count="14">
    <tableColumn name="no" id="1"/>
    <tableColumn name="spesifikasi" id="2"/>
    <tableColumn name="spesifikasi_lainnya" id="3"/>
    <tableColumn name="unit_kerja" id="4"/>
    <tableColumn name="kondisi" id="5"/>
    <tableColumn name="harga" id="6"/>
    <tableColumn name="merk" id="7"/>
    <tableColumn name="tahun" id="8"/>
    <tableColumn name="no_polisi" id="9"/>
    <tableColumn name="no_rangka" id="10"/>
    <tableColumn name="no-mesin" id="11"/>
    <tableColumn name="no_bpkb" id="12"/>
    <tableColumn name="keterangan" id="13"/>
    <tableColumn name="Pengguna" id="14"/>
  </tableColumns>
  <tableStyleInfo name="19. DPAD-style" showColumnStripes="0" showFirstColumn="1" showLastColumn="1" showRowStripes="1"/>
</table>
</file>

<file path=xl/tables/table16.xml><?xml version="1.0" encoding="utf-8"?>
<table xmlns="http://schemas.openxmlformats.org/spreadsheetml/2006/main" ref="A10:T44" displayName="Table_16" name="Table_16" id="16">
  <tableColumns count="20">
    <tableColumn name="no" id="1"/>
    <tableColumn name="spesifikasi" id="2"/>
    <tableColumn name="spesifikasi lainnya" id="3"/>
    <tableColumn name="unit kerja" id="4"/>
    <tableColumn name="kondisi" id="5"/>
    <tableColumn name="harga" id="6"/>
    <tableColumn name="merk" id="7"/>
    <tableColumn name="tahun" id="8"/>
    <tableColumn name="no polisi" id="9"/>
    <tableColumn name="no rangka" id="10"/>
    <tableColumn name="no_mesin" id="11"/>
    <tableColumn name="no bpkb" id="12"/>
    <tableColumn name="keterangan" id="13"/>
    <tableColumn name="Pengguna" id="14"/>
    <tableColumn name="Nama Peminjam" id="15"/>
    <tableColumn name="Tanggal Peminjaman" id="16"/>
    <tableColumn name="Nama yang mengembalikan" id="17"/>
    <tableColumn name="tangal pengembalian" id="18"/>
    <tableColumn name="Pengguna/ Pemakai Kendaraan" id="19"/>
    <tableColumn name="kondisi 2" id="20"/>
  </tableColumns>
  <tableStyleInfo name="20. Diskan-style" showColumnStripes="0" showFirstColumn="1" showLastColumn="1" showRowStripes="1"/>
</table>
</file>

<file path=xl/tables/table17.xml><?xml version="1.0" encoding="utf-8"?>
<table xmlns="http://schemas.openxmlformats.org/spreadsheetml/2006/main" headerRowCount="0" ref="A10:Q110" displayName="Table_17" name="Table_17" id="17">
  <tableColumns count="1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</tableColumns>
  <tableStyleInfo name="22. DTPH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8.xml><?xml version="1.0" encoding="utf-8"?>
<table xmlns="http://schemas.openxmlformats.org/spreadsheetml/2006/main" ref="A10:Q57" displayName="Table_18" name="Table_18" id="18">
  <tableColumns count="17">
    <tableColumn name="no" id="1"/>
    <tableColumn name="spesifikasi" id="2"/>
    <tableColumn name="spesifikasi lainnya" id="3"/>
    <tableColumn name="unit kerja" id="4"/>
    <tableColumn name="kondisi" id="5"/>
    <tableColumn name="harga" id="6"/>
    <tableColumn name="merk" id="7"/>
    <tableColumn name="tahun" id="8"/>
    <tableColumn name="no polisi" id="9"/>
    <tableColumn name="no rangka" id="10"/>
    <tableColumn name="no_mesin" id="11"/>
    <tableColumn name="no bpkb" id="12"/>
    <tableColumn name="keterangan" id="13"/>
    <tableColumn name="Pengguna" id="14"/>
    <tableColumn name="Kondisi" id="15"/>
    <tableColumn name="pemegang" id="16"/>
    <tableColumn name="ket1" id="17"/>
  </tableColumns>
  <tableStyleInfo name="23. Disbunnak-style" showColumnStripes="0" showFirstColumn="1" showLastColumn="1" showRowStripes="1"/>
</table>
</file>

<file path=xl/tables/table19.xml><?xml version="1.0" encoding="utf-8"?>
<table xmlns="http://schemas.openxmlformats.org/spreadsheetml/2006/main" ref="A10:O45" displayName="Table_19" name="Table_19" id="19">
  <tableColumns count="15">
    <tableColumn name="no" id="1"/>
    <tableColumn name="spesifikasi" id="2"/>
    <tableColumn name="spesifikasi_lainnya" id="3"/>
    <tableColumn name="unit_kerja" id="4"/>
    <tableColumn name="kondisi" id="5"/>
    <tableColumn name="harga" id="6"/>
    <tableColumn name="merk" id="7"/>
    <tableColumn name="tahun" id="8"/>
    <tableColumn name="no_polisi" id="9"/>
    <tableColumn name="no_rangka" id="10"/>
    <tableColumn name="no_mesin" id="11"/>
    <tableColumn name="no_bpkb" id="12"/>
    <tableColumn name="keterangan" id="13"/>
    <tableColumn name="Pengguna" id="14"/>
    <tableColumn name="Column1" id="15"/>
  </tableColumns>
  <tableStyleInfo name="24. Inspektorat-style" showColumnStripes="0" showFirstColumn="1" showLastColumn="1" showRowStripes="1"/>
</table>
</file>

<file path=xl/tables/table20.xml><?xml version="1.0" encoding="utf-8"?>
<table xmlns="http://schemas.openxmlformats.org/spreadsheetml/2006/main" ref="A10:N42" displayName="Table_20" name="Table_20" id="20">
  <tableColumns count="14">
    <tableColumn name="no" id="1"/>
    <tableColumn name="spesifikasi" id="2"/>
    <tableColumn name="spesifikasi_lainnya" id="3"/>
    <tableColumn name="unit_kerja" id="4"/>
    <tableColumn name="kondisi" id="5"/>
    <tableColumn name="harga" id="6"/>
    <tableColumn name="merk" id="7"/>
    <tableColumn name="tahun" id="8"/>
    <tableColumn name="no_polisi" id="9"/>
    <tableColumn name="no_rangka" id="10"/>
    <tableColumn name="no mesin" id="11"/>
    <tableColumn name="no bpkb" id="12"/>
    <tableColumn name="keterangan" id="13"/>
    <tableColumn name="Pengguna" id="14"/>
  </tableColumns>
  <tableStyleInfo name="25. Bapperida-style" showColumnStripes="0" showFirstColumn="1" showLastColumn="1" showRowStripes="1"/>
</table>
</file>

<file path=xl/tables/table21.xml><?xml version="1.0" encoding="utf-8"?>
<table xmlns="http://schemas.openxmlformats.org/spreadsheetml/2006/main" ref="A10:N44" displayName="Table_21" name="Table_21" id="21">
  <tableColumns count="14">
    <tableColumn name="no" id="1"/>
    <tableColumn name="spesifikasi" id="2"/>
    <tableColumn name="spesifikasi_lainnya" id="3"/>
    <tableColumn name="unit_kerja" id="4"/>
    <tableColumn name="kondisi" id="5"/>
    <tableColumn name="harga" id="6"/>
    <tableColumn name="merk" id="7"/>
    <tableColumn name="tahun" id="8"/>
    <tableColumn name="no_polisi" id="9"/>
    <tableColumn name="no_rangka" id="10"/>
    <tableColumn name="no mesin" id="11"/>
    <tableColumn name="no_bpkb" id="12"/>
    <tableColumn name="keterangan" id="13"/>
    <tableColumn name="Pengguna" id="14"/>
  </tableColumns>
  <tableStyleInfo name="26. BPKAD-style" showColumnStripes="0" showFirstColumn="1" showLastColumn="1" showRowStripes="1"/>
</table>
</file>

<file path=xl/tables/table22.xml><?xml version="1.0" encoding="utf-8"?>
<table xmlns="http://schemas.openxmlformats.org/spreadsheetml/2006/main" ref="A10:N41" displayName="Table_22" name="Table_22" id="22">
  <tableColumns count="14">
    <tableColumn name="no" id="1"/>
    <tableColumn name="spesifikasi" id="2"/>
    <tableColumn name="spesifikasi_lainnya" id="3"/>
    <tableColumn name="unit_kerja" id="4"/>
    <tableColumn name="kondisi" id="5"/>
    <tableColumn name="harga" id="6"/>
    <tableColumn name="merk" id="7"/>
    <tableColumn name="tahun" id="8"/>
    <tableColumn name="no_polisi" id="9"/>
    <tableColumn name="no_rangka" id="10"/>
    <tableColumn name="no mesin" id="11"/>
    <tableColumn name="no_bpkb" id="12"/>
    <tableColumn name="keterangan" id="13"/>
    <tableColumn name="Pengguna" id="14"/>
  </tableColumns>
  <tableStyleInfo name="27. BPPRD-style" showColumnStripes="0" showFirstColumn="1" showLastColumn="1" showRowStripes="1"/>
</table>
</file>

<file path=xl/tables/table23.xml><?xml version="1.0" encoding="utf-8"?>
<table xmlns="http://schemas.openxmlformats.org/spreadsheetml/2006/main" headerRowCount="0" ref="A10:P181" displayName="Table_23" name="Table_23" id="23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29.SETDA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4.xml><?xml version="1.0" encoding="utf-8"?>
<table xmlns="http://schemas.openxmlformats.org/spreadsheetml/2006/main" headerRowCount="0" ref="A196:P196" displayName="Table_24" name="Table_24" id="24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29.SETDA-style 2" showColumnStripes="0" showFirstColumn="1" showLastColumn="1" showRowStripes="1"/>
</table>
</file>

<file path=xl/tables/table25.xml><?xml version="1.0" encoding="utf-8"?>
<table xmlns="http://schemas.openxmlformats.org/spreadsheetml/2006/main" ref="A10:O50" displayName="Table_25" name="Table_25" id="25">
  <tableColumns count="15">
    <tableColumn name="no" id="1"/>
    <tableColumn name="spesifikasi" id="2"/>
    <tableColumn name="spesifikasi_lainnya" id="3"/>
    <tableColumn name="unit_kerja" id="4"/>
    <tableColumn name="kondisi" id="5"/>
    <tableColumn name="harga" id="6"/>
    <tableColumn name="merk" id="7"/>
    <tableColumn name="tahun" id="8"/>
    <tableColumn name="no_polisi" id="9"/>
    <tableColumn name="no_rangka" id="10"/>
    <tableColumn name="no mesin" id="11"/>
    <tableColumn name="no_bpkb" id="12"/>
    <tableColumn name="keterangan" id="13"/>
    <tableColumn name="jabatan" id="14"/>
    <tableColumn name="Pengguna" id="15"/>
  </tableColumns>
  <tableStyleInfo name="30. DPRD-style" showColumnStripes="0" showFirstColumn="1" showLastColumn="1" showRowStripes="1"/>
</table>
</file>

<file path=xl/tables/table26.xml><?xml version="1.0" encoding="utf-8"?>
<table xmlns="http://schemas.openxmlformats.org/spreadsheetml/2006/main" ref="A10:M22" displayName="Table_26" name="Table_26" id="26">
  <tableColumns count="13">
    <tableColumn name="no" id="1"/>
    <tableColumn name="spesifikasi" id="2"/>
    <tableColumn name="unit_kerja" id="3"/>
    <tableColumn name="kondisi" id="4"/>
    <tableColumn name="harga" id="5"/>
    <tableColumn name="merk" id="6"/>
    <tableColumn name="tahun" id="7"/>
    <tableColumn name="no_polisi" id="8"/>
    <tableColumn name="no_rangka" id="9"/>
    <tableColumn name="no_mesin" id="10"/>
    <tableColumn name="no_bpkb" id="11"/>
    <tableColumn name="keterangan" id="12"/>
    <tableColumn name="Pengguna" id="13"/>
  </tableColumns>
  <tableStyleInfo name="31. Kesbang Pol-style" showColumnStripes="0" showFirstColumn="1" showLastColumn="1" showRowStripes="1"/>
</table>
</file>

<file path=xl/tables/table27.xml><?xml version="1.0" encoding="utf-8"?>
<table xmlns="http://schemas.openxmlformats.org/spreadsheetml/2006/main" ref="A7:N29" displayName="Table_27" name="Table_27" id="27">
  <tableColumns count="14">
    <tableColumn name="no" id="1"/>
    <tableColumn name="spesifikasi" id="2"/>
    <tableColumn name="spesifikasi_lainnya" id="3"/>
    <tableColumn name="unit_kerja" id="4"/>
    <tableColumn name="kondisi" id="5"/>
    <tableColumn name="harga" id="6"/>
    <tableColumn name="merk" id="7"/>
    <tableColumn name="tahun" id="8"/>
    <tableColumn name="no_polisi" id="9"/>
    <tableColumn name="no_rangka" id="10"/>
    <tableColumn name="no_mesin" id="11"/>
    <tableColumn name="no_bpkb" id="12"/>
    <tableColumn name="Pengguna" id="13"/>
    <tableColumn name="keterangan" id="14"/>
  </tableColumns>
  <tableStyleInfo name="33. Kec. Maro Sebo-style" showColumnStripes="0" showFirstColumn="1" showLastColumn="1" showRowStripes="1"/>
</table>
</file>

<file path=xl/tables/table28.xml><?xml version="1.0" encoding="utf-8"?>
<table xmlns="http://schemas.openxmlformats.org/spreadsheetml/2006/main" ref="A9:N79" displayName="Table_28" name="Table_28" id="28">
  <tableColumns count="14">
    <tableColumn name="no" id="1"/>
    <tableColumn name="spesifikasi" id="2"/>
    <tableColumn name="spesifikasi_lainnya" id="3"/>
    <tableColumn name="unit_kerja" id="4"/>
    <tableColumn name="kondisi" id="5"/>
    <tableColumn name="harga" id="6"/>
    <tableColumn name="merk" id="7"/>
    <tableColumn name="tahun" id="8"/>
    <tableColumn name="no_polisi" id="9"/>
    <tableColumn name="no_rangka" id="10"/>
    <tableColumn name="No.Mesin" id="11"/>
    <tableColumn name="no_bpkb" id="12"/>
    <tableColumn name="keterangan" id="13"/>
    <tableColumn name="Pengguna" id="14"/>
  </tableColumns>
  <tableStyleInfo name="34. Kec. Jaluko-style" showColumnStripes="0" showFirstColumn="1" showLastColumn="1" showRowStripes="1"/>
</table>
</file>

<file path=xl/tables/table29.xml><?xml version="1.0" encoding="utf-8"?>
<table xmlns="http://schemas.openxmlformats.org/spreadsheetml/2006/main" ref="A10:N34" displayName="Table_29" name="Table_29" id="29">
  <tableColumns count="14">
    <tableColumn name="no" id="1"/>
    <tableColumn name="spesifikasi" id="2"/>
    <tableColumn name="spesifikasi_lainnya" id="3"/>
    <tableColumn name="unit_kerja" id="4"/>
    <tableColumn name="kondisi" id="5"/>
    <tableColumn name="harga" id="6"/>
    <tableColumn name="merk" id="7"/>
    <tableColumn name="tahun" id="8"/>
    <tableColumn name="no_polisi" id="9"/>
    <tableColumn name="no_rangka" id="10"/>
    <tableColumn name="no_mesin" id="11"/>
    <tableColumn name="no_bpkb" id="12"/>
    <tableColumn name="keterangan" id="13"/>
    <tableColumn name="Pengguna" id="14"/>
  </tableColumns>
  <tableStyleInfo name="35. Kec. Mestong-style" showColumnStripes="0" showFirstColumn="1" showLastColumn="1" showRowStripes="1"/>
</table>
</file>

<file path=xl/tables/table30.xml><?xml version="1.0" encoding="utf-8"?>
<table xmlns="http://schemas.openxmlformats.org/spreadsheetml/2006/main" headerRowCount="0" ref="A8:Q25" displayName="Table_30" name="Table_30" id="30">
  <tableColumns count="1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</tableColumns>
  <tableStyleInfo name="36. Kec. Kumpeh Ulu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1.xml><?xml version="1.0" encoding="utf-8"?>
<table xmlns="http://schemas.openxmlformats.org/spreadsheetml/2006/main" headerRowCount="0" ref="A10:O28" displayName="Table_31" name="Table_31" id="31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37. Kec. Kumpeh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2.xml><?xml version="1.0" encoding="utf-8"?>
<table xmlns="http://schemas.openxmlformats.org/spreadsheetml/2006/main" ref="A10:N31" displayName="Table_32" name="Table_32" id="32">
  <tableColumns count="14">
    <tableColumn name="no" id="1"/>
    <tableColumn name="spesifikasi" id="2"/>
    <tableColumn name="spesifikasi_lainnya" id="3"/>
    <tableColumn name="unit_kerja" id="4"/>
    <tableColumn name="kondisi" id="5"/>
    <tableColumn name="harga" id="6"/>
    <tableColumn name="merk" id="7"/>
    <tableColumn name="tahun" id="8"/>
    <tableColumn name="no_polisi" id="9"/>
    <tableColumn name="no_rangka" id="10"/>
    <tableColumn name="No.Mesin" id="11"/>
    <tableColumn name="no_bpkb" id="12"/>
    <tableColumn name="keterangan" id="13"/>
    <tableColumn name="Pengguna" id="14"/>
  </tableColumns>
  <tableStyleInfo name="38. Kec. Sungai Bahar-style" showColumnStripes="0" showFirstColumn="1" showLastColumn="1" showRowStripes="1"/>
</table>
</file>

<file path=xl/tables/table33.xml><?xml version="1.0" encoding="utf-8"?>
<table xmlns="http://schemas.openxmlformats.org/spreadsheetml/2006/main" headerRowCount="0" ref="A10:O27" displayName="Table_33" name="Table_33" id="33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39. Kec. Sungai Gelam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4.xml><?xml version="1.0" encoding="utf-8"?>
<table xmlns="http://schemas.openxmlformats.org/spreadsheetml/2006/main" headerRowCount="0" ref="A10:O30" displayName="Table_34" name="Table_34" id="34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40. Kec. Taman Rajo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5.xml><?xml version="1.0" encoding="utf-8"?>
<table xmlns="http://schemas.openxmlformats.org/spreadsheetml/2006/main" headerRowCount="0" ref="A10:O27" displayName="Table_35" name="Table_35" id="35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41. Kec. Bahar Utara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6.xml><?xml version="1.0" encoding="utf-8"?>
<table xmlns="http://schemas.openxmlformats.org/spreadsheetml/2006/main" ref="A10:N26" displayName="Table_36" name="Table_36" id="36">
  <tableColumns count="14">
    <tableColumn name="no" id="1"/>
    <tableColumn name="spesifikasi" id="2"/>
    <tableColumn name="spesifikasi_lainnya" id="3"/>
    <tableColumn name="unit_kerja" id="4"/>
    <tableColumn name="kondisi" id="5"/>
    <tableColumn name="harga" id="6"/>
    <tableColumn name="tahun" id="7"/>
    <tableColumn name="no_polisi" id="8"/>
    <tableColumn name="no_rangka" id="9"/>
    <tableColumn name="no_mesin" id="10"/>
    <tableColumn name="no_bpkb" id="11"/>
    <tableColumn name="keterangan" id="12"/>
    <tableColumn name="Pengguna" id="13"/>
    <tableColumn name="Column1" id="14"/>
  </tableColumns>
  <tableStyleInfo name="42. Kec. Bahar Selatan-style" showColumnStripes="0" showFirstColumn="1" showLastColumn="1" showRowStripes="1"/>
</table>
</file>

<file path=xl/tables/table37.xml><?xml version="1.0" encoding="utf-8"?>
<table xmlns="http://schemas.openxmlformats.org/spreadsheetml/2006/main" ref="A10:L13" displayName="Table_37" name="Table_37" id="37">
  <tableColumns count="12">
    <tableColumn name="no" id="1"/>
    <tableColumn name="spesifikasi" id="2"/>
    <tableColumn name="spesifikasi_lainnya" id="3"/>
    <tableColumn name="unit_kerja" id="4"/>
    <tableColumn name="kondisi" id="5"/>
    <tableColumn name="merk" id="6"/>
    <tableColumn name="tahun" id="7"/>
    <tableColumn name="no_polisi" id="8"/>
    <tableColumn name="no_mesin" id="9"/>
    <tableColumn name="no_rangka" id="10"/>
    <tableColumn name="no_bpkb" id="11"/>
    <tableColumn name="Pengguna" id="12"/>
  </tableColumns>
  <tableStyleInfo name="Stlh Diperbaharui (2)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pkm.si/" TargetMode="External"/><Relationship Id="rId2" Type="http://schemas.openxmlformats.org/officeDocument/2006/relationships/drawing" Target="../drawings/drawing2.xml"/><Relationship Id="rId4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4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5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6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7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8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9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10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3" Type="http://schemas.openxmlformats.org/officeDocument/2006/relationships/table" Target="../tables/table11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3" Type="http://schemas.openxmlformats.org/officeDocument/2006/relationships/table" Target="../tables/table12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Relationship Id="rId3" Type="http://schemas.openxmlformats.org/officeDocument/2006/relationships/table" Target="../tables/table13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Relationship Id="rId3" Type="http://schemas.openxmlformats.org/officeDocument/2006/relationships/table" Target="../tables/table14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Relationship Id="rId3" Type="http://schemas.openxmlformats.org/officeDocument/2006/relationships/table" Target="../tables/table15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Relationship Id="rId3" Type="http://schemas.openxmlformats.org/officeDocument/2006/relationships/table" Target="../tables/table16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hyperlink" Target="http://a.md/" TargetMode="External"/><Relationship Id="rId2" Type="http://schemas.openxmlformats.org/officeDocument/2006/relationships/hyperlink" Target="http://a.md/" TargetMode="External"/><Relationship Id="rId3" Type="http://schemas.openxmlformats.org/officeDocument/2006/relationships/hyperlink" Target="http://a.md/" TargetMode="External"/><Relationship Id="rId4" Type="http://schemas.openxmlformats.org/officeDocument/2006/relationships/drawing" Target="../drawings/drawing23.xml"/><Relationship Id="rId6" Type="http://schemas.openxmlformats.org/officeDocument/2006/relationships/table" Target="../tables/table17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Relationship Id="rId3" Type="http://schemas.openxmlformats.org/officeDocument/2006/relationships/table" Target="../tables/table18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Relationship Id="rId3" Type="http://schemas.openxmlformats.org/officeDocument/2006/relationships/table" Target="../tables/table19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6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20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Relationship Id="rId3" Type="http://schemas.openxmlformats.org/officeDocument/2006/relationships/table" Target="../tables/table21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Relationship Id="rId3" Type="http://schemas.openxmlformats.org/officeDocument/2006/relationships/table" Target="../tables/table22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Relationship Id="rId4" Type="http://schemas.openxmlformats.org/officeDocument/2006/relationships/table" Target="../tables/table23.xml"/><Relationship Id="rId5" Type="http://schemas.openxmlformats.org/officeDocument/2006/relationships/table" Target="../tables/table24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Relationship Id="rId3" Type="http://schemas.openxmlformats.org/officeDocument/2006/relationships/table" Target="../tables/table25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Relationship Id="rId3" Type="http://schemas.openxmlformats.org/officeDocument/2006/relationships/table" Target="../tables/table26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Relationship Id="rId3" Type="http://schemas.openxmlformats.org/officeDocument/2006/relationships/table" Target="../tables/table27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Relationship Id="rId3" Type="http://schemas.openxmlformats.org/officeDocument/2006/relationships/table" Target="../tables/table28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Relationship Id="rId3" Type="http://schemas.openxmlformats.org/officeDocument/2006/relationships/table" Target="../tables/table29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Relationship Id="rId3" Type="http://schemas.openxmlformats.org/officeDocument/2006/relationships/table" Target="../tables/table30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Relationship Id="rId3" Type="http://schemas.openxmlformats.org/officeDocument/2006/relationships/table" Target="../tables/table31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Relationship Id="rId3" Type="http://schemas.openxmlformats.org/officeDocument/2006/relationships/table" Target="../tables/table32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Relationship Id="rId3" Type="http://schemas.openxmlformats.org/officeDocument/2006/relationships/table" Target="../tables/table33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Relationship Id="rId3" Type="http://schemas.openxmlformats.org/officeDocument/2006/relationships/table" Target="../tables/table34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Relationship Id="rId3" Type="http://schemas.openxmlformats.org/officeDocument/2006/relationships/table" Target="../tables/table35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Relationship Id="rId3" Type="http://schemas.openxmlformats.org/officeDocument/2006/relationships/table" Target="../tables/table36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hyperlink" Target="http://ex.bh/" TargetMode="External"/><Relationship Id="rId2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Relationship Id="rId3" Type="http://schemas.openxmlformats.org/officeDocument/2006/relationships/table" Target="../tables/table3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workbookViewId="0"/>
  </sheetViews>
  <sheetFormatPr customHeight="1" defaultColWidth="14.43" defaultRowHeight="15.0"/>
  <cols>
    <col customWidth="1" min="1" max="1" width="4.57"/>
    <col customWidth="1" min="2" max="2" width="33.71"/>
    <col customWidth="1" min="3" max="3" width="18.0"/>
    <col customWidth="1" min="4" max="4" width="29.71"/>
    <col customWidth="1" min="5" max="5" width="11.43"/>
    <col customWidth="1" min="6" max="6" width="17.43"/>
    <col customWidth="1" min="7" max="7" width="26.57"/>
    <col customWidth="1" min="8" max="8" width="8.71"/>
    <col customWidth="1" min="9" max="9" width="12.43"/>
    <col customWidth="1" min="10" max="10" width="21.0"/>
    <col customWidth="1" min="11" max="12" width="18.43"/>
    <col customWidth="1" min="13" max="13" width="19.71"/>
    <col customWidth="1" min="14" max="14" width="69.29"/>
    <col customWidth="1" min="15" max="26" width="8.71"/>
  </cols>
  <sheetData>
    <row r="1" ht="14.25" customHeight="1"/>
    <row r="2" ht="14.25" customHeight="1">
      <c r="A2" s="1" t="s">
        <v>0</v>
      </c>
    </row>
    <row r="3" ht="14.25" customHeight="1">
      <c r="A3" s="1" t="s">
        <v>1</v>
      </c>
    </row>
    <row r="4" ht="14.25" customHeight="1"/>
    <row r="5" ht="14.25" customHeight="1"/>
    <row r="6" ht="14.25" customHeight="1">
      <c r="A6" s="2" t="s">
        <v>2</v>
      </c>
      <c r="C6" s="2" t="s">
        <v>3</v>
      </c>
      <c r="E6" s="3"/>
    </row>
    <row r="7" ht="14.25" customHeight="1">
      <c r="A7" s="2" t="s">
        <v>4</v>
      </c>
      <c r="C7" s="2" t="s">
        <v>5</v>
      </c>
    </row>
    <row r="8" ht="14.25" customHeight="1">
      <c r="A8" s="2" t="s">
        <v>6</v>
      </c>
      <c r="C8" s="2" t="s">
        <v>7</v>
      </c>
    </row>
    <row r="9" ht="14.25" customHeight="1">
      <c r="A9" s="4" t="s">
        <v>8</v>
      </c>
      <c r="B9" s="5" t="s">
        <v>9</v>
      </c>
      <c r="C9" s="5" t="s">
        <v>10</v>
      </c>
      <c r="D9" s="5" t="s">
        <v>11</v>
      </c>
      <c r="E9" s="5" t="s">
        <v>12</v>
      </c>
      <c r="F9" s="5" t="s">
        <v>13</v>
      </c>
      <c r="G9" s="5" t="s">
        <v>14</v>
      </c>
      <c r="H9" s="5" t="s">
        <v>15</v>
      </c>
      <c r="I9" s="5" t="s">
        <v>16</v>
      </c>
      <c r="J9" s="5" t="s">
        <v>17</v>
      </c>
      <c r="K9" s="5" t="s">
        <v>18</v>
      </c>
      <c r="L9" s="6" t="s">
        <v>19</v>
      </c>
      <c r="M9" s="5" t="s">
        <v>20</v>
      </c>
      <c r="N9" s="7" t="s">
        <v>21</v>
      </c>
    </row>
    <row r="10" ht="14.25" customHeight="1">
      <c r="A10" s="8" t="s">
        <v>22</v>
      </c>
      <c r="B10" s="9" t="s">
        <v>23</v>
      </c>
      <c r="C10" s="9"/>
      <c r="D10" s="9"/>
      <c r="E10" s="9"/>
      <c r="F10" s="10">
        <f>SUBTOTAL(9,F11:F18)</f>
        <v>1516300000</v>
      </c>
      <c r="G10" s="9"/>
      <c r="H10" s="9"/>
      <c r="I10" s="9"/>
      <c r="J10" s="9"/>
      <c r="K10" s="9"/>
      <c r="L10" s="9"/>
      <c r="M10" s="9"/>
      <c r="N10" s="11"/>
    </row>
    <row r="11" ht="14.25" customHeight="1">
      <c r="A11" s="12">
        <v>1.0</v>
      </c>
      <c r="B11" s="13" t="s">
        <v>24</v>
      </c>
      <c r="C11" s="13" t="s">
        <v>25</v>
      </c>
      <c r="D11" s="13" t="s">
        <v>26</v>
      </c>
      <c r="E11" s="13" t="s">
        <v>27</v>
      </c>
      <c r="F11" s="14">
        <v>7.0E7</v>
      </c>
      <c r="G11" s="15" t="s">
        <v>28</v>
      </c>
      <c r="H11" s="13" t="s">
        <v>29</v>
      </c>
      <c r="I11" s="16" t="s">
        <v>30</v>
      </c>
      <c r="J11" s="13" t="s">
        <v>31</v>
      </c>
      <c r="K11" s="13" t="s">
        <v>32</v>
      </c>
      <c r="L11" s="17" t="s">
        <v>33</v>
      </c>
      <c r="M11" s="13" t="s">
        <v>34</v>
      </c>
      <c r="N11" s="18" t="s">
        <v>35</v>
      </c>
    </row>
    <row r="12" ht="14.25" customHeight="1">
      <c r="A12" s="19">
        <v>2.0</v>
      </c>
      <c r="B12" s="9" t="s">
        <v>24</v>
      </c>
      <c r="C12" s="9" t="s">
        <v>25</v>
      </c>
      <c r="D12" s="9" t="s">
        <v>26</v>
      </c>
      <c r="E12" s="9" t="s">
        <v>27</v>
      </c>
      <c r="F12" s="10">
        <v>1.262E8</v>
      </c>
      <c r="G12" s="15" t="s">
        <v>36</v>
      </c>
      <c r="H12" s="9" t="s">
        <v>37</v>
      </c>
      <c r="I12" s="9" t="s">
        <v>38</v>
      </c>
      <c r="J12" s="9" t="s">
        <v>39</v>
      </c>
      <c r="K12" s="9" t="s">
        <v>40</v>
      </c>
      <c r="L12" s="17" t="s">
        <v>41</v>
      </c>
      <c r="M12" s="9"/>
      <c r="N12" s="20"/>
    </row>
    <row r="13" ht="14.25" customHeight="1">
      <c r="A13" s="12">
        <v>3.0</v>
      </c>
      <c r="B13" s="13" t="s">
        <v>24</v>
      </c>
      <c r="C13" s="13" t="s">
        <v>25</v>
      </c>
      <c r="D13" s="13" t="s">
        <v>26</v>
      </c>
      <c r="E13" s="13" t="s">
        <v>42</v>
      </c>
      <c r="F13" s="14">
        <v>2.0625E8</v>
      </c>
      <c r="G13" s="15" t="s">
        <v>43</v>
      </c>
      <c r="H13" s="13" t="s">
        <v>44</v>
      </c>
      <c r="I13" s="13" t="s">
        <v>45</v>
      </c>
      <c r="J13" s="16" t="s">
        <v>46</v>
      </c>
      <c r="K13" s="16" t="s">
        <v>47</v>
      </c>
      <c r="L13" s="17" t="s">
        <v>48</v>
      </c>
      <c r="M13" s="13"/>
      <c r="N13" s="18" t="s">
        <v>49</v>
      </c>
    </row>
    <row r="14" ht="14.25" customHeight="1">
      <c r="A14" s="19">
        <v>4.0</v>
      </c>
      <c r="B14" s="9" t="s">
        <v>50</v>
      </c>
      <c r="C14" s="9" t="s">
        <v>25</v>
      </c>
      <c r="D14" s="9" t="s">
        <v>26</v>
      </c>
      <c r="E14" s="9" t="s">
        <v>42</v>
      </c>
      <c r="F14" s="10">
        <v>1.6E8</v>
      </c>
      <c r="G14" s="15" t="s">
        <v>51</v>
      </c>
      <c r="H14" s="9" t="s">
        <v>44</v>
      </c>
      <c r="I14" s="9" t="s">
        <v>52</v>
      </c>
      <c r="J14" s="21" t="s">
        <v>53</v>
      </c>
      <c r="K14" s="21" t="s">
        <v>54</v>
      </c>
      <c r="L14" s="17" t="s">
        <v>55</v>
      </c>
      <c r="M14" s="9"/>
      <c r="N14" s="20" t="s">
        <v>56</v>
      </c>
    </row>
    <row r="15" ht="14.25" customHeight="1">
      <c r="A15" s="12">
        <v>5.0</v>
      </c>
      <c r="B15" s="13" t="s">
        <v>24</v>
      </c>
      <c r="C15" s="13" t="s">
        <v>25</v>
      </c>
      <c r="D15" s="13" t="s">
        <v>26</v>
      </c>
      <c r="E15" s="13" t="s">
        <v>42</v>
      </c>
      <c r="F15" s="14">
        <v>2.1495E8</v>
      </c>
      <c r="G15" s="13" t="s">
        <v>57</v>
      </c>
      <c r="H15" s="13" t="s">
        <v>58</v>
      </c>
      <c r="I15" s="16" t="s">
        <v>59</v>
      </c>
      <c r="J15" s="13" t="s">
        <v>60</v>
      </c>
      <c r="K15" s="13" t="s">
        <v>61</v>
      </c>
      <c r="L15" s="17" t="s">
        <v>62</v>
      </c>
      <c r="M15" s="13" t="s">
        <v>63</v>
      </c>
      <c r="N15" s="18" t="s">
        <v>64</v>
      </c>
    </row>
    <row r="16" ht="14.25" customHeight="1">
      <c r="A16" s="19">
        <v>6.0</v>
      </c>
      <c r="B16" s="9" t="s">
        <v>24</v>
      </c>
      <c r="C16" s="9" t="s">
        <v>25</v>
      </c>
      <c r="D16" s="9" t="s">
        <v>26</v>
      </c>
      <c r="E16" s="9" t="s">
        <v>27</v>
      </c>
      <c r="F16" s="10">
        <v>2.1495E8</v>
      </c>
      <c r="G16" s="9" t="s">
        <v>57</v>
      </c>
      <c r="H16" s="9" t="s">
        <v>58</v>
      </c>
      <c r="I16" s="21" t="s">
        <v>65</v>
      </c>
      <c r="J16" s="9" t="s">
        <v>66</v>
      </c>
      <c r="K16" s="9" t="s">
        <v>67</v>
      </c>
      <c r="L16" s="17" t="s">
        <v>68</v>
      </c>
      <c r="M16" s="9" t="s">
        <v>69</v>
      </c>
      <c r="N16" s="20"/>
    </row>
    <row r="17" ht="14.25" customHeight="1">
      <c r="A17" s="12">
        <v>7.0</v>
      </c>
      <c r="B17" s="13" t="s">
        <v>24</v>
      </c>
      <c r="C17" s="13" t="s">
        <v>25</v>
      </c>
      <c r="D17" s="13" t="s">
        <v>26</v>
      </c>
      <c r="E17" s="13" t="s">
        <v>70</v>
      </c>
      <c r="F17" s="14">
        <v>2.3395E8</v>
      </c>
      <c r="G17" s="13" t="s">
        <v>57</v>
      </c>
      <c r="H17" s="13" t="s">
        <v>71</v>
      </c>
      <c r="I17" s="13" t="s">
        <v>72</v>
      </c>
      <c r="J17" s="13" t="s">
        <v>73</v>
      </c>
      <c r="K17" s="13" t="s">
        <v>74</v>
      </c>
      <c r="L17" s="17" t="s">
        <v>75</v>
      </c>
      <c r="M17" s="13"/>
      <c r="N17" s="18" t="s">
        <v>76</v>
      </c>
    </row>
    <row r="18" ht="14.25" customHeight="1">
      <c r="A18" s="19">
        <v>8.0</v>
      </c>
      <c r="B18" s="9" t="s">
        <v>24</v>
      </c>
      <c r="C18" s="9"/>
      <c r="D18" s="9" t="s">
        <v>26</v>
      </c>
      <c r="E18" s="9" t="s">
        <v>42</v>
      </c>
      <c r="F18" s="10">
        <v>2.9E8</v>
      </c>
      <c r="G18" s="9" t="s">
        <v>77</v>
      </c>
      <c r="H18" s="9" t="s">
        <v>78</v>
      </c>
      <c r="I18" s="9" t="s">
        <v>79</v>
      </c>
      <c r="J18" s="9"/>
      <c r="K18" s="9"/>
      <c r="L18" s="9"/>
      <c r="M18" s="9"/>
      <c r="N18" s="20" t="s">
        <v>80</v>
      </c>
    </row>
    <row r="19" ht="14.25" customHeight="1">
      <c r="A19" s="22" t="s">
        <v>22</v>
      </c>
      <c r="B19" s="13" t="s">
        <v>81</v>
      </c>
      <c r="C19" s="13"/>
      <c r="D19" s="13"/>
      <c r="E19" s="13"/>
      <c r="F19" s="14">
        <f>SUBTOTAL(9,F20:F21)</f>
        <v>652911000</v>
      </c>
      <c r="G19" s="13"/>
      <c r="H19" s="13"/>
      <c r="I19" s="13"/>
      <c r="J19" s="13"/>
      <c r="K19" s="13"/>
      <c r="L19" s="13"/>
      <c r="M19" s="13"/>
      <c r="N19" s="23"/>
    </row>
    <row r="20" ht="14.25" customHeight="1">
      <c r="A20" s="19">
        <v>9.0</v>
      </c>
      <c r="B20" s="9" t="s">
        <v>82</v>
      </c>
      <c r="C20" s="9" t="s">
        <v>25</v>
      </c>
      <c r="D20" s="9" t="s">
        <v>26</v>
      </c>
      <c r="E20" s="9" t="s">
        <v>42</v>
      </c>
      <c r="F20" s="10">
        <v>2.998E8</v>
      </c>
      <c r="G20" s="24" t="s">
        <v>83</v>
      </c>
      <c r="H20" s="9" t="s">
        <v>84</v>
      </c>
      <c r="I20" s="25" t="s">
        <v>85</v>
      </c>
      <c r="J20" s="9" t="s">
        <v>86</v>
      </c>
      <c r="K20" s="9" t="s">
        <v>87</v>
      </c>
      <c r="L20" s="17" t="s">
        <v>88</v>
      </c>
      <c r="M20" s="9" t="s">
        <v>89</v>
      </c>
      <c r="N20" s="20" t="s">
        <v>90</v>
      </c>
    </row>
    <row r="21" ht="14.25" customHeight="1">
      <c r="A21" s="12">
        <v>10.0</v>
      </c>
      <c r="B21" s="13" t="s">
        <v>82</v>
      </c>
      <c r="C21" s="13" t="s">
        <v>25</v>
      </c>
      <c r="D21" s="13" t="s">
        <v>26</v>
      </c>
      <c r="E21" s="13" t="s">
        <v>42</v>
      </c>
      <c r="F21" s="14">
        <v>3.53111E8</v>
      </c>
      <c r="G21" s="13" t="s">
        <v>91</v>
      </c>
      <c r="H21" s="13" t="s">
        <v>92</v>
      </c>
      <c r="I21" s="16" t="s">
        <v>93</v>
      </c>
      <c r="J21" s="13" t="s">
        <v>94</v>
      </c>
      <c r="K21" s="13" t="s">
        <v>95</v>
      </c>
      <c r="L21" s="17" t="s">
        <v>96</v>
      </c>
      <c r="M21" s="13" t="s">
        <v>97</v>
      </c>
      <c r="N21" s="18" t="s">
        <v>98</v>
      </c>
    </row>
    <row r="22" ht="14.25" customHeight="1">
      <c r="A22" s="8" t="s">
        <v>22</v>
      </c>
      <c r="B22" s="9" t="s">
        <v>99</v>
      </c>
      <c r="C22" s="9"/>
      <c r="D22" s="9"/>
      <c r="E22" s="9"/>
      <c r="F22" s="10">
        <f>SUBTOTAL(9,F23:F176)</f>
        <v>2464728000</v>
      </c>
      <c r="G22" s="9"/>
      <c r="H22" s="9"/>
      <c r="I22" s="9"/>
      <c r="J22" s="9"/>
      <c r="K22" s="9"/>
      <c r="L22" s="9"/>
      <c r="M22" s="9"/>
      <c r="N22" s="11"/>
    </row>
    <row r="23" ht="14.25" customHeight="1">
      <c r="A23" s="12">
        <v>1.0</v>
      </c>
      <c r="B23" s="13" t="s">
        <v>100</v>
      </c>
      <c r="C23" s="13"/>
      <c r="D23" s="13" t="s">
        <v>26</v>
      </c>
      <c r="E23" s="13" t="s">
        <v>70</v>
      </c>
      <c r="F23" s="14">
        <v>1500000.0</v>
      </c>
      <c r="G23" s="13" t="s">
        <v>101</v>
      </c>
      <c r="H23" s="13" t="s">
        <v>102</v>
      </c>
      <c r="I23" s="13" t="s">
        <v>103</v>
      </c>
      <c r="J23" s="13" t="s">
        <v>104</v>
      </c>
      <c r="K23" s="13" t="s">
        <v>105</v>
      </c>
      <c r="L23" s="13"/>
      <c r="M23" s="13"/>
      <c r="N23" s="18"/>
    </row>
    <row r="24" ht="14.25" customHeight="1">
      <c r="A24" s="19">
        <v>2.0</v>
      </c>
      <c r="B24" s="9" t="s">
        <v>100</v>
      </c>
      <c r="C24" s="9"/>
      <c r="D24" s="9" t="s">
        <v>26</v>
      </c>
      <c r="E24" s="9" t="s">
        <v>70</v>
      </c>
      <c r="F24" s="10">
        <v>1500000.0</v>
      </c>
      <c r="G24" s="9" t="s">
        <v>101</v>
      </c>
      <c r="H24" s="9" t="s">
        <v>102</v>
      </c>
      <c r="I24" s="9" t="s">
        <v>106</v>
      </c>
      <c r="J24" s="9" t="s">
        <v>107</v>
      </c>
      <c r="K24" s="9" t="s">
        <v>108</v>
      </c>
      <c r="L24" s="9"/>
      <c r="M24" s="9"/>
      <c r="N24" s="20"/>
    </row>
    <row r="25" ht="14.25" customHeight="1">
      <c r="A25" s="12">
        <v>3.0</v>
      </c>
      <c r="B25" s="13" t="s">
        <v>100</v>
      </c>
      <c r="C25" s="13"/>
      <c r="D25" s="13" t="s">
        <v>26</v>
      </c>
      <c r="E25" s="13" t="s">
        <v>70</v>
      </c>
      <c r="F25" s="14">
        <v>1500000.0</v>
      </c>
      <c r="G25" s="13" t="s">
        <v>109</v>
      </c>
      <c r="H25" s="13" t="s">
        <v>110</v>
      </c>
      <c r="I25" s="13" t="s">
        <v>111</v>
      </c>
      <c r="J25" s="13" t="s">
        <v>112</v>
      </c>
      <c r="K25" s="13" t="s">
        <v>113</v>
      </c>
      <c r="L25" s="13"/>
      <c r="M25" s="13"/>
      <c r="N25" s="18"/>
    </row>
    <row r="26" ht="14.25" customHeight="1">
      <c r="A26" s="19">
        <v>4.0</v>
      </c>
      <c r="B26" s="9" t="s">
        <v>100</v>
      </c>
      <c r="C26" s="9"/>
      <c r="D26" s="9" t="s">
        <v>26</v>
      </c>
      <c r="E26" s="9" t="s">
        <v>70</v>
      </c>
      <c r="F26" s="10">
        <v>1500000.0</v>
      </c>
      <c r="G26" s="9" t="s">
        <v>101</v>
      </c>
      <c r="H26" s="9" t="s">
        <v>110</v>
      </c>
      <c r="I26" s="9" t="s">
        <v>114</v>
      </c>
      <c r="J26" s="9" t="s">
        <v>115</v>
      </c>
      <c r="K26" s="9" t="s">
        <v>116</v>
      </c>
      <c r="L26" s="9"/>
      <c r="M26" s="9"/>
      <c r="N26" s="20"/>
    </row>
    <row r="27" ht="14.25" customHeight="1">
      <c r="A27" s="12">
        <v>5.0</v>
      </c>
      <c r="B27" s="13" t="s">
        <v>100</v>
      </c>
      <c r="C27" s="13"/>
      <c r="D27" s="13" t="s">
        <v>26</v>
      </c>
      <c r="E27" s="13" t="s">
        <v>70</v>
      </c>
      <c r="F27" s="14">
        <v>1500000.0</v>
      </c>
      <c r="G27" s="13" t="s">
        <v>109</v>
      </c>
      <c r="H27" s="13" t="s">
        <v>110</v>
      </c>
      <c r="I27" s="13" t="s">
        <v>117</v>
      </c>
      <c r="J27" s="13" t="s">
        <v>118</v>
      </c>
      <c r="K27" s="13" t="s">
        <v>119</v>
      </c>
      <c r="L27" s="13"/>
      <c r="M27" s="13"/>
      <c r="N27" s="18"/>
    </row>
    <row r="28" ht="14.25" customHeight="1">
      <c r="A28" s="19">
        <v>6.0</v>
      </c>
      <c r="B28" s="9" t="s">
        <v>100</v>
      </c>
      <c r="C28" s="9"/>
      <c r="D28" s="9" t="s">
        <v>26</v>
      </c>
      <c r="E28" s="9" t="s">
        <v>70</v>
      </c>
      <c r="F28" s="10">
        <v>1500000.0</v>
      </c>
      <c r="G28" s="9" t="s">
        <v>101</v>
      </c>
      <c r="H28" s="9" t="s">
        <v>120</v>
      </c>
      <c r="I28" s="9" t="s">
        <v>121</v>
      </c>
      <c r="J28" s="9" t="s">
        <v>122</v>
      </c>
      <c r="K28" s="9" t="s">
        <v>123</v>
      </c>
      <c r="L28" s="9"/>
      <c r="M28" s="9"/>
      <c r="N28" s="20"/>
    </row>
    <row r="29" ht="14.25" customHeight="1">
      <c r="A29" s="12">
        <v>7.0</v>
      </c>
      <c r="B29" s="13" t="s">
        <v>100</v>
      </c>
      <c r="C29" s="13"/>
      <c r="D29" s="13" t="s">
        <v>26</v>
      </c>
      <c r="E29" s="13" t="s">
        <v>70</v>
      </c>
      <c r="F29" s="14">
        <v>1500000.0</v>
      </c>
      <c r="G29" s="13" t="s">
        <v>101</v>
      </c>
      <c r="H29" s="13" t="s">
        <v>120</v>
      </c>
      <c r="I29" s="13" t="s">
        <v>124</v>
      </c>
      <c r="J29" s="13" t="s">
        <v>125</v>
      </c>
      <c r="K29" s="13" t="s">
        <v>126</v>
      </c>
      <c r="L29" s="13"/>
      <c r="M29" s="13"/>
      <c r="N29" s="18"/>
    </row>
    <row r="30" ht="14.25" customHeight="1">
      <c r="A30" s="19">
        <v>8.0</v>
      </c>
      <c r="B30" s="9" t="s">
        <v>100</v>
      </c>
      <c r="C30" s="9"/>
      <c r="D30" s="9" t="s">
        <v>26</v>
      </c>
      <c r="E30" s="9" t="s">
        <v>70</v>
      </c>
      <c r="F30" s="10">
        <v>2000000.0</v>
      </c>
      <c r="G30" s="9" t="s">
        <v>109</v>
      </c>
      <c r="H30" s="9" t="s">
        <v>127</v>
      </c>
      <c r="I30" s="9" t="s">
        <v>128</v>
      </c>
      <c r="J30" s="9" t="s">
        <v>129</v>
      </c>
      <c r="K30" s="9" t="s">
        <v>130</v>
      </c>
      <c r="L30" s="9"/>
      <c r="M30" s="9"/>
      <c r="N30" s="20"/>
    </row>
    <row r="31" ht="14.25" customHeight="1">
      <c r="A31" s="12">
        <v>9.0</v>
      </c>
      <c r="B31" s="13" t="s">
        <v>100</v>
      </c>
      <c r="C31" s="13"/>
      <c r="D31" s="13" t="s">
        <v>26</v>
      </c>
      <c r="E31" s="13" t="s">
        <v>70</v>
      </c>
      <c r="F31" s="14">
        <v>2000000.0</v>
      </c>
      <c r="G31" s="13" t="s">
        <v>101</v>
      </c>
      <c r="H31" s="13" t="s">
        <v>131</v>
      </c>
      <c r="I31" s="13" t="s">
        <v>132</v>
      </c>
      <c r="J31" s="13"/>
      <c r="K31" s="13"/>
      <c r="L31" s="13"/>
      <c r="M31" s="13"/>
      <c r="N31" s="18"/>
    </row>
    <row r="32" ht="14.25" customHeight="1">
      <c r="A32" s="19">
        <v>10.0</v>
      </c>
      <c r="B32" s="9" t="s">
        <v>100</v>
      </c>
      <c r="C32" s="9"/>
      <c r="D32" s="9" t="s">
        <v>26</v>
      </c>
      <c r="E32" s="9" t="s">
        <v>70</v>
      </c>
      <c r="F32" s="10">
        <v>2000000.0</v>
      </c>
      <c r="G32" s="9" t="s">
        <v>109</v>
      </c>
      <c r="H32" s="9" t="s">
        <v>131</v>
      </c>
      <c r="I32" s="9" t="s">
        <v>133</v>
      </c>
      <c r="J32" s="9" t="s">
        <v>134</v>
      </c>
      <c r="K32" s="9" t="s">
        <v>135</v>
      </c>
      <c r="L32" s="9"/>
      <c r="M32" s="9"/>
      <c r="N32" s="20"/>
    </row>
    <row r="33" ht="14.25" customHeight="1">
      <c r="A33" s="12">
        <v>11.0</v>
      </c>
      <c r="B33" s="13" t="s">
        <v>100</v>
      </c>
      <c r="C33" s="13"/>
      <c r="D33" s="13" t="s">
        <v>26</v>
      </c>
      <c r="E33" s="13" t="s">
        <v>70</v>
      </c>
      <c r="F33" s="14">
        <v>2000000.0</v>
      </c>
      <c r="G33" s="13" t="s">
        <v>109</v>
      </c>
      <c r="H33" s="13" t="s">
        <v>131</v>
      </c>
      <c r="I33" s="13" t="s">
        <v>136</v>
      </c>
      <c r="J33" s="13" t="s">
        <v>137</v>
      </c>
      <c r="K33" s="13"/>
      <c r="L33" s="13"/>
      <c r="M33" s="13"/>
      <c r="N33" s="18"/>
    </row>
    <row r="34" ht="14.25" customHeight="1">
      <c r="A34" s="19">
        <v>12.0</v>
      </c>
      <c r="B34" s="9" t="s">
        <v>100</v>
      </c>
      <c r="C34" s="9"/>
      <c r="D34" s="9" t="s">
        <v>26</v>
      </c>
      <c r="E34" s="9" t="s">
        <v>70</v>
      </c>
      <c r="F34" s="10">
        <v>2000000.0</v>
      </c>
      <c r="G34" s="9" t="s">
        <v>101</v>
      </c>
      <c r="H34" s="9" t="s">
        <v>131</v>
      </c>
      <c r="I34" s="9" t="s">
        <v>138</v>
      </c>
      <c r="J34" s="9" t="s">
        <v>139</v>
      </c>
      <c r="K34" s="9" t="s">
        <v>140</v>
      </c>
      <c r="L34" s="9"/>
      <c r="M34" s="9"/>
      <c r="N34" s="20"/>
    </row>
    <row r="35" ht="14.25" customHeight="1">
      <c r="A35" s="12">
        <v>13.0</v>
      </c>
      <c r="B35" s="13" t="s">
        <v>100</v>
      </c>
      <c r="C35" s="13"/>
      <c r="D35" s="13" t="s">
        <v>26</v>
      </c>
      <c r="E35" s="13" t="s">
        <v>70</v>
      </c>
      <c r="F35" s="14">
        <v>2000000.0</v>
      </c>
      <c r="G35" s="13" t="s">
        <v>101</v>
      </c>
      <c r="H35" s="13" t="s">
        <v>131</v>
      </c>
      <c r="I35" s="13" t="s">
        <v>141</v>
      </c>
      <c r="J35" s="13" t="s">
        <v>142</v>
      </c>
      <c r="K35" s="13" t="s">
        <v>143</v>
      </c>
      <c r="L35" s="13"/>
      <c r="M35" s="13"/>
      <c r="N35" s="18"/>
    </row>
    <row r="36" ht="14.25" customHeight="1">
      <c r="A36" s="19">
        <v>14.0</v>
      </c>
      <c r="B36" s="9" t="s">
        <v>100</v>
      </c>
      <c r="C36" s="9" t="s">
        <v>25</v>
      </c>
      <c r="D36" s="9" t="s">
        <v>26</v>
      </c>
      <c r="E36" s="9" t="s">
        <v>27</v>
      </c>
      <c r="F36" s="10">
        <v>8000000.0</v>
      </c>
      <c r="G36" s="9" t="s">
        <v>144</v>
      </c>
      <c r="H36" s="9" t="s">
        <v>145</v>
      </c>
      <c r="I36" s="9" t="s">
        <v>146</v>
      </c>
      <c r="J36" s="9" t="s">
        <v>147</v>
      </c>
      <c r="K36" s="9" t="s">
        <v>148</v>
      </c>
      <c r="L36" s="17" t="s">
        <v>149</v>
      </c>
      <c r="M36" s="9"/>
      <c r="N36" s="20" t="s">
        <v>150</v>
      </c>
    </row>
    <row r="37" ht="14.25" customHeight="1">
      <c r="A37" s="12">
        <v>15.0</v>
      </c>
      <c r="B37" s="13" t="s">
        <v>100</v>
      </c>
      <c r="C37" s="13" t="s">
        <v>25</v>
      </c>
      <c r="D37" s="13" t="s">
        <v>26</v>
      </c>
      <c r="E37" s="13" t="s">
        <v>27</v>
      </c>
      <c r="F37" s="14">
        <v>8000000.0</v>
      </c>
      <c r="G37" s="13" t="s">
        <v>144</v>
      </c>
      <c r="H37" s="13" t="s">
        <v>145</v>
      </c>
      <c r="I37" s="13" t="s">
        <v>151</v>
      </c>
      <c r="J37" s="13" t="s">
        <v>152</v>
      </c>
      <c r="K37" s="13" t="s">
        <v>153</v>
      </c>
      <c r="L37" s="17" t="s">
        <v>154</v>
      </c>
      <c r="M37" s="13"/>
      <c r="N37" s="18" t="s">
        <v>150</v>
      </c>
    </row>
    <row r="38" ht="14.25" customHeight="1">
      <c r="A38" s="19">
        <v>16.0</v>
      </c>
      <c r="B38" s="9" t="s">
        <v>100</v>
      </c>
      <c r="C38" s="9" t="s">
        <v>25</v>
      </c>
      <c r="D38" s="9" t="s">
        <v>26</v>
      </c>
      <c r="E38" s="9" t="s">
        <v>27</v>
      </c>
      <c r="F38" s="10">
        <v>8000000.0</v>
      </c>
      <c r="G38" s="9" t="s">
        <v>144</v>
      </c>
      <c r="H38" s="9" t="s">
        <v>145</v>
      </c>
      <c r="I38" s="9" t="s">
        <v>155</v>
      </c>
      <c r="J38" s="9" t="s">
        <v>156</v>
      </c>
      <c r="K38" s="9" t="s">
        <v>157</v>
      </c>
      <c r="L38" s="17" t="s">
        <v>158</v>
      </c>
      <c r="M38" s="9"/>
      <c r="N38" s="20" t="s">
        <v>150</v>
      </c>
    </row>
    <row r="39" ht="14.25" customHeight="1">
      <c r="A39" s="12">
        <v>17.0</v>
      </c>
      <c r="B39" s="13" t="s">
        <v>100</v>
      </c>
      <c r="C39" s="13" t="s">
        <v>25</v>
      </c>
      <c r="D39" s="13" t="s">
        <v>26</v>
      </c>
      <c r="E39" s="13" t="s">
        <v>27</v>
      </c>
      <c r="F39" s="14">
        <v>8000000.0</v>
      </c>
      <c r="G39" s="13" t="s">
        <v>144</v>
      </c>
      <c r="H39" s="13" t="s">
        <v>145</v>
      </c>
      <c r="I39" s="13" t="s">
        <v>159</v>
      </c>
      <c r="J39" s="13" t="s">
        <v>160</v>
      </c>
      <c r="K39" s="13" t="s">
        <v>161</v>
      </c>
      <c r="L39" s="17" t="s">
        <v>162</v>
      </c>
      <c r="M39" s="13"/>
      <c r="N39" s="18" t="s">
        <v>150</v>
      </c>
    </row>
    <row r="40" ht="14.25" customHeight="1">
      <c r="A40" s="19">
        <v>18.0</v>
      </c>
      <c r="B40" s="9" t="s">
        <v>100</v>
      </c>
      <c r="C40" s="9" t="s">
        <v>25</v>
      </c>
      <c r="D40" s="9" t="s">
        <v>26</v>
      </c>
      <c r="E40" s="9" t="s">
        <v>27</v>
      </c>
      <c r="F40" s="10">
        <v>9550000.0</v>
      </c>
      <c r="G40" s="9" t="s">
        <v>163</v>
      </c>
      <c r="H40" s="9" t="s">
        <v>37</v>
      </c>
      <c r="I40" s="9" t="s">
        <v>164</v>
      </c>
      <c r="J40" s="9" t="s">
        <v>165</v>
      </c>
      <c r="K40" s="9" t="s">
        <v>166</v>
      </c>
      <c r="L40" s="17" t="s">
        <v>167</v>
      </c>
      <c r="M40" s="9"/>
      <c r="N40" s="20" t="s">
        <v>150</v>
      </c>
    </row>
    <row r="41" ht="14.25" customHeight="1">
      <c r="A41" s="12">
        <v>19.0</v>
      </c>
      <c r="B41" s="13" t="s">
        <v>100</v>
      </c>
      <c r="C41" s="13" t="s">
        <v>25</v>
      </c>
      <c r="D41" s="13" t="s">
        <v>26</v>
      </c>
      <c r="E41" s="13" t="s">
        <v>27</v>
      </c>
      <c r="F41" s="14">
        <v>9550000.0</v>
      </c>
      <c r="G41" s="13" t="s">
        <v>163</v>
      </c>
      <c r="H41" s="13" t="s">
        <v>37</v>
      </c>
      <c r="I41" s="13" t="s">
        <v>168</v>
      </c>
      <c r="J41" s="13" t="s">
        <v>169</v>
      </c>
      <c r="K41" s="13" t="s">
        <v>170</v>
      </c>
      <c r="L41" s="17" t="s">
        <v>171</v>
      </c>
      <c r="M41" s="13"/>
      <c r="N41" s="18" t="s">
        <v>150</v>
      </c>
    </row>
    <row r="42" ht="14.25" customHeight="1">
      <c r="A42" s="19">
        <v>20.0</v>
      </c>
      <c r="B42" s="9" t="s">
        <v>100</v>
      </c>
      <c r="C42" s="9" t="s">
        <v>25</v>
      </c>
      <c r="D42" s="9" t="s">
        <v>26</v>
      </c>
      <c r="E42" s="9" t="s">
        <v>27</v>
      </c>
      <c r="F42" s="10">
        <v>9550000.0</v>
      </c>
      <c r="G42" s="9" t="s">
        <v>163</v>
      </c>
      <c r="H42" s="9" t="s">
        <v>37</v>
      </c>
      <c r="I42" s="9" t="s">
        <v>172</v>
      </c>
      <c r="J42" s="9" t="s">
        <v>173</v>
      </c>
      <c r="K42" s="9" t="s">
        <v>174</v>
      </c>
      <c r="L42" s="17" t="s">
        <v>175</v>
      </c>
      <c r="M42" s="9"/>
      <c r="N42" s="20" t="s">
        <v>150</v>
      </c>
    </row>
    <row r="43" ht="14.25" customHeight="1">
      <c r="A43" s="12">
        <v>21.0</v>
      </c>
      <c r="B43" s="13" t="s">
        <v>100</v>
      </c>
      <c r="C43" s="13" t="s">
        <v>25</v>
      </c>
      <c r="D43" s="13" t="s">
        <v>26</v>
      </c>
      <c r="E43" s="13" t="s">
        <v>27</v>
      </c>
      <c r="F43" s="14">
        <v>9550000.0</v>
      </c>
      <c r="G43" s="13" t="s">
        <v>163</v>
      </c>
      <c r="H43" s="13" t="s">
        <v>37</v>
      </c>
      <c r="I43" s="13" t="s">
        <v>176</v>
      </c>
      <c r="J43" s="13" t="s">
        <v>177</v>
      </c>
      <c r="K43" s="13" t="s">
        <v>178</v>
      </c>
      <c r="L43" s="17" t="s">
        <v>179</v>
      </c>
      <c r="M43" s="13"/>
      <c r="N43" s="18" t="s">
        <v>150</v>
      </c>
    </row>
    <row r="44" ht="14.25" customHeight="1">
      <c r="A44" s="19">
        <v>22.0</v>
      </c>
      <c r="B44" s="9" t="s">
        <v>100</v>
      </c>
      <c r="C44" s="9" t="s">
        <v>25</v>
      </c>
      <c r="D44" s="9" t="s">
        <v>26</v>
      </c>
      <c r="E44" s="9" t="s">
        <v>27</v>
      </c>
      <c r="F44" s="10">
        <v>9550000.0</v>
      </c>
      <c r="G44" s="9" t="s">
        <v>163</v>
      </c>
      <c r="H44" s="9" t="s">
        <v>37</v>
      </c>
      <c r="I44" s="9" t="s">
        <v>180</v>
      </c>
      <c r="J44" s="9" t="s">
        <v>181</v>
      </c>
      <c r="K44" s="9" t="s">
        <v>182</v>
      </c>
      <c r="L44" s="17" t="s">
        <v>183</v>
      </c>
      <c r="M44" s="9"/>
      <c r="N44" s="20" t="s">
        <v>150</v>
      </c>
    </row>
    <row r="45" ht="14.25" customHeight="1">
      <c r="A45" s="12">
        <v>23.0</v>
      </c>
      <c r="B45" s="13" t="s">
        <v>100</v>
      </c>
      <c r="C45" s="13" t="s">
        <v>25</v>
      </c>
      <c r="D45" s="13" t="s">
        <v>26</v>
      </c>
      <c r="E45" s="13" t="s">
        <v>27</v>
      </c>
      <c r="F45" s="14">
        <v>9550000.0</v>
      </c>
      <c r="G45" s="13" t="s">
        <v>163</v>
      </c>
      <c r="H45" s="13" t="s">
        <v>37</v>
      </c>
      <c r="I45" s="13" t="s">
        <v>184</v>
      </c>
      <c r="J45" s="13" t="s">
        <v>185</v>
      </c>
      <c r="K45" s="13" t="s">
        <v>186</v>
      </c>
      <c r="L45" s="17" t="s">
        <v>187</v>
      </c>
      <c r="M45" s="13"/>
      <c r="N45" s="18" t="s">
        <v>150</v>
      </c>
    </row>
    <row r="46" ht="14.25" customHeight="1">
      <c r="A46" s="19">
        <v>24.0</v>
      </c>
      <c r="B46" s="9" t="s">
        <v>100</v>
      </c>
      <c r="C46" s="9"/>
      <c r="D46" s="9" t="s">
        <v>26</v>
      </c>
      <c r="E46" s="9" t="s">
        <v>27</v>
      </c>
      <c r="F46" s="10">
        <v>9550000.0</v>
      </c>
      <c r="G46" s="9" t="s">
        <v>163</v>
      </c>
      <c r="H46" s="9" t="s">
        <v>37</v>
      </c>
      <c r="I46" s="9" t="s">
        <v>188</v>
      </c>
      <c r="J46" s="9" t="s">
        <v>189</v>
      </c>
      <c r="K46" s="9" t="s">
        <v>190</v>
      </c>
      <c r="L46" s="17" t="s">
        <v>191</v>
      </c>
      <c r="M46" s="9"/>
      <c r="N46" s="20" t="s">
        <v>150</v>
      </c>
    </row>
    <row r="47" ht="14.25" customHeight="1">
      <c r="A47" s="12">
        <v>25.0</v>
      </c>
      <c r="B47" s="13" t="s">
        <v>100</v>
      </c>
      <c r="C47" s="13" t="s">
        <v>25</v>
      </c>
      <c r="D47" s="13" t="s">
        <v>26</v>
      </c>
      <c r="E47" s="13" t="s">
        <v>27</v>
      </c>
      <c r="F47" s="14">
        <v>9550000.0</v>
      </c>
      <c r="G47" s="13" t="s">
        <v>163</v>
      </c>
      <c r="H47" s="13" t="s">
        <v>37</v>
      </c>
      <c r="I47" s="13" t="s">
        <v>192</v>
      </c>
      <c r="J47" s="13" t="s">
        <v>193</v>
      </c>
      <c r="K47" s="13" t="s">
        <v>194</v>
      </c>
      <c r="L47" s="17" t="s">
        <v>195</v>
      </c>
      <c r="M47" s="13"/>
      <c r="N47" s="18" t="s">
        <v>150</v>
      </c>
    </row>
    <row r="48" ht="14.25" customHeight="1">
      <c r="A48" s="19">
        <v>26.0</v>
      </c>
      <c r="B48" s="9" t="s">
        <v>100</v>
      </c>
      <c r="C48" s="9" t="s">
        <v>25</v>
      </c>
      <c r="D48" s="9" t="s">
        <v>26</v>
      </c>
      <c r="E48" s="9" t="s">
        <v>27</v>
      </c>
      <c r="F48" s="10">
        <v>9550000.0</v>
      </c>
      <c r="G48" s="9" t="s">
        <v>163</v>
      </c>
      <c r="H48" s="9" t="s">
        <v>37</v>
      </c>
      <c r="I48" s="9" t="s">
        <v>196</v>
      </c>
      <c r="J48" s="9" t="s">
        <v>197</v>
      </c>
      <c r="K48" s="9" t="s">
        <v>198</v>
      </c>
      <c r="L48" s="17" t="s">
        <v>199</v>
      </c>
      <c r="M48" s="9"/>
      <c r="N48" s="20" t="s">
        <v>150</v>
      </c>
    </row>
    <row r="49" ht="14.25" customHeight="1">
      <c r="A49" s="12">
        <v>27.0</v>
      </c>
      <c r="B49" s="13" t="s">
        <v>100</v>
      </c>
      <c r="C49" s="13" t="s">
        <v>25</v>
      </c>
      <c r="D49" s="13" t="s">
        <v>26</v>
      </c>
      <c r="E49" s="13" t="s">
        <v>27</v>
      </c>
      <c r="F49" s="14">
        <v>9550000.0</v>
      </c>
      <c r="G49" s="13" t="s">
        <v>163</v>
      </c>
      <c r="H49" s="13" t="s">
        <v>37</v>
      </c>
      <c r="I49" s="13" t="s">
        <v>200</v>
      </c>
      <c r="J49" s="13" t="s">
        <v>201</v>
      </c>
      <c r="K49" s="13" t="s">
        <v>202</v>
      </c>
      <c r="L49" s="17" t="s">
        <v>203</v>
      </c>
      <c r="M49" s="13"/>
      <c r="N49" s="18" t="s">
        <v>150</v>
      </c>
    </row>
    <row r="50" ht="14.25" customHeight="1">
      <c r="A50" s="19">
        <v>28.0</v>
      </c>
      <c r="B50" s="9" t="s">
        <v>100</v>
      </c>
      <c r="C50" s="9" t="s">
        <v>25</v>
      </c>
      <c r="D50" s="9" t="s">
        <v>26</v>
      </c>
      <c r="E50" s="9" t="s">
        <v>27</v>
      </c>
      <c r="F50" s="10">
        <v>9550000.0</v>
      </c>
      <c r="G50" s="9" t="s">
        <v>163</v>
      </c>
      <c r="H50" s="9" t="s">
        <v>37</v>
      </c>
      <c r="I50" s="9" t="s">
        <v>204</v>
      </c>
      <c r="J50" s="9" t="s">
        <v>205</v>
      </c>
      <c r="K50" s="9" t="s">
        <v>206</v>
      </c>
      <c r="L50" s="17" t="s">
        <v>207</v>
      </c>
      <c r="M50" s="9"/>
      <c r="N50" s="20" t="s">
        <v>150</v>
      </c>
    </row>
    <row r="51" ht="14.25" customHeight="1">
      <c r="A51" s="12">
        <v>29.0</v>
      </c>
      <c r="B51" s="13" t="s">
        <v>100</v>
      </c>
      <c r="C51" s="13" t="s">
        <v>25</v>
      </c>
      <c r="D51" s="13" t="s">
        <v>26</v>
      </c>
      <c r="E51" s="13" t="s">
        <v>27</v>
      </c>
      <c r="F51" s="14">
        <v>9550000.0</v>
      </c>
      <c r="G51" s="13" t="s">
        <v>163</v>
      </c>
      <c r="H51" s="13" t="s">
        <v>37</v>
      </c>
      <c r="I51" s="13" t="s">
        <v>208</v>
      </c>
      <c r="J51" s="13" t="s">
        <v>209</v>
      </c>
      <c r="K51" s="13" t="s">
        <v>210</v>
      </c>
      <c r="L51" s="17" t="s">
        <v>211</v>
      </c>
      <c r="M51" s="13"/>
      <c r="N51" s="18" t="s">
        <v>150</v>
      </c>
    </row>
    <row r="52" ht="14.25" customHeight="1">
      <c r="A52" s="19">
        <v>30.0</v>
      </c>
      <c r="B52" s="9" t="s">
        <v>100</v>
      </c>
      <c r="C52" s="9" t="s">
        <v>25</v>
      </c>
      <c r="D52" s="9" t="s">
        <v>26</v>
      </c>
      <c r="E52" s="9" t="s">
        <v>27</v>
      </c>
      <c r="F52" s="10">
        <v>9550000.0</v>
      </c>
      <c r="G52" s="9" t="s">
        <v>163</v>
      </c>
      <c r="H52" s="9" t="s">
        <v>37</v>
      </c>
      <c r="I52" s="9" t="s">
        <v>212</v>
      </c>
      <c r="J52" s="9" t="s">
        <v>213</v>
      </c>
      <c r="K52" s="9" t="s">
        <v>214</v>
      </c>
      <c r="L52" s="17" t="s">
        <v>215</v>
      </c>
      <c r="M52" s="9"/>
      <c r="N52" s="20" t="s">
        <v>150</v>
      </c>
    </row>
    <row r="53" ht="14.25" customHeight="1">
      <c r="A53" s="12">
        <v>31.0</v>
      </c>
      <c r="B53" s="13" t="s">
        <v>100</v>
      </c>
      <c r="C53" s="13" t="s">
        <v>25</v>
      </c>
      <c r="D53" s="13" t="s">
        <v>26</v>
      </c>
      <c r="E53" s="13" t="s">
        <v>42</v>
      </c>
      <c r="F53" s="14">
        <v>9550000.0</v>
      </c>
      <c r="G53" s="13" t="s">
        <v>163</v>
      </c>
      <c r="H53" s="13" t="s">
        <v>37</v>
      </c>
      <c r="I53" s="13" t="s">
        <v>216</v>
      </c>
      <c r="J53" s="13" t="s">
        <v>217</v>
      </c>
      <c r="K53" s="13" t="s">
        <v>218</v>
      </c>
      <c r="L53" s="17" t="s">
        <v>219</v>
      </c>
      <c r="M53" s="13"/>
      <c r="N53" s="18" t="s">
        <v>220</v>
      </c>
    </row>
    <row r="54" ht="14.25" customHeight="1">
      <c r="A54" s="19">
        <v>32.0</v>
      </c>
      <c r="B54" s="9" t="s">
        <v>100</v>
      </c>
      <c r="C54" s="9" t="s">
        <v>25</v>
      </c>
      <c r="D54" s="9" t="s">
        <v>26</v>
      </c>
      <c r="E54" s="9" t="s">
        <v>27</v>
      </c>
      <c r="F54" s="10">
        <v>9550000.0</v>
      </c>
      <c r="G54" s="9" t="s">
        <v>163</v>
      </c>
      <c r="H54" s="9" t="s">
        <v>37</v>
      </c>
      <c r="I54" s="9" t="s">
        <v>221</v>
      </c>
      <c r="J54" s="9" t="s">
        <v>222</v>
      </c>
      <c r="K54" s="9" t="s">
        <v>223</v>
      </c>
      <c r="L54" s="17" t="s">
        <v>224</v>
      </c>
      <c r="M54" s="9"/>
      <c r="N54" s="20" t="s">
        <v>150</v>
      </c>
    </row>
    <row r="55" ht="14.25" customHeight="1">
      <c r="A55" s="12">
        <v>33.0</v>
      </c>
      <c r="B55" s="13" t="s">
        <v>100</v>
      </c>
      <c r="C55" s="13" t="s">
        <v>25</v>
      </c>
      <c r="D55" s="13" t="s">
        <v>26</v>
      </c>
      <c r="E55" s="13" t="s">
        <v>27</v>
      </c>
      <c r="F55" s="14">
        <v>9550000.0</v>
      </c>
      <c r="G55" s="13" t="s">
        <v>163</v>
      </c>
      <c r="H55" s="13" t="s">
        <v>37</v>
      </c>
      <c r="I55" s="13" t="s">
        <v>225</v>
      </c>
      <c r="J55" s="13" t="s">
        <v>226</v>
      </c>
      <c r="K55" s="13" t="s">
        <v>227</v>
      </c>
      <c r="L55" s="17" t="s">
        <v>228</v>
      </c>
      <c r="M55" s="13"/>
      <c r="N55" s="18" t="s">
        <v>150</v>
      </c>
    </row>
    <row r="56" ht="14.25" customHeight="1">
      <c r="A56" s="19">
        <v>34.0</v>
      </c>
      <c r="B56" s="9" t="s">
        <v>100</v>
      </c>
      <c r="C56" s="9" t="s">
        <v>25</v>
      </c>
      <c r="D56" s="9" t="s">
        <v>26</v>
      </c>
      <c r="E56" s="9" t="s">
        <v>27</v>
      </c>
      <c r="F56" s="10">
        <v>9550000.0</v>
      </c>
      <c r="G56" s="9" t="s">
        <v>163</v>
      </c>
      <c r="H56" s="9" t="s">
        <v>37</v>
      </c>
      <c r="I56" s="9" t="s">
        <v>229</v>
      </c>
      <c r="J56" s="9" t="s">
        <v>230</v>
      </c>
      <c r="K56" s="9" t="s">
        <v>231</v>
      </c>
      <c r="L56" s="17" t="s">
        <v>232</v>
      </c>
      <c r="M56" s="9"/>
      <c r="N56" s="20" t="s">
        <v>150</v>
      </c>
    </row>
    <row r="57" ht="14.25" customHeight="1">
      <c r="A57" s="12">
        <v>35.0</v>
      </c>
      <c r="B57" s="13" t="s">
        <v>100</v>
      </c>
      <c r="C57" s="13" t="s">
        <v>25</v>
      </c>
      <c r="D57" s="13" t="s">
        <v>26</v>
      </c>
      <c r="E57" s="13" t="s">
        <v>27</v>
      </c>
      <c r="F57" s="14">
        <v>9550000.0</v>
      </c>
      <c r="G57" s="13" t="s">
        <v>163</v>
      </c>
      <c r="H57" s="13" t="s">
        <v>37</v>
      </c>
      <c r="I57" s="13" t="s">
        <v>233</v>
      </c>
      <c r="J57" s="13" t="s">
        <v>234</v>
      </c>
      <c r="K57" s="13" t="s">
        <v>235</v>
      </c>
      <c r="L57" s="17" t="s">
        <v>236</v>
      </c>
      <c r="M57" s="13"/>
      <c r="N57" s="18" t="s">
        <v>150</v>
      </c>
    </row>
    <row r="58" ht="14.25" customHeight="1">
      <c r="A58" s="19">
        <v>36.0</v>
      </c>
      <c r="B58" s="9" t="s">
        <v>100</v>
      </c>
      <c r="C58" s="9" t="s">
        <v>25</v>
      </c>
      <c r="D58" s="9" t="s">
        <v>26</v>
      </c>
      <c r="E58" s="9" t="s">
        <v>27</v>
      </c>
      <c r="F58" s="10">
        <v>9550000.0</v>
      </c>
      <c r="G58" s="9" t="s">
        <v>163</v>
      </c>
      <c r="H58" s="9" t="s">
        <v>37</v>
      </c>
      <c r="I58" s="9" t="s">
        <v>237</v>
      </c>
      <c r="J58" s="9" t="s">
        <v>238</v>
      </c>
      <c r="K58" s="9" t="s">
        <v>239</v>
      </c>
      <c r="L58" s="17" t="s">
        <v>240</v>
      </c>
      <c r="M58" s="9"/>
      <c r="N58" s="20" t="s">
        <v>150</v>
      </c>
    </row>
    <row r="59" ht="14.25" customHeight="1">
      <c r="A59" s="12">
        <v>37.0</v>
      </c>
      <c r="B59" s="13" t="s">
        <v>100</v>
      </c>
      <c r="C59" s="13" t="s">
        <v>25</v>
      </c>
      <c r="D59" s="13" t="s">
        <v>26</v>
      </c>
      <c r="E59" s="13" t="s">
        <v>27</v>
      </c>
      <c r="F59" s="14">
        <v>9550000.0</v>
      </c>
      <c r="G59" s="13" t="s">
        <v>163</v>
      </c>
      <c r="H59" s="13" t="s">
        <v>37</v>
      </c>
      <c r="I59" s="13" t="s">
        <v>241</v>
      </c>
      <c r="J59" s="13" t="s">
        <v>242</v>
      </c>
      <c r="K59" s="13" t="s">
        <v>243</v>
      </c>
      <c r="L59" s="17" t="s">
        <v>244</v>
      </c>
      <c r="M59" s="13"/>
      <c r="N59" s="18" t="s">
        <v>150</v>
      </c>
    </row>
    <row r="60" ht="14.25" customHeight="1">
      <c r="A60" s="19">
        <v>38.0</v>
      </c>
      <c r="B60" s="9" t="s">
        <v>100</v>
      </c>
      <c r="C60" s="9" t="s">
        <v>25</v>
      </c>
      <c r="D60" s="9" t="s">
        <v>26</v>
      </c>
      <c r="E60" s="9" t="s">
        <v>27</v>
      </c>
      <c r="F60" s="10">
        <v>9550000.0</v>
      </c>
      <c r="G60" s="9" t="s">
        <v>163</v>
      </c>
      <c r="H60" s="9" t="s">
        <v>37</v>
      </c>
      <c r="I60" s="9" t="s">
        <v>245</v>
      </c>
      <c r="J60" s="9" t="s">
        <v>246</v>
      </c>
      <c r="K60" s="9" t="s">
        <v>247</v>
      </c>
      <c r="L60" s="17" t="s">
        <v>248</v>
      </c>
      <c r="M60" s="9"/>
      <c r="N60" s="20" t="s">
        <v>150</v>
      </c>
    </row>
    <row r="61" ht="14.25" customHeight="1">
      <c r="A61" s="12">
        <v>39.0</v>
      </c>
      <c r="B61" s="13" t="s">
        <v>100</v>
      </c>
      <c r="C61" s="13" t="s">
        <v>25</v>
      </c>
      <c r="D61" s="13" t="s">
        <v>26</v>
      </c>
      <c r="E61" s="13" t="s">
        <v>27</v>
      </c>
      <c r="F61" s="14">
        <v>9550000.0</v>
      </c>
      <c r="G61" s="13" t="s">
        <v>163</v>
      </c>
      <c r="H61" s="13" t="s">
        <v>37</v>
      </c>
      <c r="I61" s="13" t="s">
        <v>249</v>
      </c>
      <c r="J61" s="13" t="s">
        <v>250</v>
      </c>
      <c r="K61" s="13" t="s">
        <v>251</v>
      </c>
      <c r="L61" s="17" t="s">
        <v>252</v>
      </c>
      <c r="M61" s="13"/>
      <c r="N61" s="18" t="s">
        <v>150</v>
      </c>
    </row>
    <row r="62" ht="14.25" customHeight="1">
      <c r="A62" s="19">
        <v>40.0</v>
      </c>
      <c r="B62" s="9" t="s">
        <v>100</v>
      </c>
      <c r="C62" s="9" t="s">
        <v>25</v>
      </c>
      <c r="D62" s="9" t="s">
        <v>26</v>
      </c>
      <c r="E62" s="9" t="s">
        <v>27</v>
      </c>
      <c r="F62" s="10">
        <v>9550000.0</v>
      </c>
      <c r="G62" s="9" t="s">
        <v>163</v>
      </c>
      <c r="H62" s="9" t="s">
        <v>37</v>
      </c>
      <c r="I62" s="9" t="s">
        <v>253</v>
      </c>
      <c r="J62" s="9" t="s">
        <v>254</v>
      </c>
      <c r="K62" s="9" t="s">
        <v>255</v>
      </c>
      <c r="L62" s="17" t="s">
        <v>256</v>
      </c>
      <c r="M62" s="9"/>
      <c r="N62" s="20" t="s">
        <v>150</v>
      </c>
    </row>
    <row r="63" ht="14.25" customHeight="1">
      <c r="A63" s="12">
        <v>41.0</v>
      </c>
      <c r="B63" s="13" t="s">
        <v>100</v>
      </c>
      <c r="C63" s="13" t="s">
        <v>25</v>
      </c>
      <c r="D63" s="13" t="s">
        <v>26</v>
      </c>
      <c r="E63" s="13" t="s">
        <v>70</v>
      </c>
      <c r="F63" s="14">
        <v>9550000.0</v>
      </c>
      <c r="G63" s="13" t="s">
        <v>163</v>
      </c>
      <c r="H63" s="13" t="s">
        <v>37</v>
      </c>
      <c r="I63" s="13" t="s">
        <v>257</v>
      </c>
      <c r="J63" s="13" t="s">
        <v>258</v>
      </c>
      <c r="K63" s="13" t="s">
        <v>259</v>
      </c>
      <c r="L63" s="17" t="s">
        <v>260</v>
      </c>
      <c r="M63" s="13"/>
      <c r="N63" s="18" t="s">
        <v>261</v>
      </c>
    </row>
    <row r="64" ht="14.25" customHeight="1">
      <c r="A64" s="19">
        <v>42.0</v>
      </c>
      <c r="B64" s="9" t="s">
        <v>100</v>
      </c>
      <c r="C64" s="9" t="s">
        <v>25</v>
      </c>
      <c r="D64" s="9" t="s">
        <v>26</v>
      </c>
      <c r="E64" s="9" t="s">
        <v>27</v>
      </c>
      <c r="F64" s="10">
        <v>9550000.0</v>
      </c>
      <c r="G64" s="9" t="s">
        <v>163</v>
      </c>
      <c r="H64" s="9" t="s">
        <v>37</v>
      </c>
      <c r="I64" s="9" t="s">
        <v>262</v>
      </c>
      <c r="J64" s="21" t="s">
        <v>263</v>
      </c>
      <c r="K64" s="9" t="s">
        <v>264</v>
      </c>
      <c r="L64" s="17" t="s">
        <v>265</v>
      </c>
      <c r="M64" s="9"/>
      <c r="N64" s="20" t="s">
        <v>150</v>
      </c>
    </row>
    <row r="65" ht="14.25" customHeight="1">
      <c r="A65" s="12">
        <v>43.0</v>
      </c>
      <c r="B65" s="13" t="s">
        <v>100</v>
      </c>
      <c r="C65" s="13" t="s">
        <v>25</v>
      </c>
      <c r="D65" s="13" t="s">
        <v>26</v>
      </c>
      <c r="E65" s="13" t="s">
        <v>70</v>
      </c>
      <c r="F65" s="14">
        <v>9550000.0</v>
      </c>
      <c r="G65" s="13" t="s">
        <v>163</v>
      </c>
      <c r="H65" s="13" t="s">
        <v>37</v>
      </c>
      <c r="I65" s="13" t="s">
        <v>266</v>
      </c>
      <c r="J65" s="13" t="s">
        <v>267</v>
      </c>
      <c r="K65" s="13" t="s">
        <v>268</v>
      </c>
      <c r="L65" s="17" t="s">
        <v>269</v>
      </c>
      <c r="M65" s="13"/>
      <c r="N65" s="18" t="s">
        <v>270</v>
      </c>
    </row>
    <row r="66" ht="14.25" customHeight="1">
      <c r="A66" s="19">
        <v>44.0</v>
      </c>
      <c r="B66" s="9" t="s">
        <v>100</v>
      </c>
      <c r="C66" s="9" t="s">
        <v>25</v>
      </c>
      <c r="D66" s="9" t="s">
        <v>26</v>
      </c>
      <c r="E66" s="9" t="s">
        <v>42</v>
      </c>
      <c r="F66" s="10">
        <v>9550000.0</v>
      </c>
      <c r="G66" s="9" t="s">
        <v>163</v>
      </c>
      <c r="H66" s="9" t="s">
        <v>37</v>
      </c>
      <c r="I66" s="9" t="s">
        <v>271</v>
      </c>
      <c r="J66" s="9" t="s">
        <v>272</v>
      </c>
      <c r="K66" s="9" t="s">
        <v>273</v>
      </c>
      <c r="L66" s="17" t="s">
        <v>274</v>
      </c>
      <c r="M66" s="9"/>
      <c r="N66" s="20" t="s">
        <v>275</v>
      </c>
    </row>
    <row r="67" ht="14.25" customHeight="1">
      <c r="A67" s="12">
        <v>45.0</v>
      </c>
      <c r="B67" s="13" t="s">
        <v>100</v>
      </c>
      <c r="C67" s="13" t="s">
        <v>25</v>
      </c>
      <c r="D67" s="13" t="s">
        <v>26</v>
      </c>
      <c r="E67" s="13" t="s">
        <v>27</v>
      </c>
      <c r="F67" s="14">
        <v>9550000.0</v>
      </c>
      <c r="G67" s="13" t="s">
        <v>163</v>
      </c>
      <c r="H67" s="13" t="s">
        <v>37</v>
      </c>
      <c r="I67" s="13" t="s">
        <v>276</v>
      </c>
      <c r="J67" s="13" t="s">
        <v>277</v>
      </c>
      <c r="K67" s="13" t="s">
        <v>278</v>
      </c>
      <c r="L67" s="17" t="s">
        <v>279</v>
      </c>
      <c r="M67" s="13"/>
      <c r="N67" s="18" t="s">
        <v>150</v>
      </c>
    </row>
    <row r="68" ht="14.25" customHeight="1">
      <c r="A68" s="19">
        <v>46.0</v>
      </c>
      <c r="B68" s="9" t="s">
        <v>100</v>
      </c>
      <c r="C68" s="9" t="s">
        <v>25</v>
      </c>
      <c r="D68" s="9" t="s">
        <v>26</v>
      </c>
      <c r="E68" s="9" t="s">
        <v>42</v>
      </c>
      <c r="F68" s="10">
        <v>9550000.0</v>
      </c>
      <c r="G68" s="9" t="s">
        <v>163</v>
      </c>
      <c r="H68" s="9" t="s">
        <v>37</v>
      </c>
      <c r="I68" s="9" t="s">
        <v>280</v>
      </c>
      <c r="J68" s="9" t="s">
        <v>281</v>
      </c>
      <c r="K68" s="9" t="s">
        <v>282</v>
      </c>
      <c r="L68" s="17" t="s">
        <v>283</v>
      </c>
      <c r="M68" s="9"/>
      <c r="N68" s="20" t="s">
        <v>284</v>
      </c>
    </row>
    <row r="69" ht="14.25" customHeight="1">
      <c r="A69" s="12">
        <v>47.0</v>
      </c>
      <c r="B69" s="13" t="s">
        <v>100</v>
      </c>
      <c r="C69" s="13" t="s">
        <v>25</v>
      </c>
      <c r="D69" s="13" t="s">
        <v>26</v>
      </c>
      <c r="E69" s="13" t="s">
        <v>27</v>
      </c>
      <c r="F69" s="14">
        <v>9550000.0</v>
      </c>
      <c r="G69" s="13" t="s">
        <v>163</v>
      </c>
      <c r="H69" s="13" t="s">
        <v>37</v>
      </c>
      <c r="I69" s="13" t="s">
        <v>285</v>
      </c>
      <c r="J69" s="13" t="s">
        <v>286</v>
      </c>
      <c r="K69" s="13" t="s">
        <v>287</v>
      </c>
      <c r="L69" s="17" t="s">
        <v>288</v>
      </c>
      <c r="M69" s="13"/>
      <c r="N69" s="18" t="s">
        <v>289</v>
      </c>
    </row>
    <row r="70" ht="14.25" customHeight="1">
      <c r="A70" s="19">
        <v>48.0</v>
      </c>
      <c r="B70" s="9" t="s">
        <v>100</v>
      </c>
      <c r="C70" s="9" t="s">
        <v>25</v>
      </c>
      <c r="D70" s="9" t="s">
        <v>26</v>
      </c>
      <c r="E70" s="9" t="s">
        <v>42</v>
      </c>
      <c r="F70" s="10">
        <v>9550000.0</v>
      </c>
      <c r="G70" s="9" t="s">
        <v>163</v>
      </c>
      <c r="H70" s="9" t="s">
        <v>37</v>
      </c>
      <c r="I70" s="9" t="s">
        <v>290</v>
      </c>
      <c r="J70" s="9" t="s">
        <v>291</v>
      </c>
      <c r="K70" s="9" t="s">
        <v>292</v>
      </c>
      <c r="L70" s="17" t="s">
        <v>293</v>
      </c>
      <c r="M70" s="9"/>
      <c r="N70" s="20" t="s">
        <v>294</v>
      </c>
    </row>
    <row r="71" ht="14.25" customHeight="1">
      <c r="A71" s="12">
        <v>49.0</v>
      </c>
      <c r="B71" s="13" t="s">
        <v>100</v>
      </c>
      <c r="C71" s="13"/>
      <c r="D71" s="13" t="s">
        <v>26</v>
      </c>
      <c r="E71" s="13" t="s">
        <v>27</v>
      </c>
      <c r="F71" s="14">
        <v>9550000.0</v>
      </c>
      <c r="G71" s="13" t="s">
        <v>163</v>
      </c>
      <c r="H71" s="13" t="s">
        <v>37</v>
      </c>
      <c r="I71" s="13" t="s">
        <v>295</v>
      </c>
      <c r="J71" s="13" t="s">
        <v>296</v>
      </c>
      <c r="K71" s="13" t="s">
        <v>297</v>
      </c>
      <c r="L71" s="17" t="s">
        <v>298</v>
      </c>
      <c r="M71" s="13"/>
      <c r="N71" s="18" t="s">
        <v>150</v>
      </c>
    </row>
    <row r="72" ht="14.25" customHeight="1">
      <c r="A72" s="19">
        <v>50.0</v>
      </c>
      <c r="B72" s="9" t="s">
        <v>100</v>
      </c>
      <c r="C72" s="9" t="s">
        <v>25</v>
      </c>
      <c r="D72" s="9" t="s">
        <v>26</v>
      </c>
      <c r="E72" s="9" t="s">
        <v>27</v>
      </c>
      <c r="F72" s="10">
        <v>9550000.0</v>
      </c>
      <c r="G72" s="9" t="s">
        <v>163</v>
      </c>
      <c r="H72" s="9" t="s">
        <v>37</v>
      </c>
      <c r="I72" s="9" t="s">
        <v>299</v>
      </c>
      <c r="J72" s="9" t="s">
        <v>300</v>
      </c>
      <c r="K72" s="9" t="s">
        <v>301</v>
      </c>
      <c r="L72" s="17" t="s">
        <v>302</v>
      </c>
      <c r="M72" s="9"/>
      <c r="N72" s="20" t="s">
        <v>150</v>
      </c>
    </row>
    <row r="73" ht="14.25" customHeight="1">
      <c r="A73" s="12">
        <v>51.0</v>
      </c>
      <c r="B73" s="13" t="s">
        <v>100</v>
      </c>
      <c r="C73" s="13" t="s">
        <v>25</v>
      </c>
      <c r="D73" s="13" t="s">
        <v>26</v>
      </c>
      <c r="E73" s="13" t="s">
        <v>27</v>
      </c>
      <c r="F73" s="14">
        <v>9550000.0</v>
      </c>
      <c r="G73" s="13" t="s">
        <v>163</v>
      </c>
      <c r="H73" s="13" t="s">
        <v>37</v>
      </c>
      <c r="I73" s="13" t="s">
        <v>303</v>
      </c>
      <c r="J73" s="13" t="s">
        <v>304</v>
      </c>
      <c r="K73" s="13" t="s">
        <v>305</v>
      </c>
      <c r="L73" s="17" t="s">
        <v>306</v>
      </c>
      <c r="M73" s="13"/>
      <c r="N73" s="18" t="s">
        <v>150</v>
      </c>
    </row>
    <row r="74" ht="14.25" customHeight="1">
      <c r="A74" s="19">
        <v>52.0</v>
      </c>
      <c r="B74" s="9" t="s">
        <v>100</v>
      </c>
      <c r="C74" s="9"/>
      <c r="D74" s="9" t="s">
        <v>26</v>
      </c>
      <c r="E74" s="9" t="s">
        <v>27</v>
      </c>
      <c r="F74" s="10">
        <v>9550000.0</v>
      </c>
      <c r="G74" s="9" t="s">
        <v>163</v>
      </c>
      <c r="H74" s="9" t="s">
        <v>37</v>
      </c>
      <c r="I74" s="9" t="s">
        <v>307</v>
      </c>
      <c r="J74" s="9" t="s">
        <v>308</v>
      </c>
      <c r="K74" s="9" t="s">
        <v>309</v>
      </c>
      <c r="L74" s="9"/>
      <c r="M74" s="9"/>
      <c r="N74" s="20" t="s">
        <v>150</v>
      </c>
    </row>
    <row r="75" ht="14.25" customHeight="1">
      <c r="A75" s="12">
        <v>53.0</v>
      </c>
      <c r="B75" s="13" t="s">
        <v>100</v>
      </c>
      <c r="C75" s="13" t="s">
        <v>25</v>
      </c>
      <c r="D75" s="13" t="s">
        <v>26</v>
      </c>
      <c r="E75" s="13" t="s">
        <v>27</v>
      </c>
      <c r="F75" s="14">
        <v>9550000.0</v>
      </c>
      <c r="G75" s="13" t="s">
        <v>163</v>
      </c>
      <c r="H75" s="13" t="s">
        <v>37</v>
      </c>
      <c r="I75" s="13" t="s">
        <v>310</v>
      </c>
      <c r="J75" s="13" t="s">
        <v>311</v>
      </c>
      <c r="K75" s="13" t="s">
        <v>312</v>
      </c>
      <c r="L75" s="17" t="s">
        <v>313</v>
      </c>
      <c r="M75" s="13"/>
      <c r="N75" s="18" t="s">
        <v>314</v>
      </c>
    </row>
    <row r="76" ht="14.25" customHeight="1">
      <c r="A76" s="19">
        <v>54.0</v>
      </c>
      <c r="B76" s="9" t="s">
        <v>100</v>
      </c>
      <c r="C76" s="9" t="s">
        <v>25</v>
      </c>
      <c r="D76" s="9" t="s">
        <v>26</v>
      </c>
      <c r="E76" s="9" t="s">
        <v>27</v>
      </c>
      <c r="F76" s="10">
        <v>9550000.0</v>
      </c>
      <c r="G76" s="9" t="s">
        <v>163</v>
      </c>
      <c r="H76" s="9" t="s">
        <v>315</v>
      </c>
      <c r="I76" s="9" t="s">
        <v>316</v>
      </c>
      <c r="J76" s="9" t="s">
        <v>317</v>
      </c>
      <c r="K76" s="9" t="s">
        <v>318</v>
      </c>
      <c r="L76" s="17" t="s">
        <v>319</v>
      </c>
      <c r="M76" s="9"/>
      <c r="N76" s="20" t="s">
        <v>150</v>
      </c>
    </row>
    <row r="77" ht="14.25" customHeight="1">
      <c r="A77" s="12">
        <v>55.0</v>
      </c>
      <c r="B77" s="13" t="s">
        <v>100</v>
      </c>
      <c r="C77" s="13" t="s">
        <v>25</v>
      </c>
      <c r="D77" s="13" t="s">
        <v>26</v>
      </c>
      <c r="E77" s="13" t="s">
        <v>42</v>
      </c>
      <c r="F77" s="14">
        <v>9550000.0</v>
      </c>
      <c r="G77" s="13" t="s">
        <v>163</v>
      </c>
      <c r="H77" s="13" t="s">
        <v>37</v>
      </c>
      <c r="I77" s="13" t="s">
        <v>320</v>
      </c>
      <c r="J77" s="13" t="s">
        <v>321</v>
      </c>
      <c r="K77" s="13" t="s">
        <v>322</v>
      </c>
      <c r="L77" s="17" t="s">
        <v>323</v>
      </c>
      <c r="M77" s="13"/>
      <c r="N77" s="18" t="s">
        <v>324</v>
      </c>
    </row>
    <row r="78" ht="14.25" customHeight="1">
      <c r="A78" s="19">
        <v>56.0</v>
      </c>
      <c r="B78" s="9" t="s">
        <v>100</v>
      </c>
      <c r="C78" s="9" t="s">
        <v>25</v>
      </c>
      <c r="D78" s="9" t="s">
        <v>26</v>
      </c>
      <c r="E78" s="9" t="s">
        <v>42</v>
      </c>
      <c r="F78" s="10">
        <v>9550000.0</v>
      </c>
      <c r="G78" s="9" t="s">
        <v>163</v>
      </c>
      <c r="H78" s="9" t="s">
        <v>37</v>
      </c>
      <c r="I78" s="9" t="s">
        <v>325</v>
      </c>
      <c r="J78" s="9" t="s">
        <v>326</v>
      </c>
      <c r="K78" s="9" t="s">
        <v>327</v>
      </c>
      <c r="L78" s="17" t="s">
        <v>328</v>
      </c>
      <c r="M78" s="9"/>
      <c r="N78" s="20" t="s">
        <v>329</v>
      </c>
    </row>
    <row r="79" ht="14.25" customHeight="1">
      <c r="A79" s="12">
        <v>57.0</v>
      </c>
      <c r="B79" s="13" t="s">
        <v>100</v>
      </c>
      <c r="C79" s="13" t="s">
        <v>25</v>
      </c>
      <c r="D79" s="13" t="s">
        <v>26</v>
      </c>
      <c r="E79" s="13" t="s">
        <v>27</v>
      </c>
      <c r="F79" s="14">
        <v>9550000.0</v>
      </c>
      <c r="G79" s="13" t="s">
        <v>163</v>
      </c>
      <c r="H79" s="13" t="s">
        <v>37</v>
      </c>
      <c r="I79" s="13" t="s">
        <v>330</v>
      </c>
      <c r="J79" s="13" t="s">
        <v>331</v>
      </c>
      <c r="K79" s="13" t="s">
        <v>332</v>
      </c>
      <c r="L79" s="17" t="s">
        <v>333</v>
      </c>
      <c r="M79" s="13"/>
      <c r="N79" s="18" t="s">
        <v>150</v>
      </c>
    </row>
    <row r="80" ht="14.25" customHeight="1">
      <c r="A80" s="19">
        <v>58.0</v>
      </c>
      <c r="B80" s="9" t="s">
        <v>100</v>
      </c>
      <c r="C80" s="9" t="s">
        <v>25</v>
      </c>
      <c r="D80" s="9" t="s">
        <v>26</v>
      </c>
      <c r="E80" s="9" t="s">
        <v>42</v>
      </c>
      <c r="F80" s="10">
        <v>9550000.0</v>
      </c>
      <c r="G80" s="9" t="s">
        <v>163</v>
      </c>
      <c r="H80" s="9" t="s">
        <v>37</v>
      </c>
      <c r="I80" s="9" t="s">
        <v>334</v>
      </c>
      <c r="J80" s="9" t="s">
        <v>335</v>
      </c>
      <c r="K80" s="9" t="s">
        <v>336</v>
      </c>
      <c r="L80" s="17" t="s">
        <v>337</v>
      </c>
      <c r="M80" s="9"/>
      <c r="N80" s="20" t="s">
        <v>338</v>
      </c>
    </row>
    <row r="81" ht="14.25" customHeight="1">
      <c r="A81" s="12">
        <v>59.0</v>
      </c>
      <c r="B81" s="13" t="s">
        <v>100</v>
      </c>
      <c r="C81" s="13" t="s">
        <v>25</v>
      </c>
      <c r="D81" s="13" t="s">
        <v>26</v>
      </c>
      <c r="E81" s="13" t="s">
        <v>27</v>
      </c>
      <c r="F81" s="14">
        <v>9550000.0</v>
      </c>
      <c r="G81" s="13" t="s">
        <v>163</v>
      </c>
      <c r="H81" s="13" t="s">
        <v>37</v>
      </c>
      <c r="I81" s="13" t="s">
        <v>339</v>
      </c>
      <c r="J81" s="13" t="s">
        <v>340</v>
      </c>
      <c r="K81" s="13" t="s">
        <v>341</v>
      </c>
      <c r="L81" s="17" t="s">
        <v>342</v>
      </c>
      <c r="M81" s="13"/>
      <c r="N81" s="18" t="s">
        <v>150</v>
      </c>
    </row>
    <row r="82" ht="14.25" customHeight="1">
      <c r="A82" s="19">
        <v>60.0</v>
      </c>
      <c r="B82" s="9" t="s">
        <v>100</v>
      </c>
      <c r="C82" s="9" t="s">
        <v>25</v>
      </c>
      <c r="D82" s="9" t="s">
        <v>26</v>
      </c>
      <c r="E82" s="9" t="s">
        <v>27</v>
      </c>
      <c r="F82" s="10">
        <v>9550000.0</v>
      </c>
      <c r="G82" s="9" t="s">
        <v>163</v>
      </c>
      <c r="H82" s="9" t="s">
        <v>37</v>
      </c>
      <c r="I82" s="9" t="s">
        <v>343</v>
      </c>
      <c r="J82" s="9" t="s">
        <v>344</v>
      </c>
      <c r="K82" s="9" t="s">
        <v>345</v>
      </c>
      <c r="L82" s="17" t="s">
        <v>346</v>
      </c>
      <c r="M82" s="9"/>
      <c r="N82" s="20" t="s">
        <v>347</v>
      </c>
    </row>
    <row r="83" ht="14.25" customHeight="1">
      <c r="A83" s="12">
        <v>61.0</v>
      </c>
      <c r="B83" s="13" t="s">
        <v>100</v>
      </c>
      <c r="C83" s="13" t="s">
        <v>25</v>
      </c>
      <c r="D83" s="13" t="s">
        <v>26</v>
      </c>
      <c r="E83" s="13" t="s">
        <v>27</v>
      </c>
      <c r="F83" s="14">
        <v>9550000.0</v>
      </c>
      <c r="G83" s="13" t="s">
        <v>163</v>
      </c>
      <c r="H83" s="13" t="s">
        <v>37</v>
      </c>
      <c r="I83" s="13" t="s">
        <v>348</v>
      </c>
      <c r="J83" s="13" t="s">
        <v>349</v>
      </c>
      <c r="K83" s="13" t="s">
        <v>350</v>
      </c>
      <c r="L83" s="17" t="s">
        <v>351</v>
      </c>
      <c r="M83" s="13"/>
      <c r="N83" s="18" t="s">
        <v>150</v>
      </c>
    </row>
    <row r="84" ht="14.25" customHeight="1">
      <c r="A84" s="19">
        <v>62.0</v>
      </c>
      <c r="B84" s="9" t="s">
        <v>100</v>
      </c>
      <c r="C84" s="9" t="s">
        <v>25</v>
      </c>
      <c r="D84" s="9" t="s">
        <v>26</v>
      </c>
      <c r="E84" s="9" t="s">
        <v>27</v>
      </c>
      <c r="F84" s="10">
        <v>9550000.0</v>
      </c>
      <c r="G84" s="9" t="s">
        <v>163</v>
      </c>
      <c r="H84" s="9" t="s">
        <v>37</v>
      </c>
      <c r="I84" s="9" t="s">
        <v>352</v>
      </c>
      <c r="J84" s="21" t="s">
        <v>353</v>
      </c>
      <c r="K84" s="9" t="s">
        <v>354</v>
      </c>
      <c r="L84" s="17" t="s">
        <v>355</v>
      </c>
      <c r="M84" s="9"/>
      <c r="N84" s="20" t="s">
        <v>150</v>
      </c>
    </row>
    <row r="85" ht="14.25" customHeight="1">
      <c r="A85" s="12">
        <v>63.0</v>
      </c>
      <c r="B85" s="13" t="s">
        <v>100</v>
      </c>
      <c r="C85" s="13" t="s">
        <v>25</v>
      </c>
      <c r="D85" s="13" t="s">
        <v>26</v>
      </c>
      <c r="E85" s="13" t="s">
        <v>27</v>
      </c>
      <c r="F85" s="14">
        <v>9550000.0</v>
      </c>
      <c r="G85" s="13" t="s">
        <v>163</v>
      </c>
      <c r="H85" s="13" t="s">
        <v>37</v>
      </c>
      <c r="I85" s="13" t="s">
        <v>356</v>
      </c>
      <c r="J85" s="13" t="s">
        <v>357</v>
      </c>
      <c r="K85" s="13" t="s">
        <v>358</v>
      </c>
      <c r="L85" s="17" t="s">
        <v>359</v>
      </c>
      <c r="M85" s="13"/>
      <c r="N85" s="18" t="s">
        <v>360</v>
      </c>
    </row>
    <row r="86" ht="14.25" customHeight="1">
      <c r="A86" s="19">
        <v>64.0</v>
      </c>
      <c r="B86" s="9" t="s">
        <v>100</v>
      </c>
      <c r="C86" s="26" t="s">
        <v>25</v>
      </c>
      <c r="D86" s="9" t="s">
        <v>26</v>
      </c>
      <c r="E86" s="9" t="s">
        <v>42</v>
      </c>
      <c r="F86" s="10">
        <v>9550000.0</v>
      </c>
      <c r="G86" s="9" t="s">
        <v>163</v>
      </c>
      <c r="H86" s="9" t="s">
        <v>37</v>
      </c>
      <c r="I86" s="9" t="s">
        <v>361</v>
      </c>
      <c r="J86" s="9" t="s">
        <v>362</v>
      </c>
      <c r="K86" s="9" t="s">
        <v>363</v>
      </c>
      <c r="L86" s="17" t="s">
        <v>364</v>
      </c>
      <c r="M86" s="9"/>
      <c r="N86" s="20" t="s">
        <v>365</v>
      </c>
    </row>
    <row r="87" ht="14.25" customHeight="1">
      <c r="A87" s="12">
        <v>65.0</v>
      </c>
      <c r="B87" s="13" t="s">
        <v>100</v>
      </c>
      <c r="C87" s="13" t="s">
        <v>25</v>
      </c>
      <c r="D87" s="13" t="s">
        <v>26</v>
      </c>
      <c r="E87" s="13" t="s">
        <v>27</v>
      </c>
      <c r="F87" s="14">
        <v>9550000.0</v>
      </c>
      <c r="G87" s="13" t="s">
        <v>163</v>
      </c>
      <c r="H87" s="13" t="s">
        <v>37</v>
      </c>
      <c r="I87" s="13" t="s">
        <v>366</v>
      </c>
      <c r="J87" s="13" t="s">
        <v>367</v>
      </c>
      <c r="K87" s="13" t="s">
        <v>368</v>
      </c>
      <c r="L87" s="17" t="s">
        <v>369</v>
      </c>
      <c r="M87" s="13"/>
      <c r="N87" s="18" t="s">
        <v>150</v>
      </c>
    </row>
    <row r="88" ht="14.25" customHeight="1">
      <c r="A88" s="19">
        <v>66.0</v>
      </c>
      <c r="B88" s="9" t="s">
        <v>100</v>
      </c>
      <c r="C88" s="9" t="s">
        <v>25</v>
      </c>
      <c r="D88" s="9" t="s">
        <v>26</v>
      </c>
      <c r="E88" s="9" t="s">
        <v>27</v>
      </c>
      <c r="F88" s="10">
        <v>9550000.0</v>
      </c>
      <c r="G88" s="9" t="s">
        <v>163</v>
      </c>
      <c r="H88" s="9" t="s">
        <v>37</v>
      </c>
      <c r="I88" s="9" t="s">
        <v>370</v>
      </c>
      <c r="J88" s="9" t="s">
        <v>371</v>
      </c>
      <c r="K88" s="9" t="s">
        <v>372</v>
      </c>
      <c r="L88" s="17" t="s">
        <v>373</v>
      </c>
      <c r="M88" s="9"/>
      <c r="N88" s="20" t="s">
        <v>150</v>
      </c>
    </row>
    <row r="89" ht="14.25" customHeight="1">
      <c r="A89" s="12">
        <v>67.0</v>
      </c>
      <c r="B89" s="13" t="s">
        <v>100</v>
      </c>
      <c r="C89" s="13" t="s">
        <v>25</v>
      </c>
      <c r="D89" s="13" t="s">
        <v>26</v>
      </c>
      <c r="E89" s="13" t="s">
        <v>27</v>
      </c>
      <c r="F89" s="14">
        <v>9550000.0</v>
      </c>
      <c r="G89" s="13" t="s">
        <v>163</v>
      </c>
      <c r="H89" s="13" t="s">
        <v>37</v>
      </c>
      <c r="I89" s="13" t="s">
        <v>374</v>
      </c>
      <c r="J89" s="13" t="s">
        <v>375</v>
      </c>
      <c r="K89" s="13" t="s">
        <v>376</v>
      </c>
      <c r="L89" s="17" t="s">
        <v>377</v>
      </c>
      <c r="M89" s="13"/>
      <c r="N89" s="18" t="s">
        <v>150</v>
      </c>
    </row>
    <row r="90" ht="14.25" customHeight="1">
      <c r="A90" s="19">
        <v>68.0</v>
      </c>
      <c r="B90" s="9" t="s">
        <v>100</v>
      </c>
      <c r="C90" s="9" t="s">
        <v>25</v>
      </c>
      <c r="D90" s="9" t="s">
        <v>26</v>
      </c>
      <c r="E90" s="9" t="s">
        <v>27</v>
      </c>
      <c r="F90" s="10">
        <v>9550000.0</v>
      </c>
      <c r="G90" s="9" t="s">
        <v>163</v>
      </c>
      <c r="H90" s="9" t="s">
        <v>37</v>
      </c>
      <c r="I90" s="9" t="s">
        <v>378</v>
      </c>
      <c r="J90" s="9" t="s">
        <v>379</v>
      </c>
      <c r="K90" s="9" t="s">
        <v>380</v>
      </c>
      <c r="L90" s="17" t="s">
        <v>381</v>
      </c>
      <c r="M90" s="9"/>
      <c r="N90" s="20" t="s">
        <v>150</v>
      </c>
    </row>
    <row r="91" ht="14.25" customHeight="1">
      <c r="A91" s="12">
        <v>69.0</v>
      </c>
      <c r="B91" s="13" t="s">
        <v>100</v>
      </c>
      <c r="C91" s="13" t="s">
        <v>25</v>
      </c>
      <c r="D91" s="13" t="s">
        <v>26</v>
      </c>
      <c r="E91" s="13" t="s">
        <v>27</v>
      </c>
      <c r="F91" s="14">
        <v>9550000.0</v>
      </c>
      <c r="G91" s="13" t="s">
        <v>163</v>
      </c>
      <c r="H91" s="13" t="s">
        <v>37</v>
      </c>
      <c r="I91" s="13" t="s">
        <v>382</v>
      </c>
      <c r="J91" s="13" t="s">
        <v>383</v>
      </c>
      <c r="K91" s="13" t="s">
        <v>384</v>
      </c>
      <c r="L91" s="17" t="s">
        <v>385</v>
      </c>
      <c r="M91" s="13"/>
      <c r="N91" s="18" t="s">
        <v>150</v>
      </c>
    </row>
    <row r="92" ht="14.25" customHeight="1">
      <c r="A92" s="19">
        <v>70.0</v>
      </c>
      <c r="B92" s="9" t="s">
        <v>100</v>
      </c>
      <c r="C92" s="9" t="s">
        <v>25</v>
      </c>
      <c r="D92" s="9" t="s">
        <v>26</v>
      </c>
      <c r="E92" s="9" t="s">
        <v>27</v>
      </c>
      <c r="F92" s="10">
        <v>9550000.0</v>
      </c>
      <c r="G92" s="9" t="s">
        <v>163</v>
      </c>
      <c r="H92" s="9" t="s">
        <v>37</v>
      </c>
      <c r="I92" s="9" t="s">
        <v>386</v>
      </c>
      <c r="J92" s="9" t="s">
        <v>387</v>
      </c>
      <c r="K92" s="9" t="s">
        <v>388</v>
      </c>
      <c r="L92" s="17" t="s">
        <v>389</v>
      </c>
      <c r="M92" s="9"/>
      <c r="N92" s="20" t="s">
        <v>150</v>
      </c>
    </row>
    <row r="93" ht="14.25" customHeight="1">
      <c r="A93" s="12">
        <v>71.0</v>
      </c>
      <c r="B93" s="13" t="s">
        <v>100</v>
      </c>
      <c r="C93" s="13" t="s">
        <v>25</v>
      </c>
      <c r="D93" s="13" t="s">
        <v>26</v>
      </c>
      <c r="E93" s="13" t="s">
        <v>42</v>
      </c>
      <c r="F93" s="14">
        <v>1.275E7</v>
      </c>
      <c r="G93" s="13" t="s">
        <v>390</v>
      </c>
      <c r="H93" s="13" t="s">
        <v>391</v>
      </c>
      <c r="I93" s="13" t="s">
        <v>392</v>
      </c>
      <c r="J93" s="13" t="s">
        <v>393</v>
      </c>
      <c r="K93" s="13" t="s">
        <v>394</v>
      </c>
      <c r="L93" s="17" t="s">
        <v>395</v>
      </c>
      <c r="M93" s="13"/>
      <c r="N93" s="18" t="s">
        <v>396</v>
      </c>
    </row>
    <row r="94" ht="14.25" customHeight="1">
      <c r="A94" s="19">
        <v>72.0</v>
      </c>
      <c r="B94" s="9" t="s">
        <v>100</v>
      </c>
      <c r="C94" s="9" t="s">
        <v>25</v>
      </c>
      <c r="D94" s="9" t="s">
        <v>26</v>
      </c>
      <c r="E94" s="9" t="s">
        <v>27</v>
      </c>
      <c r="F94" s="10">
        <v>1.275E7</v>
      </c>
      <c r="G94" s="9" t="s">
        <v>390</v>
      </c>
      <c r="H94" s="9" t="s">
        <v>391</v>
      </c>
      <c r="I94" s="9" t="s">
        <v>397</v>
      </c>
      <c r="J94" s="9" t="s">
        <v>398</v>
      </c>
      <c r="K94" s="9" t="s">
        <v>399</v>
      </c>
      <c r="L94" s="17" t="s">
        <v>400</v>
      </c>
      <c r="M94" s="9"/>
      <c r="N94" s="20" t="s">
        <v>150</v>
      </c>
    </row>
    <row r="95" ht="14.25" customHeight="1">
      <c r="A95" s="12">
        <v>73.0</v>
      </c>
      <c r="B95" s="13" t="s">
        <v>100</v>
      </c>
      <c r="C95" s="13" t="s">
        <v>25</v>
      </c>
      <c r="D95" s="13" t="s">
        <v>26</v>
      </c>
      <c r="E95" s="13" t="s">
        <v>27</v>
      </c>
      <c r="F95" s="14">
        <v>1.275E7</v>
      </c>
      <c r="G95" s="13" t="s">
        <v>390</v>
      </c>
      <c r="H95" s="13" t="s">
        <v>391</v>
      </c>
      <c r="I95" s="13" t="s">
        <v>401</v>
      </c>
      <c r="J95" s="16" t="s">
        <v>402</v>
      </c>
      <c r="K95" s="13" t="s">
        <v>403</v>
      </c>
      <c r="L95" s="17" t="s">
        <v>404</v>
      </c>
      <c r="M95" s="13"/>
      <c r="N95" s="18" t="s">
        <v>150</v>
      </c>
    </row>
    <row r="96" ht="14.25" customHeight="1">
      <c r="A96" s="19">
        <v>74.0</v>
      </c>
      <c r="B96" s="9" t="s">
        <v>100</v>
      </c>
      <c r="C96" s="9" t="s">
        <v>25</v>
      </c>
      <c r="D96" s="9" t="s">
        <v>26</v>
      </c>
      <c r="E96" s="9" t="s">
        <v>27</v>
      </c>
      <c r="F96" s="10">
        <v>1.275E7</v>
      </c>
      <c r="G96" s="9" t="s">
        <v>390</v>
      </c>
      <c r="H96" s="9" t="s">
        <v>391</v>
      </c>
      <c r="I96" s="9" t="s">
        <v>405</v>
      </c>
      <c r="J96" s="9" t="s">
        <v>406</v>
      </c>
      <c r="K96" s="9" t="s">
        <v>407</v>
      </c>
      <c r="L96" s="17" t="s">
        <v>408</v>
      </c>
      <c r="M96" s="9"/>
      <c r="N96" s="20" t="s">
        <v>150</v>
      </c>
    </row>
    <row r="97" ht="14.25" customHeight="1">
      <c r="A97" s="12">
        <v>75.0</v>
      </c>
      <c r="B97" s="13" t="s">
        <v>100</v>
      </c>
      <c r="C97" s="13" t="s">
        <v>25</v>
      </c>
      <c r="D97" s="13" t="s">
        <v>26</v>
      </c>
      <c r="E97" s="13" t="s">
        <v>27</v>
      </c>
      <c r="F97" s="14">
        <v>1.275E7</v>
      </c>
      <c r="G97" s="13" t="s">
        <v>390</v>
      </c>
      <c r="H97" s="13" t="s">
        <v>391</v>
      </c>
      <c r="I97" s="13" t="s">
        <v>409</v>
      </c>
      <c r="J97" s="13" t="s">
        <v>410</v>
      </c>
      <c r="K97" s="13" t="s">
        <v>411</v>
      </c>
      <c r="L97" s="17" t="s">
        <v>412</v>
      </c>
      <c r="M97" s="13"/>
      <c r="N97" s="18" t="s">
        <v>150</v>
      </c>
    </row>
    <row r="98" ht="14.25" customHeight="1">
      <c r="A98" s="19">
        <v>76.0</v>
      </c>
      <c r="B98" s="9" t="s">
        <v>100</v>
      </c>
      <c r="C98" s="9" t="s">
        <v>25</v>
      </c>
      <c r="D98" s="9" t="s">
        <v>26</v>
      </c>
      <c r="E98" s="9" t="s">
        <v>27</v>
      </c>
      <c r="F98" s="10">
        <v>1.275E7</v>
      </c>
      <c r="G98" s="9" t="s">
        <v>390</v>
      </c>
      <c r="H98" s="9" t="s">
        <v>391</v>
      </c>
      <c r="I98" s="9" t="s">
        <v>413</v>
      </c>
      <c r="J98" s="9" t="s">
        <v>414</v>
      </c>
      <c r="K98" s="9" t="s">
        <v>415</v>
      </c>
      <c r="L98" s="17" t="s">
        <v>416</v>
      </c>
      <c r="M98" s="9"/>
      <c r="N98" s="20" t="s">
        <v>150</v>
      </c>
    </row>
    <row r="99" ht="14.25" customHeight="1">
      <c r="A99" s="12">
        <v>77.0</v>
      </c>
      <c r="B99" s="13" t="s">
        <v>100</v>
      </c>
      <c r="C99" s="13" t="s">
        <v>25</v>
      </c>
      <c r="D99" s="13" t="s">
        <v>26</v>
      </c>
      <c r="E99" s="13" t="s">
        <v>42</v>
      </c>
      <c r="F99" s="14">
        <v>1.275E7</v>
      </c>
      <c r="G99" s="13" t="s">
        <v>390</v>
      </c>
      <c r="H99" s="13" t="s">
        <v>391</v>
      </c>
      <c r="I99" s="13" t="s">
        <v>417</v>
      </c>
      <c r="J99" s="13" t="s">
        <v>418</v>
      </c>
      <c r="K99" s="13" t="s">
        <v>419</v>
      </c>
      <c r="L99" s="17" t="s">
        <v>420</v>
      </c>
      <c r="M99" s="13"/>
      <c r="N99" s="18" t="s">
        <v>421</v>
      </c>
    </row>
    <row r="100" ht="14.25" customHeight="1">
      <c r="A100" s="19">
        <v>78.0</v>
      </c>
      <c r="B100" s="9" t="s">
        <v>100</v>
      </c>
      <c r="C100" s="9" t="s">
        <v>25</v>
      </c>
      <c r="D100" s="9" t="s">
        <v>26</v>
      </c>
      <c r="E100" s="9" t="s">
        <v>27</v>
      </c>
      <c r="F100" s="10">
        <v>1.275E7</v>
      </c>
      <c r="G100" s="9" t="s">
        <v>390</v>
      </c>
      <c r="H100" s="9" t="s">
        <v>391</v>
      </c>
      <c r="I100" s="9" t="s">
        <v>422</v>
      </c>
      <c r="J100" s="9" t="s">
        <v>423</v>
      </c>
      <c r="K100" s="9" t="s">
        <v>424</v>
      </c>
      <c r="L100" s="17" t="s">
        <v>425</v>
      </c>
      <c r="M100" s="9"/>
      <c r="N100" s="20" t="s">
        <v>426</v>
      </c>
    </row>
    <row r="101" ht="14.25" customHeight="1">
      <c r="A101" s="12">
        <v>79.0</v>
      </c>
      <c r="B101" s="13" t="s">
        <v>100</v>
      </c>
      <c r="C101" s="13" t="s">
        <v>25</v>
      </c>
      <c r="D101" s="13" t="s">
        <v>26</v>
      </c>
      <c r="E101" s="13" t="s">
        <v>27</v>
      </c>
      <c r="F101" s="14">
        <v>1.275E7</v>
      </c>
      <c r="G101" s="13" t="s">
        <v>390</v>
      </c>
      <c r="H101" s="13" t="s">
        <v>391</v>
      </c>
      <c r="I101" s="13" t="s">
        <v>427</v>
      </c>
      <c r="J101" s="13" t="s">
        <v>428</v>
      </c>
      <c r="K101" s="13" t="s">
        <v>429</v>
      </c>
      <c r="L101" s="17" t="s">
        <v>430</v>
      </c>
      <c r="M101" s="13"/>
      <c r="N101" s="18" t="s">
        <v>150</v>
      </c>
    </row>
    <row r="102" ht="14.25" customHeight="1">
      <c r="A102" s="19">
        <v>80.0</v>
      </c>
      <c r="B102" s="9" t="s">
        <v>100</v>
      </c>
      <c r="C102" s="9" t="s">
        <v>25</v>
      </c>
      <c r="D102" s="9" t="s">
        <v>26</v>
      </c>
      <c r="E102" s="9" t="s">
        <v>27</v>
      </c>
      <c r="F102" s="10">
        <v>1.275E7</v>
      </c>
      <c r="G102" s="9" t="s">
        <v>390</v>
      </c>
      <c r="H102" s="9" t="s">
        <v>391</v>
      </c>
      <c r="I102" s="9" t="s">
        <v>431</v>
      </c>
      <c r="J102" s="9" t="s">
        <v>432</v>
      </c>
      <c r="K102" s="9" t="s">
        <v>433</v>
      </c>
      <c r="L102" s="17" t="s">
        <v>434</v>
      </c>
      <c r="M102" s="9"/>
      <c r="N102" s="20" t="s">
        <v>150</v>
      </c>
    </row>
    <row r="103" ht="14.25" customHeight="1">
      <c r="A103" s="12">
        <v>81.0</v>
      </c>
      <c r="B103" s="13" t="s">
        <v>100</v>
      </c>
      <c r="C103" s="13" t="s">
        <v>25</v>
      </c>
      <c r="D103" s="13" t="s">
        <v>26</v>
      </c>
      <c r="E103" s="13" t="s">
        <v>27</v>
      </c>
      <c r="F103" s="14">
        <v>1.275E7</v>
      </c>
      <c r="G103" s="13" t="s">
        <v>390</v>
      </c>
      <c r="H103" s="13" t="s">
        <v>391</v>
      </c>
      <c r="I103" s="13" t="s">
        <v>435</v>
      </c>
      <c r="J103" s="13" t="s">
        <v>436</v>
      </c>
      <c r="K103" s="13" t="s">
        <v>437</v>
      </c>
      <c r="L103" s="17" t="s">
        <v>438</v>
      </c>
      <c r="M103" s="13"/>
      <c r="N103" s="18" t="s">
        <v>150</v>
      </c>
    </row>
    <row r="104" ht="14.25" customHeight="1">
      <c r="A104" s="19">
        <v>82.0</v>
      </c>
      <c r="B104" s="9" t="s">
        <v>100</v>
      </c>
      <c r="C104" s="9" t="s">
        <v>25</v>
      </c>
      <c r="D104" s="9" t="s">
        <v>26</v>
      </c>
      <c r="E104" s="9" t="s">
        <v>27</v>
      </c>
      <c r="F104" s="10">
        <v>1.275E7</v>
      </c>
      <c r="G104" s="9" t="s">
        <v>390</v>
      </c>
      <c r="H104" s="9" t="s">
        <v>391</v>
      </c>
      <c r="I104" s="9" t="s">
        <v>439</v>
      </c>
      <c r="J104" s="9" t="s">
        <v>440</v>
      </c>
      <c r="K104" s="9" t="s">
        <v>441</v>
      </c>
      <c r="L104" s="17" t="s">
        <v>442</v>
      </c>
      <c r="M104" s="9"/>
      <c r="N104" s="20" t="s">
        <v>150</v>
      </c>
    </row>
    <row r="105" ht="14.25" customHeight="1">
      <c r="A105" s="12">
        <v>83.0</v>
      </c>
      <c r="B105" s="13" t="s">
        <v>100</v>
      </c>
      <c r="C105" s="13" t="s">
        <v>25</v>
      </c>
      <c r="D105" s="13" t="s">
        <v>26</v>
      </c>
      <c r="E105" s="13" t="s">
        <v>42</v>
      </c>
      <c r="F105" s="14">
        <v>1.275E7</v>
      </c>
      <c r="G105" s="13" t="s">
        <v>390</v>
      </c>
      <c r="H105" s="13" t="s">
        <v>391</v>
      </c>
      <c r="I105" s="13" t="s">
        <v>443</v>
      </c>
      <c r="J105" s="16" t="s">
        <v>444</v>
      </c>
      <c r="K105" s="13" t="s">
        <v>445</v>
      </c>
      <c r="L105" s="17" t="s">
        <v>446</v>
      </c>
      <c r="M105" s="13"/>
      <c r="N105" s="18" t="s">
        <v>447</v>
      </c>
    </row>
    <row r="106" ht="14.25" customHeight="1">
      <c r="A106" s="19">
        <v>84.0</v>
      </c>
      <c r="B106" s="9" t="s">
        <v>100</v>
      </c>
      <c r="C106" s="9" t="s">
        <v>25</v>
      </c>
      <c r="D106" s="9" t="s">
        <v>26</v>
      </c>
      <c r="E106" s="9" t="s">
        <v>27</v>
      </c>
      <c r="F106" s="10">
        <v>1.275E7</v>
      </c>
      <c r="G106" s="9" t="s">
        <v>390</v>
      </c>
      <c r="H106" s="9" t="s">
        <v>391</v>
      </c>
      <c r="I106" s="9" t="s">
        <v>448</v>
      </c>
      <c r="J106" s="9" t="s">
        <v>449</v>
      </c>
      <c r="K106" s="9" t="s">
        <v>450</v>
      </c>
      <c r="L106" s="17" t="s">
        <v>451</v>
      </c>
      <c r="M106" s="9"/>
      <c r="N106" s="20" t="s">
        <v>150</v>
      </c>
    </row>
    <row r="107" ht="14.25" customHeight="1">
      <c r="A107" s="12">
        <v>85.0</v>
      </c>
      <c r="B107" s="13" t="s">
        <v>100</v>
      </c>
      <c r="C107" s="13" t="s">
        <v>25</v>
      </c>
      <c r="D107" s="13" t="s">
        <v>26</v>
      </c>
      <c r="E107" s="13" t="s">
        <v>27</v>
      </c>
      <c r="F107" s="14">
        <v>1.275E7</v>
      </c>
      <c r="G107" s="13" t="s">
        <v>390</v>
      </c>
      <c r="H107" s="13" t="s">
        <v>391</v>
      </c>
      <c r="I107" s="13" t="s">
        <v>452</v>
      </c>
      <c r="J107" s="13" t="s">
        <v>453</v>
      </c>
      <c r="K107" s="13" t="s">
        <v>454</v>
      </c>
      <c r="L107" s="17" t="s">
        <v>455</v>
      </c>
      <c r="M107" s="13"/>
      <c r="N107" s="18" t="s">
        <v>150</v>
      </c>
    </row>
    <row r="108" ht="14.25" customHeight="1">
      <c r="A108" s="19">
        <v>86.0</v>
      </c>
      <c r="B108" s="9" t="s">
        <v>100</v>
      </c>
      <c r="C108" s="9" t="s">
        <v>25</v>
      </c>
      <c r="D108" s="9" t="s">
        <v>26</v>
      </c>
      <c r="E108" s="9" t="s">
        <v>27</v>
      </c>
      <c r="F108" s="10">
        <v>1.275E7</v>
      </c>
      <c r="G108" s="9" t="s">
        <v>390</v>
      </c>
      <c r="H108" s="9" t="s">
        <v>391</v>
      </c>
      <c r="I108" s="9" t="s">
        <v>456</v>
      </c>
      <c r="J108" s="9" t="s">
        <v>457</v>
      </c>
      <c r="K108" s="9" t="s">
        <v>458</v>
      </c>
      <c r="L108" s="17" t="s">
        <v>459</v>
      </c>
      <c r="M108" s="9"/>
      <c r="N108" s="20" t="s">
        <v>150</v>
      </c>
    </row>
    <row r="109" ht="14.25" customHeight="1">
      <c r="A109" s="12">
        <v>87.0</v>
      </c>
      <c r="B109" s="13" t="s">
        <v>100</v>
      </c>
      <c r="C109" s="13" t="s">
        <v>25</v>
      </c>
      <c r="D109" s="13" t="s">
        <v>26</v>
      </c>
      <c r="E109" s="13" t="s">
        <v>42</v>
      </c>
      <c r="F109" s="14">
        <v>1.275E7</v>
      </c>
      <c r="G109" s="13" t="s">
        <v>390</v>
      </c>
      <c r="H109" s="13" t="s">
        <v>391</v>
      </c>
      <c r="I109" s="13" t="s">
        <v>460</v>
      </c>
      <c r="J109" s="13" t="s">
        <v>461</v>
      </c>
      <c r="K109" s="13" t="s">
        <v>462</v>
      </c>
      <c r="L109" s="17" t="s">
        <v>463</v>
      </c>
      <c r="M109" s="13"/>
      <c r="N109" s="18" t="s">
        <v>464</v>
      </c>
    </row>
    <row r="110" ht="14.25" customHeight="1">
      <c r="A110" s="19">
        <v>88.0</v>
      </c>
      <c r="B110" s="9" t="s">
        <v>100</v>
      </c>
      <c r="C110" s="9" t="s">
        <v>25</v>
      </c>
      <c r="D110" s="9" t="s">
        <v>26</v>
      </c>
      <c r="E110" s="9" t="s">
        <v>27</v>
      </c>
      <c r="F110" s="10">
        <v>1.275E7</v>
      </c>
      <c r="G110" s="9" t="s">
        <v>390</v>
      </c>
      <c r="H110" s="9" t="s">
        <v>391</v>
      </c>
      <c r="I110" s="9" t="s">
        <v>465</v>
      </c>
      <c r="J110" s="9" t="s">
        <v>466</v>
      </c>
      <c r="K110" s="9" t="s">
        <v>467</v>
      </c>
      <c r="L110" s="17" t="s">
        <v>468</v>
      </c>
      <c r="M110" s="9"/>
      <c r="N110" s="20" t="s">
        <v>150</v>
      </c>
    </row>
    <row r="111" ht="14.25" customHeight="1">
      <c r="A111" s="12">
        <v>89.0</v>
      </c>
      <c r="B111" s="13" t="s">
        <v>100</v>
      </c>
      <c r="C111" s="13" t="s">
        <v>25</v>
      </c>
      <c r="D111" s="13" t="s">
        <v>26</v>
      </c>
      <c r="E111" s="13" t="s">
        <v>27</v>
      </c>
      <c r="F111" s="14">
        <v>1.275E7</v>
      </c>
      <c r="G111" s="13" t="s">
        <v>390</v>
      </c>
      <c r="H111" s="13" t="s">
        <v>391</v>
      </c>
      <c r="I111" s="13" t="s">
        <v>469</v>
      </c>
      <c r="J111" s="13" t="s">
        <v>470</v>
      </c>
      <c r="K111" s="13" t="s">
        <v>471</v>
      </c>
      <c r="L111" s="17" t="s">
        <v>472</v>
      </c>
      <c r="M111" s="13"/>
      <c r="N111" s="18" t="s">
        <v>150</v>
      </c>
    </row>
    <row r="112" ht="14.25" customHeight="1">
      <c r="A112" s="19">
        <v>90.0</v>
      </c>
      <c r="B112" s="9" t="s">
        <v>100</v>
      </c>
      <c r="C112" s="9" t="s">
        <v>25</v>
      </c>
      <c r="D112" s="9" t="s">
        <v>26</v>
      </c>
      <c r="E112" s="9" t="s">
        <v>42</v>
      </c>
      <c r="F112" s="10">
        <v>1.3125E7</v>
      </c>
      <c r="G112" s="9" t="s">
        <v>473</v>
      </c>
      <c r="H112" s="9" t="s">
        <v>474</v>
      </c>
      <c r="I112" s="9" t="s">
        <v>475</v>
      </c>
      <c r="J112" s="9" t="s">
        <v>476</v>
      </c>
      <c r="K112" s="9" t="s">
        <v>477</v>
      </c>
      <c r="L112" s="17" t="s">
        <v>478</v>
      </c>
      <c r="M112" s="9"/>
      <c r="N112" s="20" t="s">
        <v>479</v>
      </c>
    </row>
    <row r="113" ht="14.25" customHeight="1">
      <c r="A113" s="12">
        <v>91.0</v>
      </c>
      <c r="B113" s="13" t="s">
        <v>100</v>
      </c>
      <c r="C113" s="13" t="s">
        <v>25</v>
      </c>
      <c r="D113" s="13" t="s">
        <v>26</v>
      </c>
      <c r="E113" s="13" t="s">
        <v>27</v>
      </c>
      <c r="F113" s="14">
        <v>1.3125E7</v>
      </c>
      <c r="G113" s="13" t="s">
        <v>473</v>
      </c>
      <c r="H113" s="13" t="s">
        <v>474</v>
      </c>
      <c r="I113" s="13" t="s">
        <v>480</v>
      </c>
      <c r="J113" s="13" t="s">
        <v>481</v>
      </c>
      <c r="K113" s="13" t="s">
        <v>482</v>
      </c>
      <c r="L113" s="17" t="s">
        <v>483</v>
      </c>
      <c r="M113" s="13"/>
      <c r="N113" s="18" t="s">
        <v>150</v>
      </c>
    </row>
    <row r="114" ht="14.25" customHeight="1">
      <c r="A114" s="19">
        <v>92.0</v>
      </c>
      <c r="B114" s="9" t="s">
        <v>100</v>
      </c>
      <c r="C114" s="9" t="s">
        <v>25</v>
      </c>
      <c r="D114" s="9" t="s">
        <v>26</v>
      </c>
      <c r="E114" s="9" t="s">
        <v>27</v>
      </c>
      <c r="F114" s="10">
        <v>1.3125E7</v>
      </c>
      <c r="G114" s="9" t="s">
        <v>473</v>
      </c>
      <c r="H114" s="9" t="s">
        <v>474</v>
      </c>
      <c r="I114" s="9" t="s">
        <v>484</v>
      </c>
      <c r="J114" s="9" t="s">
        <v>485</v>
      </c>
      <c r="K114" s="9" t="s">
        <v>486</v>
      </c>
      <c r="L114" s="17" t="s">
        <v>487</v>
      </c>
      <c r="M114" s="9"/>
      <c r="N114" s="20" t="s">
        <v>150</v>
      </c>
    </row>
    <row r="115" ht="14.25" customHeight="1">
      <c r="A115" s="12">
        <v>93.0</v>
      </c>
      <c r="B115" s="13" t="s">
        <v>100</v>
      </c>
      <c r="C115" s="13" t="s">
        <v>25</v>
      </c>
      <c r="D115" s="13" t="s">
        <v>26</v>
      </c>
      <c r="E115" s="13" t="s">
        <v>42</v>
      </c>
      <c r="F115" s="14">
        <v>1.3125E7</v>
      </c>
      <c r="G115" s="13" t="s">
        <v>473</v>
      </c>
      <c r="H115" s="13" t="s">
        <v>474</v>
      </c>
      <c r="I115" s="13" t="s">
        <v>488</v>
      </c>
      <c r="J115" s="13" t="s">
        <v>489</v>
      </c>
      <c r="K115" s="13" t="s">
        <v>490</v>
      </c>
      <c r="L115" s="17" t="s">
        <v>491</v>
      </c>
      <c r="M115" s="13"/>
      <c r="N115" s="18" t="s">
        <v>492</v>
      </c>
    </row>
    <row r="116" ht="14.25" customHeight="1">
      <c r="A116" s="19">
        <v>94.0</v>
      </c>
      <c r="B116" s="9" t="s">
        <v>100</v>
      </c>
      <c r="C116" s="9" t="s">
        <v>25</v>
      </c>
      <c r="D116" s="9" t="s">
        <v>26</v>
      </c>
      <c r="E116" s="9" t="s">
        <v>42</v>
      </c>
      <c r="F116" s="10">
        <v>1.3125E7</v>
      </c>
      <c r="G116" s="9" t="s">
        <v>473</v>
      </c>
      <c r="H116" s="9" t="s">
        <v>474</v>
      </c>
      <c r="I116" s="9" t="s">
        <v>493</v>
      </c>
      <c r="J116" s="9" t="s">
        <v>494</v>
      </c>
      <c r="K116" s="9" t="s">
        <v>495</v>
      </c>
      <c r="L116" s="17" t="s">
        <v>496</v>
      </c>
      <c r="M116" s="9"/>
      <c r="N116" s="20" t="s">
        <v>497</v>
      </c>
    </row>
    <row r="117" ht="14.25" customHeight="1">
      <c r="A117" s="12">
        <v>95.0</v>
      </c>
      <c r="B117" s="13" t="s">
        <v>100</v>
      </c>
      <c r="C117" s="13" t="s">
        <v>25</v>
      </c>
      <c r="D117" s="13" t="s">
        <v>26</v>
      </c>
      <c r="E117" s="13" t="s">
        <v>42</v>
      </c>
      <c r="F117" s="14">
        <v>1.3125E7</v>
      </c>
      <c r="G117" s="13" t="s">
        <v>473</v>
      </c>
      <c r="H117" s="13" t="s">
        <v>474</v>
      </c>
      <c r="I117" s="13" t="s">
        <v>498</v>
      </c>
      <c r="J117" s="13" t="s">
        <v>499</v>
      </c>
      <c r="K117" s="13" t="s">
        <v>500</v>
      </c>
      <c r="L117" s="17" t="s">
        <v>501</v>
      </c>
      <c r="M117" s="13"/>
      <c r="N117" s="18" t="s">
        <v>502</v>
      </c>
    </row>
    <row r="118" ht="14.25" customHeight="1">
      <c r="A118" s="19">
        <v>96.0</v>
      </c>
      <c r="B118" s="9" t="s">
        <v>100</v>
      </c>
      <c r="C118" s="9" t="s">
        <v>25</v>
      </c>
      <c r="D118" s="9" t="s">
        <v>26</v>
      </c>
      <c r="E118" s="9" t="s">
        <v>27</v>
      </c>
      <c r="F118" s="10">
        <v>2.24E7</v>
      </c>
      <c r="G118" s="9" t="s">
        <v>503</v>
      </c>
      <c r="H118" s="9" t="s">
        <v>44</v>
      </c>
      <c r="I118" s="9" t="s">
        <v>504</v>
      </c>
      <c r="J118" s="9" t="s">
        <v>505</v>
      </c>
      <c r="K118" s="9" t="s">
        <v>506</v>
      </c>
      <c r="L118" s="27" t="s">
        <v>507</v>
      </c>
      <c r="M118" s="9"/>
      <c r="N118" s="20" t="s">
        <v>150</v>
      </c>
    </row>
    <row r="119" ht="14.25" customHeight="1">
      <c r="A119" s="12">
        <v>97.0</v>
      </c>
      <c r="B119" s="13" t="s">
        <v>100</v>
      </c>
      <c r="C119" s="13" t="s">
        <v>25</v>
      </c>
      <c r="D119" s="13" t="s">
        <v>26</v>
      </c>
      <c r="E119" s="13" t="s">
        <v>27</v>
      </c>
      <c r="F119" s="14">
        <v>2.24E7</v>
      </c>
      <c r="G119" s="13" t="s">
        <v>503</v>
      </c>
      <c r="H119" s="13" t="s">
        <v>44</v>
      </c>
      <c r="I119" s="13" t="s">
        <v>508</v>
      </c>
      <c r="J119" s="16" t="s">
        <v>509</v>
      </c>
      <c r="K119" s="13" t="s">
        <v>510</v>
      </c>
      <c r="L119" s="27" t="s">
        <v>511</v>
      </c>
      <c r="M119" s="13"/>
      <c r="N119" s="18" t="s">
        <v>150</v>
      </c>
    </row>
    <row r="120" ht="14.25" customHeight="1">
      <c r="A120" s="19">
        <v>98.0</v>
      </c>
      <c r="B120" s="9" t="s">
        <v>100</v>
      </c>
      <c r="C120" s="9" t="s">
        <v>25</v>
      </c>
      <c r="D120" s="9" t="s">
        <v>26</v>
      </c>
      <c r="E120" s="9" t="s">
        <v>27</v>
      </c>
      <c r="F120" s="10">
        <v>2.24E7</v>
      </c>
      <c r="G120" s="9" t="s">
        <v>503</v>
      </c>
      <c r="H120" s="9" t="s">
        <v>44</v>
      </c>
      <c r="I120" s="9" t="s">
        <v>512</v>
      </c>
      <c r="J120" s="9" t="s">
        <v>513</v>
      </c>
      <c r="K120" s="9" t="s">
        <v>514</v>
      </c>
      <c r="L120" s="27" t="s">
        <v>515</v>
      </c>
      <c r="M120" s="9"/>
      <c r="N120" s="20" t="s">
        <v>516</v>
      </c>
    </row>
    <row r="121" ht="14.25" customHeight="1">
      <c r="A121" s="12">
        <v>99.0</v>
      </c>
      <c r="B121" s="13" t="s">
        <v>100</v>
      </c>
      <c r="C121" s="13" t="s">
        <v>25</v>
      </c>
      <c r="D121" s="13" t="s">
        <v>26</v>
      </c>
      <c r="E121" s="13" t="s">
        <v>42</v>
      </c>
      <c r="F121" s="14">
        <v>2.24E7</v>
      </c>
      <c r="G121" s="13" t="s">
        <v>503</v>
      </c>
      <c r="H121" s="13" t="s">
        <v>44</v>
      </c>
      <c r="I121" s="13" t="s">
        <v>517</v>
      </c>
      <c r="J121" s="13" t="s">
        <v>518</v>
      </c>
      <c r="K121" s="13" t="s">
        <v>519</v>
      </c>
      <c r="L121" s="27" t="s">
        <v>520</v>
      </c>
      <c r="M121" s="13"/>
      <c r="N121" s="18" t="s">
        <v>521</v>
      </c>
    </row>
    <row r="122" ht="14.25" customHeight="1">
      <c r="A122" s="19">
        <v>100.0</v>
      </c>
      <c r="B122" s="9" t="s">
        <v>100</v>
      </c>
      <c r="C122" s="9" t="s">
        <v>25</v>
      </c>
      <c r="D122" s="9" t="s">
        <v>26</v>
      </c>
      <c r="E122" s="9" t="s">
        <v>42</v>
      </c>
      <c r="F122" s="10">
        <v>1.440733333E7</v>
      </c>
      <c r="G122" s="9" t="s">
        <v>522</v>
      </c>
      <c r="H122" s="9" t="s">
        <v>92</v>
      </c>
      <c r="I122" s="9" t="s">
        <v>523</v>
      </c>
      <c r="J122" s="9" t="s">
        <v>524</v>
      </c>
      <c r="K122" s="9" t="s">
        <v>525</v>
      </c>
      <c r="L122" s="17" t="s">
        <v>526</v>
      </c>
      <c r="M122" s="9" t="s">
        <v>527</v>
      </c>
      <c r="N122" s="20" t="s">
        <v>528</v>
      </c>
    </row>
    <row r="123" ht="14.25" customHeight="1">
      <c r="A123" s="12">
        <v>101.0</v>
      </c>
      <c r="B123" s="13" t="s">
        <v>100</v>
      </c>
      <c r="C123" s="13" t="s">
        <v>25</v>
      </c>
      <c r="D123" s="13" t="s">
        <v>26</v>
      </c>
      <c r="E123" s="13" t="s">
        <v>42</v>
      </c>
      <c r="F123" s="14">
        <v>1.440733333E7</v>
      </c>
      <c r="G123" s="13" t="s">
        <v>522</v>
      </c>
      <c r="H123" s="13" t="s">
        <v>92</v>
      </c>
      <c r="I123" s="13" t="s">
        <v>529</v>
      </c>
      <c r="J123" s="13" t="s">
        <v>530</v>
      </c>
      <c r="K123" s="13" t="s">
        <v>531</v>
      </c>
      <c r="L123" s="17" t="s">
        <v>532</v>
      </c>
      <c r="M123" s="13" t="s">
        <v>527</v>
      </c>
      <c r="N123" s="18" t="s">
        <v>421</v>
      </c>
    </row>
    <row r="124" ht="14.25" customHeight="1">
      <c r="A124" s="19">
        <v>102.0</v>
      </c>
      <c r="B124" s="9" t="s">
        <v>100</v>
      </c>
      <c r="C124" s="9" t="s">
        <v>25</v>
      </c>
      <c r="D124" s="9" t="s">
        <v>26</v>
      </c>
      <c r="E124" s="9" t="s">
        <v>42</v>
      </c>
      <c r="F124" s="10">
        <v>1.440733333E7</v>
      </c>
      <c r="G124" s="9" t="s">
        <v>522</v>
      </c>
      <c r="H124" s="9" t="s">
        <v>92</v>
      </c>
      <c r="I124" s="9" t="s">
        <v>533</v>
      </c>
      <c r="J124" s="9" t="s">
        <v>534</v>
      </c>
      <c r="K124" s="9" t="s">
        <v>535</v>
      </c>
      <c r="L124" s="17" t="s">
        <v>536</v>
      </c>
      <c r="M124" s="9" t="s">
        <v>527</v>
      </c>
      <c r="N124" s="20" t="s">
        <v>537</v>
      </c>
    </row>
    <row r="125" ht="14.25" customHeight="1">
      <c r="A125" s="12">
        <v>103.0</v>
      </c>
      <c r="B125" s="13" t="s">
        <v>100</v>
      </c>
      <c r="C125" s="13" t="s">
        <v>25</v>
      </c>
      <c r="D125" s="13" t="s">
        <v>26</v>
      </c>
      <c r="E125" s="13" t="s">
        <v>42</v>
      </c>
      <c r="F125" s="14">
        <v>1.440733333E7</v>
      </c>
      <c r="G125" s="13" t="s">
        <v>522</v>
      </c>
      <c r="H125" s="13" t="s">
        <v>92</v>
      </c>
      <c r="I125" s="13" t="s">
        <v>538</v>
      </c>
      <c r="J125" s="13" t="s">
        <v>539</v>
      </c>
      <c r="K125" s="13" t="s">
        <v>540</v>
      </c>
      <c r="L125" s="17" t="s">
        <v>541</v>
      </c>
      <c r="M125" s="13" t="s">
        <v>527</v>
      </c>
      <c r="N125" s="18" t="s">
        <v>542</v>
      </c>
    </row>
    <row r="126" ht="14.25" customHeight="1">
      <c r="A126" s="19">
        <v>104.0</v>
      </c>
      <c r="B126" s="9" t="s">
        <v>100</v>
      </c>
      <c r="C126" s="9" t="s">
        <v>25</v>
      </c>
      <c r="D126" s="9" t="s">
        <v>26</v>
      </c>
      <c r="E126" s="9" t="s">
        <v>27</v>
      </c>
      <c r="F126" s="10">
        <v>1.440733333E7</v>
      </c>
      <c r="G126" s="9" t="s">
        <v>522</v>
      </c>
      <c r="H126" s="9" t="s">
        <v>92</v>
      </c>
      <c r="I126" s="9" t="s">
        <v>543</v>
      </c>
      <c r="J126" s="9" t="s">
        <v>544</v>
      </c>
      <c r="K126" s="9" t="s">
        <v>545</v>
      </c>
      <c r="L126" s="17" t="s">
        <v>546</v>
      </c>
      <c r="M126" s="9" t="s">
        <v>527</v>
      </c>
      <c r="N126" s="20" t="s">
        <v>150</v>
      </c>
    </row>
    <row r="127" ht="14.25" customHeight="1">
      <c r="A127" s="12">
        <v>105.0</v>
      </c>
      <c r="B127" s="13" t="s">
        <v>100</v>
      </c>
      <c r="C127" s="13" t="s">
        <v>25</v>
      </c>
      <c r="D127" s="13" t="s">
        <v>26</v>
      </c>
      <c r="E127" s="13" t="s">
        <v>27</v>
      </c>
      <c r="F127" s="14">
        <v>1.440733333E7</v>
      </c>
      <c r="G127" s="13" t="s">
        <v>522</v>
      </c>
      <c r="H127" s="13" t="s">
        <v>92</v>
      </c>
      <c r="I127" s="13" t="s">
        <v>547</v>
      </c>
      <c r="J127" s="13" t="s">
        <v>548</v>
      </c>
      <c r="K127" s="13" t="s">
        <v>549</v>
      </c>
      <c r="L127" s="17" t="s">
        <v>550</v>
      </c>
      <c r="M127" s="13" t="s">
        <v>527</v>
      </c>
      <c r="N127" s="18" t="s">
        <v>150</v>
      </c>
    </row>
    <row r="128" ht="14.25" customHeight="1">
      <c r="A128" s="19">
        <v>106.0</v>
      </c>
      <c r="B128" s="9" t="s">
        <v>100</v>
      </c>
      <c r="C128" s="9" t="s">
        <v>25</v>
      </c>
      <c r="D128" s="9" t="s">
        <v>26</v>
      </c>
      <c r="E128" s="9" t="s">
        <v>42</v>
      </c>
      <c r="F128" s="10">
        <v>1.440733333E7</v>
      </c>
      <c r="G128" s="9" t="s">
        <v>522</v>
      </c>
      <c r="H128" s="9" t="s">
        <v>92</v>
      </c>
      <c r="I128" s="9" t="s">
        <v>551</v>
      </c>
      <c r="J128" s="9" t="s">
        <v>552</v>
      </c>
      <c r="K128" s="21" t="s">
        <v>553</v>
      </c>
      <c r="L128" s="17" t="s">
        <v>554</v>
      </c>
      <c r="M128" s="9" t="s">
        <v>527</v>
      </c>
      <c r="N128" s="20" t="s">
        <v>555</v>
      </c>
    </row>
    <row r="129" ht="14.25" customHeight="1">
      <c r="A129" s="12">
        <v>107.0</v>
      </c>
      <c r="B129" s="13" t="s">
        <v>100</v>
      </c>
      <c r="C129" s="13" t="s">
        <v>25</v>
      </c>
      <c r="D129" s="13" t="s">
        <v>26</v>
      </c>
      <c r="E129" s="13" t="s">
        <v>27</v>
      </c>
      <c r="F129" s="14">
        <v>1.440733333E7</v>
      </c>
      <c r="G129" s="13" t="s">
        <v>522</v>
      </c>
      <c r="H129" s="13" t="s">
        <v>92</v>
      </c>
      <c r="I129" s="13" t="s">
        <v>556</v>
      </c>
      <c r="J129" s="13" t="s">
        <v>557</v>
      </c>
      <c r="K129" s="13" t="s">
        <v>558</v>
      </c>
      <c r="L129" s="17" t="s">
        <v>559</v>
      </c>
      <c r="M129" s="13" t="s">
        <v>527</v>
      </c>
      <c r="N129" s="18" t="s">
        <v>150</v>
      </c>
    </row>
    <row r="130" ht="14.25" customHeight="1">
      <c r="A130" s="19">
        <v>108.0</v>
      </c>
      <c r="B130" s="9" t="s">
        <v>100</v>
      </c>
      <c r="C130" s="9" t="s">
        <v>25</v>
      </c>
      <c r="D130" s="9" t="s">
        <v>26</v>
      </c>
      <c r="E130" s="9" t="s">
        <v>42</v>
      </c>
      <c r="F130" s="10">
        <v>1.440733333E7</v>
      </c>
      <c r="G130" s="9" t="s">
        <v>522</v>
      </c>
      <c r="H130" s="9" t="s">
        <v>92</v>
      </c>
      <c r="I130" s="9" t="s">
        <v>560</v>
      </c>
      <c r="J130" s="9" t="s">
        <v>561</v>
      </c>
      <c r="K130" s="9" t="s">
        <v>562</v>
      </c>
      <c r="L130" s="17" t="s">
        <v>563</v>
      </c>
      <c r="M130" s="9" t="s">
        <v>527</v>
      </c>
      <c r="N130" s="20" t="s">
        <v>564</v>
      </c>
    </row>
    <row r="131" ht="14.25" customHeight="1">
      <c r="A131" s="12">
        <v>109.0</v>
      </c>
      <c r="B131" s="13" t="s">
        <v>100</v>
      </c>
      <c r="C131" s="13" t="s">
        <v>25</v>
      </c>
      <c r="D131" s="13" t="s">
        <v>26</v>
      </c>
      <c r="E131" s="13" t="s">
        <v>42</v>
      </c>
      <c r="F131" s="14">
        <v>1.440733333E7</v>
      </c>
      <c r="G131" s="13" t="s">
        <v>522</v>
      </c>
      <c r="H131" s="13" t="s">
        <v>92</v>
      </c>
      <c r="I131" s="13" t="s">
        <v>565</v>
      </c>
      <c r="J131" s="16" t="s">
        <v>566</v>
      </c>
      <c r="K131" s="13" t="s">
        <v>567</v>
      </c>
      <c r="L131" s="17" t="s">
        <v>568</v>
      </c>
      <c r="M131" s="13" t="s">
        <v>527</v>
      </c>
      <c r="N131" s="18" t="s">
        <v>569</v>
      </c>
    </row>
    <row r="132" ht="14.25" customHeight="1">
      <c r="A132" s="19">
        <v>110.0</v>
      </c>
      <c r="B132" s="9" t="s">
        <v>100</v>
      </c>
      <c r="C132" s="9" t="s">
        <v>25</v>
      </c>
      <c r="D132" s="9" t="s">
        <v>26</v>
      </c>
      <c r="E132" s="9" t="s">
        <v>42</v>
      </c>
      <c r="F132" s="10">
        <v>1.440733333E7</v>
      </c>
      <c r="G132" s="9" t="s">
        <v>522</v>
      </c>
      <c r="H132" s="9" t="s">
        <v>92</v>
      </c>
      <c r="I132" s="9" t="s">
        <v>570</v>
      </c>
      <c r="J132" s="9" t="s">
        <v>571</v>
      </c>
      <c r="K132" s="9" t="s">
        <v>572</v>
      </c>
      <c r="L132" s="17" t="s">
        <v>573</v>
      </c>
      <c r="M132" s="9" t="s">
        <v>527</v>
      </c>
      <c r="N132" s="20" t="s">
        <v>574</v>
      </c>
    </row>
    <row r="133" ht="14.25" customHeight="1">
      <c r="A133" s="12">
        <v>111.0</v>
      </c>
      <c r="B133" s="13" t="s">
        <v>100</v>
      </c>
      <c r="C133" s="13"/>
      <c r="D133" s="13" t="s">
        <v>26</v>
      </c>
      <c r="E133" s="13" t="s">
        <v>42</v>
      </c>
      <c r="F133" s="14">
        <v>1.440733333E7</v>
      </c>
      <c r="G133" s="13" t="s">
        <v>522</v>
      </c>
      <c r="H133" s="13" t="s">
        <v>92</v>
      </c>
      <c r="I133" s="13" t="s">
        <v>575</v>
      </c>
      <c r="J133" s="13" t="s">
        <v>576</v>
      </c>
      <c r="K133" s="13" t="s">
        <v>577</v>
      </c>
      <c r="L133" s="17" t="s">
        <v>578</v>
      </c>
      <c r="M133" s="13" t="s">
        <v>527</v>
      </c>
      <c r="N133" s="18" t="s">
        <v>579</v>
      </c>
    </row>
    <row r="134" ht="14.25" customHeight="1">
      <c r="A134" s="19">
        <v>112.0</v>
      </c>
      <c r="B134" s="9" t="s">
        <v>100</v>
      </c>
      <c r="C134" s="9"/>
      <c r="D134" s="9" t="s">
        <v>26</v>
      </c>
      <c r="E134" s="9" t="s">
        <v>70</v>
      </c>
      <c r="F134" s="10">
        <v>2.52E7</v>
      </c>
      <c r="G134" s="9" t="s">
        <v>580</v>
      </c>
      <c r="H134" s="9" t="s">
        <v>78</v>
      </c>
      <c r="I134" s="9"/>
      <c r="J134" s="9" t="s">
        <v>581</v>
      </c>
      <c r="K134" s="9" t="s">
        <v>582</v>
      </c>
      <c r="L134" s="9"/>
      <c r="M134" s="9"/>
      <c r="N134" s="20"/>
    </row>
    <row r="135" ht="14.25" customHeight="1">
      <c r="A135" s="12">
        <v>113.0</v>
      </c>
      <c r="B135" s="13" t="s">
        <v>100</v>
      </c>
      <c r="C135" s="13"/>
      <c r="D135" s="13" t="s">
        <v>26</v>
      </c>
      <c r="E135" s="13" t="s">
        <v>70</v>
      </c>
      <c r="F135" s="14">
        <v>2.52E7</v>
      </c>
      <c r="G135" s="13" t="s">
        <v>580</v>
      </c>
      <c r="H135" s="13" t="s">
        <v>78</v>
      </c>
      <c r="I135" s="13"/>
      <c r="J135" s="13" t="s">
        <v>583</v>
      </c>
      <c r="K135" s="13" t="s">
        <v>584</v>
      </c>
      <c r="L135" s="13"/>
      <c r="M135" s="13"/>
      <c r="N135" s="18"/>
    </row>
    <row r="136" ht="14.25" customHeight="1">
      <c r="A136" s="19">
        <v>114.0</v>
      </c>
      <c r="B136" s="9" t="s">
        <v>100</v>
      </c>
      <c r="C136" s="9"/>
      <c r="D136" s="9" t="s">
        <v>26</v>
      </c>
      <c r="E136" s="9" t="s">
        <v>70</v>
      </c>
      <c r="F136" s="10">
        <v>2.71E7</v>
      </c>
      <c r="G136" s="9" t="s">
        <v>585</v>
      </c>
      <c r="H136" s="9" t="s">
        <v>78</v>
      </c>
      <c r="I136" s="9"/>
      <c r="J136" s="9" t="s">
        <v>586</v>
      </c>
      <c r="K136" s="9" t="s">
        <v>587</v>
      </c>
      <c r="L136" s="9"/>
      <c r="M136" s="9"/>
      <c r="N136" s="20"/>
    </row>
    <row r="137" ht="14.25" customHeight="1">
      <c r="A137" s="12">
        <v>115.0</v>
      </c>
      <c r="B137" s="13" t="s">
        <v>100</v>
      </c>
      <c r="C137" s="13"/>
      <c r="D137" s="13" t="s">
        <v>26</v>
      </c>
      <c r="E137" s="13" t="s">
        <v>70</v>
      </c>
      <c r="F137" s="14">
        <v>2.71E7</v>
      </c>
      <c r="G137" s="13" t="s">
        <v>585</v>
      </c>
      <c r="H137" s="13" t="s">
        <v>78</v>
      </c>
      <c r="I137" s="13"/>
      <c r="J137" s="13" t="s">
        <v>588</v>
      </c>
      <c r="K137" s="13" t="s">
        <v>589</v>
      </c>
      <c r="L137" s="13"/>
      <c r="M137" s="13"/>
      <c r="N137" s="18"/>
    </row>
    <row r="138" ht="14.25" customHeight="1">
      <c r="A138" s="19">
        <v>116.0</v>
      </c>
      <c r="B138" s="9" t="s">
        <v>100</v>
      </c>
      <c r="C138" s="9"/>
      <c r="D138" s="9" t="s">
        <v>26</v>
      </c>
      <c r="E138" s="9" t="s">
        <v>70</v>
      </c>
      <c r="F138" s="10">
        <v>2.71E7</v>
      </c>
      <c r="G138" s="9" t="s">
        <v>585</v>
      </c>
      <c r="H138" s="9" t="s">
        <v>78</v>
      </c>
      <c r="I138" s="9"/>
      <c r="J138" s="9" t="s">
        <v>590</v>
      </c>
      <c r="K138" s="9" t="s">
        <v>591</v>
      </c>
      <c r="L138" s="9"/>
      <c r="M138" s="9"/>
      <c r="N138" s="20"/>
    </row>
    <row r="139" ht="14.25" customHeight="1">
      <c r="A139" s="12">
        <v>117.0</v>
      </c>
      <c r="B139" s="13" t="s">
        <v>100</v>
      </c>
      <c r="C139" s="13"/>
      <c r="D139" s="13" t="s">
        <v>26</v>
      </c>
      <c r="E139" s="13" t="s">
        <v>70</v>
      </c>
      <c r="F139" s="14">
        <v>2.52E7</v>
      </c>
      <c r="G139" s="13" t="s">
        <v>580</v>
      </c>
      <c r="H139" s="13" t="s">
        <v>78</v>
      </c>
      <c r="I139" s="13"/>
      <c r="J139" s="13" t="s">
        <v>592</v>
      </c>
      <c r="K139" s="13" t="s">
        <v>593</v>
      </c>
      <c r="L139" s="13"/>
      <c r="M139" s="13"/>
      <c r="N139" s="18"/>
    </row>
    <row r="140" ht="14.25" customHeight="1">
      <c r="A140" s="19">
        <v>118.0</v>
      </c>
      <c r="B140" s="9" t="s">
        <v>100</v>
      </c>
      <c r="C140" s="9"/>
      <c r="D140" s="9" t="s">
        <v>26</v>
      </c>
      <c r="E140" s="9" t="s">
        <v>70</v>
      </c>
      <c r="F140" s="10">
        <v>2.71E7</v>
      </c>
      <c r="G140" s="9" t="s">
        <v>585</v>
      </c>
      <c r="H140" s="9" t="s">
        <v>78</v>
      </c>
      <c r="I140" s="9"/>
      <c r="J140" s="9" t="s">
        <v>594</v>
      </c>
      <c r="K140" s="9" t="s">
        <v>595</v>
      </c>
      <c r="L140" s="9"/>
      <c r="M140" s="9"/>
      <c r="N140" s="20"/>
    </row>
    <row r="141" ht="14.25" customHeight="1">
      <c r="A141" s="12">
        <v>119.0</v>
      </c>
      <c r="B141" s="13" t="s">
        <v>100</v>
      </c>
      <c r="C141" s="13"/>
      <c r="D141" s="13" t="s">
        <v>26</v>
      </c>
      <c r="E141" s="13" t="s">
        <v>70</v>
      </c>
      <c r="F141" s="14">
        <v>2.71E7</v>
      </c>
      <c r="G141" s="13" t="s">
        <v>585</v>
      </c>
      <c r="H141" s="13" t="s">
        <v>78</v>
      </c>
      <c r="I141" s="13"/>
      <c r="J141" s="13" t="s">
        <v>596</v>
      </c>
      <c r="K141" s="13" t="s">
        <v>597</v>
      </c>
      <c r="L141" s="13"/>
      <c r="M141" s="13"/>
      <c r="N141" s="18"/>
    </row>
    <row r="142" ht="14.25" customHeight="1">
      <c r="A142" s="19">
        <v>120.0</v>
      </c>
      <c r="B142" s="9" t="s">
        <v>100</v>
      </c>
      <c r="C142" s="9"/>
      <c r="D142" s="9" t="s">
        <v>26</v>
      </c>
      <c r="E142" s="9" t="s">
        <v>70</v>
      </c>
      <c r="F142" s="10">
        <v>2.71E7</v>
      </c>
      <c r="G142" s="9" t="s">
        <v>585</v>
      </c>
      <c r="H142" s="9" t="s">
        <v>78</v>
      </c>
      <c r="I142" s="9"/>
      <c r="J142" s="9" t="s">
        <v>598</v>
      </c>
      <c r="K142" s="9" t="s">
        <v>599</v>
      </c>
      <c r="L142" s="9"/>
      <c r="M142" s="9"/>
      <c r="N142" s="20"/>
    </row>
    <row r="143" ht="14.25" customHeight="1">
      <c r="A143" s="12">
        <v>121.0</v>
      </c>
      <c r="B143" s="13" t="s">
        <v>100</v>
      </c>
      <c r="C143" s="13"/>
      <c r="D143" s="13" t="s">
        <v>26</v>
      </c>
      <c r="E143" s="13" t="s">
        <v>70</v>
      </c>
      <c r="F143" s="14">
        <v>2.52E7</v>
      </c>
      <c r="G143" s="13" t="s">
        <v>580</v>
      </c>
      <c r="H143" s="13" t="s">
        <v>78</v>
      </c>
      <c r="I143" s="13"/>
      <c r="J143" s="13" t="s">
        <v>600</v>
      </c>
      <c r="K143" s="13" t="s">
        <v>601</v>
      </c>
      <c r="L143" s="13"/>
      <c r="M143" s="13"/>
      <c r="N143" s="18"/>
    </row>
    <row r="144" ht="14.25" customHeight="1">
      <c r="A144" s="19">
        <v>122.0</v>
      </c>
      <c r="B144" s="9" t="s">
        <v>100</v>
      </c>
      <c r="C144" s="9"/>
      <c r="D144" s="9" t="s">
        <v>26</v>
      </c>
      <c r="E144" s="9" t="s">
        <v>70</v>
      </c>
      <c r="F144" s="10">
        <v>2.52E7</v>
      </c>
      <c r="G144" s="9" t="s">
        <v>580</v>
      </c>
      <c r="H144" s="9" t="s">
        <v>78</v>
      </c>
      <c r="I144" s="9"/>
      <c r="J144" s="9" t="s">
        <v>602</v>
      </c>
      <c r="K144" s="9" t="s">
        <v>603</v>
      </c>
      <c r="L144" s="9"/>
      <c r="M144" s="9"/>
      <c r="N144" s="20"/>
    </row>
    <row r="145" ht="14.25" customHeight="1">
      <c r="A145" s="12">
        <v>123.0</v>
      </c>
      <c r="B145" s="13" t="s">
        <v>100</v>
      </c>
      <c r="C145" s="13" t="s">
        <v>585</v>
      </c>
      <c r="D145" s="13" t="s">
        <v>26</v>
      </c>
      <c r="E145" s="13" t="s">
        <v>70</v>
      </c>
      <c r="F145" s="14">
        <v>2.71E7</v>
      </c>
      <c r="G145" s="13" t="s">
        <v>585</v>
      </c>
      <c r="H145" s="13" t="s">
        <v>78</v>
      </c>
      <c r="I145" s="13"/>
      <c r="J145" s="13" t="s">
        <v>604</v>
      </c>
      <c r="K145" s="13" t="s">
        <v>605</v>
      </c>
      <c r="L145" s="13"/>
      <c r="M145" s="13"/>
      <c r="N145" s="18"/>
    </row>
    <row r="146" ht="14.25" customHeight="1">
      <c r="A146" s="19">
        <v>124.0</v>
      </c>
      <c r="B146" s="9" t="s">
        <v>100</v>
      </c>
      <c r="C146" s="9"/>
      <c r="D146" s="9" t="s">
        <v>26</v>
      </c>
      <c r="E146" s="9" t="s">
        <v>70</v>
      </c>
      <c r="F146" s="10">
        <v>2.52E7</v>
      </c>
      <c r="G146" s="9" t="s">
        <v>580</v>
      </c>
      <c r="H146" s="9" t="s">
        <v>78</v>
      </c>
      <c r="I146" s="9"/>
      <c r="J146" s="9" t="s">
        <v>606</v>
      </c>
      <c r="K146" s="9" t="s">
        <v>607</v>
      </c>
      <c r="L146" s="9"/>
      <c r="M146" s="9"/>
      <c r="N146" s="20"/>
    </row>
    <row r="147" ht="14.25" customHeight="1">
      <c r="A147" s="12">
        <v>125.0</v>
      </c>
      <c r="B147" s="13" t="s">
        <v>100</v>
      </c>
      <c r="C147" s="13"/>
      <c r="D147" s="13" t="s">
        <v>26</v>
      </c>
      <c r="E147" s="13" t="s">
        <v>70</v>
      </c>
      <c r="F147" s="14">
        <v>2.52E7</v>
      </c>
      <c r="G147" s="13" t="s">
        <v>580</v>
      </c>
      <c r="H147" s="13" t="s">
        <v>78</v>
      </c>
      <c r="I147" s="13"/>
      <c r="J147" s="13" t="s">
        <v>608</v>
      </c>
      <c r="K147" s="13" t="s">
        <v>609</v>
      </c>
      <c r="L147" s="13"/>
      <c r="M147" s="13"/>
      <c r="N147" s="18"/>
    </row>
    <row r="148" ht="14.25" customHeight="1">
      <c r="A148" s="19">
        <v>126.0</v>
      </c>
      <c r="B148" s="9" t="s">
        <v>100</v>
      </c>
      <c r="C148" s="9" t="s">
        <v>25</v>
      </c>
      <c r="D148" s="9" t="s">
        <v>26</v>
      </c>
      <c r="E148" s="9" t="s">
        <v>70</v>
      </c>
      <c r="F148" s="10">
        <v>3.572E7</v>
      </c>
      <c r="G148" s="9" t="s">
        <v>610</v>
      </c>
      <c r="H148" s="9" t="s">
        <v>611</v>
      </c>
      <c r="I148" s="9" t="s">
        <v>612</v>
      </c>
      <c r="J148" s="28" t="s">
        <v>613</v>
      </c>
      <c r="K148" s="9" t="s">
        <v>614</v>
      </c>
      <c r="L148" s="17" t="s">
        <v>615</v>
      </c>
      <c r="M148" s="9" t="s">
        <v>616</v>
      </c>
      <c r="N148" s="20" t="s">
        <v>617</v>
      </c>
    </row>
    <row r="149" ht="14.25" customHeight="1">
      <c r="A149" s="12">
        <v>127.0</v>
      </c>
      <c r="B149" s="13" t="s">
        <v>100</v>
      </c>
      <c r="C149" s="13" t="s">
        <v>25</v>
      </c>
      <c r="D149" s="13" t="s">
        <v>26</v>
      </c>
      <c r="E149" s="13" t="s">
        <v>70</v>
      </c>
      <c r="F149" s="14">
        <v>3.572E7</v>
      </c>
      <c r="G149" s="13" t="s">
        <v>610</v>
      </c>
      <c r="H149" s="13" t="s">
        <v>611</v>
      </c>
      <c r="I149" s="13" t="s">
        <v>618</v>
      </c>
      <c r="J149" s="29" t="s">
        <v>619</v>
      </c>
      <c r="K149" s="13" t="s">
        <v>620</v>
      </c>
      <c r="L149" s="17" t="s">
        <v>621</v>
      </c>
      <c r="M149" s="13" t="s">
        <v>616</v>
      </c>
      <c r="N149" s="18" t="s">
        <v>622</v>
      </c>
    </row>
    <row r="150" ht="14.25" customHeight="1">
      <c r="A150" s="19">
        <v>128.0</v>
      </c>
      <c r="B150" s="9" t="s">
        <v>100</v>
      </c>
      <c r="C150" s="9" t="s">
        <v>25</v>
      </c>
      <c r="D150" s="9" t="s">
        <v>26</v>
      </c>
      <c r="E150" s="9" t="s">
        <v>70</v>
      </c>
      <c r="F150" s="10">
        <v>3.572E7</v>
      </c>
      <c r="G150" s="9" t="s">
        <v>610</v>
      </c>
      <c r="H150" s="9" t="s">
        <v>611</v>
      </c>
      <c r="I150" s="9" t="s">
        <v>623</v>
      </c>
      <c r="J150" s="28" t="s">
        <v>624</v>
      </c>
      <c r="K150" s="9" t="s">
        <v>625</v>
      </c>
      <c r="L150" s="17" t="s">
        <v>626</v>
      </c>
      <c r="M150" s="9" t="s">
        <v>616</v>
      </c>
      <c r="N150" s="20" t="s">
        <v>627</v>
      </c>
    </row>
    <row r="151" ht="14.25" customHeight="1">
      <c r="A151" s="12">
        <v>129.0</v>
      </c>
      <c r="B151" s="13" t="s">
        <v>100</v>
      </c>
      <c r="C151" s="13" t="s">
        <v>25</v>
      </c>
      <c r="D151" s="13" t="s">
        <v>26</v>
      </c>
      <c r="E151" s="13" t="s">
        <v>70</v>
      </c>
      <c r="F151" s="14">
        <v>2.59E7</v>
      </c>
      <c r="G151" s="13" t="s">
        <v>628</v>
      </c>
      <c r="H151" s="13" t="s">
        <v>611</v>
      </c>
      <c r="I151" s="13" t="s">
        <v>629</v>
      </c>
      <c r="J151" s="29" t="s">
        <v>630</v>
      </c>
      <c r="K151" s="13" t="s">
        <v>631</v>
      </c>
      <c r="L151" s="17" t="s">
        <v>632</v>
      </c>
      <c r="M151" s="13" t="s">
        <v>616</v>
      </c>
      <c r="N151" s="18" t="s">
        <v>633</v>
      </c>
    </row>
    <row r="152" ht="14.25" customHeight="1">
      <c r="A152" s="19">
        <v>130.0</v>
      </c>
      <c r="B152" s="9" t="s">
        <v>100</v>
      </c>
      <c r="C152" s="9" t="s">
        <v>25</v>
      </c>
      <c r="D152" s="9" t="s">
        <v>26</v>
      </c>
      <c r="E152" s="9" t="s">
        <v>70</v>
      </c>
      <c r="F152" s="10">
        <v>3.915E7</v>
      </c>
      <c r="G152" s="9" t="s">
        <v>634</v>
      </c>
      <c r="H152" s="9" t="s">
        <v>611</v>
      </c>
      <c r="I152" s="9" t="s">
        <v>635</v>
      </c>
      <c r="J152" s="21" t="s">
        <v>636</v>
      </c>
      <c r="K152" s="9" t="s">
        <v>637</v>
      </c>
      <c r="L152" s="17" t="s">
        <v>638</v>
      </c>
      <c r="M152" s="9" t="s">
        <v>616</v>
      </c>
      <c r="N152" s="20" t="s">
        <v>639</v>
      </c>
    </row>
    <row r="153" ht="14.25" customHeight="1">
      <c r="A153" s="12">
        <v>131.0</v>
      </c>
      <c r="B153" s="13" t="s">
        <v>100</v>
      </c>
      <c r="C153" s="13" t="s">
        <v>25</v>
      </c>
      <c r="D153" s="13" t="s">
        <v>26</v>
      </c>
      <c r="E153" s="13" t="s">
        <v>70</v>
      </c>
      <c r="F153" s="14">
        <v>3.572E7</v>
      </c>
      <c r="G153" s="13" t="s">
        <v>610</v>
      </c>
      <c r="H153" s="13" t="s">
        <v>611</v>
      </c>
      <c r="I153" s="13" t="s">
        <v>640</v>
      </c>
      <c r="J153" s="16" t="s">
        <v>641</v>
      </c>
      <c r="K153" s="16" t="s">
        <v>642</v>
      </c>
      <c r="L153" s="17" t="s">
        <v>643</v>
      </c>
      <c r="M153" s="13" t="s">
        <v>616</v>
      </c>
      <c r="N153" s="18" t="s">
        <v>644</v>
      </c>
    </row>
    <row r="154" ht="14.25" customHeight="1">
      <c r="A154" s="19">
        <v>132.0</v>
      </c>
      <c r="B154" s="9" t="s">
        <v>100</v>
      </c>
      <c r="C154" s="9" t="s">
        <v>25</v>
      </c>
      <c r="D154" s="9" t="s">
        <v>26</v>
      </c>
      <c r="E154" s="9" t="s">
        <v>70</v>
      </c>
      <c r="F154" s="10">
        <v>3.572E7</v>
      </c>
      <c r="G154" s="9" t="s">
        <v>610</v>
      </c>
      <c r="H154" s="9" t="s">
        <v>611</v>
      </c>
      <c r="I154" s="9" t="s">
        <v>645</v>
      </c>
      <c r="J154" s="21" t="s">
        <v>646</v>
      </c>
      <c r="K154" s="21" t="s">
        <v>647</v>
      </c>
      <c r="L154" s="17" t="s">
        <v>648</v>
      </c>
      <c r="M154" s="9" t="s">
        <v>616</v>
      </c>
      <c r="N154" s="20" t="s">
        <v>649</v>
      </c>
    </row>
    <row r="155" ht="14.25" customHeight="1">
      <c r="A155" s="12">
        <v>133.0</v>
      </c>
      <c r="B155" s="13" t="s">
        <v>100</v>
      </c>
      <c r="C155" s="13" t="s">
        <v>25</v>
      </c>
      <c r="D155" s="13" t="s">
        <v>26</v>
      </c>
      <c r="E155" s="13" t="s">
        <v>70</v>
      </c>
      <c r="F155" s="14">
        <v>2.59E7</v>
      </c>
      <c r="G155" s="13" t="s">
        <v>628</v>
      </c>
      <c r="H155" s="13" t="s">
        <v>611</v>
      </c>
      <c r="I155" s="13" t="s">
        <v>650</v>
      </c>
      <c r="J155" s="16" t="s">
        <v>651</v>
      </c>
      <c r="K155" s="16" t="s">
        <v>652</v>
      </c>
      <c r="L155" s="17" t="s">
        <v>653</v>
      </c>
      <c r="M155" s="13" t="s">
        <v>616</v>
      </c>
      <c r="N155" s="18" t="s">
        <v>654</v>
      </c>
    </row>
    <row r="156" ht="14.25" customHeight="1">
      <c r="A156" s="19">
        <v>134.0</v>
      </c>
      <c r="B156" s="9" t="s">
        <v>100</v>
      </c>
      <c r="C156" s="9" t="s">
        <v>25</v>
      </c>
      <c r="D156" s="9" t="s">
        <v>26</v>
      </c>
      <c r="E156" s="9" t="s">
        <v>70</v>
      </c>
      <c r="F156" s="10">
        <v>2.59E7</v>
      </c>
      <c r="G156" s="9" t="s">
        <v>628</v>
      </c>
      <c r="H156" s="9" t="s">
        <v>611</v>
      </c>
      <c r="I156" s="9" t="s">
        <v>655</v>
      </c>
      <c r="J156" s="21" t="s">
        <v>656</v>
      </c>
      <c r="K156" s="21" t="s">
        <v>657</v>
      </c>
      <c r="L156" s="17" t="s">
        <v>658</v>
      </c>
      <c r="M156" s="9" t="s">
        <v>616</v>
      </c>
      <c r="N156" s="20" t="s">
        <v>659</v>
      </c>
    </row>
    <row r="157" ht="14.25" customHeight="1">
      <c r="A157" s="12">
        <v>135.0</v>
      </c>
      <c r="B157" s="13" t="s">
        <v>100</v>
      </c>
      <c r="C157" s="13" t="s">
        <v>25</v>
      </c>
      <c r="D157" s="13" t="s">
        <v>26</v>
      </c>
      <c r="E157" s="13" t="s">
        <v>70</v>
      </c>
      <c r="F157" s="14">
        <v>2.59E7</v>
      </c>
      <c r="G157" s="13" t="s">
        <v>628</v>
      </c>
      <c r="H157" s="13" t="s">
        <v>611</v>
      </c>
      <c r="I157" s="13" t="s">
        <v>660</v>
      </c>
      <c r="J157" s="16" t="s">
        <v>661</v>
      </c>
      <c r="K157" s="16" t="s">
        <v>662</v>
      </c>
      <c r="L157" s="17" t="s">
        <v>663</v>
      </c>
      <c r="M157" s="13" t="s">
        <v>616</v>
      </c>
      <c r="N157" s="18" t="s">
        <v>664</v>
      </c>
    </row>
    <row r="158" ht="14.25" customHeight="1">
      <c r="A158" s="19">
        <v>136.0</v>
      </c>
      <c r="B158" s="9" t="s">
        <v>100</v>
      </c>
      <c r="C158" s="9" t="s">
        <v>25</v>
      </c>
      <c r="D158" s="9" t="s">
        <v>26</v>
      </c>
      <c r="E158" s="9" t="s">
        <v>70</v>
      </c>
      <c r="F158" s="10">
        <v>2.59E7</v>
      </c>
      <c r="G158" s="9" t="s">
        <v>628</v>
      </c>
      <c r="H158" s="9" t="s">
        <v>611</v>
      </c>
      <c r="I158" s="9" t="s">
        <v>665</v>
      </c>
      <c r="J158" s="28" t="s">
        <v>666</v>
      </c>
      <c r="K158" s="9" t="s">
        <v>667</v>
      </c>
      <c r="L158" s="17" t="s">
        <v>668</v>
      </c>
      <c r="M158" s="9" t="s">
        <v>616</v>
      </c>
      <c r="N158" s="20" t="s">
        <v>669</v>
      </c>
    </row>
    <row r="159" ht="14.25" hidden="1" customHeight="1">
      <c r="A159" s="12">
        <v>137.0</v>
      </c>
      <c r="B159" s="13" t="s">
        <v>100</v>
      </c>
      <c r="C159" s="13" t="s">
        <v>25</v>
      </c>
      <c r="D159" s="13" t="s">
        <v>26</v>
      </c>
      <c r="E159" s="13" t="s">
        <v>70</v>
      </c>
      <c r="F159" s="14">
        <v>3.572E7</v>
      </c>
      <c r="G159" s="13" t="s">
        <v>610</v>
      </c>
      <c r="H159" s="13" t="s">
        <v>611</v>
      </c>
      <c r="I159" s="13" t="s">
        <v>670</v>
      </c>
      <c r="J159" s="13" t="s">
        <v>671</v>
      </c>
      <c r="K159" s="13"/>
      <c r="L159" s="13"/>
      <c r="M159" s="13" t="s">
        <v>616</v>
      </c>
      <c r="N159" s="18" t="s">
        <v>672</v>
      </c>
    </row>
    <row r="160" ht="14.25" customHeight="1">
      <c r="A160" s="19">
        <v>138.0</v>
      </c>
      <c r="B160" s="9" t="s">
        <v>100</v>
      </c>
      <c r="C160" s="9" t="s">
        <v>25</v>
      </c>
      <c r="D160" s="9" t="s">
        <v>26</v>
      </c>
      <c r="E160" s="9" t="s">
        <v>70</v>
      </c>
      <c r="F160" s="10">
        <v>3.572E7</v>
      </c>
      <c r="G160" s="9" t="s">
        <v>610</v>
      </c>
      <c r="H160" s="9" t="s">
        <v>611</v>
      </c>
      <c r="I160" s="9" t="s">
        <v>673</v>
      </c>
      <c r="J160" s="28" t="s">
        <v>674</v>
      </c>
      <c r="K160" s="9" t="s">
        <v>675</v>
      </c>
      <c r="L160" s="17" t="s">
        <v>676</v>
      </c>
      <c r="M160" s="9" t="s">
        <v>616</v>
      </c>
      <c r="N160" s="20" t="s">
        <v>677</v>
      </c>
    </row>
    <row r="161" ht="14.25" customHeight="1">
      <c r="A161" s="12">
        <v>139.0</v>
      </c>
      <c r="B161" s="13" t="s">
        <v>100</v>
      </c>
      <c r="C161" s="13" t="s">
        <v>25</v>
      </c>
      <c r="D161" s="13" t="s">
        <v>26</v>
      </c>
      <c r="E161" s="13" t="s">
        <v>70</v>
      </c>
      <c r="F161" s="14">
        <v>3.572E7</v>
      </c>
      <c r="G161" s="13" t="s">
        <v>610</v>
      </c>
      <c r="H161" s="13" t="s">
        <v>611</v>
      </c>
      <c r="I161" s="13" t="s">
        <v>678</v>
      </c>
      <c r="J161" s="29" t="s">
        <v>679</v>
      </c>
      <c r="K161" s="13" t="s">
        <v>680</v>
      </c>
      <c r="L161" s="17" t="s">
        <v>681</v>
      </c>
      <c r="M161" s="13" t="s">
        <v>616</v>
      </c>
      <c r="N161" s="18" t="s">
        <v>682</v>
      </c>
    </row>
    <row r="162" ht="14.25" customHeight="1">
      <c r="A162" s="19">
        <v>140.0</v>
      </c>
      <c r="B162" s="9" t="s">
        <v>100</v>
      </c>
      <c r="C162" s="9" t="s">
        <v>25</v>
      </c>
      <c r="D162" s="9" t="s">
        <v>26</v>
      </c>
      <c r="E162" s="9" t="s">
        <v>70</v>
      </c>
      <c r="F162" s="10">
        <v>3.572E7</v>
      </c>
      <c r="G162" s="9" t="s">
        <v>610</v>
      </c>
      <c r="H162" s="9" t="s">
        <v>611</v>
      </c>
      <c r="I162" s="9" t="s">
        <v>683</v>
      </c>
      <c r="J162" s="28" t="s">
        <v>684</v>
      </c>
      <c r="K162" s="9" t="s">
        <v>685</v>
      </c>
      <c r="L162" s="17" t="s">
        <v>686</v>
      </c>
      <c r="M162" s="9" t="s">
        <v>616</v>
      </c>
      <c r="N162" s="20" t="s">
        <v>687</v>
      </c>
    </row>
    <row r="163" ht="14.25" customHeight="1">
      <c r="A163" s="12">
        <v>141.0</v>
      </c>
      <c r="B163" s="13" t="s">
        <v>100</v>
      </c>
      <c r="C163" s="13" t="s">
        <v>25</v>
      </c>
      <c r="D163" s="13" t="s">
        <v>26</v>
      </c>
      <c r="E163" s="13" t="s">
        <v>70</v>
      </c>
      <c r="F163" s="14">
        <v>3.572E7</v>
      </c>
      <c r="G163" s="13" t="s">
        <v>610</v>
      </c>
      <c r="H163" s="13" t="s">
        <v>611</v>
      </c>
      <c r="I163" s="13" t="s">
        <v>688</v>
      </c>
      <c r="J163" s="29" t="s">
        <v>689</v>
      </c>
      <c r="K163" s="13" t="s">
        <v>690</v>
      </c>
      <c r="L163" s="17" t="s">
        <v>691</v>
      </c>
      <c r="M163" s="13" t="s">
        <v>616</v>
      </c>
      <c r="N163" s="18" t="s">
        <v>692</v>
      </c>
    </row>
    <row r="164" ht="14.25" customHeight="1">
      <c r="A164" s="19">
        <v>142.0</v>
      </c>
      <c r="B164" s="9" t="s">
        <v>100</v>
      </c>
      <c r="C164" s="9" t="s">
        <v>25</v>
      </c>
      <c r="D164" s="9" t="s">
        <v>26</v>
      </c>
      <c r="E164" s="9" t="s">
        <v>70</v>
      </c>
      <c r="F164" s="10">
        <v>3.572E7</v>
      </c>
      <c r="G164" s="9" t="s">
        <v>610</v>
      </c>
      <c r="H164" s="9" t="s">
        <v>611</v>
      </c>
      <c r="I164" s="9" t="s">
        <v>693</v>
      </c>
      <c r="J164" s="28" t="s">
        <v>694</v>
      </c>
      <c r="K164" s="9" t="s">
        <v>695</v>
      </c>
      <c r="L164" s="17" t="s">
        <v>696</v>
      </c>
      <c r="M164" s="9" t="s">
        <v>616</v>
      </c>
      <c r="N164" s="20" t="s">
        <v>697</v>
      </c>
    </row>
    <row r="165" ht="14.25" customHeight="1">
      <c r="A165" s="12">
        <v>143.0</v>
      </c>
      <c r="B165" s="13" t="s">
        <v>100</v>
      </c>
      <c r="C165" s="13" t="s">
        <v>25</v>
      </c>
      <c r="D165" s="13" t="s">
        <v>26</v>
      </c>
      <c r="E165" s="13" t="s">
        <v>70</v>
      </c>
      <c r="F165" s="14">
        <v>3.572E7</v>
      </c>
      <c r="G165" s="13" t="s">
        <v>610</v>
      </c>
      <c r="H165" s="13" t="s">
        <v>611</v>
      </c>
      <c r="I165" s="13" t="s">
        <v>698</v>
      </c>
      <c r="J165" s="29" t="s">
        <v>699</v>
      </c>
      <c r="K165" s="13" t="s">
        <v>700</v>
      </c>
      <c r="L165" s="17" t="s">
        <v>701</v>
      </c>
      <c r="M165" s="13" t="s">
        <v>616</v>
      </c>
      <c r="N165" s="18" t="s">
        <v>702</v>
      </c>
    </row>
    <row r="166" ht="14.25" customHeight="1">
      <c r="A166" s="19">
        <v>144.0</v>
      </c>
      <c r="B166" s="9" t="s">
        <v>100</v>
      </c>
      <c r="C166" s="9" t="s">
        <v>25</v>
      </c>
      <c r="D166" s="9" t="s">
        <v>26</v>
      </c>
      <c r="E166" s="9" t="s">
        <v>70</v>
      </c>
      <c r="F166" s="10">
        <v>3.572E7</v>
      </c>
      <c r="G166" s="9" t="s">
        <v>610</v>
      </c>
      <c r="H166" s="9" t="s">
        <v>611</v>
      </c>
      <c r="I166" s="9" t="s">
        <v>703</v>
      </c>
      <c r="J166" s="28" t="s">
        <v>704</v>
      </c>
      <c r="K166" s="9" t="s">
        <v>705</v>
      </c>
      <c r="L166" s="17" t="s">
        <v>706</v>
      </c>
      <c r="M166" s="9" t="s">
        <v>616</v>
      </c>
      <c r="N166" s="20" t="s">
        <v>707</v>
      </c>
    </row>
    <row r="167" ht="14.25" customHeight="1">
      <c r="A167" s="12">
        <v>145.0</v>
      </c>
      <c r="B167" s="13" t="s">
        <v>100</v>
      </c>
      <c r="C167" s="13" t="s">
        <v>25</v>
      </c>
      <c r="D167" s="13" t="s">
        <v>26</v>
      </c>
      <c r="E167" s="13" t="s">
        <v>70</v>
      </c>
      <c r="F167" s="14">
        <v>3.572E7</v>
      </c>
      <c r="G167" s="13" t="s">
        <v>610</v>
      </c>
      <c r="H167" s="13" t="s">
        <v>611</v>
      </c>
      <c r="I167" s="13" t="s">
        <v>708</v>
      </c>
      <c r="J167" s="29" t="s">
        <v>709</v>
      </c>
      <c r="K167" s="13" t="s">
        <v>710</v>
      </c>
      <c r="L167" s="17" t="s">
        <v>711</v>
      </c>
      <c r="M167" s="13" t="s">
        <v>616</v>
      </c>
      <c r="N167" s="18" t="s">
        <v>712</v>
      </c>
    </row>
    <row r="168" ht="14.25" customHeight="1">
      <c r="A168" s="19">
        <v>146.0</v>
      </c>
      <c r="B168" s="9" t="s">
        <v>100</v>
      </c>
      <c r="C168" s="9" t="s">
        <v>25</v>
      </c>
      <c r="D168" s="9" t="s">
        <v>26</v>
      </c>
      <c r="E168" s="9" t="s">
        <v>70</v>
      </c>
      <c r="F168" s="10">
        <v>3.572E7</v>
      </c>
      <c r="G168" s="9" t="s">
        <v>610</v>
      </c>
      <c r="H168" s="9" t="s">
        <v>611</v>
      </c>
      <c r="I168" s="9" t="s">
        <v>713</v>
      </c>
      <c r="J168" s="28" t="s">
        <v>714</v>
      </c>
      <c r="K168" s="9" t="s">
        <v>715</v>
      </c>
      <c r="L168" s="17" t="s">
        <v>716</v>
      </c>
      <c r="M168" s="9" t="s">
        <v>616</v>
      </c>
      <c r="N168" s="20" t="s">
        <v>717</v>
      </c>
    </row>
    <row r="169" ht="14.25" customHeight="1">
      <c r="A169" s="12">
        <v>147.0</v>
      </c>
      <c r="B169" s="13" t="s">
        <v>100</v>
      </c>
      <c r="C169" s="13" t="s">
        <v>25</v>
      </c>
      <c r="D169" s="13" t="s">
        <v>26</v>
      </c>
      <c r="E169" s="13" t="s">
        <v>70</v>
      </c>
      <c r="F169" s="14">
        <v>3.572E7</v>
      </c>
      <c r="G169" s="13" t="s">
        <v>610</v>
      </c>
      <c r="H169" s="13" t="s">
        <v>611</v>
      </c>
      <c r="I169" s="13" t="s">
        <v>718</v>
      </c>
      <c r="J169" s="29" t="s">
        <v>719</v>
      </c>
      <c r="K169" s="13" t="s">
        <v>720</v>
      </c>
      <c r="L169" s="17" t="s">
        <v>721</v>
      </c>
      <c r="M169" s="13" t="s">
        <v>616</v>
      </c>
      <c r="N169" s="18" t="s">
        <v>722</v>
      </c>
    </row>
    <row r="170" ht="14.25" customHeight="1">
      <c r="A170" s="19">
        <v>148.0</v>
      </c>
      <c r="B170" s="9" t="s">
        <v>100</v>
      </c>
      <c r="C170" s="9" t="s">
        <v>25</v>
      </c>
      <c r="D170" s="9" t="s">
        <v>26</v>
      </c>
      <c r="E170" s="9" t="s">
        <v>70</v>
      </c>
      <c r="F170" s="10">
        <v>3.572E7</v>
      </c>
      <c r="G170" s="9" t="s">
        <v>610</v>
      </c>
      <c r="H170" s="9" t="s">
        <v>611</v>
      </c>
      <c r="I170" s="9" t="s">
        <v>723</v>
      </c>
      <c r="J170" s="28" t="s">
        <v>724</v>
      </c>
      <c r="K170" s="9" t="s">
        <v>725</v>
      </c>
      <c r="L170" s="17" t="s">
        <v>726</v>
      </c>
      <c r="M170" s="9" t="s">
        <v>616</v>
      </c>
      <c r="N170" s="20" t="s">
        <v>727</v>
      </c>
    </row>
    <row r="171" ht="14.25" customHeight="1">
      <c r="A171" s="12">
        <v>149.0</v>
      </c>
      <c r="B171" s="13" t="s">
        <v>100</v>
      </c>
      <c r="C171" s="13" t="s">
        <v>25</v>
      </c>
      <c r="D171" s="13" t="s">
        <v>26</v>
      </c>
      <c r="E171" s="13" t="s">
        <v>70</v>
      </c>
      <c r="F171" s="14">
        <v>3.572E7</v>
      </c>
      <c r="G171" s="13" t="s">
        <v>610</v>
      </c>
      <c r="H171" s="13" t="s">
        <v>611</v>
      </c>
      <c r="I171" s="13" t="s">
        <v>728</v>
      </c>
      <c r="J171" s="29" t="s">
        <v>729</v>
      </c>
      <c r="K171" s="13" t="s">
        <v>730</v>
      </c>
      <c r="L171" s="17" t="s">
        <v>731</v>
      </c>
      <c r="M171" s="13" t="s">
        <v>616</v>
      </c>
      <c r="N171" s="18" t="s">
        <v>396</v>
      </c>
    </row>
    <row r="172" ht="14.25" customHeight="1">
      <c r="A172" s="19">
        <v>150.0</v>
      </c>
      <c r="B172" s="9" t="s">
        <v>100</v>
      </c>
      <c r="C172" s="9" t="s">
        <v>25</v>
      </c>
      <c r="D172" s="9" t="s">
        <v>26</v>
      </c>
      <c r="E172" s="9" t="s">
        <v>70</v>
      </c>
      <c r="F172" s="10">
        <v>3.572E7</v>
      </c>
      <c r="G172" s="9" t="s">
        <v>610</v>
      </c>
      <c r="H172" s="9" t="s">
        <v>611</v>
      </c>
      <c r="I172" s="9" t="s">
        <v>732</v>
      </c>
      <c r="J172" s="28" t="s">
        <v>733</v>
      </c>
      <c r="K172" s="9" t="s">
        <v>734</v>
      </c>
      <c r="L172" s="17" t="s">
        <v>735</v>
      </c>
      <c r="M172" s="9" t="s">
        <v>616</v>
      </c>
      <c r="N172" s="20" t="s">
        <v>736</v>
      </c>
    </row>
    <row r="173" ht="14.25" customHeight="1">
      <c r="A173" s="12">
        <v>151.0</v>
      </c>
      <c r="B173" s="13" t="s">
        <v>100</v>
      </c>
      <c r="C173" s="13" t="s">
        <v>25</v>
      </c>
      <c r="D173" s="13" t="s">
        <v>26</v>
      </c>
      <c r="E173" s="13" t="s">
        <v>70</v>
      </c>
      <c r="F173" s="14">
        <v>3.572E7</v>
      </c>
      <c r="G173" s="13" t="s">
        <v>610</v>
      </c>
      <c r="H173" s="13" t="s">
        <v>611</v>
      </c>
      <c r="I173" s="13" t="s">
        <v>737</v>
      </c>
      <c r="J173" s="29" t="s">
        <v>738</v>
      </c>
      <c r="K173" s="13" t="s">
        <v>739</v>
      </c>
      <c r="L173" s="17" t="s">
        <v>740</v>
      </c>
      <c r="M173" s="13" t="s">
        <v>616</v>
      </c>
      <c r="N173" s="18" t="s">
        <v>741</v>
      </c>
    </row>
    <row r="174" ht="14.25" customHeight="1">
      <c r="A174" s="19">
        <v>152.0</v>
      </c>
      <c r="B174" s="9" t="s">
        <v>100</v>
      </c>
      <c r="C174" s="9" t="s">
        <v>25</v>
      </c>
      <c r="D174" s="9" t="s">
        <v>26</v>
      </c>
      <c r="E174" s="9" t="s">
        <v>70</v>
      </c>
      <c r="F174" s="10">
        <v>3.572E7</v>
      </c>
      <c r="G174" s="9" t="s">
        <v>610</v>
      </c>
      <c r="H174" s="9" t="s">
        <v>611</v>
      </c>
      <c r="I174" s="9" t="s">
        <v>742</v>
      </c>
      <c r="J174" s="28" t="s">
        <v>743</v>
      </c>
      <c r="K174" s="9" t="s">
        <v>744</v>
      </c>
      <c r="L174" s="17" t="s">
        <v>745</v>
      </c>
      <c r="M174" s="9" t="s">
        <v>616</v>
      </c>
      <c r="N174" s="20" t="s">
        <v>746</v>
      </c>
    </row>
    <row r="175" ht="14.25" customHeight="1">
      <c r="A175" s="12">
        <v>153.0</v>
      </c>
      <c r="B175" s="13" t="s">
        <v>100</v>
      </c>
      <c r="C175" s="13" t="s">
        <v>25</v>
      </c>
      <c r="D175" s="13" t="s">
        <v>26</v>
      </c>
      <c r="E175" s="13" t="s">
        <v>70</v>
      </c>
      <c r="F175" s="14">
        <v>3.572E7</v>
      </c>
      <c r="G175" s="13" t="s">
        <v>610</v>
      </c>
      <c r="H175" s="13" t="s">
        <v>611</v>
      </c>
      <c r="I175" s="13" t="s">
        <v>747</v>
      </c>
      <c r="J175" s="29" t="s">
        <v>748</v>
      </c>
      <c r="K175" s="13" t="s">
        <v>749</v>
      </c>
      <c r="L175" s="17" t="s">
        <v>750</v>
      </c>
      <c r="M175" s="13" t="s">
        <v>616</v>
      </c>
      <c r="N175" s="18" t="s">
        <v>751</v>
      </c>
    </row>
    <row r="176" ht="14.25" customHeight="1">
      <c r="A176" s="30">
        <v>154.0</v>
      </c>
      <c r="B176" s="31" t="s">
        <v>100</v>
      </c>
      <c r="C176" s="9" t="s">
        <v>25</v>
      </c>
      <c r="D176" s="31" t="s">
        <v>26</v>
      </c>
      <c r="E176" s="31" t="s">
        <v>70</v>
      </c>
      <c r="F176" s="32">
        <v>3.572E7</v>
      </c>
      <c r="G176" s="31" t="s">
        <v>610</v>
      </c>
      <c r="H176" s="31" t="s">
        <v>611</v>
      </c>
      <c r="I176" s="9" t="s">
        <v>752</v>
      </c>
      <c r="J176" s="28" t="s">
        <v>753</v>
      </c>
      <c r="K176" s="31" t="s">
        <v>754</v>
      </c>
      <c r="L176" s="33" t="s">
        <v>755</v>
      </c>
      <c r="M176" s="31" t="s">
        <v>616</v>
      </c>
      <c r="N176" s="34" t="s">
        <v>756</v>
      </c>
    </row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9:$N$176">
    <filterColumn colId="8">
      <filters blank="1">
        <filter val="BH 5559 GZ"/>
        <filter val="BH 5966 GZ"/>
        <filter val="BH 2881 G"/>
        <filter val="BH 5622 GZ"/>
        <filter val="BH 5318 GZ"/>
        <filter val="BH 5725 GZ"/>
        <filter val="BH 8034 AZ"/>
        <filter val="BH 2885 G"/>
        <filter val="BH 5731 GZ"/>
        <filter val="BH 6143 GZ"/>
        <filter val="BH 5719 GZ"/>
        <filter val="BH 2889 G"/>
        <filter val="BH 1160 GZ"/>
        <filter val="BH 5551 GZ"/>
        <filter val="BH 5597 GZ"/>
        <filter val="BH 5740 GZ"/>
        <filter val="BH 8054 AZ"/>
        <filter val="BH 5545 GZ"/>
        <filter val="BH 5616 GZ"/>
        <filter val="BH 6303 GZ"/>
        <filter val="BH 5562 GZ"/>
        <filter val="BH 2873 G"/>
        <filter val="BH 2892 G"/>
        <filter val="BH 2877 G"/>
        <filter val="BH 2896 G"/>
        <filter val="BH 5969 GZ"/>
        <filter val="BH 5591 GZ"/>
        <filter val="BH 5602 GZ"/>
        <filter val="BH 5627 GZ"/>
        <filter val="BH 1231 G EX BH 1202 GZ"/>
        <filter val="BH 5607 GZ"/>
        <filter val="BH 5737 GZ"/>
        <filter val="BH 5542 GZ"/>
        <filter val="BH 8093 G EX BH 9352 GZ"/>
        <filter val="BH 6300 GZ"/>
        <filter val="BH 5580 GZ"/>
        <filter val="BH 1232 G EX BH 1203 GZ"/>
        <filter val="BH 8031 HZ"/>
        <filter val="BH 2880 G"/>
        <filter val="BH 6308 GZ"/>
        <filter val="BH 5618 GZ"/>
        <filter val="BH 5586 GZ"/>
        <filter val="BH 5968 GZ"/>
        <filter val="BH 2886 G"/>
        <filter val="BH 5601 GZ"/>
        <filter val="BH 5592 GZ"/>
        <filter val="BH 5624 GZ"/>
        <filter val="BH 6145 GZ"/>
        <filter val="BH 6315 GZ"/>
        <filter val="BH 5572 GZ"/>
        <filter val="BH 5610 GZ"/>
        <filter val="BH 5717 GZ"/>
        <filter val="BH 5595 GZ"/>
        <filter val="BH 6309 GZ"/>
        <filter val="BH 6301 GZ"/>
        <filter val="BH 2870 G"/>
        <filter val="BH 5728 GZ"/>
        <filter val="BH 2893 G"/>
        <filter val="BH 2874 G"/>
        <filter val="BH 9545 HZ"/>
        <filter val="BH 5589 GZ"/>
        <filter val="BH 5315 GZ"/>
        <filter val="BH 2897 G"/>
        <filter val="BH 5734 GZ"/>
        <filter val="BH 2878 G"/>
        <filter val="BH 5609 GZ"/>
        <filter val="BH 5550 GZ"/>
        <filter val="BH 5739 GZ"/>
        <filter val="BH 8030 AZ"/>
        <filter val="BH 5569 GZ"/>
        <filter val="BH 5720 GZ"/>
        <filter val="BH 5615 GZ"/>
        <filter val="BH 1006 G"/>
        <filter val="BH 7947 AZ"/>
        <filter val="BH 6306 GZ"/>
        <filter val="BH 2883 G"/>
        <filter val="BH 5584 GZ"/>
        <filter val="BH 8124 AZ"/>
        <filter val="BH 5729 GZ"/>
        <filter val="BH 2887 G"/>
        <filter val="BH 5578 GZ"/>
        <filter val="BH 5721 GZ"/>
        <filter val="BH 1158 GZ"/>
        <filter val="BH 5549 GZ"/>
        <filter val="BH 5606 GZ"/>
        <filter val="BH 5738 GZ"/>
        <filter val="BH 5612 GZ"/>
        <filter val="BH 5581 GZ"/>
        <filter val="BH 6307 GZ"/>
        <filter val="BH 2890 G"/>
        <filter val="BH 1140 G EX BH 441 GZ"/>
        <filter val="BH 2894 G"/>
        <filter val="BH 2871 G"/>
        <filter val="BH 5726 GZ"/>
        <filter val="BH 5965 GZ"/>
        <filter val="BH 5317 GZ"/>
        <filter val="BH 2875 G"/>
        <filter val="BH 2898 G"/>
        <filter val="BH 5732 GZ"/>
        <filter val="BH 5587 GZ"/>
        <filter val="BH 2879 G"/>
        <filter val="BH 5570 GZ"/>
        <filter val="BH 5552 GZ"/>
        <filter val="BH 5428 AZ"/>
        <filter val="BH 5573 GZ"/>
        <filter val="BH 6304 GZ"/>
        <filter val="BH 8001 AZ"/>
        <filter val="BH 5546 GZ"/>
        <filter val="BH 6141 GZ"/>
        <filter val="BH 7945 AZ"/>
        <filter val="BH 5617 GZ"/>
        <filter val="BH 5620 GZ"/>
        <filter val="BH 5727 GZ"/>
        <filter val="BH 2884 G"/>
        <filter val="BH 5563 GZ"/>
        <filter val="BH 5970 GZ"/>
        <filter val="BH 5582 GZ"/>
        <filter val="BH 5557 GZ"/>
        <filter val="BH 2888 G"/>
        <filter val="BH 5316 GZ"/>
        <filter val="BH 5386 AZ"/>
        <filter val="BH 5608 GZ"/>
        <filter val="BH 5576 GZ"/>
        <filter val="BH 5543 GZ"/>
        <filter val="BH 5614 GZ"/>
        <filter val="BH 7948 AZ"/>
        <filter val="BH 1060 GZ"/>
        <filter val="BH 2891 G"/>
        <filter val="BH 6305 GZ"/>
        <filter val="BH 5585 GZ"/>
        <filter val="BH 5619 GZ"/>
        <filter val="BH 5967 GZ"/>
        <filter val="BH 6316 GZ"/>
        <filter val="BH 5560 GZ"/>
        <filter val="BH 2895 G"/>
        <filter val="BH 2872 G"/>
        <filter val="BH 5724 GZ"/>
        <filter val="BH 5730 GZ"/>
        <filter val="BH 2876 G"/>
        <filter val="BH 6146 GZ"/>
        <filter val="BH 8113 G EX BH 9326 GZ"/>
        <filter val="BH 5548 GZ"/>
        <filter val="BH 5605 GZ"/>
        <filter val="BH 5383 AZ"/>
        <filter val="BH 5735 GZ"/>
        <filter val="BH 5596 GZ"/>
        <filter val="BH 1069 G"/>
        <filter val="BH 5565 GZ"/>
        <filter val="BH 6302 GZ"/>
      </filters>
    </filterColumn>
  </autoFilter>
  <mergeCells count="2">
    <mergeCell ref="A2:N2"/>
    <mergeCell ref="A3:N3"/>
  </mergeCells>
  <printOptions/>
  <pageMargins bottom="0.7480314960629921" footer="0.0" header="0.0" left="0.7086614173228347" right="0.7086614173228347" top="0.7480314960629921"/>
  <pageSetup paperSize="5" scale="65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 fitToPage="1"/>
  </sheetPr>
  <sheetViews>
    <sheetView workbookViewId="0"/>
  </sheetViews>
  <sheetFormatPr customHeight="1" defaultColWidth="14.43" defaultRowHeight="15.0"/>
  <cols>
    <col customWidth="1" min="1" max="1" width="5.0"/>
    <col customWidth="1" min="2" max="2" width="19.0"/>
    <col customWidth="1" min="3" max="3" width="19.57"/>
    <col customWidth="1" min="4" max="4" width="15.14"/>
    <col customWidth="1" min="5" max="5" width="3.71"/>
    <col customWidth="1" min="6" max="6" width="10.14"/>
    <col customWidth="1" min="7" max="7" width="17.14"/>
    <col customWidth="1" min="8" max="8" width="3.86"/>
    <col customWidth="1" min="9" max="9" width="13.43"/>
    <col customWidth="1" min="10" max="10" width="16.29"/>
    <col customWidth="1" min="11" max="11" width="6.43"/>
    <col customWidth="1" min="12" max="12" width="9.14"/>
    <col customWidth="1" hidden="1" min="13" max="13" width="10.29"/>
    <col customWidth="1" hidden="1" min="14" max="14" width="10.14"/>
    <col customWidth="1" hidden="1" min="15" max="15" width="19.71"/>
    <col customWidth="1" hidden="1" min="16" max="16" width="16.14"/>
    <col customWidth="1" min="17" max="17" width="24.57"/>
    <col customWidth="1" min="18" max="18" width="26.57"/>
    <col customWidth="1" min="19" max="19" width="16.71"/>
    <col customWidth="1" min="20" max="20" width="12.71"/>
    <col customWidth="1" min="21" max="21" width="10.43"/>
    <col customWidth="1" min="22" max="22" width="26.43"/>
    <col customWidth="1" min="23" max="23" width="26.57"/>
    <col customWidth="1" min="24" max="27" width="9.86"/>
  </cols>
  <sheetData>
    <row r="1" ht="14.25" customHeight="1">
      <c r="A1" s="35"/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6"/>
      <c r="T1" s="37"/>
      <c r="U1" s="35"/>
      <c r="V1" s="35"/>
      <c r="W1" s="35"/>
      <c r="X1" s="35"/>
      <c r="Y1" s="35"/>
      <c r="Z1" s="35"/>
      <c r="AA1" s="35"/>
    </row>
    <row r="2" ht="14.25" customHeight="1">
      <c r="A2" s="1" t="s">
        <v>0</v>
      </c>
      <c r="X2" s="35"/>
      <c r="Y2" s="35"/>
      <c r="Z2" s="35"/>
      <c r="AA2" s="35"/>
    </row>
    <row r="3" ht="14.25" customHeight="1">
      <c r="A3" s="1" t="s">
        <v>1</v>
      </c>
      <c r="X3" s="35"/>
      <c r="Y3" s="35"/>
      <c r="Z3" s="35"/>
      <c r="AA3" s="35"/>
    </row>
    <row r="4" ht="14.25" customHeight="1">
      <c r="A4" s="35"/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6"/>
      <c r="T4" s="37"/>
      <c r="U4" s="35"/>
      <c r="V4" s="35"/>
      <c r="W4" s="35"/>
      <c r="X4" s="35"/>
      <c r="Y4" s="35"/>
      <c r="Z4" s="35"/>
      <c r="AA4" s="35"/>
    </row>
    <row r="5" ht="14.25" customHeight="1">
      <c r="A5" s="35"/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6"/>
      <c r="T5" s="37"/>
      <c r="U5" s="35"/>
      <c r="V5" s="35"/>
      <c r="W5" s="35"/>
      <c r="X5" s="35"/>
      <c r="Y5" s="35"/>
      <c r="Z5" s="35"/>
      <c r="AA5" s="35"/>
    </row>
    <row r="6" ht="14.25" customHeight="1">
      <c r="A6" s="2" t="s">
        <v>2</v>
      </c>
      <c r="B6" s="2"/>
      <c r="C6" s="2" t="s">
        <v>3</v>
      </c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6"/>
      <c r="T6" s="37"/>
      <c r="U6" s="35"/>
      <c r="V6" s="35"/>
      <c r="W6" s="35"/>
      <c r="X6" s="35"/>
      <c r="Y6" s="35"/>
      <c r="Z6" s="35"/>
      <c r="AA6" s="35"/>
    </row>
    <row r="7" ht="14.25" customHeight="1">
      <c r="A7" s="2" t="s">
        <v>4</v>
      </c>
      <c r="B7" s="2"/>
      <c r="C7" s="2" t="s">
        <v>5</v>
      </c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6"/>
      <c r="T7" s="37"/>
      <c r="U7" s="35"/>
      <c r="V7" s="35"/>
      <c r="W7" s="35"/>
      <c r="X7" s="35"/>
      <c r="Y7" s="35"/>
      <c r="Z7" s="35"/>
      <c r="AA7" s="35"/>
    </row>
    <row r="8" ht="14.25" customHeight="1">
      <c r="A8" s="2" t="s">
        <v>6</v>
      </c>
      <c r="B8" s="2"/>
      <c r="C8" s="2" t="s">
        <v>757</v>
      </c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6"/>
      <c r="T8" s="37"/>
      <c r="U8" s="35"/>
      <c r="V8" s="35"/>
      <c r="W8" s="35"/>
      <c r="X8" s="35"/>
      <c r="Y8" s="35"/>
      <c r="Z8" s="35"/>
      <c r="AA8" s="35"/>
    </row>
    <row r="9" ht="12.75" customHeight="1">
      <c r="A9" s="38" t="s">
        <v>8</v>
      </c>
      <c r="B9" s="38" t="s">
        <v>9</v>
      </c>
      <c r="C9" s="38" t="s">
        <v>10</v>
      </c>
      <c r="D9" s="39" t="s">
        <v>758</v>
      </c>
      <c r="E9" s="38" t="s">
        <v>11</v>
      </c>
      <c r="F9" s="38" t="s">
        <v>12</v>
      </c>
      <c r="G9" s="38" t="s">
        <v>13</v>
      </c>
      <c r="H9" s="38" t="s">
        <v>759</v>
      </c>
      <c r="I9" s="38" t="s">
        <v>14</v>
      </c>
      <c r="J9" s="38" t="s">
        <v>760</v>
      </c>
      <c r="K9" s="38" t="s">
        <v>761</v>
      </c>
      <c r="L9" s="38" t="s">
        <v>15</v>
      </c>
      <c r="M9" s="38" t="s">
        <v>762</v>
      </c>
      <c r="N9" s="38" t="s">
        <v>763</v>
      </c>
      <c r="O9" s="38" t="s">
        <v>764</v>
      </c>
      <c r="P9" s="38" t="s">
        <v>765</v>
      </c>
      <c r="Q9" s="38" t="s">
        <v>16</v>
      </c>
      <c r="R9" s="38" t="s">
        <v>17</v>
      </c>
      <c r="S9" s="40" t="s">
        <v>766</v>
      </c>
      <c r="T9" s="41" t="s">
        <v>19</v>
      </c>
      <c r="U9" s="38" t="s">
        <v>767</v>
      </c>
      <c r="V9" s="38" t="s">
        <v>20</v>
      </c>
      <c r="W9" s="38" t="s">
        <v>21</v>
      </c>
      <c r="X9" s="42"/>
      <c r="Y9" s="42"/>
    </row>
    <row r="10" ht="12.75" hidden="1" customHeight="1">
      <c r="A10" s="43">
        <v>1.0</v>
      </c>
      <c r="B10" s="43" t="s">
        <v>768</v>
      </c>
      <c r="C10" s="43" t="s">
        <v>769</v>
      </c>
      <c r="D10" s="43"/>
      <c r="E10" s="43" t="s">
        <v>770</v>
      </c>
      <c r="F10" s="43" t="s">
        <v>70</v>
      </c>
      <c r="G10" s="44">
        <v>2.684E8</v>
      </c>
      <c r="H10" s="43">
        <v>0.0</v>
      </c>
      <c r="I10" s="43" t="s">
        <v>771</v>
      </c>
      <c r="J10" s="43"/>
      <c r="K10" s="43"/>
      <c r="L10" s="43" t="s">
        <v>84</v>
      </c>
      <c r="M10" s="43" t="s">
        <v>772</v>
      </c>
      <c r="N10" s="43">
        <v>1.0</v>
      </c>
      <c r="O10" s="43">
        <v>7.0</v>
      </c>
      <c r="P10" s="43"/>
      <c r="Q10" s="45" t="s">
        <v>773</v>
      </c>
      <c r="R10" s="46" t="s">
        <v>774</v>
      </c>
      <c r="S10" s="47" t="s">
        <v>775</v>
      </c>
      <c r="T10" s="48" t="s">
        <v>776</v>
      </c>
      <c r="U10" s="46" t="s">
        <v>777</v>
      </c>
      <c r="V10" s="49" t="s">
        <v>778</v>
      </c>
      <c r="W10" s="43"/>
      <c r="X10" s="50"/>
      <c r="Y10" s="50"/>
    </row>
    <row r="11" ht="12.75" hidden="1" customHeight="1">
      <c r="A11" s="43">
        <v>2.0</v>
      </c>
      <c r="B11" s="43" t="s">
        <v>779</v>
      </c>
      <c r="C11" s="43" t="s">
        <v>780</v>
      </c>
      <c r="D11" s="43"/>
      <c r="E11" s="43" t="s">
        <v>770</v>
      </c>
      <c r="F11" s="43" t="s">
        <v>70</v>
      </c>
      <c r="G11" s="44">
        <v>1.1E8</v>
      </c>
      <c r="H11" s="43">
        <v>0.0</v>
      </c>
      <c r="I11" s="43" t="s">
        <v>781</v>
      </c>
      <c r="J11" s="43"/>
      <c r="K11" s="43"/>
      <c r="L11" s="43" t="s">
        <v>782</v>
      </c>
      <c r="M11" s="43" t="s">
        <v>772</v>
      </c>
      <c r="N11" s="43">
        <v>1.0</v>
      </c>
      <c r="O11" s="43">
        <v>7.0</v>
      </c>
      <c r="P11" s="43"/>
      <c r="Q11" s="45" t="s">
        <v>783</v>
      </c>
      <c r="R11" s="46" t="s">
        <v>784</v>
      </c>
      <c r="S11" s="47" t="s">
        <v>785</v>
      </c>
      <c r="T11" s="48" t="s">
        <v>786</v>
      </c>
      <c r="U11" s="46" t="s">
        <v>777</v>
      </c>
      <c r="V11" s="51" t="s">
        <v>787</v>
      </c>
      <c r="W11" s="43"/>
      <c r="X11" s="50"/>
      <c r="Y11" s="50"/>
    </row>
    <row r="12" ht="12.75" hidden="1" customHeight="1">
      <c r="A12" s="43">
        <v>3.0</v>
      </c>
      <c r="B12" s="43" t="s">
        <v>779</v>
      </c>
      <c r="C12" s="43" t="s">
        <v>780</v>
      </c>
      <c r="D12" s="43"/>
      <c r="E12" s="43" t="s">
        <v>770</v>
      </c>
      <c r="F12" s="43" t="s">
        <v>70</v>
      </c>
      <c r="G12" s="44">
        <v>1.32E8</v>
      </c>
      <c r="H12" s="43">
        <v>0.0</v>
      </c>
      <c r="I12" s="43" t="s">
        <v>781</v>
      </c>
      <c r="J12" s="43"/>
      <c r="K12" s="43"/>
      <c r="L12" s="43" t="s">
        <v>788</v>
      </c>
      <c r="M12" s="43" t="s">
        <v>772</v>
      </c>
      <c r="N12" s="43">
        <v>1.0</v>
      </c>
      <c r="O12" s="43">
        <v>7.0</v>
      </c>
      <c r="P12" s="43"/>
      <c r="Q12" s="46" t="s">
        <v>789</v>
      </c>
      <c r="R12" s="46" t="s">
        <v>790</v>
      </c>
      <c r="S12" s="47" t="s">
        <v>791</v>
      </c>
      <c r="T12" s="48" t="s">
        <v>792</v>
      </c>
      <c r="U12" s="46" t="s">
        <v>777</v>
      </c>
      <c r="V12" s="51" t="s">
        <v>793</v>
      </c>
      <c r="W12" s="43"/>
      <c r="X12" s="50"/>
      <c r="Y12" s="50"/>
    </row>
    <row r="13" ht="12.75" hidden="1" customHeight="1">
      <c r="A13" s="43">
        <v>4.0</v>
      </c>
      <c r="B13" s="43" t="s">
        <v>779</v>
      </c>
      <c r="C13" s="43" t="s">
        <v>780</v>
      </c>
      <c r="D13" s="43"/>
      <c r="E13" s="43" t="s">
        <v>770</v>
      </c>
      <c r="F13" s="43" t="s">
        <v>70</v>
      </c>
      <c r="G13" s="44">
        <v>6.5E7</v>
      </c>
      <c r="H13" s="43">
        <v>0.0</v>
      </c>
      <c r="I13" s="43" t="s">
        <v>781</v>
      </c>
      <c r="J13" s="43"/>
      <c r="K13" s="43"/>
      <c r="L13" s="43" t="s">
        <v>145</v>
      </c>
      <c r="M13" s="43" t="s">
        <v>772</v>
      </c>
      <c r="N13" s="43">
        <v>1.0</v>
      </c>
      <c r="O13" s="43">
        <v>7.0</v>
      </c>
      <c r="P13" s="43"/>
      <c r="Q13" s="45" t="s">
        <v>794</v>
      </c>
      <c r="R13" s="46" t="s">
        <v>795</v>
      </c>
      <c r="S13" s="47" t="s">
        <v>796</v>
      </c>
      <c r="T13" s="48" t="s">
        <v>797</v>
      </c>
      <c r="U13" s="46" t="s">
        <v>777</v>
      </c>
      <c r="V13" s="51" t="s">
        <v>798</v>
      </c>
      <c r="W13" s="51" t="s">
        <v>799</v>
      </c>
      <c r="X13" s="50"/>
      <c r="Y13" s="50"/>
    </row>
    <row r="14" ht="12.75" customHeight="1">
      <c r="A14" s="43">
        <v>5.0</v>
      </c>
      <c r="B14" s="43" t="s">
        <v>779</v>
      </c>
      <c r="C14" s="43" t="s">
        <v>780</v>
      </c>
      <c r="D14" s="43"/>
      <c r="E14" s="43" t="s">
        <v>770</v>
      </c>
      <c r="F14" s="43" t="s">
        <v>70</v>
      </c>
      <c r="G14" s="44">
        <v>1.02E8</v>
      </c>
      <c r="H14" s="43">
        <v>0.0</v>
      </c>
      <c r="I14" s="43" t="s">
        <v>781</v>
      </c>
      <c r="J14" s="43"/>
      <c r="K14" s="43"/>
      <c r="L14" s="43" t="s">
        <v>145</v>
      </c>
      <c r="M14" s="43" t="s">
        <v>772</v>
      </c>
      <c r="N14" s="43">
        <v>1.0</v>
      </c>
      <c r="O14" s="43">
        <v>7.0</v>
      </c>
      <c r="P14" s="43"/>
      <c r="Q14" s="45" t="s">
        <v>800</v>
      </c>
      <c r="R14" s="46" t="s">
        <v>801</v>
      </c>
      <c r="S14" s="47" t="s">
        <v>802</v>
      </c>
      <c r="T14" s="48" t="s">
        <v>803</v>
      </c>
      <c r="U14" s="46" t="s">
        <v>777</v>
      </c>
      <c r="V14" s="51" t="s">
        <v>804</v>
      </c>
      <c r="W14" s="43"/>
      <c r="X14" s="50"/>
      <c r="Y14" s="52"/>
    </row>
    <row r="15" ht="12.75" hidden="1" customHeight="1">
      <c r="A15" s="43">
        <v>6.0</v>
      </c>
      <c r="B15" s="43" t="s">
        <v>779</v>
      </c>
      <c r="C15" s="43" t="s">
        <v>805</v>
      </c>
      <c r="D15" s="43"/>
      <c r="E15" s="43" t="s">
        <v>770</v>
      </c>
      <c r="F15" s="43" t="s">
        <v>70</v>
      </c>
      <c r="G15" s="44">
        <v>1.299E8</v>
      </c>
      <c r="H15" s="43">
        <v>0.0</v>
      </c>
      <c r="I15" s="43" t="s">
        <v>781</v>
      </c>
      <c r="J15" s="43"/>
      <c r="K15" s="43"/>
      <c r="L15" s="43" t="s">
        <v>37</v>
      </c>
      <c r="M15" s="43" t="s">
        <v>772</v>
      </c>
      <c r="N15" s="43">
        <v>1.0</v>
      </c>
      <c r="O15" s="43">
        <v>7.0</v>
      </c>
      <c r="P15" s="43"/>
      <c r="Q15" s="51" t="s">
        <v>806</v>
      </c>
      <c r="R15" s="43" t="s">
        <v>807</v>
      </c>
      <c r="S15" s="53" t="s">
        <v>808</v>
      </c>
      <c r="T15" s="54" t="s">
        <v>809</v>
      </c>
      <c r="U15" s="43"/>
      <c r="V15" s="43"/>
      <c r="W15" s="43"/>
      <c r="X15" s="50"/>
      <c r="Y15" s="50"/>
    </row>
    <row r="16" ht="12.75" hidden="1" customHeight="1">
      <c r="A16" s="43">
        <v>7.0</v>
      </c>
      <c r="B16" s="43" t="s">
        <v>779</v>
      </c>
      <c r="C16" s="43" t="s">
        <v>780</v>
      </c>
      <c r="D16" s="43"/>
      <c r="E16" s="43" t="s">
        <v>770</v>
      </c>
      <c r="F16" s="43" t="s">
        <v>70</v>
      </c>
      <c r="G16" s="44">
        <v>1.75E8</v>
      </c>
      <c r="H16" s="43">
        <v>0.0</v>
      </c>
      <c r="I16" s="43" t="s">
        <v>781</v>
      </c>
      <c r="J16" s="43"/>
      <c r="K16" s="43"/>
      <c r="L16" s="43" t="s">
        <v>37</v>
      </c>
      <c r="M16" s="43" t="s">
        <v>772</v>
      </c>
      <c r="N16" s="43">
        <v>1.0</v>
      </c>
      <c r="O16" s="43">
        <v>7.0</v>
      </c>
      <c r="P16" s="43"/>
      <c r="Q16" s="45" t="s">
        <v>810</v>
      </c>
      <c r="R16" s="46" t="s">
        <v>811</v>
      </c>
      <c r="S16" s="47" t="s">
        <v>812</v>
      </c>
      <c r="T16" s="48" t="s">
        <v>813</v>
      </c>
      <c r="U16" s="46" t="s">
        <v>777</v>
      </c>
      <c r="V16" s="51" t="s">
        <v>787</v>
      </c>
      <c r="W16" s="43"/>
      <c r="X16" s="50"/>
      <c r="Y16" s="50"/>
    </row>
    <row r="17" ht="12.75" hidden="1" customHeight="1">
      <c r="A17" s="43">
        <v>8.0</v>
      </c>
      <c r="B17" s="43" t="s">
        <v>779</v>
      </c>
      <c r="C17" s="43" t="s">
        <v>780</v>
      </c>
      <c r="D17" s="43"/>
      <c r="E17" s="43" t="s">
        <v>770</v>
      </c>
      <c r="F17" s="43" t="s">
        <v>70</v>
      </c>
      <c r="G17" s="44">
        <v>1.9955E8</v>
      </c>
      <c r="H17" s="43">
        <v>0.0</v>
      </c>
      <c r="I17" s="43" t="s">
        <v>781</v>
      </c>
      <c r="J17" s="43"/>
      <c r="K17" s="43"/>
      <c r="L17" s="43" t="s">
        <v>474</v>
      </c>
      <c r="M17" s="43" t="s">
        <v>772</v>
      </c>
      <c r="N17" s="43">
        <v>1.0</v>
      </c>
      <c r="O17" s="43">
        <v>7.0</v>
      </c>
      <c r="P17" s="43"/>
      <c r="Q17" s="46" t="s">
        <v>814</v>
      </c>
      <c r="R17" s="46" t="s">
        <v>815</v>
      </c>
      <c r="S17" s="47" t="s">
        <v>816</v>
      </c>
      <c r="T17" s="48" t="s">
        <v>817</v>
      </c>
      <c r="U17" s="46" t="s">
        <v>777</v>
      </c>
      <c r="V17" s="43" t="s">
        <v>818</v>
      </c>
      <c r="W17" s="43"/>
      <c r="X17" s="50"/>
      <c r="Y17" s="50"/>
    </row>
    <row r="18" ht="12.75" hidden="1" customHeight="1">
      <c r="A18" s="43">
        <v>9.0</v>
      </c>
      <c r="B18" s="43" t="s">
        <v>779</v>
      </c>
      <c r="C18" s="43" t="s">
        <v>780</v>
      </c>
      <c r="D18" s="43"/>
      <c r="E18" s="43" t="s">
        <v>770</v>
      </c>
      <c r="F18" s="43" t="s">
        <v>70</v>
      </c>
      <c r="G18" s="44">
        <v>1.41E8</v>
      </c>
      <c r="H18" s="43">
        <v>0.0</v>
      </c>
      <c r="I18" s="43" t="s">
        <v>781</v>
      </c>
      <c r="J18" s="51" t="s">
        <v>819</v>
      </c>
      <c r="K18" s="43"/>
      <c r="L18" s="43" t="s">
        <v>44</v>
      </c>
      <c r="M18" s="43" t="s">
        <v>772</v>
      </c>
      <c r="N18" s="43">
        <v>1.0</v>
      </c>
      <c r="O18" s="43">
        <v>7.0</v>
      </c>
      <c r="P18" s="43"/>
      <c r="Q18" s="55" t="s">
        <v>820</v>
      </c>
      <c r="R18" s="43" t="s">
        <v>821</v>
      </c>
      <c r="S18" s="53" t="s">
        <v>822</v>
      </c>
      <c r="T18" s="54" t="s">
        <v>823</v>
      </c>
      <c r="U18" s="43"/>
      <c r="V18" s="51" t="s">
        <v>824</v>
      </c>
      <c r="W18" s="51" t="s">
        <v>825</v>
      </c>
      <c r="X18" s="50"/>
      <c r="Y18" s="50"/>
    </row>
    <row r="19" ht="12.75" hidden="1" customHeight="1">
      <c r="A19" s="43">
        <v>10.0</v>
      </c>
      <c r="B19" s="43" t="s">
        <v>779</v>
      </c>
      <c r="C19" s="43" t="s">
        <v>780</v>
      </c>
      <c r="D19" s="43"/>
      <c r="E19" s="43" t="s">
        <v>770</v>
      </c>
      <c r="F19" s="43" t="s">
        <v>70</v>
      </c>
      <c r="G19" s="44">
        <v>1.882E8</v>
      </c>
      <c r="H19" s="43">
        <v>0.0</v>
      </c>
      <c r="I19" s="43" t="s">
        <v>771</v>
      </c>
      <c r="J19" s="43"/>
      <c r="K19" s="43"/>
      <c r="L19" s="43" t="s">
        <v>44</v>
      </c>
      <c r="M19" s="43" t="s">
        <v>772</v>
      </c>
      <c r="N19" s="43">
        <v>1.0</v>
      </c>
      <c r="O19" s="43">
        <v>7.0</v>
      </c>
      <c r="P19" s="43"/>
      <c r="Q19" s="56" t="s">
        <v>826</v>
      </c>
      <c r="R19" s="46" t="s">
        <v>827</v>
      </c>
      <c r="S19" s="47" t="s">
        <v>828</v>
      </c>
      <c r="T19" s="48" t="s">
        <v>829</v>
      </c>
      <c r="U19" s="46" t="s">
        <v>777</v>
      </c>
      <c r="V19" s="51" t="s">
        <v>830</v>
      </c>
      <c r="W19" s="43"/>
      <c r="X19" s="50"/>
      <c r="Y19" s="50"/>
    </row>
    <row r="20" ht="12.75" hidden="1" customHeight="1">
      <c r="A20" s="43">
        <v>11.0</v>
      </c>
      <c r="B20" s="43" t="s">
        <v>779</v>
      </c>
      <c r="C20" s="43" t="s">
        <v>780</v>
      </c>
      <c r="D20" s="43"/>
      <c r="E20" s="43" t="s">
        <v>770</v>
      </c>
      <c r="F20" s="43" t="s">
        <v>70</v>
      </c>
      <c r="G20" s="44">
        <v>1.41E8</v>
      </c>
      <c r="H20" s="43">
        <v>0.0</v>
      </c>
      <c r="I20" s="43" t="s">
        <v>781</v>
      </c>
      <c r="J20" s="51" t="s">
        <v>819</v>
      </c>
      <c r="K20" s="43"/>
      <c r="L20" s="43" t="s">
        <v>44</v>
      </c>
      <c r="M20" s="43" t="s">
        <v>772</v>
      </c>
      <c r="N20" s="43">
        <v>1.0</v>
      </c>
      <c r="O20" s="43">
        <v>7.0</v>
      </c>
      <c r="P20" s="43"/>
      <c r="Q20" s="57" t="s">
        <v>831</v>
      </c>
      <c r="R20" s="43" t="s">
        <v>832</v>
      </c>
      <c r="S20" s="58" t="s">
        <v>833</v>
      </c>
      <c r="T20" s="54" t="s">
        <v>834</v>
      </c>
      <c r="U20" s="43"/>
      <c r="V20" s="51" t="s">
        <v>824</v>
      </c>
      <c r="W20" s="51" t="s">
        <v>825</v>
      </c>
      <c r="X20" s="50"/>
      <c r="Y20" s="50"/>
    </row>
    <row r="21" ht="12.75" hidden="1" customHeight="1">
      <c r="A21" s="43">
        <v>12.0</v>
      </c>
      <c r="B21" s="43" t="s">
        <v>779</v>
      </c>
      <c r="C21" s="43" t="s">
        <v>780</v>
      </c>
      <c r="D21" s="43"/>
      <c r="E21" s="43" t="s">
        <v>770</v>
      </c>
      <c r="F21" s="43" t="s">
        <v>70</v>
      </c>
      <c r="G21" s="44">
        <v>1.698E8</v>
      </c>
      <c r="H21" s="43">
        <v>0.0</v>
      </c>
      <c r="I21" s="43" t="s">
        <v>781</v>
      </c>
      <c r="J21" s="43"/>
      <c r="K21" s="43"/>
      <c r="L21" s="43" t="s">
        <v>92</v>
      </c>
      <c r="M21" s="43" t="s">
        <v>772</v>
      </c>
      <c r="N21" s="43">
        <v>1.0</v>
      </c>
      <c r="O21" s="43">
        <v>7.0</v>
      </c>
      <c r="P21" s="43"/>
      <c r="Q21" s="51" t="s">
        <v>835</v>
      </c>
      <c r="R21" s="43" t="s">
        <v>836</v>
      </c>
      <c r="S21" s="53" t="s">
        <v>837</v>
      </c>
      <c r="T21" s="54" t="s">
        <v>838</v>
      </c>
      <c r="U21" s="43"/>
      <c r="V21" s="51" t="s">
        <v>824</v>
      </c>
      <c r="W21" s="43"/>
      <c r="X21" s="50"/>
      <c r="Y21" s="50"/>
    </row>
    <row r="22" ht="12.75" hidden="1" customHeight="1">
      <c r="A22" s="43">
        <v>13.0</v>
      </c>
      <c r="B22" s="43" t="s">
        <v>779</v>
      </c>
      <c r="C22" s="43" t="s">
        <v>780</v>
      </c>
      <c r="D22" s="43"/>
      <c r="E22" s="43" t="s">
        <v>770</v>
      </c>
      <c r="F22" s="43" t="s">
        <v>70</v>
      </c>
      <c r="G22" s="44">
        <v>1.698E8</v>
      </c>
      <c r="H22" s="43">
        <v>0.0</v>
      </c>
      <c r="I22" s="43" t="s">
        <v>781</v>
      </c>
      <c r="J22" s="43"/>
      <c r="K22" s="43"/>
      <c r="L22" s="43" t="s">
        <v>92</v>
      </c>
      <c r="M22" s="43" t="s">
        <v>772</v>
      </c>
      <c r="N22" s="43">
        <v>1.0</v>
      </c>
      <c r="O22" s="43">
        <v>7.0</v>
      </c>
      <c r="P22" s="43"/>
      <c r="Q22" s="51" t="s">
        <v>839</v>
      </c>
      <c r="R22" s="43" t="s">
        <v>840</v>
      </c>
      <c r="S22" s="53" t="s">
        <v>841</v>
      </c>
      <c r="T22" s="54" t="s">
        <v>842</v>
      </c>
      <c r="U22" s="43"/>
      <c r="V22" s="51" t="s">
        <v>824</v>
      </c>
      <c r="W22" s="43"/>
      <c r="X22" s="50"/>
      <c r="Y22" s="50"/>
    </row>
    <row r="23" ht="12.75" hidden="1" customHeight="1">
      <c r="A23" s="43">
        <v>14.0</v>
      </c>
      <c r="B23" s="43" t="s">
        <v>779</v>
      </c>
      <c r="C23" s="43" t="s">
        <v>780</v>
      </c>
      <c r="D23" s="43"/>
      <c r="E23" s="43" t="s">
        <v>770</v>
      </c>
      <c r="F23" s="43" t="s">
        <v>70</v>
      </c>
      <c r="G23" s="44">
        <v>1.8605E8</v>
      </c>
      <c r="H23" s="43">
        <v>0.0</v>
      </c>
      <c r="I23" s="43" t="s">
        <v>781</v>
      </c>
      <c r="J23" s="43"/>
      <c r="K23" s="43"/>
      <c r="L23" s="43" t="s">
        <v>92</v>
      </c>
      <c r="M23" s="43" t="s">
        <v>772</v>
      </c>
      <c r="N23" s="43">
        <v>1.0</v>
      </c>
      <c r="O23" s="43">
        <v>7.0</v>
      </c>
      <c r="P23" s="43"/>
      <c r="Q23" s="46" t="s">
        <v>843</v>
      </c>
      <c r="R23" s="46" t="s">
        <v>844</v>
      </c>
      <c r="S23" s="47" t="s">
        <v>845</v>
      </c>
      <c r="T23" s="48" t="s">
        <v>846</v>
      </c>
      <c r="U23" s="46" t="s">
        <v>777</v>
      </c>
      <c r="V23" s="43" t="s">
        <v>818</v>
      </c>
      <c r="W23" s="43"/>
      <c r="X23" s="50"/>
      <c r="Y23" s="50"/>
    </row>
    <row r="24" ht="12.75" hidden="1" customHeight="1">
      <c r="A24" s="43">
        <v>15.0</v>
      </c>
      <c r="B24" s="43" t="s">
        <v>779</v>
      </c>
      <c r="C24" s="43" t="s">
        <v>780</v>
      </c>
      <c r="D24" s="43"/>
      <c r="E24" s="43" t="s">
        <v>770</v>
      </c>
      <c r="F24" s="43" t="s">
        <v>70</v>
      </c>
      <c r="G24" s="44">
        <v>1.95E8</v>
      </c>
      <c r="H24" s="43">
        <v>0.0</v>
      </c>
      <c r="I24" s="43" t="s">
        <v>781</v>
      </c>
      <c r="J24" s="43"/>
      <c r="K24" s="43"/>
      <c r="L24" s="43" t="s">
        <v>58</v>
      </c>
      <c r="M24" s="43" t="s">
        <v>772</v>
      </c>
      <c r="N24" s="43">
        <v>1.0</v>
      </c>
      <c r="O24" s="43">
        <v>7.0</v>
      </c>
      <c r="P24" s="43"/>
      <c r="Q24" s="46" t="s">
        <v>847</v>
      </c>
      <c r="R24" s="46" t="s">
        <v>848</v>
      </c>
      <c r="S24" s="47" t="s">
        <v>849</v>
      </c>
      <c r="T24" s="48" t="s">
        <v>850</v>
      </c>
      <c r="U24" s="46" t="s">
        <v>777</v>
      </c>
      <c r="V24" s="43"/>
      <c r="W24" s="43"/>
      <c r="X24" s="50"/>
      <c r="Y24" s="50"/>
    </row>
    <row r="25" ht="12.75" hidden="1" customHeight="1">
      <c r="A25" s="43">
        <v>16.0</v>
      </c>
      <c r="B25" s="43" t="s">
        <v>779</v>
      </c>
      <c r="C25" s="43" t="s">
        <v>851</v>
      </c>
      <c r="D25" s="43"/>
      <c r="E25" s="43" t="s">
        <v>770</v>
      </c>
      <c r="F25" s="43" t="s">
        <v>70</v>
      </c>
      <c r="G25" s="44">
        <v>2.178E8</v>
      </c>
      <c r="H25" s="43">
        <v>0.0</v>
      </c>
      <c r="I25" s="43"/>
      <c r="J25" s="43"/>
      <c r="K25" s="43"/>
      <c r="L25" s="43" t="s">
        <v>71</v>
      </c>
      <c r="M25" s="43" t="s">
        <v>772</v>
      </c>
      <c r="N25" s="43">
        <v>1.0</v>
      </c>
      <c r="O25" s="43">
        <v>7.0</v>
      </c>
      <c r="P25" s="43"/>
      <c r="Q25" s="46" t="s">
        <v>852</v>
      </c>
      <c r="R25" s="46" t="s">
        <v>853</v>
      </c>
      <c r="S25" s="47" t="s">
        <v>854</v>
      </c>
      <c r="T25" s="48" t="s">
        <v>855</v>
      </c>
      <c r="U25" s="46" t="s">
        <v>777</v>
      </c>
      <c r="V25" s="43" t="s">
        <v>856</v>
      </c>
      <c r="W25" s="43"/>
      <c r="X25" s="50"/>
      <c r="Y25" s="50"/>
    </row>
    <row r="26" ht="12.75" hidden="1" customHeight="1">
      <c r="A26" s="43">
        <v>17.0</v>
      </c>
      <c r="B26" s="43" t="s">
        <v>779</v>
      </c>
      <c r="C26" s="43" t="s">
        <v>857</v>
      </c>
      <c r="D26" s="43"/>
      <c r="E26" s="43" t="s">
        <v>770</v>
      </c>
      <c r="F26" s="43" t="s">
        <v>70</v>
      </c>
      <c r="G26" s="44">
        <v>2.567E8</v>
      </c>
      <c r="H26" s="43">
        <v>0.0</v>
      </c>
      <c r="I26" s="43" t="s">
        <v>858</v>
      </c>
      <c r="J26" s="43"/>
      <c r="K26" s="43"/>
      <c r="L26" s="43" t="s">
        <v>78</v>
      </c>
      <c r="M26" s="43" t="s">
        <v>772</v>
      </c>
      <c r="N26" s="43">
        <v>1.0</v>
      </c>
      <c r="O26" s="43">
        <v>7.0</v>
      </c>
      <c r="P26" s="43"/>
      <c r="Q26" s="51" t="s">
        <v>859</v>
      </c>
      <c r="R26" s="57"/>
      <c r="S26" s="53"/>
      <c r="T26" s="59">
        <v>0.0</v>
      </c>
      <c r="U26" s="43"/>
      <c r="V26" s="43" t="s">
        <v>860</v>
      </c>
      <c r="W26" s="43"/>
      <c r="X26" s="50"/>
      <c r="Y26" s="50"/>
    </row>
    <row r="27" ht="12.75" hidden="1" customHeight="1">
      <c r="A27" s="43">
        <v>18.0</v>
      </c>
      <c r="B27" s="43" t="s">
        <v>779</v>
      </c>
      <c r="C27" s="43" t="s">
        <v>861</v>
      </c>
      <c r="D27" s="43"/>
      <c r="E27" s="43" t="s">
        <v>770</v>
      </c>
      <c r="F27" s="43" t="s">
        <v>70</v>
      </c>
      <c r="G27" s="44">
        <v>1.62E8</v>
      </c>
      <c r="H27" s="43">
        <v>0.0</v>
      </c>
      <c r="I27" s="43" t="s">
        <v>781</v>
      </c>
      <c r="J27" s="43"/>
      <c r="K27" s="43"/>
      <c r="L27" s="43" t="s">
        <v>862</v>
      </c>
      <c r="M27" s="43" t="s">
        <v>772</v>
      </c>
      <c r="N27" s="43">
        <v>1.0</v>
      </c>
      <c r="O27" s="43">
        <v>7.0</v>
      </c>
      <c r="P27" s="43"/>
      <c r="Q27" s="46" t="s">
        <v>863</v>
      </c>
      <c r="R27" s="46" t="s">
        <v>864</v>
      </c>
      <c r="S27" s="47" t="s">
        <v>865</v>
      </c>
      <c r="T27" s="48" t="s">
        <v>866</v>
      </c>
      <c r="U27" s="46" t="s">
        <v>777</v>
      </c>
      <c r="V27" s="43"/>
      <c r="W27" s="43"/>
      <c r="X27" s="50"/>
      <c r="Y27" s="50"/>
    </row>
    <row r="28" ht="12.75" hidden="1" customHeight="1">
      <c r="A28" s="43">
        <v>19.0</v>
      </c>
      <c r="B28" s="43" t="s">
        <v>779</v>
      </c>
      <c r="C28" s="43" t="s">
        <v>861</v>
      </c>
      <c r="D28" s="43"/>
      <c r="E28" s="43" t="s">
        <v>770</v>
      </c>
      <c r="F28" s="43" t="s">
        <v>70</v>
      </c>
      <c r="G28" s="44">
        <v>4.13E8</v>
      </c>
      <c r="H28" s="43">
        <v>0.0</v>
      </c>
      <c r="I28" s="43" t="s">
        <v>781</v>
      </c>
      <c r="J28" s="43"/>
      <c r="K28" s="43"/>
      <c r="L28" s="43" t="s">
        <v>862</v>
      </c>
      <c r="M28" s="43" t="s">
        <v>772</v>
      </c>
      <c r="N28" s="43">
        <v>1.0</v>
      </c>
      <c r="O28" s="43">
        <v>7.0</v>
      </c>
      <c r="P28" s="43"/>
      <c r="Q28" s="57" t="s">
        <v>867</v>
      </c>
      <c r="R28" s="43" t="s">
        <v>868</v>
      </c>
      <c r="S28" s="53" t="s">
        <v>869</v>
      </c>
      <c r="T28" s="59">
        <v>0.0</v>
      </c>
      <c r="U28" s="43"/>
      <c r="V28" s="51" t="s">
        <v>870</v>
      </c>
      <c r="W28" s="43"/>
      <c r="X28" s="50"/>
      <c r="Y28" s="50"/>
    </row>
    <row r="29" ht="12.75" hidden="1" customHeight="1">
      <c r="A29" s="43">
        <v>20.0</v>
      </c>
      <c r="B29" s="60" t="s">
        <v>779</v>
      </c>
      <c r="C29" s="60" t="s">
        <v>861</v>
      </c>
      <c r="D29" s="60"/>
      <c r="E29" s="60" t="s">
        <v>770</v>
      </c>
      <c r="F29" s="60" t="s">
        <v>70</v>
      </c>
      <c r="G29" s="61">
        <v>3.47E8</v>
      </c>
      <c r="H29" s="60">
        <v>0.0</v>
      </c>
      <c r="I29" s="60" t="s">
        <v>781</v>
      </c>
      <c r="J29" s="60"/>
      <c r="K29" s="60"/>
      <c r="L29" s="60" t="s">
        <v>862</v>
      </c>
      <c r="M29" s="60" t="s">
        <v>772</v>
      </c>
      <c r="N29" s="60">
        <v>1.0</v>
      </c>
      <c r="O29" s="60">
        <v>7.0</v>
      </c>
      <c r="P29" s="60"/>
      <c r="Q29" s="60" t="s">
        <v>871</v>
      </c>
      <c r="R29" s="60" t="s">
        <v>872</v>
      </c>
      <c r="S29" s="62" t="s">
        <v>873</v>
      </c>
      <c r="T29" s="63">
        <v>0.0</v>
      </c>
      <c r="U29" s="60"/>
      <c r="V29" s="60"/>
      <c r="W29" s="64" t="s">
        <v>874</v>
      </c>
      <c r="X29" s="50"/>
      <c r="Y29" s="50"/>
    </row>
    <row r="30" ht="12.75" hidden="1" customHeight="1">
      <c r="A30" s="43">
        <v>21.0</v>
      </c>
      <c r="B30" s="43" t="s">
        <v>875</v>
      </c>
      <c r="C30" s="43" t="s">
        <v>876</v>
      </c>
      <c r="D30" s="43"/>
      <c r="E30" s="43" t="s">
        <v>770</v>
      </c>
      <c r="F30" s="43" t="s">
        <v>70</v>
      </c>
      <c r="G30" s="44">
        <v>1.1E9</v>
      </c>
      <c r="H30" s="43">
        <v>0.0</v>
      </c>
      <c r="I30" s="43"/>
      <c r="J30" s="51" t="s">
        <v>877</v>
      </c>
      <c r="K30" s="43"/>
      <c r="L30" s="43" t="s">
        <v>611</v>
      </c>
      <c r="M30" s="43" t="s">
        <v>772</v>
      </c>
      <c r="N30" s="43">
        <v>1.0</v>
      </c>
      <c r="O30" s="43">
        <v>7.0</v>
      </c>
      <c r="P30" s="43"/>
      <c r="Q30" s="45" t="s">
        <v>878</v>
      </c>
      <c r="R30" s="46" t="s">
        <v>879</v>
      </c>
      <c r="S30" s="47" t="s">
        <v>880</v>
      </c>
      <c r="T30" s="48" t="s">
        <v>881</v>
      </c>
      <c r="U30" s="46" t="s">
        <v>777</v>
      </c>
      <c r="V30" s="43" t="s">
        <v>824</v>
      </c>
      <c r="W30" s="51" t="s">
        <v>882</v>
      </c>
      <c r="X30" s="50"/>
      <c r="Y30" s="50"/>
    </row>
    <row r="31" ht="12.75" hidden="1" customHeight="1">
      <c r="A31" s="43">
        <v>22.0</v>
      </c>
      <c r="B31" s="43" t="s">
        <v>883</v>
      </c>
      <c r="C31" s="43" t="s">
        <v>884</v>
      </c>
      <c r="D31" s="43"/>
      <c r="E31" s="43" t="s">
        <v>770</v>
      </c>
      <c r="F31" s="43" t="s">
        <v>70</v>
      </c>
      <c r="G31" s="44">
        <v>3.498E8</v>
      </c>
      <c r="H31" s="43">
        <v>0.0</v>
      </c>
      <c r="I31" s="43" t="s">
        <v>885</v>
      </c>
      <c r="J31" s="43"/>
      <c r="K31" s="43" t="s">
        <v>886</v>
      </c>
      <c r="L31" s="43" t="s">
        <v>887</v>
      </c>
      <c r="M31" s="43" t="s">
        <v>772</v>
      </c>
      <c r="N31" s="43">
        <v>1.0</v>
      </c>
      <c r="O31" s="43">
        <v>7.0</v>
      </c>
      <c r="P31" s="43"/>
      <c r="Q31" s="57" t="s">
        <v>888</v>
      </c>
      <c r="R31" s="43" t="s">
        <v>889</v>
      </c>
      <c r="S31" s="58" t="s">
        <v>890</v>
      </c>
      <c r="T31" s="59">
        <v>0.0</v>
      </c>
      <c r="U31" s="43"/>
      <c r="V31" s="49" t="s">
        <v>891</v>
      </c>
      <c r="W31" s="43" t="s">
        <v>892</v>
      </c>
      <c r="X31" s="50"/>
      <c r="Y31" s="50"/>
    </row>
    <row r="32" ht="12.75" hidden="1" customHeight="1">
      <c r="A32" s="43">
        <v>23.0</v>
      </c>
      <c r="B32" s="43" t="s">
        <v>883</v>
      </c>
      <c r="C32" s="43" t="s">
        <v>884</v>
      </c>
      <c r="D32" s="43"/>
      <c r="E32" s="43" t="s">
        <v>770</v>
      </c>
      <c r="F32" s="43" t="s">
        <v>70</v>
      </c>
      <c r="G32" s="44">
        <v>3.498E8</v>
      </c>
      <c r="H32" s="43">
        <v>0.0</v>
      </c>
      <c r="I32" s="43" t="s">
        <v>885</v>
      </c>
      <c r="J32" s="43"/>
      <c r="K32" s="43" t="s">
        <v>886</v>
      </c>
      <c r="L32" s="43" t="s">
        <v>887</v>
      </c>
      <c r="M32" s="43" t="s">
        <v>772</v>
      </c>
      <c r="N32" s="43">
        <v>1.0</v>
      </c>
      <c r="O32" s="43">
        <v>7.0</v>
      </c>
      <c r="P32" s="43"/>
      <c r="Q32" s="57" t="s">
        <v>893</v>
      </c>
      <c r="R32" s="43" t="s">
        <v>894</v>
      </c>
      <c r="S32" s="53"/>
      <c r="T32" s="59">
        <v>0.0</v>
      </c>
      <c r="U32" s="43"/>
      <c r="V32" s="51" t="s">
        <v>895</v>
      </c>
      <c r="W32" s="43" t="s">
        <v>892</v>
      </c>
      <c r="X32" s="50"/>
      <c r="Y32" s="50"/>
    </row>
    <row r="33" ht="12.75" hidden="1" customHeight="1">
      <c r="A33" s="43">
        <v>24.0</v>
      </c>
      <c r="B33" s="43" t="s">
        <v>883</v>
      </c>
      <c r="C33" s="43" t="s">
        <v>884</v>
      </c>
      <c r="D33" s="43"/>
      <c r="E33" s="43" t="s">
        <v>770</v>
      </c>
      <c r="F33" s="43" t="s">
        <v>70</v>
      </c>
      <c r="G33" s="44">
        <v>3.498E8</v>
      </c>
      <c r="H33" s="43">
        <v>0.0</v>
      </c>
      <c r="I33" s="43" t="s">
        <v>885</v>
      </c>
      <c r="J33" s="43"/>
      <c r="K33" s="43" t="s">
        <v>886</v>
      </c>
      <c r="L33" s="43" t="s">
        <v>887</v>
      </c>
      <c r="M33" s="43" t="s">
        <v>772</v>
      </c>
      <c r="N33" s="43">
        <v>1.0</v>
      </c>
      <c r="O33" s="43">
        <v>7.0</v>
      </c>
      <c r="P33" s="43"/>
      <c r="Q33" s="57" t="s">
        <v>896</v>
      </c>
      <c r="R33" s="43" t="s">
        <v>897</v>
      </c>
      <c r="S33" s="53"/>
      <c r="T33" s="59">
        <v>0.0</v>
      </c>
      <c r="U33" s="43"/>
      <c r="V33" s="43" t="s">
        <v>898</v>
      </c>
      <c r="W33" s="51" t="s">
        <v>899</v>
      </c>
      <c r="X33" s="65"/>
      <c r="Y33" s="65"/>
    </row>
    <row r="34" ht="12.75" hidden="1" customHeight="1">
      <c r="A34" s="43">
        <v>25.0</v>
      </c>
      <c r="B34" s="43" t="s">
        <v>883</v>
      </c>
      <c r="C34" s="43" t="s">
        <v>900</v>
      </c>
      <c r="D34" s="43"/>
      <c r="E34" s="43" t="s">
        <v>770</v>
      </c>
      <c r="F34" s="43" t="s">
        <v>70</v>
      </c>
      <c r="G34" s="44">
        <v>6.498E8</v>
      </c>
      <c r="H34" s="43">
        <v>0.0</v>
      </c>
      <c r="I34" s="43" t="s">
        <v>885</v>
      </c>
      <c r="J34" s="51" t="s">
        <v>901</v>
      </c>
      <c r="K34" s="51" t="s">
        <v>902</v>
      </c>
      <c r="L34" s="43" t="s">
        <v>887</v>
      </c>
      <c r="M34" s="43" t="s">
        <v>772</v>
      </c>
      <c r="N34" s="43">
        <v>1.0</v>
      </c>
      <c r="O34" s="43">
        <v>7.0</v>
      </c>
      <c r="P34" s="43"/>
      <c r="Q34" s="43" t="s">
        <v>903</v>
      </c>
      <c r="R34" s="43" t="s">
        <v>904</v>
      </c>
      <c r="S34" s="58" t="s">
        <v>905</v>
      </c>
      <c r="T34" s="66" t="s">
        <v>906</v>
      </c>
      <c r="U34" s="43"/>
      <c r="V34" s="51" t="s">
        <v>907</v>
      </c>
      <c r="W34" s="51" t="s">
        <v>907</v>
      </c>
      <c r="X34" s="50"/>
      <c r="Y34" s="50"/>
    </row>
    <row r="35" ht="12.75" hidden="1" customHeight="1">
      <c r="A35" s="43">
        <v>26.0</v>
      </c>
      <c r="B35" s="43" t="s">
        <v>908</v>
      </c>
      <c r="C35" s="43" t="s">
        <v>909</v>
      </c>
      <c r="D35" s="43"/>
      <c r="E35" s="43" t="s">
        <v>770</v>
      </c>
      <c r="F35" s="43" t="s">
        <v>70</v>
      </c>
      <c r="G35" s="44">
        <v>2.0980216E8</v>
      </c>
      <c r="H35" s="43">
        <v>0.0</v>
      </c>
      <c r="I35" s="43" t="s">
        <v>858</v>
      </c>
      <c r="J35" s="43"/>
      <c r="K35" s="43"/>
      <c r="L35" s="43" t="s">
        <v>910</v>
      </c>
      <c r="M35" s="43" t="s">
        <v>772</v>
      </c>
      <c r="N35" s="43">
        <v>1.0</v>
      </c>
      <c r="O35" s="43">
        <v>7.0</v>
      </c>
      <c r="P35" s="43"/>
      <c r="Q35" s="46" t="s">
        <v>911</v>
      </c>
      <c r="R35" s="46" t="s">
        <v>912</v>
      </c>
      <c r="S35" s="47" t="s">
        <v>913</v>
      </c>
      <c r="T35" s="48" t="s">
        <v>914</v>
      </c>
      <c r="U35" s="46" t="s">
        <v>777</v>
      </c>
      <c r="V35" s="43" t="s">
        <v>915</v>
      </c>
      <c r="W35" s="43"/>
      <c r="X35" s="50"/>
      <c r="Y35" s="50"/>
    </row>
    <row r="36" ht="12.75" hidden="1" customHeight="1">
      <c r="A36" s="43">
        <v>27.0</v>
      </c>
      <c r="B36" s="43" t="s">
        <v>916</v>
      </c>
      <c r="C36" s="43" t="s">
        <v>917</v>
      </c>
      <c r="D36" s="43"/>
      <c r="E36" s="43" t="s">
        <v>770</v>
      </c>
      <c r="F36" s="43" t="s">
        <v>70</v>
      </c>
      <c r="G36" s="44">
        <v>5.4817E7</v>
      </c>
      <c r="H36" s="43">
        <v>0.0</v>
      </c>
      <c r="I36" s="43" t="s">
        <v>858</v>
      </c>
      <c r="J36" s="43"/>
      <c r="K36" s="43"/>
      <c r="L36" s="43" t="s">
        <v>918</v>
      </c>
      <c r="M36" s="43" t="s">
        <v>772</v>
      </c>
      <c r="N36" s="43">
        <v>1.0</v>
      </c>
      <c r="O36" s="43">
        <v>7.0</v>
      </c>
      <c r="P36" s="43"/>
      <c r="Q36" s="45" t="s">
        <v>919</v>
      </c>
      <c r="R36" s="46" t="s">
        <v>920</v>
      </c>
      <c r="S36" s="47" t="s">
        <v>921</v>
      </c>
      <c r="T36" s="48">
        <v>9190860.0</v>
      </c>
      <c r="U36" s="46" t="s">
        <v>777</v>
      </c>
      <c r="V36" s="51" t="s">
        <v>922</v>
      </c>
      <c r="W36" s="43"/>
      <c r="X36" s="50"/>
      <c r="Y36" s="50"/>
    </row>
    <row r="37" ht="12.75" hidden="1" customHeight="1">
      <c r="A37" s="43">
        <v>28.0</v>
      </c>
      <c r="B37" s="43" t="s">
        <v>916</v>
      </c>
      <c r="C37" s="43" t="s">
        <v>923</v>
      </c>
      <c r="D37" s="43"/>
      <c r="E37" s="43" t="s">
        <v>770</v>
      </c>
      <c r="F37" s="43" t="s">
        <v>70</v>
      </c>
      <c r="G37" s="44">
        <v>1.1675E8</v>
      </c>
      <c r="H37" s="43">
        <v>0.0</v>
      </c>
      <c r="I37" s="43" t="s">
        <v>781</v>
      </c>
      <c r="J37" s="43"/>
      <c r="K37" s="43"/>
      <c r="L37" s="43" t="s">
        <v>924</v>
      </c>
      <c r="M37" s="43" t="s">
        <v>772</v>
      </c>
      <c r="N37" s="43">
        <v>1.0</v>
      </c>
      <c r="O37" s="43">
        <v>7.0</v>
      </c>
      <c r="P37" s="43"/>
      <c r="Q37" s="46" t="s">
        <v>925</v>
      </c>
      <c r="R37" s="46" t="s">
        <v>926</v>
      </c>
      <c r="S37" s="47" t="s">
        <v>927</v>
      </c>
      <c r="T37" s="48" t="s">
        <v>928</v>
      </c>
      <c r="U37" s="46" t="s">
        <v>777</v>
      </c>
      <c r="V37" s="67" t="s">
        <v>929</v>
      </c>
      <c r="W37" s="43"/>
      <c r="X37" s="50"/>
      <c r="Y37" s="50"/>
    </row>
    <row r="38" ht="12.75" hidden="1" customHeight="1">
      <c r="A38" s="68">
        <v>29.0</v>
      </c>
      <c r="B38" s="68" t="s">
        <v>916</v>
      </c>
      <c r="C38" s="68" t="s">
        <v>923</v>
      </c>
      <c r="D38" s="69" t="s">
        <v>930</v>
      </c>
      <c r="E38" s="68" t="s">
        <v>770</v>
      </c>
      <c r="F38" s="69" t="s">
        <v>931</v>
      </c>
      <c r="G38" s="70">
        <v>1.16E8</v>
      </c>
      <c r="H38" s="68">
        <v>0.0</v>
      </c>
      <c r="I38" s="68" t="s">
        <v>781</v>
      </c>
      <c r="J38" s="68"/>
      <c r="K38" s="68"/>
      <c r="L38" s="68" t="s">
        <v>924</v>
      </c>
      <c r="M38" s="68" t="s">
        <v>772</v>
      </c>
      <c r="N38" s="68">
        <v>1.0</v>
      </c>
      <c r="O38" s="68">
        <v>7.0</v>
      </c>
      <c r="P38" s="68"/>
      <c r="Q38" s="71" t="s">
        <v>932</v>
      </c>
      <c r="R38" s="68" t="s">
        <v>933</v>
      </c>
      <c r="S38" s="72" t="s">
        <v>927</v>
      </c>
      <c r="T38" s="73">
        <v>0.0</v>
      </c>
      <c r="U38" s="68"/>
      <c r="V38" s="74" t="s">
        <v>934</v>
      </c>
      <c r="W38" s="69" t="s">
        <v>935</v>
      </c>
      <c r="X38" s="75"/>
      <c r="Y38" s="76"/>
    </row>
    <row r="39" ht="12.75" hidden="1" customHeight="1">
      <c r="A39" s="43">
        <v>30.0</v>
      </c>
      <c r="B39" s="43" t="s">
        <v>916</v>
      </c>
      <c r="C39" s="43" t="s">
        <v>917</v>
      </c>
      <c r="D39" s="51" t="s">
        <v>936</v>
      </c>
      <c r="E39" s="43" t="s">
        <v>770</v>
      </c>
      <c r="F39" s="43" t="s">
        <v>70</v>
      </c>
      <c r="G39" s="44">
        <v>1.75E8</v>
      </c>
      <c r="H39" s="43">
        <v>0.0</v>
      </c>
      <c r="I39" s="43" t="s">
        <v>781</v>
      </c>
      <c r="J39" s="43"/>
      <c r="K39" s="43"/>
      <c r="L39" s="43" t="s">
        <v>788</v>
      </c>
      <c r="M39" s="43" t="s">
        <v>772</v>
      </c>
      <c r="N39" s="43">
        <v>1.0</v>
      </c>
      <c r="O39" s="43">
        <v>7.0</v>
      </c>
      <c r="P39" s="43"/>
      <c r="Q39" s="46" t="s">
        <v>937</v>
      </c>
      <c r="R39" s="46" t="s">
        <v>938</v>
      </c>
      <c r="S39" s="47" t="s">
        <v>939</v>
      </c>
      <c r="T39" s="48" t="s">
        <v>940</v>
      </c>
      <c r="U39" s="46" t="s">
        <v>777</v>
      </c>
      <c r="V39" s="77" t="s">
        <v>941</v>
      </c>
      <c r="W39" s="43"/>
      <c r="X39" s="50"/>
      <c r="Y39" s="50"/>
    </row>
    <row r="40" ht="12.75" hidden="1" customHeight="1">
      <c r="A40" s="43">
        <v>31.0</v>
      </c>
      <c r="B40" s="43" t="s">
        <v>916</v>
      </c>
      <c r="C40" s="43" t="s">
        <v>942</v>
      </c>
      <c r="D40" s="43"/>
      <c r="E40" s="43" t="s">
        <v>770</v>
      </c>
      <c r="F40" s="43" t="s">
        <v>70</v>
      </c>
      <c r="G40" s="44">
        <v>8.0E7</v>
      </c>
      <c r="H40" s="43">
        <v>0.0</v>
      </c>
      <c r="I40" s="43" t="s">
        <v>781</v>
      </c>
      <c r="J40" s="43"/>
      <c r="K40" s="43"/>
      <c r="L40" s="43" t="s">
        <v>788</v>
      </c>
      <c r="M40" s="43" t="s">
        <v>772</v>
      </c>
      <c r="N40" s="43">
        <v>1.0</v>
      </c>
      <c r="O40" s="43">
        <v>7.0</v>
      </c>
      <c r="P40" s="43"/>
      <c r="Q40" s="43" t="s">
        <v>943</v>
      </c>
      <c r="R40" s="43" t="s">
        <v>944</v>
      </c>
      <c r="S40" s="53" t="s">
        <v>945</v>
      </c>
      <c r="T40" s="54" t="s">
        <v>946</v>
      </c>
      <c r="U40" s="43"/>
      <c r="V40" s="51" t="s">
        <v>947</v>
      </c>
      <c r="W40" s="43"/>
      <c r="X40" s="50"/>
      <c r="Y40" s="50"/>
    </row>
    <row r="41" ht="12.75" hidden="1" customHeight="1">
      <c r="A41" s="43">
        <v>32.0</v>
      </c>
      <c r="B41" s="43" t="s">
        <v>916</v>
      </c>
      <c r="C41" s="43" t="s">
        <v>917</v>
      </c>
      <c r="D41" s="43"/>
      <c r="E41" s="43" t="s">
        <v>770</v>
      </c>
      <c r="F41" s="43" t="s">
        <v>70</v>
      </c>
      <c r="G41" s="44">
        <v>5.9E7</v>
      </c>
      <c r="H41" s="43">
        <v>0.0</v>
      </c>
      <c r="I41" s="43" t="s">
        <v>781</v>
      </c>
      <c r="J41" s="43"/>
      <c r="K41" s="43"/>
      <c r="L41" s="43" t="s">
        <v>948</v>
      </c>
      <c r="M41" s="43" t="s">
        <v>772</v>
      </c>
      <c r="N41" s="43">
        <v>1.0</v>
      </c>
      <c r="O41" s="43">
        <v>7.0</v>
      </c>
      <c r="P41" s="43"/>
      <c r="Q41" s="46" t="s">
        <v>949</v>
      </c>
      <c r="R41" s="46" t="s">
        <v>950</v>
      </c>
      <c r="S41" s="47">
        <v>9298255.0</v>
      </c>
      <c r="T41" s="48" t="s">
        <v>951</v>
      </c>
      <c r="U41" s="46" t="s">
        <v>777</v>
      </c>
      <c r="V41" s="43" t="s">
        <v>952</v>
      </c>
      <c r="W41" s="43"/>
      <c r="X41" s="50"/>
      <c r="Y41" s="50"/>
    </row>
    <row r="42" ht="12.75" hidden="1" customHeight="1">
      <c r="A42" s="43">
        <v>33.0</v>
      </c>
      <c r="B42" s="43" t="s">
        <v>916</v>
      </c>
      <c r="C42" s="43" t="s">
        <v>923</v>
      </c>
      <c r="D42" s="43"/>
      <c r="E42" s="43" t="s">
        <v>770</v>
      </c>
      <c r="F42" s="43" t="s">
        <v>70</v>
      </c>
      <c r="G42" s="44">
        <v>1.5315E8</v>
      </c>
      <c r="H42" s="43">
        <v>0.0</v>
      </c>
      <c r="I42" s="43" t="s">
        <v>781</v>
      </c>
      <c r="J42" s="43"/>
      <c r="K42" s="43"/>
      <c r="L42" s="43" t="s">
        <v>37</v>
      </c>
      <c r="M42" s="43" t="s">
        <v>772</v>
      </c>
      <c r="N42" s="43">
        <v>1.0</v>
      </c>
      <c r="O42" s="43">
        <v>7.0</v>
      </c>
      <c r="P42" s="43"/>
      <c r="Q42" s="45" t="s">
        <v>953</v>
      </c>
      <c r="R42" s="46" t="s">
        <v>954</v>
      </c>
      <c r="S42" s="47" t="s">
        <v>955</v>
      </c>
      <c r="T42" s="48" t="s">
        <v>956</v>
      </c>
      <c r="U42" s="46" t="s">
        <v>777</v>
      </c>
      <c r="V42" s="43" t="s">
        <v>957</v>
      </c>
      <c r="W42" s="43"/>
      <c r="X42" s="50"/>
      <c r="Y42" s="50"/>
      <c r="Z42" s="78"/>
      <c r="AA42" s="78"/>
    </row>
    <row r="43" ht="12.75" hidden="1" customHeight="1">
      <c r="A43" s="45">
        <v>34.0</v>
      </c>
      <c r="B43" s="45" t="s">
        <v>916</v>
      </c>
      <c r="C43" s="45" t="s">
        <v>958</v>
      </c>
      <c r="D43" s="45"/>
      <c r="E43" s="45" t="s">
        <v>770</v>
      </c>
      <c r="F43" s="45" t="s">
        <v>70</v>
      </c>
      <c r="G43" s="79">
        <v>5.9705E7</v>
      </c>
      <c r="H43" s="45">
        <v>0.0</v>
      </c>
      <c r="I43" s="45"/>
      <c r="J43" s="45"/>
      <c r="K43" s="45"/>
      <c r="L43" s="45" t="s">
        <v>37</v>
      </c>
      <c r="M43" s="45" t="s">
        <v>772</v>
      </c>
      <c r="N43" s="45">
        <v>1.0</v>
      </c>
      <c r="O43" s="45">
        <v>7.0</v>
      </c>
      <c r="P43" s="45"/>
      <c r="Q43" s="45"/>
      <c r="R43" s="45"/>
      <c r="S43" s="80"/>
      <c r="T43" s="81">
        <v>0.0</v>
      </c>
      <c r="U43" s="45"/>
      <c r="V43" s="45"/>
      <c r="W43" s="45"/>
      <c r="X43" s="82"/>
      <c r="Y43" s="83"/>
      <c r="Z43" s="84"/>
      <c r="AA43" s="84"/>
    </row>
    <row r="44" ht="12.75" hidden="1" customHeight="1">
      <c r="A44" s="43">
        <v>35.0</v>
      </c>
      <c r="B44" s="43" t="s">
        <v>916</v>
      </c>
      <c r="C44" s="43" t="s">
        <v>923</v>
      </c>
      <c r="D44" s="51" t="s">
        <v>959</v>
      </c>
      <c r="E44" s="43" t="s">
        <v>770</v>
      </c>
      <c r="F44" s="43" t="s">
        <v>70</v>
      </c>
      <c r="G44" s="44">
        <v>1.5315E8</v>
      </c>
      <c r="H44" s="43">
        <v>0.0</v>
      </c>
      <c r="I44" s="43" t="s">
        <v>781</v>
      </c>
      <c r="J44" s="43"/>
      <c r="K44" s="43"/>
      <c r="L44" s="43" t="s">
        <v>37</v>
      </c>
      <c r="M44" s="43" t="s">
        <v>772</v>
      </c>
      <c r="N44" s="43">
        <v>1.0</v>
      </c>
      <c r="O44" s="43">
        <v>7.0</v>
      </c>
      <c r="P44" s="43"/>
      <c r="Q44" s="57" t="s">
        <v>960</v>
      </c>
      <c r="R44" s="43" t="s">
        <v>961</v>
      </c>
      <c r="S44" s="53" t="s">
        <v>962</v>
      </c>
      <c r="T44" s="59">
        <v>0.0</v>
      </c>
      <c r="U44" s="43"/>
      <c r="V44" s="43" t="s">
        <v>963</v>
      </c>
      <c r="W44" s="43"/>
      <c r="X44" s="50"/>
      <c r="Y44" s="50"/>
      <c r="Z44" s="78"/>
      <c r="AA44" s="78"/>
    </row>
    <row r="45" ht="12.75" hidden="1" customHeight="1">
      <c r="A45" s="43">
        <v>36.0</v>
      </c>
      <c r="B45" s="43" t="s">
        <v>916</v>
      </c>
      <c r="C45" s="43" t="s">
        <v>917</v>
      </c>
      <c r="D45" s="43"/>
      <c r="E45" s="43" t="s">
        <v>770</v>
      </c>
      <c r="F45" s="43" t="s">
        <v>70</v>
      </c>
      <c r="G45" s="44">
        <v>1.4975E8</v>
      </c>
      <c r="H45" s="43">
        <v>0.0</v>
      </c>
      <c r="I45" s="43" t="s">
        <v>781</v>
      </c>
      <c r="J45" s="43"/>
      <c r="K45" s="43"/>
      <c r="L45" s="43" t="s">
        <v>391</v>
      </c>
      <c r="M45" s="43" t="s">
        <v>772</v>
      </c>
      <c r="N45" s="43">
        <v>1.0</v>
      </c>
      <c r="O45" s="43">
        <v>7.0</v>
      </c>
      <c r="P45" s="43"/>
      <c r="Q45" s="45" t="s">
        <v>964</v>
      </c>
      <c r="R45" s="46" t="s">
        <v>965</v>
      </c>
      <c r="S45" s="47" t="s">
        <v>966</v>
      </c>
      <c r="T45" s="48" t="s">
        <v>967</v>
      </c>
      <c r="U45" s="46" t="s">
        <v>777</v>
      </c>
      <c r="V45" s="51" t="s">
        <v>968</v>
      </c>
      <c r="W45" s="43"/>
      <c r="X45" s="50"/>
      <c r="Y45" s="50"/>
      <c r="Z45" s="78"/>
      <c r="AA45" s="78"/>
    </row>
    <row r="46" ht="12.75" hidden="1" customHeight="1">
      <c r="A46" s="43">
        <v>37.0</v>
      </c>
      <c r="B46" s="43" t="s">
        <v>916</v>
      </c>
      <c r="C46" s="43" t="s">
        <v>917</v>
      </c>
      <c r="D46" s="43"/>
      <c r="E46" s="43" t="s">
        <v>770</v>
      </c>
      <c r="F46" s="43" t="s">
        <v>70</v>
      </c>
      <c r="G46" s="44">
        <v>1.4975E8</v>
      </c>
      <c r="H46" s="43">
        <v>0.0</v>
      </c>
      <c r="I46" s="43" t="s">
        <v>781</v>
      </c>
      <c r="J46" s="43"/>
      <c r="K46" s="43"/>
      <c r="L46" s="43" t="s">
        <v>391</v>
      </c>
      <c r="M46" s="43" t="s">
        <v>772</v>
      </c>
      <c r="N46" s="43">
        <v>1.0</v>
      </c>
      <c r="O46" s="43">
        <v>7.0</v>
      </c>
      <c r="P46" s="43"/>
      <c r="Q46" s="57" t="s">
        <v>969</v>
      </c>
      <c r="R46" s="43" t="s">
        <v>965</v>
      </c>
      <c r="S46" s="53" t="s">
        <v>966</v>
      </c>
      <c r="T46" s="59">
        <v>0.0</v>
      </c>
      <c r="U46" s="43"/>
      <c r="V46" s="43" t="s">
        <v>970</v>
      </c>
      <c r="W46" s="43"/>
      <c r="X46" s="50"/>
      <c r="Y46" s="50"/>
      <c r="Z46" s="78"/>
      <c r="AA46" s="78"/>
    </row>
    <row r="47" ht="12.75" hidden="1" customHeight="1">
      <c r="A47" s="45">
        <v>38.0</v>
      </c>
      <c r="B47" s="45" t="s">
        <v>916</v>
      </c>
      <c r="C47" s="45" t="s">
        <v>958</v>
      </c>
      <c r="D47" s="45"/>
      <c r="E47" s="45" t="s">
        <v>770</v>
      </c>
      <c r="F47" s="45" t="s">
        <v>70</v>
      </c>
      <c r="G47" s="79">
        <v>7.756135E7</v>
      </c>
      <c r="H47" s="45">
        <v>0.0</v>
      </c>
      <c r="I47" s="45"/>
      <c r="J47" s="45"/>
      <c r="K47" s="45"/>
      <c r="L47" s="45" t="s">
        <v>391</v>
      </c>
      <c r="M47" s="45" t="s">
        <v>772</v>
      </c>
      <c r="N47" s="45">
        <v>1.0</v>
      </c>
      <c r="O47" s="45">
        <v>7.0</v>
      </c>
      <c r="P47" s="45"/>
      <c r="Q47" s="45"/>
      <c r="R47" s="45"/>
      <c r="S47" s="80"/>
      <c r="T47" s="81">
        <v>0.0</v>
      </c>
      <c r="U47" s="45"/>
      <c r="V47" s="45"/>
      <c r="W47" s="45"/>
      <c r="X47" s="82"/>
      <c r="Y47" s="83"/>
      <c r="Z47" s="84"/>
      <c r="AA47" s="84"/>
    </row>
    <row r="48" ht="12.75" hidden="1" customHeight="1">
      <c r="A48" s="43">
        <v>39.0</v>
      </c>
      <c r="B48" s="43" t="s">
        <v>916</v>
      </c>
      <c r="C48" s="43" t="s">
        <v>971</v>
      </c>
      <c r="D48" s="43"/>
      <c r="E48" s="43" t="s">
        <v>770</v>
      </c>
      <c r="F48" s="43" t="s">
        <v>70</v>
      </c>
      <c r="G48" s="44">
        <v>1.9965E8</v>
      </c>
      <c r="H48" s="43">
        <v>0.0</v>
      </c>
      <c r="I48" s="43" t="s">
        <v>781</v>
      </c>
      <c r="J48" s="43"/>
      <c r="K48" s="43"/>
      <c r="L48" s="43" t="s">
        <v>84</v>
      </c>
      <c r="M48" s="43" t="s">
        <v>772</v>
      </c>
      <c r="N48" s="43">
        <v>1.0</v>
      </c>
      <c r="O48" s="43">
        <v>7.0</v>
      </c>
      <c r="P48" s="43"/>
      <c r="Q48" s="57" t="s">
        <v>972</v>
      </c>
      <c r="R48" s="43" t="s">
        <v>973</v>
      </c>
      <c r="S48" s="53" t="s">
        <v>974</v>
      </c>
      <c r="T48" s="59">
        <v>0.0</v>
      </c>
      <c r="U48" s="43"/>
      <c r="V48" s="51" t="s">
        <v>975</v>
      </c>
      <c r="W48" s="43"/>
      <c r="X48" s="50"/>
      <c r="Y48" s="50"/>
      <c r="Z48" s="78"/>
      <c r="AA48" s="78"/>
    </row>
    <row r="49" ht="12.75" hidden="1" customHeight="1">
      <c r="A49" s="43">
        <v>40.0</v>
      </c>
      <c r="B49" s="43" t="s">
        <v>916</v>
      </c>
      <c r="C49" s="43" t="s">
        <v>971</v>
      </c>
      <c r="D49" s="43"/>
      <c r="E49" s="43" t="s">
        <v>770</v>
      </c>
      <c r="F49" s="43" t="s">
        <v>70</v>
      </c>
      <c r="G49" s="44">
        <v>1.9965E8</v>
      </c>
      <c r="H49" s="43">
        <v>0.0</v>
      </c>
      <c r="I49" s="43" t="s">
        <v>781</v>
      </c>
      <c r="J49" s="43"/>
      <c r="K49" s="43"/>
      <c r="L49" s="43" t="s">
        <v>84</v>
      </c>
      <c r="M49" s="43" t="s">
        <v>772</v>
      </c>
      <c r="N49" s="43">
        <v>1.0</v>
      </c>
      <c r="O49" s="43">
        <v>7.0</v>
      </c>
      <c r="P49" s="43"/>
      <c r="Q49" s="57" t="s">
        <v>976</v>
      </c>
      <c r="R49" s="43" t="s">
        <v>977</v>
      </c>
      <c r="S49" s="53" t="s">
        <v>978</v>
      </c>
      <c r="T49" s="59">
        <v>0.0</v>
      </c>
      <c r="U49" s="43"/>
      <c r="V49" s="43" t="s">
        <v>952</v>
      </c>
      <c r="W49" s="43"/>
      <c r="X49" s="50"/>
      <c r="Y49" s="50"/>
    </row>
    <row r="50" ht="12.75" hidden="1" customHeight="1">
      <c r="A50" s="43">
        <v>41.0</v>
      </c>
      <c r="B50" s="43" t="s">
        <v>916</v>
      </c>
      <c r="C50" s="43" t="s">
        <v>917</v>
      </c>
      <c r="D50" s="43"/>
      <c r="E50" s="43" t="s">
        <v>770</v>
      </c>
      <c r="F50" s="43" t="s">
        <v>70</v>
      </c>
      <c r="G50" s="44">
        <v>2.4409E8</v>
      </c>
      <c r="H50" s="43">
        <v>0.0</v>
      </c>
      <c r="I50" s="43" t="s">
        <v>771</v>
      </c>
      <c r="J50" s="43"/>
      <c r="K50" s="43"/>
      <c r="L50" s="43" t="s">
        <v>979</v>
      </c>
      <c r="M50" s="43" t="s">
        <v>772</v>
      </c>
      <c r="N50" s="43">
        <v>1.0</v>
      </c>
      <c r="O50" s="43">
        <v>7.0</v>
      </c>
      <c r="P50" s="43"/>
      <c r="Q50" s="55" t="s">
        <v>980</v>
      </c>
      <c r="R50" s="43" t="s">
        <v>981</v>
      </c>
      <c r="S50" s="53" t="s">
        <v>982</v>
      </c>
      <c r="T50" s="59">
        <v>0.0</v>
      </c>
      <c r="U50" s="43"/>
      <c r="V50" s="51" t="s">
        <v>830</v>
      </c>
      <c r="W50" s="43"/>
      <c r="X50" s="50"/>
      <c r="Y50" s="50"/>
    </row>
    <row r="51" ht="12.75" hidden="1" customHeight="1">
      <c r="A51" s="43">
        <v>42.0</v>
      </c>
      <c r="B51" s="43" t="s">
        <v>916</v>
      </c>
      <c r="C51" s="43" t="s">
        <v>983</v>
      </c>
      <c r="D51" s="43"/>
      <c r="E51" s="43" t="s">
        <v>770</v>
      </c>
      <c r="F51" s="43" t="s">
        <v>70</v>
      </c>
      <c r="G51" s="44">
        <v>1.5075E8</v>
      </c>
      <c r="H51" s="43">
        <v>0.0</v>
      </c>
      <c r="I51" s="43" t="s">
        <v>771</v>
      </c>
      <c r="J51" s="43"/>
      <c r="K51" s="43"/>
      <c r="L51" s="43" t="s">
        <v>44</v>
      </c>
      <c r="M51" s="43" t="s">
        <v>772</v>
      </c>
      <c r="N51" s="43">
        <v>1.0</v>
      </c>
      <c r="O51" s="43">
        <v>7.0</v>
      </c>
      <c r="P51" s="43"/>
      <c r="Q51" s="55" t="s">
        <v>984</v>
      </c>
      <c r="R51" s="43" t="s">
        <v>985</v>
      </c>
      <c r="S51" s="53" t="s">
        <v>986</v>
      </c>
      <c r="T51" s="59">
        <v>0.0</v>
      </c>
      <c r="U51" s="43"/>
      <c r="V51" s="51" t="s">
        <v>830</v>
      </c>
      <c r="W51" s="43"/>
      <c r="X51" s="50"/>
      <c r="Y51" s="50"/>
    </row>
    <row r="52" ht="12.75" hidden="1" customHeight="1">
      <c r="A52" s="43">
        <v>43.0</v>
      </c>
      <c r="B52" s="43" t="s">
        <v>916</v>
      </c>
      <c r="C52" s="43" t="s">
        <v>987</v>
      </c>
      <c r="D52" s="43"/>
      <c r="E52" s="43" t="s">
        <v>770</v>
      </c>
      <c r="F52" s="43" t="s">
        <v>70</v>
      </c>
      <c r="G52" s="44">
        <v>2.103994E8</v>
      </c>
      <c r="H52" s="43">
        <v>0.0</v>
      </c>
      <c r="I52" s="51" t="s">
        <v>988</v>
      </c>
      <c r="J52" s="51" t="s">
        <v>780</v>
      </c>
      <c r="K52" s="51" t="s">
        <v>781</v>
      </c>
      <c r="L52" s="43" t="s">
        <v>92</v>
      </c>
      <c r="M52" s="43" t="s">
        <v>772</v>
      </c>
      <c r="N52" s="43">
        <v>1.0</v>
      </c>
      <c r="O52" s="43">
        <v>7.0</v>
      </c>
      <c r="P52" s="43"/>
      <c r="Q52" s="55" t="s">
        <v>989</v>
      </c>
      <c r="R52" s="43" t="s">
        <v>990</v>
      </c>
      <c r="S52" s="53" t="s">
        <v>991</v>
      </c>
      <c r="T52" s="59">
        <v>0.0</v>
      </c>
      <c r="U52" s="43"/>
      <c r="V52" s="43" t="s">
        <v>992</v>
      </c>
      <c r="W52" s="51" t="s">
        <v>993</v>
      </c>
      <c r="X52" s="65"/>
      <c r="Y52" s="65"/>
    </row>
    <row r="53" ht="12.75" hidden="1" customHeight="1">
      <c r="A53" s="43">
        <v>44.0</v>
      </c>
      <c r="B53" s="43" t="s">
        <v>916</v>
      </c>
      <c r="C53" s="43" t="s">
        <v>994</v>
      </c>
      <c r="D53" s="51" t="s">
        <v>988</v>
      </c>
      <c r="E53" s="43" t="s">
        <v>770</v>
      </c>
      <c r="F53" s="43" t="s">
        <v>70</v>
      </c>
      <c r="G53" s="44">
        <v>2.227796E8</v>
      </c>
      <c r="H53" s="43">
        <v>0.0</v>
      </c>
      <c r="I53" s="43" t="s">
        <v>781</v>
      </c>
      <c r="J53" s="43"/>
      <c r="K53" s="43"/>
      <c r="L53" s="43" t="s">
        <v>92</v>
      </c>
      <c r="M53" s="43" t="s">
        <v>772</v>
      </c>
      <c r="N53" s="43">
        <v>1.0</v>
      </c>
      <c r="O53" s="43">
        <v>7.0</v>
      </c>
      <c r="P53" s="43"/>
      <c r="Q53" s="57" t="s">
        <v>995</v>
      </c>
      <c r="R53" s="43" t="s">
        <v>996</v>
      </c>
      <c r="S53" s="53" t="s">
        <v>997</v>
      </c>
      <c r="T53" s="59">
        <v>0.0</v>
      </c>
      <c r="U53" s="43"/>
      <c r="V53" s="49" t="s">
        <v>998</v>
      </c>
      <c r="W53" s="43"/>
      <c r="X53" s="50"/>
      <c r="Y53" s="50"/>
    </row>
    <row r="54" ht="12.75" hidden="1" customHeight="1">
      <c r="A54" s="43">
        <v>45.0</v>
      </c>
      <c r="B54" s="43" t="s">
        <v>916</v>
      </c>
      <c r="C54" s="43" t="s">
        <v>994</v>
      </c>
      <c r="D54" s="43"/>
      <c r="E54" s="43" t="s">
        <v>770</v>
      </c>
      <c r="F54" s="43" t="s">
        <v>70</v>
      </c>
      <c r="G54" s="44">
        <v>2.227796E8</v>
      </c>
      <c r="H54" s="43">
        <v>0.0</v>
      </c>
      <c r="I54" s="43" t="s">
        <v>781</v>
      </c>
      <c r="J54" s="43"/>
      <c r="K54" s="43"/>
      <c r="L54" s="43" t="s">
        <v>92</v>
      </c>
      <c r="M54" s="43" t="s">
        <v>772</v>
      </c>
      <c r="N54" s="43">
        <v>1.0</v>
      </c>
      <c r="O54" s="43">
        <v>7.0</v>
      </c>
      <c r="P54" s="43"/>
      <c r="Q54" s="45" t="s">
        <v>999</v>
      </c>
      <c r="R54" s="46" t="s">
        <v>1000</v>
      </c>
      <c r="S54" s="47" t="s">
        <v>1001</v>
      </c>
      <c r="T54" s="85" t="s">
        <v>1002</v>
      </c>
      <c r="U54" s="46" t="s">
        <v>777</v>
      </c>
      <c r="V54" s="43" t="s">
        <v>1003</v>
      </c>
      <c r="W54" s="51" t="s">
        <v>1004</v>
      </c>
      <c r="X54" s="50"/>
      <c r="Y54" s="50"/>
    </row>
    <row r="55" ht="12.75" hidden="1" customHeight="1">
      <c r="A55" s="43">
        <v>46.0</v>
      </c>
      <c r="B55" s="43" t="s">
        <v>916</v>
      </c>
      <c r="C55" s="43" t="s">
        <v>994</v>
      </c>
      <c r="D55" s="43"/>
      <c r="E55" s="43" t="s">
        <v>770</v>
      </c>
      <c r="F55" s="43" t="s">
        <v>70</v>
      </c>
      <c r="G55" s="44">
        <v>2.227796E8</v>
      </c>
      <c r="H55" s="43">
        <v>0.0</v>
      </c>
      <c r="I55" s="43" t="s">
        <v>781</v>
      </c>
      <c r="J55" s="43"/>
      <c r="K55" s="43"/>
      <c r="L55" s="43" t="s">
        <v>92</v>
      </c>
      <c r="M55" s="43" t="s">
        <v>772</v>
      </c>
      <c r="N55" s="43">
        <v>1.0</v>
      </c>
      <c r="O55" s="43">
        <v>7.0</v>
      </c>
      <c r="P55" s="43"/>
      <c r="Q55" s="57" t="s">
        <v>1005</v>
      </c>
      <c r="R55" s="43" t="s">
        <v>1006</v>
      </c>
      <c r="S55" s="53" t="s">
        <v>1007</v>
      </c>
      <c r="T55" s="59">
        <v>0.0</v>
      </c>
      <c r="U55" s="43"/>
      <c r="V55" s="43" t="s">
        <v>1008</v>
      </c>
      <c r="W55" s="43"/>
      <c r="X55" s="50"/>
      <c r="Y55" s="50"/>
    </row>
    <row r="56" ht="12.75" hidden="1" customHeight="1">
      <c r="A56" s="43">
        <v>47.0</v>
      </c>
      <c r="B56" s="43" t="s">
        <v>916</v>
      </c>
      <c r="C56" s="43" t="s">
        <v>987</v>
      </c>
      <c r="D56" s="51" t="s">
        <v>1009</v>
      </c>
      <c r="E56" s="43" t="s">
        <v>770</v>
      </c>
      <c r="F56" s="43" t="s">
        <v>70</v>
      </c>
      <c r="G56" s="44">
        <v>2.103994E8</v>
      </c>
      <c r="H56" s="43">
        <v>0.0</v>
      </c>
      <c r="I56" s="43" t="s">
        <v>781</v>
      </c>
      <c r="J56" s="43"/>
      <c r="K56" s="43"/>
      <c r="L56" s="43" t="s">
        <v>92</v>
      </c>
      <c r="M56" s="43" t="s">
        <v>772</v>
      </c>
      <c r="N56" s="43">
        <v>1.0</v>
      </c>
      <c r="O56" s="43">
        <v>7.0</v>
      </c>
      <c r="P56" s="43"/>
      <c r="Q56" s="57" t="s">
        <v>1010</v>
      </c>
      <c r="R56" s="43" t="s">
        <v>1011</v>
      </c>
      <c r="S56" s="53" t="s">
        <v>1012</v>
      </c>
      <c r="T56" s="59">
        <v>0.0</v>
      </c>
      <c r="U56" s="46" t="s">
        <v>777</v>
      </c>
      <c r="V56" s="77" t="s">
        <v>1013</v>
      </c>
      <c r="W56" s="49" t="s">
        <v>1014</v>
      </c>
      <c r="X56" s="65"/>
      <c r="Y56" s="65"/>
    </row>
    <row r="57" ht="12.75" hidden="1" customHeight="1">
      <c r="A57" s="43">
        <v>48.0</v>
      </c>
      <c r="B57" s="43" t="s">
        <v>916</v>
      </c>
      <c r="C57" s="43" t="s">
        <v>1015</v>
      </c>
      <c r="D57" s="51" t="s">
        <v>988</v>
      </c>
      <c r="E57" s="43" t="s">
        <v>770</v>
      </c>
      <c r="F57" s="43" t="s">
        <v>70</v>
      </c>
      <c r="G57" s="44">
        <v>2.326645E8</v>
      </c>
      <c r="H57" s="43">
        <v>0.0</v>
      </c>
      <c r="I57" s="43" t="s">
        <v>858</v>
      </c>
      <c r="J57" s="43"/>
      <c r="K57" s="43"/>
      <c r="L57" s="43" t="s">
        <v>58</v>
      </c>
      <c r="M57" s="43" t="s">
        <v>772</v>
      </c>
      <c r="N57" s="43">
        <v>1.0</v>
      </c>
      <c r="O57" s="43">
        <v>7.0</v>
      </c>
      <c r="P57" s="43"/>
      <c r="Q57" s="45" t="s">
        <v>1016</v>
      </c>
      <c r="R57" s="46" t="s">
        <v>1017</v>
      </c>
      <c r="S57" s="47" t="s">
        <v>1018</v>
      </c>
      <c r="T57" s="48" t="s">
        <v>1019</v>
      </c>
      <c r="U57" s="46" t="s">
        <v>777</v>
      </c>
      <c r="V57" s="77" t="s">
        <v>1020</v>
      </c>
      <c r="W57" s="43"/>
      <c r="X57" s="50"/>
      <c r="Y57" s="50"/>
    </row>
    <row r="58" ht="12.75" hidden="1" customHeight="1">
      <c r="A58" s="43">
        <v>49.0</v>
      </c>
      <c r="B58" s="43" t="s">
        <v>916</v>
      </c>
      <c r="C58" s="43" t="s">
        <v>1015</v>
      </c>
      <c r="D58" s="51" t="s">
        <v>988</v>
      </c>
      <c r="E58" s="43" t="s">
        <v>770</v>
      </c>
      <c r="F58" s="43" t="s">
        <v>70</v>
      </c>
      <c r="G58" s="44">
        <v>2.326645E8</v>
      </c>
      <c r="H58" s="43">
        <v>0.0</v>
      </c>
      <c r="I58" s="43" t="s">
        <v>858</v>
      </c>
      <c r="J58" s="43"/>
      <c r="K58" s="43"/>
      <c r="L58" s="43" t="s">
        <v>58</v>
      </c>
      <c r="M58" s="43" t="s">
        <v>772</v>
      </c>
      <c r="N58" s="43">
        <v>1.0</v>
      </c>
      <c r="O58" s="43">
        <v>7.0</v>
      </c>
      <c r="P58" s="43"/>
      <c r="Q58" s="45" t="s">
        <v>1021</v>
      </c>
      <c r="R58" s="46" t="s">
        <v>1022</v>
      </c>
      <c r="S58" s="47" t="s">
        <v>1023</v>
      </c>
      <c r="T58" s="48" t="s">
        <v>1024</v>
      </c>
      <c r="U58" s="46" t="s">
        <v>777</v>
      </c>
      <c r="V58" s="77" t="s">
        <v>941</v>
      </c>
      <c r="W58" s="43"/>
      <c r="X58" s="50"/>
      <c r="Y58" s="50"/>
    </row>
    <row r="59" ht="12.75" customHeight="1">
      <c r="A59" s="43">
        <v>50.0</v>
      </c>
      <c r="B59" s="43" t="s">
        <v>916</v>
      </c>
      <c r="C59" s="43" t="s">
        <v>1015</v>
      </c>
      <c r="D59" s="43"/>
      <c r="E59" s="43" t="s">
        <v>770</v>
      </c>
      <c r="F59" s="43" t="s">
        <v>70</v>
      </c>
      <c r="G59" s="44">
        <v>2.326645E8</v>
      </c>
      <c r="H59" s="43">
        <v>0.0</v>
      </c>
      <c r="I59" s="51" t="s">
        <v>1025</v>
      </c>
      <c r="J59" s="51" t="s">
        <v>1026</v>
      </c>
      <c r="K59" s="51" t="s">
        <v>858</v>
      </c>
      <c r="L59" s="43" t="s">
        <v>58</v>
      </c>
      <c r="M59" s="43" t="s">
        <v>772</v>
      </c>
      <c r="N59" s="43">
        <v>1.0</v>
      </c>
      <c r="O59" s="43">
        <v>7.0</v>
      </c>
      <c r="P59" s="43"/>
      <c r="Q59" s="45" t="s">
        <v>1027</v>
      </c>
      <c r="R59" s="46" t="s">
        <v>1017</v>
      </c>
      <c r="S59" s="47" t="s">
        <v>1018</v>
      </c>
      <c r="T59" s="48" t="s">
        <v>1028</v>
      </c>
      <c r="U59" s="46" t="s">
        <v>777</v>
      </c>
      <c r="V59" s="43" t="s">
        <v>1029</v>
      </c>
      <c r="W59" s="51" t="s">
        <v>1030</v>
      </c>
      <c r="X59" s="50"/>
      <c r="Y59" s="52"/>
    </row>
    <row r="60" ht="12.75" hidden="1" customHeight="1">
      <c r="A60" s="43">
        <v>51.0</v>
      </c>
      <c r="B60" s="43" t="s">
        <v>916</v>
      </c>
      <c r="C60" s="43" t="s">
        <v>917</v>
      </c>
      <c r="D60" s="51" t="s">
        <v>51</v>
      </c>
      <c r="E60" s="43" t="s">
        <v>770</v>
      </c>
      <c r="F60" s="43" t="s">
        <v>70</v>
      </c>
      <c r="G60" s="44">
        <v>2.0840225E8</v>
      </c>
      <c r="H60" s="43">
        <v>0.0</v>
      </c>
      <c r="I60" s="43" t="s">
        <v>858</v>
      </c>
      <c r="J60" s="43"/>
      <c r="K60" s="43"/>
      <c r="L60" s="43" t="s">
        <v>58</v>
      </c>
      <c r="M60" s="43" t="s">
        <v>772</v>
      </c>
      <c r="N60" s="43">
        <v>1.0</v>
      </c>
      <c r="O60" s="43">
        <v>7.0</v>
      </c>
      <c r="P60" s="43"/>
      <c r="Q60" s="45" t="s">
        <v>1031</v>
      </c>
      <c r="R60" s="46" t="s">
        <v>1032</v>
      </c>
      <c r="S60" s="47" t="s">
        <v>1033</v>
      </c>
      <c r="T60" s="48" t="s">
        <v>1034</v>
      </c>
      <c r="U60" s="46" t="s">
        <v>777</v>
      </c>
      <c r="V60" s="49" t="s">
        <v>1035</v>
      </c>
      <c r="W60" s="43"/>
      <c r="X60" s="50"/>
      <c r="Y60" s="50"/>
    </row>
    <row r="61" ht="12.75" hidden="1" customHeight="1">
      <c r="A61" s="43">
        <v>52.0</v>
      </c>
      <c r="B61" s="43" t="s">
        <v>916</v>
      </c>
      <c r="C61" s="43" t="s">
        <v>1015</v>
      </c>
      <c r="D61" s="51" t="s">
        <v>988</v>
      </c>
      <c r="E61" s="43" t="s">
        <v>770</v>
      </c>
      <c r="F61" s="43" t="s">
        <v>70</v>
      </c>
      <c r="G61" s="44">
        <v>2.326645E8</v>
      </c>
      <c r="H61" s="43">
        <v>0.0</v>
      </c>
      <c r="I61" s="43" t="s">
        <v>858</v>
      </c>
      <c r="J61" s="43"/>
      <c r="K61" s="43"/>
      <c r="L61" s="43" t="s">
        <v>58</v>
      </c>
      <c r="M61" s="43" t="s">
        <v>772</v>
      </c>
      <c r="N61" s="43">
        <v>1.0</v>
      </c>
      <c r="O61" s="43">
        <v>7.0</v>
      </c>
      <c r="P61" s="43"/>
      <c r="Q61" s="46" t="s">
        <v>1036</v>
      </c>
      <c r="R61" s="46" t="s">
        <v>1037</v>
      </c>
      <c r="S61" s="47" t="s">
        <v>1038</v>
      </c>
      <c r="T61" s="48" t="s">
        <v>1039</v>
      </c>
      <c r="U61" s="46" t="s">
        <v>777</v>
      </c>
      <c r="V61" s="77" t="s">
        <v>934</v>
      </c>
      <c r="W61" s="43"/>
      <c r="X61" s="50"/>
      <c r="Y61" s="50"/>
    </row>
    <row r="62" ht="12.75" hidden="1" customHeight="1">
      <c r="A62" s="43">
        <v>53.0</v>
      </c>
      <c r="B62" s="43" t="s">
        <v>916</v>
      </c>
      <c r="C62" s="43" t="s">
        <v>916</v>
      </c>
      <c r="D62" s="43"/>
      <c r="E62" s="43" t="s">
        <v>770</v>
      </c>
      <c r="F62" s="43" t="s">
        <v>70</v>
      </c>
      <c r="G62" s="44">
        <v>2.0E8</v>
      </c>
      <c r="H62" s="43">
        <v>0.0</v>
      </c>
      <c r="I62" s="43" t="s">
        <v>858</v>
      </c>
      <c r="J62" s="43"/>
      <c r="K62" s="43"/>
      <c r="L62" s="43" t="s">
        <v>1040</v>
      </c>
      <c r="M62" s="43" t="s">
        <v>772</v>
      </c>
      <c r="N62" s="43">
        <v>1.0</v>
      </c>
      <c r="O62" s="43">
        <v>7.0</v>
      </c>
      <c r="P62" s="43"/>
      <c r="Q62" s="43" t="s">
        <v>1041</v>
      </c>
      <c r="R62" s="43" t="s">
        <v>815</v>
      </c>
      <c r="S62" s="53" t="s">
        <v>816</v>
      </c>
      <c r="T62" s="59">
        <v>0.0</v>
      </c>
      <c r="U62" s="43"/>
      <c r="V62" s="43"/>
      <c r="W62" s="43"/>
      <c r="X62" s="50"/>
      <c r="Y62" s="50"/>
    </row>
    <row r="63" ht="12.75" hidden="1" customHeight="1">
      <c r="A63" s="43">
        <v>54.0</v>
      </c>
      <c r="B63" s="43" t="s">
        <v>916</v>
      </c>
      <c r="C63" s="43" t="s">
        <v>1042</v>
      </c>
      <c r="D63" s="43"/>
      <c r="E63" s="43" t="s">
        <v>770</v>
      </c>
      <c r="F63" s="43" t="s">
        <v>70</v>
      </c>
      <c r="G63" s="44">
        <v>2.619702E8</v>
      </c>
      <c r="H63" s="43">
        <v>0.0</v>
      </c>
      <c r="I63" s="43" t="s">
        <v>858</v>
      </c>
      <c r="J63" s="43"/>
      <c r="K63" s="43"/>
      <c r="L63" s="43" t="s">
        <v>910</v>
      </c>
      <c r="M63" s="43" t="s">
        <v>772</v>
      </c>
      <c r="N63" s="43">
        <v>1.0</v>
      </c>
      <c r="O63" s="43">
        <v>7.0</v>
      </c>
      <c r="P63" s="43"/>
      <c r="Q63" s="45" t="s">
        <v>1043</v>
      </c>
      <c r="R63" s="46" t="s">
        <v>1044</v>
      </c>
      <c r="S63" s="47" t="s">
        <v>1045</v>
      </c>
      <c r="T63" s="48" t="s">
        <v>1046</v>
      </c>
      <c r="U63" s="46" t="s">
        <v>777</v>
      </c>
      <c r="V63" s="43" t="s">
        <v>1047</v>
      </c>
      <c r="W63" s="43"/>
      <c r="X63" s="50"/>
      <c r="Y63" s="50"/>
    </row>
    <row r="64" ht="12.75" hidden="1" customHeight="1">
      <c r="A64" s="43">
        <v>55.0</v>
      </c>
      <c r="B64" s="43" t="s">
        <v>916</v>
      </c>
      <c r="C64" s="43" t="s">
        <v>1042</v>
      </c>
      <c r="D64" s="51" t="s">
        <v>988</v>
      </c>
      <c r="E64" s="43" t="s">
        <v>770</v>
      </c>
      <c r="F64" s="43" t="s">
        <v>70</v>
      </c>
      <c r="G64" s="44">
        <v>2.619702E8</v>
      </c>
      <c r="H64" s="43">
        <v>0.0</v>
      </c>
      <c r="I64" s="43" t="s">
        <v>858</v>
      </c>
      <c r="J64" s="43"/>
      <c r="K64" s="43"/>
      <c r="L64" s="43" t="s">
        <v>910</v>
      </c>
      <c r="M64" s="43" t="s">
        <v>772</v>
      </c>
      <c r="N64" s="43">
        <v>1.0</v>
      </c>
      <c r="O64" s="43">
        <v>7.0</v>
      </c>
      <c r="P64" s="43"/>
      <c r="Q64" s="45" t="s">
        <v>1048</v>
      </c>
      <c r="R64" s="46" t="s">
        <v>1049</v>
      </c>
      <c r="S64" s="47" t="s">
        <v>1050</v>
      </c>
      <c r="T64" s="48" t="s">
        <v>1051</v>
      </c>
      <c r="U64" s="46" t="s">
        <v>777</v>
      </c>
      <c r="V64" s="43" t="s">
        <v>1052</v>
      </c>
      <c r="W64" s="43"/>
      <c r="X64" s="50"/>
      <c r="Y64" s="50"/>
    </row>
    <row r="65" ht="12.75" hidden="1" customHeight="1">
      <c r="A65" s="43">
        <v>56.0</v>
      </c>
      <c r="B65" s="43" t="s">
        <v>916</v>
      </c>
      <c r="C65" s="43" t="s">
        <v>1042</v>
      </c>
      <c r="D65" s="43"/>
      <c r="E65" s="43" t="s">
        <v>770</v>
      </c>
      <c r="F65" s="43" t="s">
        <v>70</v>
      </c>
      <c r="G65" s="44">
        <v>2.619702E8</v>
      </c>
      <c r="H65" s="43">
        <v>0.0</v>
      </c>
      <c r="I65" s="43" t="s">
        <v>858</v>
      </c>
      <c r="J65" s="43"/>
      <c r="K65" s="43"/>
      <c r="L65" s="43" t="s">
        <v>910</v>
      </c>
      <c r="M65" s="43" t="s">
        <v>772</v>
      </c>
      <c r="N65" s="43">
        <v>1.0</v>
      </c>
      <c r="O65" s="43">
        <v>7.0</v>
      </c>
      <c r="P65" s="43"/>
      <c r="Q65" s="45" t="s">
        <v>1053</v>
      </c>
      <c r="R65" s="46" t="s">
        <v>1054</v>
      </c>
      <c r="S65" s="47" t="s">
        <v>1055</v>
      </c>
      <c r="T65" s="48" t="s">
        <v>1056</v>
      </c>
      <c r="U65" s="46" t="s">
        <v>777</v>
      </c>
      <c r="V65" s="43" t="s">
        <v>898</v>
      </c>
      <c r="W65" s="51" t="s">
        <v>1057</v>
      </c>
      <c r="X65" s="65"/>
      <c r="Y65" s="65"/>
    </row>
    <row r="66" ht="12.75" hidden="1" customHeight="1">
      <c r="A66" s="43">
        <v>57.0</v>
      </c>
      <c r="B66" s="43" t="s">
        <v>916</v>
      </c>
      <c r="C66" s="43" t="s">
        <v>1042</v>
      </c>
      <c r="D66" s="51" t="s">
        <v>1058</v>
      </c>
      <c r="E66" s="43" t="s">
        <v>770</v>
      </c>
      <c r="F66" s="43" t="s">
        <v>70</v>
      </c>
      <c r="G66" s="44">
        <v>2.619702E8</v>
      </c>
      <c r="H66" s="43">
        <v>0.0</v>
      </c>
      <c r="I66" s="43" t="s">
        <v>858</v>
      </c>
      <c r="J66" s="43"/>
      <c r="K66" s="43"/>
      <c r="L66" s="43" t="s">
        <v>910</v>
      </c>
      <c r="M66" s="43" t="s">
        <v>772</v>
      </c>
      <c r="N66" s="43">
        <v>1.0</v>
      </c>
      <c r="O66" s="43">
        <v>7.0</v>
      </c>
      <c r="P66" s="43"/>
      <c r="Q66" s="57" t="s">
        <v>1059</v>
      </c>
      <c r="R66" s="43"/>
      <c r="S66" s="53"/>
      <c r="T66" s="59">
        <v>0.0</v>
      </c>
      <c r="U66" s="43"/>
      <c r="V66" s="43" t="s">
        <v>1060</v>
      </c>
      <c r="W66" s="43"/>
      <c r="X66" s="50"/>
      <c r="Y66" s="50"/>
    </row>
    <row r="67" ht="12.75" hidden="1" customHeight="1">
      <c r="A67" s="43">
        <v>58.0</v>
      </c>
      <c r="B67" s="43" t="s">
        <v>916</v>
      </c>
      <c r="C67" s="43" t="s">
        <v>1042</v>
      </c>
      <c r="D67" s="43"/>
      <c r="E67" s="43" t="s">
        <v>770</v>
      </c>
      <c r="F67" s="43" t="s">
        <v>70</v>
      </c>
      <c r="G67" s="44">
        <v>2.619702E8</v>
      </c>
      <c r="H67" s="43">
        <v>0.0</v>
      </c>
      <c r="I67" s="43" t="s">
        <v>858</v>
      </c>
      <c r="J67" s="43"/>
      <c r="K67" s="43"/>
      <c r="L67" s="43" t="s">
        <v>910</v>
      </c>
      <c r="M67" s="43" t="s">
        <v>772</v>
      </c>
      <c r="N67" s="43">
        <v>1.0</v>
      </c>
      <c r="O67" s="43">
        <v>7.0</v>
      </c>
      <c r="P67" s="43"/>
      <c r="Q67" s="45" t="s">
        <v>1061</v>
      </c>
      <c r="R67" s="46" t="s">
        <v>1062</v>
      </c>
      <c r="S67" s="47" t="s">
        <v>1063</v>
      </c>
      <c r="T67" s="48" t="s">
        <v>1064</v>
      </c>
      <c r="U67" s="46" t="s">
        <v>777</v>
      </c>
      <c r="V67" s="43" t="s">
        <v>1065</v>
      </c>
      <c r="W67" s="43"/>
      <c r="X67" s="50"/>
      <c r="Y67" s="50"/>
    </row>
    <row r="68" ht="12.75" hidden="1" customHeight="1">
      <c r="A68" s="43">
        <v>59.0</v>
      </c>
      <c r="B68" s="43" t="s">
        <v>916</v>
      </c>
      <c r="C68" s="43" t="s">
        <v>1042</v>
      </c>
      <c r="D68" s="51" t="s">
        <v>988</v>
      </c>
      <c r="E68" s="43" t="s">
        <v>770</v>
      </c>
      <c r="F68" s="43" t="s">
        <v>70</v>
      </c>
      <c r="G68" s="44">
        <v>2.619702E8</v>
      </c>
      <c r="H68" s="43">
        <v>0.0</v>
      </c>
      <c r="I68" s="43" t="s">
        <v>858</v>
      </c>
      <c r="J68" s="43"/>
      <c r="K68" s="43"/>
      <c r="L68" s="43" t="s">
        <v>910</v>
      </c>
      <c r="M68" s="43" t="s">
        <v>772</v>
      </c>
      <c r="N68" s="43">
        <v>1.0</v>
      </c>
      <c r="O68" s="43">
        <v>7.0</v>
      </c>
      <c r="P68" s="43"/>
      <c r="Q68" s="46" t="s">
        <v>1066</v>
      </c>
      <c r="R68" s="46" t="s">
        <v>1067</v>
      </c>
      <c r="S68" s="47" t="s">
        <v>1068</v>
      </c>
      <c r="T68" s="48" t="s">
        <v>1069</v>
      </c>
      <c r="U68" s="46" t="s">
        <v>777</v>
      </c>
      <c r="V68" s="77" t="s">
        <v>1070</v>
      </c>
      <c r="W68" s="43"/>
      <c r="X68" s="50"/>
      <c r="Y68" s="50"/>
    </row>
    <row r="69" ht="12.75" hidden="1" customHeight="1">
      <c r="A69" s="43">
        <v>60.0</v>
      </c>
      <c r="B69" s="43" t="s">
        <v>916</v>
      </c>
      <c r="C69" s="43" t="s">
        <v>917</v>
      </c>
      <c r="D69" s="43"/>
      <c r="E69" s="43" t="s">
        <v>770</v>
      </c>
      <c r="F69" s="43" t="s">
        <v>70</v>
      </c>
      <c r="G69" s="44">
        <v>3.268E8</v>
      </c>
      <c r="H69" s="43">
        <v>0.0</v>
      </c>
      <c r="I69" s="43" t="s">
        <v>771</v>
      </c>
      <c r="J69" s="43"/>
      <c r="K69" s="43"/>
      <c r="L69" s="43" t="s">
        <v>71</v>
      </c>
      <c r="M69" s="43" t="s">
        <v>772</v>
      </c>
      <c r="N69" s="43">
        <v>1.0</v>
      </c>
      <c r="O69" s="43">
        <v>7.0</v>
      </c>
      <c r="P69" s="43"/>
      <c r="Q69" s="45" t="s">
        <v>1071</v>
      </c>
      <c r="R69" s="46" t="s">
        <v>1072</v>
      </c>
      <c r="S69" s="47" t="s">
        <v>1073</v>
      </c>
      <c r="T69" s="48" t="s">
        <v>1074</v>
      </c>
      <c r="U69" s="46" t="s">
        <v>777</v>
      </c>
      <c r="V69" s="51" t="s">
        <v>1075</v>
      </c>
      <c r="W69" s="43"/>
      <c r="X69" s="50"/>
      <c r="Y69" s="50"/>
    </row>
    <row r="70" ht="12.75" hidden="1" customHeight="1">
      <c r="A70" s="43">
        <v>61.0</v>
      </c>
      <c r="B70" s="43" t="s">
        <v>916</v>
      </c>
      <c r="C70" s="43" t="s">
        <v>916</v>
      </c>
      <c r="D70" s="43"/>
      <c r="E70" s="43" t="s">
        <v>770</v>
      </c>
      <c r="F70" s="43" t="s">
        <v>70</v>
      </c>
      <c r="G70" s="44">
        <v>4.23572E8</v>
      </c>
      <c r="H70" s="43">
        <v>0.0</v>
      </c>
      <c r="I70" s="43" t="s">
        <v>858</v>
      </c>
      <c r="J70" s="43"/>
      <c r="K70" s="43"/>
      <c r="L70" s="43" t="s">
        <v>1076</v>
      </c>
      <c r="M70" s="43" t="s">
        <v>772</v>
      </c>
      <c r="N70" s="43">
        <v>1.0</v>
      </c>
      <c r="O70" s="43">
        <v>7.0</v>
      </c>
      <c r="P70" s="43"/>
      <c r="Q70" s="45" t="s">
        <v>1077</v>
      </c>
      <c r="R70" s="46" t="s">
        <v>1078</v>
      </c>
      <c r="S70" s="47" t="s">
        <v>1079</v>
      </c>
      <c r="T70" s="48" t="s">
        <v>1080</v>
      </c>
      <c r="U70" s="46" t="s">
        <v>777</v>
      </c>
      <c r="V70" s="51" t="s">
        <v>1081</v>
      </c>
      <c r="W70" s="43"/>
      <c r="X70" s="50"/>
      <c r="Y70" s="50"/>
    </row>
    <row r="71" ht="12.75" hidden="1" customHeight="1">
      <c r="A71" s="43">
        <v>62.0</v>
      </c>
      <c r="B71" s="43" t="s">
        <v>916</v>
      </c>
      <c r="C71" s="43" t="s">
        <v>1082</v>
      </c>
      <c r="D71" s="43"/>
      <c r="E71" s="43" t="s">
        <v>770</v>
      </c>
      <c r="F71" s="43" t="s">
        <v>70</v>
      </c>
      <c r="G71" s="44">
        <v>3.18561273E8</v>
      </c>
      <c r="H71" s="43">
        <v>0.0</v>
      </c>
      <c r="I71" s="43" t="s">
        <v>858</v>
      </c>
      <c r="J71" s="43"/>
      <c r="K71" s="43"/>
      <c r="L71" s="43" t="s">
        <v>78</v>
      </c>
      <c r="M71" s="43" t="s">
        <v>772</v>
      </c>
      <c r="N71" s="43">
        <v>1.0</v>
      </c>
      <c r="O71" s="43">
        <v>7.0</v>
      </c>
      <c r="P71" s="43"/>
      <c r="Q71" s="45" t="s">
        <v>1083</v>
      </c>
      <c r="R71" s="46" t="s">
        <v>1084</v>
      </c>
      <c r="S71" s="47" t="s">
        <v>1085</v>
      </c>
      <c r="T71" s="48" t="s">
        <v>1086</v>
      </c>
      <c r="U71" s="46" t="s">
        <v>777</v>
      </c>
      <c r="V71" s="51" t="s">
        <v>1087</v>
      </c>
      <c r="W71" s="43"/>
      <c r="X71" s="50"/>
      <c r="Y71" s="50"/>
    </row>
    <row r="72" ht="12.75" hidden="1" customHeight="1">
      <c r="A72" s="43">
        <v>63.0</v>
      </c>
      <c r="B72" s="43" t="s">
        <v>916</v>
      </c>
      <c r="C72" s="43" t="s">
        <v>1088</v>
      </c>
      <c r="D72" s="43"/>
      <c r="E72" s="43" t="s">
        <v>770</v>
      </c>
      <c r="F72" s="43" t="s">
        <v>70</v>
      </c>
      <c r="G72" s="44">
        <v>2.96011E8</v>
      </c>
      <c r="H72" s="43">
        <v>0.0</v>
      </c>
      <c r="I72" s="43" t="s">
        <v>858</v>
      </c>
      <c r="J72" s="43"/>
      <c r="K72" s="43"/>
      <c r="L72" s="43" t="s">
        <v>78</v>
      </c>
      <c r="M72" s="43" t="s">
        <v>772</v>
      </c>
      <c r="N72" s="43">
        <v>1.0</v>
      </c>
      <c r="O72" s="43">
        <v>7.0</v>
      </c>
      <c r="P72" s="43"/>
      <c r="Q72" s="43"/>
      <c r="R72" s="43"/>
      <c r="S72" s="53"/>
      <c r="T72" s="59">
        <v>0.0</v>
      </c>
      <c r="U72" s="43"/>
      <c r="V72" s="51" t="s">
        <v>1089</v>
      </c>
      <c r="W72" s="43"/>
      <c r="X72" s="50"/>
      <c r="Y72" s="50"/>
    </row>
    <row r="73" ht="12.75" hidden="1" customHeight="1">
      <c r="A73" s="43">
        <v>64.0</v>
      </c>
      <c r="B73" s="43" t="s">
        <v>916</v>
      </c>
      <c r="C73" s="43" t="s">
        <v>1088</v>
      </c>
      <c r="D73" s="43"/>
      <c r="E73" s="43" t="s">
        <v>770</v>
      </c>
      <c r="F73" s="43" t="s">
        <v>70</v>
      </c>
      <c r="G73" s="44">
        <v>2.9905E8</v>
      </c>
      <c r="H73" s="43">
        <v>0.0</v>
      </c>
      <c r="I73" s="43" t="s">
        <v>858</v>
      </c>
      <c r="J73" s="43"/>
      <c r="K73" s="43"/>
      <c r="L73" s="43" t="s">
        <v>78</v>
      </c>
      <c r="M73" s="43" t="s">
        <v>772</v>
      </c>
      <c r="N73" s="43">
        <v>1.0</v>
      </c>
      <c r="O73" s="43">
        <v>7.0</v>
      </c>
      <c r="P73" s="43"/>
      <c r="Q73" s="45" t="s">
        <v>1090</v>
      </c>
      <c r="R73" s="46" t="s">
        <v>1091</v>
      </c>
      <c r="S73" s="47" t="s">
        <v>1092</v>
      </c>
      <c r="T73" s="48" t="s">
        <v>1093</v>
      </c>
      <c r="U73" s="46" t="s">
        <v>777</v>
      </c>
      <c r="V73" s="43" t="s">
        <v>1094</v>
      </c>
      <c r="W73" s="43"/>
      <c r="X73" s="50"/>
      <c r="Y73" s="50"/>
    </row>
    <row r="74" ht="12.75" hidden="1" customHeight="1">
      <c r="A74" s="43">
        <v>65.0</v>
      </c>
      <c r="B74" s="43" t="s">
        <v>916</v>
      </c>
      <c r="C74" s="43" t="s">
        <v>1088</v>
      </c>
      <c r="D74" s="43"/>
      <c r="E74" s="43" t="s">
        <v>770</v>
      </c>
      <c r="F74" s="43" t="s">
        <v>70</v>
      </c>
      <c r="G74" s="44">
        <v>2.9905E8</v>
      </c>
      <c r="H74" s="43">
        <v>0.0</v>
      </c>
      <c r="I74" s="43" t="s">
        <v>858</v>
      </c>
      <c r="J74" s="43"/>
      <c r="K74" s="43"/>
      <c r="L74" s="43" t="s">
        <v>78</v>
      </c>
      <c r="M74" s="43" t="s">
        <v>772</v>
      </c>
      <c r="N74" s="43">
        <v>1.0</v>
      </c>
      <c r="O74" s="43">
        <v>7.0</v>
      </c>
      <c r="P74" s="43"/>
      <c r="Q74" s="45" t="s">
        <v>1095</v>
      </c>
      <c r="R74" s="46" t="s">
        <v>1096</v>
      </c>
      <c r="S74" s="47" t="s">
        <v>1097</v>
      </c>
      <c r="T74" s="48" t="s">
        <v>1098</v>
      </c>
      <c r="U74" s="46" t="s">
        <v>777</v>
      </c>
      <c r="V74" s="43" t="s">
        <v>1099</v>
      </c>
      <c r="W74" s="43"/>
      <c r="X74" s="50"/>
      <c r="Y74" s="50"/>
    </row>
    <row r="75" ht="12.75" hidden="1" customHeight="1">
      <c r="A75" s="43">
        <v>66.0</v>
      </c>
      <c r="B75" s="43" t="s">
        <v>916</v>
      </c>
      <c r="C75" s="43" t="s">
        <v>1088</v>
      </c>
      <c r="D75" s="43"/>
      <c r="E75" s="43" t="s">
        <v>770</v>
      </c>
      <c r="F75" s="43" t="s">
        <v>70</v>
      </c>
      <c r="G75" s="44">
        <v>2.9905E8</v>
      </c>
      <c r="H75" s="43">
        <v>0.0</v>
      </c>
      <c r="I75" s="43" t="s">
        <v>858</v>
      </c>
      <c r="J75" s="43"/>
      <c r="K75" s="43"/>
      <c r="L75" s="43" t="s">
        <v>78</v>
      </c>
      <c r="M75" s="43" t="s">
        <v>772</v>
      </c>
      <c r="N75" s="43">
        <v>1.0</v>
      </c>
      <c r="O75" s="43">
        <v>7.0</v>
      </c>
      <c r="P75" s="43"/>
      <c r="Q75" s="45" t="s">
        <v>1100</v>
      </c>
      <c r="R75" s="46" t="s">
        <v>1101</v>
      </c>
      <c r="S75" s="47" t="s">
        <v>1102</v>
      </c>
      <c r="T75" s="48" t="s">
        <v>1103</v>
      </c>
      <c r="U75" s="46" t="s">
        <v>777</v>
      </c>
      <c r="V75" s="43" t="s">
        <v>1104</v>
      </c>
      <c r="W75" s="43"/>
      <c r="X75" s="50"/>
      <c r="Y75" s="50"/>
    </row>
    <row r="76" ht="12.75" hidden="1" customHeight="1">
      <c r="A76" s="43">
        <v>67.0</v>
      </c>
      <c r="B76" s="43" t="s">
        <v>916</v>
      </c>
      <c r="C76" s="43" t="s">
        <v>1088</v>
      </c>
      <c r="D76" s="51" t="s">
        <v>51</v>
      </c>
      <c r="E76" s="43" t="s">
        <v>770</v>
      </c>
      <c r="F76" s="43" t="s">
        <v>70</v>
      </c>
      <c r="G76" s="44">
        <v>2.96011E8</v>
      </c>
      <c r="H76" s="43">
        <v>0.0</v>
      </c>
      <c r="I76" s="43" t="s">
        <v>858</v>
      </c>
      <c r="J76" s="43"/>
      <c r="K76" s="43"/>
      <c r="L76" s="43" t="s">
        <v>78</v>
      </c>
      <c r="M76" s="43" t="s">
        <v>772</v>
      </c>
      <c r="N76" s="43">
        <v>1.0</v>
      </c>
      <c r="O76" s="43">
        <v>7.0</v>
      </c>
      <c r="P76" s="43"/>
      <c r="Q76" s="51" t="s">
        <v>1105</v>
      </c>
      <c r="R76" s="43"/>
      <c r="S76" s="53"/>
      <c r="T76" s="59">
        <v>0.0</v>
      </c>
      <c r="U76" s="43"/>
      <c r="V76" s="49" t="s">
        <v>1106</v>
      </c>
      <c r="W76" s="43"/>
      <c r="X76" s="50"/>
      <c r="Y76" s="50"/>
    </row>
    <row r="77" ht="12.75" hidden="1" customHeight="1">
      <c r="A77" s="43">
        <v>68.0</v>
      </c>
      <c r="B77" s="43" t="s">
        <v>916</v>
      </c>
      <c r="C77" s="43" t="s">
        <v>917</v>
      </c>
      <c r="D77" s="43"/>
      <c r="E77" s="43" t="s">
        <v>770</v>
      </c>
      <c r="F77" s="43" t="s">
        <v>70</v>
      </c>
      <c r="G77" s="44">
        <v>3.263E8</v>
      </c>
      <c r="H77" s="43">
        <v>0.0</v>
      </c>
      <c r="I77" s="43" t="s">
        <v>858</v>
      </c>
      <c r="J77" s="43"/>
      <c r="K77" s="43"/>
      <c r="L77" s="43" t="s">
        <v>862</v>
      </c>
      <c r="M77" s="43" t="s">
        <v>772</v>
      </c>
      <c r="N77" s="43">
        <v>1.0</v>
      </c>
      <c r="O77" s="43">
        <v>7.0</v>
      </c>
      <c r="P77" s="43"/>
      <c r="Q77" s="57" t="s">
        <v>1107</v>
      </c>
      <c r="R77" s="43" t="s">
        <v>1108</v>
      </c>
      <c r="S77" s="53" t="s">
        <v>1109</v>
      </c>
      <c r="T77" s="59">
        <v>0.0</v>
      </c>
      <c r="U77" s="43"/>
      <c r="V77" s="43" t="s">
        <v>778</v>
      </c>
      <c r="W77" s="43"/>
      <c r="X77" s="50"/>
      <c r="Y77" s="50"/>
    </row>
    <row r="78" ht="12.75" hidden="1" customHeight="1">
      <c r="A78" s="43">
        <v>69.0</v>
      </c>
      <c r="B78" s="60" t="s">
        <v>916</v>
      </c>
      <c r="C78" s="60" t="s">
        <v>916</v>
      </c>
      <c r="D78" s="60"/>
      <c r="E78" s="60" t="s">
        <v>770</v>
      </c>
      <c r="F78" s="60" t="s">
        <v>70</v>
      </c>
      <c r="G78" s="61">
        <v>4.98E8</v>
      </c>
      <c r="H78" s="60">
        <v>0.0</v>
      </c>
      <c r="I78" s="60" t="s">
        <v>858</v>
      </c>
      <c r="J78" s="60"/>
      <c r="K78" s="60"/>
      <c r="L78" s="60" t="s">
        <v>862</v>
      </c>
      <c r="M78" s="60" t="s">
        <v>772</v>
      </c>
      <c r="N78" s="60">
        <v>1.0</v>
      </c>
      <c r="O78" s="60">
        <v>7.0</v>
      </c>
      <c r="P78" s="60"/>
      <c r="Q78" s="60" t="s">
        <v>1110</v>
      </c>
      <c r="R78" s="60" t="s">
        <v>1111</v>
      </c>
      <c r="S78" s="62" t="s">
        <v>1112</v>
      </c>
      <c r="T78" s="63">
        <v>0.0</v>
      </c>
      <c r="U78" s="60"/>
      <c r="V78" s="60" t="s">
        <v>1113</v>
      </c>
      <c r="W78" s="64" t="s">
        <v>1114</v>
      </c>
      <c r="X78" s="50"/>
      <c r="Y78" s="50"/>
    </row>
    <row r="79" ht="12.75" hidden="1" customHeight="1">
      <c r="A79" s="43">
        <v>70.0</v>
      </c>
      <c r="B79" s="60" t="s">
        <v>916</v>
      </c>
      <c r="C79" s="60" t="s">
        <v>916</v>
      </c>
      <c r="D79" s="60"/>
      <c r="E79" s="60" t="s">
        <v>770</v>
      </c>
      <c r="F79" s="60" t="s">
        <v>70</v>
      </c>
      <c r="G79" s="61">
        <v>4.98E8</v>
      </c>
      <c r="H79" s="60">
        <v>0.0</v>
      </c>
      <c r="I79" s="60" t="s">
        <v>858</v>
      </c>
      <c r="J79" s="60"/>
      <c r="K79" s="60"/>
      <c r="L79" s="60" t="s">
        <v>862</v>
      </c>
      <c r="M79" s="60" t="s">
        <v>772</v>
      </c>
      <c r="N79" s="60">
        <v>1.0</v>
      </c>
      <c r="O79" s="60">
        <v>7.0</v>
      </c>
      <c r="P79" s="60"/>
      <c r="Q79" s="60" t="s">
        <v>1115</v>
      </c>
      <c r="R79" s="60" t="s">
        <v>1116</v>
      </c>
      <c r="S79" s="62" t="s">
        <v>1117</v>
      </c>
      <c r="T79" s="63">
        <v>0.0</v>
      </c>
      <c r="U79" s="60"/>
      <c r="V79" s="60" t="s">
        <v>1118</v>
      </c>
      <c r="W79" s="64" t="s">
        <v>1119</v>
      </c>
      <c r="X79" s="50"/>
      <c r="Y79" s="50"/>
    </row>
    <row r="80" ht="12.75" hidden="1" customHeight="1">
      <c r="A80" s="43">
        <v>71.0</v>
      </c>
      <c r="B80" s="43" t="s">
        <v>916</v>
      </c>
      <c r="C80" s="43" t="s">
        <v>1088</v>
      </c>
      <c r="D80" s="51" t="s">
        <v>1120</v>
      </c>
      <c r="E80" s="43" t="s">
        <v>770</v>
      </c>
      <c r="F80" s="43" t="s">
        <v>70</v>
      </c>
      <c r="G80" s="44">
        <v>3.972E8</v>
      </c>
      <c r="H80" s="43">
        <v>0.0</v>
      </c>
      <c r="I80" s="43" t="s">
        <v>858</v>
      </c>
      <c r="J80" s="43"/>
      <c r="K80" s="43"/>
      <c r="L80" s="43" t="s">
        <v>862</v>
      </c>
      <c r="M80" s="43" t="s">
        <v>772</v>
      </c>
      <c r="N80" s="43">
        <v>1.0</v>
      </c>
      <c r="O80" s="43">
        <v>7.0</v>
      </c>
      <c r="P80" s="43"/>
      <c r="Q80" s="57" t="s">
        <v>1121</v>
      </c>
      <c r="R80" s="51" t="s">
        <v>1122</v>
      </c>
      <c r="S80" s="58" t="s">
        <v>1123</v>
      </c>
      <c r="T80" s="66" t="s">
        <v>1124</v>
      </c>
      <c r="U80" s="43"/>
      <c r="V80" s="77" t="s">
        <v>1125</v>
      </c>
      <c r="W80" s="43"/>
      <c r="X80" s="50"/>
      <c r="Y80" s="50"/>
    </row>
    <row r="81" ht="12.75" hidden="1" customHeight="1">
      <c r="A81" s="43">
        <v>72.0</v>
      </c>
      <c r="B81" s="43" t="s">
        <v>916</v>
      </c>
      <c r="C81" s="43" t="s">
        <v>1088</v>
      </c>
      <c r="D81" s="51" t="s">
        <v>1120</v>
      </c>
      <c r="E81" s="43" t="s">
        <v>770</v>
      </c>
      <c r="F81" s="43" t="s">
        <v>70</v>
      </c>
      <c r="G81" s="44">
        <v>3.972E8</v>
      </c>
      <c r="H81" s="43">
        <v>0.0</v>
      </c>
      <c r="I81" s="43" t="s">
        <v>858</v>
      </c>
      <c r="J81" s="43"/>
      <c r="K81" s="43"/>
      <c r="L81" s="43" t="s">
        <v>862</v>
      </c>
      <c r="M81" s="43" t="s">
        <v>772</v>
      </c>
      <c r="N81" s="43">
        <v>1.0</v>
      </c>
      <c r="O81" s="43">
        <v>7.0</v>
      </c>
      <c r="P81" s="43"/>
      <c r="Q81" s="57" t="s">
        <v>1126</v>
      </c>
      <c r="R81" s="43" t="s">
        <v>1127</v>
      </c>
      <c r="S81" s="53" t="s">
        <v>1128</v>
      </c>
      <c r="T81" s="59">
        <v>0.0</v>
      </c>
      <c r="U81" s="43"/>
      <c r="V81" s="77" t="s">
        <v>1129</v>
      </c>
      <c r="W81" s="43"/>
      <c r="X81" s="50"/>
      <c r="Y81" s="50"/>
    </row>
    <row r="82" ht="12.75" hidden="1" customHeight="1">
      <c r="A82" s="43">
        <v>73.0</v>
      </c>
      <c r="B82" s="43" t="s">
        <v>1130</v>
      </c>
      <c r="C82" s="43" t="s">
        <v>1131</v>
      </c>
      <c r="D82" s="43"/>
      <c r="E82" s="43" t="s">
        <v>770</v>
      </c>
      <c r="F82" s="43" t="s">
        <v>70</v>
      </c>
      <c r="G82" s="44">
        <v>5.827E8</v>
      </c>
      <c r="H82" s="43">
        <v>0.0</v>
      </c>
      <c r="I82" s="43"/>
      <c r="J82" s="43"/>
      <c r="K82" s="43"/>
      <c r="L82" s="43" t="s">
        <v>611</v>
      </c>
      <c r="M82" s="43" t="s">
        <v>772</v>
      </c>
      <c r="N82" s="43">
        <v>1.0</v>
      </c>
      <c r="O82" s="43">
        <v>7.0</v>
      </c>
      <c r="P82" s="43"/>
      <c r="Q82" s="45" t="s">
        <v>1132</v>
      </c>
      <c r="R82" s="46" t="s">
        <v>1133</v>
      </c>
      <c r="S82" s="47" t="s">
        <v>1134</v>
      </c>
      <c r="T82" s="48" t="s">
        <v>1135</v>
      </c>
      <c r="U82" s="46" t="s">
        <v>777</v>
      </c>
      <c r="V82" s="51" t="s">
        <v>1136</v>
      </c>
      <c r="W82" s="43" t="s">
        <v>1137</v>
      </c>
      <c r="X82" s="50"/>
      <c r="Y82" s="50"/>
    </row>
    <row r="83" ht="12.75" hidden="1" customHeight="1">
      <c r="A83" s="43">
        <v>74.0</v>
      </c>
      <c r="B83" s="43" t="s">
        <v>1130</v>
      </c>
      <c r="C83" s="43" t="s">
        <v>1131</v>
      </c>
      <c r="D83" s="43"/>
      <c r="E83" s="43" t="s">
        <v>770</v>
      </c>
      <c r="F83" s="43" t="s">
        <v>70</v>
      </c>
      <c r="G83" s="44">
        <v>5.827E8</v>
      </c>
      <c r="H83" s="43">
        <v>0.0</v>
      </c>
      <c r="I83" s="43"/>
      <c r="J83" s="43"/>
      <c r="K83" s="43"/>
      <c r="L83" s="43" t="s">
        <v>611</v>
      </c>
      <c r="M83" s="43" t="s">
        <v>772</v>
      </c>
      <c r="N83" s="43">
        <v>1.0</v>
      </c>
      <c r="O83" s="43">
        <v>7.0</v>
      </c>
      <c r="P83" s="43"/>
      <c r="Q83" s="45" t="s">
        <v>1138</v>
      </c>
      <c r="R83" s="46" t="s">
        <v>1139</v>
      </c>
      <c r="S83" s="47" t="s">
        <v>1140</v>
      </c>
      <c r="T83" s="48" t="s">
        <v>1141</v>
      </c>
      <c r="U83" s="46" t="s">
        <v>777</v>
      </c>
      <c r="V83" s="51" t="s">
        <v>1142</v>
      </c>
      <c r="W83" s="43" t="s">
        <v>1137</v>
      </c>
      <c r="X83" s="50"/>
      <c r="Y83" s="50"/>
    </row>
    <row r="84" ht="12.75" hidden="1" customHeight="1">
      <c r="A84" s="43">
        <v>75.0</v>
      </c>
      <c r="B84" s="43" t="s">
        <v>1130</v>
      </c>
      <c r="C84" s="43" t="s">
        <v>1131</v>
      </c>
      <c r="D84" s="51" t="s">
        <v>1120</v>
      </c>
      <c r="E84" s="43" t="s">
        <v>770</v>
      </c>
      <c r="F84" s="43" t="s">
        <v>70</v>
      </c>
      <c r="G84" s="44">
        <v>5.827E8</v>
      </c>
      <c r="H84" s="43">
        <v>0.0</v>
      </c>
      <c r="I84" s="43"/>
      <c r="J84" s="43"/>
      <c r="K84" s="43"/>
      <c r="L84" s="43" t="s">
        <v>611</v>
      </c>
      <c r="M84" s="43" t="s">
        <v>772</v>
      </c>
      <c r="N84" s="43">
        <v>1.0</v>
      </c>
      <c r="O84" s="43">
        <v>7.0</v>
      </c>
      <c r="P84" s="43"/>
      <c r="Q84" s="45" t="s">
        <v>1143</v>
      </c>
      <c r="R84" s="46" t="s">
        <v>1144</v>
      </c>
      <c r="S84" s="47" t="s">
        <v>1145</v>
      </c>
      <c r="T84" s="48" t="s">
        <v>1146</v>
      </c>
      <c r="U84" s="46" t="s">
        <v>777</v>
      </c>
      <c r="V84" s="49" t="s">
        <v>1147</v>
      </c>
      <c r="W84" s="43" t="s">
        <v>1137</v>
      </c>
      <c r="X84" s="50"/>
      <c r="Y84" s="50"/>
    </row>
    <row r="85" ht="12.75" hidden="1" customHeight="1">
      <c r="A85" s="43">
        <v>76.0</v>
      </c>
      <c r="B85" s="43" t="s">
        <v>1130</v>
      </c>
      <c r="C85" s="43" t="s">
        <v>1131</v>
      </c>
      <c r="D85" s="43"/>
      <c r="E85" s="43" t="s">
        <v>770</v>
      </c>
      <c r="F85" s="43" t="s">
        <v>70</v>
      </c>
      <c r="G85" s="44">
        <v>5.827E8</v>
      </c>
      <c r="H85" s="43">
        <v>0.0</v>
      </c>
      <c r="I85" s="43"/>
      <c r="J85" s="43"/>
      <c r="K85" s="43"/>
      <c r="L85" s="43" t="s">
        <v>611</v>
      </c>
      <c r="M85" s="43" t="s">
        <v>772</v>
      </c>
      <c r="N85" s="43">
        <v>1.0</v>
      </c>
      <c r="O85" s="43">
        <v>7.0</v>
      </c>
      <c r="P85" s="43"/>
      <c r="Q85" s="45" t="s">
        <v>1148</v>
      </c>
      <c r="R85" s="46" t="s">
        <v>1149</v>
      </c>
      <c r="S85" s="47" t="s">
        <v>1150</v>
      </c>
      <c r="T85" s="48" t="s">
        <v>1151</v>
      </c>
      <c r="U85" s="46" t="s">
        <v>777</v>
      </c>
      <c r="V85" s="51" t="s">
        <v>1152</v>
      </c>
      <c r="W85" s="43" t="s">
        <v>1137</v>
      </c>
      <c r="X85" s="50"/>
      <c r="Y85" s="50"/>
    </row>
    <row r="86" ht="12.75" hidden="1" customHeight="1">
      <c r="A86" s="43">
        <v>77.0</v>
      </c>
      <c r="B86" s="43" t="s">
        <v>1130</v>
      </c>
      <c r="C86" s="43" t="s">
        <v>1131</v>
      </c>
      <c r="D86" s="51" t="s">
        <v>1120</v>
      </c>
      <c r="E86" s="43" t="s">
        <v>770</v>
      </c>
      <c r="F86" s="43" t="s">
        <v>70</v>
      </c>
      <c r="G86" s="44">
        <v>5.827E8</v>
      </c>
      <c r="H86" s="43">
        <v>0.0</v>
      </c>
      <c r="I86" s="43"/>
      <c r="J86" s="43"/>
      <c r="K86" s="43"/>
      <c r="L86" s="43" t="s">
        <v>611</v>
      </c>
      <c r="M86" s="43" t="s">
        <v>772</v>
      </c>
      <c r="N86" s="43">
        <v>1.0</v>
      </c>
      <c r="O86" s="43">
        <v>7.0</v>
      </c>
      <c r="P86" s="43"/>
      <c r="Q86" s="45" t="s">
        <v>1153</v>
      </c>
      <c r="R86" s="46" t="s">
        <v>1154</v>
      </c>
      <c r="S86" s="47" t="s">
        <v>1155</v>
      </c>
      <c r="T86" s="48" t="s">
        <v>1156</v>
      </c>
      <c r="U86" s="46" t="s">
        <v>777</v>
      </c>
      <c r="V86" s="49" t="s">
        <v>1157</v>
      </c>
      <c r="W86" s="77" t="s">
        <v>1137</v>
      </c>
      <c r="X86" s="50"/>
      <c r="Y86" s="50"/>
    </row>
    <row r="87" ht="12.75" hidden="1" customHeight="1">
      <c r="A87" s="43">
        <v>78.0</v>
      </c>
      <c r="B87" s="43" t="s">
        <v>1130</v>
      </c>
      <c r="C87" s="43" t="s">
        <v>1131</v>
      </c>
      <c r="D87" s="51" t="s">
        <v>1120</v>
      </c>
      <c r="E87" s="43" t="s">
        <v>770</v>
      </c>
      <c r="F87" s="43" t="s">
        <v>70</v>
      </c>
      <c r="G87" s="44">
        <v>5.827E8</v>
      </c>
      <c r="H87" s="43">
        <v>0.0</v>
      </c>
      <c r="I87" s="43"/>
      <c r="J87" s="43"/>
      <c r="K87" s="43"/>
      <c r="L87" s="43" t="s">
        <v>611</v>
      </c>
      <c r="M87" s="43" t="s">
        <v>772</v>
      </c>
      <c r="N87" s="43">
        <v>1.0</v>
      </c>
      <c r="O87" s="43">
        <v>7.0</v>
      </c>
      <c r="P87" s="43"/>
      <c r="Q87" s="45" t="s">
        <v>1158</v>
      </c>
      <c r="R87" s="46" t="s">
        <v>1159</v>
      </c>
      <c r="S87" s="47" t="s">
        <v>1160</v>
      </c>
      <c r="T87" s="48" t="s">
        <v>1161</v>
      </c>
      <c r="U87" s="46" t="s">
        <v>777</v>
      </c>
      <c r="V87" s="49" t="s">
        <v>1162</v>
      </c>
      <c r="W87" s="43" t="s">
        <v>1137</v>
      </c>
      <c r="X87" s="50"/>
      <c r="Y87" s="50"/>
    </row>
    <row r="88" ht="12.75" hidden="1" customHeight="1">
      <c r="A88" s="43">
        <v>79.0</v>
      </c>
      <c r="B88" s="43" t="s">
        <v>1130</v>
      </c>
      <c r="C88" s="43" t="s">
        <v>1131</v>
      </c>
      <c r="D88" s="51" t="s">
        <v>1120</v>
      </c>
      <c r="E88" s="43" t="s">
        <v>770</v>
      </c>
      <c r="F88" s="43" t="s">
        <v>70</v>
      </c>
      <c r="G88" s="44">
        <v>5.827E8</v>
      </c>
      <c r="H88" s="43">
        <v>0.0</v>
      </c>
      <c r="I88" s="43"/>
      <c r="J88" s="43"/>
      <c r="K88" s="43"/>
      <c r="L88" s="43" t="s">
        <v>611</v>
      </c>
      <c r="M88" s="43" t="s">
        <v>772</v>
      </c>
      <c r="N88" s="43">
        <v>1.0</v>
      </c>
      <c r="O88" s="43">
        <v>7.0</v>
      </c>
      <c r="P88" s="43"/>
      <c r="Q88" s="45" t="s">
        <v>1163</v>
      </c>
      <c r="R88" s="46" t="s">
        <v>1164</v>
      </c>
      <c r="S88" s="47" t="s">
        <v>1165</v>
      </c>
      <c r="T88" s="48" t="s">
        <v>1166</v>
      </c>
      <c r="U88" s="46" t="s">
        <v>777</v>
      </c>
      <c r="V88" s="49" t="s">
        <v>1167</v>
      </c>
      <c r="W88" s="43" t="s">
        <v>1137</v>
      </c>
      <c r="X88" s="50"/>
      <c r="Y88" s="50"/>
    </row>
    <row r="89" ht="12.75" hidden="1" customHeight="1">
      <c r="A89" s="43">
        <v>80.0</v>
      </c>
      <c r="B89" s="43" t="s">
        <v>1130</v>
      </c>
      <c r="C89" s="43" t="s">
        <v>1131</v>
      </c>
      <c r="D89" s="51" t="s">
        <v>1120</v>
      </c>
      <c r="E89" s="43" t="s">
        <v>770</v>
      </c>
      <c r="F89" s="43" t="s">
        <v>70</v>
      </c>
      <c r="G89" s="44">
        <v>5.827E8</v>
      </c>
      <c r="H89" s="43">
        <v>0.0</v>
      </c>
      <c r="I89" s="43"/>
      <c r="J89" s="43"/>
      <c r="K89" s="43"/>
      <c r="L89" s="43" t="s">
        <v>611</v>
      </c>
      <c r="M89" s="43" t="s">
        <v>772</v>
      </c>
      <c r="N89" s="43">
        <v>1.0</v>
      </c>
      <c r="O89" s="43">
        <v>7.0</v>
      </c>
      <c r="P89" s="43"/>
      <c r="Q89" s="45" t="s">
        <v>1168</v>
      </c>
      <c r="R89" s="46" t="s">
        <v>1169</v>
      </c>
      <c r="S89" s="47" t="s">
        <v>1170</v>
      </c>
      <c r="T89" s="48" t="s">
        <v>1171</v>
      </c>
      <c r="U89" s="46" t="s">
        <v>777</v>
      </c>
      <c r="V89" s="86" t="s">
        <v>1172</v>
      </c>
      <c r="W89" s="43" t="s">
        <v>1137</v>
      </c>
      <c r="X89" s="50"/>
      <c r="Y89" s="50"/>
    </row>
    <row r="90" ht="12.75" hidden="1" customHeight="1">
      <c r="A90" s="43">
        <v>81.0</v>
      </c>
      <c r="B90" s="43" t="s">
        <v>1130</v>
      </c>
      <c r="C90" s="43" t="s">
        <v>1131</v>
      </c>
      <c r="D90" s="43"/>
      <c r="E90" s="43" t="s">
        <v>770</v>
      </c>
      <c r="F90" s="43" t="s">
        <v>70</v>
      </c>
      <c r="G90" s="44">
        <v>5.827E8</v>
      </c>
      <c r="H90" s="43">
        <v>0.0</v>
      </c>
      <c r="I90" s="43"/>
      <c r="J90" s="43"/>
      <c r="K90" s="43"/>
      <c r="L90" s="43" t="s">
        <v>611</v>
      </c>
      <c r="M90" s="43" t="s">
        <v>772</v>
      </c>
      <c r="N90" s="43">
        <v>1.0</v>
      </c>
      <c r="O90" s="43">
        <v>7.0</v>
      </c>
      <c r="P90" s="43"/>
      <c r="Q90" s="45" t="s">
        <v>1173</v>
      </c>
      <c r="R90" s="46" t="s">
        <v>1174</v>
      </c>
      <c r="S90" s="47" t="s">
        <v>1175</v>
      </c>
      <c r="T90" s="48" t="s">
        <v>1176</v>
      </c>
      <c r="U90" s="46" t="s">
        <v>777</v>
      </c>
      <c r="V90" s="51" t="s">
        <v>1177</v>
      </c>
      <c r="W90" s="43" t="s">
        <v>1137</v>
      </c>
      <c r="X90" s="50"/>
      <c r="Y90" s="50"/>
    </row>
    <row r="91" ht="12.75" hidden="1" customHeight="1">
      <c r="A91" s="43">
        <v>82.0</v>
      </c>
      <c r="B91" s="43" t="s">
        <v>1178</v>
      </c>
      <c r="C91" s="43" t="s">
        <v>1178</v>
      </c>
      <c r="D91" s="43"/>
      <c r="E91" s="43" t="s">
        <v>770</v>
      </c>
      <c r="F91" s="43" t="s">
        <v>70</v>
      </c>
      <c r="G91" s="44">
        <v>5.49E8</v>
      </c>
      <c r="H91" s="43">
        <v>0.0</v>
      </c>
      <c r="I91" s="43" t="s">
        <v>858</v>
      </c>
      <c r="J91" s="43"/>
      <c r="K91" s="43"/>
      <c r="L91" s="43" t="s">
        <v>862</v>
      </c>
      <c r="M91" s="43" t="s">
        <v>772</v>
      </c>
      <c r="N91" s="43">
        <v>1.0</v>
      </c>
      <c r="O91" s="43">
        <v>7.0</v>
      </c>
      <c r="P91" s="43"/>
      <c r="Q91" s="57" t="s">
        <v>1179</v>
      </c>
      <c r="R91" s="43" t="s">
        <v>1180</v>
      </c>
      <c r="S91" s="53" t="s">
        <v>1181</v>
      </c>
      <c r="T91" s="59">
        <v>0.0</v>
      </c>
      <c r="U91" s="43"/>
      <c r="V91" s="51" t="s">
        <v>1182</v>
      </c>
      <c r="W91" s="43"/>
      <c r="X91" s="50"/>
      <c r="Y91" s="50"/>
    </row>
    <row r="92" ht="12.75" hidden="1" customHeight="1">
      <c r="A92" s="87"/>
      <c r="B92" s="88" t="s">
        <v>1183</v>
      </c>
      <c r="C92" s="88" t="s">
        <v>1183</v>
      </c>
      <c r="D92" s="88" t="s">
        <v>51</v>
      </c>
      <c r="E92" s="87" t="s">
        <v>770</v>
      </c>
      <c r="F92" s="87" t="s">
        <v>70</v>
      </c>
      <c r="G92" s="89">
        <v>2.819E8</v>
      </c>
      <c r="H92" s="87">
        <v>0.0</v>
      </c>
      <c r="I92" s="87" t="s">
        <v>858</v>
      </c>
      <c r="J92" s="87"/>
      <c r="K92" s="87"/>
      <c r="L92" s="90">
        <v>2025.0</v>
      </c>
      <c r="M92" s="87" t="s">
        <v>772</v>
      </c>
      <c r="N92" s="87">
        <v>1.0</v>
      </c>
      <c r="O92" s="87">
        <v>7.0</v>
      </c>
      <c r="P92" s="87"/>
      <c r="Q92" s="88" t="s">
        <v>1184</v>
      </c>
      <c r="R92" s="88" t="s">
        <v>1185</v>
      </c>
      <c r="S92" s="90" t="s">
        <v>1186</v>
      </c>
      <c r="T92" s="91"/>
      <c r="U92" s="87"/>
      <c r="V92" s="88" t="s">
        <v>1187</v>
      </c>
      <c r="W92" s="88" t="s">
        <v>1188</v>
      </c>
      <c r="X92" s="92"/>
      <c r="Y92" s="92"/>
    </row>
    <row r="93" ht="12.75" hidden="1" customHeight="1">
      <c r="A93" s="43">
        <v>83.0</v>
      </c>
      <c r="B93" s="43" t="s">
        <v>100</v>
      </c>
      <c r="C93" s="43" t="s">
        <v>1189</v>
      </c>
      <c r="D93" s="43"/>
      <c r="E93" s="43" t="s">
        <v>770</v>
      </c>
      <c r="F93" s="43" t="s">
        <v>70</v>
      </c>
      <c r="G93" s="44">
        <v>2000000.0</v>
      </c>
      <c r="H93" s="43">
        <v>0.0</v>
      </c>
      <c r="I93" s="43" t="s">
        <v>781</v>
      </c>
      <c r="J93" s="43"/>
      <c r="K93" s="43"/>
      <c r="L93" s="43" t="s">
        <v>1190</v>
      </c>
      <c r="M93" s="43" t="s">
        <v>772</v>
      </c>
      <c r="N93" s="43">
        <v>1.0</v>
      </c>
      <c r="O93" s="43">
        <v>7.0</v>
      </c>
      <c r="P93" s="43"/>
      <c r="Q93" s="46" t="s">
        <v>1191</v>
      </c>
      <c r="R93" s="46" t="s">
        <v>1192</v>
      </c>
      <c r="S93" s="47" t="s">
        <v>1193</v>
      </c>
      <c r="T93" s="48">
        <v>8966076.0</v>
      </c>
      <c r="U93" s="46" t="s">
        <v>777</v>
      </c>
      <c r="V93" s="43"/>
      <c r="W93" s="43"/>
      <c r="X93" s="50"/>
      <c r="Y93" s="50"/>
    </row>
    <row r="94" ht="12.75" customHeight="1">
      <c r="A94" s="43">
        <v>84.0</v>
      </c>
      <c r="B94" s="43" t="s">
        <v>100</v>
      </c>
      <c r="C94" s="43" t="s">
        <v>1189</v>
      </c>
      <c r="D94" s="43"/>
      <c r="E94" s="43" t="s">
        <v>770</v>
      </c>
      <c r="F94" s="43" t="s">
        <v>70</v>
      </c>
      <c r="G94" s="44">
        <v>1500000.0</v>
      </c>
      <c r="H94" s="43">
        <v>0.0</v>
      </c>
      <c r="I94" s="51" t="s">
        <v>1194</v>
      </c>
      <c r="J94" s="51" t="s">
        <v>1194</v>
      </c>
      <c r="K94" s="43"/>
      <c r="L94" s="43" t="s">
        <v>1190</v>
      </c>
      <c r="M94" s="43" t="s">
        <v>772</v>
      </c>
      <c r="N94" s="43">
        <v>1.0</v>
      </c>
      <c r="O94" s="43">
        <v>7.0</v>
      </c>
      <c r="P94" s="43"/>
      <c r="Q94" s="43" t="s">
        <v>1195</v>
      </c>
      <c r="R94" s="43" t="s">
        <v>1196</v>
      </c>
      <c r="S94" s="53" t="s">
        <v>1197</v>
      </c>
      <c r="T94" s="59">
        <v>0.0</v>
      </c>
      <c r="U94" s="43"/>
      <c r="V94" s="43" t="s">
        <v>1198</v>
      </c>
      <c r="W94" s="51" t="s">
        <v>1199</v>
      </c>
      <c r="X94" s="50"/>
      <c r="Y94" s="52"/>
    </row>
    <row r="95" ht="12.75" hidden="1" customHeight="1">
      <c r="A95" s="43">
        <v>85.0</v>
      </c>
      <c r="B95" s="43" t="s">
        <v>100</v>
      </c>
      <c r="C95" s="43" t="s">
        <v>1189</v>
      </c>
      <c r="D95" s="43"/>
      <c r="E95" s="43" t="s">
        <v>770</v>
      </c>
      <c r="F95" s="43" t="s">
        <v>70</v>
      </c>
      <c r="G95" s="44">
        <v>3000000.0</v>
      </c>
      <c r="H95" s="43">
        <v>0.0</v>
      </c>
      <c r="I95" s="43" t="s">
        <v>781</v>
      </c>
      <c r="J95" s="43"/>
      <c r="K95" s="43"/>
      <c r="L95" s="43" t="s">
        <v>1190</v>
      </c>
      <c r="M95" s="43" t="s">
        <v>772</v>
      </c>
      <c r="N95" s="43">
        <v>1.0</v>
      </c>
      <c r="O95" s="43">
        <v>7.0</v>
      </c>
      <c r="P95" s="43"/>
      <c r="Q95" s="43" t="s">
        <v>1200</v>
      </c>
      <c r="R95" s="43" t="s">
        <v>1201</v>
      </c>
      <c r="S95" s="53" t="s">
        <v>1202</v>
      </c>
      <c r="T95" s="59">
        <v>0.0</v>
      </c>
      <c r="U95" s="43"/>
      <c r="V95" s="43"/>
      <c r="W95" s="43"/>
      <c r="X95" s="50"/>
      <c r="Y95" s="50"/>
    </row>
    <row r="96" ht="12.75" hidden="1" customHeight="1">
      <c r="A96" s="43">
        <v>86.0</v>
      </c>
      <c r="B96" s="43" t="s">
        <v>100</v>
      </c>
      <c r="C96" s="43" t="s">
        <v>1189</v>
      </c>
      <c r="D96" s="43"/>
      <c r="E96" s="43" t="s">
        <v>770</v>
      </c>
      <c r="F96" s="43" t="s">
        <v>70</v>
      </c>
      <c r="G96" s="44">
        <v>2500000.0</v>
      </c>
      <c r="H96" s="43">
        <v>0.0</v>
      </c>
      <c r="I96" s="43" t="s">
        <v>781</v>
      </c>
      <c r="J96" s="43"/>
      <c r="K96" s="43"/>
      <c r="L96" s="43" t="s">
        <v>1203</v>
      </c>
      <c r="M96" s="43" t="s">
        <v>772</v>
      </c>
      <c r="N96" s="43">
        <v>1.0</v>
      </c>
      <c r="O96" s="43">
        <v>7.0</v>
      </c>
      <c r="P96" s="43"/>
      <c r="Q96" s="43" t="s">
        <v>1204</v>
      </c>
      <c r="R96" s="43" t="s">
        <v>1205</v>
      </c>
      <c r="S96" s="53" t="s">
        <v>1206</v>
      </c>
      <c r="T96" s="59">
        <v>0.0</v>
      </c>
      <c r="U96" s="43"/>
      <c r="V96" s="43"/>
      <c r="W96" s="43"/>
      <c r="X96" s="50"/>
      <c r="Y96" s="50"/>
    </row>
    <row r="97" ht="12.75" hidden="1" customHeight="1">
      <c r="A97" s="43">
        <v>87.0</v>
      </c>
      <c r="B97" s="43" t="s">
        <v>100</v>
      </c>
      <c r="C97" s="43" t="s">
        <v>100</v>
      </c>
      <c r="D97" s="43"/>
      <c r="E97" s="43" t="s">
        <v>770</v>
      </c>
      <c r="F97" s="43" t="s">
        <v>70</v>
      </c>
      <c r="G97" s="44">
        <v>2500000.0</v>
      </c>
      <c r="H97" s="43">
        <v>0.0</v>
      </c>
      <c r="I97" s="43" t="s">
        <v>781</v>
      </c>
      <c r="J97" s="43"/>
      <c r="K97" s="43"/>
      <c r="L97" s="43" t="s">
        <v>1203</v>
      </c>
      <c r="M97" s="43" t="s">
        <v>772</v>
      </c>
      <c r="N97" s="43">
        <v>1.0</v>
      </c>
      <c r="O97" s="43">
        <v>7.0</v>
      </c>
      <c r="P97" s="43"/>
      <c r="Q97" s="43" t="s">
        <v>1207</v>
      </c>
      <c r="R97" s="43" t="s">
        <v>1208</v>
      </c>
      <c r="S97" s="53" t="s">
        <v>1209</v>
      </c>
      <c r="T97" s="59">
        <v>0.0</v>
      </c>
      <c r="U97" s="43"/>
      <c r="V97" s="43"/>
      <c r="W97" s="43"/>
      <c r="X97" s="50"/>
      <c r="Y97" s="50"/>
    </row>
    <row r="98" ht="12.75" hidden="1" customHeight="1">
      <c r="A98" s="43">
        <v>88.0</v>
      </c>
      <c r="B98" s="43" t="s">
        <v>100</v>
      </c>
      <c r="C98" s="43" t="s">
        <v>1189</v>
      </c>
      <c r="D98" s="43"/>
      <c r="E98" s="43" t="s">
        <v>770</v>
      </c>
      <c r="F98" s="43" t="s">
        <v>70</v>
      </c>
      <c r="G98" s="44">
        <v>2500000.0</v>
      </c>
      <c r="H98" s="43">
        <v>0.0</v>
      </c>
      <c r="I98" s="43" t="s">
        <v>781</v>
      </c>
      <c r="J98" s="43"/>
      <c r="K98" s="43"/>
      <c r="L98" s="43" t="s">
        <v>918</v>
      </c>
      <c r="M98" s="43" t="s">
        <v>772</v>
      </c>
      <c r="N98" s="43">
        <v>1.0</v>
      </c>
      <c r="O98" s="43">
        <v>7.0</v>
      </c>
      <c r="P98" s="43"/>
      <c r="Q98" s="43" t="s">
        <v>1210</v>
      </c>
      <c r="R98" s="43" t="s">
        <v>1211</v>
      </c>
      <c r="S98" s="53" t="s">
        <v>1212</v>
      </c>
      <c r="T98" s="59">
        <v>0.0</v>
      </c>
      <c r="U98" s="43"/>
      <c r="V98" s="43"/>
      <c r="W98" s="43"/>
      <c r="X98" s="50"/>
      <c r="Y98" s="50"/>
    </row>
    <row r="99" ht="12.75" hidden="1" customHeight="1">
      <c r="A99" s="43">
        <v>89.0</v>
      </c>
      <c r="B99" s="43" t="s">
        <v>100</v>
      </c>
      <c r="C99" s="43" t="s">
        <v>1189</v>
      </c>
      <c r="D99" s="43"/>
      <c r="E99" s="43" t="s">
        <v>770</v>
      </c>
      <c r="F99" s="43" t="s">
        <v>70</v>
      </c>
      <c r="G99" s="44">
        <v>2500000.0</v>
      </c>
      <c r="H99" s="43">
        <v>0.0</v>
      </c>
      <c r="I99" s="43" t="s">
        <v>781</v>
      </c>
      <c r="J99" s="43"/>
      <c r="K99" s="43"/>
      <c r="L99" s="43" t="s">
        <v>102</v>
      </c>
      <c r="M99" s="43" t="s">
        <v>772</v>
      </c>
      <c r="N99" s="43">
        <v>1.0</v>
      </c>
      <c r="O99" s="43">
        <v>7.0</v>
      </c>
      <c r="P99" s="43"/>
      <c r="Q99" s="43" t="s">
        <v>1213</v>
      </c>
      <c r="R99" s="43" t="s">
        <v>1214</v>
      </c>
      <c r="S99" s="53" t="s">
        <v>1215</v>
      </c>
      <c r="T99" s="59">
        <v>0.0</v>
      </c>
      <c r="U99" s="43"/>
      <c r="V99" s="43"/>
      <c r="W99" s="43"/>
      <c r="X99" s="50"/>
      <c r="Y99" s="50"/>
    </row>
    <row r="100" ht="12.75" hidden="1" customHeight="1">
      <c r="A100" s="43">
        <v>90.0</v>
      </c>
      <c r="B100" s="43" t="s">
        <v>100</v>
      </c>
      <c r="C100" s="43" t="s">
        <v>1189</v>
      </c>
      <c r="D100" s="43"/>
      <c r="E100" s="43" t="s">
        <v>770</v>
      </c>
      <c r="F100" s="43" t="s">
        <v>70</v>
      </c>
      <c r="G100" s="44">
        <v>2500000.0</v>
      </c>
      <c r="H100" s="43">
        <v>0.0</v>
      </c>
      <c r="I100" s="43" t="s">
        <v>781</v>
      </c>
      <c r="J100" s="43"/>
      <c r="K100" s="43"/>
      <c r="L100" s="43" t="s">
        <v>102</v>
      </c>
      <c r="M100" s="43" t="s">
        <v>772</v>
      </c>
      <c r="N100" s="43">
        <v>1.0</v>
      </c>
      <c r="O100" s="43">
        <v>7.0</v>
      </c>
      <c r="P100" s="43"/>
      <c r="Q100" s="43" t="s">
        <v>1216</v>
      </c>
      <c r="R100" s="43" t="s">
        <v>1217</v>
      </c>
      <c r="S100" s="53" t="s">
        <v>1218</v>
      </c>
      <c r="T100" s="59">
        <v>0.0</v>
      </c>
      <c r="U100" s="43"/>
      <c r="V100" s="43"/>
      <c r="W100" s="43"/>
      <c r="X100" s="50"/>
      <c r="Y100" s="50"/>
    </row>
    <row r="101" ht="12.75" hidden="1" customHeight="1">
      <c r="A101" s="43">
        <v>91.0</v>
      </c>
      <c r="B101" s="43" t="s">
        <v>100</v>
      </c>
      <c r="C101" s="43" t="s">
        <v>1189</v>
      </c>
      <c r="D101" s="43"/>
      <c r="E101" s="43" t="s">
        <v>770</v>
      </c>
      <c r="F101" s="43" t="s">
        <v>70</v>
      </c>
      <c r="G101" s="44">
        <v>2500000.0</v>
      </c>
      <c r="H101" s="43">
        <v>0.0</v>
      </c>
      <c r="I101" s="43" t="s">
        <v>781</v>
      </c>
      <c r="J101" s="43"/>
      <c r="K101" s="43"/>
      <c r="L101" s="43" t="s">
        <v>102</v>
      </c>
      <c r="M101" s="43" t="s">
        <v>772</v>
      </c>
      <c r="N101" s="43">
        <v>1.0</v>
      </c>
      <c r="O101" s="43">
        <v>7.0</v>
      </c>
      <c r="P101" s="43"/>
      <c r="Q101" s="43" t="s">
        <v>1219</v>
      </c>
      <c r="R101" s="43" t="s">
        <v>1220</v>
      </c>
      <c r="S101" s="53" t="s">
        <v>1221</v>
      </c>
      <c r="T101" s="59">
        <v>0.0</v>
      </c>
      <c r="U101" s="43"/>
      <c r="V101" s="43"/>
      <c r="W101" s="43"/>
      <c r="X101" s="50"/>
      <c r="Y101" s="50"/>
    </row>
    <row r="102" ht="12.75" customHeight="1">
      <c r="A102" s="43">
        <v>92.0</v>
      </c>
      <c r="B102" s="43" t="s">
        <v>100</v>
      </c>
      <c r="C102" s="43" t="s">
        <v>1189</v>
      </c>
      <c r="D102" s="43"/>
      <c r="E102" s="43" t="s">
        <v>770</v>
      </c>
      <c r="F102" s="43" t="s">
        <v>70</v>
      </c>
      <c r="G102" s="44">
        <v>2500000.0</v>
      </c>
      <c r="H102" s="43">
        <v>0.0</v>
      </c>
      <c r="I102" s="43" t="s">
        <v>781</v>
      </c>
      <c r="J102" s="43"/>
      <c r="K102" s="43"/>
      <c r="L102" s="43" t="s">
        <v>110</v>
      </c>
      <c r="M102" s="43" t="s">
        <v>772</v>
      </c>
      <c r="N102" s="43">
        <v>1.0</v>
      </c>
      <c r="O102" s="43">
        <v>7.0</v>
      </c>
      <c r="P102" s="43"/>
      <c r="Q102" s="46" t="s">
        <v>1222</v>
      </c>
      <c r="R102" s="46" t="s">
        <v>1223</v>
      </c>
      <c r="S102" s="47" t="s">
        <v>1224</v>
      </c>
      <c r="T102" s="48" t="s">
        <v>1225</v>
      </c>
      <c r="U102" s="46" t="s">
        <v>777</v>
      </c>
      <c r="V102" s="43" t="s">
        <v>1020</v>
      </c>
      <c r="W102" s="51" t="s">
        <v>1226</v>
      </c>
      <c r="X102" s="65"/>
      <c r="Y102" s="52"/>
    </row>
    <row r="103" ht="12.75" hidden="1" customHeight="1">
      <c r="A103" s="43">
        <v>93.0</v>
      </c>
      <c r="B103" s="43" t="s">
        <v>100</v>
      </c>
      <c r="C103" s="43" t="s">
        <v>100</v>
      </c>
      <c r="D103" s="43"/>
      <c r="E103" s="43" t="s">
        <v>770</v>
      </c>
      <c r="F103" s="43" t="s">
        <v>70</v>
      </c>
      <c r="G103" s="44">
        <v>2500000.0</v>
      </c>
      <c r="H103" s="43">
        <v>0.0</v>
      </c>
      <c r="I103" s="43" t="s">
        <v>781</v>
      </c>
      <c r="J103" s="43"/>
      <c r="K103" s="43"/>
      <c r="L103" s="43" t="s">
        <v>110</v>
      </c>
      <c r="M103" s="43" t="s">
        <v>772</v>
      </c>
      <c r="N103" s="43">
        <v>1.0</v>
      </c>
      <c r="O103" s="43">
        <v>7.0</v>
      </c>
      <c r="P103" s="43"/>
      <c r="Q103" s="46" t="s">
        <v>1227</v>
      </c>
      <c r="R103" s="46" t="s">
        <v>1228</v>
      </c>
      <c r="S103" s="47" t="s">
        <v>1229</v>
      </c>
      <c r="T103" s="48" t="s">
        <v>1230</v>
      </c>
      <c r="U103" s="46" t="s">
        <v>777</v>
      </c>
      <c r="V103" s="43" t="s">
        <v>1231</v>
      </c>
      <c r="W103" s="43"/>
      <c r="X103" s="50"/>
      <c r="Y103" s="50"/>
    </row>
    <row r="104" ht="12.75" hidden="1" customHeight="1">
      <c r="A104" s="43">
        <v>94.0</v>
      </c>
      <c r="B104" s="43" t="s">
        <v>100</v>
      </c>
      <c r="C104" s="43" t="s">
        <v>100</v>
      </c>
      <c r="D104" s="43"/>
      <c r="E104" s="43" t="s">
        <v>770</v>
      </c>
      <c r="F104" s="43" t="s">
        <v>70</v>
      </c>
      <c r="G104" s="44">
        <v>3000000.0</v>
      </c>
      <c r="H104" s="43">
        <v>0.0</v>
      </c>
      <c r="I104" s="43" t="s">
        <v>781</v>
      </c>
      <c r="J104" s="43"/>
      <c r="K104" s="43"/>
      <c r="L104" s="43" t="s">
        <v>110</v>
      </c>
      <c r="M104" s="43" t="s">
        <v>772</v>
      </c>
      <c r="N104" s="43">
        <v>1.0</v>
      </c>
      <c r="O104" s="43">
        <v>7.0</v>
      </c>
      <c r="P104" s="43"/>
      <c r="Q104" s="43" t="s">
        <v>1232</v>
      </c>
      <c r="R104" s="43" t="s">
        <v>1233</v>
      </c>
      <c r="S104" s="53" t="s">
        <v>1234</v>
      </c>
      <c r="T104" s="59">
        <v>0.0</v>
      </c>
      <c r="U104" s="43"/>
      <c r="V104" s="43"/>
      <c r="W104" s="43"/>
      <c r="X104" s="50"/>
      <c r="Y104" s="50"/>
    </row>
    <row r="105" ht="12.75" hidden="1" customHeight="1">
      <c r="A105" s="43">
        <v>95.0</v>
      </c>
      <c r="B105" s="43" t="s">
        <v>100</v>
      </c>
      <c r="C105" s="43" t="s">
        <v>1189</v>
      </c>
      <c r="D105" s="43"/>
      <c r="E105" s="43" t="s">
        <v>770</v>
      </c>
      <c r="F105" s="43" t="s">
        <v>70</v>
      </c>
      <c r="G105" s="44">
        <v>2500000.0</v>
      </c>
      <c r="H105" s="43">
        <v>0.0</v>
      </c>
      <c r="I105" s="43" t="s">
        <v>781</v>
      </c>
      <c r="J105" s="43"/>
      <c r="K105" s="43"/>
      <c r="L105" s="43" t="s">
        <v>120</v>
      </c>
      <c r="M105" s="43" t="s">
        <v>772</v>
      </c>
      <c r="N105" s="43">
        <v>1.0</v>
      </c>
      <c r="O105" s="43">
        <v>7.0</v>
      </c>
      <c r="P105" s="43"/>
      <c r="Q105" s="43" t="s">
        <v>1235</v>
      </c>
      <c r="R105" s="43" t="s">
        <v>1236</v>
      </c>
      <c r="S105" s="53" t="s">
        <v>1237</v>
      </c>
      <c r="T105" s="59">
        <v>0.0</v>
      </c>
      <c r="U105" s="51" t="s">
        <v>1238</v>
      </c>
      <c r="V105" s="43" t="s">
        <v>1239</v>
      </c>
      <c r="W105" s="43"/>
      <c r="X105" s="50"/>
      <c r="Y105" s="50"/>
    </row>
    <row r="106" ht="12.75" hidden="1" customHeight="1">
      <c r="A106" s="43">
        <v>96.0</v>
      </c>
      <c r="B106" s="43" t="s">
        <v>100</v>
      </c>
      <c r="C106" s="43" t="s">
        <v>1189</v>
      </c>
      <c r="D106" s="43"/>
      <c r="E106" s="43" t="s">
        <v>770</v>
      </c>
      <c r="F106" s="43" t="s">
        <v>70</v>
      </c>
      <c r="G106" s="44">
        <v>2500000.0</v>
      </c>
      <c r="H106" s="43">
        <v>0.0</v>
      </c>
      <c r="I106" s="43" t="s">
        <v>781</v>
      </c>
      <c r="J106" s="43"/>
      <c r="K106" s="43"/>
      <c r="L106" s="43" t="s">
        <v>127</v>
      </c>
      <c r="M106" s="43" t="s">
        <v>772</v>
      </c>
      <c r="N106" s="43">
        <v>1.0</v>
      </c>
      <c r="O106" s="43">
        <v>7.0</v>
      </c>
      <c r="P106" s="43"/>
      <c r="Q106" s="43" t="s">
        <v>1240</v>
      </c>
      <c r="R106" s="43" t="s">
        <v>1241</v>
      </c>
      <c r="S106" s="53" t="s">
        <v>1242</v>
      </c>
      <c r="T106" s="59">
        <v>0.0</v>
      </c>
      <c r="U106" s="43"/>
      <c r="V106" s="43"/>
      <c r="W106" s="43"/>
      <c r="X106" s="50"/>
      <c r="Y106" s="50"/>
    </row>
    <row r="107" ht="12.75" hidden="1" customHeight="1">
      <c r="A107" s="43">
        <v>97.0</v>
      </c>
      <c r="B107" s="43" t="s">
        <v>100</v>
      </c>
      <c r="C107" s="43" t="s">
        <v>1189</v>
      </c>
      <c r="D107" s="43"/>
      <c r="E107" s="43" t="s">
        <v>770</v>
      </c>
      <c r="F107" s="43" t="s">
        <v>70</v>
      </c>
      <c r="G107" s="44">
        <v>2500000.0</v>
      </c>
      <c r="H107" s="43">
        <v>0.0</v>
      </c>
      <c r="I107" s="43" t="s">
        <v>781</v>
      </c>
      <c r="J107" s="43"/>
      <c r="K107" s="43"/>
      <c r="L107" s="43" t="s">
        <v>127</v>
      </c>
      <c r="M107" s="43" t="s">
        <v>772</v>
      </c>
      <c r="N107" s="43">
        <v>1.0</v>
      </c>
      <c r="O107" s="43">
        <v>7.0</v>
      </c>
      <c r="P107" s="43"/>
      <c r="Q107" s="43" t="s">
        <v>1243</v>
      </c>
      <c r="R107" s="43" t="s">
        <v>1244</v>
      </c>
      <c r="S107" s="53" t="s">
        <v>1245</v>
      </c>
      <c r="T107" s="59">
        <v>0.0</v>
      </c>
      <c r="U107" s="43"/>
      <c r="V107" s="43"/>
      <c r="W107" s="43"/>
      <c r="X107" s="50"/>
      <c r="Y107" s="50"/>
    </row>
    <row r="108" ht="12.75" hidden="1" customHeight="1">
      <c r="A108" s="43">
        <v>98.0</v>
      </c>
      <c r="B108" s="43" t="s">
        <v>100</v>
      </c>
      <c r="C108" s="43" t="s">
        <v>100</v>
      </c>
      <c r="D108" s="43"/>
      <c r="E108" s="43" t="s">
        <v>770</v>
      </c>
      <c r="F108" s="43" t="s">
        <v>70</v>
      </c>
      <c r="G108" s="44">
        <v>2500000.0</v>
      </c>
      <c r="H108" s="43">
        <v>0.0</v>
      </c>
      <c r="I108" s="43" t="s">
        <v>781</v>
      </c>
      <c r="J108" s="43"/>
      <c r="K108" s="43"/>
      <c r="L108" s="43" t="s">
        <v>131</v>
      </c>
      <c r="M108" s="43" t="s">
        <v>772</v>
      </c>
      <c r="N108" s="43">
        <v>1.0</v>
      </c>
      <c r="O108" s="43">
        <v>7.0</v>
      </c>
      <c r="P108" s="43"/>
      <c r="Q108" s="46" t="s">
        <v>1246</v>
      </c>
      <c r="R108" s="46" t="s">
        <v>1247</v>
      </c>
      <c r="S108" s="47" t="s">
        <v>1248</v>
      </c>
      <c r="T108" s="85" t="s">
        <v>1249</v>
      </c>
      <c r="U108" s="46" t="s">
        <v>777</v>
      </c>
      <c r="V108" s="43" t="s">
        <v>1250</v>
      </c>
      <c r="W108" s="51"/>
      <c r="X108" s="50"/>
      <c r="Y108" s="50"/>
    </row>
    <row r="109" ht="12.75" hidden="1" customHeight="1">
      <c r="A109" s="43">
        <v>99.0</v>
      </c>
      <c r="B109" s="43" t="s">
        <v>100</v>
      </c>
      <c r="C109" s="43" t="s">
        <v>1189</v>
      </c>
      <c r="D109" s="43"/>
      <c r="E109" s="43" t="s">
        <v>770</v>
      </c>
      <c r="F109" s="43" t="s">
        <v>70</v>
      </c>
      <c r="G109" s="44">
        <v>2500000.0</v>
      </c>
      <c r="H109" s="43">
        <v>0.0</v>
      </c>
      <c r="I109" s="43" t="s">
        <v>781</v>
      </c>
      <c r="J109" s="43"/>
      <c r="K109" s="43"/>
      <c r="L109" s="43" t="s">
        <v>131</v>
      </c>
      <c r="M109" s="43" t="s">
        <v>772</v>
      </c>
      <c r="N109" s="43">
        <v>1.0</v>
      </c>
      <c r="O109" s="43">
        <v>7.0</v>
      </c>
      <c r="P109" s="43"/>
      <c r="Q109" s="43" t="s">
        <v>1251</v>
      </c>
      <c r="R109" s="43" t="s">
        <v>1252</v>
      </c>
      <c r="S109" s="53" t="s">
        <v>1253</v>
      </c>
      <c r="T109" s="59">
        <v>0.0</v>
      </c>
      <c r="U109" s="43"/>
      <c r="V109" s="43"/>
      <c r="W109" s="43"/>
      <c r="X109" s="50"/>
      <c r="Y109" s="50"/>
    </row>
    <row r="110" ht="12.75" hidden="1" customHeight="1">
      <c r="A110" s="43">
        <v>100.0</v>
      </c>
      <c r="B110" s="43" t="s">
        <v>100</v>
      </c>
      <c r="C110" s="43" t="s">
        <v>1189</v>
      </c>
      <c r="D110" s="43"/>
      <c r="E110" s="43" t="s">
        <v>770</v>
      </c>
      <c r="F110" s="43" t="s">
        <v>70</v>
      </c>
      <c r="G110" s="44">
        <v>2500000.0</v>
      </c>
      <c r="H110" s="43">
        <v>0.0</v>
      </c>
      <c r="I110" s="43" t="s">
        <v>781</v>
      </c>
      <c r="J110" s="43"/>
      <c r="K110" s="43"/>
      <c r="L110" s="43" t="s">
        <v>131</v>
      </c>
      <c r="M110" s="43" t="s">
        <v>772</v>
      </c>
      <c r="N110" s="43">
        <v>1.0</v>
      </c>
      <c r="O110" s="43">
        <v>7.0</v>
      </c>
      <c r="P110" s="43"/>
      <c r="Q110" s="43" t="s">
        <v>1254</v>
      </c>
      <c r="R110" s="43" t="s">
        <v>1255</v>
      </c>
      <c r="S110" s="53" t="s">
        <v>1256</v>
      </c>
      <c r="T110" s="59">
        <v>0.0</v>
      </c>
      <c r="U110" s="43"/>
      <c r="V110" s="43"/>
      <c r="W110" s="43"/>
      <c r="X110" s="50"/>
      <c r="Y110" s="50"/>
    </row>
    <row r="111" ht="12.75" hidden="1" customHeight="1">
      <c r="A111" s="43">
        <v>101.0</v>
      </c>
      <c r="B111" s="43" t="s">
        <v>100</v>
      </c>
      <c r="C111" s="43" t="s">
        <v>1189</v>
      </c>
      <c r="D111" s="43"/>
      <c r="E111" s="43" t="s">
        <v>770</v>
      </c>
      <c r="F111" s="43" t="s">
        <v>70</v>
      </c>
      <c r="G111" s="44">
        <v>2500000.0</v>
      </c>
      <c r="H111" s="43">
        <v>0.0</v>
      </c>
      <c r="I111" s="43" t="s">
        <v>781</v>
      </c>
      <c r="J111" s="43"/>
      <c r="K111" s="43"/>
      <c r="L111" s="43" t="s">
        <v>131</v>
      </c>
      <c r="M111" s="43" t="s">
        <v>772</v>
      </c>
      <c r="N111" s="43">
        <v>1.0</v>
      </c>
      <c r="O111" s="43">
        <v>7.0</v>
      </c>
      <c r="P111" s="43"/>
      <c r="Q111" s="43" t="s">
        <v>1257</v>
      </c>
      <c r="R111" s="43" t="s">
        <v>1258</v>
      </c>
      <c r="S111" s="53" t="s">
        <v>1259</v>
      </c>
      <c r="T111" s="59">
        <v>0.0</v>
      </c>
      <c r="U111" s="43"/>
      <c r="V111" s="43"/>
      <c r="W111" s="43"/>
      <c r="X111" s="50"/>
      <c r="Y111" s="50"/>
    </row>
    <row r="112" ht="12.75" customHeight="1">
      <c r="A112" s="68">
        <v>102.0</v>
      </c>
      <c r="B112" s="68" t="s">
        <v>100</v>
      </c>
      <c r="C112" s="68" t="s">
        <v>1189</v>
      </c>
      <c r="D112" s="69" t="s">
        <v>1260</v>
      </c>
      <c r="E112" s="68" t="s">
        <v>770</v>
      </c>
      <c r="F112" s="68" t="s">
        <v>70</v>
      </c>
      <c r="G112" s="70">
        <v>2500000.0</v>
      </c>
      <c r="H112" s="68">
        <v>0.0</v>
      </c>
      <c r="I112" s="68" t="s">
        <v>781</v>
      </c>
      <c r="J112" s="69" t="s">
        <v>1260</v>
      </c>
      <c r="K112" s="68"/>
      <c r="L112" s="68" t="s">
        <v>131</v>
      </c>
      <c r="M112" s="68" t="s">
        <v>772</v>
      </c>
      <c r="N112" s="68">
        <v>1.0</v>
      </c>
      <c r="O112" s="68">
        <v>7.0</v>
      </c>
      <c r="P112" s="68"/>
      <c r="Q112" s="68" t="s">
        <v>1261</v>
      </c>
      <c r="R112" s="68" t="s">
        <v>1262</v>
      </c>
      <c r="S112" s="72" t="s">
        <v>1263</v>
      </c>
      <c r="T112" s="73">
        <v>0.0</v>
      </c>
      <c r="U112" s="68"/>
      <c r="V112" s="69" t="s">
        <v>998</v>
      </c>
      <c r="W112" s="69" t="s">
        <v>1226</v>
      </c>
      <c r="X112" s="93"/>
      <c r="Y112" s="52"/>
    </row>
    <row r="113" ht="12.75" hidden="1" customHeight="1">
      <c r="A113" s="43">
        <v>103.0</v>
      </c>
      <c r="B113" s="43" t="s">
        <v>100</v>
      </c>
      <c r="C113" s="43" t="s">
        <v>100</v>
      </c>
      <c r="D113" s="43"/>
      <c r="E113" s="43" t="s">
        <v>770</v>
      </c>
      <c r="F113" s="43" t="s">
        <v>70</v>
      </c>
      <c r="G113" s="44">
        <v>2500000.0</v>
      </c>
      <c r="H113" s="43">
        <v>0.0</v>
      </c>
      <c r="I113" s="43" t="s">
        <v>781</v>
      </c>
      <c r="J113" s="43"/>
      <c r="K113" s="43"/>
      <c r="L113" s="43" t="s">
        <v>131</v>
      </c>
      <c r="M113" s="43" t="s">
        <v>772</v>
      </c>
      <c r="N113" s="43">
        <v>1.0</v>
      </c>
      <c r="O113" s="43">
        <v>7.0</v>
      </c>
      <c r="P113" s="43"/>
      <c r="Q113" s="43" t="s">
        <v>1264</v>
      </c>
      <c r="R113" s="43" t="s">
        <v>1265</v>
      </c>
      <c r="S113" s="53" t="s">
        <v>1266</v>
      </c>
      <c r="T113" s="59">
        <v>0.0</v>
      </c>
      <c r="U113" s="43"/>
      <c r="V113" s="43"/>
      <c r="W113" s="43"/>
      <c r="X113" s="50"/>
      <c r="Y113" s="50"/>
    </row>
    <row r="114" ht="12.75" hidden="1" customHeight="1">
      <c r="A114" s="43">
        <v>104.0</v>
      </c>
      <c r="B114" s="43" t="s">
        <v>100</v>
      </c>
      <c r="C114" s="43" t="s">
        <v>1189</v>
      </c>
      <c r="D114" s="43"/>
      <c r="E114" s="43" t="s">
        <v>770</v>
      </c>
      <c r="F114" s="43" t="s">
        <v>70</v>
      </c>
      <c r="G114" s="44">
        <v>2500000.0</v>
      </c>
      <c r="H114" s="43">
        <v>0.0</v>
      </c>
      <c r="I114" s="43" t="s">
        <v>781</v>
      </c>
      <c r="J114" s="43"/>
      <c r="K114" s="43"/>
      <c r="L114" s="43" t="s">
        <v>131</v>
      </c>
      <c r="M114" s="43" t="s">
        <v>772</v>
      </c>
      <c r="N114" s="43">
        <v>1.0</v>
      </c>
      <c r="O114" s="43">
        <v>7.0</v>
      </c>
      <c r="P114" s="43"/>
      <c r="Q114" s="43" t="s">
        <v>1267</v>
      </c>
      <c r="R114" s="43" t="s">
        <v>1268</v>
      </c>
      <c r="S114" s="53" t="s">
        <v>1269</v>
      </c>
      <c r="T114" s="59">
        <v>0.0</v>
      </c>
      <c r="U114" s="43"/>
      <c r="V114" s="43" t="s">
        <v>1270</v>
      </c>
      <c r="W114" s="43"/>
      <c r="X114" s="50"/>
      <c r="Y114" s="50"/>
    </row>
    <row r="115" ht="12.75" hidden="1" customHeight="1">
      <c r="A115" s="43">
        <v>105.0</v>
      </c>
      <c r="B115" s="43" t="s">
        <v>100</v>
      </c>
      <c r="C115" s="43" t="s">
        <v>100</v>
      </c>
      <c r="D115" s="43"/>
      <c r="E115" s="43" t="s">
        <v>770</v>
      </c>
      <c r="F115" s="43" t="s">
        <v>70</v>
      </c>
      <c r="G115" s="44">
        <v>2500000.0</v>
      </c>
      <c r="H115" s="43">
        <v>0.0</v>
      </c>
      <c r="I115" s="43" t="s">
        <v>781</v>
      </c>
      <c r="J115" s="51" t="s">
        <v>1271</v>
      </c>
      <c r="K115" s="43"/>
      <c r="L115" s="43" t="s">
        <v>1272</v>
      </c>
      <c r="M115" s="43" t="s">
        <v>772</v>
      </c>
      <c r="N115" s="43">
        <v>1.0</v>
      </c>
      <c r="O115" s="43">
        <v>7.0</v>
      </c>
      <c r="P115" s="43"/>
      <c r="Q115" s="46" t="s">
        <v>1273</v>
      </c>
      <c r="R115" s="46" t="s">
        <v>1274</v>
      </c>
      <c r="S115" s="47" t="s">
        <v>1275</v>
      </c>
      <c r="T115" s="85" t="s">
        <v>1276</v>
      </c>
      <c r="U115" s="46" t="s">
        <v>777</v>
      </c>
      <c r="V115" s="43" t="s">
        <v>1250</v>
      </c>
      <c r="W115" s="51"/>
      <c r="X115" s="50"/>
      <c r="Y115" s="50"/>
    </row>
    <row r="116" ht="12.75" hidden="1" customHeight="1">
      <c r="A116" s="43">
        <v>106.0</v>
      </c>
      <c r="B116" s="43" t="s">
        <v>100</v>
      </c>
      <c r="C116" s="43" t="s">
        <v>1189</v>
      </c>
      <c r="D116" s="43"/>
      <c r="E116" s="43" t="s">
        <v>770</v>
      </c>
      <c r="F116" s="43" t="s">
        <v>70</v>
      </c>
      <c r="G116" s="44">
        <v>3000000.0</v>
      </c>
      <c r="H116" s="43">
        <v>0.0</v>
      </c>
      <c r="I116" s="43" t="s">
        <v>781</v>
      </c>
      <c r="J116" s="51" t="s">
        <v>1277</v>
      </c>
      <c r="K116" s="43"/>
      <c r="L116" s="43" t="s">
        <v>1272</v>
      </c>
      <c r="M116" s="43" t="s">
        <v>772</v>
      </c>
      <c r="N116" s="43">
        <v>1.0</v>
      </c>
      <c r="O116" s="43">
        <v>7.0</v>
      </c>
      <c r="P116" s="43"/>
      <c r="Q116" s="46" t="s">
        <v>1278</v>
      </c>
      <c r="R116" s="46" t="s">
        <v>1279</v>
      </c>
      <c r="S116" s="47" t="s">
        <v>1280</v>
      </c>
      <c r="T116" s="85" t="s">
        <v>1281</v>
      </c>
      <c r="U116" s="46" t="s">
        <v>777</v>
      </c>
      <c r="V116" s="43" t="s">
        <v>1250</v>
      </c>
      <c r="W116" s="51"/>
      <c r="X116" s="50"/>
      <c r="Y116" s="50"/>
    </row>
    <row r="117" ht="12.75" hidden="1" customHeight="1">
      <c r="A117" s="43">
        <v>107.0</v>
      </c>
      <c r="B117" s="43" t="s">
        <v>100</v>
      </c>
      <c r="C117" s="43" t="s">
        <v>1189</v>
      </c>
      <c r="D117" s="43"/>
      <c r="E117" s="43" t="s">
        <v>770</v>
      </c>
      <c r="F117" s="43" t="s">
        <v>70</v>
      </c>
      <c r="G117" s="44">
        <v>6000000.0</v>
      </c>
      <c r="H117" s="43">
        <v>0.0</v>
      </c>
      <c r="I117" s="43" t="s">
        <v>781</v>
      </c>
      <c r="J117" s="43"/>
      <c r="K117" s="43"/>
      <c r="L117" s="43" t="s">
        <v>1272</v>
      </c>
      <c r="M117" s="43" t="s">
        <v>772</v>
      </c>
      <c r="N117" s="43">
        <v>1.0</v>
      </c>
      <c r="O117" s="43">
        <v>7.0</v>
      </c>
      <c r="P117" s="43"/>
      <c r="Q117" s="43" t="s">
        <v>1282</v>
      </c>
      <c r="R117" s="43"/>
      <c r="S117" s="53"/>
      <c r="T117" s="59">
        <v>0.0</v>
      </c>
      <c r="U117" s="43"/>
      <c r="V117" s="43"/>
      <c r="W117" s="43"/>
      <c r="X117" s="50"/>
      <c r="Y117" s="50"/>
    </row>
    <row r="118" ht="12.75" hidden="1" customHeight="1">
      <c r="A118" s="43">
        <v>108.0</v>
      </c>
      <c r="B118" s="43" t="s">
        <v>100</v>
      </c>
      <c r="C118" s="43" t="s">
        <v>100</v>
      </c>
      <c r="D118" s="43"/>
      <c r="E118" s="43" t="s">
        <v>770</v>
      </c>
      <c r="F118" s="43" t="s">
        <v>70</v>
      </c>
      <c r="G118" s="44">
        <v>4000000.0</v>
      </c>
      <c r="H118" s="43">
        <v>0.0</v>
      </c>
      <c r="I118" s="43" t="s">
        <v>781</v>
      </c>
      <c r="J118" s="43"/>
      <c r="K118" s="43"/>
      <c r="L118" s="43" t="s">
        <v>1272</v>
      </c>
      <c r="M118" s="43" t="s">
        <v>772</v>
      </c>
      <c r="N118" s="43">
        <v>1.0</v>
      </c>
      <c r="O118" s="43">
        <v>7.0</v>
      </c>
      <c r="P118" s="43"/>
      <c r="Q118" s="43" t="s">
        <v>1283</v>
      </c>
      <c r="R118" s="43"/>
      <c r="S118" s="53"/>
      <c r="T118" s="59">
        <v>0.0</v>
      </c>
      <c r="U118" s="43"/>
      <c r="V118" s="43"/>
      <c r="W118" s="43"/>
      <c r="X118" s="50"/>
      <c r="Y118" s="50"/>
    </row>
    <row r="119" ht="12.75" hidden="1" customHeight="1">
      <c r="A119" s="43">
        <v>109.0</v>
      </c>
      <c r="B119" s="43" t="s">
        <v>100</v>
      </c>
      <c r="C119" s="43" t="s">
        <v>1189</v>
      </c>
      <c r="D119" s="43"/>
      <c r="E119" s="43" t="s">
        <v>770</v>
      </c>
      <c r="F119" s="43" t="s">
        <v>70</v>
      </c>
      <c r="G119" s="44">
        <v>6000000.0</v>
      </c>
      <c r="H119" s="43">
        <v>0.0</v>
      </c>
      <c r="I119" s="43" t="s">
        <v>781</v>
      </c>
      <c r="J119" s="43"/>
      <c r="K119" s="43"/>
      <c r="L119" s="43" t="s">
        <v>1284</v>
      </c>
      <c r="M119" s="43" t="s">
        <v>772</v>
      </c>
      <c r="N119" s="43">
        <v>1.0</v>
      </c>
      <c r="O119" s="43">
        <v>7.0</v>
      </c>
      <c r="P119" s="43"/>
      <c r="Q119" s="43" t="s">
        <v>1285</v>
      </c>
      <c r="R119" s="43" t="s">
        <v>1286</v>
      </c>
      <c r="S119" s="53" t="s">
        <v>1287</v>
      </c>
      <c r="T119" s="59">
        <v>0.0</v>
      </c>
      <c r="U119" s="43"/>
      <c r="V119" s="43" t="s">
        <v>963</v>
      </c>
      <c r="W119" s="43"/>
      <c r="X119" s="50"/>
      <c r="Y119" s="50"/>
    </row>
    <row r="120" ht="12.75" customHeight="1">
      <c r="A120" s="68">
        <v>110.0</v>
      </c>
      <c r="B120" s="68" t="s">
        <v>100</v>
      </c>
      <c r="C120" s="68" t="s">
        <v>1189</v>
      </c>
      <c r="D120" s="69" t="s">
        <v>1288</v>
      </c>
      <c r="E120" s="68" t="s">
        <v>770</v>
      </c>
      <c r="F120" s="68" t="s">
        <v>70</v>
      </c>
      <c r="G120" s="70">
        <v>2500000.0</v>
      </c>
      <c r="H120" s="68">
        <v>0.0</v>
      </c>
      <c r="I120" s="68" t="s">
        <v>781</v>
      </c>
      <c r="J120" s="69" t="s">
        <v>1288</v>
      </c>
      <c r="K120" s="68"/>
      <c r="L120" s="68" t="s">
        <v>1284</v>
      </c>
      <c r="M120" s="68" t="s">
        <v>772</v>
      </c>
      <c r="N120" s="68">
        <v>1.0</v>
      </c>
      <c r="O120" s="68">
        <v>7.0</v>
      </c>
      <c r="P120" s="68"/>
      <c r="Q120" s="68" t="s">
        <v>1289</v>
      </c>
      <c r="R120" s="68" t="s">
        <v>1290</v>
      </c>
      <c r="S120" s="72" t="s">
        <v>1291</v>
      </c>
      <c r="T120" s="73">
        <v>0.0</v>
      </c>
      <c r="U120" s="68"/>
      <c r="V120" s="69" t="s">
        <v>998</v>
      </c>
      <c r="W120" s="69" t="s">
        <v>1226</v>
      </c>
      <c r="X120" s="93"/>
      <c r="Y120" s="52"/>
    </row>
    <row r="121" ht="12.75" hidden="1" customHeight="1">
      <c r="A121" s="43">
        <v>111.0</v>
      </c>
      <c r="B121" s="43" t="s">
        <v>100</v>
      </c>
      <c r="C121" s="43" t="s">
        <v>1189</v>
      </c>
      <c r="D121" s="43"/>
      <c r="E121" s="43" t="s">
        <v>770</v>
      </c>
      <c r="F121" s="43" t="s">
        <v>70</v>
      </c>
      <c r="G121" s="44">
        <v>4700000.0</v>
      </c>
      <c r="H121" s="43">
        <v>0.0</v>
      </c>
      <c r="I121" s="43" t="s">
        <v>781</v>
      </c>
      <c r="J121" s="43"/>
      <c r="K121" s="43"/>
      <c r="L121" s="43" t="s">
        <v>29</v>
      </c>
      <c r="M121" s="43" t="s">
        <v>772</v>
      </c>
      <c r="N121" s="43">
        <v>1.0</v>
      </c>
      <c r="O121" s="43">
        <v>7.0</v>
      </c>
      <c r="P121" s="43"/>
      <c r="Q121" s="43" t="s">
        <v>1292</v>
      </c>
      <c r="R121" s="43" t="s">
        <v>1293</v>
      </c>
      <c r="S121" s="53" t="s">
        <v>1294</v>
      </c>
      <c r="T121" s="59">
        <v>0.0</v>
      </c>
      <c r="U121" s="43"/>
      <c r="V121" s="43"/>
      <c r="W121" s="43"/>
      <c r="X121" s="50"/>
      <c r="Y121" s="50"/>
    </row>
    <row r="122" ht="12.75" hidden="1" customHeight="1">
      <c r="A122" s="43">
        <v>112.0</v>
      </c>
      <c r="B122" s="43" t="s">
        <v>100</v>
      </c>
      <c r="C122" s="43" t="s">
        <v>1189</v>
      </c>
      <c r="D122" s="43"/>
      <c r="E122" s="43" t="s">
        <v>770</v>
      </c>
      <c r="F122" s="43" t="s">
        <v>70</v>
      </c>
      <c r="G122" s="44">
        <v>4500000.0</v>
      </c>
      <c r="H122" s="43">
        <v>0.0</v>
      </c>
      <c r="I122" s="43" t="s">
        <v>781</v>
      </c>
      <c r="J122" s="51" t="s">
        <v>1271</v>
      </c>
      <c r="K122" s="43"/>
      <c r="L122" s="43" t="s">
        <v>29</v>
      </c>
      <c r="M122" s="43" t="s">
        <v>772</v>
      </c>
      <c r="N122" s="43">
        <v>1.0</v>
      </c>
      <c r="O122" s="43">
        <v>7.0</v>
      </c>
      <c r="P122" s="43"/>
      <c r="Q122" s="46" t="s">
        <v>1295</v>
      </c>
      <c r="R122" s="46" t="s">
        <v>1296</v>
      </c>
      <c r="S122" s="47" t="s">
        <v>1297</v>
      </c>
      <c r="T122" s="85" t="s">
        <v>1298</v>
      </c>
      <c r="U122" s="46" t="s">
        <v>777</v>
      </c>
      <c r="V122" s="43" t="s">
        <v>1250</v>
      </c>
      <c r="W122" s="51"/>
      <c r="X122" s="50"/>
      <c r="Y122" s="50"/>
    </row>
    <row r="123" ht="12.75" hidden="1" customHeight="1">
      <c r="A123" s="43">
        <v>113.0</v>
      </c>
      <c r="B123" s="43" t="s">
        <v>100</v>
      </c>
      <c r="C123" s="43" t="s">
        <v>1189</v>
      </c>
      <c r="D123" s="43"/>
      <c r="E123" s="43" t="s">
        <v>770</v>
      </c>
      <c r="F123" s="43" t="s">
        <v>70</v>
      </c>
      <c r="G123" s="44">
        <v>3000000.0</v>
      </c>
      <c r="H123" s="43">
        <v>0.0</v>
      </c>
      <c r="I123" s="43" t="s">
        <v>781</v>
      </c>
      <c r="J123" s="51" t="s">
        <v>1271</v>
      </c>
      <c r="K123" s="43"/>
      <c r="L123" s="43" t="s">
        <v>29</v>
      </c>
      <c r="M123" s="43" t="s">
        <v>772</v>
      </c>
      <c r="N123" s="43">
        <v>1.0</v>
      </c>
      <c r="O123" s="43">
        <v>7.0</v>
      </c>
      <c r="P123" s="43"/>
      <c r="Q123" s="46" t="s">
        <v>1299</v>
      </c>
      <c r="R123" s="46" t="s">
        <v>1300</v>
      </c>
      <c r="S123" s="47" t="s">
        <v>1301</v>
      </c>
      <c r="T123" s="85" t="s">
        <v>1302</v>
      </c>
      <c r="U123" s="46" t="s">
        <v>777</v>
      </c>
      <c r="V123" s="43" t="s">
        <v>1250</v>
      </c>
      <c r="W123" s="51"/>
      <c r="X123" s="50"/>
      <c r="Y123" s="50"/>
    </row>
    <row r="124" ht="12.75" hidden="1" customHeight="1">
      <c r="A124" s="43">
        <v>114.0</v>
      </c>
      <c r="B124" s="43" t="s">
        <v>100</v>
      </c>
      <c r="C124" s="43" t="s">
        <v>100</v>
      </c>
      <c r="D124" s="43"/>
      <c r="E124" s="43" t="s">
        <v>770</v>
      </c>
      <c r="F124" s="43" t="s">
        <v>70</v>
      </c>
      <c r="G124" s="44">
        <v>3500000.0</v>
      </c>
      <c r="H124" s="43">
        <v>0.0</v>
      </c>
      <c r="I124" s="43" t="s">
        <v>781</v>
      </c>
      <c r="J124" s="43"/>
      <c r="K124" s="43"/>
      <c r="L124" s="43" t="s">
        <v>29</v>
      </c>
      <c r="M124" s="43" t="s">
        <v>772</v>
      </c>
      <c r="N124" s="43">
        <v>1.0</v>
      </c>
      <c r="O124" s="43">
        <v>7.0</v>
      </c>
      <c r="P124" s="43"/>
      <c r="Q124" s="46" t="s">
        <v>1303</v>
      </c>
      <c r="R124" s="46" t="s">
        <v>1304</v>
      </c>
      <c r="S124" s="47" t="s">
        <v>1305</v>
      </c>
      <c r="T124" s="48" t="s">
        <v>1306</v>
      </c>
      <c r="U124" s="46" t="s">
        <v>777</v>
      </c>
      <c r="V124" s="43"/>
      <c r="W124" s="43"/>
      <c r="X124" s="50"/>
      <c r="Y124" s="50"/>
    </row>
    <row r="125" ht="12.75" hidden="1" customHeight="1">
      <c r="A125" s="43">
        <v>115.0</v>
      </c>
      <c r="B125" s="43" t="s">
        <v>100</v>
      </c>
      <c r="C125" s="43" t="s">
        <v>1189</v>
      </c>
      <c r="D125" s="43"/>
      <c r="E125" s="43" t="s">
        <v>770</v>
      </c>
      <c r="F125" s="43" t="s">
        <v>70</v>
      </c>
      <c r="G125" s="44">
        <v>2500000.0</v>
      </c>
      <c r="H125" s="43">
        <v>0.0</v>
      </c>
      <c r="I125" s="43" t="s">
        <v>781</v>
      </c>
      <c r="J125" s="43"/>
      <c r="K125" s="43"/>
      <c r="L125" s="43" t="s">
        <v>29</v>
      </c>
      <c r="M125" s="43" t="s">
        <v>772</v>
      </c>
      <c r="N125" s="43">
        <v>1.0</v>
      </c>
      <c r="O125" s="43">
        <v>7.0</v>
      </c>
      <c r="P125" s="43"/>
      <c r="Q125" s="43" t="s">
        <v>1307</v>
      </c>
      <c r="R125" s="43" t="s">
        <v>1308</v>
      </c>
      <c r="S125" s="53" t="s">
        <v>1309</v>
      </c>
      <c r="T125" s="59">
        <v>0.0</v>
      </c>
      <c r="U125" s="43"/>
      <c r="V125" s="43"/>
      <c r="W125" s="43"/>
      <c r="X125" s="50"/>
      <c r="Y125" s="50"/>
    </row>
    <row r="126" ht="12.75" hidden="1" customHeight="1">
      <c r="A126" s="43">
        <v>116.0</v>
      </c>
      <c r="B126" s="43" t="s">
        <v>100</v>
      </c>
      <c r="C126" s="43" t="s">
        <v>1189</v>
      </c>
      <c r="D126" s="43"/>
      <c r="E126" s="43" t="s">
        <v>770</v>
      </c>
      <c r="F126" s="43" t="s">
        <v>70</v>
      </c>
      <c r="G126" s="44">
        <v>3000000.0</v>
      </c>
      <c r="H126" s="43">
        <v>0.0</v>
      </c>
      <c r="I126" s="43" t="s">
        <v>781</v>
      </c>
      <c r="J126" s="43"/>
      <c r="K126" s="43"/>
      <c r="L126" s="43" t="s">
        <v>29</v>
      </c>
      <c r="M126" s="43" t="s">
        <v>772</v>
      </c>
      <c r="N126" s="43">
        <v>1.0</v>
      </c>
      <c r="O126" s="43">
        <v>7.0</v>
      </c>
      <c r="P126" s="43"/>
      <c r="Q126" s="43" t="s">
        <v>1310</v>
      </c>
      <c r="R126" s="43" t="s">
        <v>1311</v>
      </c>
      <c r="S126" s="53" t="s">
        <v>1312</v>
      </c>
      <c r="T126" s="59">
        <v>0.0</v>
      </c>
      <c r="U126" s="43"/>
      <c r="V126" s="43"/>
      <c r="W126" s="43"/>
      <c r="X126" s="50"/>
      <c r="Y126" s="50"/>
    </row>
    <row r="127" ht="12.75" hidden="1" customHeight="1">
      <c r="A127" s="43">
        <v>117.0</v>
      </c>
      <c r="B127" s="43" t="s">
        <v>100</v>
      </c>
      <c r="C127" s="43" t="s">
        <v>1189</v>
      </c>
      <c r="D127" s="43"/>
      <c r="E127" s="43" t="s">
        <v>770</v>
      </c>
      <c r="F127" s="43" t="s">
        <v>70</v>
      </c>
      <c r="G127" s="44">
        <v>4500000.0</v>
      </c>
      <c r="H127" s="43">
        <v>0.0</v>
      </c>
      <c r="I127" s="43" t="s">
        <v>781</v>
      </c>
      <c r="J127" s="51" t="s">
        <v>1313</v>
      </c>
      <c r="K127" s="43"/>
      <c r="L127" s="43" t="s">
        <v>29</v>
      </c>
      <c r="M127" s="43" t="s">
        <v>772</v>
      </c>
      <c r="N127" s="43">
        <v>1.0</v>
      </c>
      <c r="O127" s="43">
        <v>7.0</v>
      </c>
      <c r="P127" s="43"/>
      <c r="Q127" s="46" t="s">
        <v>1314</v>
      </c>
      <c r="R127" s="46" t="s">
        <v>1315</v>
      </c>
      <c r="S127" s="47" t="s">
        <v>1287</v>
      </c>
      <c r="T127" s="85" t="s">
        <v>1316</v>
      </c>
      <c r="U127" s="46" t="s">
        <v>777</v>
      </c>
      <c r="V127" s="43" t="s">
        <v>1250</v>
      </c>
      <c r="W127" s="51"/>
      <c r="X127" s="50"/>
      <c r="Y127" s="50"/>
    </row>
    <row r="128" ht="12.75" customHeight="1">
      <c r="A128" s="43">
        <v>118.0</v>
      </c>
      <c r="B128" s="43" t="s">
        <v>100</v>
      </c>
      <c r="C128" s="43" t="s">
        <v>100</v>
      </c>
      <c r="D128" s="51" t="s">
        <v>144</v>
      </c>
      <c r="E128" s="43" t="s">
        <v>770</v>
      </c>
      <c r="F128" s="43" t="s">
        <v>70</v>
      </c>
      <c r="G128" s="44">
        <v>4500000.0</v>
      </c>
      <c r="H128" s="43">
        <v>0.0</v>
      </c>
      <c r="I128" s="43" t="s">
        <v>781</v>
      </c>
      <c r="J128" s="51" t="s">
        <v>144</v>
      </c>
      <c r="K128" s="43"/>
      <c r="L128" s="43" t="s">
        <v>29</v>
      </c>
      <c r="M128" s="43" t="s">
        <v>772</v>
      </c>
      <c r="N128" s="43">
        <v>1.0</v>
      </c>
      <c r="O128" s="43">
        <v>7.0</v>
      </c>
      <c r="P128" s="43"/>
      <c r="Q128" s="46" t="s">
        <v>1317</v>
      </c>
      <c r="R128" s="46" t="s">
        <v>1318</v>
      </c>
      <c r="S128" s="47" t="s">
        <v>1319</v>
      </c>
      <c r="T128" s="48" t="s">
        <v>1320</v>
      </c>
      <c r="U128" s="46" t="s">
        <v>777</v>
      </c>
      <c r="V128" s="43" t="s">
        <v>941</v>
      </c>
      <c r="W128" s="51" t="s">
        <v>1226</v>
      </c>
      <c r="X128" s="65"/>
      <c r="Y128" s="52"/>
    </row>
    <row r="129" ht="12.75" hidden="1" customHeight="1">
      <c r="A129" s="43">
        <v>119.0</v>
      </c>
      <c r="B129" s="43" t="s">
        <v>100</v>
      </c>
      <c r="C129" s="43" t="s">
        <v>100</v>
      </c>
      <c r="D129" s="43"/>
      <c r="E129" s="43" t="s">
        <v>770</v>
      </c>
      <c r="F129" s="43" t="s">
        <v>70</v>
      </c>
      <c r="G129" s="44">
        <v>1.1835E7</v>
      </c>
      <c r="H129" s="43">
        <v>0.0</v>
      </c>
      <c r="I129" s="43" t="s">
        <v>781</v>
      </c>
      <c r="J129" s="43"/>
      <c r="K129" s="43"/>
      <c r="L129" s="43" t="s">
        <v>145</v>
      </c>
      <c r="M129" s="43" t="s">
        <v>772</v>
      </c>
      <c r="N129" s="43">
        <v>1.0</v>
      </c>
      <c r="O129" s="43">
        <v>7.0</v>
      </c>
      <c r="P129" s="43"/>
      <c r="Q129" s="46" t="s">
        <v>1321</v>
      </c>
      <c r="R129" s="46" t="s">
        <v>1322</v>
      </c>
      <c r="S129" s="47" t="s">
        <v>1323</v>
      </c>
      <c r="T129" s="48" t="s">
        <v>1324</v>
      </c>
      <c r="U129" s="46" t="s">
        <v>777</v>
      </c>
      <c r="V129" s="43" t="s">
        <v>952</v>
      </c>
      <c r="W129" s="43"/>
      <c r="X129" s="50"/>
      <c r="Y129" s="50"/>
    </row>
    <row r="130" ht="12.75" hidden="1" customHeight="1">
      <c r="A130" s="43">
        <v>120.0</v>
      </c>
      <c r="B130" s="43" t="s">
        <v>100</v>
      </c>
      <c r="C130" s="43" t="s">
        <v>100</v>
      </c>
      <c r="D130" s="43"/>
      <c r="E130" s="43" t="s">
        <v>770</v>
      </c>
      <c r="F130" s="43" t="s">
        <v>70</v>
      </c>
      <c r="G130" s="44">
        <v>1.1835E7</v>
      </c>
      <c r="H130" s="43">
        <v>0.0</v>
      </c>
      <c r="I130" s="43" t="s">
        <v>781</v>
      </c>
      <c r="J130" s="43"/>
      <c r="K130" s="43"/>
      <c r="L130" s="43" t="s">
        <v>145</v>
      </c>
      <c r="M130" s="43" t="s">
        <v>772</v>
      </c>
      <c r="N130" s="43">
        <v>1.0</v>
      </c>
      <c r="O130" s="43">
        <v>7.0</v>
      </c>
      <c r="P130" s="43"/>
      <c r="Q130" s="46" t="s">
        <v>1325</v>
      </c>
      <c r="R130" s="46" t="s">
        <v>1326</v>
      </c>
      <c r="S130" s="47" t="s">
        <v>1327</v>
      </c>
      <c r="T130" s="48" t="s">
        <v>1328</v>
      </c>
      <c r="U130" s="46" t="s">
        <v>777</v>
      </c>
      <c r="V130" s="43" t="s">
        <v>952</v>
      </c>
      <c r="W130" s="43"/>
      <c r="X130" s="50"/>
      <c r="Y130" s="50"/>
    </row>
    <row r="131" ht="12.75" hidden="1" customHeight="1">
      <c r="A131" s="68">
        <v>121.0</v>
      </c>
      <c r="B131" s="68" t="s">
        <v>100</v>
      </c>
      <c r="C131" s="68" t="s">
        <v>100</v>
      </c>
      <c r="D131" s="68"/>
      <c r="E131" s="68" t="s">
        <v>770</v>
      </c>
      <c r="F131" s="68" t="s">
        <v>70</v>
      </c>
      <c r="G131" s="70">
        <v>1.1835E7</v>
      </c>
      <c r="H131" s="68">
        <v>0.0</v>
      </c>
      <c r="I131" s="68" t="s">
        <v>781</v>
      </c>
      <c r="J131" s="68"/>
      <c r="K131" s="68"/>
      <c r="L131" s="68" t="s">
        <v>145</v>
      </c>
      <c r="M131" s="68" t="s">
        <v>772</v>
      </c>
      <c r="N131" s="68">
        <v>1.0</v>
      </c>
      <c r="O131" s="68">
        <v>7.0</v>
      </c>
      <c r="P131" s="68"/>
      <c r="Q131" s="94" t="s">
        <v>1329</v>
      </c>
      <c r="R131" s="94" t="s">
        <v>1330</v>
      </c>
      <c r="S131" s="95" t="s">
        <v>1331</v>
      </c>
      <c r="T131" s="96" t="s">
        <v>1332</v>
      </c>
      <c r="U131" s="94" t="s">
        <v>777</v>
      </c>
      <c r="V131" s="68" t="s">
        <v>1333</v>
      </c>
      <c r="W131" s="69" t="s">
        <v>1334</v>
      </c>
      <c r="X131" s="75"/>
      <c r="Y131" s="76"/>
    </row>
    <row r="132" ht="12.75" customHeight="1">
      <c r="A132" s="43">
        <v>122.0</v>
      </c>
      <c r="B132" s="43" t="s">
        <v>100</v>
      </c>
      <c r="C132" s="43" t="s">
        <v>100</v>
      </c>
      <c r="D132" s="43"/>
      <c r="E132" s="43" t="s">
        <v>770</v>
      </c>
      <c r="F132" s="43" t="s">
        <v>70</v>
      </c>
      <c r="G132" s="44">
        <v>8000000.0</v>
      </c>
      <c r="H132" s="43">
        <v>0.0</v>
      </c>
      <c r="I132" s="43" t="s">
        <v>781</v>
      </c>
      <c r="J132" s="43"/>
      <c r="K132" s="43"/>
      <c r="L132" s="43" t="s">
        <v>145</v>
      </c>
      <c r="M132" s="43" t="s">
        <v>772</v>
      </c>
      <c r="N132" s="43">
        <v>1.0</v>
      </c>
      <c r="O132" s="43">
        <v>7.0</v>
      </c>
      <c r="P132" s="43"/>
      <c r="Q132" s="46" t="s">
        <v>1335</v>
      </c>
      <c r="R132" s="46" t="s">
        <v>1336</v>
      </c>
      <c r="S132" s="47" t="s">
        <v>1337</v>
      </c>
      <c r="T132" s="48" t="s">
        <v>1338</v>
      </c>
      <c r="U132" s="46" t="s">
        <v>777</v>
      </c>
      <c r="V132" s="43" t="s">
        <v>1339</v>
      </c>
      <c r="W132" s="51" t="s">
        <v>1226</v>
      </c>
      <c r="X132" s="65"/>
      <c r="Y132" s="52"/>
    </row>
    <row r="133" ht="12.75" hidden="1" customHeight="1">
      <c r="A133" s="43">
        <v>123.0</v>
      </c>
      <c r="B133" s="43" t="s">
        <v>100</v>
      </c>
      <c r="C133" s="43" t="s">
        <v>100</v>
      </c>
      <c r="D133" s="43"/>
      <c r="E133" s="43" t="s">
        <v>770</v>
      </c>
      <c r="F133" s="43" t="s">
        <v>70</v>
      </c>
      <c r="G133" s="44">
        <v>8000000.0</v>
      </c>
      <c r="H133" s="43">
        <v>0.0</v>
      </c>
      <c r="I133" s="43" t="s">
        <v>781</v>
      </c>
      <c r="J133" s="43"/>
      <c r="K133" s="43"/>
      <c r="L133" s="43" t="s">
        <v>145</v>
      </c>
      <c r="M133" s="43" t="s">
        <v>772</v>
      </c>
      <c r="N133" s="43">
        <v>1.0</v>
      </c>
      <c r="O133" s="43">
        <v>7.0</v>
      </c>
      <c r="P133" s="43"/>
      <c r="Q133" s="46" t="s">
        <v>1340</v>
      </c>
      <c r="R133" s="46" t="s">
        <v>1341</v>
      </c>
      <c r="S133" s="47" t="s">
        <v>1342</v>
      </c>
      <c r="T133" s="48" t="s">
        <v>1343</v>
      </c>
      <c r="U133" s="46" t="s">
        <v>777</v>
      </c>
      <c r="V133" s="43" t="s">
        <v>1344</v>
      </c>
      <c r="W133" s="43"/>
      <c r="X133" s="50"/>
      <c r="Y133" s="50"/>
    </row>
    <row r="134" ht="12.75" customHeight="1">
      <c r="A134" s="43">
        <v>124.0</v>
      </c>
      <c r="B134" s="43" t="s">
        <v>100</v>
      </c>
      <c r="C134" s="43" t="s">
        <v>100</v>
      </c>
      <c r="D134" s="51" t="s">
        <v>1345</v>
      </c>
      <c r="E134" s="43" t="s">
        <v>770</v>
      </c>
      <c r="F134" s="43" t="s">
        <v>70</v>
      </c>
      <c r="G134" s="44">
        <v>8000000.0</v>
      </c>
      <c r="H134" s="43">
        <v>0.0</v>
      </c>
      <c r="I134" s="43" t="s">
        <v>781</v>
      </c>
      <c r="J134" s="51" t="s">
        <v>1345</v>
      </c>
      <c r="K134" s="43"/>
      <c r="L134" s="43" t="s">
        <v>145</v>
      </c>
      <c r="M134" s="43" t="s">
        <v>772</v>
      </c>
      <c r="N134" s="43">
        <v>1.0</v>
      </c>
      <c r="O134" s="43">
        <v>7.0</v>
      </c>
      <c r="P134" s="43"/>
      <c r="Q134" s="43" t="s">
        <v>1346</v>
      </c>
      <c r="R134" s="43" t="s">
        <v>1347</v>
      </c>
      <c r="S134" s="53" t="s">
        <v>1348</v>
      </c>
      <c r="T134" s="59">
        <v>0.0</v>
      </c>
      <c r="U134" s="43"/>
      <c r="V134" s="43" t="s">
        <v>1349</v>
      </c>
      <c r="W134" s="51" t="s">
        <v>1350</v>
      </c>
      <c r="X134" s="65"/>
      <c r="Y134" s="52"/>
    </row>
    <row r="135" ht="12.75" hidden="1" customHeight="1">
      <c r="A135" s="43">
        <v>125.0</v>
      </c>
      <c r="B135" s="43" t="s">
        <v>100</v>
      </c>
      <c r="C135" s="43" t="s">
        <v>100</v>
      </c>
      <c r="D135" s="43"/>
      <c r="E135" s="43" t="s">
        <v>770</v>
      </c>
      <c r="F135" s="43" t="s">
        <v>70</v>
      </c>
      <c r="G135" s="44">
        <v>8000000.0</v>
      </c>
      <c r="H135" s="43">
        <v>0.0</v>
      </c>
      <c r="I135" s="43" t="s">
        <v>781</v>
      </c>
      <c r="J135" s="43"/>
      <c r="K135" s="43"/>
      <c r="L135" s="43" t="s">
        <v>145</v>
      </c>
      <c r="M135" s="43" t="s">
        <v>772</v>
      </c>
      <c r="N135" s="43">
        <v>1.0</v>
      </c>
      <c r="O135" s="43">
        <v>7.0</v>
      </c>
      <c r="P135" s="43"/>
      <c r="Q135" s="46" t="s">
        <v>1351</v>
      </c>
      <c r="R135" s="46" t="s">
        <v>1352</v>
      </c>
      <c r="S135" s="47" t="s">
        <v>1353</v>
      </c>
      <c r="T135" s="48" t="s">
        <v>1354</v>
      </c>
      <c r="U135" s="46" t="s">
        <v>777</v>
      </c>
      <c r="V135" s="43" t="s">
        <v>952</v>
      </c>
      <c r="W135" s="43"/>
      <c r="X135" s="50"/>
      <c r="Y135" s="50"/>
    </row>
    <row r="136" ht="12.75" hidden="1" customHeight="1">
      <c r="A136" s="43">
        <v>126.0</v>
      </c>
      <c r="B136" s="43" t="s">
        <v>100</v>
      </c>
      <c r="C136" s="43" t="s">
        <v>100</v>
      </c>
      <c r="D136" s="51" t="s">
        <v>1355</v>
      </c>
      <c r="E136" s="43" t="s">
        <v>770</v>
      </c>
      <c r="F136" s="43" t="s">
        <v>70</v>
      </c>
      <c r="G136" s="44">
        <v>8000000.0</v>
      </c>
      <c r="H136" s="43">
        <v>0.0</v>
      </c>
      <c r="I136" s="43" t="s">
        <v>781</v>
      </c>
      <c r="J136" s="43"/>
      <c r="K136" s="43"/>
      <c r="L136" s="43" t="s">
        <v>145</v>
      </c>
      <c r="M136" s="43" t="s">
        <v>772</v>
      </c>
      <c r="N136" s="43">
        <v>1.0</v>
      </c>
      <c r="O136" s="43">
        <v>7.0</v>
      </c>
      <c r="P136" s="43"/>
      <c r="Q136" s="97" t="s">
        <v>1356</v>
      </c>
      <c r="R136" s="46" t="s">
        <v>1357</v>
      </c>
      <c r="S136" s="47" t="s">
        <v>1358</v>
      </c>
      <c r="T136" s="48" t="s">
        <v>1359</v>
      </c>
      <c r="U136" s="46" t="s">
        <v>777</v>
      </c>
      <c r="V136" s="43" t="s">
        <v>1270</v>
      </c>
      <c r="W136" s="43"/>
      <c r="X136" s="50"/>
      <c r="Y136" s="50"/>
    </row>
    <row r="137" ht="12.75" customHeight="1">
      <c r="A137" s="43">
        <v>127.0</v>
      </c>
      <c r="B137" s="43" t="s">
        <v>100</v>
      </c>
      <c r="C137" s="43" t="s">
        <v>100</v>
      </c>
      <c r="D137" s="43"/>
      <c r="E137" s="43" t="s">
        <v>770</v>
      </c>
      <c r="F137" s="43" t="s">
        <v>70</v>
      </c>
      <c r="G137" s="44">
        <v>8000000.0</v>
      </c>
      <c r="H137" s="43">
        <v>0.0</v>
      </c>
      <c r="I137" s="43" t="s">
        <v>781</v>
      </c>
      <c r="J137" s="43"/>
      <c r="K137" s="43"/>
      <c r="L137" s="43" t="s">
        <v>145</v>
      </c>
      <c r="M137" s="43" t="s">
        <v>772</v>
      </c>
      <c r="N137" s="43">
        <v>1.0</v>
      </c>
      <c r="O137" s="43">
        <v>7.0</v>
      </c>
      <c r="P137" s="43"/>
      <c r="Q137" s="46" t="s">
        <v>1360</v>
      </c>
      <c r="R137" s="46" t="s">
        <v>1361</v>
      </c>
      <c r="S137" s="47" t="s">
        <v>1362</v>
      </c>
      <c r="T137" s="48" t="s">
        <v>1363</v>
      </c>
      <c r="U137" s="46" t="s">
        <v>777</v>
      </c>
      <c r="V137" s="43" t="s">
        <v>1364</v>
      </c>
      <c r="W137" s="51" t="s">
        <v>1226</v>
      </c>
      <c r="X137" s="65"/>
      <c r="Y137" s="52"/>
    </row>
    <row r="138" ht="12.75" hidden="1" customHeight="1">
      <c r="A138" s="43">
        <v>128.0</v>
      </c>
      <c r="B138" s="43" t="s">
        <v>100</v>
      </c>
      <c r="C138" s="43" t="s">
        <v>100</v>
      </c>
      <c r="D138" s="51" t="s">
        <v>1355</v>
      </c>
      <c r="E138" s="43" t="s">
        <v>770</v>
      </c>
      <c r="F138" s="43" t="s">
        <v>70</v>
      </c>
      <c r="G138" s="44">
        <v>8000000.0</v>
      </c>
      <c r="H138" s="43">
        <v>0.0</v>
      </c>
      <c r="I138" s="43" t="s">
        <v>781</v>
      </c>
      <c r="J138" s="43"/>
      <c r="K138" s="43"/>
      <c r="L138" s="43" t="s">
        <v>145</v>
      </c>
      <c r="M138" s="43" t="s">
        <v>772</v>
      </c>
      <c r="N138" s="43">
        <v>1.0</v>
      </c>
      <c r="O138" s="43">
        <v>7.0</v>
      </c>
      <c r="P138" s="43"/>
      <c r="Q138" s="46" t="s">
        <v>1365</v>
      </c>
      <c r="R138" s="46" t="s">
        <v>1366</v>
      </c>
      <c r="S138" s="47" t="s">
        <v>1367</v>
      </c>
      <c r="T138" s="48" t="s">
        <v>1368</v>
      </c>
      <c r="U138" s="46" t="s">
        <v>777</v>
      </c>
      <c r="V138" s="77" t="s">
        <v>1070</v>
      </c>
      <c r="W138" s="43"/>
      <c r="X138" s="50"/>
      <c r="Y138" s="50"/>
    </row>
    <row r="139" ht="12.75" hidden="1" customHeight="1">
      <c r="A139" s="43">
        <v>129.0</v>
      </c>
      <c r="B139" s="43" t="s">
        <v>100</v>
      </c>
      <c r="C139" s="43" t="s">
        <v>100</v>
      </c>
      <c r="D139" s="43"/>
      <c r="E139" s="43" t="s">
        <v>770</v>
      </c>
      <c r="F139" s="43" t="s">
        <v>70</v>
      </c>
      <c r="G139" s="44">
        <v>8000000.0</v>
      </c>
      <c r="H139" s="43">
        <v>0.0</v>
      </c>
      <c r="I139" s="43" t="s">
        <v>781</v>
      </c>
      <c r="J139" s="43"/>
      <c r="K139" s="43"/>
      <c r="L139" s="43" t="s">
        <v>145</v>
      </c>
      <c r="M139" s="43" t="s">
        <v>772</v>
      </c>
      <c r="N139" s="43">
        <v>1.0</v>
      </c>
      <c r="O139" s="43">
        <v>7.0</v>
      </c>
      <c r="P139" s="43"/>
      <c r="Q139" s="46" t="s">
        <v>1369</v>
      </c>
      <c r="R139" s="46" t="s">
        <v>1370</v>
      </c>
      <c r="S139" s="47" t="s">
        <v>1371</v>
      </c>
      <c r="T139" s="48" t="s">
        <v>1372</v>
      </c>
      <c r="U139" s="46" t="s">
        <v>777</v>
      </c>
      <c r="V139" s="43" t="s">
        <v>1373</v>
      </c>
      <c r="W139" s="43"/>
      <c r="X139" s="50"/>
      <c r="Y139" s="50"/>
    </row>
    <row r="140" ht="12.75" hidden="1" customHeight="1">
      <c r="A140" s="43">
        <v>130.0</v>
      </c>
      <c r="B140" s="43" t="s">
        <v>100</v>
      </c>
      <c r="C140" s="43" t="s">
        <v>100</v>
      </c>
      <c r="D140" s="43"/>
      <c r="E140" s="43" t="s">
        <v>770</v>
      </c>
      <c r="F140" s="43" t="s">
        <v>70</v>
      </c>
      <c r="G140" s="44">
        <v>8000000.0</v>
      </c>
      <c r="H140" s="43">
        <v>0.0</v>
      </c>
      <c r="I140" s="43" t="s">
        <v>781</v>
      </c>
      <c r="J140" s="51" t="s">
        <v>1374</v>
      </c>
      <c r="K140" s="43"/>
      <c r="L140" s="43" t="s">
        <v>145</v>
      </c>
      <c r="M140" s="43" t="s">
        <v>772</v>
      </c>
      <c r="N140" s="43">
        <v>1.0</v>
      </c>
      <c r="O140" s="43">
        <v>7.0</v>
      </c>
      <c r="P140" s="43"/>
      <c r="Q140" s="46" t="s">
        <v>1375</v>
      </c>
      <c r="R140" s="46" t="s">
        <v>1376</v>
      </c>
      <c r="S140" s="47" t="s">
        <v>1377</v>
      </c>
      <c r="T140" s="85" t="s">
        <v>1378</v>
      </c>
      <c r="U140" s="46" t="s">
        <v>777</v>
      </c>
      <c r="V140" s="43" t="s">
        <v>1250</v>
      </c>
      <c r="W140" s="51"/>
      <c r="X140" s="50"/>
      <c r="Y140" s="50"/>
    </row>
    <row r="141" ht="12.75" hidden="1" customHeight="1">
      <c r="A141" s="43">
        <v>131.0</v>
      </c>
      <c r="B141" s="43" t="s">
        <v>100</v>
      </c>
      <c r="C141" s="43" t="s">
        <v>100</v>
      </c>
      <c r="D141" s="51" t="s">
        <v>1379</v>
      </c>
      <c r="E141" s="43" t="s">
        <v>770</v>
      </c>
      <c r="F141" s="43" t="s">
        <v>70</v>
      </c>
      <c r="G141" s="44">
        <v>8000000.0</v>
      </c>
      <c r="H141" s="43">
        <v>0.0</v>
      </c>
      <c r="I141" s="43" t="s">
        <v>781</v>
      </c>
      <c r="J141" s="43"/>
      <c r="K141" s="43"/>
      <c r="L141" s="43" t="s">
        <v>145</v>
      </c>
      <c r="M141" s="43" t="s">
        <v>772</v>
      </c>
      <c r="N141" s="43">
        <v>1.0</v>
      </c>
      <c r="O141" s="43">
        <v>7.0</v>
      </c>
      <c r="P141" s="43"/>
      <c r="Q141" s="46" t="s">
        <v>1380</v>
      </c>
      <c r="R141" s="46" t="s">
        <v>1381</v>
      </c>
      <c r="S141" s="47" t="s">
        <v>1382</v>
      </c>
      <c r="T141" s="48" t="s">
        <v>1383</v>
      </c>
      <c r="U141" s="46" t="s">
        <v>777</v>
      </c>
      <c r="V141" s="77" t="s">
        <v>1384</v>
      </c>
      <c r="W141" s="43"/>
      <c r="X141" s="50"/>
      <c r="Y141" s="50"/>
    </row>
    <row r="142" ht="12.75" hidden="1" customHeight="1">
      <c r="A142" s="43">
        <v>132.0</v>
      </c>
      <c r="B142" s="43" t="s">
        <v>100</v>
      </c>
      <c r="C142" s="43" t="s">
        <v>100</v>
      </c>
      <c r="D142" s="51" t="s">
        <v>1355</v>
      </c>
      <c r="E142" s="43" t="s">
        <v>770</v>
      </c>
      <c r="F142" s="43" t="s">
        <v>70</v>
      </c>
      <c r="G142" s="44">
        <v>8000000.0</v>
      </c>
      <c r="H142" s="43">
        <v>0.0</v>
      </c>
      <c r="I142" s="43" t="s">
        <v>781</v>
      </c>
      <c r="J142" s="43"/>
      <c r="K142" s="43"/>
      <c r="L142" s="43" t="s">
        <v>145</v>
      </c>
      <c r="M142" s="43" t="s">
        <v>772</v>
      </c>
      <c r="N142" s="43">
        <v>1.0</v>
      </c>
      <c r="O142" s="43">
        <v>7.0</v>
      </c>
      <c r="P142" s="43"/>
      <c r="Q142" s="46" t="s">
        <v>1385</v>
      </c>
      <c r="R142" s="46" t="s">
        <v>1386</v>
      </c>
      <c r="S142" s="47" t="s">
        <v>1387</v>
      </c>
      <c r="T142" s="48" t="s">
        <v>1388</v>
      </c>
      <c r="U142" s="46" t="s">
        <v>777</v>
      </c>
      <c r="V142" s="77" t="s">
        <v>1070</v>
      </c>
      <c r="W142" s="43"/>
      <c r="X142" s="50"/>
      <c r="Y142" s="50"/>
    </row>
    <row r="143" ht="12.75" hidden="1" customHeight="1">
      <c r="A143" s="68">
        <v>133.0</v>
      </c>
      <c r="B143" s="68" t="s">
        <v>100</v>
      </c>
      <c r="C143" s="68" t="s">
        <v>1189</v>
      </c>
      <c r="D143" s="68"/>
      <c r="E143" s="68" t="s">
        <v>770</v>
      </c>
      <c r="F143" s="68" t="s">
        <v>70</v>
      </c>
      <c r="G143" s="70">
        <v>8500000.0</v>
      </c>
      <c r="H143" s="68">
        <v>0.0</v>
      </c>
      <c r="I143" s="68" t="s">
        <v>858</v>
      </c>
      <c r="J143" s="68"/>
      <c r="K143" s="68"/>
      <c r="L143" s="68" t="s">
        <v>145</v>
      </c>
      <c r="M143" s="68" t="s">
        <v>772</v>
      </c>
      <c r="N143" s="68">
        <v>1.0</v>
      </c>
      <c r="O143" s="68">
        <v>7.0</v>
      </c>
      <c r="P143" s="68"/>
      <c r="Q143" s="94" t="s">
        <v>1389</v>
      </c>
      <c r="R143" s="94" t="s">
        <v>1390</v>
      </c>
      <c r="S143" s="95" t="s">
        <v>1391</v>
      </c>
      <c r="T143" s="96" t="s">
        <v>1392</v>
      </c>
      <c r="U143" s="94" t="s">
        <v>777</v>
      </c>
      <c r="V143" s="68" t="s">
        <v>1393</v>
      </c>
      <c r="W143" s="69" t="s">
        <v>1334</v>
      </c>
      <c r="X143" s="75"/>
      <c r="Y143" s="76"/>
    </row>
    <row r="144" ht="12.75" hidden="1" customHeight="1">
      <c r="A144" s="43">
        <v>134.0</v>
      </c>
      <c r="B144" s="43" t="s">
        <v>100</v>
      </c>
      <c r="C144" s="43" t="s">
        <v>1189</v>
      </c>
      <c r="D144" s="43"/>
      <c r="E144" s="43" t="s">
        <v>770</v>
      </c>
      <c r="F144" s="43" t="s">
        <v>70</v>
      </c>
      <c r="G144" s="44">
        <v>8500000.0</v>
      </c>
      <c r="H144" s="43">
        <v>0.0</v>
      </c>
      <c r="I144" s="43" t="s">
        <v>858</v>
      </c>
      <c r="J144" s="43"/>
      <c r="K144" s="43"/>
      <c r="L144" s="43" t="s">
        <v>145</v>
      </c>
      <c r="M144" s="43" t="s">
        <v>772</v>
      </c>
      <c r="N144" s="43">
        <v>1.0</v>
      </c>
      <c r="O144" s="43">
        <v>7.0</v>
      </c>
      <c r="P144" s="43"/>
      <c r="Q144" s="46" t="s">
        <v>1394</v>
      </c>
      <c r="R144" s="46" t="s">
        <v>1395</v>
      </c>
      <c r="S144" s="47" t="s">
        <v>1396</v>
      </c>
      <c r="T144" s="48" t="s">
        <v>1397</v>
      </c>
      <c r="U144" s="46" t="s">
        <v>777</v>
      </c>
      <c r="V144" s="43" t="s">
        <v>1398</v>
      </c>
      <c r="W144" s="43"/>
      <c r="X144" s="50"/>
      <c r="Y144" s="50"/>
    </row>
    <row r="145" ht="12.75" hidden="1" customHeight="1">
      <c r="A145" s="43">
        <v>135.0</v>
      </c>
      <c r="B145" s="43" t="s">
        <v>100</v>
      </c>
      <c r="C145" s="43" t="s">
        <v>100</v>
      </c>
      <c r="D145" s="43"/>
      <c r="E145" s="43" t="s">
        <v>770</v>
      </c>
      <c r="F145" s="43" t="s">
        <v>70</v>
      </c>
      <c r="G145" s="44">
        <v>1.0E7</v>
      </c>
      <c r="H145" s="43">
        <v>0.0</v>
      </c>
      <c r="I145" s="43" t="s">
        <v>781</v>
      </c>
      <c r="J145" s="43"/>
      <c r="K145" s="43"/>
      <c r="L145" s="43" t="s">
        <v>145</v>
      </c>
      <c r="M145" s="43" t="s">
        <v>772</v>
      </c>
      <c r="N145" s="43">
        <v>1.0</v>
      </c>
      <c r="O145" s="43">
        <v>7.0</v>
      </c>
      <c r="P145" s="43"/>
      <c r="Q145" s="46" t="s">
        <v>1399</v>
      </c>
      <c r="R145" s="46" t="s">
        <v>1400</v>
      </c>
      <c r="S145" s="47" t="s">
        <v>1401</v>
      </c>
      <c r="T145" s="48" t="s">
        <v>1402</v>
      </c>
      <c r="U145" s="46" t="s">
        <v>777</v>
      </c>
      <c r="V145" s="43"/>
      <c r="W145" s="43"/>
      <c r="X145" s="50"/>
      <c r="Y145" s="50"/>
    </row>
    <row r="146" ht="12.75" hidden="1" customHeight="1">
      <c r="A146" s="43">
        <v>136.0</v>
      </c>
      <c r="B146" s="43" t="s">
        <v>100</v>
      </c>
      <c r="C146" s="43" t="s">
        <v>100</v>
      </c>
      <c r="D146" s="43"/>
      <c r="E146" s="43" t="s">
        <v>770</v>
      </c>
      <c r="F146" s="43" t="s">
        <v>70</v>
      </c>
      <c r="G146" s="44">
        <v>1.0E7</v>
      </c>
      <c r="H146" s="43">
        <v>0.0</v>
      </c>
      <c r="I146" s="43" t="s">
        <v>781</v>
      </c>
      <c r="J146" s="43"/>
      <c r="K146" s="43"/>
      <c r="L146" s="43" t="s">
        <v>145</v>
      </c>
      <c r="M146" s="43" t="s">
        <v>772</v>
      </c>
      <c r="N146" s="43">
        <v>1.0</v>
      </c>
      <c r="O146" s="43">
        <v>7.0</v>
      </c>
      <c r="P146" s="43"/>
      <c r="Q146" s="46" t="s">
        <v>1403</v>
      </c>
      <c r="R146" s="46" t="s">
        <v>1404</v>
      </c>
      <c r="S146" s="47" t="s">
        <v>1405</v>
      </c>
      <c r="T146" s="48" t="s">
        <v>1406</v>
      </c>
      <c r="U146" s="46" t="s">
        <v>777</v>
      </c>
      <c r="V146" s="43"/>
      <c r="W146" s="43"/>
      <c r="X146" s="50"/>
      <c r="Y146" s="50"/>
    </row>
    <row r="147" ht="12.75" hidden="1" customHeight="1">
      <c r="A147" s="43">
        <v>137.0</v>
      </c>
      <c r="B147" s="43" t="s">
        <v>100</v>
      </c>
      <c r="C147" s="43" t="s">
        <v>100</v>
      </c>
      <c r="D147" s="43"/>
      <c r="E147" s="43" t="s">
        <v>770</v>
      </c>
      <c r="F147" s="43" t="s">
        <v>70</v>
      </c>
      <c r="G147" s="44">
        <v>1.0E7</v>
      </c>
      <c r="H147" s="43">
        <v>0.0</v>
      </c>
      <c r="I147" s="43" t="s">
        <v>781</v>
      </c>
      <c r="J147" s="43"/>
      <c r="K147" s="43"/>
      <c r="L147" s="43" t="s">
        <v>145</v>
      </c>
      <c r="M147" s="43" t="s">
        <v>772</v>
      </c>
      <c r="N147" s="43">
        <v>1.0</v>
      </c>
      <c r="O147" s="43">
        <v>7.0</v>
      </c>
      <c r="P147" s="43"/>
      <c r="Q147" s="46" t="s">
        <v>1407</v>
      </c>
      <c r="R147" s="46" t="s">
        <v>1408</v>
      </c>
      <c r="S147" s="47" t="s">
        <v>1409</v>
      </c>
      <c r="T147" s="48" t="s">
        <v>1410</v>
      </c>
      <c r="U147" s="46" t="s">
        <v>777</v>
      </c>
      <c r="V147" s="43"/>
      <c r="W147" s="43"/>
      <c r="X147" s="50"/>
      <c r="Y147" s="50"/>
    </row>
    <row r="148" ht="12.75" customHeight="1">
      <c r="A148" s="68">
        <v>138.0</v>
      </c>
      <c r="B148" s="68" t="s">
        <v>100</v>
      </c>
      <c r="C148" s="68" t="s">
        <v>1189</v>
      </c>
      <c r="D148" s="69" t="s">
        <v>1411</v>
      </c>
      <c r="E148" s="68" t="s">
        <v>770</v>
      </c>
      <c r="F148" s="68" t="s">
        <v>70</v>
      </c>
      <c r="G148" s="70">
        <v>8000000.0</v>
      </c>
      <c r="H148" s="68">
        <v>0.0</v>
      </c>
      <c r="I148" s="68" t="s">
        <v>858</v>
      </c>
      <c r="J148" s="69" t="s">
        <v>1411</v>
      </c>
      <c r="K148" s="68"/>
      <c r="L148" s="68" t="s">
        <v>145</v>
      </c>
      <c r="M148" s="68" t="s">
        <v>772</v>
      </c>
      <c r="N148" s="68">
        <v>1.0</v>
      </c>
      <c r="O148" s="68">
        <v>7.0</v>
      </c>
      <c r="P148" s="68"/>
      <c r="Q148" s="94" t="s">
        <v>1412</v>
      </c>
      <c r="R148" s="94" t="s">
        <v>1413</v>
      </c>
      <c r="S148" s="95" t="s">
        <v>1414</v>
      </c>
      <c r="T148" s="96" t="s">
        <v>1415</v>
      </c>
      <c r="U148" s="94" t="s">
        <v>777</v>
      </c>
      <c r="V148" s="69" t="s">
        <v>998</v>
      </c>
      <c r="W148" s="69" t="s">
        <v>1226</v>
      </c>
      <c r="X148" s="93"/>
      <c r="Y148" s="52"/>
    </row>
    <row r="149" ht="12.75" hidden="1" customHeight="1">
      <c r="A149" s="43">
        <v>139.0</v>
      </c>
      <c r="B149" s="43" t="s">
        <v>100</v>
      </c>
      <c r="C149" s="43" t="s">
        <v>100</v>
      </c>
      <c r="D149" s="51" t="s">
        <v>1416</v>
      </c>
      <c r="E149" s="43" t="s">
        <v>770</v>
      </c>
      <c r="F149" s="43" t="s">
        <v>70</v>
      </c>
      <c r="G149" s="44">
        <v>8000000.0</v>
      </c>
      <c r="H149" s="43">
        <v>0.0</v>
      </c>
      <c r="I149" s="43" t="s">
        <v>781</v>
      </c>
      <c r="J149" s="43"/>
      <c r="K149" s="43"/>
      <c r="L149" s="43" t="s">
        <v>145</v>
      </c>
      <c r="M149" s="43" t="s">
        <v>772</v>
      </c>
      <c r="N149" s="43">
        <v>1.0</v>
      </c>
      <c r="O149" s="43">
        <v>7.0</v>
      </c>
      <c r="P149" s="43"/>
      <c r="Q149" s="46" t="s">
        <v>1417</v>
      </c>
      <c r="R149" s="46" t="s">
        <v>1418</v>
      </c>
      <c r="S149" s="47" t="s">
        <v>1419</v>
      </c>
      <c r="T149" s="48" t="s">
        <v>1420</v>
      </c>
      <c r="U149" s="46" t="s">
        <v>777</v>
      </c>
      <c r="V149" s="43" t="s">
        <v>1270</v>
      </c>
      <c r="W149" s="43"/>
      <c r="X149" s="50"/>
      <c r="Y149" s="50"/>
    </row>
    <row r="150" ht="12.75" hidden="1" customHeight="1">
      <c r="A150" s="43">
        <v>140.0</v>
      </c>
      <c r="B150" s="43" t="s">
        <v>100</v>
      </c>
      <c r="C150" s="43" t="s">
        <v>100</v>
      </c>
      <c r="D150" s="43"/>
      <c r="E150" s="43" t="s">
        <v>770</v>
      </c>
      <c r="F150" s="43" t="s">
        <v>70</v>
      </c>
      <c r="G150" s="44">
        <v>1.05E7</v>
      </c>
      <c r="H150" s="43">
        <v>0.0</v>
      </c>
      <c r="I150" s="43" t="s">
        <v>781</v>
      </c>
      <c r="J150" s="43"/>
      <c r="K150" s="43"/>
      <c r="L150" s="43" t="s">
        <v>145</v>
      </c>
      <c r="M150" s="43" t="s">
        <v>772</v>
      </c>
      <c r="N150" s="43">
        <v>1.0</v>
      </c>
      <c r="O150" s="43">
        <v>7.0</v>
      </c>
      <c r="P150" s="43"/>
      <c r="Q150" s="46" t="s">
        <v>1421</v>
      </c>
      <c r="R150" s="46" t="s">
        <v>1422</v>
      </c>
      <c r="S150" s="47" t="s">
        <v>1423</v>
      </c>
      <c r="T150" s="48" t="s">
        <v>1424</v>
      </c>
      <c r="U150" s="46" t="s">
        <v>777</v>
      </c>
      <c r="V150" s="43" t="s">
        <v>952</v>
      </c>
      <c r="W150" s="43"/>
      <c r="X150" s="50"/>
      <c r="Y150" s="50"/>
    </row>
    <row r="151" ht="12.75" hidden="1" customHeight="1">
      <c r="A151" s="43">
        <v>141.0</v>
      </c>
      <c r="B151" s="43" t="s">
        <v>100</v>
      </c>
      <c r="C151" s="43" t="s">
        <v>100</v>
      </c>
      <c r="D151" s="43"/>
      <c r="E151" s="43" t="s">
        <v>770</v>
      </c>
      <c r="F151" s="43" t="s">
        <v>70</v>
      </c>
      <c r="G151" s="44">
        <v>8000000.0</v>
      </c>
      <c r="H151" s="43">
        <v>0.0</v>
      </c>
      <c r="I151" s="43" t="s">
        <v>781</v>
      </c>
      <c r="J151" s="43"/>
      <c r="K151" s="43"/>
      <c r="L151" s="43" t="s">
        <v>145</v>
      </c>
      <c r="M151" s="43" t="s">
        <v>772</v>
      </c>
      <c r="N151" s="43">
        <v>1.0</v>
      </c>
      <c r="O151" s="43">
        <v>7.0</v>
      </c>
      <c r="P151" s="43"/>
      <c r="Q151" s="46" t="s">
        <v>1425</v>
      </c>
      <c r="R151" s="46" t="s">
        <v>1426</v>
      </c>
      <c r="S151" s="47" t="s">
        <v>1427</v>
      </c>
      <c r="T151" s="48" t="s">
        <v>1428</v>
      </c>
      <c r="U151" s="46" t="s">
        <v>777</v>
      </c>
      <c r="V151" s="43" t="s">
        <v>952</v>
      </c>
      <c r="W151" s="43"/>
      <c r="X151" s="50"/>
      <c r="Y151" s="50"/>
    </row>
    <row r="152" ht="12.75" hidden="1" customHeight="1">
      <c r="A152" s="43">
        <v>142.0</v>
      </c>
      <c r="B152" s="43" t="s">
        <v>100</v>
      </c>
      <c r="C152" s="43" t="s">
        <v>100</v>
      </c>
      <c r="D152" s="43"/>
      <c r="E152" s="43" t="s">
        <v>770</v>
      </c>
      <c r="F152" s="43" t="s">
        <v>70</v>
      </c>
      <c r="G152" s="44">
        <v>8000000.0</v>
      </c>
      <c r="H152" s="43">
        <v>0.0</v>
      </c>
      <c r="I152" s="43" t="s">
        <v>781</v>
      </c>
      <c r="J152" s="43"/>
      <c r="K152" s="43"/>
      <c r="L152" s="43" t="s">
        <v>145</v>
      </c>
      <c r="M152" s="43" t="s">
        <v>772</v>
      </c>
      <c r="N152" s="43">
        <v>1.0</v>
      </c>
      <c r="O152" s="43">
        <v>7.0</v>
      </c>
      <c r="P152" s="43"/>
      <c r="Q152" s="46" t="s">
        <v>1429</v>
      </c>
      <c r="R152" s="46" t="s">
        <v>1430</v>
      </c>
      <c r="S152" s="47" t="s">
        <v>1431</v>
      </c>
      <c r="T152" s="48" t="s">
        <v>1432</v>
      </c>
      <c r="U152" s="46" t="s">
        <v>777</v>
      </c>
      <c r="V152" s="43" t="s">
        <v>952</v>
      </c>
      <c r="W152" s="43"/>
      <c r="X152" s="50"/>
      <c r="Y152" s="50"/>
    </row>
    <row r="153" ht="12.75" customHeight="1">
      <c r="A153" s="43">
        <v>143.0</v>
      </c>
      <c r="B153" s="43" t="s">
        <v>100</v>
      </c>
      <c r="C153" s="43" t="s">
        <v>100</v>
      </c>
      <c r="D153" s="43"/>
      <c r="E153" s="43" t="s">
        <v>770</v>
      </c>
      <c r="F153" s="43" t="s">
        <v>70</v>
      </c>
      <c r="G153" s="44">
        <v>9000000.0</v>
      </c>
      <c r="H153" s="43">
        <v>0.0</v>
      </c>
      <c r="I153" s="43" t="s">
        <v>781</v>
      </c>
      <c r="J153" s="43"/>
      <c r="K153" s="43"/>
      <c r="L153" s="43" t="s">
        <v>948</v>
      </c>
      <c r="M153" s="43" t="s">
        <v>772</v>
      </c>
      <c r="N153" s="43">
        <v>1.0</v>
      </c>
      <c r="O153" s="43">
        <v>7.0</v>
      </c>
      <c r="P153" s="43"/>
      <c r="Q153" s="46" t="s">
        <v>1433</v>
      </c>
      <c r="R153" s="46" t="s">
        <v>1434</v>
      </c>
      <c r="S153" s="47" t="s">
        <v>1435</v>
      </c>
      <c r="T153" s="48" t="s">
        <v>1436</v>
      </c>
      <c r="U153" s="46" t="s">
        <v>777</v>
      </c>
      <c r="V153" s="43" t="s">
        <v>1020</v>
      </c>
      <c r="W153" s="51" t="s">
        <v>1226</v>
      </c>
      <c r="X153" s="65"/>
      <c r="Y153" s="52"/>
    </row>
    <row r="154" ht="12.75" customHeight="1">
      <c r="A154" s="43">
        <v>144.0</v>
      </c>
      <c r="B154" s="43" t="s">
        <v>100</v>
      </c>
      <c r="C154" s="43" t="s">
        <v>100</v>
      </c>
      <c r="D154" s="43"/>
      <c r="E154" s="43" t="s">
        <v>770</v>
      </c>
      <c r="F154" s="43" t="s">
        <v>70</v>
      </c>
      <c r="G154" s="44">
        <v>1.05E7</v>
      </c>
      <c r="H154" s="43">
        <v>0.0</v>
      </c>
      <c r="I154" s="51" t="s">
        <v>1437</v>
      </c>
      <c r="J154" s="51" t="s">
        <v>1437</v>
      </c>
      <c r="K154" s="43"/>
      <c r="L154" s="43" t="s">
        <v>948</v>
      </c>
      <c r="M154" s="43" t="s">
        <v>772</v>
      </c>
      <c r="N154" s="43">
        <v>1.0</v>
      </c>
      <c r="O154" s="43">
        <v>7.0</v>
      </c>
      <c r="P154" s="43"/>
      <c r="Q154" s="46" t="s">
        <v>1438</v>
      </c>
      <c r="R154" s="46" t="s">
        <v>1439</v>
      </c>
      <c r="S154" s="47" t="s">
        <v>1440</v>
      </c>
      <c r="T154" s="48" t="s">
        <v>1441</v>
      </c>
      <c r="U154" s="46" t="s">
        <v>777</v>
      </c>
      <c r="V154" s="43" t="s">
        <v>1198</v>
      </c>
      <c r="W154" s="51" t="s">
        <v>1199</v>
      </c>
      <c r="X154" s="50"/>
      <c r="Y154" s="52"/>
    </row>
    <row r="155" ht="12.75" hidden="1" customHeight="1">
      <c r="A155" s="43">
        <v>145.0</v>
      </c>
      <c r="B155" s="43" t="s">
        <v>100</v>
      </c>
      <c r="C155" s="43" t="s">
        <v>100</v>
      </c>
      <c r="D155" s="43"/>
      <c r="E155" s="43" t="s">
        <v>770</v>
      </c>
      <c r="F155" s="43" t="s">
        <v>70</v>
      </c>
      <c r="G155" s="44">
        <v>9000000.0</v>
      </c>
      <c r="H155" s="43">
        <v>0.0</v>
      </c>
      <c r="I155" s="43" t="s">
        <v>781</v>
      </c>
      <c r="J155" s="43"/>
      <c r="K155" s="43"/>
      <c r="L155" s="43" t="s">
        <v>948</v>
      </c>
      <c r="M155" s="43" t="s">
        <v>772</v>
      </c>
      <c r="N155" s="43">
        <v>1.0</v>
      </c>
      <c r="O155" s="43">
        <v>7.0</v>
      </c>
      <c r="P155" s="43"/>
      <c r="Q155" s="46" t="s">
        <v>1442</v>
      </c>
      <c r="R155" s="46" t="s">
        <v>1443</v>
      </c>
      <c r="S155" s="47" t="s">
        <v>1444</v>
      </c>
      <c r="T155" s="48" t="s">
        <v>1445</v>
      </c>
      <c r="U155" s="46" t="s">
        <v>777</v>
      </c>
      <c r="V155" s="43" t="s">
        <v>963</v>
      </c>
      <c r="W155" s="43"/>
      <c r="X155" s="50"/>
      <c r="Y155" s="50"/>
    </row>
    <row r="156" ht="12.75" hidden="1" customHeight="1">
      <c r="A156" s="43">
        <v>146.0</v>
      </c>
      <c r="B156" s="43" t="s">
        <v>100</v>
      </c>
      <c r="C156" s="43" t="s">
        <v>100</v>
      </c>
      <c r="D156" s="43"/>
      <c r="E156" s="43" t="s">
        <v>770</v>
      </c>
      <c r="F156" s="43" t="s">
        <v>70</v>
      </c>
      <c r="G156" s="44">
        <v>9000000.0</v>
      </c>
      <c r="H156" s="43">
        <v>0.0</v>
      </c>
      <c r="I156" s="43" t="s">
        <v>781</v>
      </c>
      <c r="J156" s="51" t="s">
        <v>1313</v>
      </c>
      <c r="K156" s="43"/>
      <c r="L156" s="43" t="s">
        <v>948</v>
      </c>
      <c r="M156" s="43" t="s">
        <v>772</v>
      </c>
      <c r="N156" s="43">
        <v>1.0</v>
      </c>
      <c r="O156" s="43">
        <v>7.0</v>
      </c>
      <c r="P156" s="43"/>
      <c r="Q156" s="46" t="s">
        <v>1446</v>
      </c>
      <c r="R156" s="46" t="s">
        <v>1447</v>
      </c>
      <c r="S156" s="47" t="s">
        <v>1448</v>
      </c>
      <c r="T156" s="85" t="s">
        <v>1449</v>
      </c>
      <c r="U156" s="46" t="s">
        <v>777</v>
      </c>
      <c r="V156" s="43" t="s">
        <v>1250</v>
      </c>
      <c r="W156" s="51"/>
      <c r="X156" s="50"/>
      <c r="Y156" s="50"/>
    </row>
    <row r="157" ht="12.75" hidden="1" customHeight="1">
      <c r="A157" s="43">
        <v>147.0</v>
      </c>
      <c r="B157" s="43" t="s">
        <v>100</v>
      </c>
      <c r="C157" s="43" t="s">
        <v>100</v>
      </c>
      <c r="D157" s="43"/>
      <c r="E157" s="43" t="s">
        <v>770</v>
      </c>
      <c r="F157" s="43" t="s">
        <v>70</v>
      </c>
      <c r="G157" s="44">
        <v>9000000.0</v>
      </c>
      <c r="H157" s="43">
        <v>0.0</v>
      </c>
      <c r="I157" s="43" t="s">
        <v>781</v>
      </c>
      <c r="J157" s="51" t="s">
        <v>1313</v>
      </c>
      <c r="K157" s="43"/>
      <c r="L157" s="43" t="s">
        <v>948</v>
      </c>
      <c r="M157" s="43" t="s">
        <v>772</v>
      </c>
      <c r="N157" s="43">
        <v>1.0</v>
      </c>
      <c r="O157" s="43">
        <v>7.0</v>
      </c>
      <c r="P157" s="43"/>
      <c r="Q157" s="45" t="s">
        <v>1450</v>
      </c>
      <c r="R157" s="46" t="s">
        <v>1451</v>
      </c>
      <c r="S157" s="47" t="s">
        <v>1452</v>
      </c>
      <c r="T157" s="85" t="s">
        <v>1453</v>
      </c>
      <c r="U157" s="46" t="s">
        <v>777</v>
      </c>
      <c r="V157" s="43" t="s">
        <v>1250</v>
      </c>
      <c r="W157" s="51" t="s">
        <v>1454</v>
      </c>
      <c r="X157" s="50"/>
      <c r="Y157" s="50"/>
    </row>
    <row r="158" ht="12.75" hidden="1" customHeight="1">
      <c r="A158" s="43">
        <v>148.0</v>
      </c>
      <c r="B158" s="43" t="s">
        <v>100</v>
      </c>
      <c r="C158" s="43" t="s">
        <v>100</v>
      </c>
      <c r="D158" s="43"/>
      <c r="E158" s="43" t="s">
        <v>770</v>
      </c>
      <c r="F158" s="43" t="s">
        <v>70</v>
      </c>
      <c r="G158" s="44">
        <v>9000000.0</v>
      </c>
      <c r="H158" s="43">
        <v>0.0</v>
      </c>
      <c r="I158" s="43" t="s">
        <v>781</v>
      </c>
      <c r="J158" s="43"/>
      <c r="K158" s="43"/>
      <c r="L158" s="43" t="s">
        <v>948</v>
      </c>
      <c r="M158" s="43" t="s">
        <v>772</v>
      </c>
      <c r="N158" s="43">
        <v>1.0</v>
      </c>
      <c r="O158" s="43">
        <v>7.0</v>
      </c>
      <c r="P158" s="43"/>
      <c r="Q158" s="46" t="s">
        <v>1455</v>
      </c>
      <c r="R158" s="46" t="s">
        <v>1456</v>
      </c>
      <c r="S158" s="47" t="s">
        <v>1457</v>
      </c>
      <c r="T158" s="48" t="s">
        <v>1458</v>
      </c>
      <c r="U158" s="46" t="s">
        <v>777</v>
      </c>
      <c r="V158" s="43" t="s">
        <v>957</v>
      </c>
      <c r="W158" s="43"/>
      <c r="X158" s="50"/>
      <c r="Y158" s="50"/>
    </row>
    <row r="159" ht="12.75" hidden="1" customHeight="1">
      <c r="A159" s="43">
        <v>149.0</v>
      </c>
      <c r="B159" s="43" t="s">
        <v>100</v>
      </c>
      <c r="C159" s="43" t="s">
        <v>100</v>
      </c>
      <c r="D159" s="43"/>
      <c r="E159" s="43" t="s">
        <v>770</v>
      </c>
      <c r="F159" s="43" t="s">
        <v>70</v>
      </c>
      <c r="G159" s="44">
        <v>1.1E7</v>
      </c>
      <c r="H159" s="43">
        <v>0.0</v>
      </c>
      <c r="I159" s="43" t="s">
        <v>781</v>
      </c>
      <c r="J159" s="43"/>
      <c r="K159" s="43"/>
      <c r="L159" s="43" t="s">
        <v>948</v>
      </c>
      <c r="M159" s="43" t="s">
        <v>772</v>
      </c>
      <c r="N159" s="43">
        <v>1.0</v>
      </c>
      <c r="O159" s="43">
        <v>7.0</v>
      </c>
      <c r="P159" s="43"/>
      <c r="Q159" s="46" t="s">
        <v>1459</v>
      </c>
      <c r="R159" s="46" t="s">
        <v>1460</v>
      </c>
      <c r="S159" s="47" t="s">
        <v>1461</v>
      </c>
      <c r="T159" s="48" t="s">
        <v>1462</v>
      </c>
      <c r="U159" s="46" t="s">
        <v>777</v>
      </c>
      <c r="V159" s="43" t="s">
        <v>952</v>
      </c>
      <c r="W159" s="43"/>
      <c r="X159" s="50"/>
      <c r="Y159" s="50"/>
    </row>
    <row r="160" ht="12.75" hidden="1" customHeight="1">
      <c r="A160" s="43">
        <v>150.0</v>
      </c>
      <c r="B160" s="43" t="s">
        <v>100</v>
      </c>
      <c r="C160" s="43" t="s">
        <v>100</v>
      </c>
      <c r="D160" s="43"/>
      <c r="E160" s="43" t="s">
        <v>770</v>
      </c>
      <c r="F160" s="43" t="s">
        <v>70</v>
      </c>
      <c r="G160" s="44">
        <v>1.0E7</v>
      </c>
      <c r="H160" s="43">
        <v>0.0</v>
      </c>
      <c r="I160" s="43" t="s">
        <v>781</v>
      </c>
      <c r="J160" s="43"/>
      <c r="K160" s="43"/>
      <c r="L160" s="43" t="s">
        <v>948</v>
      </c>
      <c r="M160" s="43" t="s">
        <v>772</v>
      </c>
      <c r="N160" s="43">
        <v>1.0</v>
      </c>
      <c r="O160" s="43">
        <v>7.0</v>
      </c>
      <c r="P160" s="43"/>
      <c r="Q160" s="46" t="s">
        <v>1463</v>
      </c>
      <c r="R160" s="46" t="s">
        <v>1464</v>
      </c>
      <c r="S160" s="47" t="s">
        <v>1465</v>
      </c>
      <c r="T160" s="48" t="s">
        <v>1466</v>
      </c>
      <c r="U160" s="46" t="s">
        <v>777</v>
      </c>
      <c r="V160" s="43" t="s">
        <v>1373</v>
      </c>
      <c r="W160" s="43"/>
      <c r="X160" s="50"/>
      <c r="Y160" s="50"/>
    </row>
    <row r="161" ht="12.75" hidden="1" customHeight="1">
      <c r="A161" s="43">
        <v>151.0</v>
      </c>
      <c r="B161" s="43" t="s">
        <v>100</v>
      </c>
      <c r="C161" s="43" t="s">
        <v>1189</v>
      </c>
      <c r="D161" s="43"/>
      <c r="E161" s="43" t="s">
        <v>770</v>
      </c>
      <c r="F161" s="43" t="s">
        <v>70</v>
      </c>
      <c r="G161" s="44">
        <v>7500000.0</v>
      </c>
      <c r="H161" s="43">
        <v>0.0</v>
      </c>
      <c r="I161" s="43" t="s">
        <v>858</v>
      </c>
      <c r="J161" s="43"/>
      <c r="K161" s="43"/>
      <c r="L161" s="43" t="s">
        <v>948</v>
      </c>
      <c r="M161" s="43" t="s">
        <v>772</v>
      </c>
      <c r="N161" s="43">
        <v>1.0</v>
      </c>
      <c r="O161" s="43">
        <v>7.0</v>
      </c>
      <c r="P161" s="43"/>
      <c r="Q161" s="46" t="s">
        <v>1467</v>
      </c>
      <c r="R161" s="46" t="s">
        <v>1468</v>
      </c>
      <c r="S161" s="47" t="s">
        <v>1469</v>
      </c>
      <c r="T161" s="48" t="s">
        <v>1470</v>
      </c>
      <c r="U161" s="46" t="s">
        <v>777</v>
      </c>
      <c r="V161" s="43" t="s">
        <v>1471</v>
      </c>
      <c r="W161" s="43"/>
      <c r="X161" s="50"/>
      <c r="Y161" s="50"/>
    </row>
    <row r="162" ht="12.75" customHeight="1">
      <c r="A162" s="43">
        <v>152.0</v>
      </c>
      <c r="B162" s="43" t="s">
        <v>100</v>
      </c>
      <c r="C162" s="43" t="s">
        <v>1189</v>
      </c>
      <c r="D162" s="43"/>
      <c r="E162" s="43" t="s">
        <v>770</v>
      </c>
      <c r="F162" s="43" t="s">
        <v>70</v>
      </c>
      <c r="G162" s="44">
        <v>7500000.0</v>
      </c>
      <c r="H162" s="43">
        <v>0.0</v>
      </c>
      <c r="I162" s="51" t="s">
        <v>1472</v>
      </c>
      <c r="J162" s="51" t="s">
        <v>1472</v>
      </c>
      <c r="K162" s="43"/>
      <c r="L162" s="43" t="s">
        <v>948</v>
      </c>
      <c r="M162" s="43" t="s">
        <v>772</v>
      </c>
      <c r="N162" s="43">
        <v>1.0</v>
      </c>
      <c r="O162" s="43">
        <v>7.0</v>
      </c>
      <c r="P162" s="43"/>
      <c r="Q162" s="46" t="s">
        <v>1473</v>
      </c>
      <c r="R162" s="46" t="s">
        <v>1474</v>
      </c>
      <c r="S162" s="47" t="s">
        <v>1475</v>
      </c>
      <c r="T162" s="48" t="s">
        <v>1476</v>
      </c>
      <c r="U162" s="46" t="s">
        <v>777</v>
      </c>
      <c r="V162" s="43" t="s">
        <v>1477</v>
      </c>
      <c r="W162" s="51" t="s">
        <v>1199</v>
      </c>
      <c r="X162" s="50"/>
      <c r="Y162" s="52"/>
    </row>
    <row r="163" ht="12.75" hidden="1" customHeight="1">
      <c r="A163" s="43">
        <v>153.0</v>
      </c>
      <c r="B163" s="43" t="s">
        <v>100</v>
      </c>
      <c r="C163" s="43" t="s">
        <v>1189</v>
      </c>
      <c r="D163" s="43"/>
      <c r="E163" s="43" t="s">
        <v>770</v>
      </c>
      <c r="F163" s="43" t="s">
        <v>70</v>
      </c>
      <c r="G163" s="44">
        <v>7500000.0</v>
      </c>
      <c r="H163" s="43">
        <v>0.0</v>
      </c>
      <c r="I163" s="43" t="s">
        <v>858</v>
      </c>
      <c r="J163" s="43"/>
      <c r="K163" s="43"/>
      <c r="L163" s="43" t="s">
        <v>948</v>
      </c>
      <c r="M163" s="43" t="s">
        <v>772</v>
      </c>
      <c r="N163" s="43">
        <v>1.0</v>
      </c>
      <c r="O163" s="43">
        <v>7.0</v>
      </c>
      <c r="P163" s="43"/>
      <c r="Q163" s="46" t="s">
        <v>1478</v>
      </c>
      <c r="R163" s="46" t="s">
        <v>1479</v>
      </c>
      <c r="S163" s="47" t="s">
        <v>1480</v>
      </c>
      <c r="T163" s="48" t="s">
        <v>1481</v>
      </c>
      <c r="U163" s="46" t="s">
        <v>777</v>
      </c>
      <c r="V163" s="43" t="s">
        <v>1482</v>
      </c>
      <c r="W163" s="43"/>
      <c r="X163" s="50"/>
      <c r="Y163" s="50"/>
    </row>
    <row r="164" ht="12.75" hidden="1" customHeight="1">
      <c r="A164" s="43">
        <v>154.0</v>
      </c>
      <c r="B164" s="43" t="s">
        <v>100</v>
      </c>
      <c r="C164" s="43" t="s">
        <v>1189</v>
      </c>
      <c r="D164" s="43"/>
      <c r="E164" s="43" t="s">
        <v>770</v>
      </c>
      <c r="F164" s="43" t="s">
        <v>70</v>
      </c>
      <c r="G164" s="44">
        <v>7500000.0</v>
      </c>
      <c r="H164" s="43">
        <v>0.0</v>
      </c>
      <c r="I164" s="43" t="s">
        <v>858</v>
      </c>
      <c r="J164" s="43"/>
      <c r="K164" s="43"/>
      <c r="L164" s="43" t="s">
        <v>948</v>
      </c>
      <c r="M164" s="43" t="s">
        <v>772</v>
      </c>
      <c r="N164" s="43">
        <v>1.0</v>
      </c>
      <c r="O164" s="43">
        <v>7.0</v>
      </c>
      <c r="P164" s="43"/>
      <c r="Q164" s="46" t="s">
        <v>1483</v>
      </c>
      <c r="R164" s="46" t="s">
        <v>1484</v>
      </c>
      <c r="S164" s="47" t="s">
        <v>1485</v>
      </c>
      <c r="T164" s="48" t="s">
        <v>1486</v>
      </c>
      <c r="U164" s="46" t="s">
        <v>777</v>
      </c>
      <c r="V164" s="43" t="s">
        <v>1487</v>
      </c>
      <c r="W164" s="43"/>
      <c r="X164" s="50"/>
      <c r="Y164" s="50"/>
    </row>
    <row r="165" ht="12.75" hidden="1" customHeight="1">
      <c r="A165" s="43">
        <v>155.0</v>
      </c>
      <c r="B165" s="43" t="s">
        <v>100</v>
      </c>
      <c r="C165" s="43" t="s">
        <v>1189</v>
      </c>
      <c r="D165" s="43"/>
      <c r="E165" s="43" t="s">
        <v>770</v>
      </c>
      <c r="F165" s="43" t="s">
        <v>70</v>
      </c>
      <c r="G165" s="44">
        <v>7500000.0</v>
      </c>
      <c r="H165" s="43">
        <v>0.0</v>
      </c>
      <c r="I165" s="43" t="s">
        <v>858</v>
      </c>
      <c r="J165" s="43"/>
      <c r="K165" s="43"/>
      <c r="L165" s="43" t="s">
        <v>948</v>
      </c>
      <c r="M165" s="43" t="s">
        <v>772</v>
      </c>
      <c r="N165" s="43">
        <v>1.0</v>
      </c>
      <c r="O165" s="43">
        <v>7.0</v>
      </c>
      <c r="P165" s="43"/>
      <c r="Q165" s="46" t="s">
        <v>1488</v>
      </c>
      <c r="R165" s="46" t="s">
        <v>1489</v>
      </c>
      <c r="S165" s="47" t="s">
        <v>1490</v>
      </c>
      <c r="T165" s="48" t="s">
        <v>1491</v>
      </c>
      <c r="U165" s="46" t="s">
        <v>777</v>
      </c>
      <c r="V165" s="43" t="s">
        <v>1492</v>
      </c>
      <c r="W165" s="43"/>
      <c r="X165" s="50"/>
      <c r="Y165" s="50"/>
    </row>
    <row r="166" ht="12.75" hidden="1" customHeight="1">
      <c r="A166" s="68">
        <v>156.0</v>
      </c>
      <c r="B166" s="68" t="s">
        <v>100</v>
      </c>
      <c r="C166" s="68" t="s">
        <v>1189</v>
      </c>
      <c r="D166" s="68"/>
      <c r="E166" s="68" t="s">
        <v>770</v>
      </c>
      <c r="F166" s="68" t="s">
        <v>70</v>
      </c>
      <c r="G166" s="70">
        <v>7500000.0</v>
      </c>
      <c r="H166" s="68">
        <v>0.0</v>
      </c>
      <c r="I166" s="68" t="s">
        <v>858</v>
      </c>
      <c r="J166" s="68"/>
      <c r="K166" s="68"/>
      <c r="L166" s="68" t="s">
        <v>948</v>
      </c>
      <c r="M166" s="68" t="s">
        <v>772</v>
      </c>
      <c r="N166" s="68">
        <v>1.0</v>
      </c>
      <c r="O166" s="68">
        <v>7.0</v>
      </c>
      <c r="P166" s="68"/>
      <c r="Q166" s="94" t="s">
        <v>1493</v>
      </c>
      <c r="R166" s="94" t="s">
        <v>1494</v>
      </c>
      <c r="S166" s="95" t="s">
        <v>1495</v>
      </c>
      <c r="T166" s="96" t="s">
        <v>1496</v>
      </c>
      <c r="U166" s="94" t="s">
        <v>777</v>
      </c>
      <c r="V166" s="68" t="s">
        <v>1497</v>
      </c>
      <c r="W166" s="69" t="s">
        <v>1334</v>
      </c>
      <c r="X166" s="75"/>
      <c r="Y166" s="76"/>
    </row>
    <row r="167" ht="12.75" hidden="1" customHeight="1">
      <c r="A167" s="43">
        <v>157.0</v>
      </c>
      <c r="B167" s="43" t="s">
        <v>100</v>
      </c>
      <c r="C167" s="43" t="s">
        <v>1189</v>
      </c>
      <c r="D167" s="43"/>
      <c r="E167" s="43" t="s">
        <v>770</v>
      </c>
      <c r="F167" s="43" t="s">
        <v>70</v>
      </c>
      <c r="G167" s="44">
        <v>5500000.0</v>
      </c>
      <c r="H167" s="43">
        <v>0.0</v>
      </c>
      <c r="I167" s="43" t="s">
        <v>858</v>
      </c>
      <c r="J167" s="43"/>
      <c r="K167" s="43"/>
      <c r="L167" s="43" t="s">
        <v>948</v>
      </c>
      <c r="M167" s="43" t="s">
        <v>772</v>
      </c>
      <c r="N167" s="43">
        <v>1.0</v>
      </c>
      <c r="O167" s="43">
        <v>7.0</v>
      </c>
      <c r="P167" s="43"/>
      <c r="Q167" s="46" t="s">
        <v>1498</v>
      </c>
      <c r="R167" s="46" t="s">
        <v>1499</v>
      </c>
      <c r="S167" s="47" t="s">
        <v>1500</v>
      </c>
      <c r="T167" s="48" t="s">
        <v>1501</v>
      </c>
      <c r="U167" s="46" t="s">
        <v>777</v>
      </c>
      <c r="V167" s="43" t="s">
        <v>1502</v>
      </c>
      <c r="W167" s="43"/>
      <c r="X167" s="50"/>
      <c r="Y167" s="50"/>
    </row>
    <row r="168" ht="12.75" customHeight="1">
      <c r="A168" s="68">
        <v>158.0</v>
      </c>
      <c r="B168" s="68" t="s">
        <v>100</v>
      </c>
      <c r="C168" s="68" t="s">
        <v>1189</v>
      </c>
      <c r="D168" s="69" t="s">
        <v>1379</v>
      </c>
      <c r="E168" s="68" t="s">
        <v>770</v>
      </c>
      <c r="F168" s="68" t="s">
        <v>70</v>
      </c>
      <c r="G168" s="70">
        <v>5500000.0</v>
      </c>
      <c r="H168" s="68">
        <v>0.0</v>
      </c>
      <c r="I168" s="68" t="s">
        <v>858</v>
      </c>
      <c r="J168" s="69" t="s">
        <v>1379</v>
      </c>
      <c r="K168" s="68"/>
      <c r="L168" s="68" t="s">
        <v>948</v>
      </c>
      <c r="M168" s="68" t="s">
        <v>772</v>
      </c>
      <c r="N168" s="68">
        <v>1.0</v>
      </c>
      <c r="O168" s="68">
        <v>7.0</v>
      </c>
      <c r="P168" s="68"/>
      <c r="Q168" s="94" t="s">
        <v>1503</v>
      </c>
      <c r="R168" s="94" t="s">
        <v>1504</v>
      </c>
      <c r="S168" s="95" t="s">
        <v>1505</v>
      </c>
      <c r="T168" s="98" t="s">
        <v>1506</v>
      </c>
      <c r="U168" s="94" t="s">
        <v>777</v>
      </c>
      <c r="V168" s="68" t="s">
        <v>1052</v>
      </c>
      <c r="W168" s="69" t="s">
        <v>1226</v>
      </c>
      <c r="X168" s="93"/>
      <c r="Y168" s="52"/>
    </row>
    <row r="169" ht="12.75" hidden="1" customHeight="1">
      <c r="A169" s="43">
        <v>159.0</v>
      </c>
      <c r="B169" s="43" t="s">
        <v>100</v>
      </c>
      <c r="C169" s="43" t="s">
        <v>1189</v>
      </c>
      <c r="D169" s="51" t="s">
        <v>1379</v>
      </c>
      <c r="E169" s="43" t="s">
        <v>770</v>
      </c>
      <c r="F169" s="43" t="s">
        <v>70</v>
      </c>
      <c r="G169" s="44">
        <v>5500000.0</v>
      </c>
      <c r="H169" s="43">
        <v>0.0</v>
      </c>
      <c r="I169" s="43" t="s">
        <v>858</v>
      </c>
      <c r="J169" s="51" t="s">
        <v>1379</v>
      </c>
      <c r="K169" s="43"/>
      <c r="L169" s="43" t="s">
        <v>948</v>
      </c>
      <c r="M169" s="43" t="s">
        <v>772</v>
      </c>
      <c r="N169" s="43">
        <v>1.0</v>
      </c>
      <c r="O169" s="43">
        <v>7.0</v>
      </c>
      <c r="P169" s="43"/>
      <c r="Q169" s="43" t="s">
        <v>1507</v>
      </c>
      <c r="R169" s="43" t="s">
        <v>1508</v>
      </c>
      <c r="S169" s="53" t="s">
        <v>1509</v>
      </c>
      <c r="T169" s="59">
        <v>0.0</v>
      </c>
      <c r="U169" s="43"/>
      <c r="V169" s="49" t="s">
        <v>1510</v>
      </c>
      <c r="W169" s="51"/>
      <c r="X169" s="50"/>
      <c r="Y169" s="50"/>
    </row>
    <row r="170" ht="12.75" hidden="1" customHeight="1">
      <c r="A170" s="43">
        <v>160.0</v>
      </c>
      <c r="B170" s="43" t="s">
        <v>100</v>
      </c>
      <c r="C170" s="43" t="s">
        <v>1189</v>
      </c>
      <c r="D170" s="43"/>
      <c r="E170" s="43" t="s">
        <v>770</v>
      </c>
      <c r="F170" s="43" t="s">
        <v>70</v>
      </c>
      <c r="G170" s="44">
        <v>5500000.0</v>
      </c>
      <c r="H170" s="43">
        <v>0.0</v>
      </c>
      <c r="I170" s="43" t="s">
        <v>858</v>
      </c>
      <c r="J170" s="43"/>
      <c r="K170" s="43"/>
      <c r="L170" s="43" t="s">
        <v>948</v>
      </c>
      <c r="M170" s="43" t="s">
        <v>772</v>
      </c>
      <c r="N170" s="43">
        <v>1.0</v>
      </c>
      <c r="O170" s="43">
        <v>7.0</v>
      </c>
      <c r="P170" s="43"/>
      <c r="Q170" s="46" t="s">
        <v>1511</v>
      </c>
      <c r="R170" s="46" t="s">
        <v>1512</v>
      </c>
      <c r="S170" s="47" t="s">
        <v>1513</v>
      </c>
      <c r="T170" s="48" t="s">
        <v>1514</v>
      </c>
      <c r="U170" s="46" t="s">
        <v>777</v>
      </c>
      <c r="V170" s="43" t="s">
        <v>1515</v>
      </c>
      <c r="W170" s="43"/>
      <c r="X170" s="50"/>
      <c r="Y170" s="50"/>
    </row>
    <row r="171" ht="12.75" hidden="1" customHeight="1">
      <c r="A171" s="43">
        <v>161.0</v>
      </c>
      <c r="B171" s="43" t="s">
        <v>100</v>
      </c>
      <c r="C171" s="43" t="s">
        <v>1189</v>
      </c>
      <c r="D171" s="51" t="s">
        <v>1379</v>
      </c>
      <c r="E171" s="43" t="s">
        <v>770</v>
      </c>
      <c r="F171" s="43" t="s">
        <v>70</v>
      </c>
      <c r="G171" s="44">
        <v>5500000.0</v>
      </c>
      <c r="H171" s="43">
        <v>0.0</v>
      </c>
      <c r="I171" s="43" t="s">
        <v>858</v>
      </c>
      <c r="J171" s="43"/>
      <c r="K171" s="43"/>
      <c r="L171" s="43" t="s">
        <v>948</v>
      </c>
      <c r="M171" s="43" t="s">
        <v>772</v>
      </c>
      <c r="N171" s="43">
        <v>1.0</v>
      </c>
      <c r="O171" s="43">
        <v>7.0</v>
      </c>
      <c r="P171" s="43"/>
      <c r="Q171" s="46" t="s">
        <v>1516</v>
      </c>
      <c r="R171" s="46" t="s">
        <v>1517</v>
      </c>
      <c r="S171" s="47" t="s">
        <v>1518</v>
      </c>
      <c r="T171" s="48" t="s">
        <v>1519</v>
      </c>
      <c r="U171" s="46" t="s">
        <v>777</v>
      </c>
      <c r="V171" s="77" t="s">
        <v>1070</v>
      </c>
      <c r="W171" s="43"/>
      <c r="X171" s="50"/>
      <c r="Y171" s="50"/>
    </row>
    <row r="172" ht="12.75" hidden="1" customHeight="1">
      <c r="A172" s="43">
        <v>162.0</v>
      </c>
      <c r="B172" s="43" t="s">
        <v>100</v>
      </c>
      <c r="C172" s="43" t="s">
        <v>1189</v>
      </c>
      <c r="D172" s="43"/>
      <c r="E172" s="43" t="s">
        <v>770</v>
      </c>
      <c r="F172" s="43" t="s">
        <v>70</v>
      </c>
      <c r="G172" s="44">
        <v>7500000.0</v>
      </c>
      <c r="H172" s="43">
        <v>0.0</v>
      </c>
      <c r="I172" s="43" t="s">
        <v>858</v>
      </c>
      <c r="J172" s="43"/>
      <c r="K172" s="43"/>
      <c r="L172" s="43" t="s">
        <v>948</v>
      </c>
      <c r="M172" s="43" t="s">
        <v>772</v>
      </c>
      <c r="N172" s="43">
        <v>1.0</v>
      </c>
      <c r="O172" s="43">
        <v>7.0</v>
      </c>
      <c r="P172" s="43"/>
      <c r="Q172" s="46" t="s">
        <v>1520</v>
      </c>
      <c r="R172" s="46" t="s">
        <v>1521</v>
      </c>
      <c r="S172" s="47" t="s">
        <v>1522</v>
      </c>
      <c r="T172" s="48" t="s">
        <v>1523</v>
      </c>
      <c r="U172" s="46" t="s">
        <v>777</v>
      </c>
      <c r="V172" s="43" t="s">
        <v>1524</v>
      </c>
      <c r="W172" s="43"/>
      <c r="X172" s="50"/>
      <c r="Y172" s="50"/>
    </row>
    <row r="173" ht="12.75" hidden="1" customHeight="1">
      <c r="A173" s="43">
        <v>163.0</v>
      </c>
      <c r="B173" s="43" t="s">
        <v>100</v>
      </c>
      <c r="C173" s="43" t="s">
        <v>1189</v>
      </c>
      <c r="D173" s="43"/>
      <c r="E173" s="43" t="s">
        <v>770</v>
      </c>
      <c r="F173" s="43" t="s">
        <v>70</v>
      </c>
      <c r="G173" s="44">
        <v>7500000.0</v>
      </c>
      <c r="H173" s="43">
        <v>0.0</v>
      </c>
      <c r="I173" s="43" t="s">
        <v>858</v>
      </c>
      <c r="J173" s="43"/>
      <c r="K173" s="43"/>
      <c r="L173" s="43" t="s">
        <v>948</v>
      </c>
      <c r="M173" s="43" t="s">
        <v>772</v>
      </c>
      <c r="N173" s="43">
        <v>1.0</v>
      </c>
      <c r="O173" s="43">
        <v>7.0</v>
      </c>
      <c r="P173" s="43"/>
      <c r="Q173" s="43" t="s">
        <v>1525</v>
      </c>
      <c r="R173" s="43" t="s">
        <v>1526</v>
      </c>
      <c r="S173" s="53" t="s">
        <v>1527</v>
      </c>
      <c r="T173" s="59">
        <v>0.0</v>
      </c>
      <c r="U173" s="43"/>
      <c r="V173" s="43" t="s">
        <v>1528</v>
      </c>
      <c r="W173" s="43"/>
      <c r="X173" s="50"/>
      <c r="Y173" s="50"/>
    </row>
    <row r="174" ht="12.75" hidden="1" customHeight="1">
      <c r="A174" s="43">
        <v>164.0</v>
      </c>
      <c r="B174" s="43" t="s">
        <v>100</v>
      </c>
      <c r="C174" s="43" t="s">
        <v>1189</v>
      </c>
      <c r="D174" s="43"/>
      <c r="E174" s="43" t="s">
        <v>770</v>
      </c>
      <c r="F174" s="43" t="s">
        <v>70</v>
      </c>
      <c r="G174" s="44">
        <v>7500000.0</v>
      </c>
      <c r="H174" s="43">
        <v>0.0</v>
      </c>
      <c r="I174" s="43" t="s">
        <v>858</v>
      </c>
      <c r="J174" s="43"/>
      <c r="K174" s="43"/>
      <c r="L174" s="43" t="s">
        <v>948</v>
      </c>
      <c r="M174" s="43" t="s">
        <v>772</v>
      </c>
      <c r="N174" s="43">
        <v>1.0</v>
      </c>
      <c r="O174" s="43">
        <v>7.0</v>
      </c>
      <c r="P174" s="43"/>
      <c r="Q174" s="46" t="s">
        <v>1529</v>
      </c>
      <c r="R174" s="46" t="s">
        <v>1530</v>
      </c>
      <c r="S174" s="47" t="s">
        <v>1527</v>
      </c>
      <c r="T174" s="48" t="s">
        <v>1531</v>
      </c>
      <c r="U174" s="46" t="s">
        <v>777</v>
      </c>
      <c r="V174" s="43" t="s">
        <v>1532</v>
      </c>
      <c r="W174" s="43"/>
      <c r="X174" s="50"/>
      <c r="Y174" s="50"/>
    </row>
    <row r="175" ht="12.75" hidden="1" customHeight="1">
      <c r="A175" s="43">
        <v>165.0</v>
      </c>
      <c r="B175" s="43" t="s">
        <v>100</v>
      </c>
      <c r="C175" s="43" t="s">
        <v>1189</v>
      </c>
      <c r="D175" s="43"/>
      <c r="E175" s="43" t="s">
        <v>770</v>
      </c>
      <c r="F175" s="43" t="s">
        <v>70</v>
      </c>
      <c r="G175" s="44">
        <v>5500000.0</v>
      </c>
      <c r="H175" s="43">
        <v>0.0</v>
      </c>
      <c r="I175" s="43" t="s">
        <v>858</v>
      </c>
      <c r="J175" s="43"/>
      <c r="K175" s="43"/>
      <c r="L175" s="43" t="s">
        <v>948</v>
      </c>
      <c r="M175" s="43" t="s">
        <v>772</v>
      </c>
      <c r="N175" s="43">
        <v>1.0</v>
      </c>
      <c r="O175" s="43">
        <v>7.0</v>
      </c>
      <c r="P175" s="43"/>
      <c r="Q175" s="46" t="s">
        <v>1533</v>
      </c>
      <c r="R175" s="46" t="s">
        <v>1534</v>
      </c>
      <c r="S175" s="47" t="s">
        <v>1535</v>
      </c>
      <c r="T175" s="48" t="s">
        <v>1536</v>
      </c>
      <c r="U175" s="46" t="s">
        <v>777</v>
      </c>
      <c r="V175" s="43" t="s">
        <v>1537</v>
      </c>
      <c r="W175" s="43"/>
      <c r="X175" s="50"/>
      <c r="Y175" s="50"/>
    </row>
    <row r="176" ht="12.75" customHeight="1">
      <c r="A176" s="43">
        <v>166.0</v>
      </c>
      <c r="B176" s="43" t="s">
        <v>100</v>
      </c>
      <c r="C176" s="43" t="s">
        <v>1189</v>
      </c>
      <c r="D176" s="51" t="s">
        <v>1538</v>
      </c>
      <c r="E176" s="43" t="s">
        <v>770</v>
      </c>
      <c r="F176" s="51" t="s">
        <v>931</v>
      </c>
      <c r="G176" s="44">
        <v>7500000.0</v>
      </c>
      <c r="H176" s="43">
        <v>0.0</v>
      </c>
      <c r="I176" s="43" t="s">
        <v>858</v>
      </c>
      <c r="J176" s="51" t="s">
        <v>1538</v>
      </c>
      <c r="K176" s="43"/>
      <c r="L176" s="43" t="s">
        <v>948</v>
      </c>
      <c r="M176" s="43" t="s">
        <v>772</v>
      </c>
      <c r="N176" s="43">
        <v>1.0</v>
      </c>
      <c r="O176" s="43">
        <v>7.0</v>
      </c>
      <c r="P176" s="43"/>
      <c r="Q176" s="46" t="s">
        <v>1539</v>
      </c>
      <c r="R176" s="46" t="s">
        <v>1540</v>
      </c>
      <c r="S176" s="47" t="s">
        <v>1541</v>
      </c>
      <c r="T176" s="48" t="s">
        <v>1542</v>
      </c>
      <c r="U176" s="46" t="s">
        <v>777</v>
      </c>
      <c r="V176" s="77" t="s">
        <v>1543</v>
      </c>
      <c r="W176" s="51" t="s">
        <v>1544</v>
      </c>
      <c r="X176" s="50"/>
      <c r="Y176" s="99"/>
    </row>
    <row r="177" ht="12.75" hidden="1" customHeight="1">
      <c r="A177" s="43">
        <v>167.0</v>
      </c>
      <c r="B177" s="43" t="s">
        <v>100</v>
      </c>
      <c r="C177" s="43" t="s">
        <v>1189</v>
      </c>
      <c r="D177" s="43"/>
      <c r="E177" s="43" t="s">
        <v>770</v>
      </c>
      <c r="F177" s="43" t="s">
        <v>70</v>
      </c>
      <c r="G177" s="44">
        <v>7500000.0</v>
      </c>
      <c r="H177" s="43">
        <v>0.0</v>
      </c>
      <c r="I177" s="43" t="s">
        <v>858</v>
      </c>
      <c r="J177" s="43"/>
      <c r="K177" s="43"/>
      <c r="L177" s="43" t="s">
        <v>948</v>
      </c>
      <c r="M177" s="43" t="s">
        <v>772</v>
      </c>
      <c r="N177" s="43">
        <v>1.0</v>
      </c>
      <c r="O177" s="43">
        <v>7.0</v>
      </c>
      <c r="P177" s="43"/>
      <c r="Q177" s="46" t="s">
        <v>1545</v>
      </c>
      <c r="R177" s="46" t="s">
        <v>1546</v>
      </c>
      <c r="S177" s="47" t="s">
        <v>1547</v>
      </c>
      <c r="T177" s="48" t="s">
        <v>1548</v>
      </c>
      <c r="U177" s="46" t="s">
        <v>777</v>
      </c>
      <c r="V177" s="43" t="s">
        <v>1549</v>
      </c>
      <c r="W177" s="43"/>
      <c r="X177" s="50"/>
      <c r="Y177" s="50"/>
    </row>
    <row r="178" ht="12.75" hidden="1" customHeight="1">
      <c r="A178" s="43">
        <v>168.0</v>
      </c>
      <c r="B178" s="43" t="s">
        <v>100</v>
      </c>
      <c r="C178" s="43" t="s">
        <v>1189</v>
      </c>
      <c r="D178" s="43"/>
      <c r="E178" s="43" t="s">
        <v>770</v>
      </c>
      <c r="F178" s="43" t="s">
        <v>70</v>
      </c>
      <c r="G178" s="44">
        <v>7500000.0</v>
      </c>
      <c r="H178" s="43">
        <v>0.0</v>
      </c>
      <c r="I178" s="43" t="s">
        <v>858</v>
      </c>
      <c r="J178" s="43"/>
      <c r="K178" s="43"/>
      <c r="L178" s="43" t="s">
        <v>948</v>
      </c>
      <c r="M178" s="43" t="s">
        <v>772</v>
      </c>
      <c r="N178" s="43">
        <v>1.0</v>
      </c>
      <c r="O178" s="43">
        <v>7.0</v>
      </c>
      <c r="P178" s="43"/>
      <c r="Q178" s="46" t="s">
        <v>1550</v>
      </c>
      <c r="R178" s="46" t="s">
        <v>1551</v>
      </c>
      <c r="S178" s="47" t="s">
        <v>1552</v>
      </c>
      <c r="T178" s="48" t="s">
        <v>1553</v>
      </c>
      <c r="U178" s="46" t="s">
        <v>777</v>
      </c>
      <c r="V178" s="43" t="s">
        <v>1554</v>
      </c>
      <c r="W178" s="43"/>
      <c r="X178" s="50"/>
      <c r="Y178" s="50"/>
    </row>
    <row r="179" ht="12.75" hidden="1" customHeight="1">
      <c r="A179" s="43">
        <v>169.0</v>
      </c>
      <c r="B179" s="43" t="s">
        <v>100</v>
      </c>
      <c r="C179" s="43" t="s">
        <v>100</v>
      </c>
      <c r="D179" s="43"/>
      <c r="E179" s="43" t="s">
        <v>770</v>
      </c>
      <c r="F179" s="43" t="s">
        <v>70</v>
      </c>
      <c r="G179" s="44">
        <v>1.1E7</v>
      </c>
      <c r="H179" s="43">
        <v>0.0</v>
      </c>
      <c r="I179" s="43" t="s">
        <v>781</v>
      </c>
      <c r="J179" s="43"/>
      <c r="K179" s="43"/>
      <c r="L179" s="43" t="s">
        <v>948</v>
      </c>
      <c r="M179" s="43" t="s">
        <v>772</v>
      </c>
      <c r="N179" s="43">
        <v>1.0</v>
      </c>
      <c r="O179" s="43">
        <v>7.0</v>
      </c>
      <c r="P179" s="43"/>
      <c r="Q179" s="46" t="s">
        <v>1555</v>
      </c>
      <c r="R179" s="46" t="s">
        <v>1556</v>
      </c>
      <c r="S179" s="47" t="s">
        <v>1557</v>
      </c>
      <c r="T179" s="48" t="s">
        <v>1558</v>
      </c>
      <c r="U179" s="46" t="s">
        <v>777</v>
      </c>
      <c r="V179" s="43" t="s">
        <v>952</v>
      </c>
      <c r="W179" s="43"/>
      <c r="X179" s="50"/>
      <c r="Y179" s="50"/>
    </row>
    <row r="180" ht="12.75" hidden="1" customHeight="1">
      <c r="A180" s="43">
        <v>170.0</v>
      </c>
      <c r="B180" s="43" t="s">
        <v>100</v>
      </c>
      <c r="C180" s="43" t="s">
        <v>100</v>
      </c>
      <c r="D180" s="51" t="s">
        <v>1355</v>
      </c>
      <c r="E180" s="43" t="s">
        <v>770</v>
      </c>
      <c r="F180" s="43" t="s">
        <v>70</v>
      </c>
      <c r="G180" s="44">
        <v>9000000.0</v>
      </c>
      <c r="H180" s="43">
        <v>0.0</v>
      </c>
      <c r="I180" s="43" t="s">
        <v>781</v>
      </c>
      <c r="J180" s="43"/>
      <c r="K180" s="43"/>
      <c r="L180" s="43" t="s">
        <v>948</v>
      </c>
      <c r="M180" s="43" t="s">
        <v>772</v>
      </c>
      <c r="N180" s="43">
        <v>1.0</v>
      </c>
      <c r="O180" s="43">
        <v>7.0</v>
      </c>
      <c r="P180" s="43"/>
      <c r="Q180" s="46" t="s">
        <v>1559</v>
      </c>
      <c r="R180" s="46" t="s">
        <v>1560</v>
      </c>
      <c r="S180" s="47" t="s">
        <v>1561</v>
      </c>
      <c r="T180" s="48" t="s">
        <v>1562</v>
      </c>
      <c r="U180" s="46" t="s">
        <v>777</v>
      </c>
      <c r="V180" s="43" t="s">
        <v>1270</v>
      </c>
      <c r="W180" s="43"/>
      <c r="X180" s="50"/>
      <c r="Y180" s="50"/>
    </row>
    <row r="181" ht="12.75" hidden="1" customHeight="1">
      <c r="A181" s="43">
        <v>171.0</v>
      </c>
      <c r="B181" s="43" t="s">
        <v>100</v>
      </c>
      <c r="C181" s="43" t="s">
        <v>100</v>
      </c>
      <c r="D181" s="43"/>
      <c r="E181" s="43" t="s">
        <v>770</v>
      </c>
      <c r="F181" s="43" t="s">
        <v>70</v>
      </c>
      <c r="G181" s="44">
        <v>1.0E7</v>
      </c>
      <c r="H181" s="43">
        <v>0.0</v>
      </c>
      <c r="I181" s="43" t="s">
        <v>781</v>
      </c>
      <c r="J181" s="43"/>
      <c r="K181" s="43"/>
      <c r="L181" s="43" t="s">
        <v>948</v>
      </c>
      <c r="M181" s="43" t="s">
        <v>772</v>
      </c>
      <c r="N181" s="43">
        <v>1.0</v>
      </c>
      <c r="O181" s="43">
        <v>7.0</v>
      </c>
      <c r="P181" s="43"/>
      <c r="Q181" s="46" t="s">
        <v>1563</v>
      </c>
      <c r="R181" s="46" t="s">
        <v>1564</v>
      </c>
      <c r="S181" s="47" t="s">
        <v>1565</v>
      </c>
      <c r="T181" s="48" t="s">
        <v>1566</v>
      </c>
      <c r="U181" s="46" t="s">
        <v>777</v>
      </c>
      <c r="V181" s="43" t="s">
        <v>1270</v>
      </c>
      <c r="W181" s="43"/>
      <c r="X181" s="50"/>
      <c r="Y181" s="50"/>
    </row>
    <row r="182" ht="12.75" hidden="1" customHeight="1">
      <c r="A182" s="43">
        <v>172.0</v>
      </c>
      <c r="B182" s="43" t="s">
        <v>100</v>
      </c>
      <c r="C182" s="43" t="s">
        <v>100</v>
      </c>
      <c r="D182" s="43"/>
      <c r="E182" s="43" t="s">
        <v>770</v>
      </c>
      <c r="F182" s="43" t="s">
        <v>70</v>
      </c>
      <c r="G182" s="44">
        <v>9000000.0</v>
      </c>
      <c r="H182" s="43">
        <v>0.0</v>
      </c>
      <c r="I182" s="43" t="s">
        <v>781</v>
      </c>
      <c r="J182" s="43"/>
      <c r="K182" s="43"/>
      <c r="L182" s="43" t="s">
        <v>948</v>
      </c>
      <c r="M182" s="43" t="s">
        <v>772</v>
      </c>
      <c r="N182" s="43">
        <v>1.0</v>
      </c>
      <c r="O182" s="43">
        <v>7.0</v>
      </c>
      <c r="P182" s="43"/>
      <c r="Q182" s="46" t="s">
        <v>1567</v>
      </c>
      <c r="R182" s="46" t="s">
        <v>1568</v>
      </c>
      <c r="S182" s="47" t="s">
        <v>1569</v>
      </c>
      <c r="T182" s="48" t="s">
        <v>1570</v>
      </c>
      <c r="U182" s="46" t="s">
        <v>777</v>
      </c>
      <c r="V182" s="43" t="s">
        <v>1344</v>
      </c>
      <c r="W182" s="43"/>
      <c r="X182" s="50"/>
      <c r="Y182" s="50"/>
    </row>
    <row r="183" ht="12.75" hidden="1" customHeight="1">
      <c r="A183" s="43">
        <v>173.0</v>
      </c>
      <c r="B183" s="43" t="s">
        <v>100</v>
      </c>
      <c r="C183" s="43" t="s">
        <v>100</v>
      </c>
      <c r="D183" s="51" t="s">
        <v>1411</v>
      </c>
      <c r="E183" s="43" t="s">
        <v>770</v>
      </c>
      <c r="F183" s="43" t="s">
        <v>70</v>
      </c>
      <c r="G183" s="44">
        <v>1.2825E7</v>
      </c>
      <c r="H183" s="43">
        <v>0.0</v>
      </c>
      <c r="I183" s="43" t="s">
        <v>781</v>
      </c>
      <c r="J183" s="43"/>
      <c r="K183" s="43"/>
      <c r="L183" s="43" t="s">
        <v>37</v>
      </c>
      <c r="M183" s="43" t="s">
        <v>772</v>
      </c>
      <c r="N183" s="43">
        <v>1.0</v>
      </c>
      <c r="O183" s="43">
        <v>7.0</v>
      </c>
      <c r="P183" s="43"/>
      <c r="Q183" s="46" t="s">
        <v>1571</v>
      </c>
      <c r="R183" s="46" t="s">
        <v>1572</v>
      </c>
      <c r="S183" s="47" t="s">
        <v>1573</v>
      </c>
      <c r="T183" s="48" t="s">
        <v>1574</v>
      </c>
      <c r="U183" s="46" t="s">
        <v>777</v>
      </c>
      <c r="V183" s="49" t="s">
        <v>998</v>
      </c>
      <c r="W183" s="51" t="s">
        <v>1544</v>
      </c>
      <c r="X183" s="50"/>
      <c r="Y183" s="50"/>
    </row>
    <row r="184" ht="12.75" hidden="1" customHeight="1">
      <c r="A184" s="68">
        <v>174.0</v>
      </c>
      <c r="B184" s="68" t="s">
        <v>100</v>
      </c>
      <c r="C184" s="68" t="s">
        <v>100</v>
      </c>
      <c r="D184" s="68"/>
      <c r="E184" s="68" t="s">
        <v>770</v>
      </c>
      <c r="F184" s="68" t="s">
        <v>70</v>
      </c>
      <c r="G184" s="70">
        <v>1.2825E7</v>
      </c>
      <c r="H184" s="68">
        <v>0.0</v>
      </c>
      <c r="I184" s="68" t="s">
        <v>781</v>
      </c>
      <c r="J184" s="68"/>
      <c r="K184" s="68"/>
      <c r="L184" s="68" t="s">
        <v>37</v>
      </c>
      <c r="M184" s="68" t="s">
        <v>772</v>
      </c>
      <c r="N184" s="68">
        <v>1.0</v>
      </c>
      <c r="O184" s="68">
        <v>7.0</v>
      </c>
      <c r="P184" s="68"/>
      <c r="Q184" s="94" t="s">
        <v>1575</v>
      </c>
      <c r="R184" s="94" t="s">
        <v>1576</v>
      </c>
      <c r="S184" s="95" t="s">
        <v>1577</v>
      </c>
      <c r="T184" s="96" t="s">
        <v>1578</v>
      </c>
      <c r="U184" s="94" t="s">
        <v>777</v>
      </c>
      <c r="V184" s="68" t="s">
        <v>1020</v>
      </c>
      <c r="W184" s="69" t="s">
        <v>1334</v>
      </c>
      <c r="X184" s="75"/>
      <c r="Y184" s="76"/>
    </row>
    <row r="185" ht="12.75" hidden="1" customHeight="1">
      <c r="A185" s="43">
        <v>175.0</v>
      </c>
      <c r="B185" s="43" t="s">
        <v>100</v>
      </c>
      <c r="C185" s="43" t="s">
        <v>100</v>
      </c>
      <c r="D185" s="51" t="s">
        <v>1579</v>
      </c>
      <c r="E185" s="43" t="s">
        <v>770</v>
      </c>
      <c r="F185" s="43" t="s">
        <v>70</v>
      </c>
      <c r="G185" s="44">
        <v>1.2825E7</v>
      </c>
      <c r="H185" s="43">
        <v>0.0</v>
      </c>
      <c r="I185" s="43" t="s">
        <v>781</v>
      </c>
      <c r="J185" s="43"/>
      <c r="K185" s="43"/>
      <c r="L185" s="43" t="s">
        <v>37</v>
      </c>
      <c r="M185" s="43" t="s">
        <v>772</v>
      </c>
      <c r="N185" s="43">
        <v>1.0</v>
      </c>
      <c r="O185" s="43">
        <v>7.0</v>
      </c>
      <c r="P185" s="43"/>
      <c r="Q185" s="43" t="s">
        <v>1580</v>
      </c>
      <c r="R185" s="43" t="s">
        <v>1581</v>
      </c>
      <c r="S185" s="53" t="s">
        <v>1582</v>
      </c>
      <c r="T185" s="59">
        <v>0.0</v>
      </c>
      <c r="U185" s="43"/>
      <c r="V185" s="43" t="s">
        <v>1270</v>
      </c>
      <c r="W185" s="43"/>
      <c r="X185" s="50"/>
      <c r="Y185" s="50"/>
    </row>
    <row r="186" ht="12.75" hidden="1" customHeight="1">
      <c r="A186" s="43">
        <v>176.0</v>
      </c>
      <c r="B186" s="43" t="s">
        <v>100</v>
      </c>
      <c r="C186" s="43" t="s">
        <v>100</v>
      </c>
      <c r="D186" s="43"/>
      <c r="E186" s="43" t="s">
        <v>770</v>
      </c>
      <c r="F186" s="43" t="s">
        <v>70</v>
      </c>
      <c r="G186" s="44">
        <v>1.2825E7</v>
      </c>
      <c r="H186" s="43">
        <v>0.0</v>
      </c>
      <c r="I186" s="43" t="s">
        <v>781</v>
      </c>
      <c r="J186" s="43"/>
      <c r="K186" s="43"/>
      <c r="L186" s="43" t="s">
        <v>37</v>
      </c>
      <c r="M186" s="43" t="s">
        <v>772</v>
      </c>
      <c r="N186" s="43">
        <v>1.0</v>
      </c>
      <c r="O186" s="43">
        <v>7.0</v>
      </c>
      <c r="P186" s="43"/>
      <c r="Q186" s="46" t="s">
        <v>1583</v>
      </c>
      <c r="R186" s="46" t="s">
        <v>1584</v>
      </c>
      <c r="S186" s="47" t="s">
        <v>1585</v>
      </c>
      <c r="T186" s="48" t="s">
        <v>1586</v>
      </c>
      <c r="U186" s="46" t="s">
        <v>777</v>
      </c>
      <c r="V186" s="43" t="s">
        <v>1384</v>
      </c>
      <c r="W186" s="43"/>
      <c r="X186" s="50"/>
      <c r="Y186" s="50"/>
    </row>
    <row r="187" ht="12.75" hidden="1" customHeight="1">
      <c r="A187" s="43">
        <v>177.0</v>
      </c>
      <c r="B187" s="43" t="s">
        <v>100</v>
      </c>
      <c r="C187" s="43" t="s">
        <v>100</v>
      </c>
      <c r="D187" s="43"/>
      <c r="E187" s="43" t="s">
        <v>770</v>
      </c>
      <c r="F187" s="43" t="s">
        <v>70</v>
      </c>
      <c r="G187" s="44">
        <v>1.2825E7</v>
      </c>
      <c r="H187" s="43">
        <v>0.0</v>
      </c>
      <c r="I187" s="43" t="s">
        <v>781</v>
      </c>
      <c r="J187" s="43"/>
      <c r="K187" s="43"/>
      <c r="L187" s="43" t="s">
        <v>37</v>
      </c>
      <c r="M187" s="43" t="s">
        <v>772</v>
      </c>
      <c r="N187" s="43">
        <v>1.0</v>
      </c>
      <c r="O187" s="43">
        <v>7.0</v>
      </c>
      <c r="P187" s="43"/>
      <c r="Q187" s="46" t="s">
        <v>1587</v>
      </c>
      <c r="R187" s="46" t="s">
        <v>1588</v>
      </c>
      <c r="S187" s="47" t="s">
        <v>1589</v>
      </c>
      <c r="T187" s="48" t="s">
        <v>1590</v>
      </c>
      <c r="U187" s="46" t="s">
        <v>777</v>
      </c>
      <c r="V187" s="43" t="s">
        <v>952</v>
      </c>
      <c r="W187" s="43"/>
      <c r="X187" s="50"/>
      <c r="Y187" s="50"/>
    </row>
    <row r="188" ht="12.75" hidden="1" customHeight="1">
      <c r="A188" s="43">
        <v>178.0</v>
      </c>
      <c r="B188" s="43" t="s">
        <v>100</v>
      </c>
      <c r="C188" s="43" t="s">
        <v>100</v>
      </c>
      <c r="D188" s="51" t="s">
        <v>1379</v>
      </c>
      <c r="E188" s="43" t="s">
        <v>770</v>
      </c>
      <c r="F188" s="43" t="s">
        <v>70</v>
      </c>
      <c r="G188" s="44">
        <v>1.2825E7</v>
      </c>
      <c r="H188" s="43">
        <v>0.0</v>
      </c>
      <c r="I188" s="43" t="s">
        <v>781</v>
      </c>
      <c r="J188" s="43"/>
      <c r="K188" s="43"/>
      <c r="L188" s="43" t="s">
        <v>37</v>
      </c>
      <c r="M188" s="43" t="s">
        <v>772</v>
      </c>
      <c r="N188" s="43">
        <v>1.0</v>
      </c>
      <c r="O188" s="43">
        <v>7.0</v>
      </c>
      <c r="P188" s="43"/>
      <c r="Q188" s="51" t="s">
        <v>1591</v>
      </c>
      <c r="R188" s="43" t="s">
        <v>1592</v>
      </c>
      <c r="S188" s="53" t="s">
        <v>1593</v>
      </c>
      <c r="T188" s="59">
        <v>0.0</v>
      </c>
      <c r="U188" s="43"/>
      <c r="V188" s="77" t="s">
        <v>1070</v>
      </c>
      <c r="W188" s="43"/>
      <c r="X188" s="50"/>
      <c r="Y188" s="50"/>
    </row>
    <row r="189" ht="12.75" hidden="1" customHeight="1">
      <c r="A189" s="43">
        <v>179.0</v>
      </c>
      <c r="B189" s="43" t="s">
        <v>100</v>
      </c>
      <c r="C189" s="43" t="s">
        <v>100</v>
      </c>
      <c r="D189" s="43"/>
      <c r="E189" s="43" t="s">
        <v>770</v>
      </c>
      <c r="F189" s="43" t="s">
        <v>70</v>
      </c>
      <c r="G189" s="44">
        <v>1.2825E7</v>
      </c>
      <c r="H189" s="43">
        <v>0.0</v>
      </c>
      <c r="I189" s="51" t="s">
        <v>1379</v>
      </c>
      <c r="J189" s="43"/>
      <c r="K189" s="43"/>
      <c r="L189" s="43" t="s">
        <v>37</v>
      </c>
      <c r="M189" s="43" t="s">
        <v>772</v>
      </c>
      <c r="N189" s="43">
        <v>1.0</v>
      </c>
      <c r="O189" s="43">
        <v>7.0</v>
      </c>
      <c r="P189" s="43"/>
      <c r="Q189" s="46" t="s">
        <v>1594</v>
      </c>
      <c r="R189" s="46" t="s">
        <v>1595</v>
      </c>
      <c r="S189" s="47" t="s">
        <v>1596</v>
      </c>
      <c r="T189" s="48" t="s">
        <v>1597</v>
      </c>
      <c r="U189" s="46" t="s">
        <v>777</v>
      </c>
      <c r="V189" s="43" t="s">
        <v>1198</v>
      </c>
      <c r="W189" s="51" t="s">
        <v>1598</v>
      </c>
      <c r="X189" s="29" t="s">
        <v>1599</v>
      </c>
      <c r="Y189" s="65"/>
    </row>
    <row r="190" ht="12.75" customHeight="1">
      <c r="A190" s="43">
        <v>180.0</v>
      </c>
      <c r="B190" s="43" t="s">
        <v>100</v>
      </c>
      <c r="C190" s="43" t="s">
        <v>100</v>
      </c>
      <c r="D190" s="43"/>
      <c r="E190" s="43" t="s">
        <v>770</v>
      </c>
      <c r="F190" s="43" t="s">
        <v>70</v>
      </c>
      <c r="G190" s="44">
        <v>1.2825E7</v>
      </c>
      <c r="H190" s="43">
        <v>0.0</v>
      </c>
      <c r="I190" s="43" t="s">
        <v>781</v>
      </c>
      <c r="J190" s="43"/>
      <c r="K190" s="43"/>
      <c r="L190" s="43" t="s">
        <v>37</v>
      </c>
      <c r="M190" s="43" t="s">
        <v>772</v>
      </c>
      <c r="N190" s="43">
        <v>1.0</v>
      </c>
      <c r="O190" s="43">
        <v>7.0</v>
      </c>
      <c r="P190" s="43"/>
      <c r="Q190" s="46" t="s">
        <v>1600</v>
      </c>
      <c r="R190" s="46" t="s">
        <v>1601</v>
      </c>
      <c r="S190" s="47" t="s">
        <v>1602</v>
      </c>
      <c r="T190" s="48" t="s">
        <v>1603</v>
      </c>
      <c r="U190" s="46" t="s">
        <v>777</v>
      </c>
      <c r="V190" s="43" t="s">
        <v>1364</v>
      </c>
      <c r="W190" s="51" t="s">
        <v>1226</v>
      </c>
      <c r="X190" s="65"/>
      <c r="Y190" s="52"/>
    </row>
    <row r="191" ht="12.75" hidden="1" customHeight="1">
      <c r="A191" s="43">
        <v>181.0</v>
      </c>
      <c r="B191" s="43" t="s">
        <v>100</v>
      </c>
      <c r="C191" s="43" t="s">
        <v>100</v>
      </c>
      <c r="D191" s="43"/>
      <c r="E191" s="43" t="s">
        <v>770</v>
      </c>
      <c r="F191" s="43" t="s">
        <v>70</v>
      </c>
      <c r="G191" s="44">
        <v>1.2825E7</v>
      </c>
      <c r="H191" s="43">
        <v>0.0</v>
      </c>
      <c r="I191" s="43" t="s">
        <v>781</v>
      </c>
      <c r="J191" s="43"/>
      <c r="K191" s="43"/>
      <c r="L191" s="43" t="s">
        <v>37</v>
      </c>
      <c r="M191" s="43" t="s">
        <v>772</v>
      </c>
      <c r="N191" s="43">
        <v>1.0</v>
      </c>
      <c r="O191" s="43">
        <v>7.0</v>
      </c>
      <c r="P191" s="43"/>
      <c r="Q191" s="46" t="s">
        <v>1604</v>
      </c>
      <c r="R191" s="46" t="s">
        <v>1605</v>
      </c>
      <c r="S191" s="47" t="s">
        <v>1606</v>
      </c>
      <c r="T191" s="48" t="s">
        <v>1607</v>
      </c>
      <c r="U191" s="46" t="s">
        <v>777</v>
      </c>
      <c r="V191" s="77" t="s">
        <v>1239</v>
      </c>
      <c r="W191" s="49" t="s">
        <v>1608</v>
      </c>
      <c r="X191" s="65"/>
      <c r="Y191" s="65"/>
    </row>
    <row r="192" ht="12.75" hidden="1" customHeight="1">
      <c r="A192" s="43">
        <v>182.0</v>
      </c>
      <c r="B192" s="43" t="s">
        <v>100</v>
      </c>
      <c r="C192" s="43" t="s">
        <v>100</v>
      </c>
      <c r="D192" s="43"/>
      <c r="E192" s="43" t="s">
        <v>770</v>
      </c>
      <c r="F192" s="43" t="s">
        <v>70</v>
      </c>
      <c r="G192" s="44">
        <v>1.2825E7</v>
      </c>
      <c r="H192" s="43">
        <v>0.0</v>
      </c>
      <c r="I192" s="43" t="s">
        <v>781</v>
      </c>
      <c r="J192" s="43"/>
      <c r="K192" s="43"/>
      <c r="L192" s="43" t="s">
        <v>37</v>
      </c>
      <c r="M192" s="43" t="s">
        <v>772</v>
      </c>
      <c r="N192" s="43">
        <v>1.0</v>
      </c>
      <c r="O192" s="43">
        <v>7.0</v>
      </c>
      <c r="P192" s="43"/>
      <c r="Q192" s="46" t="s">
        <v>1609</v>
      </c>
      <c r="R192" s="46" t="s">
        <v>1610</v>
      </c>
      <c r="S192" s="47" t="s">
        <v>1611</v>
      </c>
      <c r="T192" s="48" t="s">
        <v>1612</v>
      </c>
      <c r="U192" s="46" t="s">
        <v>777</v>
      </c>
      <c r="V192" s="43" t="s">
        <v>1613</v>
      </c>
      <c r="W192" s="43"/>
      <c r="X192" s="50"/>
      <c r="Y192" s="50"/>
    </row>
    <row r="193" ht="12.75" hidden="1" customHeight="1">
      <c r="A193" s="43">
        <v>183.0</v>
      </c>
      <c r="B193" s="43" t="s">
        <v>100</v>
      </c>
      <c r="C193" s="43" t="s">
        <v>100</v>
      </c>
      <c r="D193" s="43"/>
      <c r="E193" s="43" t="s">
        <v>770</v>
      </c>
      <c r="F193" s="43" t="s">
        <v>70</v>
      </c>
      <c r="G193" s="44">
        <v>1.2825E7</v>
      </c>
      <c r="H193" s="43">
        <v>0.0</v>
      </c>
      <c r="I193" s="43" t="s">
        <v>781</v>
      </c>
      <c r="J193" s="43"/>
      <c r="K193" s="43"/>
      <c r="L193" s="43" t="s">
        <v>37</v>
      </c>
      <c r="M193" s="43" t="s">
        <v>772</v>
      </c>
      <c r="N193" s="43">
        <v>1.0</v>
      </c>
      <c r="O193" s="43">
        <v>7.0</v>
      </c>
      <c r="P193" s="43"/>
      <c r="Q193" s="46" t="s">
        <v>1614</v>
      </c>
      <c r="R193" s="46" t="s">
        <v>1615</v>
      </c>
      <c r="S193" s="47" t="s">
        <v>1616</v>
      </c>
      <c r="T193" s="48" t="s">
        <v>1617</v>
      </c>
      <c r="U193" s="46" t="s">
        <v>777</v>
      </c>
      <c r="V193" s="43" t="s">
        <v>952</v>
      </c>
      <c r="W193" s="43"/>
      <c r="X193" s="50"/>
      <c r="Y193" s="50"/>
    </row>
    <row r="194" ht="12.75" hidden="1" customHeight="1">
      <c r="A194" s="43">
        <v>184.0</v>
      </c>
      <c r="B194" s="43" t="s">
        <v>100</v>
      </c>
      <c r="C194" s="43" t="s">
        <v>100</v>
      </c>
      <c r="D194" s="51" t="s">
        <v>1411</v>
      </c>
      <c r="E194" s="43" t="s">
        <v>770</v>
      </c>
      <c r="F194" s="43" t="s">
        <v>70</v>
      </c>
      <c r="G194" s="44">
        <v>1.2825E7</v>
      </c>
      <c r="H194" s="43">
        <v>0.0</v>
      </c>
      <c r="I194" s="43" t="s">
        <v>781</v>
      </c>
      <c r="J194" s="43"/>
      <c r="K194" s="43"/>
      <c r="L194" s="43" t="s">
        <v>37</v>
      </c>
      <c r="M194" s="43" t="s">
        <v>772</v>
      </c>
      <c r="N194" s="43">
        <v>1.0</v>
      </c>
      <c r="O194" s="43">
        <v>7.0</v>
      </c>
      <c r="P194" s="43"/>
      <c r="Q194" s="46" t="s">
        <v>1618</v>
      </c>
      <c r="R194" s="46" t="s">
        <v>1619</v>
      </c>
      <c r="S194" s="47" t="s">
        <v>1620</v>
      </c>
      <c r="T194" s="48" t="s">
        <v>1621</v>
      </c>
      <c r="U194" s="46" t="s">
        <v>777</v>
      </c>
      <c r="V194" s="77" t="s">
        <v>1349</v>
      </c>
      <c r="W194" s="43"/>
      <c r="X194" s="50"/>
      <c r="Y194" s="50"/>
    </row>
    <row r="195" ht="12.75" hidden="1" customHeight="1">
      <c r="A195" s="43">
        <v>185.0</v>
      </c>
      <c r="B195" s="43" t="s">
        <v>100</v>
      </c>
      <c r="C195" s="43" t="s">
        <v>100</v>
      </c>
      <c r="D195" s="43"/>
      <c r="E195" s="43" t="s">
        <v>770</v>
      </c>
      <c r="F195" s="43" t="s">
        <v>70</v>
      </c>
      <c r="G195" s="44">
        <v>1.2825E7</v>
      </c>
      <c r="H195" s="43">
        <v>0.0</v>
      </c>
      <c r="I195" s="43" t="s">
        <v>781</v>
      </c>
      <c r="J195" s="43"/>
      <c r="K195" s="43"/>
      <c r="L195" s="43" t="s">
        <v>37</v>
      </c>
      <c r="M195" s="43" t="s">
        <v>772</v>
      </c>
      <c r="N195" s="43">
        <v>1.0</v>
      </c>
      <c r="O195" s="43">
        <v>7.0</v>
      </c>
      <c r="P195" s="43"/>
      <c r="Q195" s="51" t="s">
        <v>1622</v>
      </c>
      <c r="R195" s="43" t="s">
        <v>1623</v>
      </c>
      <c r="S195" s="53" t="s">
        <v>1624</v>
      </c>
      <c r="T195" s="59">
        <v>0.0</v>
      </c>
      <c r="U195" s="43"/>
      <c r="V195" s="43" t="s">
        <v>1625</v>
      </c>
      <c r="W195" s="51" t="s">
        <v>1626</v>
      </c>
      <c r="X195" s="65"/>
      <c r="Y195" s="65"/>
    </row>
    <row r="196" ht="12.75" hidden="1" customHeight="1">
      <c r="A196" s="43">
        <v>186.0</v>
      </c>
      <c r="B196" s="43" t="s">
        <v>100</v>
      </c>
      <c r="C196" s="43" t="s">
        <v>100</v>
      </c>
      <c r="D196" s="43"/>
      <c r="E196" s="43" t="s">
        <v>770</v>
      </c>
      <c r="F196" s="43" t="s">
        <v>70</v>
      </c>
      <c r="G196" s="44">
        <v>1.2825E7</v>
      </c>
      <c r="H196" s="43">
        <v>0.0</v>
      </c>
      <c r="I196" s="43" t="s">
        <v>781</v>
      </c>
      <c r="J196" s="43"/>
      <c r="K196" s="43"/>
      <c r="L196" s="43" t="s">
        <v>37</v>
      </c>
      <c r="M196" s="43" t="s">
        <v>772</v>
      </c>
      <c r="N196" s="43">
        <v>1.0</v>
      </c>
      <c r="O196" s="43">
        <v>7.0</v>
      </c>
      <c r="P196" s="43"/>
      <c r="Q196" s="43" t="s">
        <v>1627</v>
      </c>
      <c r="R196" s="43" t="s">
        <v>1628</v>
      </c>
      <c r="S196" s="53" t="s">
        <v>1629</v>
      </c>
      <c r="T196" s="59">
        <v>0.0</v>
      </c>
      <c r="U196" s="43"/>
      <c r="V196" s="43" t="s">
        <v>1333</v>
      </c>
      <c r="W196" s="51" t="s">
        <v>1630</v>
      </c>
      <c r="X196" s="65"/>
      <c r="Y196" s="65"/>
    </row>
    <row r="197" ht="12.75" hidden="1" customHeight="1">
      <c r="A197" s="43">
        <v>187.0</v>
      </c>
      <c r="B197" s="43" t="s">
        <v>100</v>
      </c>
      <c r="C197" s="43" t="s">
        <v>1631</v>
      </c>
      <c r="D197" s="43"/>
      <c r="E197" s="43" t="s">
        <v>770</v>
      </c>
      <c r="F197" s="43" t="s">
        <v>70</v>
      </c>
      <c r="G197" s="44">
        <v>1.24E7</v>
      </c>
      <c r="H197" s="43">
        <v>0.0</v>
      </c>
      <c r="I197" s="43" t="s">
        <v>781</v>
      </c>
      <c r="J197" s="43"/>
      <c r="K197" s="43"/>
      <c r="L197" s="43" t="s">
        <v>37</v>
      </c>
      <c r="M197" s="43" t="s">
        <v>772</v>
      </c>
      <c r="N197" s="43">
        <v>1.0</v>
      </c>
      <c r="O197" s="43">
        <v>7.0</v>
      </c>
      <c r="P197" s="43"/>
      <c r="Q197" s="43" t="s">
        <v>1632</v>
      </c>
      <c r="R197" s="43"/>
      <c r="S197" s="53" t="s">
        <v>1633</v>
      </c>
      <c r="T197" s="59">
        <v>0.0</v>
      </c>
      <c r="U197" s="43"/>
      <c r="V197" s="43" t="s">
        <v>952</v>
      </c>
      <c r="W197" s="43"/>
      <c r="X197" s="50"/>
      <c r="Y197" s="50"/>
    </row>
    <row r="198" ht="12.75" hidden="1" customHeight="1">
      <c r="A198" s="43">
        <v>188.0</v>
      </c>
      <c r="B198" s="43" t="s">
        <v>100</v>
      </c>
      <c r="C198" s="43" t="s">
        <v>1631</v>
      </c>
      <c r="D198" s="43"/>
      <c r="E198" s="43" t="s">
        <v>770</v>
      </c>
      <c r="F198" s="43" t="s">
        <v>70</v>
      </c>
      <c r="G198" s="44">
        <v>1.24E7</v>
      </c>
      <c r="H198" s="43">
        <v>0.0</v>
      </c>
      <c r="I198" s="43" t="s">
        <v>781</v>
      </c>
      <c r="J198" s="43"/>
      <c r="K198" s="43"/>
      <c r="L198" s="43" t="s">
        <v>37</v>
      </c>
      <c r="M198" s="43" t="s">
        <v>772</v>
      </c>
      <c r="N198" s="43">
        <v>1.0</v>
      </c>
      <c r="O198" s="43">
        <v>7.0</v>
      </c>
      <c r="P198" s="43"/>
      <c r="Q198" s="46" t="s">
        <v>1634</v>
      </c>
      <c r="R198" s="46" t="s">
        <v>1635</v>
      </c>
      <c r="S198" s="47" t="s">
        <v>1636</v>
      </c>
      <c r="T198" s="48" t="s">
        <v>1637</v>
      </c>
      <c r="U198" s="46" t="s">
        <v>777</v>
      </c>
      <c r="V198" s="43" t="s">
        <v>952</v>
      </c>
      <c r="W198" s="43"/>
      <c r="X198" s="50"/>
      <c r="Y198" s="50"/>
    </row>
    <row r="199" ht="12.75" hidden="1" customHeight="1">
      <c r="A199" s="43">
        <v>189.0</v>
      </c>
      <c r="B199" s="43" t="s">
        <v>100</v>
      </c>
      <c r="C199" s="43" t="s">
        <v>1631</v>
      </c>
      <c r="D199" s="43"/>
      <c r="E199" s="43" t="s">
        <v>770</v>
      </c>
      <c r="F199" s="43" t="s">
        <v>70</v>
      </c>
      <c r="G199" s="44">
        <v>1.24E7</v>
      </c>
      <c r="H199" s="43">
        <v>0.0</v>
      </c>
      <c r="I199" s="43" t="s">
        <v>781</v>
      </c>
      <c r="J199" s="43"/>
      <c r="K199" s="43"/>
      <c r="L199" s="43" t="s">
        <v>37</v>
      </c>
      <c r="M199" s="43" t="s">
        <v>772</v>
      </c>
      <c r="N199" s="43">
        <v>1.0</v>
      </c>
      <c r="O199" s="43">
        <v>7.0</v>
      </c>
      <c r="P199" s="43"/>
      <c r="Q199" s="46" t="s">
        <v>1638</v>
      </c>
      <c r="R199" s="46" t="s">
        <v>1639</v>
      </c>
      <c r="S199" s="47" t="s">
        <v>1640</v>
      </c>
      <c r="T199" s="48" t="s">
        <v>1641</v>
      </c>
      <c r="U199" s="46" t="s">
        <v>777</v>
      </c>
      <c r="V199" s="43" t="s">
        <v>952</v>
      </c>
      <c r="W199" s="43"/>
      <c r="X199" s="50"/>
      <c r="Y199" s="50"/>
    </row>
    <row r="200" ht="12.75" hidden="1" customHeight="1">
      <c r="A200" s="43">
        <v>190.0</v>
      </c>
      <c r="B200" s="43" t="s">
        <v>100</v>
      </c>
      <c r="C200" s="43" t="s">
        <v>1631</v>
      </c>
      <c r="D200" s="43"/>
      <c r="E200" s="43" t="s">
        <v>770</v>
      </c>
      <c r="F200" s="43" t="s">
        <v>70</v>
      </c>
      <c r="G200" s="44">
        <v>1.24E7</v>
      </c>
      <c r="H200" s="43">
        <v>0.0</v>
      </c>
      <c r="I200" s="43" t="s">
        <v>781</v>
      </c>
      <c r="J200" s="43"/>
      <c r="K200" s="43"/>
      <c r="L200" s="43" t="s">
        <v>37</v>
      </c>
      <c r="M200" s="43" t="s">
        <v>772</v>
      </c>
      <c r="N200" s="43">
        <v>1.0</v>
      </c>
      <c r="O200" s="43">
        <v>7.0</v>
      </c>
      <c r="P200" s="43"/>
      <c r="Q200" s="46" t="s">
        <v>1642</v>
      </c>
      <c r="R200" s="46" t="s">
        <v>1643</v>
      </c>
      <c r="S200" s="47" t="s">
        <v>1644</v>
      </c>
      <c r="T200" s="48" t="s">
        <v>1645</v>
      </c>
      <c r="U200" s="46" t="s">
        <v>777</v>
      </c>
      <c r="V200" s="43" t="s">
        <v>952</v>
      </c>
      <c r="W200" s="43"/>
      <c r="X200" s="50"/>
      <c r="Y200" s="50"/>
    </row>
    <row r="201" ht="12.75" hidden="1" customHeight="1">
      <c r="A201" s="43">
        <v>191.0</v>
      </c>
      <c r="B201" s="43" t="s">
        <v>100</v>
      </c>
      <c r="C201" s="43" t="s">
        <v>100</v>
      </c>
      <c r="D201" s="43"/>
      <c r="E201" s="43" t="s">
        <v>770</v>
      </c>
      <c r="F201" s="43" t="s">
        <v>70</v>
      </c>
      <c r="G201" s="44">
        <v>1.2825E7</v>
      </c>
      <c r="H201" s="43">
        <v>0.0</v>
      </c>
      <c r="I201" s="43" t="s">
        <v>781</v>
      </c>
      <c r="J201" s="43"/>
      <c r="K201" s="43"/>
      <c r="L201" s="43" t="s">
        <v>37</v>
      </c>
      <c r="M201" s="43" t="s">
        <v>772</v>
      </c>
      <c r="N201" s="43">
        <v>1.0</v>
      </c>
      <c r="O201" s="43">
        <v>7.0</v>
      </c>
      <c r="P201" s="43"/>
      <c r="Q201" s="97" t="s">
        <v>1646</v>
      </c>
      <c r="R201" s="46" t="s">
        <v>1647</v>
      </c>
      <c r="S201" s="47" t="s">
        <v>1648</v>
      </c>
      <c r="T201" s="48" t="s">
        <v>1649</v>
      </c>
      <c r="U201" s="46" t="s">
        <v>777</v>
      </c>
      <c r="V201" s="43" t="s">
        <v>1333</v>
      </c>
      <c r="W201" s="51" t="s">
        <v>1650</v>
      </c>
      <c r="X201" s="65"/>
      <c r="Y201" s="65"/>
    </row>
    <row r="202" ht="12.75" hidden="1" customHeight="1">
      <c r="A202" s="43">
        <v>192.0</v>
      </c>
      <c r="B202" s="43" t="s">
        <v>100</v>
      </c>
      <c r="C202" s="43" t="s">
        <v>100</v>
      </c>
      <c r="D202" s="43"/>
      <c r="E202" s="43" t="s">
        <v>770</v>
      </c>
      <c r="F202" s="43" t="s">
        <v>70</v>
      </c>
      <c r="G202" s="44">
        <v>1.2825E7</v>
      </c>
      <c r="H202" s="43">
        <v>0.0</v>
      </c>
      <c r="I202" s="43" t="s">
        <v>781</v>
      </c>
      <c r="J202" s="43"/>
      <c r="K202" s="43"/>
      <c r="L202" s="43" t="s">
        <v>37</v>
      </c>
      <c r="M202" s="43" t="s">
        <v>772</v>
      </c>
      <c r="N202" s="43">
        <v>1.0</v>
      </c>
      <c r="O202" s="43">
        <v>7.0</v>
      </c>
      <c r="P202" s="43"/>
      <c r="Q202" s="46" t="s">
        <v>1651</v>
      </c>
      <c r="R202" s="46" t="s">
        <v>1652</v>
      </c>
      <c r="S202" s="47" t="s">
        <v>1653</v>
      </c>
      <c r="T202" s="48" t="s">
        <v>1654</v>
      </c>
      <c r="U202" s="46" t="s">
        <v>777</v>
      </c>
      <c r="V202" s="43" t="s">
        <v>963</v>
      </c>
      <c r="W202" s="43"/>
      <c r="X202" s="50"/>
      <c r="Y202" s="50"/>
    </row>
    <row r="203" ht="12.75" hidden="1" customHeight="1">
      <c r="A203" s="68">
        <v>193.0</v>
      </c>
      <c r="B203" s="68" t="s">
        <v>100</v>
      </c>
      <c r="C203" s="68" t="s">
        <v>100</v>
      </c>
      <c r="D203" s="68"/>
      <c r="E203" s="68" t="s">
        <v>770</v>
      </c>
      <c r="F203" s="68" t="s">
        <v>70</v>
      </c>
      <c r="G203" s="70">
        <v>1.2825E7</v>
      </c>
      <c r="H203" s="68">
        <v>0.0</v>
      </c>
      <c r="I203" s="69" t="s">
        <v>1379</v>
      </c>
      <c r="J203" s="68"/>
      <c r="K203" s="69" t="s">
        <v>858</v>
      </c>
      <c r="L203" s="68" t="s">
        <v>37</v>
      </c>
      <c r="M203" s="68" t="s">
        <v>772</v>
      </c>
      <c r="N203" s="68">
        <v>1.0</v>
      </c>
      <c r="O203" s="68">
        <v>7.0</v>
      </c>
      <c r="P203" s="68"/>
      <c r="Q203" s="94" t="s">
        <v>1655</v>
      </c>
      <c r="R203" s="94" t="s">
        <v>1656</v>
      </c>
      <c r="S203" s="95" t="s">
        <v>1657</v>
      </c>
      <c r="T203" s="96" t="s">
        <v>1658</v>
      </c>
      <c r="U203" s="94" t="s">
        <v>777</v>
      </c>
      <c r="V203" s="68" t="s">
        <v>1659</v>
      </c>
      <c r="W203" s="69" t="s">
        <v>1334</v>
      </c>
      <c r="X203" s="100" t="s">
        <v>1030</v>
      </c>
      <c r="Y203" s="76"/>
    </row>
    <row r="204" ht="12.75" hidden="1" customHeight="1">
      <c r="A204" s="43">
        <v>194.0</v>
      </c>
      <c r="B204" s="43" t="s">
        <v>100</v>
      </c>
      <c r="C204" s="43" t="s">
        <v>100</v>
      </c>
      <c r="D204" s="43"/>
      <c r="E204" s="43" t="s">
        <v>770</v>
      </c>
      <c r="F204" s="43" t="s">
        <v>70</v>
      </c>
      <c r="G204" s="44">
        <v>1.2825E7</v>
      </c>
      <c r="H204" s="43">
        <v>0.0</v>
      </c>
      <c r="I204" s="43" t="s">
        <v>781</v>
      </c>
      <c r="J204" s="43"/>
      <c r="K204" s="43"/>
      <c r="L204" s="43" t="s">
        <v>37</v>
      </c>
      <c r="M204" s="43" t="s">
        <v>772</v>
      </c>
      <c r="N204" s="43">
        <v>1.0</v>
      </c>
      <c r="O204" s="43">
        <v>7.0</v>
      </c>
      <c r="P204" s="43"/>
      <c r="Q204" s="46" t="s">
        <v>1660</v>
      </c>
      <c r="R204" s="46" t="s">
        <v>1661</v>
      </c>
      <c r="S204" s="47" t="s">
        <v>1662</v>
      </c>
      <c r="T204" s="48" t="s">
        <v>1663</v>
      </c>
      <c r="U204" s="46" t="s">
        <v>777</v>
      </c>
      <c r="V204" s="43" t="s">
        <v>1373</v>
      </c>
      <c r="W204" s="43"/>
      <c r="X204" s="50"/>
      <c r="Y204" s="50"/>
    </row>
    <row r="205" ht="12.75" hidden="1" customHeight="1">
      <c r="A205" s="43">
        <v>195.0</v>
      </c>
      <c r="B205" s="43" t="s">
        <v>100</v>
      </c>
      <c r="C205" s="43" t="s">
        <v>100</v>
      </c>
      <c r="D205" s="43"/>
      <c r="E205" s="43" t="s">
        <v>770</v>
      </c>
      <c r="F205" s="43" t="s">
        <v>70</v>
      </c>
      <c r="G205" s="44">
        <v>1.3675E7</v>
      </c>
      <c r="H205" s="43">
        <v>0.0</v>
      </c>
      <c r="I205" s="43" t="s">
        <v>781</v>
      </c>
      <c r="J205" s="43"/>
      <c r="K205" s="43"/>
      <c r="L205" s="43" t="s">
        <v>391</v>
      </c>
      <c r="M205" s="43" t="s">
        <v>772</v>
      </c>
      <c r="N205" s="43">
        <v>1.0</v>
      </c>
      <c r="O205" s="43">
        <v>7.0</v>
      </c>
      <c r="P205" s="43"/>
      <c r="Q205" s="43" t="s">
        <v>1664</v>
      </c>
      <c r="R205" s="43" t="s">
        <v>1665</v>
      </c>
      <c r="S205" s="53" t="s">
        <v>1666</v>
      </c>
      <c r="T205" s="59">
        <v>0.0</v>
      </c>
      <c r="U205" s="43"/>
      <c r="V205" s="43" t="s">
        <v>952</v>
      </c>
      <c r="W205" s="43"/>
      <c r="X205" s="50"/>
      <c r="Y205" s="50"/>
    </row>
    <row r="206" ht="12.75" hidden="1" customHeight="1">
      <c r="A206" s="43">
        <v>196.0</v>
      </c>
      <c r="B206" s="43" t="s">
        <v>100</v>
      </c>
      <c r="C206" s="43" t="s">
        <v>100</v>
      </c>
      <c r="D206" s="43"/>
      <c r="E206" s="43" t="s">
        <v>770</v>
      </c>
      <c r="F206" s="43" t="s">
        <v>70</v>
      </c>
      <c r="G206" s="44">
        <v>1.3675E7</v>
      </c>
      <c r="H206" s="43">
        <v>0.0</v>
      </c>
      <c r="I206" s="43" t="s">
        <v>781</v>
      </c>
      <c r="J206" s="51" t="s">
        <v>1667</v>
      </c>
      <c r="K206" s="43"/>
      <c r="L206" s="43" t="s">
        <v>391</v>
      </c>
      <c r="M206" s="43" t="s">
        <v>772</v>
      </c>
      <c r="N206" s="43">
        <v>1.0</v>
      </c>
      <c r="O206" s="43">
        <v>7.0</v>
      </c>
      <c r="P206" s="43"/>
      <c r="Q206" s="46" t="s">
        <v>1668</v>
      </c>
      <c r="R206" s="46" t="s">
        <v>1669</v>
      </c>
      <c r="S206" s="47" t="s">
        <v>1670</v>
      </c>
      <c r="T206" s="85" t="s">
        <v>1671</v>
      </c>
      <c r="U206" s="46" t="s">
        <v>777</v>
      </c>
      <c r="V206" s="43" t="s">
        <v>1250</v>
      </c>
      <c r="W206" s="51"/>
      <c r="X206" s="50"/>
      <c r="Y206" s="50"/>
    </row>
    <row r="207" ht="12.75" hidden="1" customHeight="1">
      <c r="A207" s="43">
        <v>197.0</v>
      </c>
      <c r="B207" s="43" t="s">
        <v>100</v>
      </c>
      <c r="C207" s="43" t="s">
        <v>100</v>
      </c>
      <c r="D207" s="43"/>
      <c r="E207" s="43" t="s">
        <v>770</v>
      </c>
      <c r="F207" s="43" t="s">
        <v>70</v>
      </c>
      <c r="G207" s="44">
        <v>1.3675E7</v>
      </c>
      <c r="H207" s="43">
        <v>0.0</v>
      </c>
      <c r="I207" s="43" t="s">
        <v>781</v>
      </c>
      <c r="J207" s="43"/>
      <c r="K207" s="43"/>
      <c r="L207" s="43" t="s">
        <v>391</v>
      </c>
      <c r="M207" s="43" t="s">
        <v>772</v>
      </c>
      <c r="N207" s="43">
        <v>1.0</v>
      </c>
      <c r="O207" s="43">
        <v>7.0</v>
      </c>
      <c r="P207" s="43"/>
      <c r="Q207" s="46" t="s">
        <v>1672</v>
      </c>
      <c r="R207" s="46" t="s">
        <v>1673</v>
      </c>
      <c r="S207" s="47" t="s">
        <v>1674</v>
      </c>
      <c r="T207" s="48" t="s">
        <v>1675</v>
      </c>
      <c r="U207" s="46" t="s">
        <v>777</v>
      </c>
      <c r="V207" s="43" t="s">
        <v>952</v>
      </c>
      <c r="W207" s="43"/>
      <c r="X207" s="50"/>
      <c r="Y207" s="50"/>
    </row>
    <row r="208" ht="12.75" hidden="1" customHeight="1">
      <c r="A208" s="43">
        <v>198.0</v>
      </c>
      <c r="B208" s="43" t="s">
        <v>100</v>
      </c>
      <c r="C208" s="43" t="s">
        <v>100</v>
      </c>
      <c r="D208" s="43"/>
      <c r="E208" s="43" t="s">
        <v>770</v>
      </c>
      <c r="F208" s="43" t="s">
        <v>70</v>
      </c>
      <c r="G208" s="44">
        <v>1.3675E7</v>
      </c>
      <c r="H208" s="43">
        <v>0.0</v>
      </c>
      <c r="I208" s="43" t="s">
        <v>781</v>
      </c>
      <c r="J208" s="43"/>
      <c r="K208" s="43"/>
      <c r="L208" s="43" t="s">
        <v>391</v>
      </c>
      <c r="M208" s="43" t="s">
        <v>772</v>
      </c>
      <c r="N208" s="43">
        <v>1.0</v>
      </c>
      <c r="O208" s="43">
        <v>7.0</v>
      </c>
      <c r="P208" s="43"/>
      <c r="Q208" s="46" t="s">
        <v>1676</v>
      </c>
      <c r="R208" s="46" t="s">
        <v>1677</v>
      </c>
      <c r="S208" s="47" t="s">
        <v>1678</v>
      </c>
      <c r="T208" s="48" t="s">
        <v>1679</v>
      </c>
      <c r="U208" s="46" t="s">
        <v>777</v>
      </c>
      <c r="V208" s="43" t="s">
        <v>1384</v>
      </c>
      <c r="W208" s="43"/>
      <c r="X208" s="50"/>
      <c r="Y208" s="50"/>
    </row>
    <row r="209" ht="12.75" hidden="1" customHeight="1">
      <c r="A209" s="43">
        <v>199.0</v>
      </c>
      <c r="B209" s="43" t="s">
        <v>100</v>
      </c>
      <c r="C209" s="43" t="s">
        <v>100</v>
      </c>
      <c r="D209" s="43"/>
      <c r="E209" s="43" t="s">
        <v>770</v>
      </c>
      <c r="F209" s="43" t="s">
        <v>70</v>
      </c>
      <c r="G209" s="44">
        <v>1.3675E7</v>
      </c>
      <c r="H209" s="43">
        <v>0.0</v>
      </c>
      <c r="I209" s="43" t="s">
        <v>781</v>
      </c>
      <c r="J209" s="43"/>
      <c r="K209" s="43"/>
      <c r="L209" s="43" t="s">
        <v>391</v>
      </c>
      <c r="M209" s="43" t="s">
        <v>772</v>
      </c>
      <c r="N209" s="43">
        <v>1.0</v>
      </c>
      <c r="O209" s="43">
        <v>7.0</v>
      </c>
      <c r="P209" s="43"/>
      <c r="Q209" s="46" t="s">
        <v>1680</v>
      </c>
      <c r="R209" s="46" t="s">
        <v>1681</v>
      </c>
      <c r="S209" s="47" t="s">
        <v>1682</v>
      </c>
      <c r="T209" s="48" t="s">
        <v>1683</v>
      </c>
      <c r="U209" s="46" t="s">
        <v>777</v>
      </c>
      <c r="V209" s="43" t="s">
        <v>952</v>
      </c>
      <c r="W209" s="43"/>
      <c r="X209" s="50"/>
      <c r="Y209" s="50"/>
    </row>
    <row r="210" ht="12.75" hidden="1" customHeight="1">
      <c r="A210" s="43">
        <v>200.0</v>
      </c>
      <c r="B210" s="43" t="s">
        <v>100</v>
      </c>
      <c r="C210" s="43" t="s">
        <v>100</v>
      </c>
      <c r="D210" s="51" t="s">
        <v>1379</v>
      </c>
      <c r="E210" s="43" t="s">
        <v>770</v>
      </c>
      <c r="F210" s="43" t="s">
        <v>70</v>
      </c>
      <c r="G210" s="44">
        <v>1.3675E7</v>
      </c>
      <c r="H210" s="43">
        <v>0.0</v>
      </c>
      <c r="I210" s="43" t="s">
        <v>781</v>
      </c>
      <c r="J210" s="43"/>
      <c r="K210" s="43"/>
      <c r="L210" s="43" t="s">
        <v>391</v>
      </c>
      <c r="M210" s="43" t="s">
        <v>772</v>
      </c>
      <c r="N210" s="43">
        <v>1.0</v>
      </c>
      <c r="O210" s="43">
        <v>7.0</v>
      </c>
      <c r="P210" s="43"/>
      <c r="Q210" s="46" t="s">
        <v>1684</v>
      </c>
      <c r="R210" s="46" t="s">
        <v>1685</v>
      </c>
      <c r="S210" s="47" t="s">
        <v>1686</v>
      </c>
      <c r="T210" s="48" t="s">
        <v>1687</v>
      </c>
      <c r="U210" s="46" t="s">
        <v>777</v>
      </c>
      <c r="V210" s="77" t="s">
        <v>941</v>
      </c>
      <c r="W210" s="43"/>
      <c r="X210" s="50"/>
      <c r="Y210" s="50"/>
    </row>
    <row r="211" ht="12.75" hidden="1" customHeight="1">
      <c r="A211" s="43">
        <v>201.0</v>
      </c>
      <c r="B211" s="43" t="s">
        <v>100</v>
      </c>
      <c r="C211" s="43" t="s">
        <v>100</v>
      </c>
      <c r="D211" s="43"/>
      <c r="E211" s="43" t="s">
        <v>770</v>
      </c>
      <c r="F211" s="43" t="s">
        <v>70</v>
      </c>
      <c r="G211" s="44">
        <v>1.3675E7</v>
      </c>
      <c r="H211" s="43">
        <v>0.0</v>
      </c>
      <c r="I211" s="43" t="s">
        <v>781</v>
      </c>
      <c r="J211" s="43"/>
      <c r="K211" s="43"/>
      <c r="L211" s="43" t="s">
        <v>391</v>
      </c>
      <c r="M211" s="43" t="s">
        <v>772</v>
      </c>
      <c r="N211" s="43">
        <v>1.0</v>
      </c>
      <c r="O211" s="43">
        <v>7.0</v>
      </c>
      <c r="P211" s="43"/>
      <c r="Q211" s="46" t="s">
        <v>1688</v>
      </c>
      <c r="R211" s="46" t="s">
        <v>1689</v>
      </c>
      <c r="S211" s="47" t="s">
        <v>1690</v>
      </c>
      <c r="T211" s="48" t="s">
        <v>1691</v>
      </c>
      <c r="U211" s="46" t="s">
        <v>777</v>
      </c>
      <c r="V211" s="43" t="s">
        <v>952</v>
      </c>
      <c r="W211" s="43"/>
      <c r="X211" s="50"/>
      <c r="Y211" s="50"/>
    </row>
    <row r="212" ht="12.75" hidden="1" customHeight="1">
      <c r="A212" s="43">
        <v>202.0</v>
      </c>
      <c r="B212" s="43" t="s">
        <v>100</v>
      </c>
      <c r="C212" s="43" t="s">
        <v>100</v>
      </c>
      <c r="D212" s="43"/>
      <c r="E212" s="43" t="s">
        <v>770</v>
      </c>
      <c r="F212" s="43" t="s">
        <v>70</v>
      </c>
      <c r="G212" s="44">
        <v>1.3675E7</v>
      </c>
      <c r="H212" s="43">
        <v>0.0</v>
      </c>
      <c r="I212" s="43" t="s">
        <v>781</v>
      </c>
      <c r="J212" s="43"/>
      <c r="K212" s="43"/>
      <c r="L212" s="43" t="s">
        <v>391</v>
      </c>
      <c r="M212" s="43" t="s">
        <v>772</v>
      </c>
      <c r="N212" s="43">
        <v>1.0</v>
      </c>
      <c r="O212" s="43">
        <v>7.0</v>
      </c>
      <c r="P212" s="43"/>
      <c r="Q212" s="46" t="s">
        <v>1692</v>
      </c>
      <c r="R212" s="46" t="s">
        <v>1693</v>
      </c>
      <c r="S212" s="47" t="s">
        <v>1694</v>
      </c>
      <c r="T212" s="48" t="s">
        <v>1695</v>
      </c>
      <c r="U212" s="46" t="s">
        <v>777</v>
      </c>
      <c r="V212" s="43" t="s">
        <v>1696</v>
      </c>
      <c r="W212" s="43"/>
      <c r="X212" s="50"/>
      <c r="Y212" s="50"/>
    </row>
    <row r="213" ht="12.75" hidden="1" customHeight="1">
      <c r="A213" s="43">
        <v>203.0</v>
      </c>
      <c r="B213" s="43" t="s">
        <v>100</v>
      </c>
      <c r="C213" s="43" t="s">
        <v>1697</v>
      </c>
      <c r="D213" s="43"/>
      <c r="E213" s="43" t="s">
        <v>770</v>
      </c>
      <c r="F213" s="43" t="s">
        <v>70</v>
      </c>
      <c r="G213" s="44">
        <v>1.385E7</v>
      </c>
      <c r="H213" s="43">
        <v>0.0</v>
      </c>
      <c r="I213" s="43" t="s">
        <v>781</v>
      </c>
      <c r="J213" s="43"/>
      <c r="K213" s="43"/>
      <c r="L213" s="43" t="s">
        <v>84</v>
      </c>
      <c r="M213" s="43" t="s">
        <v>772</v>
      </c>
      <c r="N213" s="43">
        <v>1.0</v>
      </c>
      <c r="O213" s="43">
        <v>7.0</v>
      </c>
      <c r="P213" s="43"/>
      <c r="Q213" s="46" t="s">
        <v>1698</v>
      </c>
      <c r="R213" s="46" t="s">
        <v>1699</v>
      </c>
      <c r="S213" s="47" t="s">
        <v>1700</v>
      </c>
      <c r="T213" s="48" t="s">
        <v>1701</v>
      </c>
      <c r="U213" s="46" t="s">
        <v>777</v>
      </c>
      <c r="V213" s="43" t="s">
        <v>1270</v>
      </c>
      <c r="W213" s="43"/>
      <c r="X213" s="50"/>
      <c r="Y213" s="50"/>
    </row>
    <row r="214" ht="12.75" hidden="1" customHeight="1">
      <c r="A214" s="43">
        <v>204.0</v>
      </c>
      <c r="B214" s="43" t="s">
        <v>100</v>
      </c>
      <c r="C214" s="43" t="s">
        <v>1697</v>
      </c>
      <c r="D214" s="43"/>
      <c r="E214" s="43" t="s">
        <v>770</v>
      </c>
      <c r="F214" s="43" t="s">
        <v>70</v>
      </c>
      <c r="G214" s="44">
        <v>1.385E7</v>
      </c>
      <c r="H214" s="43">
        <v>0.0</v>
      </c>
      <c r="I214" s="43" t="s">
        <v>781</v>
      </c>
      <c r="J214" s="43"/>
      <c r="K214" s="43"/>
      <c r="L214" s="43" t="s">
        <v>84</v>
      </c>
      <c r="M214" s="43" t="s">
        <v>772</v>
      </c>
      <c r="N214" s="43">
        <v>1.0</v>
      </c>
      <c r="O214" s="43">
        <v>7.0</v>
      </c>
      <c r="P214" s="43"/>
      <c r="Q214" s="46" t="s">
        <v>1702</v>
      </c>
      <c r="R214" s="46" t="s">
        <v>1703</v>
      </c>
      <c r="S214" s="47" t="s">
        <v>1704</v>
      </c>
      <c r="T214" s="48" t="s">
        <v>1705</v>
      </c>
      <c r="U214" s="46" t="s">
        <v>777</v>
      </c>
      <c r="V214" s="43"/>
      <c r="W214" s="43"/>
      <c r="X214" s="50"/>
      <c r="Y214" s="50"/>
    </row>
    <row r="215" ht="12.75" hidden="1" customHeight="1">
      <c r="A215" s="43">
        <v>205.0</v>
      </c>
      <c r="B215" s="43" t="s">
        <v>100</v>
      </c>
      <c r="C215" s="43" t="s">
        <v>1697</v>
      </c>
      <c r="D215" s="51" t="s">
        <v>1706</v>
      </c>
      <c r="E215" s="43" t="s">
        <v>770</v>
      </c>
      <c r="F215" s="43" t="s">
        <v>70</v>
      </c>
      <c r="G215" s="44">
        <v>1.385E7</v>
      </c>
      <c r="H215" s="43">
        <v>0.0</v>
      </c>
      <c r="I215" s="43" t="s">
        <v>781</v>
      </c>
      <c r="J215" s="43"/>
      <c r="K215" s="43"/>
      <c r="L215" s="43" t="s">
        <v>84</v>
      </c>
      <c r="M215" s="43" t="s">
        <v>772</v>
      </c>
      <c r="N215" s="43">
        <v>1.0</v>
      </c>
      <c r="O215" s="43">
        <v>7.0</v>
      </c>
      <c r="P215" s="43"/>
      <c r="Q215" s="51" t="s">
        <v>1707</v>
      </c>
      <c r="R215" s="43" t="s">
        <v>1708</v>
      </c>
      <c r="S215" s="53" t="s">
        <v>1709</v>
      </c>
      <c r="T215" s="59">
        <v>0.0</v>
      </c>
      <c r="U215" s="51" t="s">
        <v>777</v>
      </c>
      <c r="V215" s="77" t="s">
        <v>1239</v>
      </c>
      <c r="W215" s="49" t="s">
        <v>1710</v>
      </c>
      <c r="X215" s="65"/>
      <c r="Y215" s="65"/>
    </row>
    <row r="216" ht="12.75" hidden="1" customHeight="1">
      <c r="A216" s="43">
        <v>206.0</v>
      </c>
      <c r="B216" s="43" t="s">
        <v>100</v>
      </c>
      <c r="C216" s="43" t="s">
        <v>1697</v>
      </c>
      <c r="D216" s="43"/>
      <c r="E216" s="43" t="s">
        <v>770</v>
      </c>
      <c r="F216" s="43" t="s">
        <v>70</v>
      </c>
      <c r="G216" s="44">
        <v>1.385E7</v>
      </c>
      <c r="H216" s="43">
        <v>0.0</v>
      </c>
      <c r="I216" s="43" t="s">
        <v>781</v>
      </c>
      <c r="J216" s="43"/>
      <c r="K216" s="43"/>
      <c r="L216" s="43" t="s">
        <v>84</v>
      </c>
      <c r="M216" s="43" t="s">
        <v>772</v>
      </c>
      <c r="N216" s="43">
        <v>1.0</v>
      </c>
      <c r="O216" s="43">
        <v>7.0</v>
      </c>
      <c r="P216" s="43"/>
      <c r="Q216" s="46" t="s">
        <v>1711</v>
      </c>
      <c r="R216" s="46" t="s">
        <v>1712</v>
      </c>
      <c r="S216" s="47" t="s">
        <v>1713</v>
      </c>
      <c r="T216" s="48" t="s">
        <v>1714</v>
      </c>
      <c r="U216" s="46" t="s">
        <v>777</v>
      </c>
      <c r="V216" s="43" t="s">
        <v>952</v>
      </c>
      <c r="W216" s="43"/>
      <c r="X216" s="50"/>
      <c r="Y216" s="50"/>
    </row>
    <row r="217" ht="12.75" hidden="1" customHeight="1">
      <c r="A217" s="68">
        <v>207.0</v>
      </c>
      <c r="B217" s="68" t="s">
        <v>100</v>
      </c>
      <c r="C217" s="68" t="s">
        <v>1697</v>
      </c>
      <c r="D217" s="68"/>
      <c r="E217" s="68" t="s">
        <v>770</v>
      </c>
      <c r="F217" s="68" t="s">
        <v>70</v>
      </c>
      <c r="G217" s="70">
        <v>1.385E7</v>
      </c>
      <c r="H217" s="68">
        <v>0.0</v>
      </c>
      <c r="I217" s="68" t="s">
        <v>781</v>
      </c>
      <c r="J217" s="68"/>
      <c r="K217" s="68"/>
      <c r="L217" s="68" t="s">
        <v>84</v>
      </c>
      <c r="M217" s="68" t="s">
        <v>772</v>
      </c>
      <c r="N217" s="68">
        <v>1.0</v>
      </c>
      <c r="O217" s="68">
        <v>7.0</v>
      </c>
      <c r="P217" s="68"/>
      <c r="Q217" s="94" t="s">
        <v>1715</v>
      </c>
      <c r="R217" s="94" t="s">
        <v>1716</v>
      </c>
      <c r="S217" s="95" t="s">
        <v>1717</v>
      </c>
      <c r="T217" s="96" t="s">
        <v>1718</v>
      </c>
      <c r="U217" s="94" t="s">
        <v>777</v>
      </c>
      <c r="V217" s="68" t="s">
        <v>1625</v>
      </c>
      <c r="W217" s="69" t="s">
        <v>1719</v>
      </c>
      <c r="X217" s="65"/>
      <c r="Y217" s="76"/>
    </row>
    <row r="218" ht="12.75" hidden="1" customHeight="1">
      <c r="A218" s="43">
        <v>208.0</v>
      </c>
      <c r="B218" s="43" t="s">
        <v>100</v>
      </c>
      <c r="C218" s="43" t="s">
        <v>100</v>
      </c>
      <c r="D218" s="43"/>
      <c r="E218" s="43" t="s">
        <v>770</v>
      </c>
      <c r="F218" s="43" t="s">
        <v>70</v>
      </c>
      <c r="G218" s="44">
        <v>1.4304E7</v>
      </c>
      <c r="H218" s="43">
        <v>0.0</v>
      </c>
      <c r="I218" s="43" t="s">
        <v>771</v>
      </c>
      <c r="J218" s="43"/>
      <c r="K218" s="43"/>
      <c r="L218" s="43" t="s">
        <v>44</v>
      </c>
      <c r="M218" s="43" t="s">
        <v>772</v>
      </c>
      <c r="N218" s="43">
        <v>1.0</v>
      </c>
      <c r="O218" s="43">
        <v>7.0</v>
      </c>
      <c r="P218" s="43"/>
      <c r="Q218" s="46" t="s">
        <v>1720</v>
      </c>
      <c r="R218" s="46" t="s">
        <v>1721</v>
      </c>
      <c r="S218" s="47" t="s">
        <v>1722</v>
      </c>
      <c r="T218" s="48" t="s">
        <v>1723</v>
      </c>
      <c r="U218" s="46" t="s">
        <v>777</v>
      </c>
      <c r="V218" s="43"/>
      <c r="W218" s="43"/>
      <c r="X218" s="50"/>
      <c r="Y218" s="50"/>
    </row>
    <row r="219" ht="12.75" hidden="1" customHeight="1">
      <c r="A219" s="43">
        <v>209.0</v>
      </c>
      <c r="B219" s="43" t="s">
        <v>100</v>
      </c>
      <c r="C219" s="43" t="s">
        <v>100</v>
      </c>
      <c r="D219" s="43"/>
      <c r="E219" s="43" t="s">
        <v>770</v>
      </c>
      <c r="F219" s="43" t="s">
        <v>70</v>
      </c>
      <c r="G219" s="44">
        <v>1.4304E7</v>
      </c>
      <c r="H219" s="43">
        <v>0.0</v>
      </c>
      <c r="I219" s="43" t="s">
        <v>771</v>
      </c>
      <c r="J219" s="43"/>
      <c r="K219" s="43"/>
      <c r="L219" s="43" t="s">
        <v>44</v>
      </c>
      <c r="M219" s="43" t="s">
        <v>772</v>
      </c>
      <c r="N219" s="43">
        <v>1.0</v>
      </c>
      <c r="O219" s="43">
        <v>7.0</v>
      </c>
      <c r="P219" s="43"/>
      <c r="Q219" s="46" t="s">
        <v>1724</v>
      </c>
      <c r="R219" s="46" t="s">
        <v>1725</v>
      </c>
      <c r="S219" s="47" t="s">
        <v>1726</v>
      </c>
      <c r="T219" s="48" t="s">
        <v>1727</v>
      </c>
      <c r="U219" s="46" t="s">
        <v>777</v>
      </c>
      <c r="V219" s="43"/>
      <c r="W219" s="43"/>
      <c r="X219" s="50"/>
      <c r="Y219" s="50"/>
    </row>
    <row r="220" ht="12.75" hidden="1" customHeight="1">
      <c r="A220" s="43">
        <v>210.0</v>
      </c>
      <c r="B220" s="43" t="s">
        <v>100</v>
      </c>
      <c r="C220" s="43" t="s">
        <v>100</v>
      </c>
      <c r="D220" s="43"/>
      <c r="E220" s="43" t="s">
        <v>770</v>
      </c>
      <c r="F220" s="43" t="s">
        <v>70</v>
      </c>
      <c r="G220" s="44">
        <v>1.29E7</v>
      </c>
      <c r="H220" s="43">
        <v>0.0</v>
      </c>
      <c r="I220" s="43" t="s">
        <v>781</v>
      </c>
      <c r="J220" s="43"/>
      <c r="K220" s="43"/>
      <c r="L220" s="43" t="s">
        <v>92</v>
      </c>
      <c r="M220" s="43" t="s">
        <v>772</v>
      </c>
      <c r="N220" s="43">
        <v>1.0</v>
      </c>
      <c r="O220" s="43">
        <v>7.0</v>
      </c>
      <c r="P220" s="43"/>
      <c r="Q220" s="51" t="s">
        <v>1728</v>
      </c>
      <c r="R220" s="43" t="s">
        <v>1729</v>
      </c>
      <c r="S220" s="53" t="s">
        <v>1730</v>
      </c>
      <c r="T220" s="66" t="s">
        <v>1731</v>
      </c>
      <c r="U220" s="43"/>
      <c r="V220" s="51" t="s">
        <v>1732</v>
      </c>
      <c r="W220" s="43"/>
      <c r="X220" s="50"/>
      <c r="Y220" s="50"/>
    </row>
    <row r="221" ht="12.75" hidden="1" customHeight="1">
      <c r="A221" s="43">
        <v>211.0</v>
      </c>
      <c r="B221" s="43" t="s">
        <v>100</v>
      </c>
      <c r="C221" s="43" t="s">
        <v>100</v>
      </c>
      <c r="D221" s="43"/>
      <c r="E221" s="43" t="s">
        <v>770</v>
      </c>
      <c r="F221" s="43" t="s">
        <v>70</v>
      </c>
      <c r="G221" s="44">
        <v>1.29E7</v>
      </c>
      <c r="H221" s="43">
        <v>0.0</v>
      </c>
      <c r="I221" s="43" t="s">
        <v>781</v>
      </c>
      <c r="J221" s="43"/>
      <c r="K221" s="43"/>
      <c r="L221" s="43" t="s">
        <v>92</v>
      </c>
      <c r="M221" s="43" t="s">
        <v>772</v>
      </c>
      <c r="N221" s="43">
        <v>1.0</v>
      </c>
      <c r="O221" s="43">
        <v>7.0</v>
      </c>
      <c r="P221" s="43"/>
      <c r="Q221" s="51" t="s">
        <v>1733</v>
      </c>
      <c r="R221" s="43" t="s">
        <v>1734</v>
      </c>
      <c r="S221" s="53" t="s">
        <v>1735</v>
      </c>
      <c r="T221" s="54" t="s">
        <v>1736</v>
      </c>
      <c r="U221" s="43"/>
      <c r="V221" s="51" t="s">
        <v>1732</v>
      </c>
      <c r="W221" s="43"/>
      <c r="X221" s="50"/>
      <c r="Y221" s="50"/>
    </row>
    <row r="222" ht="12.75" hidden="1" customHeight="1">
      <c r="A222" s="43">
        <v>212.0</v>
      </c>
      <c r="B222" s="43" t="s">
        <v>100</v>
      </c>
      <c r="C222" s="43" t="s">
        <v>100</v>
      </c>
      <c r="D222" s="43"/>
      <c r="E222" s="43" t="s">
        <v>770</v>
      </c>
      <c r="F222" s="43" t="s">
        <v>70</v>
      </c>
      <c r="G222" s="44">
        <v>1.29E7</v>
      </c>
      <c r="H222" s="43">
        <v>0.0</v>
      </c>
      <c r="I222" s="43" t="s">
        <v>781</v>
      </c>
      <c r="J222" s="43"/>
      <c r="K222" s="43"/>
      <c r="L222" s="43" t="s">
        <v>92</v>
      </c>
      <c r="M222" s="43" t="s">
        <v>772</v>
      </c>
      <c r="N222" s="43">
        <v>1.0</v>
      </c>
      <c r="O222" s="43">
        <v>7.0</v>
      </c>
      <c r="P222" s="43"/>
      <c r="Q222" s="43" t="s">
        <v>1737</v>
      </c>
      <c r="R222" s="51" t="s">
        <v>1738</v>
      </c>
      <c r="S222" s="58" t="s">
        <v>1739</v>
      </c>
      <c r="T222" s="54" t="s">
        <v>1740</v>
      </c>
      <c r="U222" s="43"/>
      <c r="V222" s="51" t="s">
        <v>1732</v>
      </c>
      <c r="W222" s="43"/>
      <c r="X222" s="50"/>
      <c r="Y222" s="50"/>
    </row>
    <row r="223" ht="12.75" hidden="1" customHeight="1">
      <c r="A223" s="43">
        <v>213.0</v>
      </c>
      <c r="B223" s="43" t="s">
        <v>100</v>
      </c>
      <c r="C223" s="43" t="s">
        <v>100</v>
      </c>
      <c r="D223" s="43"/>
      <c r="E223" s="43" t="s">
        <v>770</v>
      </c>
      <c r="F223" s="43" t="s">
        <v>70</v>
      </c>
      <c r="G223" s="44">
        <v>1.4717415E7</v>
      </c>
      <c r="H223" s="43">
        <v>0.0</v>
      </c>
      <c r="I223" s="43" t="s">
        <v>771</v>
      </c>
      <c r="J223" s="43"/>
      <c r="K223" s="43"/>
      <c r="L223" s="43" t="s">
        <v>92</v>
      </c>
      <c r="M223" s="43" t="s">
        <v>772</v>
      </c>
      <c r="N223" s="43">
        <v>1.0</v>
      </c>
      <c r="O223" s="43">
        <v>7.0</v>
      </c>
      <c r="P223" s="43"/>
      <c r="Q223" s="46" t="s">
        <v>1741</v>
      </c>
      <c r="R223" s="46" t="s">
        <v>1742</v>
      </c>
      <c r="S223" s="47" t="s">
        <v>1743</v>
      </c>
      <c r="T223" s="48" t="s">
        <v>1744</v>
      </c>
      <c r="U223" s="46" t="s">
        <v>777</v>
      </c>
      <c r="V223" s="43"/>
      <c r="W223" s="43"/>
      <c r="X223" s="50"/>
      <c r="Y223" s="50"/>
    </row>
    <row r="224" ht="12.75" hidden="1" customHeight="1">
      <c r="A224" s="43">
        <v>214.0</v>
      </c>
      <c r="B224" s="43" t="s">
        <v>100</v>
      </c>
      <c r="C224" s="43" t="s">
        <v>100</v>
      </c>
      <c r="D224" s="43"/>
      <c r="E224" s="43" t="s">
        <v>770</v>
      </c>
      <c r="F224" s="43" t="s">
        <v>70</v>
      </c>
      <c r="G224" s="44">
        <v>1.4717415E7</v>
      </c>
      <c r="H224" s="43">
        <v>0.0</v>
      </c>
      <c r="I224" s="43" t="s">
        <v>771</v>
      </c>
      <c r="J224" s="43"/>
      <c r="K224" s="43"/>
      <c r="L224" s="43" t="s">
        <v>92</v>
      </c>
      <c r="M224" s="43" t="s">
        <v>772</v>
      </c>
      <c r="N224" s="43">
        <v>1.0</v>
      </c>
      <c r="O224" s="43">
        <v>7.0</v>
      </c>
      <c r="P224" s="43"/>
      <c r="Q224" s="46" t="s">
        <v>1745</v>
      </c>
      <c r="R224" s="46" t="s">
        <v>1746</v>
      </c>
      <c r="S224" s="47" t="s">
        <v>1747</v>
      </c>
      <c r="T224" s="48" t="s">
        <v>1748</v>
      </c>
      <c r="U224" s="46" t="s">
        <v>777</v>
      </c>
      <c r="V224" s="43"/>
      <c r="W224" s="43"/>
      <c r="X224" s="50"/>
      <c r="Y224" s="50"/>
    </row>
    <row r="225" ht="12.75" hidden="1" customHeight="1">
      <c r="A225" s="43">
        <v>215.0</v>
      </c>
      <c r="B225" s="43" t="s">
        <v>100</v>
      </c>
      <c r="C225" s="43" t="s">
        <v>100</v>
      </c>
      <c r="D225" s="43"/>
      <c r="E225" s="43" t="s">
        <v>770</v>
      </c>
      <c r="F225" s="43" t="s">
        <v>70</v>
      </c>
      <c r="G225" s="44">
        <v>1.29E7</v>
      </c>
      <c r="H225" s="43">
        <v>0.0</v>
      </c>
      <c r="I225" s="43" t="s">
        <v>781</v>
      </c>
      <c r="J225" s="43"/>
      <c r="K225" s="43"/>
      <c r="L225" s="43" t="s">
        <v>92</v>
      </c>
      <c r="M225" s="43" t="s">
        <v>772</v>
      </c>
      <c r="N225" s="43">
        <v>1.0</v>
      </c>
      <c r="O225" s="43">
        <v>7.0</v>
      </c>
      <c r="P225" s="43"/>
      <c r="Q225" s="51" t="s">
        <v>1749</v>
      </c>
      <c r="R225" s="43" t="s">
        <v>1750</v>
      </c>
      <c r="S225" s="53" t="s">
        <v>1751</v>
      </c>
      <c r="T225" s="54" t="s">
        <v>1752</v>
      </c>
      <c r="U225" s="43"/>
      <c r="V225" s="51" t="s">
        <v>1732</v>
      </c>
      <c r="W225" s="43"/>
      <c r="X225" s="50"/>
      <c r="Y225" s="50"/>
    </row>
    <row r="226" ht="12.75" hidden="1" customHeight="1">
      <c r="A226" s="43">
        <v>216.0</v>
      </c>
      <c r="B226" s="43" t="s">
        <v>100</v>
      </c>
      <c r="C226" s="43" t="s">
        <v>100</v>
      </c>
      <c r="D226" s="43"/>
      <c r="E226" s="43" t="s">
        <v>770</v>
      </c>
      <c r="F226" s="43" t="s">
        <v>70</v>
      </c>
      <c r="G226" s="44">
        <v>1.277E7</v>
      </c>
      <c r="H226" s="43">
        <v>0.0</v>
      </c>
      <c r="I226" s="43" t="s">
        <v>781</v>
      </c>
      <c r="J226" s="43"/>
      <c r="K226" s="43"/>
      <c r="L226" s="43" t="s">
        <v>58</v>
      </c>
      <c r="M226" s="43" t="s">
        <v>772</v>
      </c>
      <c r="N226" s="43">
        <v>1.0</v>
      </c>
      <c r="O226" s="43">
        <v>7.0</v>
      </c>
      <c r="P226" s="43"/>
      <c r="Q226" s="51" t="s">
        <v>1753</v>
      </c>
      <c r="R226" s="43" t="s">
        <v>1754</v>
      </c>
      <c r="S226" s="53" t="s">
        <v>1755</v>
      </c>
      <c r="T226" s="54" t="s">
        <v>1756</v>
      </c>
      <c r="U226" s="43"/>
      <c r="V226" s="51" t="s">
        <v>1732</v>
      </c>
      <c r="W226" s="43"/>
      <c r="X226" s="50"/>
      <c r="Y226" s="50"/>
    </row>
    <row r="227" ht="12.75" hidden="1" customHeight="1">
      <c r="A227" s="43">
        <v>217.0</v>
      </c>
      <c r="B227" s="43" t="s">
        <v>100</v>
      </c>
      <c r="C227" s="43" t="s">
        <v>1757</v>
      </c>
      <c r="D227" s="43"/>
      <c r="E227" s="43" t="s">
        <v>770</v>
      </c>
      <c r="F227" s="43" t="s">
        <v>70</v>
      </c>
      <c r="G227" s="44">
        <v>1.687875E7</v>
      </c>
      <c r="H227" s="43">
        <v>0.0</v>
      </c>
      <c r="I227" s="43" t="s">
        <v>1758</v>
      </c>
      <c r="J227" s="43"/>
      <c r="K227" s="43"/>
      <c r="L227" s="43" t="s">
        <v>71</v>
      </c>
      <c r="M227" s="43" t="s">
        <v>772</v>
      </c>
      <c r="N227" s="43">
        <v>1.0</v>
      </c>
      <c r="O227" s="43">
        <v>7.0</v>
      </c>
      <c r="P227" s="43"/>
      <c r="Q227" s="46" t="s">
        <v>1759</v>
      </c>
      <c r="R227" s="46" t="s">
        <v>1760</v>
      </c>
      <c r="S227" s="47" t="s">
        <v>1761</v>
      </c>
      <c r="T227" s="48" t="s">
        <v>1762</v>
      </c>
      <c r="U227" s="46" t="s">
        <v>25</v>
      </c>
      <c r="V227" s="43"/>
      <c r="W227" s="43"/>
      <c r="X227" s="50"/>
      <c r="Y227" s="50"/>
    </row>
    <row r="228" ht="12.75" hidden="1" customHeight="1">
      <c r="A228" s="43">
        <v>218.0</v>
      </c>
      <c r="B228" s="43" t="s">
        <v>100</v>
      </c>
      <c r="C228" s="43" t="s">
        <v>1757</v>
      </c>
      <c r="D228" s="43"/>
      <c r="E228" s="43" t="s">
        <v>770</v>
      </c>
      <c r="F228" s="43" t="s">
        <v>70</v>
      </c>
      <c r="G228" s="44">
        <v>1.687875E7</v>
      </c>
      <c r="H228" s="43">
        <v>0.0</v>
      </c>
      <c r="I228" s="43" t="s">
        <v>1758</v>
      </c>
      <c r="J228" s="43"/>
      <c r="K228" s="43"/>
      <c r="L228" s="43" t="s">
        <v>71</v>
      </c>
      <c r="M228" s="43" t="s">
        <v>772</v>
      </c>
      <c r="N228" s="43">
        <v>1.0</v>
      </c>
      <c r="O228" s="43">
        <v>7.0</v>
      </c>
      <c r="P228" s="43"/>
      <c r="Q228" s="46" t="s">
        <v>1763</v>
      </c>
      <c r="R228" s="46" t="s">
        <v>1764</v>
      </c>
      <c r="S228" s="47" t="s">
        <v>1765</v>
      </c>
      <c r="T228" s="48" t="s">
        <v>1766</v>
      </c>
      <c r="U228" s="46" t="s">
        <v>25</v>
      </c>
      <c r="V228" s="43"/>
      <c r="W228" s="43"/>
      <c r="X228" s="50"/>
      <c r="Y228" s="50"/>
    </row>
    <row r="229" ht="12.75" hidden="1" customHeight="1">
      <c r="A229" s="43">
        <v>219.0</v>
      </c>
      <c r="B229" s="43" t="s">
        <v>100</v>
      </c>
      <c r="C229" s="43" t="s">
        <v>1767</v>
      </c>
      <c r="D229" s="51" t="s">
        <v>1768</v>
      </c>
      <c r="E229" s="43" t="s">
        <v>770</v>
      </c>
      <c r="F229" s="43" t="s">
        <v>70</v>
      </c>
      <c r="G229" s="44">
        <v>1.665E7</v>
      </c>
      <c r="H229" s="43">
        <v>0.0</v>
      </c>
      <c r="I229" s="43" t="s">
        <v>781</v>
      </c>
      <c r="J229" s="43"/>
      <c r="K229" s="43"/>
      <c r="L229" s="43" t="s">
        <v>862</v>
      </c>
      <c r="M229" s="43" t="s">
        <v>772</v>
      </c>
      <c r="N229" s="43">
        <v>1.0</v>
      </c>
      <c r="O229" s="43">
        <v>7.0</v>
      </c>
      <c r="P229" s="43"/>
      <c r="Q229" s="43" t="s">
        <v>1769</v>
      </c>
      <c r="R229" s="43" t="s">
        <v>1770</v>
      </c>
      <c r="S229" s="53" t="s">
        <v>1771</v>
      </c>
      <c r="T229" s="59">
        <v>0.0</v>
      </c>
      <c r="U229" s="43"/>
      <c r="V229" s="77" t="s">
        <v>1772</v>
      </c>
      <c r="W229" s="43"/>
      <c r="X229" s="50"/>
      <c r="Y229" s="50"/>
    </row>
    <row r="230" ht="12.75" hidden="1" customHeight="1">
      <c r="A230" s="43">
        <v>220.0</v>
      </c>
      <c r="B230" s="43" t="s">
        <v>100</v>
      </c>
      <c r="C230" s="43" t="s">
        <v>1767</v>
      </c>
      <c r="D230" s="43"/>
      <c r="E230" s="43" t="s">
        <v>770</v>
      </c>
      <c r="F230" s="43" t="s">
        <v>70</v>
      </c>
      <c r="G230" s="44">
        <v>1.665E7</v>
      </c>
      <c r="H230" s="43">
        <v>0.0</v>
      </c>
      <c r="I230" s="43" t="s">
        <v>781</v>
      </c>
      <c r="J230" s="43"/>
      <c r="K230" s="43"/>
      <c r="L230" s="43" t="s">
        <v>862</v>
      </c>
      <c r="M230" s="43" t="s">
        <v>772</v>
      </c>
      <c r="N230" s="43">
        <v>1.0</v>
      </c>
      <c r="O230" s="43">
        <v>7.0</v>
      </c>
      <c r="P230" s="43"/>
      <c r="Q230" s="43" t="s">
        <v>1773</v>
      </c>
      <c r="R230" s="43" t="s">
        <v>1774</v>
      </c>
      <c r="S230" s="53" t="s">
        <v>1775</v>
      </c>
      <c r="T230" s="59">
        <v>0.0</v>
      </c>
      <c r="U230" s="43"/>
      <c r="V230" s="43" t="s">
        <v>1776</v>
      </c>
      <c r="W230" s="51" t="s">
        <v>1777</v>
      </c>
      <c r="X230" s="65"/>
      <c r="Y230" s="65"/>
    </row>
    <row r="231" ht="12.75" hidden="1" customHeight="1">
      <c r="A231" s="43">
        <v>221.0</v>
      </c>
      <c r="B231" s="43" t="s">
        <v>100</v>
      </c>
      <c r="C231" s="43" t="s">
        <v>1767</v>
      </c>
      <c r="D231" s="51" t="s">
        <v>1768</v>
      </c>
      <c r="E231" s="43" t="s">
        <v>770</v>
      </c>
      <c r="F231" s="43" t="s">
        <v>70</v>
      </c>
      <c r="G231" s="44">
        <v>1.665E7</v>
      </c>
      <c r="H231" s="43">
        <v>0.0</v>
      </c>
      <c r="I231" s="43" t="s">
        <v>781</v>
      </c>
      <c r="J231" s="43"/>
      <c r="K231" s="43"/>
      <c r="L231" s="43" t="s">
        <v>862</v>
      </c>
      <c r="M231" s="43" t="s">
        <v>772</v>
      </c>
      <c r="N231" s="43">
        <v>1.0</v>
      </c>
      <c r="O231" s="43">
        <v>7.0</v>
      </c>
      <c r="P231" s="43"/>
      <c r="Q231" s="43" t="s">
        <v>1778</v>
      </c>
      <c r="R231" s="43" t="s">
        <v>1779</v>
      </c>
      <c r="S231" s="53" t="s">
        <v>1780</v>
      </c>
      <c r="T231" s="59">
        <v>0.0</v>
      </c>
      <c r="U231" s="43"/>
      <c r="V231" s="77" t="s">
        <v>1020</v>
      </c>
      <c r="W231" s="43"/>
      <c r="X231" s="50"/>
      <c r="Y231" s="50"/>
    </row>
    <row r="232" ht="12.75" hidden="1" customHeight="1">
      <c r="A232" s="43">
        <v>222.0</v>
      </c>
      <c r="B232" s="43" t="s">
        <v>100</v>
      </c>
      <c r="C232" s="43" t="s">
        <v>1767</v>
      </c>
      <c r="D232" s="51" t="s">
        <v>1768</v>
      </c>
      <c r="E232" s="43" t="s">
        <v>770</v>
      </c>
      <c r="F232" s="43" t="s">
        <v>70</v>
      </c>
      <c r="G232" s="44">
        <v>1.665E7</v>
      </c>
      <c r="H232" s="43">
        <v>0.0</v>
      </c>
      <c r="I232" s="43" t="s">
        <v>781</v>
      </c>
      <c r="J232" s="43"/>
      <c r="K232" s="43"/>
      <c r="L232" s="43" t="s">
        <v>862</v>
      </c>
      <c r="M232" s="43" t="s">
        <v>772</v>
      </c>
      <c r="N232" s="43">
        <v>1.0</v>
      </c>
      <c r="O232" s="43">
        <v>7.0</v>
      </c>
      <c r="P232" s="43"/>
      <c r="Q232" s="43" t="s">
        <v>1781</v>
      </c>
      <c r="R232" s="43" t="s">
        <v>1782</v>
      </c>
      <c r="S232" s="53" t="s">
        <v>1783</v>
      </c>
      <c r="T232" s="59">
        <v>0.0</v>
      </c>
      <c r="U232" s="43"/>
      <c r="V232" s="43" t="s">
        <v>1270</v>
      </c>
      <c r="W232" s="43"/>
      <c r="X232" s="50"/>
      <c r="Y232" s="50"/>
    </row>
    <row r="233" ht="12.75" hidden="1" customHeight="1">
      <c r="A233" s="43">
        <v>223.0</v>
      </c>
      <c r="B233" s="43" t="s">
        <v>100</v>
      </c>
      <c r="C233" s="43" t="s">
        <v>1767</v>
      </c>
      <c r="D233" s="43"/>
      <c r="E233" s="43" t="s">
        <v>770</v>
      </c>
      <c r="F233" s="43" t="s">
        <v>70</v>
      </c>
      <c r="G233" s="44">
        <v>1.665E7</v>
      </c>
      <c r="H233" s="43">
        <v>0.0</v>
      </c>
      <c r="I233" s="43" t="s">
        <v>781</v>
      </c>
      <c r="J233" s="51" t="s">
        <v>1768</v>
      </c>
      <c r="K233" s="43"/>
      <c r="L233" s="43" t="s">
        <v>862</v>
      </c>
      <c r="M233" s="43" t="s">
        <v>772</v>
      </c>
      <c r="N233" s="43">
        <v>1.0</v>
      </c>
      <c r="O233" s="43">
        <v>7.0</v>
      </c>
      <c r="P233" s="43"/>
      <c r="Q233" s="43" t="s">
        <v>1784</v>
      </c>
      <c r="R233" s="43" t="s">
        <v>1785</v>
      </c>
      <c r="S233" s="53" t="s">
        <v>1786</v>
      </c>
      <c r="T233" s="59">
        <v>0.0</v>
      </c>
      <c r="U233" s="43"/>
      <c r="V233" s="77" t="s">
        <v>1052</v>
      </c>
      <c r="W233" s="43"/>
      <c r="X233" s="50"/>
      <c r="Y233" s="50"/>
    </row>
    <row r="234" ht="12.75" hidden="1" customHeight="1">
      <c r="A234" s="43">
        <v>224.0</v>
      </c>
      <c r="B234" s="43" t="s">
        <v>100</v>
      </c>
      <c r="C234" s="43" t="s">
        <v>1767</v>
      </c>
      <c r="D234" s="51" t="s">
        <v>1787</v>
      </c>
      <c r="E234" s="43" t="s">
        <v>770</v>
      </c>
      <c r="F234" s="43" t="s">
        <v>70</v>
      </c>
      <c r="G234" s="44">
        <v>1.665E7</v>
      </c>
      <c r="H234" s="43">
        <v>0.0</v>
      </c>
      <c r="I234" s="43" t="s">
        <v>781</v>
      </c>
      <c r="J234" s="43"/>
      <c r="K234" s="43"/>
      <c r="L234" s="43" t="s">
        <v>862</v>
      </c>
      <c r="M234" s="43" t="s">
        <v>772</v>
      </c>
      <c r="N234" s="43">
        <v>1.0</v>
      </c>
      <c r="O234" s="43">
        <v>7.0</v>
      </c>
      <c r="P234" s="43"/>
      <c r="Q234" s="43" t="s">
        <v>1788</v>
      </c>
      <c r="R234" s="43" t="s">
        <v>1789</v>
      </c>
      <c r="S234" s="53" t="s">
        <v>1790</v>
      </c>
      <c r="T234" s="59">
        <v>0.0</v>
      </c>
      <c r="U234" s="46" t="s">
        <v>777</v>
      </c>
      <c r="V234" s="77" t="s">
        <v>1013</v>
      </c>
      <c r="W234" s="49" t="s">
        <v>1791</v>
      </c>
      <c r="X234" s="65"/>
      <c r="Y234" s="65"/>
    </row>
    <row r="235" ht="12.75" hidden="1" customHeight="1">
      <c r="A235" s="43">
        <v>225.0</v>
      </c>
      <c r="B235" s="43" t="s">
        <v>100</v>
      </c>
      <c r="C235" s="43" t="s">
        <v>1767</v>
      </c>
      <c r="D235" s="43"/>
      <c r="E235" s="43" t="s">
        <v>770</v>
      </c>
      <c r="F235" s="43" t="s">
        <v>70</v>
      </c>
      <c r="G235" s="44">
        <v>1.665E7</v>
      </c>
      <c r="H235" s="43">
        <v>0.0</v>
      </c>
      <c r="I235" s="43" t="s">
        <v>781</v>
      </c>
      <c r="J235" s="43"/>
      <c r="K235" s="43"/>
      <c r="L235" s="43" t="s">
        <v>862</v>
      </c>
      <c r="M235" s="43" t="s">
        <v>772</v>
      </c>
      <c r="N235" s="43">
        <v>1.0</v>
      </c>
      <c r="O235" s="43">
        <v>7.0</v>
      </c>
      <c r="P235" s="43"/>
      <c r="Q235" s="43" t="s">
        <v>1792</v>
      </c>
      <c r="R235" s="43" t="s">
        <v>1793</v>
      </c>
      <c r="S235" s="53" t="s">
        <v>1794</v>
      </c>
      <c r="T235" s="59">
        <v>0.0</v>
      </c>
      <c r="U235" s="43"/>
      <c r="V235" s="43" t="s">
        <v>1047</v>
      </c>
      <c r="W235" s="43"/>
      <c r="X235" s="50"/>
      <c r="Y235" s="50"/>
    </row>
    <row r="236" ht="12.75" hidden="1" customHeight="1">
      <c r="A236" s="43">
        <v>226.0</v>
      </c>
      <c r="B236" s="43" t="s">
        <v>100</v>
      </c>
      <c r="C236" s="43" t="s">
        <v>1767</v>
      </c>
      <c r="D236" s="51" t="s">
        <v>1768</v>
      </c>
      <c r="E236" s="43" t="s">
        <v>770</v>
      </c>
      <c r="F236" s="43" t="s">
        <v>70</v>
      </c>
      <c r="G236" s="44">
        <v>1.665E7</v>
      </c>
      <c r="H236" s="43">
        <v>0.0</v>
      </c>
      <c r="I236" s="43" t="s">
        <v>781</v>
      </c>
      <c r="J236" s="43"/>
      <c r="K236" s="43"/>
      <c r="L236" s="43" t="s">
        <v>862</v>
      </c>
      <c r="M236" s="43" t="s">
        <v>772</v>
      </c>
      <c r="N236" s="43">
        <v>1.0</v>
      </c>
      <c r="O236" s="43">
        <v>7.0</v>
      </c>
      <c r="P236" s="43"/>
      <c r="Q236" s="43" t="s">
        <v>1795</v>
      </c>
      <c r="R236" s="43" t="s">
        <v>1796</v>
      </c>
      <c r="S236" s="53" t="s">
        <v>1797</v>
      </c>
      <c r="T236" s="59">
        <v>0.0</v>
      </c>
      <c r="U236" s="43"/>
      <c r="V236" s="49" t="s">
        <v>998</v>
      </c>
      <c r="W236" s="43"/>
      <c r="X236" s="50"/>
      <c r="Y236" s="50"/>
    </row>
    <row r="237" ht="12.75" hidden="1" customHeight="1">
      <c r="A237" s="43">
        <v>227.0</v>
      </c>
      <c r="B237" s="43" t="s">
        <v>100</v>
      </c>
      <c r="C237" s="43" t="s">
        <v>1767</v>
      </c>
      <c r="D237" s="51" t="s">
        <v>1768</v>
      </c>
      <c r="E237" s="43" t="s">
        <v>770</v>
      </c>
      <c r="F237" s="43" t="s">
        <v>70</v>
      </c>
      <c r="G237" s="44">
        <v>1.665E7</v>
      </c>
      <c r="H237" s="43">
        <v>0.0</v>
      </c>
      <c r="I237" s="43" t="s">
        <v>781</v>
      </c>
      <c r="J237" s="43"/>
      <c r="K237" s="43"/>
      <c r="L237" s="43" t="s">
        <v>862</v>
      </c>
      <c r="M237" s="43" t="s">
        <v>772</v>
      </c>
      <c r="N237" s="43">
        <v>1.0</v>
      </c>
      <c r="O237" s="43">
        <v>7.0</v>
      </c>
      <c r="P237" s="43"/>
      <c r="Q237" s="43" t="s">
        <v>1798</v>
      </c>
      <c r="R237" s="43" t="s">
        <v>1799</v>
      </c>
      <c r="S237" s="53" t="s">
        <v>1800</v>
      </c>
      <c r="T237" s="59">
        <v>0.0</v>
      </c>
      <c r="U237" s="43"/>
      <c r="V237" s="77" t="s">
        <v>934</v>
      </c>
      <c r="W237" s="43"/>
      <c r="X237" s="50"/>
      <c r="Y237" s="50"/>
    </row>
    <row r="238" ht="12.75" hidden="1" customHeight="1">
      <c r="A238" s="43">
        <v>228.0</v>
      </c>
      <c r="B238" s="43" t="s">
        <v>100</v>
      </c>
      <c r="C238" s="43" t="s">
        <v>1767</v>
      </c>
      <c r="D238" s="43"/>
      <c r="E238" s="43" t="s">
        <v>770</v>
      </c>
      <c r="F238" s="43" t="s">
        <v>70</v>
      </c>
      <c r="G238" s="44">
        <v>1.665E7</v>
      </c>
      <c r="H238" s="43">
        <v>0.0</v>
      </c>
      <c r="I238" s="43" t="s">
        <v>781</v>
      </c>
      <c r="J238" s="43"/>
      <c r="K238" s="43"/>
      <c r="L238" s="43" t="s">
        <v>862</v>
      </c>
      <c r="M238" s="43" t="s">
        <v>772</v>
      </c>
      <c r="N238" s="43">
        <v>1.0</v>
      </c>
      <c r="O238" s="43">
        <v>7.0</v>
      </c>
      <c r="P238" s="43"/>
      <c r="Q238" s="43" t="s">
        <v>1801</v>
      </c>
      <c r="R238" s="43" t="s">
        <v>1802</v>
      </c>
      <c r="S238" s="53" t="s">
        <v>1803</v>
      </c>
      <c r="T238" s="59">
        <v>0.0</v>
      </c>
      <c r="U238" s="43"/>
      <c r="V238" s="43" t="s">
        <v>1804</v>
      </c>
      <c r="W238" s="43"/>
      <c r="X238" s="50"/>
      <c r="Y238" s="50"/>
    </row>
    <row r="239" ht="12.75" hidden="1" customHeight="1">
      <c r="A239" s="43">
        <v>229.0</v>
      </c>
      <c r="B239" s="43" t="s">
        <v>100</v>
      </c>
      <c r="C239" s="43" t="s">
        <v>1767</v>
      </c>
      <c r="D239" s="43"/>
      <c r="E239" s="43" t="s">
        <v>770</v>
      </c>
      <c r="F239" s="43" t="s">
        <v>70</v>
      </c>
      <c r="G239" s="44">
        <v>1.665E7</v>
      </c>
      <c r="H239" s="43">
        <v>0.0</v>
      </c>
      <c r="I239" s="43" t="s">
        <v>781</v>
      </c>
      <c r="J239" s="43"/>
      <c r="K239" s="43"/>
      <c r="L239" s="43" t="s">
        <v>862</v>
      </c>
      <c r="M239" s="43" t="s">
        <v>772</v>
      </c>
      <c r="N239" s="43">
        <v>1.0</v>
      </c>
      <c r="O239" s="43">
        <v>7.0</v>
      </c>
      <c r="P239" s="43"/>
      <c r="Q239" s="57" t="s">
        <v>1805</v>
      </c>
      <c r="R239" s="43" t="s">
        <v>1806</v>
      </c>
      <c r="S239" s="53" t="s">
        <v>1807</v>
      </c>
      <c r="T239" s="59">
        <v>0.0</v>
      </c>
      <c r="U239" s="43"/>
      <c r="V239" s="43" t="s">
        <v>1808</v>
      </c>
      <c r="W239" s="43"/>
      <c r="X239" s="50"/>
      <c r="Y239" s="50"/>
    </row>
    <row r="240" ht="12.75" hidden="1" customHeight="1">
      <c r="A240" s="43">
        <v>230.0</v>
      </c>
      <c r="B240" s="43" t="s">
        <v>100</v>
      </c>
      <c r="C240" s="43" t="s">
        <v>1767</v>
      </c>
      <c r="D240" s="43"/>
      <c r="E240" s="43" t="s">
        <v>770</v>
      </c>
      <c r="F240" s="43" t="s">
        <v>70</v>
      </c>
      <c r="G240" s="44">
        <v>1.665E7</v>
      </c>
      <c r="H240" s="43">
        <v>0.0</v>
      </c>
      <c r="I240" s="43" t="s">
        <v>781</v>
      </c>
      <c r="J240" s="43"/>
      <c r="K240" s="43"/>
      <c r="L240" s="43" t="s">
        <v>862</v>
      </c>
      <c r="M240" s="43" t="s">
        <v>772</v>
      </c>
      <c r="N240" s="43">
        <v>1.0</v>
      </c>
      <c r="O240" s="43">
        <v>7.0</v>
      </c>
      <c r="P240" s="43"/>
      <c r="Q240" s="43" t="s">
        <v>1809</v>
      </c>
      <c r="R240" s="43" t="s">
        <v>1810</v>
      </c>
      <c r="S240" s="53" t="s">
        <v>1811</v>
      </c>
      <c r="T240" s="59">
        <v>0.0</v>
      </c>
      <c r="U240" s="43"/>
      <c r="V240" s="43" t="s">
        <v>970</v>
      </c>
      <c r="W240" s="43"/>
      <c r="X240" s="50"/>
      <c r="Y240" s="50"/>
    </row>
    <row r="241" ht="12.75" hidden="1" customHeight="1">
      <c r="A241" s="43">
        <v>231.0</v>
      </c>
      <c r="B241" s="43" t="s">
        <v>100</v>
      </c>
      <c r="C241" s="43" t="s">
        <v>1767</v>
      </c>
      <c r="D241" s="51" t="s">
        <v>1768</v>
      </c>
      <c r="E241" s="43" t="s">
        <v>770</v>
      </c>
      <c r="F241" s="43" t="s">
        <v>70</v>
      </c>
      <c r="G241" s="44">
        <v>1.665E7</v>
      </c>
      <c r="H241" s="43">
        <v>0.0</v>
      </c>
      <c r="I241" s="43" t="s">
        <v>781</v>
      </c>
      <c r="J241" s="43"/>
      <c r="K241" s="43"/>
      <c r="L241" s="43" t="s">
        <v>862</v>
      </c>
      <c r="M241" s="43" t="s">
        <v>772</v>
      </c>
      <c r="N241" s="43">
        <v>1.0</v>
      </c>
      <c r="O241" s="43">
        <v>7.0</v>
      </c>
      <c r="P241" s="43"/>
      <c r="Q241" s="43" t="s">
        <v>1812</v>
      </c>
      <c r="R241" s="43" t="s">
        <v>1810</v>
      </c>
      <c r="S241" s="53" t="s">
        <v>1813</v>
      </c>
      <c r="T241" s="59">
        <v>0.0</v>
      </c>
      <c r="U241" s="43"/>
      <c r="V241" s="77" t="s">
        <v>1339</v>
      </c>
      <c r="W241" s="43"/>
      <c r="X241" s="50"/>
      <c r="Y241" s="50"/>
    </row>
    <row r="242" ht="12.75" hidden="1" customHeight="1">
      <c r="A242" s="43">
        <v>232.0</v>
      </c>
      <c r="B242" s="43" t="s">
        <v>100</v>
      </c>
      <c r="C242" s="43" t="s">
        <v>1767</v>
      </c>
      <c r="D242" s="43"/>
      <c r="E242" s="43" t="s">
        <v>770</v>
      </c>
      <c r="F242" s="43" t="s">
        <v>70</v>
      </c>
      <c r="G242" s="44">
        <v>1.665E7</v>
      </c>
      <c r="H242" s="43">
        <v>0.0</v>
      </c>
      <c r="I242" s="43" t="s">
        <v>781</v>
      </c>
      <c r="J242" s="43"/>
      <c r="K242" s="43"/>
      <c r="L242" s="43" t="s">
        <v>862</v>
      </c>
      <c r="M242" s="43" t="s">
        <v>772</v>
      </c>
      <c r="N242" s="43">
        <v>1.0</v>
      </c>
      <c r="O242" s="43">
        <v>7.0</v>
      </c>
      <c r="P242" s="43"/>
      <c r="Q242" s="43" t="s">
        <v>1814</v>
      </c>
      <c r="R242" s="43" t="s">
        <v>1815</v>
      </c>
      <c r="S242" s="53" t="s">
        <v>1816</v>
      </c>
      <c r="T242" s="59">
        <v>0.0</v>
      </c>
      <c r="U242" s="43"/>
      <c r="V242" s="43" t="s">
        <v>1817</v>
      </c>
      <c r="W242" s="43"/>
      <c r="X242" s="50"/>
      <c r="Y242" s="50"/>
    </row>
    <row r="243" ht="12.75" hidden="1" customHeight="1">
      <c r="A243" s="43">
        <v>233.0</v>
      </c>
      <c r="B243" s="43" t="s">
        <v>100</v>
      </c>
      <c r="C243" s="43" t="s">
        <v>1767</v>
      </c>
      <c r="D243" s="43"/>
      <c r="E243" s="43" t="s">
        <v>770</v>
      </c>
      <c r="F243" s="43" t="s">
        <v>70</v>
      </c>
      <c r="G243" s="44">
        <v>1.665E7</v>
      </c>
      <c r="H243" s="43">
        <v>0.0</v>
      </c>
      <c r="I243" s="51" t="s">
        <v>1260</v>
      </c>
      <c r="J243" s="51" t="s">
        <v>1818</v>
      </c>
      <c r="K243" s="51" t="s">
        <v>858</v>
      </c>
      <c r="L243" s="43" t="s">
        <v>862</v>
      </c>
      <c r="M243" s="43" t="s">
        <v>772</v>
      </c>
      <c r="N243" s="43">
        <v>1.0</v>
      </c>
      <c r="O243" s="43">
        <v>7.0</v>
      </c>
      <c r="P243" s="43"/>
      <c r="Q243" s="43" t="s">
        <v>1819</v>
      </c>
      <c r="R243" s="43" t="s">
        <v>1820</v>
      </c>
      <c r="S243" s="53" t="s">
        <v>1821</v>
      </c>
      <c r="T243" s="66" t="s">
        <v>1822</v>
      </c>
      <c r="U243" s="43"/>
      <c r="V243" s="43" t="s">
        <v>1029</v>
      </c>
      <c r="W243" s="51" t="s">
        <v>1823</v>
      </c>
      <c r="X243" s="29"/>
      <c r="Y243" s="65"/>
    </row>
    <row r="244" ht="12.75" hidden="1" customHeight="1">
      <c r="A244" s="43">
        <v>234.0</v>
      </c>
      <c r="B244" s="43" t="s">
        <v>100</v>
      </c>
      <c r="C244" s="43" t="s">
        <v>1767</v>
      </c>
      <c r="D244" s="43"/>
      <c r="E244" s="43" t="s">
        <v>770</v>
      </c>
      <c r="F244" s="43" t="s">
        <v>70</v>
      </c>
      <c r="G244" s="44">
        <v>1.665E7</v>
      </c>
      <c r="H244" s="43">
        <v>0.0</v>
      </c>
      <c r="I244" s="51" t="s">
        <v>1260</v>
      </c>
      <c r="J244" s="51" t="s">
        <v>1818</v>
      </c>
      <c r="K244" s="43"/>
      <c r="L244" s="43" t="s">
        <v>862</v>
      </c>
      <c r="M244" s="43" t="s">
        <v>772</v>
      </c>
      <c r="N244" s="43">
        <v>1.0</v>
      </c>
      <c r="O244" s="43">
        <v>7.0</v>
      </c>
      <c r="P244" s="43"/>
      <c r="Q244" s="57" t="s">
        <v>1824</v>
      </c>
      <c r="R244" s="43" t="s">
        <v>1825</v>
      </c>
      <c r="S244" s="53" t="s">
        <v>1826</v>
      </c>
      <c r="T244" s="58" t="s">
        <v>1827</v>
      </c>
      <c r="U244" s="43"/>
      <c r="V244" s="43" t="s">
        <v>1003</v>
      </c>
      <c r="W244" s="51" t="s">
        <v>1828</v>
      </c>
      <c r="X244" s="50"/>
      <c r="Y244" s="50"/>
    </row>
    <row r="245" ht="12.75" hidden="1" customHeight="1">
      <c r="A245" s="43">
        <v>235.0</v>
      </c>
      <c r="B245" s="43" t="s">
        <v>100</v>
      </c>
      <c r="C245" s="43" t="s">
        <v>1767</v>
      </c>
      <c r="D245" s="43"/>
      <c r="E245" s="43" t="s">
        <v>770</v>
      </c>
      <c r="F245" s="43" t="s">
        <v>70</v>
      </c>
      <c r="G245" s="44">
        <v>1.665E7</v>
      </c>
      <c r="H245" s="43">
        <v>0.0</v>
      </c>
      <c r="I245" s="43" t="s">
        <v>781</v>
      </c>
      <c r="J245" s="43"/>
      <c r="K245" s="43"/>
      <c r="L245" s="43" t="s">
        <v>862</v>
      </c>
      <c r="M245" s="43" t="s">
        <v>772</v>
      </c>
      <c r="N245" s="43">
        <v>1.0</v>
      </c>
      <c r="O245" s="43">
        <v>7.0</v>
      </c>
      <c r="P245" s="43"/>
      <c r="Q245" s="43" t="s">
        <v>1829</v>
      </c>
      <c r="R245" s="43" t="s">
        <v>1830</v>
      </c>
      <c r="S245" s="53" t="s">
        <v>1830</v>
      </c>
      <c r="T245" s="59">
        <v>0.0</v>
      </c>
      <c r="U245" s="43"/>
      <c r="V245" s="43" t="s">
        <v>1831</v>
      </c>
      <c r="W245" s="43"/>
      <c r="X245" s="50"/>
      <c r="Y245" s="50"/>
    </row>
    <row r="246" ht="12.75" hidden="1" customHeight="1">
      <c r="A246" s="43">
        <v>236.0</v>
      </c>
      <c r="B246" s="43" t="s">
        <v>100</v>
      </c>
      <c r="C246" s="43" t="s">
        <v>1767</v>
      </c>
      <c r="D246" s="43"/>
      <c r="E246" s="43" t="s">
        <v>770</v>
      </c>
      <c r="F246" s="43" t="s">
        <v>70</v>
      </c>
      <c r="G246" s="44">
        <v>1.665E7</v>
      </c>
      <c r="H246" s="43">
        <v>0.0</v>
      </c>
      <c r="I246" s="43" t="s">
        <v>781</v>
      </c>
      <c r="J246" s="43"/>
      <c r="K246" s="43"/>
      <c r="L246" s="43" t="s">
        <v>862</v>
      </c>
      <c r="M246" s="43" t="s">
        <v>772</v>
      </c>
      <c r="N246" s="43">
        <v>1.0</v>
      </c>
      <c r="O246" s="43">
        <v>7.0</v>
      </c>
      <c r="P246" s="43"/>
      <c r="Q246" s="43" t="s">
        <v>1832</v>
      </c>
      <c r="R246" s="43" t="s">
        <v>1833</v>
      </c>
      <c r="S246" s="53" t="s">
        <v>1834</v>
      </c>
      <c r="T246" s="59">
        <v>0.0</v>
      </c>
      <c r="U246" s="43"/>
      <c r="V246" s="43" t="s">
        <v>1060</v>
      </c>
      <c r="W246" s="43"/>
      <c r="X246" s="50"/>
      <c r="Y246" s="50"/>
    </row>
    <row r="247" ht="12.75" hidden="1" customHeight="1">
      <c r="A247" s="43">
        <v>237.0</v>
      </c>
      <c r="B247" s="43" t="s">
        <v>100</v>
      </c>
      <c r="C247" s="43" t="s">
        <v>1767</v>
      </c>
      <c r="D247" s="43"/>
      <c r="E247" s="43" t="s">
        <v>770</v>
      </c>
      <c r="F247" s="43" t="s">
        <v>70</v>
      </c>
      <c r="G247" s="44">
        <v>1.665E7</v>
      </c>
      <c r="H247" s="43">
        <v>0.0</v>
      </c>
      <c r="I247" s="43" t="s">
        <v>781</v>
      </c>
      <c r="J247" s="43"/>
      <c r="K247" s="43"/>
      <c r="L247" s="43" t="s">
        <v>862</v>
      </c>
      <c r="M247" s="43" t="s">
        <v>772</v>
      </c>
      <c r="N247" s="43">
        <v>1.0</v>
      </c>
      <c r="O247" s="43">
        <v>7.0</v>
      </c>
      <c r="P247" s="43"/>
      <c r="Q247" s="43" t="s">
        <v>1835</v>
      </c>
      <c r="R247" s="43" t="s">
        <v>1836</v>
      </c>
      <c r="S247" s="53" t="s">
        <v>1837</v>
      </c>
      <c r="T247" s="59">
        <v>0.0</v>
      </c>
      <c r="U247" s="43"/>
      <c r="V247" s="43" t="s">
        <v>1838</v>
      </c>
      <c r="W247" s="43"/>
      <c r="X247" s="50"/>
      <c r="Y247" s="50"/>
    </row>
    <row r="248" ht="12.75" hidden="1" customHeight="1">
      <c r="A248" s="43">
        <v>238.0</v>
      </c>
      <c r="B248" s="43" t="s">
        <v>100</v>
      </c>
      <c r="C248" s="43" t="s">
        <v>1767</v>
      </c>
      <c r="D248" s="43"/>
      <c r="E248" s="43" t="s">
        <v>770</v>
      </c>
      <c r="F248" s="43" t="s">
        <v>70</v>
      </c>
      <c r="G248" s="44">
        <v>1.665E7</v>
      </c>
      <c r="H248" s="43">
        <v>0.0</v>
      </c>
      <c r="I248" s="43" t="s">
        <v>781</v>
      </c>
      <c r="J248" s="43"/>
      <c r="K248" s="43"/>
      <c r="L248" s="43" t="s">
        <v>862</v>
      </c>
      <c r="M248" s="43" t="s">
        <v>772</v>
      </c>
      <c r="N248" s="43">
        <v>1.0</v>
      </c>
      <c r="O248" s="43">
        <v>7.0</v>
      </c>
      <c r="P248" s="43"/>
      <c r="Q248" s="43" t="s">
        <v>1839</v>
      </c>
      <c r="R248" s="43" t="s">
        <v>1840</v>
      </c>
      <c r="S248" s="53" t="s">
        <v>1841</v>
      </c>
      <c r="T248" s="59">
        <v>0.0</v>
      </c>
      <c r="U248" s="43"/>
      <c r="V248" s="43" t="s">
        <v>1065</v>
      </c>
      <c r="W248" s="51" t="s">
        <v>1842</v>
      </c>
      <c r="X248" s="65"/>
      <c r="Y248" s="65"/>
    </row>
    <row r="249" ht="12.75" hidden="1" customHeight="1">
      <c r="A249" s="43">
        <v>239.0</v>
      </c>
      <c r="B249" s="43" t="s">
        <v>100</v>
      </c>
      <c r="C249" s="43" t="s">
        <v>1767</v>
      </c>
      <c r="D249" s="43"/>
      <c r="E249" s="43" t="s">
        <v>770</v>
      </c>
      <c r="F249" s="43" t="s">
        <v>70</v>
      </c>
      <c r="G249" s="44">
        <v>1.665E7</v>
      </c>
      <c r="H249" s="43">
        <v>0.0</v>
      </c>
      <c r="I249" s="43" t="s">
        <v>781</v>
      </c>
      <c r="J249" s="43"/>
      <c r="K249" s="43"/>
      <c r="L249" s="43" t="s">
        <v>862</v>
      </c>
      <c r="M249" s="43" t="s">
        <v>772</v>
      </c>
      <c r="N249" s="43">
        <v>1.0</v>
      </c>
      <c r="O249" s="43">
        <v>7.0</v>
      </c>
      <c r="P249" s="43"/>
      <c r="Q249" s="43" t="s">
        <v>1843</v>
      </c>
      <c r="R249" s="43" t="s">
        <v>1844</v>
      </c>
      <c r="S249" s="53" t="s">
        <v>1845</v>
      </c>
      <c r="T249" s="59">
        <v>0.0</v>
      </c>
      <c r="U249" s="43"/>
      <c r="V249" s="43" t="s">
        <v>1846</v>
      </c>
      <c r="W249" s="43"/>
      <c r="X249" s="50"/>
      <c r="Y249" s="50"/>
    </row>
    <row r="250" ht="12.75" hidden="1" customHeight="1">
      <c r="A250" s="43">
        <v>240.0</v>
      </c>
      <c r="B250" s="43" t="s">
        <v>100</v>
      </c>
      <c r="C250" s="43" t="s">
        <v>1767</v>
      </c>
      <c r="D250" s="51" t="s">
        <v>1768</v>
      </c>
      <c r="E250" s="43" t="s">
        <v>770</v>
      </c>
      <c r="F250" s="43" t="s">
        <v>70</v>
      </c>
      <c r="G250" s="44">
        <v>1.665E7</v>
      </c>
      <c r="H250" s="43">
        <v>0.0</v>
      </c>
      <c r="I250" s="43" t="s">
        <v>781</v>
      </c>
      <c r="J250" s="43"/>
      <c r="K250" s="43"/>
      <c r="L250" s="43" t="s">
        <v>862</v>
      </c>
      <c r="M250" s="43" t="s">
        <v>772</v>
      </c>
      <c r="N250" s="43">
        <v>1.0</v>
      </c>
      <c r="O250" s="43">
        <v>7.0</v>
      </c>
      <c r="P250" s="43"/>
      <c r="Q250" s="43" t="s">
        <v>1847</v>
      </c>
      <c r="R250" s="43" t="s">
        <v>1848</v>
      </c>
      <c r="S250" s="53" t="s">
        <v>1849</v>
      </c>
      <c r="T250" s="59">
        <v>0.0</v>
      </c>
      <c r="U250" s="43"/>
      <c r="V250" s="43" t="s">
        <v>1270</v>
      </c>
      <c r="W250" s="43"/>
      <c r="X250" s="50"/>
      <c r="Y250" s="50"/>
    </row>
    <row r="251" ht="12.75" hidden="1" customHeight="1">
      <c r="A251" s="43">
        <v>241.0</v>
      </c>
      <c r="B251" s="43" t="s">
        <v>100</v>
      </c>
      <c r="C251" s="43" t="s">
        <v>1767</v>
      </c>
      <c r="D251" s="43"/>
      <c r="E251" s="43" t="s">
        <v>770</v>
      </c>
      <c r="F251" s="43" t="s">
        <v>70</v>
      </c>
      <c r="G251" s="44">
        <v>1.665E7</v>
      </c>
      <c r="H251" s="43">
        <v>0.0</v>
      </c>
      <c r="I251" s="51" t="s">
        <v>1850</v>
      </c>
      <c r="J251" s="43"/>
      <c r="K251" s="51" t="s">
        <v>781</v>
      </c>
      <c r="L251" s="43" t="s">
        <v>862</v>
      </c>
      <c r="M251" s="43" t="s">
        <v>772</v>
      </c>
      <c r="N251" s="43">
        <v>1.0</v>
      </c>
      <c r="O251" s="43">
        <v>7.0</v>
      </c>
      <c r="P251" s="43"/>
      <c r="Q251" s="43" t="s">
        <v>1851</v>
      </c>
      <c r="R251" s="43" t="s">
        <v>1852</v>
      </c>
      <c r="S251" s="53" t="s">
        <v>1853</v>
      </c>
      <c r="T251" s="59">
        <v>0.0</v>
      </c>
      <c r="U251" s="43"/>
      <c r="V251" s="43" t="s">
        <v>992</v>
      </c>
      <c r="W251" s="51" t="s">
        <v>1854</v>
      </c>
      <c r="X251" s="29" t="s">
        <v>1855</v>
      </c>
      <c r="Y251" s="65"/>
    </row>
    <row r="252" ht="12.75" hidden="1" customHeight="1">
      <c r="A252" s="43">
        <v>242.0</v>
      </c>
      <c r="B252" s="43" t="s">
        <v>100</v>
      </c>
      <c r="C252" s="43" t="s">
        <v>1767</v>
      </c>
      <c r="D252" s="51" t="s">
        <v>1768</v>
      </c>
      <c r="E252" s="43" t="s">
        <v>770</v>
      </c>
      <c r="F252" s="43" t="s">
        <v>70</v>
      </c>
      <c r="G252" s="44">
        <v>1.665E7</v>
      </c>
      <c r="H252" s="43">
        <v>0.0</v>
      </c>
      <c r="I252" s="43" t="s">
        <v>781</v>
      </c>
      <c r="J252" s="43"/>
      <c r="K252" s="43"/>
      <c r="L252" s="43" t="s">
        <v>862</v>
      </c>
      <c r="M252" s="43" t="s">
        <v>772</v>
      </c>
      <c r="N252" s="43">
        <v>1.0</v>
      </c>
      <c r="O252" s="43">
        <v>7.0</v>
      </c>
      <c r="P252" s="43"/>
      <c r="Q252" s="43" t="s">
        <v>1856</v>
      </c>
      <c r="R252" s="43" t="s">
        <v>1857</v>
      </c>
      <c r="S252" s="53" t="s">
        <v>1858</v>
      </c>
      <c r="T252" s="59">
        <v>0.0</v>
      </c>
      <c r="U252" s="43"/>
      <c r="V252" s="77" t="s">
        <v>1070</v>
      </c>
      <c r="W252" s="43"/>
      <c r="X252" s="50"/>
      <c r="Y252" s="50"/>
    </row>
    <row r="253" ht="12.75" hidden="1" customHeight="1">
      <c r="A253" s="43">
        <v>243.0</v>
      </c>
      <c r="B253" s="43" t="s">
        <v>100</v>
      </c>
      <c r="C253" s="43" t="s">
        <v>1767</v>
      </c>
      <c r="D253" s="51" t="s">
        <v>1768</v>
      </c>
      <c r="E253" s="43" t="s">
        <v>770</v>
      </c>
      <c r="F253" s="43" t="s">
        <v>70</v>
      </c>
      <c r="G253" s="44">
        <v>1.665E7</v>
      </c>
      <c r="H253" s="43">
        <v>0.0</v>
      </c>
      <c r="I253" s="43" t="s">
        <v>781</v>
      </c>
      <c r="J253" s="43"/>
      <c r="K253" s="43"/>
      <c r="L253" s="43" t="s">
        <v>862</v>
      </c>
      <c r="M253" s="43" t="s">
        <v>772</v>
      </c>
      <c r="N253" s="43">
        <v>1.0</v>
      </c>
      <c r="O253" s="43">
        <v>7.0</v>
      </c>
      <c r="P253" s="43"/>
      <c r="Q253" s="43" t="s">
        <v>1859</v>
      </c>
      <c r="R253" s="43" t="s">
        <v>1789</v>
      </c>
      <c r="S253" s="53" t="s">
        <v>1860</v>
      </c>
      <c r="T253" s="59">
        <v>0.0</v>
      </c>
      <c r="U253" s="43"/>
      <c r="V253" s="77" t="s">
        <v>941</v>
      </c>
      <c r="W253" s="43"/>
      <c r="X253" s="50"/>
      <c r="Y253" s="50"/>
    </row>
    <row r="254" ht="12.75" customHeight="1">
      <c r="A254" s="50"/>
      <c r="B254" s="50"/>
      <c r="C254" s="50"/>
      <c r="D254" s="50"/>
      <c r="E254" s="50"/>
      <c r="F254" s="50"/>
      <c r="G254" s="101"/>
      <c r="H254" s="50"/>
      <c r="I254" s="50"/>
      <c r="J254" s="50"/>
      <c r="K254" s="50"/>
      <c r="L254" s="50"/>
      <c r="M254" s="50"/>
      <c r="N254" s="50"/>
      <c r="O254" s="50"/>
      <c r="P254" s="50"/>
      <c r="Q254" s="50"/>
      <c r="R254" s="50"/>
      <c r="S254" s="102"/>
      <c r="T254" s="103"/>
      <c r="U254" s="50"/>
      <c r="V254" s="50"/>
      <c r="W254" s="50"/>
      <c r="X254" s="50"/>
      <c r="Y254" s="50"/>
    </row>
    <row r="255" ht="12.75" customHeight="1">
      <c r="A255" s="50"/>
      <c r="B255" s="50"/>
      <c r="C255" s="50"/>
      <c r="D255" s="50"/>
      <c r="E255" s="50"/>
      <c r="F255" s="50"/>
      <c r="G255" s="101"/>
      <c r="H255" s="50"/>
      <c r="I255" s="29"/>
      <c r="J255" s="29"/>
      <c r="K255" s="50"/>
      <c r="L255" s="50"/>
      <c r="M255" s="50"/>
      <c r="N255" s="50"/>
      <c r="O255" s="50"/>
      <c r="P255" s="50"/>
      <c r="Q255" s="50"/>
      <c r="R255" s="50"/>
      <c r="S255" s="104"/>
      <c r="T255" s="103"/>
      <c r="U255" s="50"/>
      <c r="V255" s="29"/>
      <c r="W255" s="29"/>
      <c r="X255" s="50"/>
      <c r="Y255" s="50"/>
    </row>
    <row r="256" ht="12.75" customHeight="1">
      <c r="A256" s="50"/>
      <c r="B256" s="50"/>
      <c r="C256" s="50"/>
      <c r="D256" s="50"/>
      <c r="E256" s="50"/>
      <c r="F256" s="50"/>
      <c r="G256" s="101"/>
      <c r="H256" s="50"/>
      <c r="I256" s="50"/>
      <c r="J256" s="50"/>
      <c r="K256" s="50"/>
      <c r="L256" s="50"/>
      <c r="M256" s="50"/>
      <c r="N256" s="50"/>
      <c r="O256" s="50"/>
      <c r="P256" s="50"/>
      <c r="Q256" s="50"/>
      <c r="R256" s="50"/>
      <c r="S256" s="102"/>
      <c r="T256" s="103"/>
      <c r="U256" s="50"/>
      <c r="V256" s="50"/>
      <c r="W256" s="50"/>
      <c r="X256" s="50"/>
      <c r="Y256" s="50"/>
    </row>
    <row r="257" ht="12.75" customHeight="1">
      <c r="A257" s="50"/>
      <c r="B257" s="50"/>
      <c r="C257" s="50"/>
      <c r="D257" s="50"/>
      <c r="E257" s="50"/>
      <c r="F257" s="50"/>
      <c r="G257" s="101"/>
      <c r="H257" s="50"/>
      <c r="I257" s="50"/>
      <c r="J257" s="50"/>
      <c r="K257" s="50"/>
      <c r="L257" s="50"/>
      <c r="M257" s="50"/>
      <c r="N257" s="50"/>
      <c r="O257" s="50"/>
      <c r="P257" s="50"/>
      <c r="Q257" s="50"/>
      <c r="R257" s="50"/>
      <c r="S257" s="102"/>
      <c r="T257" s="103"/>
      <c r="U257" s="50"/>
      <c r="V257" s="50"/>
      <c r="W257" s="50"/>
      <c r="X257" s="50"/>
      <c r="Y257" s="50"/>
    </row>
    <row r="258" ht="12.75" customHeight="1">
      <c r="A258" s="50"/>
      <c r="B258" s="50"/>
      <c r="C258" s="50"/>
      <c r="D258" s="50"/>
      <c r="E258" s="50"/>
      <c r="F258" s="50"/>
      <c r="G258" s="101"/>
      <c r="H258" s="50"/>
      <c r="I258" s="50"/>
      <c r="J258" s="50"/>
      <c r="K258" s="50"/>
      <c r="L258" s="50"/>
      <c r="M258" s="50"/>
      <c r="N258" s="50"/>
      <c r="O258" s="50"/>
      <c r="P258" s="50"/>
      <c r="Q258" s="50"/>
      <c r="R258" s="50"/>
      <c r="S258" s="102"/>
      <c r="T258" s="103"/>
      <c r="U258" s="50"/>
      <c r="V258" s="50"/>
      <c r="W258" s="50"/>
      <c r="X258" s="50"/>
      <c r="Y258" s="50"/>
    </row>
    <row r="259" ht="12.75" customHeight="1">
      <c r="A259" s="50"/>
      <c r="B259" s="50"/>
      <c r="C259" s="50"/>
      <c r="D259" s="50"/>
      <c r="E259" s="50"/>
      <c r="F259" s="50"/>
      <c r="G259" s="101"/>
      <c r="H259" s="50"/>
      <c r="I259" s="50"/>
      <c r="J259" s="50"/>
      <c r="K259" s="50"/>
      <c r="L259" s="50"/>
      <c r="M259" s="50"/>
      <c r="N259" s="50"/>
      <c r="O259" s="50"/>
      <c r="P259" s="50"/>
      <c r="Q259" s="50"/>
      <c r="R259" s="50"/>
      <c r="S259" s="102"/>
      <c r="T259" s="103"/>
      <c r="U259" s="50"/>
      <c r="V259" s="50"/>
      <c r="W259" s="50"/>
      <c r="X259" s="50"/>
      <c r="Y259" s="50"/>
    </row>
    <row r="260" ht="12.75" customHeight="1">
      <c r="A260" s="50"/>
      <c r="B260" s="50"/>
      <c r="C260" s="50"/>
      <c r="D260" s="50"/>
      <c r="E260" s="50"/>
      <c r="F260" s="50"/>
      <c r="G260" s="101"/>
      <c r="H260" s="50"/>
      <c r="I260" s="50"/>
      <c r="J260" s="50"/>
      <c r="K260" s="50"/>
      <c r="L260" s="50"/>
      <c r="M260" s="50"/>
      <c r="N260" s="50"/>
      <c r="O260" s="50"/>
      <c r="P260" s="50"/>
      <c r="Q260" s="50"/>
      <c r="R260" s="50"/>
      <c r="S260" s="102"/>
      <c r="T260" s="103"/>
      <c r="U260" s="50"/>
      <c r="V260" s="50"/>
      <c r="W260" s="50"/>
      <c r="X260" s="50"/>
      <c r="Y260" s="50"/>
    </row>
    <row r="261" ht="12.75" customHeight="1">
      <c r="A261" s="50"/>
      <c r="B261" s="50"/>
      <c r="C261" s="50"/>
      <c r="D261" s="50"/>
      <c r="E261" s="50"/>
      <c r="F261" s="50"/>
      <c r="G261" s="101"/>
      <c r="H261" s="50"/>
      <c r="I261" s="50"/>
      <c r="J261" s="50"/>
      <c r="K261" s="50"/>
      <c r="L261" s="50"/>
      <c r="M261" s="50"/>
      <c r="N261" s="50"/>
      <c r="O261" s="50"/>
      <c r="P261" s="50"/>
      <c r="Q261" s="50"/>
      <c r="R261" s="50"/>
      <c r="S261" s="102"/>
      <c r="T261" s="103"/>
      <c r="U261" s="50"/>
      <c r="V261" s="50"/>
      <c r="W261" s="50"/>
      <c r="X261" s="50"/>
      <c r="Y261" s="50"/>
    </row>
    <row r="262" ht="12.75" customHeight="1">
      <c r="A262" s="50"/>
      <c r="B262" s="50"/>
      <c r="C262" s="50"/>
      <c r="D262" s="50"/>
      <c r="E262" s="50"/>
      <c r="F262" s="50"/>
      <c r="G262" s="101">
        <f>SUBTOTAL(109,'02. Dinas Kesehatan'!$G$10:$G$261)</f>
        <v>432989500</v>
      </c>
      <c r="H262" s="50"/>
      <c r="I262" s="50"/>
      <c r="J262" s="50"/>
      <c r="K262" s="50"/>
      <c r="L262" s="50"/>
      <c r="M262" s="50"/>
      <c r="N262" s="50"/>
      <c r="O262" s="50"/>
      <c r="P262" s="50"/>
      <c r="Q262" s="50"/>
      <c r="R262" s="50"/>
      <c r="S262" s="102"/>
      <c r="T262" s="103"/>
      <c r="U262" s="50"/>
      <c r="V262" s="50"/>
      <c r="W262" s="50"/>
      <c r="X262" s="50"/>
      <c r="Y262" s="50"/>
    </row>
    <row r="263" ht="12.75" customHeight="1">
      <c r="S263" s="105"/>
      <c r="T263" s="106"/>
      <c r="U263" s="50"/>
    </row>
    <row r="264" ht="12.75" customHeight="1">
      <c r="S264" s="105"/>
      <c r="T264" s="106"/>
      <c r="U264" s="50"/>
    </row>
    <row r="265" ht="12.75" customHeight="1">
      <c r="S265" s="105"/>
      <c r="T265" s="106"/>
      <c r="U265" s="50"/>
    </row>
    <row r="266" ht="12.75" customHeight="1">
      <c r="S266" s="105"/>
      <c r="T266" s="106"/>
    </row>
    <row r="267" ht="12.75" customHeight="1">
      <c r="S267" s="105"/>
      <c r="T267" s="106"/>
    </row>
    <row r="268" ht="12.75" customHeight="1">
      <c r="S268" s="105"/>
      <c r="T268" s="106"/>
    </row>
    <row r="269" ht="12.75" customHeight="1">
      <c r="S269" s="105"/>
      <c r="T269" s="106"/>
    </row>
    <row r="270" ht="12.75" customHeight="1">
      <c r="S270" s="105"/>
      <c r="T270" s="106"/>
    </row>
    <row r="271" ht="12.75" customHeight="1">
      <c r="A271" s="107" t="s">
        <v>1861</v>
      </c>
      <c r="S271" s="105"/>
      <c r="T271" s="106"/>
    </row>
    <row r="272" ht="12.75" customHeight="1">
      <c r="S272" s="105"/>
      <c r="T272" s="106"/>
    </row>
    <row r="273" ht="12.75" customHeight="1">
      <c r="A273" s="38" t="s">
        <v>8</v>
      </c>
      <c r="B273" s="38" t="s">
        <v>9</v>
      </c>
      <c r="C273" s="38" t="s">
        <v>10</v>
      </c>
      <c r="D273" s="39" t="s">
        <v>758</v>
      </c>
      <c r="E273" s="38" t="s">
        <v>11</v>
      </c>
      <c r="F273" s="38" t="s">
        <v>12</v>
      </c>
      <c r="G273" s="38" t="s">
        <v>13</v>
      </c>
      <c r="H273" s="38" t="s">
        <v>759</v>
      </c>
      <c r="I273" s="38" t="s">
        <v>14</v>
      </c>
      <c r="J273" s="38" t="s">
        <v>760</v>
      </c>
      <c r="K273" s="38" t="s">
        <v>761</v>
      </c>
      <c r="L273" s="38" t="s">
        <v>15</v>
      </c>
      <c r="M273" s="38" t="s">
        <v>762</v>
      </c>
      <c r="N273" s="38" t="s">
        <v>763</v>
      </c>
      <c r="O273" s="38" t="s">
        <v>764</v>
      </c>
      <c r="P273" s="38" t="s">
        <v>765</v>
      </c>
      <c r="Q273" s="38" t="s">
        <v>16</v>
      </c>
      <c r="R273" s="38" t="s">
        <v>17</v>
      </c>
      <c r="S273" s="40" t="s">
        <v>766</v>
      </c>
      <c r="T273" s="41" t="s">
        <v>19</v>
      </c>
      <c r="U273" s="38" t="s">
        <v>767</v>
      </c>
      <c r="V273" s="38" t="s">
        <v>20</v>
      </c>
      <c r="W273" s="38" t="s">
        <v>21</v>
      </c>
    </row>
    <row r="274" ht="12.75" customHeight="1">
      <c r="A274" s="108">
        <v>1.0</v>
      </c>
      <c r="B274" s="109" t="s">
        <v>100</v>
      </c>
      <c r="C274" s="109" t="s">
        <v>100</v>
      </c>
      <c r="D274" s="109" t="s">
        <v>1862</v>
      </c>
      <c r="E274" s="108" t="s">
        <v>770</v>
      </c>
      <c r="F274" s="108"/>
      <c r="G274" s="110"/>
      <c r="H274" s="108"/>
      <c r="I274" s="108"/>
      <c r="J274" s="108"/>
      <c r="K274" s="108"/>
      <c r="L274" s="108"/>
      <c r="M274" s="108" t="s">
        <v>772</v>
      </c>
      <c r="N274" s="108">
        <v>1.0</v>
      </c>
      <c r="O274" s="108">
        <v>7.0</v>
      </c>
      <c r="P274" s="108"/>
      <c r="Q274" s="111" t="s">
        <v>1863</v>
      </c>
      <c r="R274" s="94"/>
      <c r="S274" s="95"/>
      <c r="T274" s="95"/>
      <c r="U274" s="112"/>
      <c r="V274" s="109" t="s">
        <v>1864</v>
      </c>
      <c r="W274" s="109" t="s">
        <v>1865</v>
      </c>
    </row>
    <row r="275" ht="12.75" customHeight="1">
      <c r="A275" s="108">
        <v>2.0</v>
      </c>
      <c r="B275" s="109" t="s">
        <v>100</v>
      </c>
      <c r="C275" s="109" t="s">
        <v>100</v>
      </c>
      <c r="D275" s="109" t="s">
        <v>1866</v>
      </c>
      <c r="E275" s="108" t="s">
        <v>770</v>
      </c>
      <c r="F275" s="108"/>
      <c r="G275" s="110"/>
      <c r="H275" s="108"/>
      <c r="I275" s="108"/>
      <c r="J275" s="108"/>
      <c r="K275" s="108"/>
      <c r="L275" s="108"/>
      <c r="M275" s="108" t="s">
        <v>772</v>
      </c>
      <c r="N275" s="108">
        <v>1.0</v>
      </c>
      <c r="O275" s="108">
        <v>7.0</v>
      </c>
      <c r="P275" s="108"/>
      <c r="Q275" s="111" t="s">
        <v>1867</v>
      </c>
      <c r="R275" s="94"/>
      <c r="S275" s="95"/>
      <c r="T275" s="95"/>
      <c r="U275" s="112"/>
      <c r="V275" s="109" t="s">
        <v>1864</v>
      </c>
      <c r="W275" s="109" t="s">
        <v>1865</v>
      </c>
    </row>
    <row r="276" ht="12.75" customHeight="1">
      <c r="A276" s="113">
        <v>3.0</v>
      </c>
      <c r="B276" s="113" t="s">
        <v>100</v>
      </c>
      <c r="C276" s="113" t="s">
        <v>100</v>
      </c>
      <c r="D276" s="113" t="s">
        <v>1868</v>
      </c>
      <c r="E276" s="114" t="s">
        <v>770</v>
      </c>
      <c r="F276" s="114"/>
      <c r="G276" s="115"/>
      <c r="H276" s="114"/>
      <c r="I276" s="114"/>
      <c r="J276" s="114"/>
      <c r="K276" s="114"/>
      <c r="L276" s="114"/>
      <c r="M276" s="114" t="s">
        <v>772</v>
      </c>
      <c r="N276" s="114">
        <v>1.0</v>
      </c>
      <c r="O276" s="114">
        <v>7.0</v>
      </c>
      <c r="P276" s="114"/>
      <c r="Q276" s="49" t="s">
        <v>1869</v>
      </c>
      <c r="R276" s="46"/>
      <c r="S276" s="47"/>
      <c r="T276" s="47"/>
      <c r="U276" s="97"/>
      <c r="V276" s="113" t="s">
        <v>1870</v>
      </c>
      <c r="W276" s="113" t="s">
        <v>1226</v>
      </c>
    </row>
    <row r="277" ht="12.75" customHeight="1">
      <c r="A277" s="113">
        <v>4.0</v>
      </c>
      <c r="B277" s="114" t="s">
        <v>916</v>
      </c>
      <c r="C277" s="114" t="s">
        <v>916</v>
      </c>
      <c r="D277" s="113" t="s">
        <v>1871</v>
      </c>
      <c r="E277" s="114" t="s">
        <v>770</v>
      </c>
      <c r="F277" s="113" t="s">
        <v>931</v>
      </c>
      <c r="G277" s="116"/>
      <c r="H277" s="114"/>
      <c r="I277" s="114"/>
      <c r="J277" s="114"/>
      <c r="K277" s="114"/>
      <c r="L277" s="114"/>
      <c r="M277" s="114"/>
      <c r="N277" s="114"/>
      <c r="O277" s="114"/>
      <c r="P277" s="114"/>
      <c r="Q277" s="117" t="s">
        <v>1872</v>
      </c>
      <c r="R277" s="118" t="s">
        <v>1873</v>
      </c>
      <c r="S277" s="119" t="s">
        <v>1874</v>
      </c>
      <c r="T277" s="119" t="s">
        <v>1875</v>
      </c>
      <c r="U277" s="120"/>
      <c r="V277" s="113" t="s">
        <v>998</v>
      </c>
      <c r="W277" s="121"/>
    </row>
    <row r="278" ht="12.75" customHeight="1">
      <c r="A278" s="113">
        <v>5.0</v>
      </c>
      <c r="B278" s="113" t="s">
        <v>100</v>
      </c>
      <c r="C278" s="113" t="s">
        <v>100</v>
      </c>
      <c r="D278" s="113" t="s">
        <v>1876</v>
      </c>
      <c r="E278" s="114" t="s">
        <v>770</v>
      </c>
      <c r="F278" s="121"/>
      <c r="G278" s="116"/>
      <c r="H278" s="114"/>
      <c r="I278" s="114"/>
      <c r="J278" s="114"/>
      <c r="K278" s="114"/>
      <c r="L278" s="114"/>
      <c r="M278" s="114"/>
      <c r="N278" s="114"/>
      <c r="O278" s="114"/>
      <c r="P278" s="114"/>
      <c r="Q278" s="122"/>
      <c r="R278" s="120"/>
      <c r="S278" s="119" t="s">
        <v>1877</v>
      </c>
      <c r="T278" s="123"/>
      <c r="U278" s="120"/>
      <c r="V278" s="113" t="s">
        <v>1878</v>
      </c>
      <c r="W278" s="113" t="s">
        <v>1454</v>
      </c>
    </row>
    <row r="279" ht="12.75" customHeight="1">
      <c r="S279" s="105"/>
      <c r="T279" s="106"/>
    </row>
    <row r="280" ht="12.75" customHeight="1">
      <c r="S280" s="105"/>
      <c r="T280" s="106"/>
    </row>
    <row r="281" ht="12.75" customHeight="1">
      <c r="S281" s="105"/>
      <c r="T281" s="106"/>
    </row>
    <row r="282" ht="12.75" customHeight="1">
      <c r="S282" s="105"/>
      <c r="T282" s="106"/>
    </row>
    <row r="283" ht="12.75" customHeight="1">
      <c r="S283" s="105"/>
      <c r="T283" s="106"/>
    </row>
    <row r="284" ht="12.75" customHeight="1">
      <c r="S284" s="105"/>
      <c r="T284" s="106"/>
    </row>
    <row r="285" ht="12.75" customHeight="1">
      <c r="S285" s="105"/>
      <c r="T285" s="106"/>
    </row>
    <row r="286" ht="12.75" customHeight="1">
      <c r="S286" s="105"/>
      <c r="T286" s="106"/>
    </row>
    <row r="287" ht="12.75" customHeight="1">
      <c r="S287" s="105"/>
      <c r="T287" s="106"/>
    </row>
    <row r="288" ht="12.75" customHeight="1">
      <c r="S288" s="105"/>
      <c r="T288" s="106"/>
    </row>
    <row r="289" ht="12.75" customHeight="1">
      <c r="S289" s="105"/>
      <c r="T289" s="106"/>
    </row>
    <row r="290" ht="12.75" customHeight="1">
      <c r="S290" s="105"/>
      <c r="T290" s="106"/>
    </row>
    <row r="291" ht="12.75" customHeight="1">
      <c r="S291" s="105"/>
      <c r="T291" s="106"/>
    </row>
    <row r="292" ht="12.75" customHeight="1">
      <c r="S292" s="105"/>
      <c r="T292" s="106"/>
    </row>
    <row r="293" ht="12.75" customHeight="1">
      <c r="S293" s="105"/>
      <c r="T293" s="106"/>
    </row>
    <row r="294" ht="12.75" customHeight="1">
      <c r="S294" s="105"/>
      <c r="T294" s="106"/>
    </row>
    <row r="295" ht="12.75" customHeight="1">
      <c r="S295" s="105"/>
      <c r="T295" s="106"/>
    </row>
    <row r="296" ht="12.75" customHeight="1">
      <c r="S296" s="105"/>
      <c r="T296" s="106"/>
    </row>
    <row r="297" ht="12.75" customHeight="1">
      <c r="S297" s="105"/>
      <c r="T297" s="106"/>
    </row>
    <row r="298" ht="12.75" customHeight="1">
      <c r="S298" s="105"/>
      <c r="T298" s="106"/>
    </row>
    <row r="299" ht="12.75" customHeight="1">
      <c r="S299" s="105"/>
      <c r="T299" s="106"/>
    </row>
    <row r="300" ht="12.75" customHeight="1">
      <c r="S300" s="105"/>
      <c r="T300" s="106"/>
    </row>
    <row r="301" ht="12.75" customHeight="1">
      <c r="S301" s="105"/>
      <c r="T301" s="106"/>
    </row>
    <row r="302" ht="12.75" customHeight="1">
      <c r="S302" s="105"/>
      <c r="T302" s="106"/>
    </row>
    <row r="303" ht="12.75" customHeight="1">
      <c r="S303" s="105"/>
      <c r="T303" s="106"/>
    </row>
    <row r="304" ht="12.75" customHeight="1">
      <c r="S304" s="105"/>
      <c r="T304" s="106"/>
    </row>
    <row r="305" ht="12.75" customHeight="1">
      <c r="S305" s="105"/>
      <c r="T305" s="106"/>
    </row>
    <row r="306" ht="12.75" customHeight="1">
      <c r="S306" s="105"/>
      <c r="T306" s="106"/>
    </row>
    <row r="307" ht="12.75" customHeight="1">
      <c r="S307" s="105"/>
      <c r="T307" s="106"/>
    </row>
    <row r="308" ht="12.75" customHeight="1">
      <c r="S308" s="105"/>
      <c r="T308" s="106"/>
    </row>
    <row r="309" ht="12.75" customHeight="1">
      <c r="S309" s="105"/>
      <c r="T309" s="106"/>
    </row>
    <row r="310" ht="12.75" customHeight="1">
      <c r="S310" s="105"/>
      <c r="T310" s="106"/>
    </row>
    <row r="311" ht="12.75" customHeight="1">
      <c r="S311" s="105"/>
      <c r="T311" s="106"/>
    </row>
    <row r="312" ht="12.75" customHeight="1">
      <c r="S312" s="105"/>
      <c r="T312" s="106"/>
    </row>
    <row r="313" ht="12.75" customHeight="1">
      <c r="S313" s="105"/>
      <c r="T313" s="106"/>
    </row>
    <row r="314" ht="12.75" customHeight="1">
      <c r="S314" s="105"/>
      <c r="T314" s="106"/>
    </row>
    <row r="315" ht="12.75" customHeight="1">
      <c r="S315" s="105"/>
      <c r="T315" s="106"/>
    </row>
    <row r="316" ht="12.75" customHeight="1">
      <c r="S316" s="105"/>
      <c r="T316" s="106"/>
    </row>
    <row r="317" ht="12.75" customHeight="1">
      <c r="S317" s="105"/>
      <c r="T317" s="106"/>
    </row>
    <row r="318" ht="12.75" customHeight="1">
      <c r="S318" s="105"/>
      <c r="T318" s="106"/>
    </row>
    <row r="319" ht="12.75" customHeight="1">
      <c r="S319" s="105"/>
      <c r="T319" s="106"/>
    </row>
    <row r="320" ht="12.75" customHeight="1">
      <c r="S320" s="105"/>
      <c r="T320" s="106"/>
    </row>
    <row r="321" ht="12.75" customHeight="1">
      <c r="S321" s="105"/>
      <c r="T321" s="106"/>
    </row>
    <row r="322" ht="12.75" customHeight="1">
      <c r="S322" s="105"/>
      <c r="T322" s="106"/>
    </row>
    <row r="323" ht="12.75" customHeight="1">
      <c r="S323" s="105"/>
      <c r="T323" s="106"/>
    </row>
    <row r="324" ht="12.75" customHeight="1">
      <c r="S324" s="105"/>
      <c r="T324" s="106"/>
    </row>
    <row r="325" ht="12.75" customHeight="1">
      <c r="S325" s="105"/>
      <c r="T325" s="106"/>
    </row>
    <row r="326" ht="12.75" customHeight="1">
      <c r="S326" s="105"/>
      <c r="T326" s="106"/>
    </row>
    <row r="327" ht="12.75" customHeight="1">
      <c r="S327" s="105"/>
      <c r="T327" s="106"/>
    </row>
    <row r="328" ht="12.75" customHeight="1">
      <c r="S328" s="105"/>
      <c r="T328" s="106"/>
    </row>
    <row r="329" ht="12.75" customHeight="1">
      <c r="S329" s="105"/>
      <c r="T329" s="106"/>
    </row>
    <row r="330" ht="12.75" customHeight="1">
      <c r="S330" s="105"/>
      <c r="T330" s="106"/>
    </row>
    <row r="331" ht="12.75" customHeight="1">
      <c r="S331" s="105"/>
      <c r="T331" s="106"/>
    </row>
    <row r="332" ht="12.75" customHeight="1">
      <c r="S332" s="105"/>
      <c r="T332" s="106"/>
    </row>
    <row r="333" ht="12.75" customHeight="1">
      <c r="S333" s="105"/>
      <c r="T333" s="106"/>
    </row>
    <row r="334" ht="12.75" customHeight="1">
      <c r="S334" s="105"/>
      <c r="T334" s="106"/>
    </row>
    <row r="335" ht="12.75" customHeight="1">
      <c r="S335" s="105"/>
      <c r="T335" s="106"/>
    </row>
    <row r="336" ht="12.75" customHeight="1">
      <c r="S336" s="105"/>
      <c r="T336" s="106"/>
    </row>
    <row r="337" ht="12.75" customHeight="1">
      <c r="S337" s="105"/>
      <c r="T337" s="106"/>
    </row>
    <row r="338" ht="12.75" customHeight="1">
      <c r="S338" s="105"/>
      <c r="T338" s="106"/>
    </row>
    <row r="339" ht="12.75" customHeight="1">
      <c r="S339" s="105"/>
      <c r="T339" s="106"/>
    </row>
    <row r="340" ht="12.75" customHeight="1">
      <c r="S340" s="105"/>
      <c r="T340" s="106"/>
    </row>
    <row r="341" ht="12.75" customHeight="1">
      <c r="S341" s="105"/>
      <c r="T341" s="106"/>
    </row>
    <row r="342" ht="12.75" customHeight="1">
      <c r="S342" s="105"/>
      <c r="T342" s="106"/>
    </row>
    <row r="343" ht="12.75" customHeight="1">
      <c r="S343" s="105"/>
      <c r="T343" s="106"/>
    </row>
    <row r="344" ht="12.75" customHeight="1">
      <c r="S344" s="105"/>
      <c r="T344" s="106"/>
    </row>
    <row r="345" ht="12.75" customHeight="1">
      <c r="S345" s="105"/>
      <c r="T345" s="106"/>
    </row>
    <row r="346" ht="12.75" customHeight="1">
      <c r="S346" s="105"/>
      <c r="T346" s="106"/>
    </row>
    <row r="347" ht="12.75" customHeight="1">
      <c r="S347" s="105"/>
      <c r="T347" s="106"/>
    </row>
    <row r="348" ht="12.75" customHeight="1">
      <c r="S348" s="105"/>
      <c r="T348" s="106"/>
    </row>
    <row r="349" ht="12.75" customHeight="1">
      <c r="S349" s="105"/>
      <c r="T349" s="106"/>
    </row>
    <row r="350" ht="12.75" customHeight="1">
      <c r="S350" s="105"/>
      <c r="T350" s="106"/>
    </row>
    <row r="351" ht="12.75" customHeight="1">
      <c r="S351" s="105"/>
      <c r="T351" s="106"/>
    </row>
    <row r="352" ht="12.75" customHeight="1">
      <c r="S352" s="105"/>
      <c r="T352" s="106"/>
    </row>
    <row r="353" ht="12.75" customHeight="1">
      <c r="S353" s="105"/>
      <c r="T353" s="106"/>
    </row>
    <row r="354" ht="12.75" customHeight="1">
      <c r="S354" s="105"/>
      <c r="T354" s="106"/>
    </row>
    <row r="355" ht="12.75" customHeight="1">
      <c r="S355" s="105"/>
      <c r="T355" s="106"/>
    </row>
    <row r="356" ht="12.75" customHeight="1">
      <c r="S356" s="105"/>
      <c r="T356" s="106"/>
    </row>
    <row r="357" ht="12.75" customHeight="1">
      <c r="S357" s="105"/>
      <c r="T357" s="106"/>
    </row>
    <row r="358" ht="12.75" customHeight="1">
      <c r="S358" s="105"/>
      <c r="T358" s="106"/>
    </row>
    <row r="359" ht="12.75" customHeight="1">
      <c r="S359" s="105"/>
      <c r="T359" s="106"/>
    </row>
    <row r="360" ht="12.75" customHeight="1">
      <c r="S360" s="105"/>
      <c r="T360" s="106"/>
    </row>
    <row r="361" ht="12.75" customHeight="1">
      <c r="S361" s="105"/>
      <c r="T361" s="106"/>
    </row>
    <row r="362" ht="12.75" customHeight="1">
      <c r="S362" s="105"/>
      <c r="T362" s="106"/>
    </row>
    <row r="363" ht="12.75" customHeight="1">
      <c r="S363" s="105"/>
      <c r="T363" s="106"/>
    </row>
    <row r="364" ht="12.75" customHeight="1">
      <c r="S364" s="105"/>
      <c r="T364" s="106"/>
    </row>
    <row r="365" ht="12.75" customHeight="1">
      <c r="S365" s="105"/>
      <c r="T365" s="106"/>
    </row>
    <row r="366" ht="12.75" customHeight="1">
      <c r="S366" s="105"/>
      <c r="T366" s="106"/>
    </row>
    <row r="367" ht="12.75" customHeight="1">
      <c r="S367" s="105"/>
      <c r="T367" s="106"/>
    </row>
    <row r="368" ht="12.75" customHeight="1">
      <c r="S368" s="105"/>
      <c r="T368" s="106"/>
    </row>
    <row r="369" ht="12.75" customHeight="1">
      <c r="S369" s="105"/>
      <c r="T369" s="106"/>
    </row>
    <row r="370" ht="12.75" customHeight="1">
      <c r="S370" s="105"/>
      <c r="T370" s="106"/>
    </row>
    <row r="371" ht="12.75" customHeight="1">
      <c r="S371" s="105"/>
      <c r="T371" s="106"/>
    </row>
    <row r="372" ht="12.75" customHeight="1">
      <c r="S372" s="105"/>
      <c r="T372" s="106"/>
    </row>
    <row r="373" ht="12.75" customHeight="1">
      <c r="S373" s="105"/>
      <c r="T373" s="106"/>
    </row>
    <row r="374" ht="12.75" customHeight="1">
      <c r="S374" s="105"/>
      <c r="T374" s="106"/>
    </row>
    <row r="375" ht="12.75" customHeight="1">
      <c r="S375" s="105"/>
      <c r="T375" s="106"/>
    </row>
    <row r="376" ht="12.75" customHeight="1">
      <c r="S376" s="105"/>
      <c r="T376" s="106"/>
    </row>
    <row r="377" ht="12.75" customHeight="1">
      <c r="S377" s="105"/>
      <c r="T377" s="106"/>
    </row>
    <row r="378" ht="12.75" customHeight="1">
      <c r="S378" s="105"/>
      <c r="T378" s="106"/>
    </row>
    <row r="379" ht="12.75" customHeight="1">
      <c r="S379" s="105"/>
      <c r="T379" s="106"/>
    </row>
    <row r="380" ht="12.75" customHeight="1">
      <c r="S380" s="105"/>
      <c r="T380" s="106"/>
    </row>
    <row r="381" ht="12.75" customHeight="1">
      <c r="S381" s="105"/>
      <c r="T381" s="106"/>
    </row>
    <row r="382" ht="12.75" customHeight="1">
      <c r="S382" s="105"/>
      <c r="T382" s="106"/>
    </row>
    <row r="383" ht="12.75" customHeight="1">
      <c r="S383" s="105"/>
      <c r="T383" s="106"/>
    </row>
    <row r="384" ht="12.75" customHeight="1">
      <c r="S384" s="105"/>
      <c r="T384" s="106"/>
    </row>
    <row r="385" ht="12.75" customHeight="1">
      <c r="S385" s="105"/>
      <c r="T385" s="106"/>
    </row>
    <row r="386" ht="12.75" customHeight="1">
      <c r="S386" s="105"/>
      <c r="T386" s="106"/>
    </row>
    <row r="387" ht="12.75" customHeight="1">
      <c r="S387" s="105"/>
      <c r="T387" s="106"/>
    </row>
    <row r="388" ht="12.75" customHeight="1">
      <c r="S388" s="105"/>
      <c r="T388" s="106"/>
    </row>
    <row r="389" ht="12.75" customHeight="1">
      <c r="S389" s="105"/>
      <c r="T389" s="106"/>
    </row>
    <row r="390" ht="12.75" customHeight="1">
      <c r="S390" s="105"/>
      <c r="T390" s="106"/>
    </row>
    <row r="391" ht="12.75" customHeight="1">
      <c r="S391" s="105"/>
      <c r="T391" s="106"/>
    </row>
    <row r="392" ht="12.75" customHeight="1">
      <c r="S392" s="105"/>
      <c r="T392" s="106"/>
    </row>
    <row r="393" ht="12.75" customHeight="1">
      <c r="S393" s="105"/>
      <c r="T393" s="106"/>
    </row>
    <row r="394" ht="12.75" customHeight="1">
      <c r="S394" s="105"/>
      <c r="T394" s="106"/>
    </row>
    <row r="395" ht="12.75" customHeight="1">
      <c r="S395" s="105"/>
      <c r="T395" s="106"/>
    </row>
    <row r="396" ht="12.75" customHeight="1">
      <c r="S396" s="105"/>
      <c r="T396" s="106"/>
    </row>
    <row r="397" ht="12.75" customHeight="1">
      <c r="S397" s="105"/>
      <c r="T397" s="106"/>
    </row>
    <row r="398" ht="12.75" customHeight="1">
      <c r="S398" s="105"/>
      <c r="T398" s="106"/>
    </row>
    <row r="399" ht="12.75" customHeight="1">
      <c r="S399" s="105"/>
      <c r="T399" s="106"/>
    </row>
    <row r="400" ht="12.75" customHeight="1">
      <c r="S400" s="105"/>
      <c r="T400" s="106"/>
    </row>
    <row r="401" ht="12.75" customHeight="1">
      <c r="S401" s="105"/>
      <c r="T401" s="106"/>
    </row>
    <row r="402" ht="12.75" customHeight="1">
      <c r="S402" s="105"/>
      <c r="T402" s="106"/>
    </row>
    <row r="403" ht="12.75" customHeight="1">
      <c r="S403" s="105"/>
      <c r="T403" s="106"/>
    </row>
    <row r="404" ht="12.75" customHeight="1">
      <c r="S404" s="105"/>
      <c r="T404" s="106"/>
    </row>
    <row r="405" ht="12.75" customHeight="1">
      <c r="S405" s="105"/>
      <c r="T405" s="106"/>
    </row>
    <row r="406" ht="12.75" customHeight="1">
      <c r="S406" s="105"/>
      <c r="T406" s="106"/>
    </row>
    <row r="407" ht="12.75" customHeight="1">
      <c r="S407" s="105"/>
      <c r="T407" s="106"/>
    </row>
    <row r="408" ht="12.75" customHeight="1">
      <c r="S408" s="105"/>
      <c r="T408" s="106"/>
    </row>
    <row r="409" ht="12.75" customHeight="1">
      <c r="S409" s="105"/>
      <c r="T409" s="106"/>
    </row>
    <row r="410" ht="12.75" customHeight="1">
      <c r="S410" s="105"/>
      <c r="T410" s="106"/>
    </row>
    <row r="411" ht="12.75" customHeight="1">
      <c r="S411" s="105"/>
      <c r="T411" s="106"/>
    </row>
    <row r="412" ht="12.75" customHeight="1">
      <c r="S412" s="105"/>
      <c r="T412" s="106"/>
    </row>
    <row r="413" ht="12.75" customHeight="1">
      <c r="S413" s="105"/>
      <c r="T413" s="106"/>
    </row>
    <row r="414" ht="12.75" customHeight="1">
      <c r="S414" s="105"/>
      <c r="T414" s="106"/>
    </row>
    <row r="415" ht="12.75" customHeight="1">
      <c r="S415" s="105"/>
      <c r="T415" s="106"/>
    </row>
    <row r="416" ht="12.75" customHeight="1">
      <c r="S416" s="105"/>
      <c r="T416" s="106"/>
    </row>
    <row r="417" ht="12.75" customHeight="1">
      <c r="S417" s="105"/>
      <c r="T417" s="106"/>
    </row>
    <row r="418" ht="12.75" customHeight="1">
      <c r="S418" s="105"/>
      <c r="T418" s="106"/>
    </row>
    <row r="419" ht="12.75" customHeight="1">
      <c r="S419" s="105"/>
      <c r="T419" s="106"/>
    </row>
    <row r="420" ht="12.75" customHeight="1">
      <c r="S420" s="105"/>
      <c r="T420" s="106"/>
    </row>
    <row r="421" ht="12.75" customHeight="1">
      <c r="S421" s="105"/>
      <c r="T421" s="106"/>
    </row>
    <row r="422" ht="12.75" customHeight="1">
      <c r="S422" s="105"/>
      <c r="T422" s="106"/>
    </row>
    <row r="423" ht="12.75" customHeight="1">
      <c r="S423" s="105"/>
      <c r="T423" s="106"/>
    </row>
    <row r="424" ht="12.75" customHeight="1">
      <c r="S424" s="105"/>
      <c r="T424" s="106"/>
    </row>
    <row r="425" ht="12.75" customHeight="1">
      <c r="S425" s="105"/>
      <c r="T425" s="106"/>
    </row>
    <row r="426" ht="12.75" customHeight="1">
      <c r="S426" s="105"/>
      <c r="T426" s="106"/>
    </row>
    <row r="427" ht="12.75" customHeight="1">
      <c r="S427" s="105"/>
      <c r="T427" s="106"/>
    </row>
    <row r="428" ht="12.75" customHeight="1">
      <c r="S428" s="105"/>
      <c r="T428" s="106"/>
    </row>
    <row r="429" ht="12.75" customHeight="1">
      <c r="S429" s="105"/>
      <c r="T429" s="106"/>
    </row>
    <row r="430" ht="12.75" customHeight="1">
      <c r="S430" s="105"/>
      <c r="T430" s="106"/>
    </row>
    <row r="431" ht="12.75" customHeight="1">
      <c r="S431" s="105"/>
      <c r="T431" s="106"/>
    </row>
    <row r="432" ht="12.75" customHeight="1">
      <c r="S432" s="105"/>
      <c r="T432" s="106"/>
    </row>
    <row r="433" ht="12.75" customHeight="1">
      <c r="S433" s="105"/>
      <c r="T433" s="106"/>
    </row>
    <row r="434" ht="12.75" customHeight="1">
      <c r="S434" s="105"/>
      <c r="T434" s="106"/>
    </row>
    <row r="435" ht="12.75" customHeight="1">
      <c r="S435" s="105"/>
      <c r="T435" s="106"/>
    </row>
    <row r="436" ht="12.75" customHeight="1">
      <c r="S436" s="105"/>
      <c r="T436" s="106"/>
    </row>
    <row r="437" ht="12.75" customHeight="1">
      <c r="S437" s="105"/>
      <c r="T437" s="106"/>
    </row>
    <row r="438" ht="12.75" customHeight="1">
      <c r="S438" s="105"/>
      <c r="T438" s="106"/>
    </row>
    <row r="439" ht="12.75" customHeight="1">
      <c r="S439" s="105"/>
      <c r="T439" s="106"/>
    </row>
    <row r="440" ht="12.75" customHeight="1">
      <c r="S440" s="105"/>
      <c r="T440" s="106"/>
    </row>
    <row r="441" ht="12.75" customHeight="1">
      <c r="S441" s="105"/>
      <c r="T441" s="106"/>
    </row>
    <row r="442" ht="12.75" customHeight="1">
      <c r="S442" s="105"/>
      <c r="T442" s="106"/>
    </row>
    <row r="443" ht="12.75" customHeight="1">
      <c r="S443" s="105"/>
      <c r="T443" s="106"/>
    </row>
    <row r="444" ht="12.75" customHeight="1">
      <c r="S444" s="105"/>
      <c r="T444" s="106"/>
    </row>
    <row r="445" ht="12.75" customHeight="1">
      <c r="S445" s="105"/>
      <c r="T445" s="106"/>
    </row>
    <row r="446" ht="12.75" customHeight="1">
      <c r="S446" s="105"/>
      <c r="T446" s="106"/>
    </row>
    <row r="447" ht="12.75" customHeight="1">
      <c r="S447" s="105"/>
      <c r="T447" s="106"/>
    </row>
    <row r="448" ht="12.75" customHeight="1">
      <c r="S448" s="105"/>
      <c r="T448" s="106"/>
    </row>
    <row r="449" ht="12.75" customHeight="1">
      <c r="S449" s="105"/>
      <c r="T449" s="106"/>
    </row>
    <row r="450" ht="12.75" customHeight="1">
      <c r="S450" s="105"/>
      <c r="T450" s="106"/>
    </row>
    <row r="451" ht="12.75" customHeight="1">
      <c r="S451" s="105"/>
      <c r="T451" s="106"/>
    </row>
    <row r="452" ht="12.75" customHeight="1">
      <c r="S452" s="105"/>
      <c r="T452" s="106"/>
    </row>
    <row r="453" ht="12.75" customHeight="1">
      <c r="S453" s="105"/>
      <c r="T453" s="106"/>
    </row>
    <row r="454" ht="12.75" customHeight="1">
      <c r="S454" s="105"/>
      <c r="T454" s="106"/>
    </row>
    <row r="455" ht="12.75" customHeight="1">
      <c r="S455" s="105"/>
      <c r="T455" s="106"/>
    </row>
    <row r="456" ht="12.75" customHeight="1">
      <c r="S456" s="105"/>
      <c r="T456" s="106"/>
    </row>
    <row r="457" ht="12.75" customHeight="1">
      <c r="S457" s="105"/>
      <c r="T457" s="106"/>
    </row>
    <row r="458" ht="12.75" customHeight="1">
      <c r="S458" s="105"/>
      <c r="T458" s="106"/>
    </row>
    <row r="459" ht="12.75" customHeight="1">
      <c r="S459" s="105"/>
      <c r="T459" s="106"/>
    </row>
    <row r="460" ht="12.75" customHeight="1">
      <c r="S460" s="105"/>
      <c r="T460" s="106"/>
    </row>
    <row r="461" ht="12.75" customHeight="1">
      <c r="S461" s="105"/>
      <c r="T461" s="106"/>
    </row>
    <row r="462" ht="12.75" customHeight="1">
      <c r="S462" s="105"/>
      <c r="T462" s="106"/>
    </row>
    <row r="463" ht="12.75" customHeight="1">
      <c r="S463" s="105"/>
      <c r="T463" s="106"/>
    </row>
    <row r="464" ht="12.75" customHeight="1">
      <c r="S464" s="105"/>
      <c r="T464" s="106"/>
    </row>
    <row r="465" ht="12.75" customHeight="1">
      <c r="S465" s="105"/>
      <c r="T465" s="106"/>
    </row>
    <row r="466" ht="12.75" customHeight="1">
      <c r="S466" s="105"/>
      <c r="T466" s="106"/>
    </row>
    <row r="467" ht="12.75" customHeight="1">
      <c r="S467" s="105"/>
      <c r="T467" s="106"/>
    </row>
    <row r="468" ht="12.75" customHeight="1">
      <c r="S468" s="105"/>
      <c r="T468" s="106"/>
    </row>
    <row r="469" ht="12.75" customHeight="1">
      <c r="S469" s="105"/>
      <c r="T469" s="106"/>
    </row>
    <row r="470" ht="12.75" customHeight="1">
      <c r="S470" s="105"/>
      <c r="T470" s="106"/>
    </row>
    <row r="471" ht="12.75" customHeight="1">
      <c r="S471" s="105"/>
      <c r="T471" s="106"/>
    </row>
    <row r="472" ht="12.75" customHeight="1">
      <c r="S472" s="105"/>
      <c r="T472" s="106"/>
    </row>
    <row r="473" ht="12.75" customHeight="1">
      <c r="S473" s="105"/>
      <c r="T473" s="106"/>
    </row>
    <row r="474" ht="12.75" customHeight="1">
      <c r="S474" s="105"/>
      <c r="T474" s="106"/>
    </row>
    <row r="475" ht="12.75" customHeight="1">
      <c r="S475" s="105"/>
      <c r="T475" s="106"/>
    </row>
    <row r="476" ht="12.75" customHeight="1">
      <c r="S476" s="105"/>
      <c r="T476" s="106"/>
    </row>
    <row r="477" ht="12.75" customHeight="1">
      <c r="S477" s="105"/>
      <c r="T477" s="106"/>
    </row>
    <row r="478" ht="12.75" customHeight="1">
      <c r="S478" s="105"/>
      <c r="T478" s="106"/>
    </row>
    <row r="479" ht="12.75" customHeight="1">
      <c r="S479" s="105"/>
      <c r="T479" s="106"/>
    </row>
    <row r="480" ht="12.75" customHeight="1">
      <c r="S480" s="105"/>
      <c r="T480" s="106"/>
    </row>
    <row r="481" ht="12.75" customHeight="1">
      <c r="S481" s="105"/>
      <c r="T481" s="106"/>
    </row>
    <row r="482" ht="12.75" customHeight="1">
      <c r="S482" s="105"/>
      <c r="T482" s="106"/>
    </row>
    <row r="483" ht="12.75" customHeight="1">
      <c r="S483" s="105"/>
      <c r="T483" s="106"/>
    </row>
    <row r="484" ht="12.75" customHeight="1">
      <c r="S484" s="105"/>
      <c r="T484" s="106"/>
    </row>
    <row r="485" ht="12.75" customHeight="1">
      <c r="S485" s="105"/>
      <c r="T485" s="106"/>
    </row>
    <row r="486" ht="12.75" customHeight="1">
      <c r="S486" s="105"/>
      <c r="T486" s="106"/>
    </row>
    <row r="487" ht="12.75" customHeight="1">
      <c r="S487" s="105"/>
      <c r="T487" s="106"/>
    </row>
    <row r="488" ht="12.75" customHeight="1">
      <c r="S488" s="105"/>
      <c r="T488" s="106"/>
    </row>
    <row r="489" ht="12.75" customHeight="1">
      <c r="S489" s="105"/>
      <c r="T489" s="106"/>
    </row>
    <row r="490" ht="12.75" customHeight="1">
      <c r="S490" s="105"/>
      <c r="T490" s="106"/>
    </row>
    <row r="491" ht="12.75" customHeight="1">
      <c r="S491" s="105"/>
      <c r="T491" s="106"/>
    </row>
    <row r="492" ht="12.75" customHeight="1">
      <c r="S492" s="105"/>
      <c r="T492" s="106"/>
    </row>
    <row r="493" ht="12.75" customHeight="1">
      <c r="S493" s="105"/>
      <c r="T493" s="106"/>
    </row>
    <row r="494" ht="12.75" customHeight="1">
      <c r="S494" s="105"/>
      <c r="T494" s="106"/>
    </row>
    <row r="495" ht="12.75" customHeight="1">
      <c r="S495" s="105"/>
      <c r="T495" s="106"/>
    </row>
    <row r="496" ht="12.75" customHeight="1">
      <c r="S496" s="105"/>
      <c r="T496" s="106"/>
    </row>
    <row r="497" ht="12.75" customHeight="1">
      <c r="S497" s="105"/>
      <c r="T497" s="106"/>
    </row>
    <row r="498" ht="12.75" customHeight="1">
      <c r="S498" s="105"/>
      <c r="T498" s="106"/>
    </row>
    <row r="499" ht="12.75" customHeight="1">
      <c r="S499" s="105"/>
      <c r="T499" s="106"/>
    </row>
    <row r="500" ht="12.75" customHeight="1">
      <c r="S500" s="105"/>
      <c r="T500" s="106"/>
    </row>
    <row r="501" ht="12.75" customHeight="1">
      <c r="S501" s="105"/>
      <c r="T501" s="106"/>
    </row>
    <row r="502" ht="12.75" customHeight="1">
      <c r="S502" s="105"/>
      <c r="T502" s="106"/>
    </row>
    <row r="503" ht="12.75" customHeight="1">
      <c r="S503" s="105"/>
      <c r="T503" s="106"/>
    </row>
    <row r="504" ht="12.75" customHeight="1">
      <c r="S504" s="105"/>
      <c r="T504" s="106"/>
    </row>
    <row r="505" ht="12.75" customHeight="1">
      <c r="S505" s="105"/>
      <c r="T505" s="106"/>
    </row>
    <row r="506" ht="12.75" customHeight="1">
      <c r="S506" s="105"/>
      <c r="T506" s="106"/>
    </row>
    <row r="507" ht="12.75" customHeight="1">
      <c r="S507" s="105"/>
      <c r="T507" s="106"/>
    </row>
    <row r="508" ht="12.75" customHeight="1">
      <c r="S508" s="105"/>
      <c r="T508" s="106"/>
    </row>
    <row r="509" ht="12.75" customHeight="1">
      <c r="S509" s="105"/>
      <c r="T509" s="106"/>
    </row>
    <row r="510" ht="12.75" customHeight="1">
      <c r="S510" s="105"/>
      <c r="T510" s="106"/>
    </row>
    <row r="511" ht="12.75" customHeight="1">
      <c r="S511" s="105"/>
      <c r="T511" s="106"/>
    </row>
    <row r="512" ht="12.75" customHeight="1">
      <c r="S512" s="105"/>
      <c r="T512" s="106"/>
    </row>
    <row r="513" ht="12.75" customHeight="1">
      <c r="S513" s="105"/>
      <c r="T513" s="106"/>
    </row>
    <row r="514" ht="12.75" customHeight="1">
      <c r="S514" s="105"/>
      <c r="T514" s="106"/>
    </row>
    <row r="515" ht="12.75" customHeight="1">
      <c r="S515" s="105"/>
      <c r="T515" s="106"/>
    </row>
    <row r="516" ht="12.75" customHeight="1">
      <c r="S516" s="105"/>
      <c r="T516" s="106"/>
    </row>
    <row r="517" ht="12.75" customHeight="1">
      <c r="S517" s="105"/>
      <c r="T517" s="106"/>
    </row>
    <row r="518" ht="12.75" customHeight="1">
      <c r="S518" s="105"/>
      <c r="T518" s="106"/>
    </row>
    <row r="519" ht="12.75" customHeight="1">
      <c r="S519" s="105"/>
      <c r="T519" s="106"/>
    </row>
    <row r="520" ht="12.75" customHeight="1">
      <c r="S520" s="105"/>
      <c r="T520" s="106"/>
    </row>
    <row r="521" ht="12.75" customHeight="1">
      <c r="S521" s="105"/>
      <c r="T521" s="106"/>
    </row>
    <row r="522" ht="12.75" customHeight="1">
      <c r="S522" s="105"/>
      <c r="T522" s="106"/>
    </row>
    <row r="523" ht="12.75" customHeight="1">
      <c r="S523" s="105"/>
      <c r="T523" s="106"/>
    </row>
    <row r="524" ht="12.75" customHeight="1">
      <c r="S524" s="105"/>
      <c r="T524" s="106"/>
    </row>
    <row r="525" ht="12.75" customHeight="1">
      <c r="S525" s="105"/>
      <c r="T525" s="106"/>
    </row>
    <row r="526" ht="12.75" customHeight="1">
      <c r="S526" s="105"/>
      <c r="T526" s="106"/>
    </row>
    <row r="527" ht="12.75" customHeight="1">
      <c r="S527" s="105"/>
      <c r="T527" s="106"/>
    </row>
    <row r="528" ht="12.75" customHeight="1">
      <c r="S528" s="105"/>
      <c r="T528" s="106"/>
    </row>
    <row r="529" ht="12.75" customHeight="1">
      <c r="S529" s="105"/>
      <c r="T529" s="106"/>
    </row>
    <row r="530" ht="12.75" customHeight="1">
      <c r="S530" s="105"/>
      <c r="T530" s="106"/>
    </row>
    <row r="531" ht="12.75" customHeight="1">
      <c r="S531" s="105"/>
      <c r="T531" s="106"/>
    </row>
    <row r="532" ht="12.75" customHeight="1">
      <c r="S532" s="105"/>
      <c r="T532" s="106"/>
    </row>
    <row r="533" ht="12.75" customHeight="1">
      <c r="S533" s="105"/>
      <c r="T533" s="106"/>
    </row>
    <row r="534" ht="12.75" customHeight="1">
      <c r="S534" s="105"/>
      <c r="T534" s="106"/>
    </row>
    <row r="535" ht="12.75" customHeight="1">
      <c r="S535" s="105"/>
      <c r="T535" s="106"/>
    </row>
    <row r="536" ht="12.75" customHeight="1">
      <c r="S536" s="105"/>
      <c r="T536" s="106"/>
    </row>
    <row r="537" ht="12.75" customHeight="1">
      <c r="S537" s="105"/>
      <c r="T537" s="106"/>
    </row>
    <row r="538" ht="12.75" customHeight="1">
      <c r="S538" s="105"/>
      <c r="T538" s="106"/>
    </row>
    <row r="539" ht="12.75" customHeight="1">
      <c r="S539" s="105"/>
      <c r="T539" s="106"/>
    </row>
    <row r="540" ht="12.75" customHeight="1">
      <c r="S540" s="105"/>
      <c r="T540" s="106"/>
    </row>
    <row r="541" ht="12.75" customHeight="1">
      <c r="S541" s="105"/>
      <c r="T541" s="106"/>
    </row>
    <row r="542" ht="12.75" customHeight="1">
      <c r="S542" s="105"/>
      <c r="T542" s="106"/>
    </row>
    <row r="543" ht="12.75" customHeight="1">
      <c r="S543" s="105"/>
      <c r="T543" s="106"/>
    </row>
    <row r="544" ht="12.75" customHeight="1">
      <c r="S544" s="105"/>
      <c r="T544" s="106"/>
    </row>
    <row r="545" ht="12.75" customHeight="1">
      <c r="S545" s="105"/>
      <c r="T545" s="106"/>
    </row>
    <row r="546" ht="12.75" customHeight="1">
      <c r="S546" s="105"/>
      <c r="T546" s="106"/>
    </row>
    <row r="547" ht="12.75" customHeight="1">
      <c r="S547" s="105"/>
      <c r="T547" s="106"/>
    </row>
    <row r="548" ht="12.75" customHeight="1">
      <c r="S548" s="105"/>
      <c r="T548" s="106"/>
    </row>
    <row r="549" ht="12.75" customHeight="1">
      <c r="S549" s="105"/>
      <c r="T549" s="106"/>
    </row>
    <row r="550" ht="12.75" customHeight="1">
      <c r="S550" s="105"/>
      <c r="T550" s="106"/>
    </row>
    <row r="551" ht="12.75" customHeight="1">
      <c r="S551" s="105"/>
      <c r="T551" s="106"/>
    </row>
    <row r="552" ht="12.75" customHeight="1">
      <c r="S552" s="105"/>
      <c r="T552" s="106"/>
    </row>
    <row r="553" ht="12.75" customHeight="1">
      <c r="S553" s="105"/>
      <c r="T553" s="106"/>
    </row>
    <row r="554" ht="12.75" customHeight="1">
      <c r="S554" s="105"/>
      <c r="T554" s="106"/>
    </row>
    <row r="555" ht="12.75" customHeight="1">
      <c r="S555" s="105"/>
      <c r="T555" s="106"/>
    </row>
    <row r="556" ht="12.75" customHeight="1">
      <c r="S556" s="105"/>
      <c r="T556" s="106"/>
    </row>
    <row r="557" ht="12.75" customHeight="1">
      <c r="S557" s="105"/>
      <c r="T557" s="106"/>
    </row>
    <row r="558" ht="12.75" customHeight="1">
      <c r="S558" s="105"/>
      <c r="T558" s="106"/>
    </row>
    <row r="559" ht="12.75" customHeight="1">
      <c r="S559" s="105"/>
      <c r="T559" s="106"/>
    </row>
    <row r="560" ht="12.75" customHeight="1">
      <c r="S560" s="105"/>
      <c r="T560" s="106"/>
    </row>
    <row r="561" ht="12.75" customHeight="1">
      <c r="S561" s="105"/>
      <c r="T561" s="106"/>
    </row>
    <row r="562" ht="12.75" customHeight="1">
      <c r="S562" s="105"/>
      <c r="T562" s="106"/>
    </row>
    <row r="563" ht="12.75" customHeight="1">
      <c r="S563" s="105"/>
      <c r="T563" s="106"/>
    </row>
    <row r="564" ht="12.75" customHeight="1">
      <c r="S564" s="105"/>
      <c r="T564" s="106"/>
    </row>
    <row r="565" ht="12.75" customHeight="1">
      <c r="S565" s="105"/>
      <c r="T565" s="106"/>
    </row>
    <row r="566" ht="12.75" customHeight="1">
      <c r="S566" s="105"/>
      <c r="T566" s="106"/>
    </row>
    <row r="567" ht="12.75" customHeight="1">
      <c r="S567" s="105"/>
      <c r="T567" s="106"/>
    </row>
    <row r="568" ht="12.75" customHeight="1">
      <c r="S568" s="105"/>
      <c r="T568" s="106"/>
    </row>
    <row r="569" ht="12.75" customHeight="1">
      <c r="S569" s="105"/>
      <c r="T569" s="106"/>
    </row>
    <row r="570" ht="12.75" customHeight="1">
      <c r="S570" s="105"/>
      <c r="T570" s="106"/>
    </row>
    <row r="571" ht="12.75" customHeight="1">
      <c r="S571" s="105"/>
      <c r="T571" s="106"/>
    </row>
    <row r="572" ht="12.75" customHeight="1">
      <c r="S572" s="105"/>
      <c r="T572" s="106"/>
    </row>
    <row r="573" ht="12.75" customHeight="1">
      <c r="S573" s="105"/>
      <c r="T573" s="106"/>
    </row>
    <row r="574" ht="12.75" customHeight="1">
      <c r="S574" s="105"/>
      <c r="T574" s="106"/>
    </row>
    <row r="575" ht="12.75" customHeight="1">
      <c r="S575" s="105"/>
      <c r="T575" s="106"/>
    </row>
    <row r="576" ht="12.75" customHeight="1">
      <c r="S576" s="105"/>
      <c r="T576" s="106"/>
    </row>
    <row r="577" ht="12.75" customHeight="1">
      <c r="S577" s="105"/>
      <c r="T577" s="106"/>
    </row>
    <row r="578" ht="12.75" customHeight="1">
      <c r="S578" s="105"/>
      <c r="T578" s="106"/>
    </row>
    <row r="579" ht="12.75" customHeight="1">
      <c r="S579" s="105"/>
      <c r="T579" s="106"/>
    </row>
    <row r="580" ht="12.75" customHeight="1">
      <c r="S580" s="105"/>
      <c r="T580" s="106"/>
    </row>
    <row r="581" ht="12.75" customHeight="1">
      <c r="S581" s="105"/>
      <c r="T581" s="106"/>
    </row>
    <row r="582" ht="12.75" customHeight="1">
      <c r="S582" s="105"/>
      <c r="T582" s="106"/>
    </row>
    <row r="583" ht="12.75" customHeight="1">
      <c r="S583" s="105"/>
      <c r="T583" s="106"/>
    </row>
    <row r="584" ht="12.75" customHeight="1">
      <c r="S584" s="105"/>
      <c r="T584" s="106"/>
    </row>
    <row r="585" ht="12.75" customHeight="1">
      <c r="S585" s="105"/>
      <c r="T585" s="106"/>
    </row>
    <row r="586" ht="12.75" customHeight="1">
      <c r="S586" s="105"/>
      <c r="T586" s="106"/>
    </row>
    <row r="587" ht="12.75" customHeight="1">
      <c r="S587" s="105"/>
      <c r="T587" s="106"/>
    </row>
    <row r="588" ht="12.75" customHeight="1">
      <c r="S588" s="105"/>
      <c r="T588" s="106"/>
    </row>
    <row r="589" ht="12.75" customHeight="1">
      <c r="S589" s="105"/>
      <c r="T589" s="106"/>
    </row>
    <row r="590" ht="12.75" customHeight="1">
      <c r="S590" s="105"/>
      <c r="T590" s="106"/>
    </row>
    <row r="591" ht="12.75" customHeight="1">
      <c r="S591" s="105"/>
      <c r="T591" s="106"/>
    </row>
    <row r="592" ht="12.75" customHeight="1">
      <c r="S592" s="105"/>
      <c r="T592" s="106"/>
    </row>
    <row r="593" ht="12.75" customHeight="1">
      <c r="S593" s="105"/>
      <c r="T593" s="106"/>
    </row>
    <row r="594" ht="12.75" customHeight="1">
      <c r="S594" s="105"/>
      <c r="T594" s="106"/>
    </row>
    <row r="595" ht="12.75" customHeight="1">
      <c r="S595" s="105"/>
      <c r="T595" s="106"/>
    </row>
    <row r="596" ht="12.75" customHeight="1">
      <c r="S596" s="105"/>
      <c r="T596" s="106"/>
    </row>
    <row r="597" ht="12.75" customHeight="1">
      <c r="S597" s="105"/>
      <c r="T597" s="106"/>
    </row>
    <row r="598" ht="12.75" customHeight="1">
      <c r="S598" s="105"/>
      <c r="T598" s="106"/>
    </row>
    <row r="599" ht="12.75" customHeight="1">
      <c r="S599" s="105"/>
      <c r="T599" s="106"/>
    </row>
    <row r="600" ht="12.75" customHeight="1">
      <c r="S600" s="105"/>
      <c r="T600" s="106"/>
    </row>
    <row r="601" ht="12.75" customHeight="1">
      <c r="S601" s="105"/>
      <c r="T601" s="106"/>
    </row>
    <row r="602" ht="12.75" customHeight="1">
      <c r="S602" s="105"/>
      <c r="T602" s="106"/>
    </row>
    <row r="603" ht="12.75" customHeight="1">
      <c r="S603" s="105"/>
      <c r="T603" s="106"/>
    </row>
    <row r="604" ht="12.75" customHeight="1">
      <c r="S604" s="105"/>
      <c r="T604" s="106"/>
    </row>
    <row r="605" ht="12.75" customHeight="1">
      <c r="S605" s="105"/>
      <c r="T605" s="106"/>
    </row>
    <row r="606" ht="12.75" customHeight="1">
      <c r="S606" s="105"/>
      <c r="T606" s="106"/>
    </row>
    <row r="607" ht="12.75" customHeight="1">
      <c r="S607" s="105"/>
      <c r="T607" s="106"/>
    </row>
    <row r="608" ht="12.75" customHeight="1">
      <c r="S608" s="105"/>
      <c r="T608" s="106"/>
    </row>
    <row r="609" ht="12.75" customHeight="1">
      <c r="S609" s="105"/>
      <c r="T609" s="106"/>
    </row>
    <row r="610" ht="12.75" customHeight="1">
      <c r="S610" s="105"/>
      <c r="T610" s="106"/>
    </row>
    <row r="611" ht="12.75" customHeight="1">
      <c r="S611" s="105"/>
      <c r="T611" s="106"/>
    </row>
    <row r="612" ht="12.75" customHeight="1">
      <c r="S612" s="105"/>
      <c r="T612" s="106"/>
    </row>
    <row r="613" ht="12.75" customHeight="1">
      <c r="S613" s="105"/>
      <c r="T613" s="106"/>
    </row>
    <row r="614" ht="12.75" customHeight="1">
      <c r="S614" s="105"/>
      <c r="T614" s="106"/>
    </row>
    <row r="615" ht="12.75" customHeight="1">
      <c r="S615" s="105"/>
      <c r="T615" s="106"/>
    </row>
    <row r="616" ht="12.75" customHeight="1">
      <c r="S616" s="105"/>
      <c r="T616" s="106"/>
    </row>
    <row r="617" ht="12.75" customHeight="1">
      <c r="S617" s="105"/>
      <c r="T617" s="106"/>
    </row>
    <row r="618" ht="12.75" customHeight="1">
      <c r="S618" s="105"/>
      <c r="T618" s="106"/>
    </row>
    <row r="619" ht="12.75" customHeight="1">
      <c r="S619" s="105"/>
      <c r="T619" s="106"/>
    </row>
    <row r="620" ht="12.75" customHeight="1">
      <c r="S620" s="105"/>
      <c r="T620" s="106"/>
    </row>
    <row r="621" ht="12.75" customHeight="1">
      <c r="S621" s="105"/>
      <c r="T621" s="106"/>
    </row>
    <row r="622" ht="12.75" customHeight="1">
      <c r="S622" s="105"/>
      <c r="T622" s="106"/>
    </row>
    <row r="623" ht="12.75" customHeight="1">
      <c r="S623" s="105"/>
      <c r="T623" s="106"/>
    </row>
    <row r="624" ht="12.75" customHeight="1">
      <c r="S624" s="105"/>
      <c r="T624" s="106"/>
    </row>
    <row r="625" ht="12.75" customHeight="1">
      <c r="S625" s="105"/>
      <c r="T625" s="106"/>
    </row>
    <row r="626" ht="12.75" customHeight="1">
      <c r="S626" s="105"/>
      <c r="T626" s="106"/>
    </row>
    <row r="627" ht="12.75" customHeight="1">
      <c r="S627" s="105"/>
      <c r="T627" s="106"/>
    </row>
    <row r="628" ht="12.75" customHeight="1">
      <c r="S628" s="105"/>
      <c r="T628" s="106"/>
    </row>
    <row r="629" ht="12.75" customHeight="1">
      <c r="S629" s="105"/>
      <c r="T629" s="106"/>
    </row>
    <row r="630" ht="12.75" customHeight="1">
      <c r="S630" s="105"/>
      <c r="T630" s="106"/>
    </row>
    <row r="631" ht="12.75" customHeight="1">
      <c r="S631" s="105"/>
      <c r="T631" s="106"/>
    </row>
    <row r="632" ht="12.75" customHeight="1">
      <c r="S632" s="105"/>
      <c r="T632" s="106"/>
    </row>
    <row r="633" ht="12.75" customHeight="1">
      <c r="S633" s="105"/>
      <c r="T633" s="106"/>
    </row>
    <row r="634" ht="12.75" customHeight="1">
      <c r="S634" s="105"/>
      <c r="T634" s="106"/>
    </row>
    <row r="635" ht="12.75" customHeight="1">
      <c r="S635" s="105"/>
      <c r="T635" s="106"/>
    </row>
    <row r="636" ht="12.75" customHeight="1">
      <c r="S636" s="105"/>
      <c r="T636" s="106"/>
    </row>
    <row r="637" ht="12.75" customHeight="1">
      <c r="S637" s="105"/>
      <c r="T637" s="106"/>
    </row>
    <row r="638" ht="12.75" customHeight="1">
      <c r="S638" s="105"/>
      <c r="T638" s="106"/>
    </row>
    <row r="639" ht="12.75" customHeight="1">
      <c r="S639" s="105"/>
      <c r="T639" s="106"/>
    </row>
    <row r="640" ht="12.75" customHeight="1">
      <c r="S640" s="105"/>
      <c r="T640" s="106"/>
    </row>
    <row r="641" ht="12.75" customHeight="1">
      <c r="S641" s="105"/>
      <c r="T641" s="106"/>
    </row>
    <row r="642" ht="12.75" customHeight="1">
      <c r="S642" s="105"/>
      <c r="T642" s="106"/>
    </row>
    <row r="643" ht="12.75" customHeight="1">
      <c r="S643" s="105"/>
      <c r="T643" s="106"/>
    </row>
    <row r="644" ht="12.75" customHeight="1">
      <c r="S644" s="105"/>
      <c r="T644" s="106"/>
    </row>
    <row r="645" ht="12.75" customHeight="1">
      <c r="S645" s="105"/>
      <c r="T645" s="106"/>
    </row>
    <row r="646" ht="12.75" customHeight="1">
      <c r="S646" s="105"/>
      <c r="T646" s="106"/>
    </row>
    <row r="647" ht="12.75" customHeight="1">
      <c r="S647" s="105"/>
      <c r="T647" s="106"/>
    </row>
    <row r="648" ht="12.75" customHeight="1">
      <c r="S648" s="105"/>
      <c r="T648" s="106"/>
    </row>
    <row r="649" ht="12.75" customHeight="1">
      <c r="S649" s="105"/>
      <c r="T649" s="106"/>
    </row>
    <row r="650" ht="12.75" customHeight="1">
      <c r="S650" s="105"/>
      <c r="T650" s="106"/>
    </row>
    <row r="651" ht="12.75" customHeight="1">
      <c r="S651" s="105"/>
      <c r="T651" s="106"/>
    </row>
    <row r="652" ht="12.75" customHeight="1">
      <c r="S652" s="105"/>
      <c r="T652" s="106"/>
    </row>
    <row r="653" ht="12.75" customHeight="1">
      <c r="S653" s="105"/>
      <c r="T653" s="106"/>
    </row>
    <row r="654" ht="12.75" customHeight="1">
      <c r="S654" s="105"/>
      <c r="T654" s="106"/>
    </row>
    <row r="655" ht="12.75" customHeight="1">
      <c r="S655" s="105"/>
      <c r="T655" s="106"/>
    </row>
    <row r="656" ht="12.75" customHeight="1">
      <c r="S656" s="105"/>
      <c r="T656" s="106"/>
    </row>
    <row r="657" ht="12.75" customHeight="1">
      <c r="S657" s="105"/>
      <c r="T657" s="106"/>
    </row>
    <row r="658" ht="12.75" customHeight="1">
      <c r="S658" s="105"/>
      <c r="T658" s="106"/>
    </row>
    <row r="659" ht="12.75" customHeight="1">
      <c r="S659" s="105"/>
      <c r="T659" s="106"/>
    </row>
    <row r="660" ht="12.75" customHeight="1">
      <c r="S660" s="105"/>
      <c r="T660" s="106"/>
    </row>
    <row r="661" ht="12.75" customHeight="1">
      <c r="S661" s="105"/>
      <c r="T661" s="106"/>
    </row>
    <row r="662" ht="12.75" customHeight="1">
      <c r="S662" s="105"/>
      <c r="T662" s="106"/>
    </row>
    <row r="663" ht="12.75" customHeight="1">
      <c r="S663" s="105"/>
      <c r="T663" s="106"/>
    </row>
    <row r="664" ht="12.75" customHeight="1">
      <c r="S664" s="105"/>
      <c r="T664" s="106"/>
    </row>
    <row r="665" ht="12.75" customHeight="1">
      <c r="S665" s="105"/>
      <c r="T665" s="106"/>
    </row>
    <row r="666" ht="12.75" customHeight="1">
      <c r="S666" s="105"/>
      <c r="T666" s="106"/>
    </row>
    <row r="667" ht="12.75" customHeight="1">
      <c r="S667" s="105"/>
      <c r="T667" s="106"/>
    </row>
    <row r="668" ht="12.75" customHeight="1">
      <c r="S668" s="105"/>
      <c r="T668" s="106"/>
    </row>
    <row r="669" ht="12.75" customHeight="1">
      <c r="S669" s="105"/>
      <c r="T669" s="106"/>
    </row>
    <row r="670" ht="12.75" customHeight="1">
      <c r="S670" s="105"/>
      <c r="T670" s="106"/>
    </row>
    <row r="671" ht="12.75" customHeight="1">
      <c r="S671" s="105"/>
      <c r="T671" s="106"/>
    </row>
    <row r="672" ht="12.75" customHeight="1">
      <c r="S672" s="105"/>
      <c r="T672" s="106"/>
    </row>
    <row r="673" ht="12.75" customHeight="1">
      <c r="S673" s="105"/>
      <c r="T673" s="106"/>
    </row>
    <row r="674" ht="12.75" customHeight="1">
      <c r="S674" s="105"/>
      <c r="T674" s="106"/>
    </row>
    <row r="675" ht="12.75" customHeight="1">
      <c r="S675" s="105"/>
      <c r="T675" s="106"/>
    </row>
    <row r="676" ht="12.75" customHeight="1">
      <c r="S676" s="105"/>
      <c r="T676" s="106"/>
    </row>
    <row r="677" ht="12.75" customHeight="1">
      <c r="S677" s="105"/>
      <c r="T677" s="106"/>
    </row>
    <row r="678" ht="12.75" customHeight="1">
      <c r="S678" s="105"/>
      <c r="T678" s="106"/>
    </row>
    <row r="679" ht="12.75" customHeight="1">
      <c r="S679" s="105"/>
      <c r="T679" s="106"/>
    </row>
    <row r="680" ht="12.75" customHeight="1">
      <c r="S680" s="105"/>
      <c r="T680" s="106"/>
    </row>
    <row r="681" ht="12.75" customHeight="1">
      <c r="S681" s="105"/>
      <c r="T681" s="106"/>
    </row>
    <row r="682" ht="12.75" customHeight="1">
      <c r="S682" s="105"/>
      <c r="T682" s="106"/>
    </row>
    <row r="683" ht="12.75" customHeight="1">
      <c r="S683" s="105"/>
      <c r="T683" s="106"/>
    </row>
    <row r="684" ht="12.75" customHeight="1">
      <c r="S684" s="105"/>
      <c r="T684" s="106"/>
    </row>
    <row r="685" ht="12.75" customHeight="1">
      <c r="S685" s="105"/>
      <c r="T685" s="106"/>
    </row>
    <row r="686" ht="12.75" customHeight="1">
      <c r="S686" s="105"/>
      <c r="T686" s="106"/>
    </row>
    <row r="687" ht="12.75" customHeight="1">
      <c r="S687" s="105"/>
      <c r="T687" s="106"/>
    </row>
    <row r="688" ht="12.75" customHeight="1">
      <c r="S688" s="105"/>
      <c r="T688" s="106"/>
    </row>
    <row r="689" ht="12.75" customHeight="1">
      <c r="S689" s="105"/>
      <c r="T689" s="106"/>
    </row>
    <row r="690" ht="12.75" customHeight="1">
      <c r="S690" s="105"/>
      <c r="T690" s="106"/>
    </row>
    <row r="691" ht="12.75" customHeight="1">
      <c r="S691" s="105"/>
      <c r="T691" s="106"/>
    </row>
    <row r="692" ht="12.75" customHeight="1">
      <c r="S692" s="105"/>
      <c r="T692" s="106"/>
    </row>
    <row r="693" ht="12.75" customHeight="1">
      <c r="S693" s="105"/>
      <c r="T693" s="106"/>
    </row>
    <row r="694" ht="12.75" customHeight="1">
      <c r="S694" s="105"/>
      <c r="T694" s="106"/>
    </row>
    <row r="695" ht="12.75" customHeight="1">
      <c r="S695" s="105"/>
      <c r="T695" s="106"/>
    </row>
    <row r="696" ht="12.75" customHeight="1">
      <c r="S696" s="105"/>
      <c r="T696" s="106"/>
    </row>
    <row r="697" ht="12.75" customHeight="1">
      <c r="S697" s="105"/>
      <c r="T697" s="106"/>
    </row>
    <row r="698" ht="12.75" customHeight="1">
      <c r="S698" s="105"/>
      <c r="T698" s="106"/>
    </row>
    <row r="699" ht="12.75" customHeight="1">
      <c r="S699" s="105"/>
      <c r="T699" s="106"/>
    </row>
    <row r="700" ht="12.75" customHeight="1">
      <c r="S700" s="105"/>
      <c r="T700" s="106"/>
    </row>
    <row r="701" ht="12.75" customHeight="1">
      <c r="S701" s="105"/>
      <c r="T701" s="106"/>
    </row>
    <row r="702" ht="12.75" customHeight="1">
      <c r="S702" s="105"/>
      <c r="T702" s="106"/>
    </row>
    <row r="703" ht="12.75" customHeight="1">
      <c r="S703" s="105"/>
      <c r="T703" s="106"/>
    </row>
    <row r="704" ht="12.75" customHeight="1">
      <c r="S704" s="105"/>
      <c r="T704" s="106"/>
    </row>
    <row r="705" ht="12.75" customHeight="1">
      <c r="S705" s="105"/>
      <c r="T705" s="106"/>
    </row>
    <row r="706" ht="12.75" customHeight="1">
      <c r="S706" s="105"/>
      <c r="T706" s="106"/>
    </row>
    <row r="707" ht="12.75" customHeight="1">
      <c r="S707" s="105"/>
      <c r="T707" s="106"/>
    </row>
    <row r="708" ht="12.75" customHeight="1">
      <c r="S708" s="105"/>
      <c r="T708" s="106"/>
    </row>
    <row r="709" ht="12.75" customHeight="1">
      <c r="S709" s="105"/>
      <c r="T709" s="106"/>
    </row>
    <row r="710" ht="12.75" customHeight="1">
      <c r="S710" s="105"/>
      <c r="T710" s="106"/>
    </row>
    <row r="711" ht="12.75" customHeight="1">
      <c r="S711" s="105"/>
      <c r="T711" s="106"/>
    </row>
    <row r="712" ht="12.75" customHeight="1">
      <c r="S712" s="105"/>
      <c r="T712" s="106"/>
    </row>
    <row r="713" ht="12.75" customHeight="1">
      <c r="S713" s="105"/>
      <c r="T713" s="106"/>
    </row>
    <row r="714" ht="12.75" customHeight="1">
      <c r="S714" s="105"/>
      <c r="T714" s="106"/>
    </row>
    <row r="715" ht="12.75" customHeight="1">
      <c r="S715" s="105"/>
      <c r="T715" s="106"/>
    </row>
    <row r="716" ht="12.75" customHeight="1">
      <c r="S716" s="105"/>
      <c r="T716" s="106"/>
    </row>
    <row r="717" ht="12.75" customHeight="1">
      <c r="S717" s="105"/>
      <c r="T717" s="106"/>
    </row>
    <row r="718" ht="12.75" customHeight="1">
      <c r="S718" s="105"/>
      <c r="T718" s="106"/>
    </row>
    <row r="719" ht="12.75" customHeight="1">
      <c r="S719" s="105"/>
      <c r="T719" s="106"/>
    </row>
    <row r="720" ht="12.75" customHeight="1">
      <c r="S720" s="105"/>
      <c r="T720" s="106"/>
    </row>
    <row r="721" ht="12.75" customHeight="1">
      <c r="S721" s="105"/>
      <c r="T721" s="106"/>
    </row>
    <row r="722" ht="12.75" customHeight="1">
      <c r="S722" s="105"/>
      <c r="T722" s="106"/>
    </row>
    <row r="723" ht="12.75" customHeight="1">
      <c r="S723" s="105"/>
      <c r="T723" s="106"/>
    </row>
    <row r="724" ht="12.75" customHeight="1">
      <c r="S724" s="105"/>
      <c r="T724" s="106"/>
    </row>
    <row r="725" ht="12.75" customHeight="1">
      <c r="S725" s="105"/>
      <c r="T725" s="106"/>
    </row>
    <row r="726" ht="12.75" customHeight="1">
      <c r="S726" s="105"/>
      <c r="T726" s="106"/>
    </row>
    <row r="727" ht="12.75" customHeight="1">
      <c r="S727" s="105"/>
      <c r="T727" s="106"/>
    </row>
    <row r="728" ht="12.75" customHeight="1">
      <c r="S728" s="105"/>
      <c r="T728" s="106"/>
    </row>
    <row r="729" ht="12.75" customHeight="1">
      <c r="S729" s="105"/>
      <c r="T729" s="106"/>
    </row>
    <row r="730" ht="12.75" customHeight="1">
      <c r="S730" s="105"/>
      <c r="T730" s="106"/>
    </row>
    <row r="731" ht="12.75" customHeight="1">
      <c r="S731" s="105"/>
      <c r="T731" s="106"/>
    </row>
    <row r="732" ht="12.75" customHeight="1">
      <c r="S732" s="105"/>
      <c r="T732" s="106"/>
    </row>
    <row r="733" ht="12.75" customHeight="1">
      <c r="S733" s="105"/>
      <c r="T733" s="106"/>
    </row>
    <row r="734" ht="12.75" customHeight="1">
      <c r="S734" s="105"/>
      <c r="T734" s="106"/>
    </row>
    <row r="735" ht="12.75" customHeight="1">
      <c r="S735" s="105"/>
      <c r="T735" s="106"/>
    </row>
    <row r="736" ht="12.75" customHeight="1">
      <c r="S736" s="105"/>
      <c r="T736" s="106"/>
    </row>
    <row r="737" ht="12.75" customHeight="1">
      <c r="S737" s="105"/>
      <c r="T737" s="106"/>
    </row>
    <row r="738" ht="12.75" customHeight="1">
      <c r="S738" s="105"/>
      <c r="T738" s="106"/>
    </row>
    <row r="739" ht="12.75" customHeight="1">
      <c r="S739" s="105"/>
      <c r="T739" s="106"/>
    </row>
    <row r="740" ht="12.75" customHeight="1">
      <c r="S740" s="105"/>
      <c r="T740" s="106"/>
    </row>
    <row r="741" ht="12.75" customHeight="1">
      <c r="S741" s="105"/>
      <c r="T741" s="106"/>
    </row>
    <row r="742" ht="12.75" customHeight="1">
      <c r="S742" s="105"/>
      <c r="T742" s="106"/>
    </row>
    <row r="743" ht="12.75" customHeight="1">
      <c r="S743" s="105"/>
      <c r="T743" s="106"/>
    </row>
    <row r="744" ht="12.75" customHeight="1">
      <c r="S744" s="105"/>
      <c r="T744" s="106"/>
    </row>
    <row r="745" ht="12.75" customHeight="1">
      <c r="S745" s="105"/>
      <c r="T745" s="106"/>
    </row>
    <row r="746" ht="12.75" customHeight="1">
      <c r="S746" s="105"/>
      <c r="T746" s="106"/>
    </row>
    <row r="747" ht="12.75" customHeight="1">
      <c r="S747" s="105"/>
      <c r="T747" s="106"/>
    </row>
    <row r="748" ht="12.75" customHeight="1">
      <c r="S748" s="105"/>
      <c r="T748" s="106"/>
    </row>
    <row r="749" ht="12.75" customHeight="1">
      <c r="S749" s="105"/>
      <c r="T749" s="106"/>
    </row>
    <row r="750" ht="12.75" customHeight="1">
      <c r="S750" s="105"/>
      <c r="T750" s="106"/>
    </row>
    <row r="751" ht="12.75" customHeight="1">
      <c r="S751" s="105"/>
      <c r="T751" s="106"/>
    </row>
    <row r="752" ht="12.75" customHeight="1">
      <c r="S752" s="105"/>
      <c r="T752" s="106"/>
    </row>
    <row r="753" ht="12.75" customHeight="1">
      <c r="S753" s="105"/>
      <c r="T753" s="106"/>
    </row>
    <row r="754" ht="12.75" customHeight="1">
      <c r="S754" s="105"/>
      <c r="T754" s="106"/>
    </row>
    <row r="755" ht="12.75" customHeight="1">
      <c r="S755" s="105"/>
      <c r="T755" s="106"/>
    </row>
    <row r="756" ht="12.75" customHeight="1">
      <c r="S756" s="105"/>
      <c r="T756" s="106"/>
    </row>
    <row r="757" ht="12.75" customHeight="1">
      <c r="S757" s="105"/>
      <c r="T757" s="106"/>
    </row>
    <row r="758" ht="12.75" customHeight="1">
      <c r="S758" s="105"/>
      <c r="T758" s="106"/>
    </row>
    <row r="759" ht="12.75" customHeight="1">
      <c r="S759" s="105"/>
      <c r="T759" s="106"/>
    </row>
    <row r="760" ht="12.75" customHeight="1">
      <c r="S760" s="105"/>
      <c r="T760" s="106"/>
    </row>
    <row r="761" ht="12.75" customHeight="1">
      <c r="S761" s="105"/>
      <c r="T761" s="106"/>
    </row>
    <row r="762" ht="12.75" customHeight="1">
      <c r="S762" s="105"/>
      <c r="T762" s="106"/>
    </row>
    <row r="763" ht="12.75" customHeight="1">
      <c r="S763" s="105"/>
      <c r="T763" s="106"/>
    </row>
    <row r="764" ht="12.75" customHeight="1">
      <c r="S764" s="105"/>
      <c r="T764" s="106"/>
    </row>
    <row r="765" ht="12.75" customHeight="1">
      <c r="S765" s="105"/>
      <c r="T765" s="106"/>
    </row>
    <row r="766" ht="12.75" customHeight="1">
      <c r="S766" s="105"/>
      <c r="T766" s="106"/>
    </row>
    <row r="767" ht="12.75" customHeight="1">
      <c r="S767" s="105"/>
      <c r="T767" s="106"/>
    </row>
    <row r="768" ht="12.75" customHeight="1">
      <c r="S768" s="105"/>
      <c r="T768" s="106"/>
    </row>
    <row r="769" ht="12.75" customHeight="1">
      <c r="S769" s="105"/>
      <c r="T769" s="106"/>
    </row>
    <row r="770" ht="12.75" customHeight="1">
      <c r="S770" s="105"/>
      <c r="T770" s="106"/>
    </row>
    <row r="771" ht="12.75" customHeight="1">
      <c r="S771" s="105"/>
      <c r="T771" s="106"/>
    </row>
    <row r="772" ht="12.75" customHeight="1">
      <c r="S772" s="105"/>
      <c r="T772" s="106"/>
    </row>
    <row r="773" ht="12.75" customHeight="1">
      <c r="S773" s="105"/>
      <c r="T773" s="106"/>
    </row>
    <row r="774" ht="12.75" customHeight="1">
      <c r="S774" s="105"/>
      <c r="T774" s="106"/>
    </row>
    <row r="775" ht="12.75" customHeight="1">
      <c r="S775" s="105"/>
      <c r="T775" s="106"/>
    </row>
    <row r="776" ht="12.75" customHeight="1">
      <c r="S776" s="105"/>
      <c r="T776" s="106"/>
    </row>
    <row r="777" ht="12.75" customHeight="1">
      <c r="S777" s="105"/>
      <c r="T777" s="106"/>
    </row>
    <row r="778" ht="12.75" customHeight="1">
      <c r="S778" s="105"/>
      <c r="T778" s="106"/>
    </row>
    <row r="779" ht="12.75" customHeight="1">
      <c r="S779" s="105"/>
      <c r="T779" s="106"/>
    </row>
    <row r="780" ht="12.75" customHeight="1">
      <c r="S780" s="105"/>
      <c r="T780" s="106"/>
    </row>
    <row r="781" ht="12.75" customHeight="1">
      <c r="S781" s="105"/>
      <c r="T781" s="106"/>
    </row>
    <row r="782" ht="12.75" customHeight="1">
      <c r="S782" s="105"/>
      <c r="T782" s="106"/>
    </row>
    <row r="783" ht="12.75" customHeight="1">
      <c r="S783" s="105"/>
      <c r="T783" s="106"/>
    </row>
    <row r="784" ht="12.75" customHeight="1">
      <c r="S784" s="105"/>
      <c r="T784" s="106"/>
    </row>
    <row r="785" ht="12.75" customHeight="1">
      <c r="S785" s="105"/>
      <c r="T785" s="106"/>
    </row>
    <row r="786" ht="12.75" customHeight="1">
      <c r="S786" s="105"/>
      <c r="T786" s="106"/>
    </row>
    <row r="787" ht="12.75" customHeight="1">
      <c r="S787" s="105"/>
      <c r="T787" s="106"/>
    </row>
    <row r="788" ht="12.75" customHeight="1">
      <c r="S788" s="105"/>
      <c r="T788" s="106"/>
    </row>
    <row r="789" ht="12.75" customHeight="1">
      <c r="S789" s="105"/>
      <c r="T789" s="106"/>
    </row>
    <row r="790" ht="12.75" customHeight="1">
      <c r="S790" s="105"/>
      <c r="T790" s="106"/>
    </row>
    <row r="791" ht="12.75" customHeight="1">
      <c r="S791" s="105"/>
      <c r="T791" s="106"/>
    </row>
    <row r="792" ht="12.75" customHeight="1">
      <c r="S792" s="105"/>
      <c r="T792" s="106"/>
    </row>
    <row r="793" ht="12.75" customHeight="1">
      <c r="S793" s="105"/>
      <c r="T793" s="106"/>
    </row>
    <row r="794" ht="12.75" customHeight="1">
      <c r="S794" s="105"/>
      <c r="T794" s="106"/>
    </row>
    <row r="795" ht="12.75" customHeight="1">
      <c r="S795" s="105"/>
      <c r="T795" s="106"/>
    </row>
    <row r="796" ht="12.75" customHeight="1">
      <c r="S796" s="105"/>
      <c r="T796" s="106"/>
    </row>
    <row r="797" ht="12.75" customHeight="1">
      <c r="S797" s="105"/>
      <c r="T797" s="106"/>
    </row>
    <row r="798" ht="12.75" customHeight="1">
      <c r="S798" s="105"/>
      <c r="T798" s="106"/>
    </row>
    <row r="799" ht="12.75" customHeight="1">
      <c r="S799" s="105"/>
      <c r="T799" s="106"/>
    </row>
    <row r="800" ht="12.75" customHeight="1">
      <c r="S800" s="105"/>
      <c r="T800" s="106"/>
    </row>
    <row r="801" ht="12.75" customHeight="1">
      <c r="S801" s="105"/>
      <c r="T801" s="106"/>
    </row>
    <row r="802" ht="12.75" customHeight="1">
      <c r="S802" s="105"/>
      <c r="T802" s="106"/>
    </row>
    <row r="803" ht="12.75" customHeight="1">
      <c r="S803" s="105"/>
      <c r="T803" s="106"/>
    </row>
    <row r="804" ht="12.75" customHeight="1">
      <c r="S804" s="105"/>
      <c r="T804" s="106"/>
    </row>
    <row r="805" ht="12.75" customHeight="1">
      <c r="S805" s="105"/>
      <c r="T805" s="106"/>
    </row>
    <row r="806" ht="12.75" customHeight="1">
      <c r="S806" s="105"/>
      <c r="T806" s="106"/>
    </row>
    <row r="807" ht="12.75" customHeight="1">
      <c r="S807" s="105"/>
      <c r="T807" s="106"/>
    </row>
    <row r="808" ht="12.75" customHeight="1">
      <c r="S808" s="105"/>
      <c r="T808" s="106"/>
    </row>
    <row r="809" ht="12.75" customHeight="1">
      <c r="S809" s="105"/>
      <c r="T809" s="106"/>
    </row>
    <row r="810" ht="12.75" customHeight="1">
      <c r="S810" s="105"/>
      <c r="T810" s="106"/>
    </row>
    <row r="811" ht="12.75" customHeight="1">
      <c r="S811" s="105"/>
      <c r="T811" s="106"/>
    </row>
    <row r="812" ht="12.75" customHeight="1">
      <c r="S812" s="105"/>
      <c r="T812" s="106"/>
    </row>
    <row r="813" ht="12.75" customHeight="1">
      <c r="S813" s="105"/>
      <c r="T813" s="106"/>
    </row>
    <row r="814" ht="12.75" customHeight="1">
      <c r="S814" s="105"/>
      <c r="T814" s="106"/>
    </row>
    <row r="815" ht="12.75" customHeight="1">
      <c r="S815" s="105"/>
      <c r="T815" s="106"/>
    </row>
    <row r="816" ht="12.75" customHeight="1">
      <c r="S816" s="105"/>
      <c r="T816" s="106"/>
    </row>
    <row r="817" ht="12.75" customHeight="1">
      <c r="S817" s="105"/>
      <c r="T817" s="106"/>
    </row>
    <row r="818" ht="12.75" customHeight="1">
      <c r="S818" s="105"/>
      <c r="T818" s="106"/>
    </row>
    <row r="819" ht="12.75" customHeight="1">
      <c r="S819" s="105"/>
      <c r="T819" s="106"/>
    </row>
    <row r="820" ht="12.75" customHeight="1">
      <c r="S820" s="105"/>
      <c r="T820" s="106"/>
    </row>
    <row r="821" ht="12.75" customHeight="1">
      <c r="S821" s="105"/>
      <c r="T821" s="106"/>
    </row>
    <row r="822" ht="12.75" customHeight="1">
      <c r="S822" s="105"/>
      <c r="T822" s="106"/>
    </row>
    <row r="823" ht="12.75" customHeight="1">
      <c r="S823" s="105"/>
      <c r="T823" s="106"/>
    </row>
    <row r="824" ht="12.75" customHeight="1">
      <c r="S824" s="105"/>
      <c r="T824" s="106"/>
    </row>
    <row r="825" ht="12.75" customHeight="1">
      <c r="S825" s="105"/>
      <c r="T825" s="106"/>
    </row>
    <row r="826" ht="12.75" customHeight="1">
      <c r="S826" s="105"/>
      <c r="T826" s="106"/>
    </row>
    <row r="827" ht="12.75" customHeight="1">
      <c r="S827" s="105"/>
      <c r="T827" s="106"/>
    </row>
    <row r="828" ht="12.75" customHeight="1">
      <c r="S828" s="105"/>
      <c r="T828" s="106"/>
    </row>
    <row r="829" ht="12.75" customHeight="1">
      <c r="S829" s="105"/>
      <c r="T829" s="106"/>
    </row>
    <row r="830" ht="12.75" customHeight="1">
      <c r="S830" s="105"/>
      <c r="T830" s="106"/>
    </row>
    <row r="831" ht="12.75" customHeight="1">
      <c r="S831" s="105"/>
      <c r="T831" s="106"/>
    </row>
    <row r="832" ht="12.75" customHeight="1">
      <c r="S832" s="105"/>
      <c r="T832" s="106"/>
    </row>
    <row r="833" ht="12.75" customHeight="1">
      <c r="S833" s="105"/>
      <c r="T833" s="106"/>
    </row>
    <row r="834" ht="12.75" customHeight="1">
      <c r="S834" s="105"/>
      <c r="T834" s="106"/>
    </row>
    <row r="835" ht="12.75" customHeight="1">
      <c r="S835" s="105"/>
      <c r="T835" s="106"/>
    </row>
    <row r="836" ht="12.75" customHeight="1">
      <c r="S836" s="105"/>
      <c r="T836" s="106"/>
    </row>
    <row r="837" ht="12.75" customHeight="1">
      <c r="S837" s="105"/>
      <c r="T837" s="106"/>
    </row>
    <row r="838" ht="12.75" customHeight="1">
      <c r="S838" s="105"/>
      <c r="T838" s="106"/>
    </row>
    <row r="839" ht="12.75" customHeight="1">
      <c r="S839" s="105"/>
      <c r="T839" s="106"/>
    </row>
    <row r="840" ht="12.75" customHeight="1">
      <c r="S840" s="105"/>
      <c r="T840" s="106"/>
    </row>
    <row r="841" ht="12.75" customHeight="1">
      <c r="S841" s="105"/>
      <c r="T841" s="106"/>
    </row>
    <row r="842" ht="12.75" customHeight="1">
      <c r="S842" s="105"/>
      <c r="T842" s="106"/>
    </row>
    <row r="843" ht="12.75" customHeight="1">
      <c r="S843" s="105"/>
      <c r="T843" s="106"/>
    </row>
    <row r="844" ht="12.75" customHeight="1">
      <c r="S844" s="105"/>
      <c r="T844" s="106"/>
    </row>
    <row r="845" ht="12.75" customHeight="1">
      <c r="S845" s="105"/>
      <c r="T845" s="106"/>
    </row>
    <row r="846" ht="12.75" customHeight="1">
      <c r="S846" s="105"/>
      <c r="T846" s="106"/>
    </row>
    <row r="847" ht="12.75" customHeight="1">
      <c r="S847" s="105"/>
      <c r="T847" s="106"/>
    </row>
    <row r="848" ht="12.75" customHeight="1">
      <c r="S848" s="105"/>
      <c r="T848" s="106"/>
    </row>
    <row r="849" ht="12.75" customHeight="1">
      <c r="S849" s="105"/>
      <c r="T849" s="106"/>
    </row>
    <row r="850" ht="12.75" customHeight="1">
      <c r="S850" s="105"/>
      <c r="T850" s="106"/>
    </row>
    <row r="851" ht="12.75" customHeight="1">
      <c r="S851" s="105"/>
      <c r="T851" s="106"/>
    </row>
    <row r="852" ht="12.75" customHeight="1">
      <c r="S852" s="105"/>
      <c r="T852" s="106"/>
    </row>
    <row r="853" ht="12.75" customHeight="1">
      <c r="S853" s="105"/>
      <c r="T853" s="106"/>
    </row>
    <row r="854" ht="12.75" customHeight="1">
      <c r="S854" s="105"/>
      <c r="T854" s="106"/>
    </row>
    <row r="855" ht="12.75" customHeight="1">
      <c r="S855" s="105"/>
      <c r="T855" s="106"/>
    </row>
    <row r="856" ht="12.75" customHeight="1">
      <c r="S856" s="105"/>
      <c r="T856" s="106"/>
    </row>
    <row r="857" ht="12.75" customHeight="1">
      <c r="S857" s="105"/>
      <c r="T857" s="106"/>
    </row>
    <row r="858" ht="12.75" customHeight="1">
      <c r="S858" s="105"/>
      <c r="T858" s="106"/>
    </row>
    <row r="859" ht="12.75" customHeight="1">
      <c r="S859" s="105"/>
      <c r="T859" s="106"/>
    </row>
    <row r="860" ht="12.75" customHeight="1">
      <c r="S860" s="105"/>
      <c r="T860" s="106"/>
    </row>
    <row r="861" ht="12.75" customHeight="1">
      <c r="S861" s="105"/>
      <c r="T861" s="106"/>
    </row>
    <row r="862" ht="12.75" customHeight="1">
      <c r="S862" s="105"/>
      <c r="T862" s="106"/>
    </row>
    <row r="863" ht="12.75" customHeight="1">
      <c r="S863" s="105"/>
      <c r="T863" s="106"/>
    </row>
    <row r="864" ht="12.75" customHeight="1">
      <c r="S864" s="105"/>
      <c r="T864" s="106"/>
    </row>
    <row r="865" ht="12.75" customHeight="1">
      <c r="S865" s="105"/>
      <c r="T865" s="106"/>
    </row>
    <row r="866" ht="12.75" customHeight="1">
      <c r="S866" s="105"/>
      <c r="T866" s="106"/>
    </row>
    <row r="867" ht="12.75" customHeight="1">
      <c r="S867" s="105"/>
      <c r="T867" s="106"/>
    </row>
    <row r="868" ht="12.75" customHeight="1">
      <c r="S868" s="105"/>
      <c r="T868" s="106"/>
    </row>
    <row r="869" ht="12.75" customHeight="1">
      <c r="S869" s="105"/>
      <c r="T869" s="106"/>
    </row>
    <row r="870" ht="12.75" customHeight="1">
      <c r="S870" s="105"/>
      <c r="T870" s="106"/>
    </row>
    <row r="871" ht="12.75" customHeight="1">
      <c r="S871" s="105"/>
      <c r="T871" s="106"/>
    </row>
    <row r="872" ht="12.75" customHeight="1">
      <c r="S872" s="105"/>
      <c r="T872" s="106"/>
    </row>
    <row r="873" ht="12.75" customHeight="1">
      <c r="S873" s="105"/>
      <c r="T873" s="106"/>
    </row>
    <row r="874" ht="12.75" customHeight="1">
      <c r="S874" s="105"/>
      <c r="T874" s="106"/>
    </row>
    <row r="875" ht="12.75" customHeight="1">
      <c r="S875" s="105"/>
      <c r="T875" s="106"/>
    </row>
    <row r="876" ht="12.75" customHeight="1">
      <c r="S876" s="105"/>
      <c r="T876" s="106"/>
    </row>
    <row r="877" ht="12.75" customHeight="1">
      <c r="S877" s="105"/>
      <c r="T877" s="106"/>
    </row>
    <row r="878" ht="12.75" customHeight="1">
      <c r="S878" s="105"/>
      <c r="T878" s="106"/>
    </row>
    <row r="879" ht="12.75" customHeight="1">
      <c r="S879" s="105"/>
      <c r="T879" s="106"/>
    </row>
    <row r="880" ht="12.75" customHeight="1">
      <c r="S880" s="105"/>
      <c r="T880" s="106"/>
    </row>
    <row r="881" ht="12.75" customHeight="1">
      <c r="S881" s="105"/>
      <c r="T881" s="106"/>
    </row>
    <row r="882" ht="12.75" customHeight="1">
      <c r="S882" s="105"/>
      <c r="T882" s="106"/>
    </row>
    <row r="883" ht="12.75" customHeight="1">
      <c r="S883" s="105"/>
      <c r="T883" s="106"/>
    </row>
    <row r="884" ht="12.75" customHeight="1">
      <c r="S884" s="105"/>
      <c r="T884" s="106"/>
    </row>
    <row r="885" ht="12.75" customHeight="1">
      <c r="S885" s="105"/>
      <c r="T885" s="106"/>
    </row>
    <row r="886" ht="12.75" customHeight="1">
      <c r="S886" s="105"/>
      <c r="T886" s="106"/>
    </row>
    <row r="887" ht="12.75" customHeight="1">
      <c r="S887" s="105"/>
      <c r="T887" s="106"/>
    </row>
    <row r="888" ht="12.75" customHeight="1">
      <c r="S888" s="105"/>
      <c r="T888" s="106"/>
    </row>
    <row r="889" ht="12.75" customHeight="1">
      <c r="S889" s="105"/>
      <c r="T889" s="106"/>
    </row>
    <row r="890" ht="12.75" customHeight="1">
      <c r="S890" s="105"/>
      <c r="T890" s="106"/>
    </row>
    <row r="891" ht="12.75" customHeight="1">
      <c r="S891" s="105"/>
      <c r="T891" s="106"/>
    </row>
    <row r="892" ht="12.75" customHeight="1">
      <c r="S892" s="105"/>
      <c r="T892" s="106"/>
    </row>
    <row r="893" ht="12.75" customHeight="1">
      <c r="S893" s="105"/>
      <c r="T893" s="106"/>
    </row>
    <row r="894" ht="12.75" customHeight="1">
      <c r="S894" s="105"/>
      <c r="T894" s="106"/>
    </row>
    <row r="895" ht="12.75" customHeight="1">
      <c r="S895" s="105"/>
      <c r="T895" s="106"/>
    </row>
    <row r="896" ht="12.75" customHeight="1">
      <c r="S896" s="105"/>
      <c r="T896" s="106"/>
    </row>
    <row r="897" ht="12.75" customHeight="1">
      <c r="S897" s="105"/>
      <c r="T897" s="106"/>
    </row>
    <row r="898" ht="12.75" customHeight="1">
      <c r="S898" s="105"/>
      <c r="T898" s="106"/>
    </row>
    <row r="899" ht="12.75" customHeight="1">
      <c r="S899" s="105"/>
      <c r="T899" s="106"/>
    </row>
    <row r="900" ht="12.75" customHeight="1">
      <c r="S900" s="105"/>
      <c r="T900" s="106"/>
    </row>
    <row r="901" ht="12.75" customHeight="1">
      <c r="S901" s="105"/>
      <c r="T901" s="106"/>
    </row>
    <row r="902" ht="12.75" customHeight="1">
      <c r="S902" s="105"/>
      <c r="T902" s="106"/>
    </row>
    <row r="903" ht="12.75" customHeight="1">
      <c r="S903" s="105"/>
      <c r="T903" s="106"/>
    </row>
    <row r="904" ht="12.75" customHeight="1">
      <c r="S904" s="105"/>
      <c r="T904" s="106"/>
    </row>
    <row r="905" ht="12.75" customHeight="1">
      <c r="S905" s="105"/>
      <c r="T905" s="106"/>
    </row>
    <row r="906" ht="12.75" customHeight="1">
      <c r="S906" s="105"/>
      <c r="T906" s="106"/>
    </row>
    <row r="907" ht="12.75" customHeight="1">
      <c r="S907" s="105"/>
      <c r="T907" s="106"/>
    </row>
    <row r="908" ht="12.75" customHeight="1">
      <c r="S908" s="105"/>
      <c r="T908" s="106"/>
    </row>
    <row r="909" ht="12.75" customHeight="1">
      <c r="S909" s="105"/>
      <c r="T909" s="106"/>
    </row>
    <row r="910" ht="12.75" customHeight="1">
      <c r="S910" s="105"/>
      <c r="T910" s="106"/>
    </row>
    <row r="911" ht="12.75" customHeight="1">
      <c r="S911" s="105"/>
      <c r="T911" s="106"/>
    </row>
    <row r="912" ht="12.75" customHeight="1">
      <c r="S912" s="105"/>
      <c r="T912" s="106"/>
    </row>
    <row r="913" ht="12.75" customHeight="1">
      <c r="S913" s="105"/>
      <c r="T913" s="106"/>
    </row>
    <row r="914" ht="12.75" customHeight="1">
      <c r="S914" s="105"/>
      <c r="T914" s="106"/>
    </row>
    <row r="915" ht="12.75" customHeight="1">
      <c r="S915" s="105"/>
      <c r="T915" s="106"/>
    </row>
    <row r="916" ht="12.75" customHeight="1">
      <c r="S916" s="105"/>
      <c r="T916" s="106"/>
    </row>
    <row r="917" ht="12.75" customHeight="1">
      <c r="S917" s="105"/>
      <c r="T917" s="106"/>
    </row>
    <row r="918" ht="12.75" customHeight="1">
      <c r="S918" s="105"/>
      <c r="T918" s="106"/>
    </row>
    <row r="919" ht="12.75" customHeight="1">
      <c r="S919" s="105"/>
      <c r="T919" s="106"/>
    </row>
    <row r="920" ht="12.75" customHeight="1">
      <c r="S920" s="105"/>
      <c r="T920" s="106"/>
    </row>
    <row r="921" ht="12.75" customHeight="1">
      <c r="S921" s="105"/>
      <c r="T921" s="106"/>
    </row>
    <row r="922" ht="12.75" customHeight="1">
      <c r="S922" s="105"/>
      <c r="T922" s="106"/>
    </row>
    <row r="923" ht="12.75" customHeight="1">
      <c r="S923" s="105"/>
      <c r="T923" s="106"/>
    </row>
    <row r="924" ht="12.75" customHeight="1">
      <c r="S924" s="105"/>
      <c r="T924" s="106"/>
    </row>
    <row r="925" ht="12.75" customHeight="1">
      <c r="S925" s="105"/>
      <c r="T925" s="106"/>
    </row>
    <row r="926" ht="12.75" customHeight="1">
      <c r="S926" s="105"/>
      <c r="T926" s="106"/>
    </row>
    <row r="927" ht="12.75" customHeight="1">
      <c r="S927" s="105"/>
      <c r="T927" s="106"/>
    </row>
    <row r="928" ht="12.75" customHeight="1">
      <c r="S928" s="105"/>
      <c r="T928" s="106"/>
    </row>
    <row r="929" ht="12.75" customHeight="1">
      <c r="S929" s="105"/>
      <c r="T929" s="106"/>
    </row>
    <row r="930" ht="12.75" customHeight="1">
      <c r="S930" s="105"/>
      <c r="T930" s="106"/>
    </row>
    <row r="931" ht="12.75" customHeight="1">
      <c r="S931" s="105"/>
      <c r="T931" s="106"/>
    </row>
    <row r="932" ht="12.75" customHeight="1">
      <c r="S932" s="105"/>
      <c r="T932" s="106"/>
    </row>
    <row r="933" ht="12.75" customHeight="1">
      <c r="S933" s="105"/>
      <c r="T933" s="106"/>
    </row>
    <row r="934" ht="12.75" customHeight="1">
      <c r="S934" s="105"/>
      <c r="T934" s="106"/>
    </row>
    <row r="935" ht="12.75" customHeight="1">
      <c r="S935" s="105"/>
      <c r="T935" s="106"/>
    </row>
    <row r="936" ht="12.75" customHeight="1">
      <c r="S936" s="105"/>
      <c r="T936" s="106"/>
    </row>
    <row r="937" ht="12.75" customHeight="1">
      <c r="S937" s="105"/>
      <c r="T937" s="106"/>
    </row>
    <row r="938" ht="12.75" customHeight="1">
      <c r="S938" s="105"/>
      <c r="T938" s="106"/>
    </row>
    <row r="939" ht="12.75" customHeight="1">
      <c r="S939" s="105"/>
      <c r="T939" s="106"/>
    </row>
    <row r="940" ht="12.75" customHeight="1">
      <c r="S940" s="105"/>
      <c r="T940" s="106"/>
    </row>
    <row r="941" ht="12.75" customHeight="1">
      <c r="S941" s="105"/>
      <c r="T941" s="106"/>
    </row>
    <row r="942" ht="12.75" customHeight="1">
      <c r="S942" s="105"/>
      <c r="T942" s="106"/>
    </row>
    <row r="943" ht="12.75" customHeight="1">
      <c r="S943" s="105"/>
      <c r="T943" s="106"/>
    </row>
    <row r="944" ht="12.75" customHeight="1">
      <c r="S944" s="105"/>
      <c r="T944" s="106"/>
    </row>
    <row r="945" ht="12.75" customHeight="1">
      <c r="S945" s="105"/>
      <c r="T945" s="106"/>
    </row>
    <row r="946" ht="12.75" customHeight="1">
      <c r="S946" s="105"/>
      <c r="T946" s="106"/>
    </row>
    <row r="947" ht="12.75" customHeight="1">
      <c r="S947" s="105"/>
      <c r="T947" s="106"/>
    </row>
    <row r="948" ht="12.75" customHeight="1">
      <c r="S948" s="105"/>
      <c r="T948" s="106"/>
    </row>
    <row r="949" ht="12.75" customHeight="1">
      <c r="S949" s="105"/>
      <c r="T949" s="106"/>
    </row>
    <row r="950" ht="12.75" customHeight="1">
      <c r="S950" s="105"/>
      <c r="T950" s="106"/>
    </row>
    <row r="951" ht="12.75" customHeight="1">
      <c r="S951" s="105"/>
      <c r="T951" s="106"/>
    </row>
    <row r="952" ht="12.75" customHeight="1">
      <c r="S952" s="105"/>
      <c r="T952" s="106"/>
    </row>
    <row r="953" ht="12.75" customHeight="1">
      <c r="S953" s="105"/>
      <c r="T953" s="106"/>
    </row>
    <row r="954" ht="12.75" customHeight="1">
      <c r="S954" s="105"/>
      <c r="T954" s="106"/>
    </row>
    <row r="955" ht="12.75" customHeight="1">
      <c r="S955" s="105"/>
      <c r="T955" s="106"/>
    </row>
    <row r="956" ht="12.75" customHeight="1">
      <c r="S956" s="105"/>
      <c r="T956" s="106"/>
    </row>
    <row r="957" ht="12.75" customHeight="1">
      <c r="S957" s="105"/>
      <c r="T957" s="106"/>
    </row>
    <row r="958" ht="12.75" customHeight="1">
      <c r="S958" s="105"/>
      <c r="T958" s="106"/>
    </row>
    <row r="959" ht="12.75" customHeight="1">
      <c r="S959" s="105"/>
      <c r="T959" s="106"/>
    </row>
    <row r="960" ht="12.75" customHeight="1">
      <c r="S960" s="105"/>
      <c r="T960" s="106"/>
    </row>
    <row r="961" ht="12.75" customHeight="1">
      <c r="S961" s="105"/>
      <c r="T961" s="106"/>
    </row>
    <row r="962" ht="12.75" customHeight="1">
      <c r="S962" s="105"/>
      <c r="T962" s="106"/>
    </row>
    <row r="963" ht="12.75" customHeight="1">
      <c r="S963" s="105"/>
      <c r="T963" s="106"/>
    </row>
    <row r="964" ht="12.75" customHeight="1">
      <c r="S964" s="105"/>
      <c r="T964" s="106"/>
    </row>
    <row r="965" ht="12.75" customHeight="1">
      <c r="S965" s="105"/>
      <c r="T965" s="106"/>
    </row>
    <row r="966" ht="12.75" customHeight="1">
      <c r="S966" s="105"/>
      <c r="T966" s="106"/>
    </row>
    <row r="967" ht="12.75" customHeight="1">
      <c r="S967" s="105"/>
      <c r="T967" s="106"/>
    </row>
    <row r="968" ht="12.75" customHeight="1">
      <c r="S968" s="105"/>
      <c r="T968" s="106"/>
    </row>
    <row r="969" ht="12.75" customHeight="1">
      <c r="S969" s="105"/>
      <c r="T969" s="106"/>
    </row>
    <row r="970" ht="12.75" customHeight="1">
      <c r="S970" s="105"/>
      <c r="T970" s="106"/>
    </row>
    <row r="971" ht="12.75" customHeight="1">
      <c r="S971" s="105"/>
      <c r="T971" s="106"/>
    </row>
    <row r="972" ht="12.75" customHeight="1">
      <c r="S972" s="105"/>
      <c r="T972" s="106"/>
    </row>
    <row r="973" ht="12.75" customHeight="1">
      <c r="S973" s="105"/>
      <c r="T973" s="106"/>
    </row>
    <row r="974" ht="12.75" customHeight="1">
      <c r="S974" s="105"/>
      <c r="T974" s="106"/>
    </row>
    <row r="975" ht="12.75" customHeight="1">
      <c r="S975" s="105"/>
      <c r="T975" s="106"/>
    </row>
    <row r="976" ht="12.75" customHeight="1">
      <c r="S976" s="105"/>
      <c r="T976" s="106"/>
    </row>
    <row r="977" ht="12.75" customHeight="1">
      <c r="S977" s="105"/>
      <c r="T977" s="106"/>
    </row>
    <row r="978" ht="12.75" customHeight="1">
      <c r="S978" s="105"/>
      <c r="T978" s="106"/>
    </row>
    <row r="979" ht="12.75" customHeight="1">
      <c r="S979" s="105"/>
      <c r="T979" s="106"/>
    </row>
    <row r="980" ht="12.75" customHeight="1">
      <c r="S980" s="105"/>
      <c r="T980" s="106"/>
    </row>
    <row r="981" ht="12.75" customHeight="1">
      <c r="S981" s="105"/>
      <c r="T981" s="106"/>
    </row>
    <row r="982" ht="12.75" customHeight="1">
      <c r="S982" s="105"/>
      <c r="T982" s="106"/>
    </row>
    <row r="983" ht="12.75" customHeight="1">
      <c r="S983" s="105"/>
      <c r="T983" s="106"/>
    </row>
    <row r="984" ht="12.75" customHeight="1">
      <c r="S984" s="105"/>
      <c r="T984" s="106"/>
    </row>
    <row r="985" ht="12.75" customHeight="1">
      <c r="S985" s="105"/>
      <c r="T985" s="106"/>
    </row>
    <row r="986" ht="12.75" customHeight="1">
      <c r="S986" s="105"/>
      <c r="T986" s="106"/>
    </row>
    <row r="987" ht="12.75" customHeight="1">
      <c r="S987" s="105"/>
      <c r="T987" s="106"/>
    </row>
    <row r="988" ht="12.75" customHeight="1">
      <c r="S988" s="105"/>
      <c r="T988" s="106"/>
    </row>
    <row r="989" ht="12.75" customHeight="1">
      <c r="S989" s="105"/>
      <c r="T989" s="106"/>
    </row>
    <row r="990" ht="12.75" customHeight="1">
      <c r="S990" s="105"/>
      <c r="T990" s="106"/>
    </row>
    <row r="991" ht="12.75" customHeight="1">
      <c r="S991" s="105"/>
      <c r="T991" s="106"/>
    </row>
    <row r="992" ht="12.75" customHeight="1">
      <c r="S992" s="105"/>
      <c r="T992" s="106"/>
    </row>
    <row r="993" ht="12.75" customHeight="1">
      <c r="S993" s="105"/>
      <c r="T993" s="106"/>
    </row>
    <row r="994" ht="12.75" customHeight="1">
      <c r="S994" s="105"/>
      <c r="T994" s="106"/>
    </row>
    <row r="995" ht="12.75" customHeight="1">
      <c r="S995" s="105"/>
      <c r="T995" s="106"/>
    </row>
    <row r="996" ht="12.75" customHeight="1">
      <c r="S996" s="105"/>
      <c r="T996" s="106"/>
    </row>
    <row r="997" ht="12.75" customHeight="1">
      <c r="S997" s="105"/>
      <c r="T997" s="106"/>
    </row>
    <row r="998" ht="12.75" customHeight="1">
      <c r="S998" s="105"/>
      <c r="T998" s="106"/>
    </row>
    <row r="999" ht="12.75" customHeight="1">
      <c r="S999" s="105"/>
      <c r="T999" s="106"/>
    </row>
    <row r="1000" ht="12.75" customHeight="1">
      <c r="S1000" s="105"/>
      <c r="T1000" s="106"/>
    </row>
    <row r="1001" ht="12.75" customHeight="1">
      <c r="S1001" s="105"/>
      <c r="T1001" s="106"/>
    </row>
  </sheetData>
  <autoFilter ref="$A$9:$Z$253">
    <filterColumn colId="24">
      <colorFilter dxfId="4"/>
    </filterColumn>
  </autoFilter>
  <mergeCells count="2">
    <mergeCell ref="A2:W2"/>
    <mergeCell ref="A3:W3"/>
  </mergeCells>
  <hyperlinks>
    <hyperlink r:id="rId1" ref="V89"/>
  </hyperlinks>
  <printOptions/>
  <pageMargins bottom="0.75" footer="0.0" header="0.0" left="0.25" right="0.25" top="0.75"/>
  <pageSetup paperSize="9" orientation="landscape"/>
  <drawing r:id="rId2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workbookViewId="0"/>
  </sheetViews>
  <sheetFormatPr customHeight="1" defaultColWidth="14.43" defaultRowHeight="15.0"/>
  <cols>
    <col customWidth="1" min="1" max="1" width="4.29"/>
    <col customWidth="1" min="2" max="2" width="27.14"/>
    <col customWidth="1" min="3" max="3" width="18.71"/>
    <col customWidth="1" min="4" max="4" width="21.29"/>
    <col customWidth="1" min="5" max="5" width="7.29"/>
    <col customWidth="1" min="6" max="6" width="16.71"/>
    <col customWidth="1" min="7" max="7" width="10.57"/>
    <col customWidth="1" min="8" max="8" width="6.29"/>
    <col customWidth="1" min="9" max="9" width="31.14"/>
    <col customWidth="1" min="10" max="10" width="24.43"/>
    <col customWidth="1" min="11" max="11" width="23.14"/>
    <col customWidth="1" min="12" max="12" width="17.0"/>
    <col customWidth="1" min="13" max="13" width="15.43"/>
    <col customWidth="1" min="14" max="14" width="61.71"/>
    <col customWidth="1" min="15" max="26" width="8.71"/>
  </cols>
  <sheetData>
    <row r="1" ht="14.25" customHeight="1">
      <c r="H1" s="105"/>
    </row>
    <row r="2" ht="14.25" customHeight="1">
      <c r="A2" s="1" t="s">
        <v>0</v>
      </c>
    </row>
    <row r="3" ht="14.25" customHeight="1">
      <c r="A3" s="1" t="s">
        <v>1</v>
      </c>
    </row>
    <row r="4" ht="14.25" customHeight="1">
      <c r="H4" s="105"/>
    </row>
    <row r="5" ht="14.25" customHeight="1">
      <c r="H5" s="105"/>
    </row>
    <row r="6" ht="14.25" customHeight="1">
      <c r="A6" s="2" t="s">
        <v>2</v>
      </c>
      <c r="C6" s="2" t="s">
        <v>3</v>
      </c>
      <c r="H6" s="105"/>
    </row>
    <row r="7" ht="14.25" customHeight="1">
      <c r="A7" s="2" t="s">
        <v>4</v>
      </c>
      <c r="C7" s="2" t="s">
        <v>5</v>
      </c>
      <c r="H7" s="105"/>
    </row>
    <row r="8" ht="14.25" customHeight="1">
      <c r="A8" s="2" t="s">
        <v>6</v>
      </c>
      <c r="C8" s="2" t="s">
        <v>1879</v>
      </c>
      <c r="H8" s="105"/>
    </row>
    <row r="9" ht="14.25" customHeight="1">
      <c r="A9" s="124" t="s">
        <v>8</v>
      </c>
      <c r="B9" s="125" t="s">
        <v>9</v>
      </c>
      <c r="C9" s="125" t="s">
        <v>10</v>
      </c>
      <c r="D9" s="125" t="s">
        <v>11</v>
      </c>
      <c r="E9" s="125" t="s">
        <v>12</v>
      </c>
      <c r="F9" s="125" t="s">
        <v>13</v>
      </c>
      <c r="G9" s="125" t="s">
        <v>14</v>
      </c>
      <c r="H9" s="125" t="s">
        <v>15</v>
      </c>
      <c r="I9" s="125" t="s">
        <v>1880</v>
      </c>
      <c r="J9" s="125" t="s">
        <v>16</v>
      </c>
      <c r="K9" s="125" t="s">
        <v>17</v>
      </c>
      <c r="L9" s="125" t="s">
        <v>1881</v>
      </c>
      <c r="M9" s="125" t="s">
        <v>1882</v>
      </c>
      <c r="N9" s="125" t="s">
        <v>1883</v>
      </c>
    </row>
    <row r="10" ht="14.25" customHeight="1">
      <c r="A10" s="126"/>
      <c r="B10" s="127" t="s">
        <v>1884</v>
      </c>
      <c r="C10" s="128"/>
      <c r="D10" s="128"/>
      <c r="E10" s="128"/>
      <c r="F10" s="129">
        <v>1.81325E9</v>
      </c>
      <c r="G10" s="128"/>
      <c r="H10" s="128"/>
      <c r="I10" s="128"/>
      <c r="J10" s="128"/>
      <c r="K10" s="128"/>
      <c r="L10" s="128"/>
      <c r="M10" s="128"/>
      <c r="N10" s="130"/>
    </row>
    <row r="11" ht="14.25" customHeight="1">
      <c r="A11" s="131">
        <v>1.0</v>
      </c>
      <c r="B11" s="132" t="s">
        <v>1885</v>
      </c>
      <c r="C11" s="132" t="s">
        <v>1886</v>
      </c>
      <c r="D11" s="132" t="s">
        <v>1887</v>
      </c>
      <c r="E11" s="132" t="s">
        <v>931</v>
      </c>
      <c r="F11" s="133">
        <v>8.5E7</v>
      </c>
      <c r="G11" s="132" t="s">
        <v>885</v>
      </c>
      <c r="H11" s="132">
        <v>2000.0</v>
      </c>
      <c r="I11" s="134"/>
      <c r="J11" s="135" t="s">
        <v>1888</v>
      </c>
      <c r="K11" s="132" t="s">
        <v>1889</v>
      </c>
      <c r="L11" s="132" t="s">
        <v>1890</v>
      </c>
      <c r="M11" s="135" t="s">
        <v>1891</v>
      </c>
      <c r="N11" s="132" t="s">
        <v>1892</v>
      </c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</row>
    <row r="12" ht="14.25" customHeight="1">
      <c r="A12" s="136">
        <v>2.0</v>
      </c>
      <c r="B12" s="137" t="s">
        <v>1885</v>
      </c>
      <c r="C12" s="137" t="s">
        <v>1893</v>
      </c>
      <c r="D12" s="137" t="s">
        <v>1887</v>
      </c>
      <c r="E12" s="137" t="s">
        <v>70</v>
      </c>
      <c r="F12" s="138">
        <v>2.655E8</v>
      </c>
      <c r="G12" s="137" t="s">
        <v>885</v>
      </c>
      <c r="H12" s="137">
        <v>2012.0</v>
      </c>
      <c r="I12" s="139"/>
      <c r="J12" s="140" t="s">
        <v>1894</v>
      </c>
      <c r="K12" s="141" t="s">
        <v>1895</v>
      </c>
      <c r="L12" s="137" t="s">
        <v>1896</v>
      </c>
      <c r="M12" s="140" t="s">
        <v>1897</v>
      </c>
      <c r="N12" s="137" t="s">
        <v>1898</v>
      </c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</row>
    <row r="13" ht="14.25" customHeight="1">
      <c r="A13" s="142">
        <v>3.0</v>
      </c>
      <c r="B13" s="143" t="s">
        <v>1885</v>
      </c>
      <c r="C13" s="143" t="s">
        <v>1899</v>
      </c>
      <c r="D13" s="143" t="s">
        <v>1887</v>
      </c>
      <c r="E13" s="143" t="s">
        <v>70</v>
      </c>
      <c r="F13" s="144">
        <v>1.946E8</v>
      </c>
      <c r="G13" s="143" t="s">
        <v>885</v>
      </c>
      <c r="H13" s="143">
        <v>2013.0</v>
      </c>
      <c r="I13" s="145"/>
      <c r="J13" s="140" t="s">
        <v>1900</v>
      </c>
      <c r="K13" s="143" t="s">
        <v>1901</v>
      </c>
      <c r="L13" s="143" t="s">
        <v>1902</v>
      </c>
      <c r="M13" s="140" t="s">
        <v>1903</v>
      </c>
      <c r="N13" s="143" t="s">
        <v>1904</v>
      </c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</row>
    <row r="14" ht="14.25" customHeight="1">
      <c r="A14" s="136">
        <v>4.0</v>
      </c>
      <c r="B14" s="137" t="s">
        <v>1885</v>
      </c>
      <c r="C14" s="137" t="s">
        <v>1899</v>
      </c>
      <c r="D14" s="137" t="s">
        <v>1887</v>
      </c>
      <c r="E14" s="137" t="s">
        <v>70</v>
      </c>
      <c r="F14" s="138">
        <v>1.946E8</v>
      </c>
      <c r="G14" s="137" t="s">
        <v>885</v>
      </c>
      <c r="H14" s="137">
        <v>2013.0</v>
      </c>
      <c r="I14" s="137" t="s">
        <v>25</v>
      </c>
      <c r="J14" s="140" t="s">
        <v>1905</v>
      </c>
      <c r="K14" s="137" t="s">
        <v>1906</v>
      </c>
      <c r="L14" s="137" t="s">
        <v>1907</v>
      </c>
      <c r="M14" s="140" t="s">
        <v>1908</v>
      </c>
      <c r="N14" s="137" t="s">
        <v>1909</v>
      </c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</row>
    <row r="15" ht="14.25" customHeight="1">
      <c r="A15" s="142">
        <v>5.0</v>
      </c>
      <c r="B15" s="143" t="s">
        <v>1885</v>
      </c>
      <c r="C15" s="143" t="s">
        <v>1910</v>
      </c>
      <c r="D15" s="143" t="s">
        <v>1887</v>
      </c>
      <c r="E15" s="143" t="s">
        <v>70</v>
      </c>
      <c r="F15" s="144">
        <v>2.1785E8</v>
      </c>
      <c r="G15" s="143" t="s">
        <v>885</v>
      </c>
      <c r="H15" s="143">
        <v>2013.0</v>
      </c>
      <c r="I15" s="146"/>
      <c r="J15" s="140" t="s">
        <v>1911</v>
      </c>
      <c r="K15" s="143" t="s">
        <v>1912</v>
      </c>
      <c r="L15" s="143" t="s">
        <v>1913</v>
      </c>
      <c r="M15" s="140" t="s">
        <v>1914</v>
      </c>
      <c r="N15" s="143" t="s">
        <v>1915</v>
      </c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</row>
    <row r="16" ht="14.25" customHeight="1">
      <c r="A16" s="136">
        <v>6.0</v>
      </c>
      <c r="B16" s="137" t="s">
        <v>1885</v>
      </c>
      <c r="C16" s="137" t="s">
        <v>1910</v>
      </c>
      <c r="D16" s="137" t="s">
        <v>1887</v>
      </c>
      <c r="E16" s="137" t="s">
        <v>70</v>
      </c>
      <c r="F16" s="138">
        <v>2.1785E8</v>
      </c>
      <c r="G16" s="137" t="s">
        <v>885</v>
      </c>
      <c r="H16" s="137">
        <v>2013.0</v>
      </c>
      <c r="I16" s="147"/>
      <c r="J16" s="140" t="s">
        <v>1916</v>
      </c>
      <c r="K16" s="137" t="s">
        <v>1917</v>
      </c>
      <c r="L16" s="137" t="s">
        <v>1918</v>
      </c>
      <c r="M16" s="140" t="s">
        <v>1919</v>
      </c>
      <c r="N16" s="137" t="s">
        <v>1920</v>
      </c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</row>
    <row r="17" ht="14.25" customHeight="1">
      <c r="A17" s="142">
        <v>7.0</v>
      </c>
      <c r="B17" s="143" t="s">
        <v>1885</v>
      </c>
      <c r="C17" s="143" t="s">
        <v>1910</v>
      </c>
      <c r="D17" s="143" t="s">
        <v>1887</v>
      </c>
      <c r="E17" s="143" t="s">
        <v>70</v>
      </c>
      <c r="F17" s="144">
        <v>2.1785E8</v>
      </c>
      <c r="G17" s="143" t="s">
        <v>885</v>
      </c>
      <c r="H17" s="143">
        <v>2013.0</v>
      </c>
      <c r="I17" s="146"/>
      <c r="J17" s="140" t="s">
        <v>1921</v>
      </c>
      <c r="K17" s="143" t="s">
        <v>1922</v>
      </c>
      <c r="L17" s="143" t="s">
        <v>1923</v>
      </c>
      <c r="M17" s="140" t="s">
        <v>1924</v>
      </c>
      <c r="N17" s="143" t="s">
        <v>1925</v>
      </c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</row>
    <row r="18" ht="14.25" customHeight="1">
      <c r="A18" s="136">
        <v>8.0</v>
      </c>
      <c r="B18" s="137" t="s">
        <v>1926</v>
      </c>
      <c r="C18" s="137" t="s">
        <v>1927</v>
      </c>
      <c r="D18" s="137" t="s">
        <v>1887</v>
      </c>
      <c r="E18" s="137" t="s">
        <v>70</v>
      </c>
      <c r="F18" s="138">
        <v>4.2E8</v>
      </c>
      <c r="G18" s="137" t="s">
        <v>1928</v>
      </c>
      <c r="H18" s="137">
        <v>2014.0</v>
      </c>
      <c r="I18" s="147"/>
      <c r="J18" s="140" t="s">
        <v>1929</v>
      </c>
      <c r="K18" s="137" t="s">
        <v>1930</v>
      </c>
      <c r="L18" s="137" t="s">
        <v>1931</v>
      </c>
      <c r="M18" s="140" t="s">
        <v>1932</v>
      </c>
      <c r="N18" s="137" t="s">
        <v>1898</v>
      </c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</row>
    <row r="19" ht="14.25" customHeight="1">
      <c r="A19" s="126"/>
      <c r="B19" s="127" t="s">
        <v>1933</v>
      </c>
      <c r="C19" s="128"/>
      <c r="D19" s="128"/>
      <c r="E19" s="128"/>
      <c r="F19" s="129">
        <v>4.2126164E9</v>
      </c>
      <c r="G19" s="128"/>
      <c r="H19" s="128"/>
      <c r="I19" s="128"/>
      <c r="J19" s="128"/>
      <c r="K19" s="128"/>
      <c r="L19" s="128"/>
      <c r="M19" s="128"/>
      <c r="N19" s="130"/>
    </row>
    <row r="20" ht="14.25" customHeight="1">
      <c r="A20" s="136">
        <v>1.0</v>
      </c>
      <c r="B20" s="137" t="s">
        <v>1934</v>
      </c>
      <c r="C20" s="137" t="s">
        <v>1935</v>
      </c>
      <c r="D20" s="137" t="s">
        <v>1887</v>
      </c>
      <c r="E20" s="137" t="s">
        <v>70</v>
      </c>
      <c r="F20" s="138">
        <v>3.0E8</v>
      </c>
      <c r="G20" s="137" t="s">
        <v>885</v>
      </c>
      <c r="H20" s="137">
        <v>2012.0</v>
      </c>
      <c r="I20" s="147"/>
      <c r="J20" s="140" t="s">
        <v>1936</v>
      </c>
      <c r="K20" s="137" t="s">
        <v>1937</v>
      </c>
      <c r="L20" s="137" t="s">
        <v>1938</v>
      </c>
      <c r="M20" s="140" t="s">
        <v>1939</v>
      </c>
      <c r="N20" s="137" t="s">
        <v>1940</v>
      </c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</row>
    <row r="21" ht="14.25" customHeight="1">
      <c r="A21" s="131">
        <v>2.0</v>
      </c>
      <c r="B21" s="132" t="s">
        <v>908</v>
      </c>
      <c r="C21" s="132" t="s">
        <v>1941</v>
      </c>
      <c r="D21" s="132" t="s">
        <v>1887</v>
      </c>
      <c r="E21" s="132" t="s">
        <v>931</v>
      </c>
      <c r="F21" s="133">
        <v>2.1875E7</v>
      </c>
      <c r="G21" s="132" t="s">
        <v>1025</v>
      </c>
      <c r="H21" s="132">
        <v>2014.0</v>
      </c>
      <c r="I21" s="148"/>
      <c r="J21" s="135" t="s">
        <v>1942</v>
      </c>
      <c r="K21" s="132" t="s">
        <v>1943</v>
      </c>
      <c r="L21" s="132" t="s">
        <v>1944</v>
      </c>
      <c r="M21" s="135" t="s">
        <v>1945</v>
      </c>
      <c r="N21" s="132" t="s">
        <v>1892</v>
      </c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</row>
    <row r="22" ht="14.25" customHeight="1">
      <c r="A22" s="136">
        <v>3.0</v>
      </c>
      <c r="B22" s="137" t="s">
        <v>1934</v>
      </c>
      <c r="C22" s="137" t="s">
        <v>1946</v>
      </c>
      <c r="D22" s="137" t="s">
        <v>1887</v>
      </c>
      <c r="E22" s="137" t="s">
        <v>70</v>
      </c>
      <c r="F22" s="138">
        <v>2.944824E8</v>
      </c>
      <c r="G22" s="137" t="s">
        <v>1947</v>
      </c>
      <c r="H22" s="137">
        <v>2014.0</v>
      </c>
      <c r="I22" s="147"/>
      <c r="J22" s="140" t="s">
        <v>1948</v>
      </c>
      <c r="K22" s="137" t="s">
        <v>1949</v>
      </c>
      <c r="L22" s="137" t="s">
        <v>1950</v>
      </c>
      <c r="M22" s="140" t="s">
        <v>1951</v>
      </c>
      <c r="N22" s="137" t="s">
        <v>1940</v>
      </c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</row>
    <row r="23" ht="14.25" customHeight="1">
      <c r="A23" s="142">
        <v>4.0</v>
      </c>
      <c r="B23" s="143" t="s">
        <v>1934</v>
      </c>
      <c r="C23" s="143" t="s">
        <v>1952</v>
      </c>
      <c r="D23" s="143" t="s">
        <v>1887</v>
      </c>
      <c r="E23" s="143" t="s">
        <v>70</v>
      </c>
      <c r="F23" s="144">
        <v>5.83448E8</v>
      </c>
      <c r="G23" s="143" t="s">
        <v>1953</v>
      </c>
      <c r="H23" s="149">
        <v>2025.0</v>
      </c>
      <c r="I23" s="145"/>
      <c r="J23" s="140" t="s">
        <v>1954</v>
      </c>
      <c r="K23" s="143" t="s">
        <v>1955</v>
      </c>
      <c r="L23" s="143" t="s">
        <v>1956</v>
      </c>
      <c r="M23" s="140" t="s">
        <v>1957</v>
      </c>
      <c r="N23" s="14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</row>
    <row r="24" ht="14.25" customHeight="1">
      <c r="A24" s="136">
        <v>5.0</v>
      </c>
      <c r="B24" s="137" t="s">
        <v>1934</v>
      </c>
      <c r="C24" s="137" t="s">
        <v>1952</v>
      </c>
      <c r="D24" s="137" t="s">
        <v>1887</v>
      </c>
      <c r="E24" s="137" t="s">
        <v>70</v>
      </c>
      <c r="F24" s="138">
        <v>5.83448E8</v>
      </c>
      <c r="G24" s="137" t="s">
        <v>1953</v>
      </c>
      <c r="H24" s="150">
        <v>2025.0</v>
      </c>
      <c r="I24" s="147"/>
      <c r="J24" s="140" t="s">
        <v>1958</v>
      </c>
      <c r="K24" s="137" t="s">
        <v>1959</v>
      </c>
      <c r="L24" s="137" t="s">
        <v>1960</v>
      </c>
      <c r="M24" s="140" t="s">
        <v>1961</v>
      </c>
      <c r="N24" s="147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</row>
    <row r="25" ht="14.25" customHeight="1">
      <c r="A25" s="142">
        <v>6.0</v>
      </c>
      <c r="B25" s="143" t="s">
        <v>1934</v>
      </c>
      <c r="C25" s="143" t="s">
        <v>1952</v>
      </c>
      <c r="D25" s="143" t="s">
        <v>1887</v>
      </c>
      <c r="E25" s="143" t="s">
        <v>70</v>
      </c>
      <c r="F25" s="144">
        <v>5.83448E8</v>
      </c>
      <c r="G25" s="143" t="s">
        <v>1953</v>
      </c>
      <c r="H25" s="149">
        <v>2025.0</v>
      </c>
      <c r="I25" s="145"/>
      <c r="J25" s="140" t="s">
        <v>1962</v>
      </c>
      <c r="K25" s="143" t="s">
        <v>1963</v>
      </c>
      <c r="L25" s="143" t="s">
        <v>1964</v>
      </c>
      <c r="M25" s="140" t="s">
        <v>1965</v>
      </c>
      <c r="N25" s="14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</row>
    <row r="26" ht="14.25" customHeight="1">
      <c r="A26" s="136">
        <v>7.0</v>
      </c>
      <c r="B26" s="137" t="s">
        <v>1934</v>
      </c>
      <c r="C26" s="137" t="s">
        <v>1952</v>
      </c>
      <c r="D26" s="137" t="s">
        <v>1887</v>
      </c>
      <c r="E26" s="137" t="s">
        <v>70</v>
      </c>
      <c r="F26" s="138">
        <v>5.83448E8</v>
      </c>
      <c r="G26" s="137" t="s">
        <v>1953</v>
      </c>
      <c r="H26" s="150">
        <v>2025.0</v>
      </c>
      <c r="I26" s="147"/>
      <c r="J26" s="140" t="s">
        <v>1966</v>
      </c>
      <c r="K26" s="137" t="s">
        <v>1967</v>
      </c>
      <c r="L26" s="137" t="s">
        <v>1968</v>
      </c>
      <c r="M26" s="140" t="s">
        <v>1969</v>
      </c>
      <c r="N26" s="147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</row>
    <row r="27" ht="14.25" customHeight="1">
      <c r="A27" s="142">
        <v>8.0</v>
      </c>
      <c r="B27" s="143" t="s">
        <v>1934</v>
      </c>
      <c r="C27" s="143" t="s">
        <v>1952</v>
      </c>
      <c r="D27" s="143" t="s">
        <v>1887</v>
      </c>
      <c r="E27" s="143" t="s">
        <v>70</v>
      </c>
      <c r="F27" s="144">
        <v>5.83448E8</v>
      </c>
      <c r="G27" s="143" t="s">
        <v>1953</v>
      </c>
      <c r="H27" s="149">
        <v>2025.0</v>
      </c>
      <c r="I27" s="145"/>
      <c r="J27" s="140" t="s">
        <v>1970</v>
      </c>
      <c r="K27" s="143" t="s">
        <v>1971</v>
      </c>
      <c r="L27" s="143" t="s">
        <v>1972</v>
      </c>
      <c r="M27" s="140" t="s">
        <v>1973</v>
      </c>
      <c r="N27" s="14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</row>
    <row r="28" ht="14.25" customHeight="1">
      <c r="A28" s="136">
        <v>9.0</v>
      </c>
      <c r="B28" s="137" t="s">
        <v>1934</v>
      </c>
      <c r="C28" s="137" t="s">
        <v>1974</v>
      </c>
      <c r="D28" s="137" t="s">
        <v>1887</v>
      </c>
      <c r="E28" s="137" t="s">
        <v>70</v>
      </c>
      <c r="F28" s="138">
        <v>6.79019E8</v>
      </c>
      <c r="G28" s="137" t="s">
        <v>1953</v>
      </c>
      <c r="H28" s="150">
        <v>2025.0</v>
      </c>
      <c r="I28" s="147"/>
      <c r="J28" s="140" t="s">
        <v>1975</v>
      </c>
      <c r="K28" s="137" t="s">
        <v>1976</v>
      </c>
      <c r="L28" s="137" t="s">
        <v>1977</v>
      </c>
      <c r="M28" s="140" t="s">
        <v>1978</v>
      </c>
      <c r="N28" s="147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</row>
    <row r="29" ht="14.25" customHeight="1">
      <c r="A29" s="126"/>
      <c r="B29" s="127" t="s">
        <v>99</v>
      </c>
      <c r="C29" s="128"/>
      <c r="D29" s="128"/>
      <c r="E29" s="128"/>
      <c r="F29" s="129">
        <v>9.696395E8</v>
      </c>
      <c r="G29" s="128"/>
      <c r="H29" s="128"/>
      <c r="I29" s="128"/>
      <c r="J29" s="128"/>
      <c r="K29" s="128"/>
      <c r="L29" s="128"/>
      <c r="M29" s="128"/>
      <c r="N29" s="130"/>
    </row>
    <row r="30" ht="14.25" customHeight="1">
      <c r="A30" s="151">
        <v>1.0</v>
      </c>
      <c r="B30" s="152" t="s">
        <v>100</v>
      </c>
      <c r="C30" s="153" t="s">
        <v>1979</v>
      </c>
      <c r="D30" s="152" t="s">
        <v>1887</v>
      </c>
      <c r="E30" s="152" t="s">
        <v>931</v>
      </c>
      <c r="F30" s="154">
        <v>5000000.0</v>
      </c>
      <c r="G30" s="152" t="s">
        <v>1579</v>
      </c>
      <c r="H30" s="152">
        <v>2000.0</v>
      </c>
      <c r="I30" s="155"/>
      <c r="J30" s="135" t="s">
        <v>1980</v>
      </c>
      <c r="K30" s="152" t="s">
        <v>1981</v>
      </c>
      <c r="L30" s="152" t="s">
        <v>1982</v>
      </c>
      <c r="M30" s="135" t="s">
        <v>1983</v>
      </c>
      <c r="N30" s="152" t="s">
        <v>1892</v>
      </c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</row>
    <row r="31" ht="14.25" customHeight="1">
      <c r="A31" s="131">
        <v>2.0</v>
      </c>
      <c r="B31" s="132" t="s">
        <v>100</v>
      </c>
      <c r="C31" s="132" t="s">
        <v>1984</v>
      </c>
      <c r="D31" s="132" t="s">
        <v>1887</v>
      </c>
      <c r="E31" s="132" t="s">
        <v>931</v>
      </c>
      <c r="F31" s="133">
        <v>6000000.0</v>
      </c>
      <c r="G31" s="132" t="s">
        <v>1579</v>
      </c>
      <c r="H31" s="132">
        <v>2001.0</v>
      </c>
      <c r="I31" s="134"/>
      <c r="J31" s="132" t="s">
        <v>1985</v>
      </c>
      <c r="K31" s="132" t="s">
        <v>1986</v>
      </c>
      <c r="L31" s="132" t="s">
        <v>1987</v>
      </c>
      <c r="M31" s="134"/>
      <c r="N31" s="132" t="s">
        <v>1988</v>
      </c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</row>
    <row r="32" ht="14.25" customHeight="1">
      <c r="A32" s="151">
        <v>3.0</v>
      </c>
      <c r="B32" s="152" t="s">
        <v>100</v>
      </c>
      <c r="C32" s="152" t="s">
        <v>1989</v>
      </c>
      <c r="D32" s="152" t="s">
        <v>1887</v>
      </c>
      <c r="E32" s="152" t="s">
        <v>931</v>
      </c>
      <c r="F32" s="154">
        <v>8000000.0</v>
      </c>
      <c r="G32" s="152" t="s">
        <v>1579</v>
      </c>
      <c r="H32" s="152">
        <v>2004.0</v>
      </c>
      <c r="I32" s="155"/>
      <c r="J32" s="135" t="s">
        <v>1990</v>
      </c>
      <c r="K32" s="152" t="s">
        <v>1991</v>
      </c>
      <c r="L32" s="152" t="s">
        <v>1992</v>
      </c>
      <c r="M32" s="135" t="s">
        <v>1993</v>
      </c>
      <c r="N32" s="152" t="s">
        <v>1892</v>
      </c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</row>
    <row r="33" ht="14.25" customHeight="1">
      <c r="A33" s="131">
        <v>4.0</v>
      </c>
      <c r="B33" s="132" t="s">
        <v>100</v>
      </c>
      <c r="C33" s="132" t="s">
        <v>1989</v>
      </c>
      <c r="D33" s="132" t="s">
        <v>1887</v>
      </c>
      <c r="E33" s="132" t="s">
        <v>931</v>
      </c>
      <c r="F33" s="133">
        <v>8000000.0</v>
      </c>
      <c r="G33" s="132" t="s">
        <v>1579</v>
      </c>
      <c r="H33" s="132">
        <v>2004.0</v>
      </c>
      <c r="I33" s="134"/>
      <c r="J33" s="135" t="s">
        <v>1994</v>
      </c>
      <c r="K33" s="132" t="s">
        <v>1995</v>
      </c>
      <c r="L33" s="132" t="s">
        <v>1996</v>
      </c>
      <c r="M33" s="135" t="s">
        <v>1997</v>
      </c>
      <c r="N33" s="132" t="s">
        <v>1998</v>
      </c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</row>
    <row r="34" ht="14.25" customHeight="1">
      <c r="A34" s="151">
        <v>5.0</v>
      </c>
      <c r="B34" s="152" t="s">
        <v>100</v>
      </c>
      <c r="C34" s="152" t="s">
        <v>1989</v>
      </c>
      <c r="D34" s="152" t="s">
        <v>1887</v>
      </c>
      <c r="E34" s="152" t="s">
        <v>931</v>
      </c>
      <c r="F34" s="154">
        <v>8000000.0</v>
      </c>
      <c r="G34" s="152" t="s">
        <v>1579</v>
      </c>
      <c r="H34" s="152">
        <v>2004.0</v>
      </c>
      <c r="I34" s="155"/>
      <c r="J34" s="152" t="s">
        <v>1999</v>
      </c>
      <c r="K34" s="152" t="s">
        <v>2000</v>
      </c>
      <c r="L34" s="152" t="s">
        <v>2001</v>
      </c>
      <c r="M34" s="155"/>
      <c r="N34" s="152" t="s">
        <v>2002</v>
      </c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</row>
    <row r="35" ht="14.25" customHeight="1">
      <c r="A35" s="131">
        <v>6.0</v>
      </c>
      <c r="B35" s="132" t="s">
        <v>100</v>
      </c>
      <c r="C35" s="132" t="s">
        <v>2003</v>
      </c>
      <c r="D35" s="132" t="s">
        <v>1887</v>
      </c>
      <c r="E35" s="132" t="s">
        <v>931</v>
      </c>
      <c r="F35" s="133">
        <v>7000000.0</v>
      </c>
      <c r="G35" s="132" t="s">
        <v>1579</v>
      </c>
      <c r="H35" s="132">
        <v>2004.0</v>
      </c>
      <c r="I35" s="134"/>
      <c r="J35" s="135" t="s">
        <v>2004</v>
      </c>
      <c r="K35" s="132" t="s">
        <v>2005</v>
      </c>
      <c r="L35" s="132" t="s">
        <v>2006</v>
      </c>
      <c r="M35" s="135" t="s">
        <v>2007</v>
      </c>
      <c r="N35" s="132" t="s">
        <v>2008</v>
      </c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</row>
    <row r="36" ht="14.25" customHeight="1">
      <c r="A36" s="136">
        <v>7.0</v>
      </c>
      <c r="B36" s="137" t="s">
        <v>100</v>
      </c>
      <c r="C36" s="141" t="s">
        <v>2009</v>
      </c>
      <c r="D36" s="137" t="s">
        <v>1887</v>
      </c>
      <c r="E36" s="137" t="s">
        <v>70</v>
      </c>
      <c r="F36" s="138">
        <v>1.7755E7</v>
      </c>
      <c r="G36" s="137" t="s">
        <v>1579</v>
      </c>
      <c r="H36" s="137">
        <v>2009.0</v>
      </c>
      <c r="I36" s="147"/>
      <c r="J36" s="140" t="s">
        <v>2010</v>
      </c>
      <c r="K36" s="137" t="s">
        <v>2011</v>
      </c>
      <c r="L36" s="137" t="s">
        <v>2012</v>
      </c>
      <c r="M36" s="140" t="s">
        <v>2013</v>
      </c>
      <c r="N36" s="137" t="s">
        <v>2014</v>
      </c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</row>
    <row r="37" ht="14.25" customHeight="1">
      <c r="A37" s="142">
        <v>8.0</v>
      </c>
      <c r="B37" s="143" t="s">
        <v>100</v>
      </c>
      <c r="C37" s="143" t="s">
        <v>2015</v>
      </c>
      <c r="D37" s="143" t="s">
        <v>1887</v>
      </c>
      <c r="E37" s="143" t="s">
        <v>70</v>
      </c>
      <c r="F37" s="144">
        <v>1.7755E7</v>
      </c>
      <c r="G37" s="143" t="s">
        <v>1579</v>
      </c>
      <c r="H37" s="143">
        <v>2009.0</v>
      </c>
      <c r="I37" s="143" t="s">
        <v>25</v>
      </c>
      <c r="J37" s="143" t="s">
        <v>2016</v>
      </c>
      <c r="K37" s="156" t="s">
        <v>2017</v>
      </c>
      <c r="L37" s="143" t="s">
        <v>2018</v>
      </c>
      <c r="M37" s="145"/>
      <c r="N37" s="14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</row>
    <row r="38" ht="14.25" customHeight="1">
      <c r="A38" s="136">
        <v>9.0</v>
      </c>
      <c r="B38" s="137" t="s">
        <v>100</v>
      </c>
      <c r="C38" s="137" t="s">
        <v>2019</v>
      </c>
      <c r="D38" s="137" t="s">
        <v>1887</v>
      </c>
      <c r="E38" s="137" t="s">
        <v>70</v>
      </c>
      <c r="F38" s="138">
        <v>1.7755E7</v>
      </c>
      <c r="G38" s="137" t="s">
        <v>1579</v>
      </c>
      <c r="H38" s="137">
        <v>2009.0</v>
      </c>
      <c r="I38" s="137" t="s">
        <v>25</v>
      </c>
      <c r="J38" s="140" t="s">
        <v>2020</v>
      </c>
      <c r="K38" s="137" t="s">
        <v>2021</v>
      </c>
      <c r="L38" s="137" t="s">
        <v>2022</v>
      </c>
      <c r="M38" s="140" t="s">
        <v>2023</v>
      </c>
      <c r="N38" s="137" t="s">
        <v>2024</v>
      </c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</row>
    <row r="39" ht="14.25" customHeight="1">
      <c r="A39" s="142">
        <v>10.0</v>
      </c>
      <c r="B39" s="143" t="s">
        <v>100</v>
      </c>
      <c r="C39" s="143" t="s">
        <v>2015</v>
      </c>
      <c r="D39" s="143" t="s">
        <v>1887</v>
      </c>
      <c r="E39" s="143" t="s">
        <v>70</v>
      </c>
      <c r="F39" s="144">
        <v>1.7755E7</v>
      </c>
      <c r="G39" s="143" t="s">
        <v>1579</v>
      </c>
      <c r="H39" s="143">
        <v>2009.0</v>
      </c>
      <c r="I39" s="143" t="s">
        <v>25</v>
      </c>
      <c r="J39" s="140" t="s">
        <v>2025</v>
      </c>
      <c r="K39" s="143" t="s">
        <v>2026</v>
      </c>
      <c r="L39" s="143" t="s">
        <v>2027</v>
      </c>
      <c r="M39" s="140" t="s">
        <v>2028</v>
      </c>
      <c r="N39" s="143" t="s">
        <v>2029</v>
      </c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</row>
    <row r="40" ht="14.25" customHeight="1">
      <c r="A40" s="151">
        <v>11.0</v>
      </c>
      <c r="B40" s="152" t="s">
        <v>100</v>
      </c>
      <c r="C40" s="152" t="s">
        <v>2015</v>
      </c>
      <c r="D40" s="152" t="s">
        <v>1887</v>
      </c>
      <c r="E40" s="152" t="s">
        <v>931</v>
      </c>
      <c r="F40" s="154">
        <v>1.7755E7</v>
      </c>
      <c r="G40" s="152" t="s">
        <v>1579</v>
      </c>
      <c r="H40" s="152">
        <v>2009.0</v>
      </c>
      <c r="I40" s="155"/>
      <c r="J40" s="135" t="s">
        <v>2030</v>
      </c>
      <c r="K40" s="152" t="s">
        <v>2031</v>
      </c>
      <c r="L40" s="152" t="s">
        <v>2032</v>
      </c>
      <c r="M40" s="135" t="s">
        <v>2033</v>
      </c>
      <c r="N40" s="15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</row>
    <row r="41" ht="14.25" customHeight="1">
      <c r="A41" s="142">
        <v>12.0</v>
      </c>
      <c r="B41" s="143" t="s">
        <v>100</v>
      </c>
      <c r="C41" s="143" t="s">
        <v>2034</v>
      </c>
      <c r="D41" s="143" t="s">
        <v>1887</v>
      </c>
      <c r="E41" s="143" t="s">
        <v>70</v>
      </c>
      <c r="F41" s="144">
        <v>1.8075E7</v>
      </c>
      <c r="G41" s="143" t="s">
        <v>1579</v>
      </c>
      <c r="H41" s="143">
        <v>2011.0</v>
      </c>
      <c r="I41" s="143" t="s">
        <v>2035</v>
      </c>
      <c r="J41" s="157" t="s">
        <v>2036</v>
      </c>
      <c r="K41" s="143" t="s">
        <v>2037</v>
      </c>
      <c r="L41" s="143" t="s">
        <v>2038</v>
      </c>
      <c r="M41" s="157" t="s">
        <v>2039</v>
      </c>
      <c r="N41" s="143" t="s">
        <v>2040</v>
      </c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</row>
    <row r="42" ht="14.25" customHeight="1">
      <c r="A42" s="136">
        <v>13.0</v>
      </c>
      <c r="B42" s="137" t="s">
        <v>100</v>
      </c>
      <c r="C42" s="137" t="s">
        <v>2034</v>
      </c>
      <c r="D42" s="137" t="s">
        <v>1887</v>
      </c>
      <c r="E42" s="137" t="s">
        <v>70</v>
      </c>
      <c r="F42" s="138">
        <v>1.8075E7</v>
      </c>
      <c r="G42" s="137" t="s">
        <v>1579</v>
      </c>
      <c r="H42" s="137">
        <v>2011.0</v>
      </c>
      <c r="I42" s="137" t="s">
        <v>2035</v>
      </c>
      <c r="J42" s="137" t="s">
        <v>2041</v>
      </c>
      <c r="K42" s="137" t="s">
        <v>2042</v>
      </c>
      <c r="L42" s="137" t="s">
        <v>2043</v>
      </c>
      <c r="M42" s="147"/>
      <c r="N42" s="137" t="s">
        <v>2044</v>
      </c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 ht="14.25" customHeight="1">
      <c r="A43" s="142">
        <v>14.0</v>
      </c>
      <c r="B43" s="143" t="s">
        <v>100</v>
      </c>
      <c r="C43" s="143" t="s">
        <v>2034</v>
      </c>
      <c r="D43" s="143" t="s">
        <v>1887</v>
      </c>
      <c r="E43" s="143" t="s">
        <v>70</v>
      </c>
      <c r="F43" s="144">
        <v>1.8075E7</v>
      </c>
      <c r="G43" s="143" t="s">
        <v>1579</v>
      </c>
      <c r="H43" s="143">
        <v>2011.0</v>
      </c>
      <c r="I43" s="143" t="s">
        <v>2035</v>
      </c>
      <c r="J43" s="143" t="s">
        <v>2045</v>
      </c>
      <c r="K43" s="143" t="s">
        <v>2046</v>
      </c>
      <c r="L43" s="143" t="s">
        <v>2047</v>
      </c>
      <c r="M43" s="143" t="s">
        <v>2048</v>
      </c>
      <c r="N43" s="143" t="s">
        <v>2049</v>
      </c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 ht="14.25" customHeight="1">
      <c r="A44" s="136">
        <v>15.0</v>
      </c>
      <c r="B44" s="137" t="s">
        <v>100</v>
      </c>
      <c r="C44" s="137" t="s">
        <v>2034</v>
      </c>
      <c r="D44" s="137" t="s">
        <v>1887</v>
      </c>
      <c r="E44" s="137" t="s">
        <v>70</v>
      </c>
      <c r="F44" s="138">
        <v>1.8075E7</v>
      </c>
      <c r="G44" s="137" t="s">
        <v>1579</v>
      </c>
      <c r="H44" s="137">
        <v>2011.0</v>
      </c>
      <c r="I44" s="137" t="s">
        <v>25</v>
      </c>
      <c r="J44" s="157" t="s">
        <v>2050</v>
      </c>
      <c r="K44" s="137" t="s">
        <v>2051</v>
      </c>
      <c r="L44" s="137" t="s">
        <v>2052</v>
      </c>
      <c r="M44" s="157" t="s">
        <v>2053</v>
      </c>
      <c r="N44" s="137" t="s">
        <v>2054</v>
      </c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 ht="14.25" customHeight="1">
      <c r="A45" s="142">
        <v>16.0</v>
      </c>
      <c r="B45" s="143" t="s">
        <v>100</v>
      </c>
      <c r="C45" s="143" t="s">
        <v>2055</v>
      </c>
      <c r="D45" s="143" t="s">
        <v>1887</v>
      </c>
      <c r="E45" s="143" t="s">
        <v>70</v>
      </c>
      <c r="F45" s="144">
        <v>1.45E7</v>
      </c>
      <c r="G45" s="143" t="s">
        <v>1579</v>
      </c>
      <c r="H45" s="143">
        <v>2011.0</v>
      </c>
      <c r="I45" s="143" t="s">
        <v>25</v>
      </c>
      <c r="J45" s="143" t="s">
        <v>2056</v>
      </c>
      <c r="K45" s="143" t="s">
        <v>2057</v>
      </c>
      <c r="L45" s="143" t="s">
        <v>2058</v>
      </c>
      <c r="M45" s="143" t="s">
        <v>2059</v>
      </c>
      <c r="N45" s="143" t="s">
        <v>1988</v>
      </c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 ht="14.25" customHeight="1">
      <c r="A46" s="136">
        <v>17.0</v>
      </c>
      <c r="B46" s="137" t="s">
        <v>100</v>
      </c>
      <c r="C46" s="137" t="s">
        <v>2034</v>
      </c>
      <c r="D46" s="137" t="s">
        <v>1887</v>
      </c>
      <c r="E46" s="137" t="s">
        <v>70</v>
      </c>
      <c r="F46" s="138">
        <v>1.77072E7</v>
      </c>
      <c r="G46" s="137" t="s">
        <v>1579</v>
      </c>
      <c r="H46" s="137">
        <v>2012.0</v>
      </c>
      <c r="I46" s="137" t="s">
        <v>25</v>
      </c>
      <c r="J46" s="157" t="s">
        <v>2060</v>
      </c>
      <c r="K46" s="137" t="s">
        <v>2061</v>
      </c>
      <c r="L46" s="137" t="s">
        <v>2062</v>
      </c>
      <c r="M46" s="157" t="s">
        <v>2063</v>
      </c>
      <c r="N46" s="137" t="s">
        <v>2064</v>
      </c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 ht="14.25" customHeight="1">
      <c r="A47" s="142">
        <v>18.0</v>
      </c>
      <c r="B47" s="143" t="s">
        <v>100</v>
      </c>
      <c r="C47" s="143" t="s">
        <v>2034</v>
      </c>
      <c r="D47" s="143" t="s">
        <v>1887</v>
      </c>
      <c r="E47" s="143" t="s">
        <v>70</v>
      </c>
      <c r="F47" s="144">
        <v>1.77072E7</v>
      </c>
      <c r="G47" s="143" t="s">
        <v>1579</v>
      </c>
      <c r="H47" s="143">
        <v>2012.0</v>
      </c>
      <c r="I47" s="143" t="s">
        <v>25</v>
      </c>
      <c r="J47" s="143" t="s">
        <v>2065</v>
      </c>
      <c r="K47" s="156" t="s">
        <v>2066</v>
      </c>
      <c r="L47" s="143" t="s">
        <v>2067</v>
      </c>
      <c r="M47" s="145"/>
      <c r="N47" s="14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 ht="14.25" customHeight="1">
      <c r="A48" s="136">
        <v>19.0</v>
      </c>
      <c r="B48" s="137" t="s">
        <v>100</v>
      </c>
      <c r="C48" s="137" t="s">
        <v>2034</v>
      </c>
      <c r="D48" s="137" t="s">
        <v>1887</v>
      </c>
      <c r="E48" s="137" t="s">
        <v>70</v>
      </c>
      <c r="F48" s="138">
        <v>1.77072E7</v>
      </c>
      <c r="G48" s="137" t="s">
        <v>1579</v>
      </c>
      <c r="H48" s="137">
        <v>2012.0</v>
      </c>
      <c r="I48" s="137" t="s">
        <v>25</v>
      </c>
      <c r="J48" s="157" t="s">
        <v>2068</v>
      </c>
      <c r="K48" s="137" t="s">
        <v>2069</v>
      </c>
      <c r="L48" s="137" t="s">
        <v>2070</v>
      </c>
      <c r="M48" s="157" t="s">
        <v>2071</v>
      </c>
      <c r="N48" s="137" t="s">
        <v>2072</v>
      </c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ht="14.25" customHeight="1">
      <c r="A49" s="142">
        <v>20.0</v>
      </c>
      <c r="B49" s="143" t="s">
        <v>100</v>
      </c>
      <c r="C49" s="143" t="s">
        <v>2034</v>
      </c>
      <c r="D49" s="143" t="s">
        <v>1887</v>
      </c>
      <c r="E49" s="143" t="s">
        <v>70</v>
      </c>
      <c r="F49" s="144">
        <v>1.77072E7</v>
      </c>
      <c r="G49" s="143" t="s">
        <v>1579</v>
      </c>
      <c r="H49" s="143">
        <v>2012.0</v>
      </c>
      <c r="I49" s="143" t="s">
        <v>25</v>
      </c>
      <c r="J49" s="143" t="s">
        <v>2073</v>
      </c>
      <c r="K49" s="143" t="s">
        <v>2074</v>
      </c>
      <c r="L49" s="143" t="s">
        <v>2075</v>
      </c>
      <c r="M49" s="143" t="s">
        <v>2076</v>
      </c>
      <c r="N49" s="143" t="s">
        <v>2077</v>
      </c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ht="14.25" customHeight="1">
      <c r="A50" s="136">
        <v>21.0</v>
      </c>
      <c r="B50" s="137" t="s">
        <v>100</v>
      </c>
      <c r="C50" s="137" t="s">
        <v>2034</v>
      </c>
      <c r="D50" s="137" t="s">
        <v>1887</v>
      </c>
      <c r="E50" s="137" t="s">
        <v>70</v>
      </c>
      <c r="F50" s="138">
        <v>1.77072E7</v>
      </c>
      <c r="G50" s="137" t="s">
        <v>1579</v>
      </c>
      <c r="H50" s="137">
        <v>2012.0</v>
      </c>
      <c r="I50" s="137" t="s">
        <v>25</v>
      </c>
      <c r="J50" s="157" t="s">
        <v>2078</v>
      </c>
      <c r="K50" s="137" t="s">
        <v>2079</v>
      </c>
      <c r="L50" s="137" t="s">
        <v>2080</v>
      </c>
      <c r="M50" s="157" t="s">
        <v>2081</v>
      </c>
      <c r="N50" s="137" t="s">
        <v>2082</v>
      </c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ht="14.25" customHeight="1">
      <c r="A51" s="142">
        <v>22.0</v>
      </c>
      <c r="B51" s="143" t="s">
        <v>100</v>
      </c>
      <c r="C51" s="143" t="s">
        <v>2083</v>
      </c>
      <c r="D51" s="143" t="s">
        <v>1887</v>
      </c>
      <c r="E51" s="143" t="s">
        <v>70</v>
      </c>
      <c r="F51" s="144">
        <v>2.0353E7</v>
      </c>
      <c r="G51" s="143" t="s">
        <v>1260</v>
      </c>
      <c r="H51" s="143">
        <v>2012.0</v>
      </c>
      <c r="I51" s="143" t="s">
        <v>2035</v>
      </c>
      <c r="J51" s="143" t="s">
        <v>2084</v>
      </c>
      <c r="K51" s="143" t="s">
        <v>2085</v>
      </c>
      <c r="L51" s="143" t="s">
        <v>2086</v>
      </c>
      <c r="M51" s="145"/>
      <c r="N51" s="143" t="s">
        <v>1988</v>
      </c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ht="14.25" customHeight="1">
      <c r="A52" s="136">
        <v>23.0</v>
      </c>
      <c r="B52" s="137" t="s">
        <v>100</v>
      </c>
      <c r="C52" s="137" t="s">
        <v>2087</v>
      </c>
      <c r="D52" s="137" t="s">
        <v>1887</v>
      </c>
      <c r="E52" s="137" t="s">
        <v>70</v>
      </c>
      <c r="F52" s="138">
        <v>1.653535E7</v>
      </c>
      <c r="G52" s="137" t="s">
        <v>1260</v>
      </c>
      <c r="H52" s="137">
        <v>2013.0</v>
      </c>
      <c r="I52" s="137" t="s">
        <v>2035</v>
      </c>
      <c r="J52" s="157" t="s">
        <v>2088</v>
      </c>
      <c r="K52" s="137" t="s">
        <v>2089</v>
      </c>
      <c r="L52" s="137" t="s">
        <v>2090</v>
      </c>
      <c r="M52" s="157" t="s">
        <v>2091</v>
      </c>
      <c r="N52" s="137" t="s">
        <v>2092</v>
      </c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ht="14.25" customHeight="1">
      <c r="A53" s="142">
        <v>24.0</v>
      </c>
      <c r="B53" s="143" t="s">
        <v>100</v>
      </c>
      <c r="C53" s="143" t="s">
        <v>2087</v>
      </c>
      <c r="D53" s="143" t="s">
        <v>1887</v>
      </c>
      <c r="E53" s="143" t="s">
        <v>70</v>
      </c>
      <c r="F53" s="144">
        <v>1.653535E7</v>
      </c>
      <c r="G53" s="143" t="s">
        <v>1260</v>
      </c>
      <c r="H53" s="143">
        <v>2013.0</v>
      </c>
      <c r="I53" s="145"/>
      <c r="J53" s="157" t="s">
        <v>2093</v>
      </c>
      <c r="K53" s="143" t="s">
        <v>2094</v>
      </c>
      <c r="L53" s="143" t="s">
        <v>2095</v>
      </c>
      <c r="M53" s="157" t="s">
        <v>2096</v>
      </c>
      <c r="N53" s="143" t="s">
        <v>2097</v>
      </c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ht="14.25" customHeight="1">
      <c r="A54" s="136">
        <v>25.0</v>
      </c>
      <c r="B54" s="137" t="s">
        <v>100</v>
      </c>
      <c r="C54" s="137" t="s">
        <v>2098</v>
      </c>
      <c r="D54" s="137" t="s">
        <v>1887</v>
      </c>
      <c r="E54" s="137" t="s">
        <v>70</v>
      </c>
      <c r="F54" s="138">
        <v>1.24163E7</v>
      </c>
      <c r="G54" s="137" t="s">
        <v>1260</v>
      </c>
      <c r="H54" s="137">
        <v>2013.0</v>
      </c>
      <c r="I54" s="137" t="s">
        <v>25</v>
      </c>
      <c r="J54" s="137" t="s">
        <v>2099</v>
      </c>
      <c r="K54" s="137" t="s">
        <v>2100</v>
      </c>
      <c r="L54" s="137" t="s">
        <v>2101</v>
      </c>
      <c r="M54" s="137" t="s">
        <v>2102</v>
      </c>
      <c r="N54" s="137" t="s">
        <v>2103</v>
      </c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ht="14.25" customHeight="1">
      <c r="A55" s="142">
        <v>26.0</v>
      </c>
      <c r="B55" s="143" t="s">
        <v>100</v>
      </c>
      <c r="C55" s="143" t="s">
        <v>2083</v>
      </c>
      <c r="D55" s="143" t="s">
        <v>1887</v>
      </c>
      <c r="E55" s="143" t="s">
        <v>70</v>
      </c>
      <c r="F55" s="144">
        <v>2.15465E7</v>
      </c>
      <c r="G55" s="143" t="s">
        <v>1260</v>
      </c>
      <c r="H55" s="143">
        <v>2013.0</v>
      </c>
      <c r="I55" s="143" t="s">
        <v>2035</v>
      </c>
      <c r="J55" s="157" t="s">
        <v>2104</v>
      </c>
      <c r="K55" s="143" t="s">
        <v>2105</v>
      </c>
      <c r="L55" s="143" t="s">
        <v>2106</v>
      </c>
      <c r="M55" s="157" t="s">
        <v>2107</v>
      </c>
      <c r="N55" s="143" t="s">
        <v>2108</v>
      </c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ht="14.25" customHeight="1">
      <c r="A56" s="136">
        <v>27.0</v>
      </c>
      <c r="B56" s="137" t="s">
        <v>100</v>
      </c>
      <c r="C56" s="137" t="s">
        <v>2083</v>
      </c>
      <c r="D56" s="137" t="s">
        <v>1887</v>
      </c>
      <c r="E56" s="137" t="s">
        <v>70</v>
      </c>
      <c r="F56" s="138">
        <v>2.15465E7</v>
      </c>
      <c r="G56" s="137" t="s">
        <v>1260</v>
      </c>
      <c r="H56" s="137">
        <v>2013.0</v>
      </c>
      <c r="I56" s="137" t="s">
        <v>25</v>
      </c>
      <c r="J56" s="137" t="s">
        <v>2109</v>
      </c>
      <c r="K56" s="137" t="s">
        <v>2110</v>
      </c>
      <c r="L56" s="137" t="s">
        <v>2111</v>
      </c>
      <c r="M56" s="137" t="s">
        <v>2112</v>
      </c>
      <c r="N56" s="137" t="s">
        <v>1988</v>
      </c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ht="14.25" customHeight="1">
      <c r="A57" s="142">
        <v>28.0</v>
      </c>
      <c r="B57" s="143" t="s">
        <v>100</v>
      </c>
      <c r="C57" s="143" t="s">
        <v>2113</v>
      </c>
      <c r="D57" s="143" t="s">
        <v>1887</v>
      </c>
      <c r="E57" s="143" t="s">
        <v>70</v>
      </c>
      <c r="F57" s="144">
        <v>2.3E7</v>
      </c>
      <c r="G57" s="143" t="s">
        <v>2114</v>
      </c>
      <c r="H57" s="143">
        <v>2013.0</v>
      </c>
      <c r="I57" s="145"/>
      <c r="J57" s="157" t="s">
        <v>2115</v>
      </c>
      <c r="K57" s="143" t="s">
        <v>2116</v>
      </c>
      <c r="L57" s="143" t="s">
        <v>2117</v>
      </c>
      <c r="M57" s="143" t="s">
        <v>2118</v>
      </c>
      <c r="N57" s="14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ht="14.25" customHeight="1">
      <c r="A58" s="136">
        <v>29.0</v>
      </c>
      <c r="B58" s="137" t="s">
        <v>100</v>
      </c>
      <c r="C58" s="137" t="s">
        <v>2113</v>
      </c>
      <c r="D58" s="137" t="s">
        <v>1887</v>
      </c>
      <c r="E58" s="137" t="s">
        <v>70</v>
      </c>
      <c r="F58" s="138">
        <v>2.3E7</v>
      </c>
      <c r="G58" s="137" t="s">
        <v>2114</v>
      </c>
      <c r="H58" s="137">
        <v>2013.0</v>
      </c>
      <c r="I58" s="147"/>
      <c r="J58" s="157" t="s">
        <v>2119</v>
      </c>
      <c r="K58" s="141" t="s">
        <v>2120</v>
      </c>
      <c r="L58" s="137" t="s">
        <v>2121</v>
      </c>
      <c r="M58" s="137" t="s">
        <v>2122</v>
      </c>
      <c r="N58" s="137" t="s">
        <v>2123</v>
      </c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ht="14.25" customHeight="1">
      <c r="A59" s="142">
        <v>30.0</v>
      </c>
      <c r="B59" s="143" t="s">
        <v>100</v>
      </c>
      <c r="C59" s="143" t="s">
        <v>2113</v>
      </c>
      <c r="D59" s="143" t="s">
        <v>1887</v>
      </c>
      <c r="E59" s="143" t="s">
        <v>70</v>
      </c>
      <c r="F59" s="144">
        <v>2.3E7</v>
      </c>
      <c r="G59" s="143" t="s">
        <v>2114</v>
      </c>
      <c r="H59" s="143">
        <v>2013.0</v>
      </c>
      <c r="I59" s="143" t="s">
        <v>25</v>
      </c>
      <c r="J59" s="143" t="s">
        <v>2124</v>
      </c>
      <c r="K59" s="143" t="s">
        <v>2125</v>
      </c>
      <c r="L59" s="143" t="s">
        <v>2126</v>
      </c>
      <c r="M59" s="143" t="s">
        <v>2127</v>
      </c>
      <c r="N59" s="14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ht="14.25" customHeight="1">
      <c r="A60" s="136">
        <v>31.0</v>
      </c>
      <c r="B60" s="137" t="s">
        <v>100</v>
      </c>
      <c r="C60" s="137" t="s">
        <v>2128</v>
      </c>
      <c r="D60" s="137" t="s">
        <v>1887</v>
      </c>
      <c r="E60" s="137" t="s">
        <v>70</v>
      </c>
      <c r="F60" s="138">
        <v>1.593955E8</v>
      </c>
      <c r="G60" s="137" t="s">
        <v>1260</v>
      </c>
      <c r="H60" s="137">
        <v>2014.0</v>
      </c>
      <c r="I60" s="137" t="s">
        <v>25</v>
      </c>
      <c r="J60" s="157" t="s">
        <v>2129</v>
      </c>
      <c r="K60" s="137" t="s">
        <v>2130</v>
      </c>
      <c r="L60" s="137" t="s">
        <v>2131</v>
      </c>
      <c r="M60" s="137" t="s">
        <v>2132</v>
      </c>
      <c r="N60" s="137" t="s">
        <v>2133</v>
      </c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>
      <c r="A61" s="158">
        <v>32.0</v>
      </c>
      <c r="B61" s="159" t="s">
        <v>100</v>
      </c>
      <c r="C61" s="159" t="s">
        <v>2134</v>
      </c>
      <c r="D61" s="159" t="s">
        <v>1887</v>
      </c>
      <c r="E61" s="159" t="s">
        <v>70</v>
      </c>
      <c r="F61" s="160">
        <v>2.23E7</v>
      </c>
      <c r="G61" s="143" t="s">
        <v>1260</v>
      </c>
      <c r="H61" s="159">
        <v>2014.0</v>
      </c>
      <c r="I61" s="159" t="s">
        <v>25</v>
      </c>
      <c r="J61" s="161" t="s">
        <v>2135</v>
      </c>
      <c r="K61" s="159" t="s">
        <v>2136</v>
      </c>
      <c r="L61" s="159" t="s">
        <v>2137</v>
      </c>
      <c r="M61" s="162" t="s">
        <v>2138</v>
      </c>
      <c r="N61" s="159" t="s">
        <v>2139</v>
      </c>
      <c r="O61" s="163"/>
      <c r="P61" s="163"/>
      <c r="Q61" s="163"/>
      <c r="R61" s="163"/>
      <c r="S61" s="163"/>
      <c r="T61" s="163"/>
      <c r="U61" s="163"/>
      <c r="V61" s="163"/>
      <c r="W61" s="163"/>
      <c r="X61" s="163"/>
      <c r="Y61" s="163"/>
      <c r="Z61" s="163"/>
    </row>
    <row r="62" ht="14.25" customHeight="1">
      <c r="A62" s="136">
        <v>33.0</v>
      </c>
      <c r="B62" s="137" t="s">
        <v>100</v>
      </c>
      <c r="C62" s="137" t="s">
        <v>2134</v>
      </c>
      <c r="D62" s="137" t="s">
        <v>1887</v>
      </c>
      <c r="E62" s="137" t="s">
        <v>70</v>
      </c>
      <c r="F62" s="138">
        <v>2.23E7</v>
      </c>
      <c r="G62" s="137" t="s">
        <v>1260</v>
      </c>
      <c r="H62" s="137">
        <v>2014.0</v>
      </c>
      <c r="I62" s="137" t="s">
        <v>25</v>
      </c>
      <c r="J62" s="157" t="s">
        <v>2140</v>
      </c>
      <c r="K62" s="137" t="s">
        <v>2141</v>
      </c>
      <c r="L62" s="137" t="s">
        <v>2142</v>
      </c>
      <c r="M62" s="137" t="s">
        <v>2143</v>
      </c>
      <c r="N62" s="137" t="s">
        <v>2144</v>
      </c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ht="14.25" customHeight="1">
      <c r="A63" s="142">
        <v>34.0</v>
      </c>
      <c r="B63" s="143" t="s">
        <v>100</v>
      </c>
      <c r="C63" s="143" t="s">
        <v>2145</v>
      </c>
      <c r="D63" s="143" t="s">
        <v>1887</v>
      </c>
      <c r="E63" s="143" t="s">
        <v>70</v>
      </c>
      <c r="F63" s="144">
        <v>1.6375E7</v>
      </c>
      <c r="G63" s="143" t="s">
        <v>1260</v>
      </c>
      <c r="H63" s="143">
        <v>2014.0</v>
      </c>
      <c r="I63" s="145"/>
      <c r="J63" s="157" t="s">
        <v>2146</v>
      </c>
      <c r="K63" s="143" t="s">
        <v>2147</v>
      </c>
      <c r="L63" s="143" t="s">
        <v>2148</v>
      </c>
      <c r="M63" s="143" t="s">
        <v>2149</v>
      </c>
      <c r="N63" s="14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4.25" customHeight="1">
      <c r="A64" s="136">
        <v>35.0</v>
      </c>
      <c r="B64" s="137" t="s">
        <v>100</v>
      </c>
      <c r="C64" s="137" t="s">
        <v>2150</v>
      </c>
      <c r="D64" s="137" t="s">
        <v>1887</v>
      </c>
      <c r="E64" s="137" t="s">
        <v>70</v>
      </c>
      <c r="F64" s="138">
        <v>1.6375E7</v>
      </c>
      <c r="G64" s="137" t="s">
        <v>1260</v>
      </c>
      <c r="H64" s="137">
        <v>2014.0</v>
      </c>
      <c r="I64" s="137" t="s">
        <v>25</v>
      </c>
      <c r="J64" s="157" t="s">
        <v>2151</v>
      </c>
      <c r="K64" s="137" t="s">
        <v>2152</v>
      </c>
      <c r="L64" s="137" t="s">
        <v>2153</v>
      </c>
      <c r="M64" s="137" t="s">
        <v>2154</v>
      </c>
      <c r="N64" s="137" t="s">
        <v>2155</v>
      </c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4.25" customHeight="1">
      <c r="A65" s="142">
        <v>36.0</v>
      </c>
      <c r="B65" s="143" t="s">
        <v>100</v>
      </c>
      <c r="C65" s="143" t="s">
        <v>2145</v>
      </c>
      <c r="D65" s="143" t="s">
        <v>1887</v>
      </c>
      <c r="E65" s="143" t="s">
        <v>70</v>
      </c>
      <c r="F65" s="144">
        <v>1.6375E7</v>
      </c>
      <c r="G65" s="143" t="s">
        <v>1260</v>
      </c>
      <c r="H65" s="143">
        <v>2014.0</v>
      </c>
      <c r="I65" s="143" t="s">
        <v>25</v>
      </c>
      <c r="J65" s="143" t="s">
        <v>2156</v>
      </c>
      <c r="K65" s="143" t="s">
        <v>2157</v>
      </c>
      <c r="L65" s="143" t="s">
        <v>2158</v>
      </c>
      <c r="M65" s="143" t="s">
        <v>2159</v>
      </c>
      <c r="N65" s="143" t="s">
        <v>2160</v>
      </c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4.25" customHeight="1">
      <c r="A66" s="136">
        <v>37.0</v>
      </c>
      <c r="B66" s="137" t="s">
        <v>100</v>
      </c>
      <c r="C66" s="137" t="s">
        <v>2161</v>
      </c>
      <c r="D66" s="137" t="s">
        <v>1887</v>
      </c>
      <c r="E66" s="137" t="s">
        <v>70</v>
      </c>
      <c r="F66" s="138">
        <v>1.1955E7</v>
      </c>
      <c r="G66" s="137" t="s">
        <v>1260</v>
      </c>
      <c r="H66" s="137">
        <v>2014.0</v>
      </c>
      <c r="I66" s="147"/>
      <c r="J66" s="157" t="s">
        <v>2162</v>
      </c>
      <c r="K66" s="137" t="s">
        <v>2163</v>
      </c>
      <c r="L66" s="137" t="s">
        <v>2164</v>
      </c>
      <c r="M66" s="137" t="s">
        <v>2165</v>
      </c>
      <c r="N66" s="137" t="s">
        <v>2166</v>
      </c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4.25" customHeight="1">
      <c r="A67" s="142">
        <v>38.0</v>
      </c>
      <c r="B67" s="143" t="s">
        <v>100</v>
      </c>
      <c r="C67" s="143" t="s">
        <v>2167</v>
      </c>
      <c r="D67" s="143" t="s">
        <v>1887</v>
      </c>
      <c r="E67" s="143" t="s">
        <v>70</v>
      </c>
      <c r="F67" s="144">
        <v>2.366E7</v>
      </c>
      <c r="G67" s="143" t="s">
        <v>1260</v>
      </c>
      <c r="H67" s="143">
        <v>2015.0</v>
      </c>
      <c r="I67" s="143" t="s">
        <v>777</v>
      </c>
      <c r="J67" s="157" t="s">
        <v>2168</v>
      </c>
      <c r="K67" s="143" t="s">
        <v>2169</v>
      </c>
      <c r="L67" s="143" t="s">
        <v>2170</v>
      </c>
      <c r="M67" s="143" t="s">
        <v>2171</v>
      </c>
      <c r="N67" s="143" t="s">
        <v>2172</v>
      </c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4.25" customHeight="1">
      <c r="A68" s="136">
        <v>39.0</v>
      </c>
      <c r="B68" s="137" t="s">
        <v>100</v>
      </c>
      <c r="C68" s="137" t="s">
        <v>2167</v>
      </c>
      <c r="D68" s="137" t="s">
        <v>1887</v>
      </c>
      <c r="E68" s="137" t="s">
        <v>70</v>
      </c>
      <c r="F68" s="138">
        <v>2.366E7</v>
      </c>
      <c r="G68" s="137" t="s">
        <v>1260</v>
      </c>
      <c r="H68" s="137">
        <v>2015.0</v>
      </c>
      <c r="I68" s="147"/>
      <c r="J68" s="157" t="s">
        <v>2173</v>
      </c>
      <c r="K68" s="137" t="s">
        <v>2174</v>
      </c>
      <c r="L68" s="137" t="s">
        <v>2175</v>
      </c>
      <c r="M68" s="137" t="s">
        <v>2176</v>
      </c>
      <c r="N68" s="137" t="s">
        <v>2177</v>
      </c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4.25" customHeight="1">
      <c r="A69" s="142">
        <v>40.0</v>
      </c>
      <c r="B69" s="143" t="s">
        <v>100</v>
      </c>
      <c r="C69" s="143" t="s">
        <v>2178</v>
      </c>
      <c r="D69" s="143" t="s">
        <v>1887</v>
      </c>
      <c r="E69" s="143" t="s">
        <v>70</v>
      </c>
      <c r="F69" s="144">
        <v>1.468E7</v>
      </c>
      <c r="G69" s="143" t="s">
        <v>1260</v>
      </c>
      <c r="H69" s="143">
        <v>2015.0</v>
      </c>
      <c r="I69" s="143" t="s">
        <v>2035</v>
      </c>
      <c r="J69" s="157" t="s">
        <v>2179</v>
      </c>
      <c r="K69" s="143" t="s">
        <v>2180</v>
      </c>
      <c r="L69" s="143" t="s">
        <v>2181</v>
      </c>
      <c r="M69" s="143" t="s">
        <v>2182</v>
      </c>
      <c r="N69" s="143" t="s">
        <v>2183</v>
      </c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4.25" customHeight="1">
      <c r="A70" s="136">
        <v>41.0</v>
      </c>
      <c r="B70" s="137" t="s">
        <v>100</v>
      </c>
      <c r="C70" s="137" t="s">
        <v>2184</v>
      </c>
      <c r="D70" s="137" t="s">
        <v>1887</v>
      </c>
      <c r="E70" s="137" t="s">
        <v>70</v>
      </c>
      <c r="F70" s="138">
        <v>2.78E7</v>
      </c>
      <c r="G70" s="137" t="s">
        <v>2114</v>
      </c>
      <c r="H70" s="137">
        <v>2016.0</v>
      </c>
      <c r="I70" s="147"/>
      <c r="J70" s="137" t="s">
        <v>2185</v>
      </c>
      <c r="K70" s="137" t="s">
        <v>2186</v>
      </c>
      <c r="L70" s="137" t="s">
        <v>2187</v>
      </c>
      <c r="M70" s="147"/>
      <c r="N70" s="137" t="s">
        <v>2188</v>
      </c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4.25" customHeight="1">
      <c r="A71" s="142">
        <v>42.0</v>
      </c>
      <c r="B71" s="143" t="s">
        <v>100</v>
      </c>
      <c r="C71" s="143" t="s">
        <v>2184</v>
      </c>
      <c r="D71" s="143" t="s">
        <v>1887</v>
      </c>
      <c r="E71" s="143" t="s">
        <v>70</v>
      </c>
      <c r="F71" s="144">
        <v>2.78E7</v>
      </c>
      <c r="G71" s="143" t="s">
        <v>2114</v>
      </c>
      <c r="H71" s="143">
        <v>2016.0</v>
      </c>
      <c r="I71" s="143" t="s">
        <v>25</v>
      </c>
      <c r="J71" s="143" t="s">
        <v>2189</v>
      </c>
      <c r="K71" s="143" t="s">
        <v>2190</v>
      </c>
      <c r="L71" s="143" t="s">
        <v>2191</v>
      </c>
      <c r="M71" s="145"/>
      <c r="N71" s="143" t="s">
        <v>1940</v>
      </c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4.25" customHeight="1">
      <c r="A72" s="136">
        <v>43.0</v>
      </c>
      <c r="B72" s="137" t="s">
        <v>100</v>
      </c>
      <c r="C72" s="137" t="s">
        <v>2184</v>
      </c>
      <c r="D72" s="137" t="s">
        <v>1887</v>
      </c>
      <c r="E72" s="137" t="s">
        <v>70</v>
      </c>
      <c r="F72" s="138">
        <v>2.78E7</v>
      </c>
      <c r="G72" s="137" t="s">
        <v>2114</v>
      </c>
      <c r="H72" s="137">
        <v>2016.0</v>
      </c>
      <c r="I72" s="147"/>
      <c r="J72" s="137" t="s">
        <v>2192</v>
      </c>
      <c r="K72" s="137" t="s">
        <v>2193</v>
      </c>
      <c r="L72" s="137" t="s">
        <v>2194</v>
      </c>
      <c r="M72" s="147"/>
      <c r="N72" s="137" t="s">
        <v>2195</v>
      </c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4.25" customHeight="1">
      <c r="A73" s="142">
        <v>44.0</v>
      </c>
      <c r="B73" s="143" t="s">
        <v>100</v>
      </c>
      <c r="C73" s="143" t="s">
        <v>2184</v>
      </c>
      <c r="D73" s="143" t="s">
        <v>1887</v>
      </c>
      <c r="E73" s="143" t="s">
        <v>70</v>
      </c>
      <c r="F73" s="144">
        <v>2.78E7</v>
      </c>
      <c r="G73" s="143" t="s">
        <v>2114</v>
      </c>
      <c r="H73" s="143">
        <v>2016.0</v>
      </c>
      <c r="I73" s="145"/>
      <c r="J73" s="143" t="s">
        <v>2196</v>
      </c>
      <c r="K73" s="143" t="s">
        <v>2197</v>
      </c>
      <c r="L73" s="143" t="s">
        <v>2198</v>
      </c>
      <c r="M73" s="145"/>
      <c r="N73" s="143" t="s">
        <v>2199</v>
      </c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4.25" customHeight="1">
      <c r="A74" s="164">
        <v>45.0</v>
      </c>
      <c r="B74" s="165" t="s">
        <v>100</v>
      </c>
      <c r="C74" s="165" t="s">
        <v>2167</v>
      </c>
      <c r="D74" s="165" t="s">
        <v>1887</v>
      </c>
      <c r="E74" s="165" t="s">
        <v>70</v>
      </c>
      <c r="F74" s="166">
        <v>2.366E7</v>
      </c>
      <c r="G74" s="137" t="s">
        <v>1260</v>
      </c>
      <c r="H74" s="165">
        <v>2016.0</v>
      </c>
      <c r="I74" s="165" t="s">
        <v>25</v>
      </c>
      <c r="J74" s="165" t="s">
        <v>2200</v>
      </c>
      <c r="K74" s="165" t="s">
        <v>2201</v>
      </c>
      <c r="L74" s="165" t="s">
        <v>2202</v>
      </c>
      <c r="M74" s="167"/>
      <c r="N74" s="165" t="s">
        <v>2203</v>
      </c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4.25" customHeight="1">
      <c r="A75" s="149">
        <v>46.0</v>
      </c>
      <c r="B75" s="143" t="s">
        <v>100</v>
      </c>
      <c r="C75" s="143" t="s">
        <v>2167</v>
      </c>
      <c r="D75" s="143" t="s">
        <v>1887</v>
      </c>
      <c r="E75" s="143" t="s">
        <v>70</v>
      </c>
      <c r="F75" s="144">
        <v>2.366E7</v>
      </c>
      <c r="G75" s="143" t="s">
        <v>1260</v>
      </c>
      <c r="H75" s="143">
        <v>2016.0</v>
      </c>
      <c r="I75" s="143" t="s">
        <v>25</v>
      </c>
      <c r="J75" s="143" t="s">
        <v>2204</v>
      </c>
      <c r="K75" s="143" t="s">
        <v>2205</v>
      </c>
      <c r="L75" s="143" t="s">
        <v>2206</v>
      </c>
      <c r="M75" s="145"/>
      <c r="N75" s="143" t="s">
        <v>2207</v>
      </c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4.25" customHeight="1">
      <c r="H76" s="105"/>
    </row>
    <row r="77" ht="14.25" customHeight="1">
      <c r="H77" s="105"/>
    </row>
    <row r="78" ht="14.25" customHeight="1">
      <c r="H78" s="105"/>
    </row>
    <row r="79" ht="14.25" customHeight="1">
      <c r="H79" s="105"/>
    </row>
    <row r="80" ht="14.25" customHeight="1">
      <c r="H80" s="105"/>
    </row>
    <row r="81" ht="14.25" customHeight="1">
      <c r="H81" s="105"/>
    </row>
    <row r="82" ht="14.25" customHeight="1">
      <c r="H82" s="105"/>
    </row>
    <row r="83" ht="14.25" customHeight="1">
      <c r="H83" s="105"/>
    </row>
    <row r="84" ht="14.25" customHeight="1">
      <c r="H84" s="105"/>
    </row>
    <row r="85" ht="14.25" customHeight="1">
      <c r="H85" s="105"/>
    </row>
    <row r="86" ht="14.25" customHeight="1">
      <c r="H86" s="105"/>
    </row>
    <row r="87" ht="14.25" customHeight="1">
      <c r="H87" s="105"/>
    </row>
    <row r="88" ht="14.25" customHeight="1">
      <c r="H88" s="105"/>
    </row>
    <row r="89" ht="14.25" customHeight="1">
      <c r="H89" s="105"/>
    </row>
    <row r="90" ht="14.25" customHeight="1">
      <c r="H90" s="105"/>
    </row>
    <row r="91" ht="14.25" customHeight="1">
      <c r="H91" s="105"/>
    </row>
    <row r="92" ht="14.25" customHeight="1">
      <c r="H92" s="105"/>
    </row>
    <row r="93" ht="14.25" customHeight="1">
      <c r="H93" s="105"/>
    </row>
    <row r="94" ht="14.25" customHeight="1">
      <c r="H94" s="105"/>
    </row>
    <row r="95" ht="14.25" customHeight="1">
      <c r="H95" s="105"/>
    </row>
    <row r="96" ht="14.25" customHeight="1">
      <c r="H96" s="105"/>
    </row>
    <row r="97" ht="14.25" customHeight="1">
      <c r="H97" s="105"/>
    </row>
    <row r="98" ht="14.25" customHeight="1">
      <c r="H98" s="105"/>
    </row>
    <row r="99" ht="14.25" customHeight="1">
      <c r="H99" s="105"/>
    </row>
    <row r="100" ht="14.25" customHeight="1">
      <c r="H100" s="105"/>
    </row>
    <row r="101" ht="14.25" customHeight="1">
      <c r="H101" s="105"/>
    </row>
    <row r="102" ht="14.25" customHeight="1">
      <c r="H102" s="105"/>
    </row>
    <row r="103" ht="14.25" customHeight="1">
      <c r="H103" s="105"/>
    </row>
    <row r="104" ht="14.25" customHeight="1">
      <c r="H104" s="105"/>
    </row>
    <row r="105" ht="14.25" customHeight="1">
      <c r="H105" s="105"/>
    </row>
    <row r="106" ht="14.25" customHeight="1">
      <c r="H106" s="105"/>
    </row>
    <row r="107" ht="14.25" customHeight="1">
      <c r="H107" s="105"/>
    </row>
    <row r="108" ht="14.25" customHeight="1">
      <c r="H108" s="105"/>
    </row>
    <row r="109" ht="14.25" customHeight="1">
      <c r="H109" s="105"/>
    </row>
    <row r="110" ht="14.25" customHeight="1">
      <c r="H110" s="105"/>
    </row>
    <row r="111" ht="14.25" customHeight="1">
      <c r="H111" s="105"/>
    </row>
    <row r="112" ht="14.25" customHeight="1">
      <c r="H112" s="105"/>
    </row>
    <row r="113" ht="14.25" customHeight="1">
      <c r="H113" s="105"/>
    </row>
    <row r="114" ht="14.25" customHeight="1">
      <c r="H114" s="105"/>
    </row>
    <row r="115" ht="14.25" customHeight="1">
      <c r="H115" s="105"/>
    </row>
    <row r="116" ht="14.25" customHeight="1">
      <c r="H116" s="105"/>
    </row>
    <row r="117" ht="14.25" customHeight="1">
      <c r="H117" s="105"/>
    </row>
    <row r="118" ht="14.25" customHeight="1">
      <c r="H118" s="105"/>
    </row>
    <row r="119" ht="14.25" customHeight="1">
      <c r="H119" s="105"/>
    </row>
    <row r="120" ht="14.25" customHeight="1">
      <c r="H120" s="105"/>
    </row>
    <row r="121" ht="14.25" customHeight="1">
      <c r="H121" s="105"/>
    </row>
    <row r="122" ht="14.25" customHeight="1">
      <c r="H122" s="105"/>
    </row>
    <row r="123" ht="14.25" customHeight="1">
      <c r="H123" s="105"/>
    </row>
    <row r="124" ht="14.25" customHeight="1">
      <c r="H124" s="105"/>
    </row>
    <row r="125" ht="14.25" customHeight="1">
      <c r="H125" s="105"/>
    </row>
    <row r="126" ht="14.25" customHeight="1">
      <c r="H126" s="105"/>
    </row>
    <row r="127" ht="14.25" customHeight="1">
      <c r="H127" s="105"/>
    </row>
    <row r="128" ht="14.25" customHeight="1">
      <c r="H128" s="105"/>
    </row>
    <row r="129" ht="14.25" customHeight="1">
      <c r="H129" s="105"/>
    </row>
    <row r="130" ht="14.25" customHeight="1">
      <c r="H130" s="105"/>
    </row>
    <row r="131" ht="14.25" customHeight="1">
      <c r="H131" s="105"/>
    </row>
    <row r="132" ht="14.25" customHeight="1">
      <c r="H132" s="105"/>
    </row>
    <row r="133" ht="14.25" customHeight="1">
      <c r="H133" s="105"/>
    </row>
    <row r="134" ht="14.25" customHeight="1">
      <c r="H134" s="105"/>
    </row>
    <row r="135" ht="14.25" customHeight="1">
      <c r="H135" s="105"/>
    </row>
    <row r="136" ht="14.25" customHeight="1">
      <c r="H136" s="105"/>
    </row>
    <row r="137" ht="14.25" customHeight="1">
      <c r="H137" s="105"/>
    </row>
    <row r="138" ht="14.25" customHeight="1">
      <c r="H138" s="105"/>
    </row>
    <row r="139" ht="14.25" customHeight="1">
      <c r="H139" s="105"/>
    </row>
    <row r="140" ht="14.25" customHeight="1">
      <c r="H140" s="105"/>
    </row>
    <row r="141" ht="14.25" customHeight="1">
      <c r="H141" s="105"/>
    </row>
    <row r="142" ht="14.25" customHeight="1">
      <c r="H142" s="105"/>
    </row>
    <row r="143" ht="14.25" customHeight="1">
      <c r="H143" s="105"/>
    </row>
    <row r="144" ht="14.25" customHeight="1">
      <c r="H144" s="105"/>
    </row>
    <row r="145" ht="14.25" customHeight="1">
      <c r="H145" s="105"/>
    </row>
    <row r="146" ht="14.25" customHeight="1">
      <c r="H146" s="105"/>
    </row>
    <row r="147" ht="14.25" customHeight="1">
      <c r="H147" s="105"/>
    </row>
    <row r="148" ht="14.25" customHeight="1">
      <c r="H148" s="105"/>
    </row>
    <row r="149" ht="14.25" customHeight="1">
      <c r="H149" s="105"/>
    </row>
    <row r="150" ht="14.25" customHeight="1">
      <c r="H150" s="105"/>
    </row>
    <row r="151" ht="14.25" customHeight="1">
      <c r="H151" s="105"/>
    </row>
    <row r="152" ht="14.25" customHeight="1">
      <c r="H152" s="105"/>
    </row>
    <row r="153" ht="14.25" customHeight="1">
      <c r="H153" s="105"/>
    </row>
    <row r="154" ht="14.25" customHeight="1">
      <c r="H154" s="105"/>
    </row>
    <row r="155" ht="14.25" customHeight="1">
      <c r="H155" s="105"/>
    </row>
    <row r="156" ht="14.25" customHeight="1">
      <c r="H156" s="105"/>
    </row>
    <row r="157" ht="14.25" customHeight="1">
      <c r="H157" s="105"/>
    </row>
    <row r="158" ht="14.25" customHeight="1">
      <c r="H158" s="105"/>
    </row>
    <row r="159" ht="14.25" customHeight="1">
      <c r="H159" s="105"/>
    </row>
    <row r="160" ht="14.25" customHeight="1">
      <c r="H160" s="105"/>
    </row>
    <row r="161" ht="14.25" customHeight="1">
      <c r="H161" s="105"/>
    </row>
    <row r="162" ht="14.25" customHeight="1">
      <c r="H162" s="105"/>
    </row>
    <row r="163" ht="14.25" customHeight="1">
      <c r="H163" s="105"/>
    </row>
    <row r="164" ht="14.25" customHeight="1">
      <c r="H164" s="105"/>
    </row>
    <row r="165" ht="14.25" customHeight="1">
      <c r="H165" s="105"/>
    </row>
    <row r="166" ht="14.25" customHeight="1">
      <c r="H166" s="105"/>
    </row>
    <row r="167" ht="14.25" customHeight="1">
      <c r="H167" s="105"/>
    </row>
    <row r="168" ht="14.25" customHeight="1">
      <c r="H168" s="105"/>
    </row>
    <row r="169" ht="14.25" customHeight="1">
      <c r="H169" s="105"/>
    </row>
    <row r="170" ht="14.25" customHeight="1">
      <c r="H170" s="105"/>
    </row>
    <row r="171" ht="14.25" customHeight="1">
      <c r="H171" s="105"/>
    </row>
    <row r="172" ht="14.25" customHeight="1">
      <c r="H172" s="105"/>
    </row>
    <row r="173" ht="14.25" customHeight="1">
      <c r="H173" s="105"/>
    </row>
    <row r="174" ht="14.25" customHeight="1">
      <c r="H174" s="105"/>
    </row>
    <row r="175" ht="14.25" customHeight="1">
      <c r="H175" s="105"/>
    </row>
    <row r="176" ht="14.25" customHeight="1">
      <c r="H176" s="105"/>
    </row>
    <row r="177" ht="14.25" customHeight="1">
      <c r="H177" s="105"/>
    </row>
    <row r="178" ht="14.25" customHeight="1">
      <c r="H178" s="105"/>
    </row>
    <row r="179" ht="14.25" customHeight="1">
      <c r="H179" s="105"/>
    </row>
    <row r="180" ht="14.25" customHeight="1">
      <c r="H180" s="105"/>
    </row>
    <row r="181" ht="14.25" customHeight="1">
      <c r="H181" s="105"/>
    </row>
    <row r="182" ht="14.25" customHeight="1">
      <c r="H182" s="105"/>
    </row>
    <row r="183" ht="14.25" customHeight="1">
      <c r="H183" s="105"/>
    </row>
    <row r="184" ht="14.25" customHeight="1">
      <c r="H184" s="105"/>
    </row>
    <row r="185" ht="14.25" customHeight="1">
      <c r="H185" s="105"/>
    </row>
    <row r="186" ht="14.25" customHeight="1">
      <c r="H186" s="105"/>
    </row>
    <row r="187" ht="14.25" customHeight="1">
      <c r="H187" s="105"/>
    </row>
    <row r="188" ht="14.25" customHeight="1">
      <c r="H188" s="105"/>
    </row>
    <row r="189" ht="14.25" customHeight="1">
      <c r="H189" s="105"/>
    </row>
    <row r="190" ht="14.25" customHeight="1">
      <c r="H190" s="105"/>
    </row>
    <row r="191" ht="14.25" customHeight="1">
      <c r="H191" s="105"/>
    </row>
    <row r="192" ht="14.25" customHeight="1">
      <c r="H192" s="105"/>
    </row>
    <row r="193" ht="14.25" customHeight="1">
      <c r="H193" s="105"/>
    </row>
    <row r="194" ht="14.25" customHeight="1">
      <c r="H194" s="105"/>
    </row>
    <row r="195" ht="14.25" customHeight="1">
      <c r="H195" s="105"/>
    </row>
    <row r="196" ht="14.25" customHeight="1">
      <c r="H196" s="105"/>
    </row>
    <row r="197" ht="14.25" customHeight="1">
      <c r="H197" s="105"/>
    </row>
    <row r="198" ht="14.25" customHeight="1">
      <c r="H198" s="105"/>
    </row>
    <row r="199" ht="14.25" customHeight="1">
      <c r="H199" s="105"/>
    </row>
    <row r="200" ht="14.25" customHeight="1">
      <c r="H200" s="105"/>
    </row>
    <row r="201" ht="14.25" customHeight="1">
      <c r="H201" s="105"/>
    </row>
    <row r="202" ht="14.25" customHeight="1">
      <c r="H202" s="105"/>
    </row>
    <row r="203" ht="14.25" customHeight="1">
      <c r="H203" s="105"/>
    </row>
    <row r="204" ht="14.25" customHeight="1">
      <c r="H204" s="105"/>
    </row>
    <row r="205" ht="14.25" customHeight="1">
      <c r="H205" s="105"/>
    </row>
    <row r="206" ht="14.25" customHeight="1">
      <c r="H206" s="105"/>
    </row>
    <row r="207" ht="14.25" customHeight="1">
      <c r="H207" s="105"/>
    </row>
    <row r="208" ht="14.25" customHeight="1">
      <c r="H208" s="105"/>
    </row>
    <row r="209" ht="14.25" customHeight="1">
      <c r="H209" s="105"/>
    </row>
    <row r="210" ht="14.25" customHeight="1">
      <c r="H210" s="105"/>
    </row>
    <row r="211" ht="14.25" customHeight="1">
      <c r="H211" s="105"/>
    </row>
    <row r="212" ht="14.25" customHeight="1">
      <c r="H212" s="105"/>
    </row>
    <row r="213" ht="14.25" customHeight="1">
      <c r="H213" s="105"/>
    </row>
    <row r="214" ht="14.25" customHeight="1">
      <c r="H214" s="105"/>
    </row>
    <row r="215" ht="14.25" customHeight="1">
      <c r="H215" s="105"/>
    </row>
    <row r="216" ht="14.25" customHeight="1">
      <c r="H216" s="105"/>
    </row>
    <row r="217" ht="14.25" customHeight="1">
      <c r="H217" s="105"/>
    </row>
    <row r="218" ht="14.25" customHeight="1">
      <c r="H218" s="105"/>
    </row>
    <row r="219" ht="14.25" customHeight="1">
      <c r="H219" s="105"/>
    </row>
    <row r="220" ht="14.25" customHeight="1">
      <c r="H220" s="105"/>
    </row>
    <row r="221" ht="14.25" customHeight="1">
      <c r="H221" s="105"/>
    </row>
    <row r="222" ht="14.25" customHeight="1">
      <c r="H222" s="105"/>
    </row>
    <row r="223" ht="14.25" customHeight="1">
      <c r="H223" s="105"/>
    </row>
    <row r="224" ht="14.25" customHeight="1">
      <c r="H224" s="105"/>
    </row>
    <row r="225" ht="14.25" customHeight="1">
      <c r="H225" s="105"/>
    </row>
    <row r="226" ht="14.25" customHeight="1">
      <c r="H226" s="105"/>
    </row>
    <row r="227" ht="14.25" customHeight="1">
      <c r="H227" s="105"/>
    </row>
    <row r="228" ht="14.25" customHeight="1">
      <c r="H228" s="105"/>
    </row>
    <row r="229" ht="14.25" customHeight="1">
      <c r="H229" s="105"/>
    </row>
    <row r="230" ht="14.25" customHeight="1">
      <c r="H230" s="105"/>
    </row>
    <row r="231" ht="14.25" customHeight="1">
      <c r="H231" s="105"/>
    </row>
    <row r="232" ht="14.25" customHeight="1">
      <c r="H232" s="105"/>
    </row>
    <row r="233" ht="14.25" customHeight="1">
      <c r="H233" s="105"/>
    </row>
    <row r="234" ht="14.25" customHeight="1">
      <c r="H234" s="105"/>
    </row>
    <row r="235" ht="14.25" customHeight="1">
      <c r="H235" s="105"/>
    </row>
    <row r="236" ht="14.25" customHeight="1">
      <c r="H236" s="105"/>
    </row>
    <row r="237" ht="14.25" customHeight="1">
      <c r="H237" s="105"/>
    </row>
    <row r="238" ht="14.25" customHeight="1">
      <c r="H238" s="105"/>
    </row>
    <row r="239" ht="14.25" customHeight="1">
      <c r="H239" s="105"/>
    </row>
    <row r="240" ht="14.25" customHeight="1">
      <c r="H240" s="105"/>
    </row>
    <row r="241" ht="14.25" customHeight="1">
      <c r="H241" s="105"/>
    </row>
    <row r="242" ht="14.25" customHeight="1">
      <c r="H242" s="105"/>
    </row>
    <row r="243" ht="14.25" customHeight="1">
      <c r="H243" s="105"/>
    </row>
    <row r="244" ht="14.25" customHeight="1">
      <c r="H244" s="105"/>
    </row>
    <row r="245" ht="14.25" customHeight="1">
      <c r="H245" s="105"/>
    </row>
    <row r="246" ht="14.25" customHeight="1">
      <c r="H246" s="105"/>
    </row>
    <row r="247" ht="14.25" customHeight="1">
      <c r="H247" s="105"/>
    </row>
    <row r="248" ht="14.25" customHeight="1">
      <c r="H248" s="105"/>
    </row>
    <row r="249" ht="14.25" customHeight="1">
      <c r="H249" s="105"/>
    </row>
    <row r="250" ht="14.25" customHeight="1">
      <c r="H250" s="105"/>
    </row>
    <row r="251" ht="14.25" customHeight="1">
      <c r="H251" s="105"/>
    </row>
    <row r="252" ht="14.25" customHeight="1">
      <c r="H252" s="105"/>
    </row>
    <row r="253" ht="14.25" customHeight="1">
      <c r="H253" s="105"/>
    </row>
    <row r="254" ht="14.25" customHeight="1">
      <c r="H254" s="105"/>
    </row>
    <row r="255" ht="14.25" customHeight="1">
      <c r="H255" s="105"/>
    </row>
    <row r="256" ht="14.25" customHeight="1">
      <c r="H256" s="105"/>
    </row>
    <row r="257" ht="14.25" customHeight="1">
      <c r="H257" s="105"/>
    </row>
    <row r="258" ht="14.25" customHeight="1">
      <c r="H258" s="105"/>
    </row>
    <row r="259" ht="14.25" customHeight="1">
      <c r="H259" s="105"/>
    </row>
    <row r="260" ht="14.25" customHeight="1">
      <c r="H260" s="105"/>
    </row>
    <row r="261" ht="14.25" customHeight="1">
      <c r="H261" s="105"/>
    </row>
    <row r="262" ht="14.25" customHeight="1">
      <c r="H262" s="105"/>
    </row>
    <row r="263" ht="14.25" customHeight="1">
      <c r="H263" s="105"/>
    </row>
    <row r="264" ht="14.25" customHeight="1">
      <c r="H264" s="105"/>
    </row>
    <row r="265" ht="14.25" customHeight="1">
      <c r="H265" s="105"/>
    </row>
    <row r="266" ht="14.25" customHeight="1">
      <c r="H266" s="105"/>
    </row>
    <row r="267" ht="14.25" customHeight="1">
      <c r="H267" s="105"/>
    </row>
    <row r="268" ht="14.25" customHeight="1">
      <c r="H268" s="105"/>
    </row>
    <row r="269" ht="14.25" customHeight="1">
      <c r="H269" s="105"/>
    </row>
    <row r="270" ht="14.25" customHeight="1">
      <c r="H270" s="105"/>
    </row>
    <row r="271" ht="14.25" customHeight="1">
      <c r="H271" s="105"/>
    </row>
    <row r="272" ht="14.25" customHeight="1">
      <c r="H272" s="105"/>
    </row>
    <row r="273" ht="14.25" customHeight="1">
      <c r="H273" s="105"/>
    </row>
    <row r="274" ht="14.25" customHeight="1">
      <c r="H274" s="105"/>
    </row>
    <row r="275" ht="14.25" customHeight="1">
      <c r="H275" s="105"/>
    </row>
    <row r="276" ht="14.25" customHeight="1">
      <c r="H276" s="105"/>
    </row>
    <row r="277" ht="14.25" customHeight="1">
      <c r="H277" s="105"/>
    </row>
    <row r="278" ht="14.25" customHeight="1">
      <c r="H278" s="105"/>
    </row>
    <row r="279" ht="14.25" customHeight="1">
      <c r="H279" s="105"/>
    </row>
    <row r="280" ht="14.25" customHeight="1">
      <c r="H280" s="105"/>
    </row>
    <row r="281" ht="14.25" customHeight="1">
      <c r="H281" s="105"/>
    </row>
    <row r="282" ht="14.25" customHeight="1">
      <c r="H282" s="105"/>
    </row>
    <row r="283" ht="14.25" customHeight="1">
      <c r="H283" s="105"/>
    </row>
    <row r="284" ht="14.25" customHeight="1">
      <c r="H284" s="105"/>
    </row>
    <row r="285" ht="14.25" customHeight="1">
      <c r="H285" s="105"/>
    </row>
    <row r="286" ht="14.25" customHeight="1">
      <c r="H286" s="105"/>
    </row>
    <row r="287" ht="14.25" customHeight="1">
      <c r="H287" s="105"/>
    </row>
    <row r="288" ht="14.25" customHeight="1">
      <c r="H288" s="105"/>
    </row>
    <row r="289" ht="14.25" customHeight="1">
      <c r="H289" s="105"/>
    </row>
    <row r="290" ht="14.25" customHeight="1">
      <c r="H290" s="105"/>
    </row>
    <row r="291" ht="14.25" customHeight="1">
      <c r="H291" s="105"/>
    </row>
    <row r="292" ht="14.25" customHeight="1">
      <c r="H292" s="105"/>
    </row>
    <row r="293" ht="14.25" customHeight="1">
      <c r="H293" s="105"/>
    </row>
    <row r="294" ht="14.25" customHeight="1">
      <c r="H294" s="105"/>
    </row>
    <row r="295" ht="14.25" customHeight="1">
      <c r="H295" s="105"/>
    </row>
    <row r="296" ht="14.25" customHeight="1">
      <c r="H296" s="105"/>
    </row>
    <row r="297" ht="14.25" customHeight="1">
      <c r="H297" s="105"/>
    </row>
    <row r="298" ht="14.25" customHeight="1">
      <c r="H298" s="105"/>
    </row>
    <row r="299" ht="14.25" customHeight="1">
      <c r="H299" s="105"/>
    </row>
    <row r="300" ht="14.25" customHeight="1">
      <c r="H300" s="105"/>
    </row>
    <row r="301" ht="14.25" customHeight="1">
      <c r="H301" s="105"/>
    </row>
    <row r="302" ht="14.25" customHeight="1">
      <c r="H302" s="105"/>
    </row>
    <row r="303" ht="14.25" customHeight="1">
      <c r="H303" s="105"/>
    </row>
    <row r="304" ht="14.25" customHeight="1">
      <c r="H304" s="105"/>
    </row>
    <row r="305" ht="14.25" customHeight="1">
      <c r="H305" s="105"/>
    </row>
    <row r="306" ht="14.25" customHeight="1">
      <c r="H306" s="105"/>
    </row>
    <row r="307" ht="14.25" customHeight="1">
      <c r="H307" s="105"/>
    </row>
    <row r="308" ht="14.25" customHeight="1">
      <c r="H308" s="105"/>
    </row>
    <row r="309" ht="14.25" customHeight="1">
      <c r="H309" s="105"/>
    </row>
    <row r="310" ht="14.25" customHeight="1">
      <c r="H310" s="105"/>
    </row>
    <row r="311" ht="14.25" customHeight="1">
      <c r="H311" s="105"/>
    </row>
    <row r="312" ht="14.25" customHeight="1">
      <c r="H312" s="105"/>
    </row>
    <row r="313" ht="14.25" customHeight="1">
      <c r="H313" s="105"/>
    </row>
    <row r="314" ht="14.25" customHeight="1">
      <c r="H314" s="105"/>
    </row>
    <row r="315" ht="14.25" customHeight="1">
      <c r="H315" s="105"/>
    </row>
    <row r="316" ht="14.25" customHeight="1">
      <c r="H316" s="105"/>
    </row>
    <row r="317" ht="14.25" customHeight="1">
      <c r="H317" s="105"/>
    </row>
    <row r="318" ht="14.25" customHeight="1">
      <c r="H318" s="105"/>
    </row>
    <row r="319" ht="14.25" customHeight="1">
      <c r="H319" s="105"/>
    </row>
    <row r="320" ht="14.25" customHeight="1">
      <c r="H320" s="105"/>
    </row>
    <row r="321" ht="14.25" customHeight="1">
      <c r="H321" s="105"/>
    </row>
    <row r="322" ht="14.25" customHeight="1">
      <c r="H322" s="105"/>
    </row>
    <row r="323" ht="14.25" customHeight="1">
      <c r="H323" s="105"/>
    </row>
    <row r="324" ht="14.25" customHeight="1">
      <c r="H324" s="105"/>
    </row>
    <row r="325" ht="14.25" customHeight="1">
      <c r="H325" s="105"/>
    </row>
    <row r="326" ht="14.25" customHeight="1">
      <c r="H326" s="105"/>
    </row>
    <row r="327" ht="14.25" customHeight="1">
      <c r="H327" s="105"/>
    </row>
    <row r="328" ht="14.25" customHeight="1">
      <c r="H328" s="105"/>
    </row>
    <row r="329" ht="14.25" customHeight="1">
      <c r="H329" s="105"/>
    </row>
    <row r="330" ht="14.25" customHeight="1">
      <c r="H330" s="105"/>
    </row>
    <row r="331" ht="14.25" customHeight="1">
      <c r="H331" s="105"/>
    </row>
    <row r="332" ht="14.25" customHeight="1">
      <c r="H332" s="105"/>
    </row>
    <row r="333" ht="14.25" customHeight="1">
      <c r="H333" s="105"/>
    </row>
    <row r="334" ht="14.25" customHeight="1">
      <c r="H334" s="105"/>
    </row>
    <row r="335" ht="14.25" customHeight="1">
      <c r="H335" s="105"/>
    </row>
    <row r="336" ht="14.25" customHeight="1">
      <c r="H336" s="105"/>
    </row>
    <row r="337" ht="14.25" customHeight="1">
      <c r="H337" s="105"/>
    </row>
    <row r="338" ht="14.25" customHeight="1">
      <c r="H338" s="105"/>
    </row>
    <row r="339" ht="14.25" customHeight="1">
      <c r="H339" s="105"/>
    </row>
    <row r="340" ht="14.25" customHeight="1">
      <c r="H340" s="105"/>
    </row>
    <row r="341" ht="14.25" customHeight="1">
      <c r="H341" s="105"/>
    </row>
    <row r="342" ht="14.25" customHeight="1">
      <c r="H342" s="105"/>
    </row>
    <row r="343" ht="14.25" customHeight="1">
      <c r="H343" s="105"/>
    </row>
    <row r="344" ht="14.25" customHeight="1">
      <c r="H344" s="105"/>
    </row>
    <row r="345" ht="14.25" customHeight="1">
      <c r="H345" s="105"/>
    </row>
    <row r="346" ht="14.25" customHeight="1">
      <c r="H346" s="105"/>
    </row>
    <row r="347" ht="14.25" customHeight="1">
      <c r="H347" s="105"/>
    </row>
    <row r="348" ht="14.25" customHeight="1">
      <c r="H348" s="105"/>
    </row>
    <row r="349" ht="14.25" customHeight="1">
      <c r="H349" s="105"/>
    </row>
    <row r="350" ht="14.25" customHeight="1">
      <c r="H350" s="105"/>
    </row>
    <row r="351" ht="14.25" customHeight="1">
      <c r="H351" s="105"/>
    </row>
    <row r="352" ht="14.25" customHeight="1">
      <c r="H352" s="105"/>
    </row>
    <row r="353" ht="14.25" customHeight="1">
      <c r="H353" s="105"/>
    </row>
    <row r="354" ht="14.25" customHeight="1">
      <c r="H354" s="105"/>
    </row>
    <row r="355" ht="14.25" customHeight="1">
      <c r="H355" s="105"/>
    </row>
    <row r="356" ht="14.25" customHeight="1">
      <c r="H356" s="105"/>
    </row>
    <row r="357" ht="14.25" customHeight="1">
      <c r="H357" s="105"/>
    </row>
    <row r="358" ht="14.25" customHeight="1">
      <c r="H358" s="105"/>
    </row>
    <row r="359" ht="14.25" customHeight="1">
      <c r="H359" s="105"/>
    </row>
    <row r="360" ht="14.25" customHeight="1">
      <c r="H360" s="105"/>
    </row>
    <row r="361" ht="14.25" customHeight="1">
      <c r="H361" s="105"/>
    </row>
    <row r="362" ht="14.25" customHeight="1">
      <c r="H362" s="105"/>
    </row>
    <row r="363" ht="14.25" customHeight="1">
      <c r="H363" s="105"/>
    </row>
    <row r="364" ht="14.25" customHeight="1">
      <c r="H364" s="105"/>
    </row>
    <row r="365" ht="14.25" customHeight="1">
      <c r="H365" s="105"/>
    </row>
    <row r="366" ht="14.25" customHeight="1">
      <c r="H366" s="105"/>
    </row>
    <row r="367" ht="14.25" customHeight="1">
      <c r="H367" s="105"/>
    </row>
    <row r="368" ht="14.25" customHeight="1">
      <c r="H368" s="105"/>
    </row>
    <row r="369" ht="14.25" customHeight="1">
      <c r="H369" s="105"/>
    </row>
    <row r="370" ht="14.25" customHeight="1">
      <c r="H370" s="105"/>
    </row>
    <row r="371" ht="14.25" customHeight="1">
      <c r="H371" s="105"/>
    </row>
    <row r="372" ht="14.25" customHeight="1">
      <c r="H372" s="105"/>
    </row>
    <row r="373" ht="14.25" customHeight="1">
      <c r="H373" s="105"/>
    </row>
    <row r="374" ht="14.25" customHeight="1">
      <c r="H374" s="105"/>
    </row>
    <row r="375" ht="14.25" customHeight="1">
      <c r="H375" s="105"/>
    </row>
    <row r="376" ht="14.25" customHeight="1">
      <c r="H376" s="105"/>
    </row>
    <row r="377" ht="14.25" customHeight="1">
      <c r="H377" s="105"/>
    </row>
    <row r="378" ht="14.25" customHeight="1">
      <c r="H378" s="105"/>
    </row>
    <row r="379" ht="14.25" customHeight="1">
      <c r="H379" s="105"/>
    </row>
    <row r="380" ht="14.25" customHeight="1">
      <c r="H380" s="105"/>
    </row>
    <row r="381" ht="14.25" customHeight="1">
      <c r="H381" s="105"/>
    </row>
    <row r="382" ht="14.25" customHeight="1">
      <c r="H382" s="105"/>
    </row>
    <row r="383" ht="14.25" customHeight="1">
      <c r="H383" s="105"/>
    </row>
    <row r="384" ht="14.25" customHeight="1">
      <c r="H384" s="105"/>
    </row>
    <row r="385" ht="14.25" customHeight="1">
      <c r="H385" s="105"/>
    </row>
    <row r="386" ht="14.25" customHeight="1">
      <c r="H386" s="105"/>
    </row>
    <row r="387" ht="14.25" customHeight="1">
      <c r="H387" s="105"/>
    </row>
    <row r="388" ht="14.25" customHeight="1">
      <c r="H388" s="105"/>
    </row>
    <row r="389" ht="14.25" customHeight="1">
      <c r="H389" s="105"/>
    </row>
    <row r="390" ht="14.25" customHeight="1">
      <c r="H390" s="105"/>
    </row>
    <row r="391" ht="14.25" customHeight="1">
      <c r="H391" s="105"/>
    </row>
    <row r="392" ht="14.25" customHeight="1">
      <c r="H392" s="105"/>
    </row>
    <row r="393" ht="14.25" customHeight="1">
      <c r="H393" s="105"/>
    </row>
    <row r="394" ht="14.25" customHeight="1">
      <c r="H394" s="105"/>
    </row>
    <row r="395" ht="14.25" customHeight="1">
      <c r="H395" s="105"/>
    </row>
    <row r="396" ht="14.25" customHeight="1">
      <c r="H396" s="105"/>
    </row>
    <row r="397" ht="14.25" customHeight="1">
      <c r="H397" s="105"/>
    </row>
    <row r="398" ht="14.25" customHeight="1">
      <c r="H398" s="105"/>
    </row>
    <row r="399" ht="14.25" customHeight="1">
      <c r="H399" s="105"/>
    </row>
    <row r="400" ht="14.25" customHeight="1">
      <c r="H400" s="105"/>
    </row>
    <row r="401" ht="14.25" customHeight="1">
      <c r="H401" s="105"/>
    </row>
    <row r="402" ht="14.25" customHeight="1">
      <c r="H402" s="105"/>
    </row>
    <row r="403" ht="14.25" customHeight="1">
      <c r="H403" s="105"/>
    </row>
    <row r="404" ht="14.25" customHeight="1">
      <c r="H404" s="105"/>
    </row>
    <row r="405" ht="14.25" customHeight="1">
      <c r="H405" s="105"/>
    </row>
    <row r="406" ht="14.25" customHeight="1">
      <c r="H406" s="105"/>
    </row>
    <row r="407" ht="14.25" customHeight="1">
      <c r="H407" s="105"/>
    </row>
    <row r="408" ht="14.25" customHeight="1">
      <c r="H408" s="105"/>
    </row>
    <row r="409" ht="14.25" customHeight="1">
      <c r="H409" s="105"/>
    </row>
    <row r="410" ht="14.25" customHeight="1">
      <c r="H410" s="105"/>
    </row>
    <row r="411" ht="14.25" customHeight="1">
      <c r="H411" s="105"/>
    </row>
    <row r="412" ht="14.25" customHeight="1">
      <c r="H412" s="105"/>
    </row>
    <row r="413" ht="14.25" customHeight="1">
      <c r="H413" s="105"/>
    </row>
    <row r="414" ht="14.25" customHeight="1">
      <c r="H414" s="105"/>
    </row>
    <row r="415" ht="14.25" customHeight="1">
      <c r="H415" s="105"/>
    </row>
    <row r="416" ht="14.25" customHeight="1">
      <c r="H416" s="105"/>
    </row>
    <row r="417" ht="14.25" customHeight="1">
      <c r="H417" s="105"/>
    </row>
    <row r="418" ht="14.25" customHeight="1">
      <c r="H418" s="105"/>
    </row>
    <row r="419" ht="14.25" customHeight="1">
      <c r="H419" s="105"/>
    </row>
    <row r="420" ht="14.25" customHeight="1">
      <c r="H420" s="105"/>
    </row>
    <row r="421" ht="14.25" customHeight="1">
      <c r="H421" s="105"/>
    </row>
    <row r="422" ht="14.25" customHeight="1">
      <c r="H422" s="105"/>
    </row>
    <row r="423" ht="14.25" customHeight="1">
      <c r="H423" s="105"/>
    </row>
    <row r="424" ht="14.25" customHeight="1">
      <c r="H424" s="105"/>
    </row>
    <row r="425" ht="14.25" customHeight="1">
      <c r="H425" s="105"/>
    </row>
    <row r="426" ht="14.25" customHeight="1">
      <c r="H426" s="105"/>
    </row>
    <row r="427" ht="14.25" customHeight="1">
      <c r="H427" s="105"/>
    </row>
    <row r="428" ht="14.25" customHeight="1">
      <c r="H428" s="105"/>
    </row>
    <row r="429" ht="14.25" customHeight="1">
      <c r="H429" s="105"/>
    </row>
    <row r="430" ht="14.25" customHeight="1">
      <c r="H430" s="105"/>
    </row>
    <row r="431" ht="14.25" customHeight="1">
      <c r="H431" s="105"/>
    </row>
    <row r="432" ht="14.25" customHeight="1">
      <c r="H432" s="105"/>
    </row>
    <row r="433" ht="14.25" customHeight="1">
      <c r="H433" s="105"/>
    </row>
    <row r="434" ht="14.25" customHeight="1">
      <c r="H434" s="105"/>
    </row>
    <row r="435" ht="14.25" customHeight="1">
      <c r="H435" s="105"/>
    </row>
    <row r="436" ht="14.25" customHeight="1">
      <c r="H436" s="105"/>
    </row>
    <row r="437" ht="14.25" customHeight="1">
      <c r="H437" s="105"/>
    </row>
    <row r="438" ht="14.25" customHeight="1">
      <c r="H438" s="105"/>
    </row>
    <row r="439" ht="14.25" customHeight="1">
      <c r="H439" s="105"/>
    </row>
    <row r="440" ht="14.25" customHeight="1">
      <c r="H440" s="105"/>
    </row>
    <row r="441" ht="14.25" customHeight="1">
      <c r="H441" s="105"/>
    </row>
    <row r="442" ht="14.25" customHeight="1">
      <c r="H442" s="105"/>
    </row>
    <row r="443" ht="14.25" customHeight="1">
      <c r="H443" s="105"/>
    </row>
    <row r="444" ht="14.25" customHeight="1">
      <c r="H444" s="105"/>
    </row>
    <row r="445" ht="14.25" customHeight="1">
      <c r="H445" s="105"/>
    </row>
    <row r="446" ht="14.25" customHeight="1">
      <c r="H446" s="105"/>
    </row>
    <row r="447" ht="14.25" customHeight="1">
      <c r="H447" s="105"/>
    </row>
    <row r="448" ht="14.25" customHeight="1">
      <c r="H448" s="105"/>
    </row>
    <row r="449" ht="14.25" customHeight="1">
      <c r="H449" s="105"/>
    </row>
    <row r="450" ht="14.25" customHeight="1">
      <c r="H450" s="105"/>
    </row>
    <row r="451" ht="14.25" customHeight="1">
      <c r="H451" s="105"/>
    </row>
    <row r="452" ht="14.25" customHeight="1">
      <c r="H452" s="105"/>
    </row>
    <row r="453" ht="14.25" customHeight="1">
      <c r="H453" s="105"/>
    </row>
    <row r="454" ht="14.25" customHeight="1">
      <c r="H454" s="105"/>
    </row>
    <row r="455" ht="14.25" customHeight="1">
      <c r="H455" s="105"/>
    </row>
    <row r="456" ht="14.25" customHeight="1">
      <c r="H456" s="105"/>
    </row>
    <row r="457" ht="14.25" customHeight="1">
      <c r="H457" s="105"/>
    </row>
    <row r="458" ht="14.25" customHeight="1">
      <c r="H458" s="105"/>
    </row>
    <row r="459" ht="14.25" customHeight="1">
      <c r="H459" s="105"/>
    </row>
    <row r="460" ht="14.25" customHeight="1">
      <c r="H460" s="105"/>
    </row>
    <row r="461" ht="14.25" customHeight="1">
      <c r="H461" s="105"/>
    </row>
    <row r="462" ht="14.25" customHeight="1">
      <c r="H462" s="105"/>
    </row>
    <row r="463" ht="14.25" customHeight="1">
      <c r="H463" s="105"/>
    </row>
    <row r="464" ht="14.25" customHeight="1">
      <c r="H464" s="105"/>
    </row>
    <row r="465" ht="14.25" customHeight="1">
      <c r="H465" s="105"/>
    </row>
    <row r="466" ht="14.25" customHeight="1">
      <c r="H466" s="105"/>
    </row>
    <row r="467" ht="14.25" customHeight="1">
      <c r="H467" s="105"/>
    </row>
    <row r="468" ht="14.25" customHeight="1">
      <c r="H468" s="105"/>
    </row>
    <row r="469" ht="14.25" customHeight="1">
      <c r="H469" s="105"/>
    </row>
    <row r="470" ht="14.25" customHeight="1">
      <c r="H470" s="105"/>
    </row>
    <row r="471" ht="14.25" customHeight="1">
      <c r="H471" s="105"/>
    </row>
    <row r="472" ht="14.25" customHeight="1">
      <c r="H472" s="105"/>
    </row>
    <row r="473" ht="14.25" customHeight="1">
      <c r="H473" s="105"/>
    </row>
    <row r="474" ht="14.25" customHeight="1">
      <c r="H474" s="105"/>
    </row>
    <row r="475" ht="14.25" customHeight="1">
      <c r="H475" s="105"/>
    </row>
    <row r="476" ht="14.25" customHeight="1">
      <c r="H476" s="105"/>
    </row>
    <row r="477" ht="14.25" customHeight="1">
      <c r="H477" s="105"/>
    </row>
    <row r="478" ht="14.25" customHeight="1">
      <c r="H478" s="105"/>
    </row>
    <row r="479" ht="14.25" customHeight="1">
      <c r="H479" s="105"/>
    </row>
    <row r="480" ht="14.25" customHeight="1">
      <c r="H480" s="105"/>
    </row>
    <row r="481" ht="14.25" customHeight="1">
      <c r="H481" s="105"/>
    </row>
    <row r="482" ht="14.25" customHeight="1">
      <c r="H482" s="105"/>
    </row>
    <row r="483" ht="14.25" customHeight="1">
      <c r="H483" s="105"/>
    </row>
    <row r="484" ht="14.25" customHeight="1">
      <c r="H484" s="105"/>
    </row>
    <row r="485" ht="14.25" customHeight="1">
      <c r="H485" s="105"/>
    </row>
    <row r="486" ht="14.25" customHeight="1">
      <c r="H486" s="105"/>
    </row>
    <row r="487" ht="14.25" customHeight="1">
      <c r="H487" s="105"/>
    </row>
    <row r="488" ht="14.25" customHeight="1">
      <c r="H488" s="105"/>
    </row>
    <row r="489" ht="14.25" customHeight="1">
      <c r="H489" s="105"/>
    </row>
    <row r="490" ht="14.25" customHeight="1">
      <c r="H490" s="105"/>
    </row>
    <row r="491" ht="14.25" customHeight="1">
      <c r="H491" s="105"/>
    </row>
    <row r="492" ht="14.25" customHeight="1">
      <c r="H492" s="105"/>
    </row>
    <row r="493" ht="14.25" customHeight="1">
      <c r="H493" s="105"/>
    </row>
    <row r="494" ht="14.25" customHeight="1">
      <c r="H494" s="105"/>
    </row>
    <row r="495" ht="14.25" customHeight="1">
      <c r="H495" s="105"/>
    </row>
    <row r="496" ht="14.25" customHeight="1">
      <c r="H496" s="105"/>
    </row>
    <row r="497" ht="14.25" customHeight="1">
      <c r="H497" s="105"/>
    </row>
    <row r="498" ht="14.25" customHeight="1">
      <c r="H498" s="105"/>
    </row>
    <row r="499" ht="14.25" customHeight="1">
      <c r="H499" s="105"/>
    </row>
    <row r="500" ht="14.25" customHeight="1">
      <c r="H500" s="105"/>
    </row>
    <row r="501" ht="14.25" customHeight="1">
      <c r="H501" s="105"/>
    </row>
    <row r="502" ht="14.25" customHeight="1">
      <c r="H502" s="105"/>
    </row>
    <row r="503" ht="14.25" customHeight="1">
      <c r="H503" s="105"/>
    </row>
    <row r="504" ht="14.25" customHeight="1">
      <c r="H504" s="105"/>
    </row>
    <row r="505" ht="14.25" customHeight="1">
      <c r="H505" s="105"/>
    </row>
    <row r="506" ht="14.25" customHeight="1">
      <c r="H506" s="105"/>
    </row>
    <row r="507" ht="14.25" customHeight="1">
      <c r="H507" s="105"/>
    </row>
    <row r="508" ht="14.25" customHeight="1">
      <c r="H508" s="105"/>
    </row>
    <row r="509" ht="14.25" customHeight="1">
      <c r="H509" s="105"/>
    </row>
    <row r="510" ht="14.25" customHeight="1">
      <c r="H510" s="105"/>
    </row>
    <row r="511" ht="14.25" customHeight="1">
      <c r="H511" s="105"/>
    </row>
    <row r="512" ht="14.25" customHeight="1">
      <c r="H512" s="105"/>
    </row>
    <row r="513" ht="14.25" customHeight="1">
      <c r="H513" s="105"/>
    </row>
    <row r="514" ht="14.25" customHeight="1">
      <c r="H514" s="105"/>
    </row>
    <row r="515" ht="14.25" customHeight="1">
      <c r="H515" s="105"/>
    </row>
    <row r="516" ht="14.25" customHeight="1">
      <c r="H516" s="105"/>
    </row>
    <row r="517" ht="14.25" customHeight="1">
      <c r="H517" s="105"/>
    </row>
    <row r="518" ht="14.25" customHeight="1">
      <c r="H518" s="105"/>
    </row>
    <row r="519" ht="14.25" customHeight="1">
      <c r="H519" s="105"/>
    </row>
    <row r="520" ht="14.25" customHeight="1">
      <c r="H520" s="105"/>
    </row>
    <row r="521" ht="14.25" customHeight="1">
      <c r="H521" s="105"/>
    </row>
    <row r="522" ht="14.25" customHeight="1">
      <c r="H522" s="105"/>
    </row>
    <row r="523" ht="14.25" customHeight="1">
      <c r="H523" s="105"/>
    </row>
    <row r="524" ht="14.25" customHeight="1">
      <c r="H524" s="105"/>
    </row>
    <row r="525" ht="14.25" customHeight="1">
      <c r="H525" s="105"/>
    </row>
    <row r="526" ht="14.25" customHeight="1">
      <c r="H526" s="105"/>
    </row>
    <row r="527" ht="14.25" customHeight="1">
      <c r="H527" s="105"/>
    </row>
    <row r="528" ht="14.25" customHeight="1">
      <c r="H528" s="105"/>
    </row>
    <row r="529" ht="14.25" customHeight="1">
      <c r="H529" s="105"/>
    </row>
    <row r="530" ht="14.25" customHeight="1">
      <c r="H530" s="105"/>
    </row>
    <row r="531" ht="14.25" customHeight="1">
      <c r="H531" s="105"/>
    </row>
    <row r="532" ht="14.25" customHeight="1">
      <c r="H532" s="105"/>
    </row>
    <row r="533" ht="14.25" customHeight="1">
      <c r="H533" s="105"/>
    </row>
    <row r="534" ht="14.25" customHeight="1">
      <c r="H534" s="105"/>
    </row>
    <row r="535" ht="14.25" customHeight="1">
      <c r="H535" s="105"/>
    </row>
    <row r="536" ht="14.25" customHeight="1">
      <c r="H536" s="105"/>
    </row>
    <row r="537" ht="14.25" customHeight="1">
      <c r="H537" s="105"/>
    </row>
    <row r="538" ht="14.25" customHeight="1">
      <c r="H538" s="105"/>
    </row>
    <row r="539" ht="14.25" customHeight="1">
      <c r="H539" s="105"/>
    </row>
    <row r="540" ht="14.25" customHeight="1">
      <c r="H540" s="105"/>
    </row>
    <row r="541" ht="14.25" customHeight="1">
      <c r="H541" s="105"/>
    </row>
    <row r="542" ht="14.25" customHeight="1">
      <c r="H542" s="105"/>
    </row>
    <row r="543" ht="14.25" customHeight="1">
      <c r="H543" s="105"/>
    </row>
    <row r="544" ht="14.25" customHeight="1">
      <c r="H544" s="105"/>
    </row>
    <row r="545" ht="14.25" customHeight="1">
      <c r="H545" s="105"/>
    </row>
    <row r="546" ht="14.25" customHeight="1">
      <c r="H546" s="105"/>
    </row>
    <row r="547" ht="14.25" customHeight="1">
      <c r="H547" s="105"/>
    </row>
    <row r="548" ht="14.25" customHeight="1">
      <c r="H548" s="105"/>
    </row>
    <row r="549" ht="14.25" customHeight="1">
      <c r="H549" s="105"/>
    </row>
    <row r="550" ht="14.25" customHeight="1">
      <c r="H550" s="105"/>
    </row>
    <row r="551" ht="14.25" customHeight="1">
      <c r="H551" s="105"/>
    </row>
    <row r="552" ht="14.25" customHeight="1">
      <c r="H552" s="105"/>
    </row>
    <row r="553" ht="14.25" customHeight="1">
      <c r="H553" s="105"/>
    </row>
    <row r="554" ht="14.25" customHeight="1">
      <c r="H554" s="105"/>
    </row>
    <row r="555" ht="14.25" customHeight="1">
      <c r="H555" s="105"/>
    </row>
    <row r="556" ht="14.25" customHeight="1">
      <c r="H556" s="105"/>
    </row>
    <row r="557" ht="14.25" customHeight="1">
      <c r="H557" s="105"/>
    </row>
    <row r="558" ht="14.25" customHeight="1">
      <c r="H558" s="105"/>
    </row>
    <row r="559" ht="14.25" customHeight="1">
      <c r="H559" s="105"/>
    </row>
    <row r="560" ht="14.25" customHeight="1">
      <c r="H560" s="105"/>
    </row>
    <row r="561" ht="14.25" customHeight="1">
      <c r="H561" s="105"/>
    </row>
    <row r="562" ht="14.25" customHeight="1">
      <c r="H562" s="105"/>
    </row>
    <row r="563" ht="14.25" customHeight="1">
      <c r="H563" s="105"/>
    </row>
    <row r="564" ht="14.25" customHeight="1">
      <c r="H564" s="105"/>
    </row>
    <row r="565" ht="14.25" customHeight="1">
      <c r="H565" s="105"/>
    </row>
    <row r="566" ht="14.25" customHeight="1">
      <c r="H566" s="105"/>
    </row>
    <row r="567" ht="14.25" customHeight="1">
      <c r="H567" s="105"/>
    </row>
    <row r="568" ht="14.25" customHeight="1">
      <c r="H568" s="105"/>
    </row>
    <row r="569" ht="14.25" customHeight="1">
      <c r="H569" s="105"/>
    </row>
    <row r="570" ht="14.25" customHeight="1">
      <c r="H570" s="105"/>
    </row>
    <row r="571" ht="14.25" customHeight="1">
      <c r="H571" s="105"/>
    </row>
    <row r="572" ht="14.25" customHeight="1">
      <c r="H572" s="105"/>
    </row>
    <row r="573" ht="14.25" customHeight="1">
      <c r="H573" s="105"/>
    </row>
    <row r="574" ht="14.25" customHeight="1">
      <c r="H574" s="105"/>
    </row>
    <row r="575" ht="14.25" customHeight="1">
      <c r="H575" s="105"/>
    </row>
    <row r="576" ht="14.25" customHeight="1">
      <c r="H576" s="105"/>
    </row>
    <row r="577" ht="14.25" customHeight="1">
      <c r="H577" s="105"/>
    </row>
    <row r="578" ht="14.25" customHeight="1">
      <c r="H578" s="105"/>
    </row>
    <row r="579" ht="14.25" customHeight="1">
      <c r="H579" s="105"/>
    </row>
    <row r="580" ht="14.25" customHeight="1">
      <c r="H580" s="105"/>
    </row>
    <row r="581" ht="14.25" customHeight="1">
      <c r="H581" s="105"/>
    </row>
    <row r="582" ht="14.25" customHeight="1">
      <c r="H582" s="105"/>
    </row>
    <row r="583" ht="14.25" customHeight="1">
      <c r="H583" s="105"/>
    </row>
    <row r="584" ht="14.25" customHeight="1">
      <c r="H584" s="105"/>
    </row>
    <row r="585" ht="14.25" customHeight="1">
      <c r="H585" s="105"/>
    </row>
    <row r="586" ht="14.25" customHeight="1">
      <c r="H586" s="105"/>
    </row>
    <row r="587" ht="14.25" customHeight="1">
      <c r="H587" s="105"/>
    </row>
    <row r="588" ht="14.25" customHeight="1">
      <c r="H588" s="105"/>
    </row>
    <row r="589" ht="14.25" customHeight="1">
      <c r="H589" s="105"/>
    </row>
    <row r="590" ht="14.25" customHeight="1">
      <c r="H590" s="105"/>
    </row>
    <row r="591" ht="14.25" customHeight="1">
      <c r="H591" s="105"/>
    </row>
    <row r="592" ht="14.25" customHeight="1">
      <c r="H592" s="105"/>
    </row>
    <row r="593" ht="14.25" customHeight="1">
      <c r="H593" s="105"/>
    </row>
    <row r="594" ht="14.25" customHeight="1">
      <c r="H594" s="105"/>
    </row>
    <row r="595" ht="14.25" customHeight="1">
      <c r="H595" s="105"/>
    </row>
    <row r="596" ht="14.25" customHeight="1">
      <c r="H596" s="105"/>
    </row>
    <row r="597" ht="14.25" customHeight="1">
      <c r="H597" s="105"/>
    </row>
    <row r="598" ht="14.25" customHeight="1">
      <c r="H598" s="105"/>
    </row>
    <row r="599" ht="14.25" customHeight="1">
      <c r="H599" s="105"/>
    </row>
    <row r="600" ht="14.25" customHeight="1">
      <c r="H600" s="105"/>
    </row>
    <row r="601" ht="14.25" customHeight="1">
      <c r="H601" s="105"/>
    </row>
    <row r="602" ht="14.25" customHeight="1">
      <c r="H602" s="105"/>
    </row>
    <row r="603" ht="14.25" customHeight="1">
      <c r="H603" s="105"/>
    </row>
    <row r="604" ht="14.25" customHeight="1">
      <c r="H604" s="105"/>
    </row>
    <row r="605" ht="14.25" customHeight="1">
      <c r="H605" s="105"/>
    </row>
    <row r="606" ht="14.25" customHeight="1">
      <c r="H606" s="105"/>
    </row>
    <row r="607" ht="14.25" customHeight="1">
      <c r="H607" s="105"/>
    </row>
    <row r="608" ht="14.25" customHeight="1">
      <c r="H608" s="105"/>
    </row>
    <row r="609" ht="14.25" customHeight="1">
      <c r="H609" s="105"/>
    </row>
    <row r="610" ht="14.25" customHeight="1">
      <c r="H610" s="105"/>
    </row>
    <row r="611" ht="14.25" customHeight="1">
      <c r="H611" s="105"/>
    </row>
    <row r="612" ht="14.25" customHeight="1">
      <c r="H612" s="105"/>
    </row>
    <row r="613" ht="14.25" customHeight="1">
      <c r="H613" s="105"/>
    </row>
    <row r="614" ht="14.25" customHeight="1">
      <c r="H614" s="105"/>
    </row>
    <row r="615" ht="14.25" customHeight="1">
      <c r="H615" s="105"/>
    </row>
    <row r="616" ht="14.25" customHeight="1">
      <c r="H616" s="105"/>
    </row>
    <row r="617" ht="14.25" customHeight="1">
      <c r="H617" s="105"/>
    </row>
    <row r="618" ht="14.25" customHeight="1">
      <c r="H618" s="105"/>
    </row>
    <row r="619" ht="14.25" customHeight="1">
      <c r="H619" s="105"/>
    </row>
    <row r="620" ht="14.25" customHeight="1">
      <c r="H620" s="105"/>
    </row>
    <row r="621" ht="14.25" customHeight="1">
      <c r="H621" s="105"/>
    </row>
    <row r="622" ht="14.25" customHeight="1">
      <c r="H622" s="105"/>
    </row>
    <row r="623" ht="14.25" customHeight="1">
      <c r="H623" s="105"/>
    </row>
    <row r="624" ht="14.25" customHeight="1">
      <c r="H624" s="105"/>
    </row>
    <row r="625" ht="14.25" customHeight="1">
      <c r="H625" s="105"/>
    </row>
    <row r="626" ht="14.25" customHeight="1">
      <c r="H626" s="105"/>
    </row>
    <row r="627" ht="14.25" customHeight="1">
      <c r="H627" s="105"/>
    </row>
    <row r="628" ht="14.25" customHeight="1">
      <c r="H628" s="105"/>
    </row>
    <row r="629" ht="14.25" customHeight="1">
      <c r="H629" s="105"/>
    </row>
    <row r="630" ht="14.25" customHeight="1">
      <c r="H630" s="105"/>
    </row>
    <row r="631" ht="14.25" customHeight="1">
      <c r="H631" s="105"/>
    </row>
    <row r="632" ht="14.25" customHeight="1">
      <c r="H632" s="105"/>
    </row>
    <row r="633" ht="14.25" customHeight="1">
      <c r="H633" s="105"/>
    </row>
    <row r="634" ht="14.25" customHeight="1">
      <c r="H634" s="105"/>
    </row>
    <row r="635" ht="14.25" customHeight="1">
      <c r="H635" s="105"/>
    </row>
    <row r="636" ht="14.25" customHeight="1">
      <c r="H636" s="105"/>
    </row>
    <row r="637" ht="14.25" customHeight="1">
      <c r="H637" s="105"/>
    </row>
    <row r="638" ht="14.25" customHeight="1">
      <c r="H638" s="105"/>
    </row>
    <row r="639" ht="14.25" customHeight="1">
      <c r="H639" s="105"/>
    </row>
    <row r="640" ht="14.25" customHeight="1">
      <c r="H640" s="105"/>
    </row>
    <row r="641" ht="14.25" customHeight="1">
      <c r="H641" s="105"/>
    </row>
    <row r="642" ht="14.25" customHeight="1">
      <c r="H642" s="105"/>
    </row>
    <row r="643" ht="14.25" customHeight="1">
      <c r="H643" s="105"/>
    </row>
    <row r="644" ht="14.25" customHeight="1">
      <c r="H644" s="105"/>
    </row>
    <row r="645" ht="14.25" customHeight="1">
      <c r="H645" s="105"/>
    </row>
    <row r="646" ht="14.25" customHeight="1">
      <c r="H646" s="105"/>
    </row>
    <row r="647" ht="14.25" customHeight="1">
      <c r="H647" s="105"/>
    </row>
    <row r="648" ht="14.25" customHeight="1">
      <c r="H648" s="105"/>
    </row>
    <row r="649" ht="14.25" customHeight="1">
      <c r="H649" s="105"/>
    </row>
    <row r="650" ht="14.25" customHeight="1">
      <c r="H650" s="105"/>
    </row>
    <row r="651" ht="14.25" customHeight="1">
      <c r="H651" s="105"/>
    </row>
    <row r="652" ht="14.25" customHeight="1">
      <c r="H652" s="105"/>
    </row>
    <row r="653" ht="14.25" customHeight="1">
      <c r="H653" s="105"/>
    </row>
    <row r="654" ht="14.25" customHeight="1">
      <c r="H654" s="105"/>
    </row>
    <row r="655" ht="14.25" customHeight="1">
      <c r="H655" s="105"/>
    </row>
    <row r="656" ht="14.25" customHeight="1">
      <c r="H656" s="105"/>
    </row>
    <row r="657" ht="14.25" customHeight="1">
      <c r="H657" s="105"/>
    </row>
    <row r="658" ht="14.25" customHeight="1">
      <c r="H658" s="105"/>
    </row>
    <row r="659" ht="14.25" customHeight="1">
      <c r="H659" s="105"/>
    </row>
    <row r="660" ht="14.25" customHeight="1">
      <c r="H660" s="105"/>
    </row>
    <row r="661" ht="14.25" customHeight="1">
      <c r="H661" s="105"/>
    </row>
    <row r="662" ht="14.25" customHeight="1">
      <c r="H662" s="105"/>
    </row>
    <row r="663" ht="14.25" customHeight="1">
      <c r="H663" s="105"/>
    </row>
    <row r="664" ht="14.25" customHeight="1">
      <c r="H664" s="105"/>
    </row>
    <row r="665" ht="14.25" customHeight="1">
      <c r="H665" s="105"/>
    </row>
    <row r="666" ht="14.25" customHeight="1">
      <c r="H666" s="105"/>
    </row>
    <row r="667" ht="14.25" customHeight="1">
      <c r="H667" s="105"/>
    </row>
    <row r="668" ht="14.25" customHeight="1">
      <c r="H668" s="105"/>
    </row>
    <row r="669" ht="14.25" customHeight="1">
      <c r="H669" s="105"/>
    </row>
    <row r="670" ht="14.25" customHeight="1">
      <c r="H670" s="105"/>
    </row>
    <row r="671" ht="14.25" customHeight="1">
      <c r="H671" s="105"/>
    </row>
    <row r="672" ht="14.25" customHeight="1">
      <c r="H672" s="105"/>
    </row>
    <row r="673" ht="14.25" customHeight="1">
      <c r="H673" s="105"/>
    </row>
    <row r="674" ht="14.25" customHeight="1">
      <c r="H674" s="105"/>
    </row>
    <row r="675" ht="14.25" customHeight="1">
      <c r="H675" s="105"/>
    </row>
    <row r="676" ht="14.25" customHeight="1">
      <c r="H676" s="105"/>
    </row>
    <row r="677" ht="14.25" customHeight="1">
      <c r="H677" s="105"/>
    </row>
    <row r="678" ht="14.25" customHeight="1">
      <c r="H678" s="105"/>
    </row>
    <row r="679" ht="14.25" customHeight="1">
      <c r="H679" s="105"/>
    </row>
    <row r="680" ht="14.25" customHeight="1">
      <c r="H680" s="105"/>
    </row>
    <row r="681" ht="14.25" customHeight="1">
      <c r="H681" s="105"/>
    </row>
    <row r="682" ht="14.25" customHeight="1">
      <c r="H682" s="105"/>
    </row>
    <row r="683" ht="14.25" customHeight="1">
      <c r="H683" s="105"/>
    </row>
    <row r="684" ht="14.25" customHeight="1">
      <c r="H684" s="105"/>
    </row>
    <row r="685" ht="14.25" customHeight="1">
      <c r="H685" s="105"/>
    </row>
    <row r="686" ht="14.25" customHeight="1">
      <c r="H686" s="105"/>
    </row>
    <row r="687" ht="14.25" customHeight="1">
      <c r="H687" s="105"/>
    </row>
    <row r="688" ht="14.25" customHeight="1">
      <c r="H688" s="105"/>
    </row>
    <row r="689" ht="14.25" customHeight="1">
      <c r="H689" s="105"/>
    </row>
    <row r="690" ht="14.25" customHeight="1">
      <c r="H690" s="105"/>
    </row>
    <row r="691" ht="14.25" customHeight="1">
      <c r="H691" s="105"/>
    </row>
    <row r="692" ht="14.25" customHeight="1">
      <c r="H692" s="105"/>
    </row>
    <row r="693" ht="14.25" customHeight="1">
      <c r="H693" s="105"/>
    </row>
    <row r="694" ht="14.25" customHeight="1">
      <c r="H694" s="105"/>
    </row>
    <row r="695" ht="14.25" customHeight="1">
      <c r="H695" s="105"/>
    </row>
    <row r="696" ht="14.25" customHeight="1">
      <c r="H696" s="105"/>
    </row>
    <row r="697" ht="14.25" customHeight="1">
      <c r="H697" s="105"/>
    </row>
    <row r="698" ht="14.25" customHeight="1">
      <c r="H698" s="105"/>
    </row>
    <row r="699" ht="14.25" customHeight="1">
      <c r="H699" s="105"/>
    </row>
    <row r="700" ht="14.25" customHeight="1">
      <c r="H700" s="105"/>
    </row>
    <row r="701" ht="14.25" customHeight="1">
      <c r="H701" s="105"/>
    </row>
    <row r="702" ht="14.25" customHeight="1">
      <c r="H702" s="105"/>
    </row>
    <row r="703" ht="14.25" customHeight="1">
      <c r="H703" s="105"/>
    </row>
    <row r="704" ht="14.25" customHeight="1">
      <c r="H704" s="105"/>
    </row>
    <row r="705" ht="14.25" customHeight="1">
      <c r="H705" s="105"/>
    </row>
    <row r="706" ht="14.25" customHeight="1">
      <c r="H706" s="105"/>
    </row>
    <row r="707" ht="14.25" customHeight="1">
      <c r="H707" s="105"/>
    </row>
    <row r="708" ht="14.25" customHeight="1">
      <c r="H708" s="105"/>
    </row>
    <row r="709" ht="14.25" customHeight="1">
      <c r="H709" s="105"/>
    </row>
    <row r="710" ht="14.25" customHeight="1">
      <c r="H710" s="105"/>
    </row>
    <row r="711" ht="14.25" customHeight="1">
      <c r="H711" s="105"/>
    </row>
    <row r="712" ht="14.25" customHeight="1">
      <c r="H712" s="105"/>
    </row>
    <row r="713" ht="14.25" customHeight="1">
      <c r="H713" s="105"/>
    </row>
    <row r="714" ht="14.25" customHeight="1">
      <c r="H714" s="105"/>
    </row>
    <row r="715" ht="14.25" customHeight="1">
      <c r="H715" s="105"/>
    </row>
    <row r="716" ht="14.25" customHeight="1">
      <c r="H716" s="105"/>
    </row>
    <row r="717" ht="14.25" customHeight="1">
      <c r="H717" s="105"/>
    </row>
    <row r="718" ht="14.25" customHeight="1">
      <c r="H718" s="105"/>
    </row>
    <row r="719" ht="14.25" customHeight="1">
      <c r="H719" s="105"/>
    </row>
    <row r="720" ht="14.25" customHeight="1">
      <c r="H720" s="105"/>
    </row>
    <row r="721" ht="14.25" customHeight="1">
      <c r="H721" s="105"/>
    </row>
    <row r="722" ht="14.25" customHeight="1">
      <c r="H722" s="105"/>
    </row>
    <row r="723" ht="14.25" customHeight="1">
      <c r="H723" s="105"/>
    </row>
    <row r="724" ht="14.25" customHeight="1">
      <c r="H724" s="105"/>
    </row>
    <row r="725" ht="14.25" customHeight="1">
      <c r="H725" s="105"/>
    </row>
    <row r="726" ht="14.25" customHeight="1">
      <c r="H726" s="105"/>
    </row>
    <row r="727" ht="14.25" customHeight="1">
      <c r="H727" s="105"/>
    </row>
    <row r="728" ht="14.25" customHeight="1">
      <c r="H728" s="105"/>
    </row>
    <row r="729" ht="14.25" customHeight="1">
      <c r="H729" s="105"/>
    </row>
    <row r="730" ht="14.25" customHeight="1">
      <c r="H730" s="105"/>
    </row>
    <row r="731" ht="14.25" customHeight="1">
      <c r="H731" s="105"/>
    </row>
    <row r="732" ht="14.25" customHeight="1">
      <c r="H732" s="105"/>
    </row>
    <row r="733" ht="14.25" customHeight="1">
      <c r="H733" s="105"/>
    </row>
    <row r="734" ht="14.25" customHeight="1">
      <c r="H734" s="105"/>
    </row>
    <row r="735" ht="14.25" customHeight="1">
      <c r="H735" s="105"/>
    </row>
    <row r="736" ht="14.25" customHeight="1">
      <c r="H736" s="105"/>
    </row>
    <row r="737" ht="14.25" customHeight="1">
      <c r="H737" s="105"/>
    </row>
    <row r="738" ht="14.25" customHeight="1">
      <c r="H738" s="105"/>
    </row>
    <row r="739" ht="14.25" customHeight="1">
      <c r="H739" s="105"/>
    </row>
    <row r="740" ht="14.25" customHeight="1">
      <c r="H740" s="105"/>
    </row>
    <row r="741" ht="14.25" customHeight="1">
      <c r="H741" s="105"/>
    </row>
    <row r="742" ht="14.25" customHeight="1">
      <c r="H742" s="105"/>
    </row>
    <row r="743" ht="14.25" customHeight="1">
      <c r="H743" s="105"/>
    </row>
    <row r="744" ht="14.25" customHeight="1">
      <c r="H744" s="105"/>
    </row>
    <row r="745" ht="14.25" customHeight="1">
      <c r="H745" s="105"/>
    </row>
    <row r="746" ht="14.25" customHeight="1">
      <c r="H746" s="105"/>
    </row>
    <row r="747" ht="14.25" customHeight="1">
      <c r="H747" s="105"/>
    </row>
    <row r="748" ht="14.25" customHeight="1">
      <c r="H748" s="105"/>
    </row>
    <row r="749" ht="14.25" customHeight="1">
      <c r="H749" s="105"/>
    </row>
    <row r="750" ht="14.25" customHeight="1">
      <c r="H750" s="105"/>
    </row>
    <row r="751" ht="14.25" customHeight="1">
      <c r="H751" s="105"/>
    </row>
    <row r="752" ht="14.25" customHeight="1">
      <c r="H752" s="105"/>
    </row>
    <row r="753" ht="14.25" customHeight="1">
      <c r="H753" s="105"/>
    </row>
    <row r="754" ht="14.25" customHeight="1">
      <c r="H754" s="105"/>
    </row>
    <row r="755" ht="14.25" customHeight="1">
      <c r="H755" s="105"/>
    </row>
    <row r="756" ht="14.25" customHeight="1">
      <c r="H756" s="105"/>
    </row>
    <row r="757" ht="14.25" customHeight="1">
      <c r="H757" s="105"/>
    </row>
    <row r="758" ht="14.25" customHeight="1">
      <c r="H758" s="105"/>
    </row>
    <row r="759" ht="14.25" customHeight="1">
      <c r="H759" s="105"/>
    </row>
    <row r="760" ht="14.25" customHeight="1">
      <c r="H760" s="105"/>
    </row>
    <row r="761" ht="14.25" customHeight="1">
      <c r="H761" s="105"/>
    </row>
    <row r="762" ht="14.25" customHeight="1">
      <c r="H762" s="105"/>
    </row>
    <row r="763" ht="14.25" customHeight="1">
      <c r="H763" s="105"/>
    </row>
    <row r="764" ht="14.25" customHeight="1">
      <c r="H764" s="105"/>
    </row>
    <row r="765" ht="14.25" customHeight="1">
      <c r="H765" s="105"/>
    </row>
    <row r="766" ht="14.25" customHeight="1">
      <c r="H766" s="105"/>
    </row>
    <row r="767" ht="14.25" customHeight="1">
      <c r="H767" s="105"/>
    </row>
    <row r="768" ht="14.25" customHeight="1">
      <c r="H768" s="105"/>
    </row>
    <row r="769" ht="14.25" customHeight="1">
      <c r="H769" s="105"/>
    </row>
    <row r="770" ht="14.25" customHeight="1">
      <c r="H770" s="105"/>
    </row>
    <row r="771" ht="14.25" customHeight="1">
      <c r="H771" s="105"/>
    </row>
    <row r="772" ht="14.25" customHeight="1">
      <c r="H772" s="105"/>
    </row>
    <row r="773" ht="14.25" customHeight="1">
      <c r="H773" s="105"/>
    </row>
    <row r="774" ht="14.25" customHeight="1">
      <c r="H774" s="105"/>
    </row>
    <row r="775" ht="14.25" customHeight="1">
      <c r="H775" s="105"/>
    </row>
    <row r="776" ht="14.25" customHeight="1">
      <c r="H776" s="105"/>
    </row>
    <row r="777" ht="14.25" customHeight="1">
      <c r="H777" s="105"/>
    </row>
    <row r="778" ht="14.25" customHeight="1">
      <c r="H778" s="105"/>
    </row>
    <row r="779" ht="14.25" customHeight="1">
      <c r="H779" s="105"/>
    </row>
    <row r="780" ht="14.25" customHeight="1">
      <c r="H780" s="105"/>
    </row>
    <row r="781" ht="14.25" customHeight="1">
      <c r="H781" s="105"/>
    </row>
    <row r="782" ht="14.25" customHeight="1">
      <c r="H782" s="105"/>
    </row>
    <row r="783" ht="14.25" customHeight="1">
      <c r="H783" s="105"/>
    </row>
    <row r="784" ht="14.25" customHeight="1">
      <c r="H784" s="105"/>
    </row>
    <row r="785" ht="14.25" customHeight="1">
      <c r="H785" s="105"/>
    </row>
    <row r="786" ht="14.25" customHeight="1">
      <c r="H786" s="105"/>
    </row>
    <row r="787" ht="14.25" customHeight="1">
      <c r="H787" s="105"/>
    </row>
    <row r="788" ht="14.25" customHeight="1">
      <c r="H788" s="105"/>
    </row>
    <row r="789" ht="14.25" customHeight="1">
      <c r="H789" s="105"/>
    </row>
    <row r="790" ht="14.25" customHeight="1">
      <c r="H790" s="105"/>
    </row>
    <row r="791" ht="14.25" customHeight="1">
      <c r="H791" s="105"/>
    </row>
    <row r="792" ht="14.25" customHeight="1">
      <c r="H792" s="105"/>
    </row>
    <row r="793" ht="14.25" customHeight="1">
      <c r="H793" s="105"/>
    </row>
    <row r="794" ht="14.25" customHeight="1">
      <c r="H794" s="105"/>
    </row>
    <row r="795" ht="14.25" customHeight="1">
      <c r="H795" s="105"/>
    </row>
    <row r="796" ht="14.25" customHeight="1">
      <c r="H796" s="105"/>
    </row>
    <row r="797" ht="14.25" customHeight="1">
      <c r="H797" s="105"/>
    </row>
    <row r="798" ht="14.25" customHeight="1">
      <c r="H798" s="105"/>
    </row>
    <row r="799" ht="14.25" customHeight="1">
      <c r="H799" s="105"/>
    </row>
    <row r="800" ht="14.25" customHeight="1">
      <c r="H800" s="105"/>
    </row>
    <row r="801" ht="14.25" customHeight="1">
      <c r="H801" s="105"/>
    </row>
    <row r="802" ht="14.25" customHeight="1">
      <c r="H802" s="105"/>
    </row>
    <row r="803" ht="14.25" customHeight="1">
      <c r="H803" s="105"/>
    </row>
    <row r="804" ht="14.25" customHeight="1">
      <c r="H804" s="105"/>
    </row>
    <row r="805" ht="14.25" customHeight="1">
      <c r="H805" s="105"/>
    </row>
    <row r="806" ht="14.25" customHeight="1">
      <c r="H806" s="105"/>
    </row>
    <row r="807" ht="14.25" customHeight="1">
      <c r="H807" s="105"/>
    </row>
    <row r="808" ht="14.25" customHeight="1">
      <c r="H808" s="105"/>
    </row>
    <row r="809" ht="14.25" customHeight="1">
      <c r="H809" s="105"/>
    </row>
    <row r="810" ht="14.25" customHeight="1">
      <c r="H810" s="105"/>
    </row>
    <row r="811" ht="14.25" customHeight="1">
      <c r="H811" s="105"/>
    </row>
    <row r="812" ht="14.25" customHeight="1">
      <c r="H812" s="105"/>
    </row>
    <row r="813" ht="14.25" customHeight="1">
      <c r="H813" s="105"/>
    </row>
    <row r="814" ht="14.25" customHeight="1">
      <c r="H814" s="105"/>
    </row>
    <row r="815" ht="14.25" customHeight="1">
      <c r="H815" s="105"/>
    </row>
    <row r="816" ht="14.25" customHeight="1">
      <c r="H816" s="105"/>
    </row>
    <row r="817" ht="14.25" customHeight="1">
      <c r="H817" s="105"/>
    </row>
    <row r="818" ht="14.25" customHeight="1">
      <c r="H818" s="105"/>
    </row>
    <row r="819" ht="14.25" customHeight="1">
      <c r="H819" s="105"/>
    </row>
    <row r="820" ht="14.25" customHeight="1">
      <c r="H820" s="105"/>
    </row>
    <row r="821" ht="14.25" customHeight="1">
      <c r="H821" s="105"/>
    </row>
    <row r="822" ht="14.25" customHeight="1">
      <c r="H822" s="105"/>
    </row>
    <row r="823" ht="14.25" customHeight="1">
      <c r="H823" s="105"/>
    </row>
    <row r="824" ht="14.25" customHeight="1">
      <c r="H824" s="105"/>
    </row>
    <row r="825" ht="14.25" customHeight="1">
      <c r="H825" s="105"/>
    </row>
    <row r="826" ht="14.25" customHeight="1">
      <c r="H826" s="105"/>
    </row>
    <row r="827" ht="14.25" customHeight="1">
      <c r="H827" s="105"/>
    </row>
    <row r="828" ht="14.25" customHeight="1">
      <c r="H828" s="105"/>
    </row>
    <row r="829" ht="14.25" customHeight="1">
      <c r="H829" s="105"/>
    </row>
    <row r="830" ht="14.25" customHeight="1">
      <c r="H830" s="105"/>
    </row>
    <row r="831" ht="14.25" customHeight="1">
      <c r="H831" s="105"/>
    </row>
    <row r="832" ht="14.25" customHeight="1">
      <c r="H832" s="105"/>
    </row>
    <row r="833" ht="14.25" customHeight="1">
      <c r="H833" s="105"/>
    </row>
    <row r="834" ht="14.25" customHeight="1">
      <c r="H834" s="105"/>
    </row>
    <row r="835" ht="14.25" customHeight="1">
      <c r="H835" s="105"/>
    </row>
    <row r="836" ht="14.25" customHeight="1">
      <c r="H836" s="105"/>
    </row>
    <row r="837" ht="14.25" customHeight="1">
      <c r="H837" s="105"/>
    </row>
    <row r="838" ht="14.25" customHeight="1">
      <c r="H838" s="105"/>
    </row>
    <row r="839" ht="14.25" customHeight="1">
      <c r="H839" s="105"/>
    </row>
    <row r="840" ht="14.25" customHeight="1">
      <c r="H840" s="105"/>
    </row>
    <row r="841" ht="14.25" customHeight="1">
      <c r="H841" s="105"/>
    </row>
    <row r="842" ht="14.25" customHeight="1">
      <c r="H842" s="105"/>
    </row>
    <row r="843" ht="14.25" customHeight="1">
      <c r="H843" s="105"/>
    </row>
    <row r="844" ht="14.25" customHeight="1">
      <c r="H844" s="105"/>
    </row>
    <row r="845" ht="14.25" customHeight="1">
      <c r="H845" s="105"/>
    </row>
    <row r="846" ht="14.25" customHeight="1">
      <c r="H846" s="105"/>
    </row>
    <row r="847" ht="14.25" customHeight="1">
      <c r="H847" s="105"/>
    </row>
    <row r="848" ht="14.25" customHeight="1">
      <c r="H848" s="105"/>
    </row>
    <row r="849" ht="14.25" customHeight="1">
      <c r="H849" s="105"/>
    </row>
    <row r="850" ht="14.25" customHeight="1">
      <c r="H850" s="105"/>
    </row>
    <row r="851" ht="14.25" customHeight="1">
      <c r="H851" s="105"/>
    </row>
    <row r="852" ht="14.25" customHeight="1">
      <c r="H852" s="105"/>
    </row>
    <row r="853" ht="14.25" customHeight="1">
      <c r="H853" s="105"/>
    </row>
    <row r="854" ht="14.25" customHeight="1">
      <c r="H854" s="105"/>
    </row>
    <row r="855" ht="14.25" customHeight="1">
      <c r="H855" s="105"/>
    </row>
    <row r="856" ht="14.25" customHeight="1">
      <c r="H856" s="105"/>
    </row>
    <row r="857" ht="14.25" customHeight="1">
      <c r="H857" s="105"/>
    </row>
    <row r="858" ht="14.25" customHeight="1">
      <c r="H858" s="105"/>
    </row>
    <row r="859" ht="14.25" customHeight="1">
      <c r="H859" s="105"/>
    </row>
    <row r="860" ht="14.25" customHeight="1">
      <c r="H860" s="105"/>
    </row>
    <row r="861" ht="14.25" customHeight="1">
      <c r="H861" s="105"/>
    </row>
    <row r="862" ht="14.25" customHeight="1">
      <c r="H862" s="105"/>
    </row>
    <row r="863" ht="14.25" customHeight="1">
      <c r="H863" s="105"/>
    </row>
    <row r="864" ht="14.25" customHeight="1">
      <c r="H864" s="105"/>
    </row>
    <row r="865" ht="14.25" customHeight="1">
      <c r="H865" s="105"/>
    </row>
    <row r="866" ht="14.25" customHeight="1">
      <c r="H866" s="105"/>
    </row>
    <row r="867" ht="14.25" customHeight="1">
      <c r="H867" s="105"/>
    </row>
    <row r="868" ht="14.25" customHeight="1">
      <c r="H868" s="105"/>
    </row>
    <row r="869" ht="14.25" customHeight="1">
      <c r="H869" s="105"/>
    </row>
    <row r="870" ht="14.25" customHeight="1">
      <c r="H870" s="105"/>
    </row>
    <row r="871" ht="14.25" customHeight="1">
      <c r="H871" s="105"/>
    </row>
    <row r="872" ht="14.25" customHeight="1">
      <c r="H872" s="105"/>
    </row>
    <row r="873" ht="14.25" customHeight="1">
      <c r="H873" s="105"/>
    </row>
    <row r="874" ht="14.25" customHeight="1">
      <c r="H874" s="105"/>
    </row>
    <row r="875" ht="14.25" customHeight="1">
      <c r="H875" s="105"/>
    </row>
    <row r="876" ht="14.25" customHeight="1">
      <c r="H876" s="105"/>
    </row>
    <row r="877" ht="14.25" customHeight="1">
      <c r="H877" s="105"/>
    </row>
    <row r="878" ht="14.25" customHeight="1">
      <c r="H878" s="105"/>
    </row>
    <row r="879" ht="14.25" customHeight="1">
      <c r="H879" s="105"/>
    </row>
    <row r="880" ht="14.25" customHeight="1">
      <c r="H880" s="105"/>
    </row>
    <row r="881" ht="14.25" customHeight="1">
      <c r="H881" s="105"/>
    </row>
    <row r="882" ht="14.25" customHeight="1">
      <c r="H882" s="105"/>
    </row>
    <row r="883" ht="14.25" customHeight="1">
      <c r="H883" s="105"/>
    </row>
    <row r="884" ht="14.25" customHeight="1">
      <c r="H884" s="105"/>
    </row>
    <row r="885" ht="14.25" customHeight="1">
      <c r="H885" s="105"/>
    </row>
    <row r="886" ht="14.25" customHeight="1">
      <c r="H886" s="105"/>
    </row>
    <row r="887" ht="14.25" customHeight="1">
      <c r="H887" s="105"/>
    </row>
    <row r="888" ht="14.25" customHeight="1">
      <c r="H888" s="105"/>
    </row>
    <row r="889" ht="14.25" customHeight="1">
      <c r="H889" s="105"/>
    </row>
    <row r="890" ht="14.25" customHeight="1">
      <c r="H890" s="105"/>
    </row>
    <row r="891" ht="14.25" customHeight="1">
      <c r="H891" s="105"/>
    </row>
    <row r="892" ht="14.25" customHeight="1">
      <c r="H892" s="105"/>
    </row>
    <row r="893" ht="14.25" customHeight="1">
      <c r="H893" s="105"/>
    </row>
    <row r="894" ht="14.25" customHeight="1">
      <c r="H894" s="105"/>
    </row>
    <row r="895" ht="14.25" customHeight="1">
      <c r="H895" s="105"/>
    </row>
    <row r="896" ht="14.25" customHeight="1">
      <c r="H896" s="105"/>
    </row>
    <row r="897" ht="14.25" customHeight="1">
      <c r="H897" s="105"/>
    </row>
    <row r="898" ht="14.25" customHeight="1">
      <c r="H898" s="105"/>
    </row>
    <row r="899" ht="14.25" customHeight="1">
      <c r="H899" s="105"/>
    </row>
    <row r="900" ht="14.25" customHeight="1">
      <c r="H900" s="105"/>
    </row>
    <row r="901" ht="14.25" customHeight="1">
      <c r="H901" s="105"/>
    </row>
    <row r="902" ht="14.25" customHeight="1">
      <c r="H902" s="105"/>
    </row>
    <row r="903" ht="14.25" customHeight="1">
      <c r="H903" s="105"/>
    </row>
    <row r="904" ht="14.25" customHeight="1">
      <c r="H904" s="105"/>
    </row>
    <row r="905" ht="14.25" customHeight="1">
      <c r="H905" s="105"/>
    </row>
    <row r="906" ht="14.25" customHeight="1">
      <c r="H906" s="105"/>
    </row>
    <row r="907" ht="14.25" customHeight="1">
      <c r="H907" s="105"/>
    </row>
    <row r="908" ht="14.25" customHeight="1">
      <c r="H908" s="105"/>
    </row>
    <row r="909" ht="14.25" customHeight="1">
      <c r="H909" s="105"/>
    </row>
    <row r="910" ht="14.25" customHeight="1">
      <c r="H910" s="105"/>
    </row>
    <row r="911" ht="14.25" customHeight="1">
      <c r="H911" s="105"/>
    </row>
    <row r="912" ht="14.25" customHeight="1">
      <c r="H912" s="105"/>
    </row>
    <row r="913" ht="14.25" customHeight="1">
      <c r="H913" s="105"/>
    </row>
    <row r="914" ht="14.25" customHeight="1">
      <c r="H914" s="105"/>
    </row>
    <row r="915" ht="14.25" customHeight="1">
      <c r="H915" s="105"/>
    </row>
    <row r="916" ht="14.25" customHeight="1">
      <c r="H916" s="105"/>
    </row>
    <row r="917" ht="14.25" customHeight="1">
      <c r="H917" s="105"/>
    </row>
    <row r="918" ht="14.25" customHeight="1">
      <c r="H918" s="105"/>
    </row>
    <row r="919" ht="14.25" customHeight="1">
      <c r="H919" s="105"/>
    </row>
    <row r="920" ht="14.25" customHeight="1">
      <c r="H920" s="105"/>
    </row>
    <row r="921" ht="14.25" customHeight="1">
      <c r="H921" s="105"/>
    </row>
    <row r="922" ht="14.25" customHeight="1">
      <c r="H922" s="105"/>
    </row>
    <row r="923" ht="14.25" customHeight="1">
      <c r="H923" s="105"/>
    </row>
    <row r="924" ht="14.25" customHeight="1">
      <c r="H924" s="105"/>
    </row>
    <row r="925" ht="14.25" customHeight="1">
      <c r="H925" s="105"/>
    </row>
    <row r="926" ht="14.25" customHeight="1">
      <c r="H926" s="105"/>
    </row>
    <row r="927" ht="14.25" customHeight="1">
      <c r="H927" s="105"/>
    </row>
    <row r="928" ht="14.25" customHeight="1">
      <c r="H928" s="105"/>
    </row>
    <row r="929" ht="14.25" customHeight="1">
      <c r="H929" s="105"/>
    </row>
    <row r="930" ht="14.25" customHeight="1">
      <c r="H930" s="105"/>
    </row>
    <row r="931" ht="14.25" customHeight="1">
      <c r="H931" s="105"/>
    </row>
    <row r="932" ht="14.25" customHeight="1">
      <c r="H932" s="105"/>
    </row>
    <row r="933" ht="14.25" customHeight="1">
      <c r="H933" s="105"/>
    </row>
    <row r="934" ht="14.25" customHeight="1">
      <c r="H934" s="105"/>
    </row>
    <row r="935" ht="14.25" customHeight="1">
      <c r="H935" s="105"/>
    </row>
    <row r="936" ht="14.25" customHeight="1">
      <c r="H936" s="105"/>
    </row>
    <row r="937" ht="14.25" customHeight="1">
      <c r="H937" s="105"/>
    </row>
    <row r="938" ht="14.25" customHeight="1">
      <c r="H938" s="105"/>
    </row>
    <row r="939" ht="14.25" customHeight="1">
      <c r="H939" s="105"/>
    </row>
    <row r="940" ht="14.25" customHeight="1">
      <c r="H940" s="105"/>
    </row>
    <row r="941" ht="14.25" customHeight="1">
      <c r="H941" s="105"/>
    </row>
    <row r="942" ht="14.25" customHeight="1">
      <c r="H942" s="105"/>
    </row>
    <row r="943" ht="14.25" customHeight="1">
      <c r="H943" s="105"/>
    </row>
    <row r="944" ht="14.25" customHeight="1">
      <c r="H944" s="105"/>
    </row>
    <row r="945" ht="14.25" customHeight="1">
      <c r="H945" s="105"/>
    </row>
    <row r="946" ht="14.25" customHeight="1">
      <c r="H946" s="105"/>
    </row>
    <row r="947" ht="14.25" customHeight="1">
      <c r="H947" s="105"/>
    </row>
    <row r="948" ht="14.25" customHeight="1">
      <c r="H948" s="105"/>
    </row>
    <row r="949" ht="14.25" customHeight="1">
      <c r="H949" s="105"/>
    </row>
    <row r="950" ht="14.25" customHeight="1">
      <c r="H950" s="105"/>
    </row>
    <row r="951" ht="14.25" customHeight="1">
      <c r="H951" s="105"/>
    </row>
    <row r="952" ht="14.25" customHeight="1">
      <c r="H952" s="105"/>
    </row>
    <row r="953" ht="14.25" customHeight="1">
      <c r="H953" s="105"/>
    </row>
    <row r="954" ht="14.25" customHeight="1">
      <c r="H954" s="105"/>
    </row>
    <row r="955" ht="14.25" customHeight="1">
      <c r="H955" s="105"/>
    </row>
    <row r="956" ht="14.25" customHeight="1">
      <c r="H956" s="105"/>
    </row>
    <row r="957" ht="14.25" customHeight="1">
      <c r="H957" s="105"/>
    </row>
    <row r="958" ht="14.25" customHeight="1">
      <c r="H958" s="105"/>
    </row>
    <row r="959" ht="14.25" customHeight="1">
      <c r="H959" s="105"/>
    </row>
    <row r="960" ht="14.25" customHeight="1">
      <c r="H960" s="105"/>
    </row>
    <row r="961" ht="14.25" customHeight="1">
      <c r="H961" s="105"/>
    </row>
    <row r="962" ht="14.25" customHeight="1">
      <c r="H962" s="105"/>
    </row>
    <row r="963" ht="14.25" customHeight="1">
      <c r="H963" s="105"/>
    </row>
    <row r="964" ht="14.25" customHeight="1">
      <c r="H964" s="105"/>
    </row>
    <row r="965" ht="14.25" customHeight="1">
      <c r="H965" s="105"/>
    </row>
    <row r="966" ht="14.25" customHeight="1">
      <c r="H966" s="105"/>
    </row>
    <row r="967" ht="14.25" customHeight="1">
      <c r="H967" s="105"/>
    </row>
    <row r="968" ht="14.25" customHeight="1">
      <c r="H968" s="105"/>
    </row>
    <row r="969" ht="14.25" customHeight="1">
      <c r="H969" s="105"/>
    </row>
    <row r="970" ht="14.25" customHeight="1">
      <c r="H970" s="105"/>
    </row>
    <row r="971" ht="14.25" customHeight="1">
      <c r="H971" s="105"/>
    </row>
    <row r="972" ht="14.25" customHeight="1">
      <c r="H972" s="105"/>
    </row>
    <row r="973" ht="14.25" customHeight="1">
      <c r="H973" s="105"/>
    </row>
    <row r="974" ht="14.25" customHeight="1">
      <c r="H974" s="105"/>
    </row>
    <row r="975" ht="14.25" customHeight="1">
      <c r="H975" s="105"/>
    </row>
    <row r="976" ht="14.25" customHeight="1">
      <c r="H976" s="105"/>
    </row>
    <row r="977" ht="14.25" customHeight="1">
      <c r="H977" s="105"/>
    </row>
    <row r="978" ht="14.25" customHeight="1">
      <c r="H978" s="105"/>
    </row>
    <row r="979" ht="14.25" customHeight="1">
      <c r="H979" s="105"/>
    </row>
    <row r="980" ht="14.25" customHeight="1">
      <c r="H980" s="105"/>
    </row>
    <row r="981" ht="14.25" customHeight="1">
      <c r="H981" s="105"/>
    </row>
    <row r="982" ht="14.25" customHeight="1">
      <c r="H982" s="105"/>
    </row>
    <row r="983" ht="14.25" customHeight="1">
      <c r="H983" s="105"/>
    </row>
    <row r="984" ht="14.25" customHeight="1">
      <c r="H984" s="105"/>
    </row>
    <row r="985" ht="14.25" customHeight="1">
      <c r="H985" s="105"/>
    </row>
    <row r="986" ht="14.25" customHeight="1">
      <c r="H986" s="105"/>
    </row>
    <row r="987" ht="14.25" customHeight="1">
      <c r="H987" s="105"/>
    </row>
    <row r="988" ht="14.25" customHeight="1">
      <c r="H988" s="105"/>
    </row>
    <row r="989" ht="14.25" customHeight="1">
      <c r="H989" s="105"/>
    </row>
    <row r="990" ht="14.25" customHeight="1">
      <c r="H990" s="105"/>
    </row>
    <row r="991" ht="14.25" customHeight="1">
      <c r="H991" s="105"/>
    </row>
    <row r="992" ht="14.25" customHeight="1">
      <c r="H992" s="105"/>
    </row>
    <row r="993" ht="14.25" customHeight="1">
      <c r="H993" s="105"/>
    </row>
    <row r="994" ht="14.25" customHeight="1">
      <c r="H994" s="105"/>
    </row>
    <row r="995" ht="14.25" customHeight="1">
      <c r="H995" s="105"/>
    </row>
    <row r="996" ht="14.25" customHeight="1">
      <c r="H996" s="105"/>
    </row>
    <row r="997" ht="14.25" customHeight="1">
      <c r="H997" s="105"/>
    </row>
    <row r="998" ht="14.25" customHeight="1">
      <c r="H998" s="105"/>
    </row>
    <row r="999" ht="14.25" customHeight="1">
      <c r="H999" s="105"/>
    </row>
    <row r="1000" ht="14.25" customHeight="1">
      <c r="H1000" s="105"/>
    </row>
  </sheetData>
  <mergeCells count="2">
    <mergeCell ref="A2:M2"/>
    <mergeCell ref="A3:M3"/>
  </mergeCells>
  <printOptions/>
  <pageMargins bottom="0.7480314960629921" footer="0.0" header="0.0" left="0.7086614173228347" right="0.7086614173228347" top="0.7480314960629921"/>
  <pageSetup paperSize="5" scale="60"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workbookViewId="0"/>
  </sheetViews>
  <sheetFormatPr customHeight="1" defaultColWidth="14.43" defaultRowHeight="15.0"/>
  <cols>
    <col customWidth="1" min="1" max="1" width="4.14"/>
    <col customWidth="1" min="2" max="2" width="41.0"/>
    <col customWidth="1" min="3" max="3" width="31.43"/>
    <col customWidth="1" min="4" max="4" width="16.29"/>
    <col customWidth="1" min="5" max="5" width="9.14"/>
    <col customWidth="1" min="6" max="6" width="16.71"/>
    <col customWidth="1" min="7" max="7" width="39.29"/>
    <col customWidth="1" min="8" max="8" width="8.71"/>
    <col customWidth="1" min="9" max="9" width="23.71"/>
    <col customWidth="1" min="10" max="10" width="21.71"/>
    <col customWidth="1" min="11" max="11" width="20.29"/>
    <col customWidth="1" min="12" max="12" width="12.0"/>
    <col customWidth="1" min="13" max="13" width="35.0"/>
    <col customWidth="1" min="14" max="14" width="66.29"/>
    <col customWidth="1" min="15" max="15" width="25.29"/>
    <col customWidth="1" min="16" max="26" width="8.71"/>
  </cols>
  <sheetData>
    <row r="1" ht="14.25" customHeight="1">
      <c r="A1" s="168"/>
    </row>
    <row r="2" ht="14.25" customHeight="1">
      <c r="A2" s="1" t="s">
        <v>0</v>
      </c>
    </row>
    <row r="3" ht="14.25" customHeight="1">
      <c r="A3" s="1" t="s">
        <v>1</v>
      </c>
    </row>
    <row r="4" ht="14.25" customHeight="1"/>
    <row r="5" ht="14.25" customHeight="1"/>
    <row r="6" ht="14.25" customHeight="1">
      <c r="A6" s="2" t="s">
        <v>2</v>
      </c>
      <c r="C6" s="2" t="s">
        <v>3</v>
      </c>
    </row>
    <row r="7" ht="14.25" customHeight="1">
      <c r="A7" s="2" t="s">
        <v>4</v>
      </c>
      <c r="C7" s="2" t="s">
        <v>5</v>
      </c>
    </row>
    <row r="8" ht="14.25" customHeight="1">
      <c r="A8" s="2" t="s">
        <v>6</v>
      </c>
      <c r="C8" s="2" t="s">
        <v>2208</v>
      </c>
    </row>
    <row r="9" ht="14.25" customHeight="1">
      <c r="A9" s="169" t="s">
        <v>8</v>
      </c>
      <c r="B9" s="170" t="s">
        <v>9</v>
      </c>
      <c r="C9" s="170" t="s">
        <v>10</v>
      </c>
      <c r="D9" s="170" t="s">
        <v>11</v>
      </c>
      <c r="E9" s="170" t="s">
        <v>12</v>
      </c>
      <c r="F9" s="170" t="s">
        <v>13</v>
      </c>
      <c r="G9" s="170" t="s">
        <v>14</v>
      </c>
      <c r="H9" s="170" t="s">
        <v>15</v>
      </c>
      <c r="I9" s="170" t="s">
        <v>16</v>
      </c>
      <c r="J9" s="170" t="s">
        <v>17</v>
      </c>
      <c r="K9" s="170" t="s">
        <v>1881</v>
      </c>
      <c r="L9" s="170" t="s">
        <v>1882</v>
      </c>
      <c r="M9" s="171" t="s">
        <v>2209</v>
      </c>
      <c r="N9" s="170" t="s">
        <v>1883</v>
      </c>
      <c r="O9" s="172" t="s">
        <v>2210</v>
      </c>
    </row>
    <row r="10" ht="14.25" customHeight="1">
      <c r="A10" s="173"/>
      <c r="B10" s="173" t="s">
        <v>1884</v>
      </c>
      <c r="C10" s="173"/>
      <c r="D10" s="173"/>
      <c r="E10" s="173"/>
      <c r="F10" s="174">
        <f>SUM(F11:F15)</f>
        <v>1306100000</v>
      </c>
      <c r="G10" s="173"/>
      <c r="H10" s="173"/>
      <c r="I10" s="173"/>
      <c r="J10" s="173"/>
      <c r="K10" s="173"/>
      <c r="L10" s="173"/>
      <c r="M10" s="173"/>
      <c r="N10" s="175"/>
      <c r="O10" s="176"/>
    </row>
    <row r="11" ht="14.25" customHeight="1">
      <c r="A11" s="175">
        <v>1.0</v>
      </c>
      <c r="B11" s="175" t="s">
        <v>1885</v>
      </c>
      <c r="C11" s="175" t="s">
        <v>780</v>
      </c>
      <c r="D11" s="175" t="s">
        <v>2211</v>
      </c>
      <c r="E11" s="175" t="s">
        <v>70</v>
      </c>
      <c r="F11" s="177">
        <v>2.25E8</v>
      </c>
      <c r="G11" s="175" t="s">
        <v>2212</v>
      </c>
      <c r="H11" s="175" t="s">
        <v>44</v>
      </c>
      <c r="I11" s="13" t="s">
        <v>2213</v>
      </c>
      <c r="J11" s="178" t="s">
        <v>2214</v>
      </c>
      <c r="K11" s="175" t="s">
        <v>2215</v>
      </c>
      <c r="L11" s="27" t="s">
        <v>2216</v>
      </c>
      <c r="M11" s="175"/>
      <c r="N11" s="175" t="s">
        <v>2217</v>
      </c>
      <c r="O11" s="178" t="s">
        <v>2218</v>
      </c>
      <c r="P11" s="179"/>
      <c r="Q11" s="179"/>
      <c r="R11" s="179"/>
      <c r="S11" s="179"/>
      <c r="T11" s="179"/>
      <c r="U11" s="179"/>
      <c r="V11" s="179"/>
      <c r="W11" s="179"/>
      <c r="X11" s="179"/>
      <c r="Y11" s="179"/>
      <c r="Z11" s="179"/>
    </row>
    <row r="12" ht="14.25" customHeight="1">
      <c r="A12" s="175">
        <v>2.0</v>
      </c>
      <c r="B12" s="175" t="s">
        <v>1885</v>
      </c>
      <c r="C12" s="175" t="s">
        <v>1885</v>
      </c>
      <c r="D12" s="175" t="s">
        <v>2211</v>
      </c>
      <c r="E12" s="175" t="s">
        <v>70</v>
      </c>
      <c r="F12" s="177">
        <v>3.736E8</v>
      </c>
      <c r="G12" s="175" t="s">
        <v>2219</v>
      </c>
      <c r="H12" s="175" t="s">
        <v>71</v>
      </c>
      <c r="I12" s="13" t="s">
        <v>2220</v>
      </c>
      <c r="J12" s="178" t="s">
        <v>2221</v>
      </c>
      <c r="K12" s="178" t="s">
        <v>2222</v>
      </c>
      <c r="L12" s="27" t="s">
        <v>2223</v>
      </c>
      <c r="M12" s="175"/>
      <c r="N12" s="175" t="s">
        <v>1898</v>
      </c>
      <c r="O12" s="178" t="s">
        <v>2224</v>
      </c>
      <c r="P12" s="179"/>
      <c r="Q12" s="179"/>
      <c r="R12" s="179"/>
      <c r="S12" s="179"/>
      <c r="T12" s="179"/>
      <c r="U12" s="179"/>
      <c r="V12" s="179"/>
      <c r="W12" s="179"/>
      <c r="X12" s="179"/>
      <c r="Y12" s="179"/>
      <c r="Z12" s="179"/>
    </row>
    <row r="13" ht="14.25" customHeight="1">
      <c r="A13" s="180">
        <v>3.0</v>
      </c>
      <c r="B13" s="180" t="s">
        <v>1885</v>
      </c>
      <c r="C13" s="180" t="s">
        <v>2225</v>
      </c>
      <c r="D13" s="180" t="s">
        <v>2211</v>
      </c>
      <c r="E13" s="180" t="s">
        <v>70</v>
      </c>
      <c r="F13" s="181">
        <v>2.055E8</v>
      </c>
      <c r="G13" s="180"/>
      <c r="H13" s="180" t="s">
        <v>78</v>
      </c>
      <c r="I13" s="182"/>
      <c r="J13" s="180"/>
      <c r="K13" s="180"/>
      <c r="L13" s="180"/>
      <c r="M13" s="180"/>
      <c r="N13" s="180" t="s">
        <v>2226</v>
      </c>
      <c r="O13" s="180"/>
      <c r="P13" s="179"/>
      <c r="Q13" s="179"/>
      <c r="R13" s="179"/>
      <c r="S13" s="179"/>
      <c r="T13" s="179"/>
      <c r="U13" s="179"/>
      <c r="V13" s="179"/>
      <c r="W13" s="179"/>
      <c r="X13" s="179"/>
      <c r="Y13" s="179"/>
      <c r="Z13" s="179"/>
    </row>
    <row r="14" ht="14.25" customHeight="1">
      <c r="A14" s="175">
        <v>4.0</v>
      </c>
      <c r="B14" s="175" t="s">
        <v>1926</v>
      </c>
      <c r="C14" s="175" t="s">
        <v>1926</v>
      </c>
      <c r="D14" s="175" t="s">
        <v>2211</v>
      </c>
      <c r="E14" s="175" t="s">
        <v>70</v>
      </c>
      <c r="F14" s="177">
        <v>2.51E8</v>
      </c>
      <c r="G14" s="175" t="s">
        <v>2227</v>
      </c>
      <c r="H14" s="175" t="s">
        <v>78</v>
      </c>
      <c r="I14" s="13" t="s">
        <v>2228</v>
      </c>
      <c r="J14" s="175" t="s">
        <v>2229</v>
      </c>
      <c r="K14" s="175" t="s">
        <v>2230</v>
      </c>
      <c r="L14" s="27" t="s">
        <v>2231</v>
      </c>
      <c r="M14" s="175" t="s">
        <v>2232</v>
      </c>
      <c r="N14" s="175" t="s">
        <v>2233</v>
      </c>
      <c r="O14" s="183" t="s">
        <v>2234</v>
      </c>
      <c r="P14" s="179"/>
      <c r="Q14" s="179"/>
      <c r="R14" s="179"/>
      <c r="S14" s="179"/>
      <c r="T14" s="179"/>
      <c r="U14" s="179"/>
      <c r="V14" s="179"/>
      <c r="W14" s="179"/>
      <c r="X14" s="179"/>
      <c r="Y14" s="179"/>
      <c r="Z14" s="179"/>
    </row>
    <row r="15" ht="14.25" customHeight="1">
      <c r="A15" s="175">
        <v>5.0</v>
      </c>
      <c r="B15" s="175" t="s">
        <v>1926</v>
      </c>
      <c r="C15" s="175" t="s">
        <v>1926</v>
      </c>
      <c r="D15" s="175" t="s">
        <v>2211</v>
      </c>
      <c r="E15" s="175" t="s">
        <v>70</v>
      </c>
      <c r="F15" s="177">
        <v>2.51E8</v>
      </c>
      <c r="G15" s="175" t="s">
        <v>2227</v>
      </c>
      <c r="H15" s="175" t="s">
        <v>78</v>
      </c>
      <c r="I15" s="13" t="s">
        <v>2235</v>
      </c>
      <c r="J15" s="175" t="s">
        <v>2236</v>
      </c>
      <c r="K15" s="175" t="s">
        <v>2237</v>
      </c>
      <c r="L15" s="27" t="s">
        <v>2238</v>
      </c>
      <c r="M15" s="175" t="s">
        <v>2232</v>
      </c>
      <c r="N15" s="175" t="s">
        <v>2239</v>
      </c>
      <c r="O15" s="178" t="s">
        <v>2240</v>
      </c>
      <c r="P15" s="179"/>
      <c r="Q15" s="179"/>
      <c r="R15" s="179"/>
      <c r="S15" s="179"/>
      <c r="T15" s="179"/>
      <c r="U15" s="179"/>
      <c r="V15" s="179"/>
      <c r="W15" s="179"/>
      <c r="X15" s="179"/>
      <c r="Y15" s="179"/>
      <c r="Z15" s="179"/>
    </row>
    <row r="16" ht="14.25" customHeight="1">
      <c r="A16" s="173" t="s">
        <v>22</v>
      </c>
      <c r="B16" s="173" t="s">
        <v>99</v>
      </c>
      <c r="C16" s="173"/>
      <c r="D16" s="173"/>
      <c r="E16" s="173"/>
      <c r="F16" s="174">
        <f>SUM(F17:F34)</f>
        <v>380114100</v>
      </c>
      <c r="G16" s="173"/>
      <c r="H16" s="173"/>
      <c r="I16" s="182"/>
      <c r="J16" s="173"/>
      <c r="K16" s="173"/>
      <c r="L16" s="173"/>
      <c r="M16" s="173"/>
      <c r="N16" s="175"/>
      <c r="O16" s="176"/>
    </row>
    <row r="17" ht="14.25" customHeight="1">
      <c r="A17" s="175">
        <v>1.0</v>
      </c>
      <c r="B17" s="175" t="s">
        <v>100</v>
      </c>
      <c r="C17" s="175" t="s">
        <v>100</v>
      </c>
      <c r="D17" s="175" t="s">
        <v>2211</v>
      </c>
      <c r="E17" s="175" t="s">
        <v>70</v>
      </c>
      <c r="F17" s="177">
        <v>1.6905E7</v>
      </c>
      <c r="G17" s="175" t="s">
        <v>2241</v>
      </c>
      <c r="H17" s="175" t="s">
        <v>84</v>
      </c>
      <c r="I17" s="16" t="s">
        <v>2242</v>
      </c>
      <c r="J17" s="175" t="s">
        <v>2243</v>
      </c>
      <c r="K17" s="175" t="s">
        <v>2244</v>
      </c>
      <c r="L17" s="27" t="s">
        <v>2245</v>
      </c>
      <c r="M17" s="175" t="s">
        <v>2246</v>
      </c>
      <c r="N17" s="178" t="s">
        <v>2247</v>
      </c>
      <c r="O17" s="183" t="s">
        <v>2248</v>
      </c>
      <c r="P17" s="179"/>
      <c r="Q17" s="179"/>
      <c r="R17" s="179"/>
      <c r="S17" s="179"/>
      <c r="T17" s="179"/>
      <c r="U17" s="179"/>
      <c r="V17" s="179"/>
      <c r="W17" s="179"/>
      <c r="X17" s="179"/>
      <c r="Y17" s="179"/>
      <c r="Z17" s="179"/>
    </row>
    <row r="18" ht="14.25" customHeight="1">
      <c r="A18" s="175">
        <v>2.0</v>
      </c>
      <c r="B18" s="175" t="s">
        <v>100</v>
      </c>
      <c r="C18" s="175" t="s">
        <v>100</v>
      </c>
      <c r="D18" s="175" t="s">
        <v>2211</v>
      </c>
      <c r="E18" s="175" t="s">
        <v>70</v>
      </c>
      <c r="F18" s="177">
        <v>1.6905E7</v>
      </c>
      <c r="G18" s="175" t="s">
        <v>2241</v>
      </c>
      <c r="H18" s="175" t="s">
        <v>84</v>
      </c>
      <c r="I18" s="16" t="s">
        <v>2249</v>
      </c>
      <c r="J18" s="175" t="s">
        <v>2250</v>
      </c>
      <c r="K18" s="175" t="s">
        <v>2251</v>
      </c>
      <c r="L18" s="27" t="s">
        <v>2252</v>
      </c>
      <c r="M18" s="175" t="s">
        <v>2253</v>
      </c>
      <c r="N18" s="175" t="s">
        <v>2254</v>
      </c>
      <c r="O18" s="184" t="s">
        <v>2255</v>
      </c>
      <c r="P18" s="179"/>
      <c r="Q18" s="179"/>
      <c r="R18" s="179"/>
      <c r="S18" s="179"/>
      <c r="T18" s="179"/>
      <c r="U18" s="179"/>
      <c r="V18" s="179"/>
      <c r="W18" s="179"/>
      <c r="X18" s="179"/>
      <c r="Y18" s="179"/>
      <c r="Z18" s="179"/>
    </row>
    <row r="19" ht="14.25" customHeight="1">
      <c r="A19" s="175">
        <v>3.0</v>
      </c>
      <c r="B19" s="175" t="s">
        <v>100</v>
      </c>
      <c r="C19" s="175" t="s">
        <v>2256</v>
      </c>
      <c r="D19" s="175" t="s">
        <v>2211</v>
      </c>
      <c r="E19" s="175" t="s">
        <v>70</v>
      </c>
      <c r="F19" s="177">
        <v>1.54557E7</v>
      </c>
      <c r="G19" s="175" t="s">
        <v>2257</v>
      </c>
      <c r="H19" s="175" t="s">
        <v>92</v>
      </c>
      <c r="I19" s="16" t="s">
        <v>2258</v>
      </c>
      <c r="J19" s="178" t="s">
        <v>2259</v>
      </c>
      <c r="K19" s="178" t="s">
        <v>2260</v>
      </c>
      <c r="L19" s="175" t="s">
        <v>2261</v>
      </c>
      <c r="M19" s="175" t="s">
        <v>2262</v>
      </c>
      <c r="N19" s="175" t="s">
        <v>1988</v>
      </c>
      <c r="O19" s="178" t="s">
        <v>2263</v>
      </c>
      <c r="P19" s="179"/>
      <c r="Q19" s="179"/>
      <c r="R19" s="179"/>
      <c r="S19" s="179"/>
      <c r="T19" s="179"/>
      <c r="U19" s="179"/>
      <c r="V19" s="179"/>
      <c r="W19" s="179"/>
      <c r="X19" s="179"/>
      <c r="Y19" s="179"/>
      <c r="Z19" s="179"/>
    </row>
    <row r="20" ht="14.25" customHeight="1">
      <c r="A20" s="175">
        <v>4.0</v>
      </c>
      <c r="B20" s="175" t="s">
        <v>100</v>
      </c>
      <c r="C20" s="175" t="s">
        <v>2256</v>
      </c>
      <c r="D20" s="175" t="s">
        <v>2211</v>
      </c>
      <c r="E20" s="175" t="s">
        <v>70</v>
      </c>
      <c r="F20" s="177">
        <v>1.54557E7</v>
      </c>
      <c r="G20" s="175" t="s">
        <v>2257</v>
      </c>
      <c r="H20" s="175" t="s">
        <v>92</v>
      </c>
      <c r="I20" s="16" t="s">
        <v>2264</v>
      </c>
      <c r="J20" s="178" t="s">
        <v>2265</v>
      </c>
      <c r="K20" s="178" t="s">
        <v>2266</v>
      </c>
      <c r="L20" s="175" t="s">
        <v>2267</v>
      </c>
      <c r="M20" s="175" t="s">
        <v>2268</v>
      </c>
      <c r="N20" s="175" t="s">
        <v>2269</v>
      </c>
      <c r="O20" s="178" t="s">
        <v>2270</v>
      </c>
      <c r="P20" s="179"/>
      <c r="Q20" s="179"/>
      <c r="R20" s="179"/>
      <c r="S20" s="179"/>
      <c r="T20" s="179"/>
      <c r="U20" s="179"/>
      <c r="V20" s="179"/>
      <c r="W20" s="179"/>
      <c r="X20" s="179"/>
      <c r="Y20" s="179"/>
      <c r="Z20" s="179"/>
    </row>
    <row r="21" ht="14.25" customHeight="1">
      <c r="A21" s="175">
        <v>5.0</v>
      </c>
      <c r="B21" s="175" t="s">
        <v>100</v>
      </c>
      <c r="C21" s="175" t="s">
        <v>2256</v>
      </c>
      <c r="D21" s="175" t="s">
        <v>2211</v>
      </c>
      <c r="E21" s="175" t="s">
        <v>70</v>
      </c>
      <c r="F21" s="177">
        <v>2.2555E7</v>
      </c>
      <c r="G21" s="175" t="s">
        <v>2271</v>
      </c>
      <c r="H21" s="175" t="s">
        <v>1076</v>
      </c>
      <c r="I21" s="13" t="s">
        <v>2272</v>
      </c>
      <c r="J21" s="175" t="s">
        <v>2273</v>
      </c>
      <c r="K21" s="175" t="s">
        <v>2274</v>
      </c>
      <c r="L21" s="27" t="s">
        <v>2275</v>
      </c>
      <c r="M21" s="175"/>
      <c r="N21" s="178" t="s">
        <v>2276</v>
      </c>
      <c r="O21" s="178" t="s">
        <v>2277</v>
      </c>
      <c r="P21" s="179"/>
      <c r="Q21" s="179"/>
      <c r="R21" s="179"/>
      <c r="S21" s="179"/>
      <c r="T21" s="179"/>
      <c r="U21" s="179"/>
      <c r="V21" s="179"/>
      <c r="W21" s="179"/>
      <c r="X21" s="179"/>
      <c r="Y21" s="179"/>
      <c r="Z21" s="179"/>
    </row>
    <row r="22" ht="14.25" customHeight="1">
      <c r="A22" s="175">
        <v>6.0</v>
      </c>
      <c r="B22" s="175" t="s">
        <v>100</v>
      </c>
      <c r="C22" s="175" t="s">
        <v>2256</v>
      </c>
      <c r="D22" s="175" t="s">
        <v>2211</v>
      </c>
      <c r="E22" s="175" t="s">
        <v>70</v>
      </c>
      <c r="F22" s="177">
        <v>2.2555E7</v>
      </c>
      <c r="G22" s="175" t="s">
        <v>2271</v>
      </c>
      <c r="H22" s="175" t="s">
        <v>1076</v>
      </c>
      <c r="I22" s="13" t="s">
        <v>2278</v>
      </c>
      <c r="J22" s="175" t="s">
        <v>2279</v>
      </c>
      <c r="K22" s="175" t="s">
        <v>2280</v>
      </c>
      <c r="L22" s="27" t="s">
        <v>2281</v>
      </c>
      <c r="M22" s="175"/>
      <c r="N22" s="175" t="s">
        <v>2282</v>
      </c>
      <c r="O22" s="178" t="s">
        <v>2277</v>
      </c>
      <c r="P22" s="179"/>
      <c r="Q22" s="179"/>
      <c r="R22" s="179"/>
      <c r="S22" s="179"/>
      <c r="T22" s="179"/>
      <c r="U22" s="179"/>
      <c r="V22" s="179"/>
      <c r="W22" s="179"/>
      <c r="X22" s="179"/>
      <c r="Y22" s="179"/>
      <c r="Z22" s="179"/>
    </row>
    <row r="23" ht="14.25" customHeight="1">
      <c r="A23" s="175">
        <v>7.0</v>
      </c>
      <c r="B23" s="175" t="s">
        <v>100</v>
      </c>
      <c r="C23" s="175" t="s">
        <v>2256</v>
      </c>
      <c r="D23" s="175" t="s">
        <v>2211</v>
      </c>
      <c r="E23" s="175" t="s">
        <v>70</v>
      </c>
      <c r="F23" s="177">
        <v>2.2555E7</v>
      </c>
      <c r="G23" s="175" t="s">
        <v>2271</v>
      </c>
      <c r="H23" s="175" t="s">
        <v>1076</v>
      </c>
      <c r="I23" s="13" t="s">
        <v>2283</v>
      </c>
      <c r="J23" s="175" t="s">
        <v>2284</v>
      </c>
      <c r="K23" s="175" t="s">
        <v>2285</v>
      </c>
      <c r="L23" s="27" t="s">
        <v>2286</v>
      </c>
      <c r="M23" s="175"/>
      <c r="N23" s="175" t="s">
        <v>2287</v>
      </c>
      <c r="O23" s="178" t="s">
        <v>2277</v>
      </c>
      <c r="P23" s="179"/>
      <c r="Q23" s="179"/>
      <c r="R23" s="179"/>
      <c r="S23" s="179"/>
      <c r="T23" s="179"/>
      <c r="U23" s="179"/>
      <c r="V23" s="179"/>
      <c r="W23" s="179"/>
      <c r="X23" s="179"/>
      <c r="Y23" s="179"/>
      <c r="Z23" s="179"/>
    </row>
    <row r="24" ht="14.25" customHeight="1">
      <c r="A24" s="175">
        <v>8.0</v>
      </c>
      <c r="B24" s="175" t="s">
        <v>100</v>
      </c>
      <c r="C24" s="175" t="s">
        <v>2256</v>
      </c>
      <c r="D24" s="175" t="s">
        <v>2211</v>
      </c>
      <c r="E24" s="175" t="s">
        <v>70</v>
      </c>
      <c r="F24" s="177">
        <v>2.2555E7</v>
      </c>
      <c r="G24" s="175" t="s">
        <v>2271</v>
      </c>
      <c r="H24" s="175" t="s">
        <v>1076</v>
      </c>
      <c r="I24" s="13" t="s">
        <v>2288</v>
      </c>
      <c r="J24" s="175" t="s">
        <v>2289</v>
      </c>
      <c r="K24" s="175" t="s">
        <v>2290</v>
      </c>
      <c r="L24" s="27" t="s">
        <v>2291</v>
      </c>
      <c r="M24" s="175"/>
      <c r="N24" s="175" t="s">
        <v>2292</v>
      </c>
      <c r="O24" s="178" t="s">
        <v>2293</v>
      </c>
      <c r="P24" s="179"/>
      <c r="Q24" s="179"/>
      <c r="R24" s="179"/>
      <c r="S24" s="179"/>
      <c r="T24" s="179"/>
      <c r="U24" s="179"/>
      <c r="V24" s="179"/>
      <c r="W24" s="179"/>
      <c r="X24" s="179"/>
      <c r="Y24" s="179"/>
      <c r="Z24" s="179"/>
    </row>
    <row r="25" ht="14.25" customHeight="1">
      <c r="A25" s="175">
        <v>9.0</v>
      </c>
      <c r="B25" s="175" t="s">
        <v>100</v>
      </c>
      <c r="C25" s="175" t="s">
        <v>2256</v>
      </c>
      <c r="D25" s="175" t="s">
        <v>2211</v>
      </c>
      <c r="E25" s="175" t="s">
        <v>70</v>
      </c>
      <c r="F25" s="177">
        <v>2.2555E7</v>
      </c>
      <c r="G25" s="175" t="s">
        <v>2271</v>
      </c>
      <c r="H25" s="175" t="s">
        <v>1076</v>
      </c>
      <c r="I25" s="13" t="s">
        <v>2294</v>
      </c>
      <c r="J25" s="175" t="s">
        <v>2295</v>
      </c>
      <c r="K25" s="175" t="s">
        <v>2296</v>
      </c>
      <c r="L25" s="27" t="s">
        <v>2297</v>
      </c>
      <c r="M25" s="175"/>
      <c r="N25" s="175" t="s">
        <v>2298</v>
      </c>
      <c r="O25" s="178" t="s">
        <v>2255</v>
      </c>
      <c r="P25" s="179"/>
      <c r="Q25" s="179"/>
      <c r="R25" s="179"/>
      <c r="S25" s="179"/>
      <c r="T25" s="179"/>
      <c r="U25" s="179"/>
      <c r="V25" s="179"/>
      <c r="W25" s="179"/>
      <c r="X25" s="179"/>
      <c r="Y25" s="179"/>
      <c r="Z25" s="179"/>
    </row>
    <row r="26" ht="14.25" customHeight="1">
      <c r="A26" s="175">
        <v>10.0</v>
      </c>
      <c r="B26" s="175" t="s">
        <v>100</v>
      </c>
      <c r="C26" s="175" t="s">
        <v>2256</v>
      </c>
      <c r="D26" s="175" t="s">
        <v>2211</v>
      </c>
      <c r="E26" s="175" t="s">
        <v>70</v>
      </c>
      <c r="F26" s="177">
        <v>2.2555E7</v>
      </c>
      <c r="G26" s="175" t="s">
        <v>2271</v>
      </c>
      <c r="H26" s="175" t="s">
        <v>1076</v>
      </c>
      <c r="I26" s="13" t="s">
        <v>2299</v>
      </c>
      <c r="J26" s="175" t="s">
        <v>2300</v>
      </c>
      <c r="K26" s="175" t="s">
        <v>2301</v>
      </c>
      <c r="L26" s="27" t="s">
        <v>2302</v>
      </c>
      <c r="M26" s="175"/>
      <c r="N26" s="175" t="s">
        <v>2303</v>
      </c>
      <c r="O26" s="178" t="s">
        <v>2277</v>
      </c>
      <c r="P26" s="179"/>
      <c r="Q26" s="179"/>
      <c r="R26" s="179"/>
      <c r="S26" s="179"/>
      <c r="T26" s="179"/>
      <c r="U26" s="179"/>
      <c r="V26" s="179"/>
      <c r="W26" s="179"/>
      <c r="X26" s="179"/>
      <c r="Y26" s="179"/>
      <c r="Z26" s="179"/>
    </row>
    <row r="27" ht="14.25" customHeight="1">
      <c r="A27" s="175">
        <v>11.0</v>
      </c>
      <c r="B27" s="175" t="s">
        <v>100</v>
      </c>
      <c r="C27" s="175" t="s">
        <v>2256</v>
      </c>
      <c r="D27" s="175" t="s">
        <v>2211</v>
      </c>
      <c r="E27" s="175" t="s">
        <v>70</v>
      </c>
      <c r="F27" s="177">
        <v>2.2555E7</v>
      </c>
      <c r="G27" s="175" t="s">
        <v>2271</v>
      </c>
      <c r="H27" s="175" t="s">
        <v>1076</v>
      </c>
      <c r="I27" s="13" t="s">
        <v>2304</v>
      </c>
      <c r="J27" s="175" t="s">
        <v>2305</v>
      </c>
      <c r="K27" s="175" t="s">
        <v>2306</v>
      </c>
      <c r="L27" s="27" t="s">
        <v>2307</v>
      </c>
      <c r="M27" s="175"/>
      <c r="N27" s="175" t="s">
        <v>2308</v>
      </c>
      <c r="O27" s="178" t="s">
        <v>2277</v>
      </c>
      <c r="P27" s="179"/>
      <c r="Q27" s="179"/>
      <c r="R27" s="179"/>
      <c r="S27" s="179"/>
      <c r="T27" s="179"/>
      <c r="U27" s="179"/>
      <c r="V27" s="179"/>
      <c r="W27" s="179"/>
      <c r="X27" s="179"/>
      <c r="Y27" s="179"/>
      <c r="Z27" s="179"/>
    </row>
    <row r="28" ht="14.25" customHeight="1">
      <c r="A28" s="175">
        <v>12.0</v>
      </c>
      <c r="B28" s="175" t="s">
        <v>100</v>
      </c>
      <c r="C28" s="175" t="s">
        <v>2256</v>
      </c>
      <c r="D28" s="175" t="s">
        <v>2211</v>
      </c>
      <c r="E28" s="175" t="s">
        <v>70</v>
      </c>
      <c r="F28" s="177">
        <v>2.2555E7</v>
      </c>
      <c r="G28" s="175" t="s">
        <v>2271</v>
      </c>
      <c r="H28" s="175" t="s">
        <v>1076</v>
      </c>
      <c r="I28" s="13" t="s">
        <v>2309</v>
      </c>
      <c r="J28" s="175" t="s">
        <v>2310</v>
      </c>
      <c r="K28" s="175" t="s">
        <v>2311</v>
      </c>
      <c r="L28" s="27" t="s">
        <v>2312</v>
      </c>
      <c r="M28" s="175"/>
      <c r="N28" s="175" t="s">
        <v>2313</v>
      </c>
      <c r="O28" s="178" t="s">
        <v>2277</v>
      </c>
      <c r="P28" s="179"/>
      <c r="Q28" s="179"/>
      <c r="R28" s="179"/>
      <c r="S28" s="179"/>
      <c r="T28" s="179"/>
      <c r="U28" s="179"/>
      <c r="V28" s="179"/>
      <c r="W28" s="179"/>
      <c r="X28" s="179"/>
      <c r="Y28" s="179"/>
      <c r="Z28" s="179"/>
    </row>
    <row r="29" ht="14.25" customHeight="1">
      <c r="A29" s="175">
        <v>13.0</v>
      </c>
      <c r="B29" s="175" t="s">
        <v>100</v>
      </c>
      <c r="C29" s="175" t="s">
        <v>2256</v>
      </c>
      <c r="D29" s="175" t="s">
        <v>2211</v>
      </c>
      <c r="E29" s="175" t="s">
        <v>70</v>
      </c>
      <c r="F29" s="177">
        <v>2.2555E7</v>
      </c>
      <c r="G29" s="175" t="s">
        <v>2271</v>
      </c>
      <c r="H29" s="175" t="s">
        <v>1076</v>
      </c>
      <c r="I29" s="13" t="s">
        <v>2314</v>
      </c>
      <c r="J29" s="175" t="s">
        <v>2315</v>
      </c>
      <c r="K29" s="175" t="s">
        <v>2316</v>
      </c>
      <c r="L29" s="27" t="s">
        <v>2317</v>
      </c>
      <c r="M29" s="175"/>
      <c r="N29" s="178" t="s">
        <v>2318</v>
      </c>
      <c r="O29" s="178" t="s">
        <v>2277</v>
      </c>
      <c r="P29" s="179"/>
      <c r="Q29" s="179"/>
      <c r="R29" s="179"/>
      <c r="S29" s="179"/>
      <c r="T29" s="179"/>
      <c r="U29" s="179"/>
      <c r="V29" s="179"/>
      <c r="W29" s="179"/>
      <c r="X29" s="179"/>
      <c r="Y29" s="179"/>
      <c r="Z29" s="179"/>
    </row>
    <row r="30" ht="14.25" customHeight="1">
      <c r="A30" s="175">
        <v>14.0</v>
      </c>
      <c r="B30" s="175" t="s">
        <v>100</v>
      </c>
      <c r="C30" s="175" t="s">
        <v>2256</v>
      </c>
      <c r="D30" s="175" t="s">
        <v>2211</v>
      </c>
      <c r="E30" s="175" t="s">
        <v>70</v>
      </c>
      <c r="F30" s="177">
        <v>1.68117E7</v>
      </c>
      <c r="G30" s="175" t="s">
        <v>2319</v>
      </c>
      <c r="H30" s="175" t="s">
        <v>1076</v>
      </c>
      <c r="I30" s="13" t="s">
        <v>2320</v>
      </c>
      <c r="J30" s="175" t="s">
        <v>2321</v>
      </c>
      <c r="K30" s="175" t="s">
        <v>2322</v>
      </c>
      <c r="L30" s="27" t="s">
        <v>2323</v>
      </c>
      <c r="M30" s="175"/>
      <c r="N30" s="175" t="s">
        <v>2324</v>
      </c>
      <c r="O30" s="178" t="s">
        <v>2325</v>
      </c>
      <c r="P30" s="179"/>
      <c r="Q30" s="179"/>
      <c r="R30" s="179"/>
      <c r="S30" s="179"/>
      <c r="T30" s="179"/>
      <c r="U30" s="179"/>
      <c r="V30" s="179"/>
      <c r="W30" s="179"/>
      <c r="X30" s="179"/>
      <c r="Y30" s="179"/>
      <c r="Z30" s="179"/>
    </row>
    <row r="31" ht="14.25" customHeight="1">
      <c r="A31" s="175">
        <v>15.0</v>
      </c>
      <c r="B31" s="175" t="s">
        <v>2326</v>
      </c>
      <c r="C31" s="175" t="s">
        <v>2327</v>
      </c>
      <c r="D31" s="175" t="s">
        <v>2211</v>
      </c>
      <c r="E31" s="175" t="s">
        <v>70</v>
      </c>
      <c r="F31" s="177">
        <v>2.2216E7</v>
      </c>
      <c r="G31" s="175" t="s">
        <v>2328</v>
      </c>
      <c r="H31" s="175" t="s">
        <v>2329</v>
      </c>
      <c r="I31" s="13" t="s">
        <v>2330</v>
      </c>
      <c r="J31" s="175" t="s">
        <v>2331</v>
      </c>
      <c r="K31" s="178" t="s">
        <v>2332</v>
      </c>
      <c r="L31" s="27" t="s">
        <v>2333</v>
      </c>
      <c r="M31" s="175" t="s">
        <v>2334</v>
      </c>
      <c r="N31" s="175" t="s">
        <v>2335</v>
      </c>
      <c r="O31" s="178" t="s">
        <v>2336</v>
      </c>
      <c r="P31" s="179"/>
      <c r="Q31" s="179"/>
      <c r="R31" s="179"/>
      <c r="S31" s="179"/>
      <c r="T31" s="179"/>
      <c r="U31" s="179"/>
      <c r="V31" s="179"/>
      <c r="W31" s="179"/>
      <c r="X31" s="179"/>
      <c r="Y31" s="179"/>
      <c r="Z31" s="179"/>
    </row>
    <row r="32" ht="14.25" customHeight="1">
      <c r="A32" s="175">
        <v>16.0</v>
      </c>
      <c r="B32" s="175" t="s">
        <v>2337</v>
      </c>
      <c r="C32" s="175" t="s">
        <v>2338</v>
      </c>
      <c r="D32" s="175" t="s">
        <v>2211</v>
      </c>
      <c r="E32" s="175" t="s">
        <v>70</v>
      </c>
      <c r="F32" s="177">
        <v>2.7235E7</v>
      </c>
      <c r="G32" s="175" t="s">
        <v>2339</v>
      </c>
      <c r="H32" s="175" t="s">
        <v>611</v>
      </c>
      <c r="I32" s="13" t="s">
        <v>2340</v>
      </c>
      <c r="J32" s="175" t="s">
        <v>2341</v>
      </c>
      <c r="K32" s="175" t="s">
        <v>2342</v>
      </c>
      <c r="L32" s="27" t="s">
        <v>2343</v>
      </c>
      <c r="M32" s="175"/>
      <c r="N32" s="175" t="s">
        <v>2344</v>
      </c>
      <c r="O32" s="178" t="s">
        <v>2277</v>
      </c>
    </row>
    <row r="33" ht="14.25" customHeight="1">
      <c r="A33" s="175">
        <v>17.0</v>
      </c>
      <c r="B33" s="175" t="s">
        <v>2345</v>
      </c>
      <c r="C33" s="175" t="s">
        <v>2346</v>
      </c>
      <c r="D33" s="175" t="s">
        <v>2211</v>
      </c>
      <c r="E33" s="175" t="s">
        <v>70</v>
      </c>
      <c r="F33" s="177">
        <v>2.7235E7</v>
      </c>
      <c r="G33" s="175" t="s">
        <v>2338</v>
      </c>
      <c r="H33" s="175" t="s">
        <v>611</v>
      </c>
      <c r="I33" s="13" t="s">
        <v>2347</v>
      </c>
      <c r="J33" s="175" t="s">
        <v>2348</v>
      </c>
      <c r="K33" s="175" t="s">
        <v>2349</v>
      </c>
      <c r="L33" s="27" t="s">
        <v>2350</v>
      </c>
      <c r="M33" s="175"/>
      <c r="N33" s="175" t="s">
        <v>2351</v>
      </c>
      <c r="O33" s="183" t="s">
        <v>2277</v>
      </c>
    </row>
    <row r="34" ht="14.25" customHeight="1">
      <c r="A34" s="175">
        <v>18.0</v>
      </c>
      <c r="B34" s="175" t="s">
        <v>2345</v>
      </c>
      <c r="C34" s="175" t="s">
        <v>2352</v>
      </c>
      <c r="D34" s="175" t="s">
        <v>2211</v>
      </c>
      <c r="E34" s="175" t="s">
        <v>70</v>
      </c>
      <c r="F34" s="177">
        <v>1.89E7</v>
      </c>
      <c r="G34" s="175" t="s">
        <v>2353</v>
      </c>
      <c r="H34" s="175" t="s">
        <v>611</v>
      </c>
      <c r="I34" s="13" t="s">
        <v>2354</v>
      </c>
      <c r="J34" s="175" t="s">
        <v>2355</v>
      </c>
      <c r="K34" s="175" t="s">
        <v>2356</v>
      </c>
      <c r="L34" s="27" t="s">
        <v>2357</v>
      </c>
      <c r="M34" s="175"/>
      <c r="N34" s="175" t="s">
        <v>2358</v>
      </c>
      <c r="O34" s="183" t="s">
        <v>2359</v>
      </c>
    </row>
    <row r="35" ht="14.25" customHeight="1">
      <c r="I35" s="50"/>
    </row>
    <row r="36" ht="14.25" customHeight="1">
      <c r="I36" s="50"/>
    </row>
    <row r="37" ht="14.25" customHeight="1">
      <c r="I37" s="50"/>
    </row>
    <row r="38" ht="14.25" customHeight="1">
      <c r="I38" s="50"/>
    </row>
    <row r="39" ht="14.25" customHeight="1">
      <c r="I39" s="50"/>
    </row>
    <row r="40" ht="14.25" customHeight="1">
      <c r="I40" s="50"/>
    </row>
    <row r="41" ht="14.25" customHeight="1">
      <c r="I41" s="50"/>
    </row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2:M2"/>
    <mergeCell ref="A3:M3"/>
  </mergeCells>
  <printOptions/>
  <pageMargins bottom="0.7480314960629921" footer="0.0" header="0.0" left="0.7086614173228347" right="0.7086614173228347" top="0.7480314960629921"/>
  <pageSetup paperSize="5" scale="60"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4.43" defaultRowHeight="15.0"/>
  <cols>
    <col customWidth="1" min="1" max="1" width="5.29"/>
    <col customWidth="1" min="2" max="2" width="39.71"/>
    <col customWidth="1" min="3" max="3" width="17.57"/>
    <col customWidth="1" min="4" max="4" width="14.43"/>
    <col customWidth="1" min="5" max="5" width="9.29"/>
    <col customWidth="1" min="6" max="6" width="20.29"/>
    <col customWidth="1" min="7" max="7" width="32.57"/>
    <col customWidth="1" min="8" max="8" width="7.71"/>
    <col customWidth="1" min="9" max="9" width="35.57"/>
    <col customWidth="1" min="10" max="10" width="21.14"/>
    <col customWidth="1" min="11" max="12" width="15.57"/>
    <col customWidth="1" min="13" max="13" width="42.43"/>
    <col customWidth="1" min="14" max="14" width="26.43"/>
    <col customWidth="1" min="15" max="15" width="50.43"/>
    <col customWidth="1" min="16" max="16" width="18.0"/>
    <col customWidth="1" min="17" max="27" width="8.71"/>
  </cols>
  <sheetData>
    <row r="1" ht="14.25" customHeight="1"/>
    <row r="2" ht="14.25" customHeight="1">
      <c r="A2" s="1" t="s">
        <v>0</v>
      </c>
    </row>
    <row r="3" ht="14.25" customHeight="1">
      <c r="A3" s="1" t="s">
        <v>1</v>
      </c>
    </row>
    <row r="4" ht="14.25" customHeight="1"/>
    <row r="5" ht="14.25" customHeight="1"/>
    <row r="6" ht="14.25" customHeight="1">
      <c r="A6" s="2" t="s">
        <v>2</v>
      </c>
      <c r="C6" s="2" t="s">
        <v>3</v>
      </c>
    </row>
    <row r="7" ht="14.25" customHeight="1">
      <c r="A7" s="2" t="s">
        <v>4</v>
      </c>
      <c r="C7" s="2" t="s">
        <v>5</v>
      </c>
    </row>
    <row r="8" ht="14.25" customHeight="1">
      <c r="A8" s="2" t="s">
        <v>6</v>
      </c>
      <c r="C8" s="2" t="s">
        <v>2360</v>
      </c>
    </row>
    <row r="9" ht="14.25" customHeight="1">
      <c r="A9" s="124" t="s">
        <v>8</v>
      </c>
      <c r="B9" s="125" t="s">
        <v>9</v>
      </c>
      <c r="C9" s="125" t="s">
        <v>10</v>
      </c>
      <c r="D9" s="125" t="s">
        <v>11</v>
      </c>
      <c r="E9" s="125" t="s">
        <v>12</v>
      </c>
      <c r="F9" s="125" t="s">
        <v>13</v>
      </c>
      <c r="G9" s="125" t="s">
        <v>14</v>
      </c>
      <c r="H9" s="125" t="s">
        <v>15</v>
      </c>
      <c r="I9" s="125" t="s">
        <v>16</v>
      </c>
      <c r="J9" s="125" t="s">
        <v>17</v>
      </c>
      <c r="K9" s="125" t="s">
        <v>1881</v>
      </c>
      <c r="L9" s="125" t="s">
        <v>1882</v>
      </c>
      <c r="M9" s="185" t="s">
        <v>20</v>
      </c>
      <c r="N9" s="125" t="s">
        <v>1883</v>
      </c>
      <c r="O9" s="186" t="s">
        <v>2361</v>
      </c>
      <c r="P9" s="186" t="s">
        <v>2362</v>
      </c>
      <c r="Q9" s="187"/>
      <c r="R9" s="187"/>
      <c r="S9" s="187"/>
      <c r="T9" s="187"/>
      <c r="U9" s="187"/>
      <c r="V9" s="187"/>
      <c r="W9" s="187"/>
      <c r="X9" s="187"/>
      <c r="Y9" s="187"/>
      <c r="Z9" s="187"/>
      <c r="AA9" s="187"/>
    </row>
    <row r="10" ht="14.25" customHeight="1">
      <c r="A10" s="188"/>
      <c r="B10" s="127" t="s">
        <v>1884</v>
      </c>
      <c r="C10" s="128"/>
      <c r="D10" s="128"/>
      <c r="E10" s="128"/>
      <c r="F10" s="129">
        <v>1.17937E9</v>
      </c>
      <c r="G10" s="128"/>
      <c r="H10" s="128"/>
      <c r="I10" s="128"/>
      <c r="J10" s="128"/>
      <c r="K10" s="128"/>
      <c r="L10" s="128"/>
      <c r="M10" s="130"/>
      <c r="N10" s="130"/>
      <c r="O10" s="189"/>
      <c r="P10" s="189"/>
      <c r="Q10" s="190"/>
      <c r="R10" s="190"/>
      <c r="S10" s="190"/>
      <c r="T10" s="190"/>
      <c r="U10" s="190"/>
      <c r="V10" s="190"/>
      <c r="W10" s="190"/>
      <c r="X10" s="190"/>
      <c r="Y10" s="190"/>
      <c r="Z10" s="190"/>
      <c r="AA10" s="190"/>
    </row>
    <row r="11" ht="14.25" customHeight="1">
      <c r="A11" s="191">
        <v>1.0</v>
      </c>
      <c r="B11" s="192" t="s">
        <v>780</v>
      </c>
      <c r="C11" s="193"/>
      <c r="D11" s="192" t="s">
        <v>2363</v>
      </c>
      <c r="E11" s="192" t="s">
        <v>931</v>
      </c>
      <c r="F11" s="194">
        <v>5.0E7</v>
      </c>
      <c r="G11" s="192" t="s">
        <v>2364</v>
      </c>
      <c r="H11" s="192">
        <v>2003.0</v>
      </c>
      <c r="I11" s="192" t="s">
        <v>2365</v>
      </c>
      <c r="J11" s="192" t="s">
        <v>2366</v>
      </c>
      <c r="K11" s="192" t="s">
        <v>2367</v>
      </c>
      <c r="L11" s="193"/>
      <c r="M11" s="195" t="s">
        <v>27</v>
      </c>
      <c r="N11" s="193"/>
      <c r="O11" s="196"/>
      <c r="P11" s="197" t="s">
        <v>2368</v>
      </c>
      <c r="Q11" s="187"/>
      <c r="R11" s="187"/>
      <c r="S11" s="187"/>
      <c r="T11" s="187"/>
      <c r="U11" s="187"/>
      <c r="V11" s="187"/>
      <c r="W11" s="187"/>
      <c r="X11" s="187"/>
      <c r="Y11" s="187"/>
      <c r="Z11" s="187"/>
      <c r="AA11" s="187"/>
    </row>
    <row r="12" ht="14.25" customHeight="1">
      <c r="A12" s="198">
        <v>2.0</v>
      </c>
      <c r="B12" s="137" t="s">
        <v>2369</v>
      </c>
      <c r="C12" s="147"/>
      <c r="D12" s="137" t="s">
        <v>2363</v>
      </c>
      <c r="E12" s="137" t="s">
        <v>70</v>
      </c>
      <c r="F12" s="138">
        <v>3.4825E8</v>
      </c>
      <c r="G12" s="137" t="s">
        <v>2370</v>
      </c>
      <c r="H12" s="137">
        <v>2012.0</v>
      </c>
      <c r="I12" s="137" t="s">
        <v>2371</v>
      </c>
      <c r="J12" s="137" t="s">
        <v>2372</v>
      </c>
      <c r="K12" s="137" t="s">
        <v>2373</v>
      </c>
      <c r="L12" s="140" t="s">
        <v>2374</v>
      </c>
      <c r="M12" s="199" t="s">
        <v>2375</v>
      </c>
      <c r="N12" s="147"/>
      <c r="O12" s="200"/>
      <c r="P12" s="200"/>
      <c r="Q12" s="187"/>
      <c r="R12" s="187"/>
      <c r="S12" s="187"/>
      <c r="T12" s="187"/>
      <c r="U12" s="187"/>
      <c r="V12" s="187"/>
      <c r="W12" s="187"/>
      <c r="X12" s="187"/>
      <c r="Y12" s="187"/>
      <c r="Z12" s="187"/>
      <c r="AA12" s="187"/>
    </row>
    <row r="13" ht="14.25" customHeight="1">
      <c r="A13" s="201">
        <v>3.0</v>
      </c>
      <c r="B13" s="143" t="s">
        <v>1926</v>
      </c>
      <c r="C13" s="145"/>
      <c r="D13" s="143" t="s">
        <v>2363</v>
      </c>
      <c r="E13" s="143" t="s">
        <v>70</v>
      </c>
      <c r="F13" s="144">
        <v>2.014E8</v>
      </c>
      <c r="G13" s="143" t="s">
        <v>2376</v>
      </c>
      <c r="H13" s="143">
        <v>2013.0</v>
      </c>
      <c r="I13" s="143" t="s">
        <v>2377</v>
      </c>
      <c r="J13" s="202" t="s">
        <v>2378</v>
      </c>
      <c r="K13" s="143" t="s">
        <v>2379</v>
      </c>
      <c r="L13" s="140" t="s">
        <v>2380</v>
      </c>
      <c r="M13" s="203" t="s">
        <v>2381</v>
      </c>
      <c r="N13" s="143" t="s">
        <v>2382</v>
      </c>
      <c r="O13" s="143" t="s">
        <v>80</v>
      </c>
      <c r="P13" s="204"/>
      <c r="Q13" s="187"/>
      <c r="R13" s="187"/>
      <c r="S13" s="187"/>
      <c r="T13" s="187"/>
      <c r="U13" s="187"/>
      <c r="V13" s="187"/>
      <c r="W13" s="187"/>
      <c r="X13" s="187"/>
      <c r="Y13" s="187"/>
      <c r="Z13" s="187"/>
      <c r="AA13" s="187"/>
    </row>
    <row r="14" ht="14.25" customHeight="1">
      <c r="A14" s="198">
        <v>4.0</v>
      </c>
      <c r="B14" s="137" t="s">
        <v>1885</v>
      </c>
      <c r="C14" s="147"/>
      <c r="D14" s="137" t="s">
        <v>2363</v>
      </c>
      <c r="E14" s="137" t="s">
        <v>70</v>
      </c>
      <c r="F14" s="138">
        <v>3.8972E8</v>
      </c>
      <c r="G14" s="137" t="s">
        <v>2383</v>
      </c>
      <c r="H14" s="137">
        <v>2018.0</v>
      </c>
      <c r="I14" s="205" t="s">
        <v>2384</v>
      </c>
      <c r="J14" s="137" t="s">
        <v>2385</v>
      </c>
      <c r="K14" s="137" t="s">
        <v>2386</v>
      </c>
      <c r="L14" s="140" t="s">
        <v>2387</v>
      </c>
      <c r="M14" s="199" t="s">
        <v>2388</v>
      </c>
      <c r="N14" s="137" t="s">
        <v>2389</v>
      </c>
      <c r="O14" s="200"/>
      <c r="P14" s="200"/>
      <c r="Q14" s="187"/>
      <c r="R14" s="187"/>
      <c r="S14" s="187"/>
      <c r="T14" s="187"/>
      <c r="U14" s="187"/>
      <c r="V14" s="187"/>
      <c r="W14" s="187"/>
      <c r="X14" s="187"/>
      <c r="Y14" s="187"/>
      <c r="Z14" s="187"/>
      <c r="AA14" s="187"/>
    </row>
    <row r="15" ht="14.25" customHeight="1">
      <c r="A15" s="201">
        <v>5.0</v>
      </c>
      <c r="B15" s="143" t="s">
        <v>1885</v>
      </c>
      <c r="C15" s="145"/>
      <c r="D15" s="143" t="s">
        <v>2363</v>
      </c>
      <c r="E15" s="143" t="s">
        <v>70</v>
      </c>
      <c r="F15" s="144">
        <v>1.9E8</v>
      </c>
      <c r="G15" s="143" t="s">
        <v>2390</v>
      </c>
      <c r="H15" s="143">
        <v>2020.0</v>
      </c>
      <c r="I15" s="143" t="s">
        <v>2391</v>
      </c>
      <c r="J15" s="202" t="s">
        <v>2392</v>
      </c>
      <c r="K15" s="143" t="s">
        <v>2393</v>
      </c>
      <c r="L15" s="140" t="s">
        <v>2394</v>
      </c>
      <c r="M15" s="203" t="s">
        <v>2395</v>
      </c>
      <c r="N15" s="143" t="s">
        <v>2396</v>
      </c>
      <c r="O15" s="206" t="s">
        <v>2397</v>
      </c>
      <c r="P15" s="207"/>
      <c r="Q15" s="187"/>
      <c r="R15" s="187"/>
      <c r="S15" s="187"/>
      <c r="T15" s="187"/>
      <c r="U15" s="187"/>
      <c r="V15" s="187"/>
      <c r="W15" s="187"/>
      <c r="X15" s="187"/>
      <c r="Y15" s="187"/>
      <c r="Z15" s="187"/>
      <c r="AA15" s="187"/>
    </row>
    <row r="16" ht="14.25" customHeight="1">
      <c r="A16" s="188"/>
      <c r="B16" s="127" t="s">
        <v>1933</v>
      </c>
      <c r="C16" s="128"/>
      <c r="D16" s="128"/>
      <c r="E16" s="128"/>
      <c r="F16" s="129">
        <v>9.025E8</v>
      </c>
      <c r="G16" s="128"/>
      <c r="H16" s="128"/>
      <c r="I16" s="128"/>
      <c r="J16" s="128"/>
      <c r="K16" s="128"/>
      <c r="L16" s="128"/>
      <c r="M16" s="130"/>
      <c r="N16" s="130"/>
      <c r="O16" s="189"/>
      <c r="P16" s="189"/>
      <c r="Q16" s="190"/>
      <c r="R16" s="190"/>
      <c r="S16" s="190"/>
      <c r="T16" s="190"/>
      <c r="U16" s="190"/>
      <c r="V16" s="190"/>
      <c r="W16" s="190"/>
      <c r="X16" s="190"/>
      <c r="Y16" s="190"/>
      <c r="Z16" s="190"/>
      <c r="AA16" s="190"/>
    </row>
    <row r="17" ht="14.25" customHeight="1">
      <c r="A17" s="201">
        <v>6.0</v>
      </c>
      <c r="B17" s="143" t="s">
        <v>908</v>
      </c>
      <c r="C17" s="145"/>
      <c r="D17" s="143" t="s">
        <v>2363</v>
      </c>
      <c r="E17" s="143" t="s">
        <v>70</v>
      </c>
      <c r="F17" s="144">
        <v>1.35E8</v>
      </c>
      <c r="G17" s="143" t="s">
        <v>2398</v>
      </c>
      <c r="H17" s="143">
        <v>2004.0</v>
      </c>
      <c r="I17" s="143" t="s">
        <v>2399</v>
      </c>
      <c r="J17" s="202" t="s">
        <v>2400</v>
      </c>
      <c r="K17" s="143" t="s">
        <v>2401</v>
      </c>
      <c r="L17" s="140" t="s">
        <v>2402</v>
      </c>
      <c r="M17" s="203" t="s">
        <v>2403</v>
      </c>
      <c r="N17" s="143" t="s">
        <v>2404</v>
      </c>
      <c r="O17" s="143" t="s">
        <v>2405</v>
      </c>
      <c r="P17" s="204"/>
      <c r="Q17" s="187"/>
      <c r="R17" s="187"/>
      <c r="S17" s="187"/>
      <c r="T17" s="187"/>
      <c r="U17" s="187"/>
      <c r="V17" s="187"/>
      <c r="W17" s="187"/>
      <c r="X17" s="187"/>
      <c r="Y17" s="187"/>
      <c r="Z17" s="187"/>
      <c r="AA17" s="187"/>
    </row>
    <row r="18" ht="14.25" customHeight="1">
      <c r="A18" s="198">
        <v>7.0</v>
      </c>
      <c r="B18" s="137" t="s">
        <v>2406</v>
      </c>
      <c r="C18" s="147"/>
      <c r="D18" s="137" t="s">
        <v>2363</v>
      </c>
      <c r="E18" s="137" t="s">
        <v>70</v>
      </c>
      <c r="F18" s="138">
        <v>3.545E8</v>
      </c>
      <c r="G18" s="137" t="s">
        <v>2407</v>
      </c>
      <c r="H18" s="137">
        <v>2012.0</v>
      </c>
      <c r="I18" s="137" t="s">
        <v>2408</v>
      </c>
      <c r="J18" s="202" t="s">
        <v>2409</v>
      </c>
      <c r="K18" s="137" t="s">
        <v>2410</v>
      </c>
      <c r="L18" s="137" t="s">
        <v>2411</v>
      </c>
      <c r="M18" s="199" t="s">
        <v>2412</v>
      </c>
      <c r="N18" s="137" t="s">
        <v>2413</v>
      </c>
      <c r="O18" s="137" t="s">
        <v>2414</v>
      </c>
      <c r="P18" s="208"/>
      <c r="Q18" s="187"/>
      <c r="R18" s="187"/>
      <c r="S18" s="187"/>
      <c r="T18" s="187"/>
      <c r="U18" s="187"/>
      <c r="V18" s="187"/>
      <c r="W18" s="187"/>
      <c r="X18" s="187"/>
      <c r="Y18" s="187"/>
      <c r="Z18" s="187"/>
      <c r="AA18" s="187"/>
    </row>
    <row r="19" ht="14.25" customHeight="1">
      <c r="A19" s="201">
        <v>8.0</v>
      </c>
      <c r="B19" s="143" t="s">
        <v>908</v>
      </c>
      <c r="C19" s="145"/>
      <c r="D19" s="143" t="s">
        <v>2363</v>
      </c>
      <c r="E19" s="143" t="s">
        <v>70</v>
      </c>
      <c r="F19" s="144">
        <v>4.13E8</v>
      </c>
      <c r="G19" s="143" t="s">
        <v>2415</v>
      </c>
      <c r="H19" s="143">
        <v>2020.0</v>
      </c>
      <c r="I19" s="143" t="s">
        <v>2416</v>
      </c>
      <c r="J19" s="202" t="s">
        <v>2417</v>
      </c>
      <c r="K19" s="143" t="s">
        <v>2418</v>
      </c>
      <c r="L19" s="140" t="s">
        <v>2419</v>
      </c>
      <c r="M19" s="203" t="s">
        <v>2403</v>
      </c>
      <c r="N19" s="143" t="s">
        <v>2420</v>
      </c>
      <c r="O19" s="206" t="s">
        <v>2421</v>
      </c>
      <c r="P19" s="207"/>
      <c r="Q19" s="187"/>
      <c r="R19" s="187"/>
      <c r="S19" s="187"/>
      <c r="T19" s="187"/>
      <c r="U19" s="187"/>
      <c r="V19" s="187"/>
      <c r="W19" s="187"/>
      <c r="X19" s="187"/>
      <c r="Y19" s="187"/>
      <c r="Z19" s="187"/>
      <c r="AA19" s="187"/>
    </row>
    <row r="20" ht="14.25" customHeight="1">
      <c r="A20" s="198">
        <v>9.0</v>
      </c>
      <c r="B20" s="147"/>
      <c r="C20" s="147"/>
      <c r="D20" s="137" t="s">
        <v>2363</v>
      </c>
      <c r="E20" s="137" t="s">
        <v>70</v>
      </c>
      <c r="F20" s="209"/>
      <c r="G20" s="137" t="s">
        <v>2422</v>
      </c>
      <c r="H20" s="210">
        <v>2025.0</v>
      </c>
      <c r="I20" s="137" t="s">
        <v>2423</v>
      </c>
      <c r="J20" s="202" t="s">
        <v>2424</v>
      </c>
      <c r="K20" s="137" t="s">
        <v>2425</v>
      </c>
      <c r="L20" s="140" t="s">
        <v>2426</v>
      </c>
      <c r="M20" s="199" t="s">
        <v>2427</v>
      </c>
      <c r="N20" s="137" t="s">
        <v>2428</v>
      </c>
      <c r="O20" s="137" t="s">
        <v>2429</v>
      </c>
      <c r="P20" s="208"/>
      <c r="Q20" s="187"/>
      <c r="R20" s="187"/>
      <c r="S20" s="187"/>
      <c r="T20" s="187"/>
      <c r="U20" s="187"/>
      <c r="V20" s="187"/>
      <c r="W20" s="187"/>
      <c r="X20" s="187"/>
      <c r="Y20" s="187"/>
      <c r="Z20" s="187"/>
      <c r="AA20" s="187"/>
    </row>
    <row r="21" ht="14.25" customHeight="1">
      <c r="A21" s="188"/>
      <c r="B21" s="127" t="s">
        <v>99</v>
      </c>
      <c r="C21" s="128"/>
      <c r="D21" s="128"/>
      <c r="E21" s="128"/>
      <c r="F21" s="129">
        <v>2.04E8</v>
      </c>
      <c r="G21" s="128"/>
      <c r="H21" s="128"/>
      <c r="I21" s="128"/>
      <c r="J21" s="128"/>
      <c r="K21" s="128"/>
      <c r="L21" s="128"/>
      <c r="M21" s="130"/>
      <c r="N21" s="130"/>
      <c r="O21" s="189"/>
      <c r="P21" s="189"/>
      <c r="Q21" s="190"/>
      <c r="R21" s="190"/>
      <c r="S21" s="190"/>
      <c r="T21" s="190"/>
      <c r="U21" s="190"/>
      <c r="V21" s="190"/>
      <c r="W21" s="190"/>
      <c r="X21" s="190"/>
      <c r="Y21" s="190"/>
      <c r="Z21" s="190"/>
      <c r="AA21" s="190"/>
    </row>
    <row r="22" ht="14.25" customHeight="1">
      <c r="A22" s="211">
        <v>1.0</v>
      </c>
      <c r="B22" s="212" t="s">
        <v>100</v>
      </c>
      <c r="C22" s="213"/>
      <c r="D22" s="212" t="s">
        <v>2363</v>
      </c>
      <c r="E22" s="212" t="s">
        <v>931</v>
      </c>
      <c r="F22" s="214">
        <v>9000000.0</v>
      </c>
      <c r="G22" s="212" t="s">
        <v>1379</v>
      </c>
      <c r="H22" s="212">
        <v>2004.0</v>
      </c>
      <c r="I22" s="212" t="s">
        <v>2430</v>
      </c>
      <c r="J22" s="212" t="s">
        <v>2431</v>
      </c>
      <c r="K22" s="212" t="s">
        <v>2432</v>
      </c>
      <c r="L22" s="215" t="s">
        <v>2433</v>
      </c>
      <c r="M22" s="216" t="s">
        <v>27</v>
      </c>
      <c r="N22" s="213"/>
      <c r="O22" s="217"/>
      <c r="P22" s="218" t="s">
        <v>2368</v>
      </c>
      <c r="Q22" s="187"/>
      <c r="R22" s="187"/>
      <c r="S22" s="187"/>
      <c r="T22" s="187"/>
      <c r="U22" s="187"/>
      <c r="V22" s="187"/>
      <c r="W22" s="187"/>
      <c r="X22" s="187"/>
      <c r="Y22" s="187"/>
      <c r="Z22" s="187"/>
      <c r="AA22" s="187"/>
    </row>
    <row r="23" ht="14.25" customHeight="1">
      <c r="A23" s="201">
        <v>2.0</v>
      </c>
      <c r="B23" s="143" t="s">
        <v>100</v>
      </c>
      <c r="C23" s="145"/>
      <c r="D23" s="143" t="s">
        <v>2363</v>
      </c>
      <c r="E23" s="143" t="s">
        <v>70</v>
      </c>
      <c r="F23" s="144">
        <v>3.25E7</v>
      </c>
      <c r="G23" s="143" t="s">
        <v>2434</v>
      </c>
      <c r="H23" s="143">
        <v>2019.0</v>
      </c>
      <c r="I23" s="143" t="s">
        <v>2435</v>
      </c>
      <c r="J23" s="202" t="s">
        <v>2436</v>
      </c>
      <c r="K23" s="143" t="s">
        <v>2437</v>
      </c>
      <c r="L23" s="140" t="s">
        <v>2438</v>
      </c>
      <c r="M23" s="219"/>
      <c r="N23" s="143" t="s">
        <v>2439</v>
      </c>
      <c r="O23" s="206" t="s">
        <v>2440</v>
      </c>
      <c r="P23" s="207"/>
      <c r="Q23" s="187"/>
      <c r="R23" s="187"/>
      <c r="S23" s="187"/>
      <c r="T23" s="187"/>
      <c r="U23" s="187"/>
      <c r="V23" s="187"/>
      <c r="W23" s="187"/>
      <c r="X23" s="187"/>
      <c r="Y23" s="187"/>
      <c r="Z23" s="187"/>
      <c r="AA23" s="187"/>
    </row>
    <row r="24" ht="14.25" customHeight="1">
      <c r="A24" s="198">
        <v>3.0</v>
      </c>
      <c r="B24" s="137" t="s">
        <v>100</v>
      </c>
      <c r="C24" s="147"/>
      <c r="D24" s="137" t="s">
        <v>2363</v>
      </c>
      <c r="E24" s="137" t="s">
        <v>70</v>
      </c>
      <c r="F24" s="138">
        <v>3.25E7</v>
      </c>
      <c r="G24" s="137" t="s">
        <v>2434</v>
      </c>
      <c r="H24" s="137">
        <v>2019.0</v>
      </c>
      <c r="I24" s="137" t="s">
        <v>2441</v>
      </c>
      <c r="J24" s="202" t="s">
        <v>2442</v>
      </c>
      <c r="K24" s="137" t="s">
        <v>2443</v>
      </c>
      <c r="L24" s="140" t="s">
        <v>2444</v>
      </c>
      <c r="M24" s="220"/>
      <c r="N24" s="137" t="s">
        <v>2445</v>
      </c>
      <c r="O24" s="221" t="s">
        <v>2446</v>
      </c>
      <c r="P24" s="200"/>
      <c r="Q24" s="187"/>
      <c r="R24" s="187"/>
      <c r="S24" s="187"/>
      <c r="T24" s="187"/>
      <c r="U24" s="187"/>
      <c r="V24" s="187"/>
      <c r="W24" s="187"/>
      <c r="X24" s="187"/>
      <c r="Y24" s="187"/>
      <c r="Z24" s="187"/>
      <c r="AA24" s="187"/>
    </row>
    <row r="25" ht="14.25" customHeight="1">
      <c r="A25" s="201">
        <v>4.0</v>
      </c>
      <c r="B25" s="143" t="s">
        <v>100</v>
      </c>
      <c r="C25" s="145"/>
      <c r="D25" s="143" t="s">
        <v>2363</v>
      </c>
      <c r="E25" s="143" t="s">
        <v>70</v>
      </c>
      <c r="F25" s="144">
        <v>3.25E7</v>
      </c>
      <c r="G25" s="143" t="s">
        <v>2447</v>
      </c>
      <c r="H25" s="143">
        <v>2019.0</v>
      </c>
      <c r="I25" s="143" t="s">
        <v>2448</v>
      </c>
      <c r="J25" s="202" t="s">
        <v>2449</v>
      </c>
      <c r="K25" s="143" t="s">
        <v>2450</v>
      </c>
      <c r="L25" s="140" t="s">
        <v>2451</v>
      </c>
      <c r="M25" s="219"/>
      <c r="N25" s="143" t="s">
        <v>2452</v>
      </c>
      <c r="O25" s="206" t="s">
        <v>2453</v>
      </c>
      <c r="P25" s="207"/>
      <c r="Q25" s="187"/>
      <c r="R25" s="187"/>
      <c r="S25" s="187"/>
      <c r="T25" s="187"/>
      <c r="U25" s="187"/>
      <c r="V25" s="187"/>
      <c r="W25" s="187"/>
      <c r="X25" s="187"/>
      <c r="Y25" s="187"/>
      <c r="Z25" s="187"/>
      <c r="AA25" s="187"/>
    </row>
    <row r="26" ht="14.25" customHeight="1">
      <c r="A26" s="198">
        <v>5.0</v>
      </c>
      <c r="B26" s="137" t="s">
        <v>100</v>
      </c>
      <c r="C26" s="147"/>
      <c r="D26" s="137" t="s">
        <v>2363</v>
      </c>
      <c r="E26" s="137" t="s">
        <v>70</v>
      </c>
      <c r="F26" s="138">
        <v>3.25E7</v>
      </c>
      <c r="G26" s="137" t="s">
        <v>2434</v>
      </c>
      <c r="H26" s="137">
        <v>2019.0</v>
      </c>
      <c r="I26" s="137" t="s">
        <v>2454</v>
      </c>
      <c r="J26" s="202" t="s">
        <v>2455</v>
      </c>
      <c r="K26" s="137" t="s">
        <v>2456</v>
      </c>
      <c r="L26" s="140" t="s">
        <v>2457</v>
      </c>
      <c r="M26" s="220"/>
      <c r="N26" s="137" t="s">
        <v>2458</v>
      </c>
      <c r="O26" s="221" t="s">
        <v>2459</v>
      </c>
      <c r="P26" s="200"/>
      <c r="Q26" s="187"/>
      <c r="R26" s="187"/>
      <c r="S26" s="187"/>
      <c r="T26" s="187"/>
      <c r="U26" s="187"/>
      <c r="V26" s="187"/>
      <c r="W26" s="187"/>
      <c r="X26" s="187"/>
      <c r="Y26" s="187"/>
      <c r="Z26" s="187"/>
      <c r="AA26" s="187"/>
    </row>
    <row r="27" ht="14.25" customHeight="1">
      <c r="A27" s="201">
        <v>6.0</v>
      </c>
      <c r="B27" s="143" t="s">
        <v>100</v>
      </c>
      <c r="C27" s="145"/>
      <c r="D27" s="143" t="s">
        <v>2363</v>
      </c>
      <c r="E27" s="143" t="s">
        <v>70</v>
      </c>
      <c r="F27" s="144">
        <v>3.25E7</v>
      </c>
      <c r="G27" s="143" t="s">
        <v>2434</v>
      </c>
      <c r="H27" s="143">
        <v>2019.0</v>
      </c>
      <c r="I27" s="143" t="s">
        <v>2460</v>
      </c>
      <c r="J27" s="202" t="s">
        <v>2461</v>
      </c>
      <c r="K27" s="143" t="s">
        <v>2462</v>
      </c>
      <c r="L27" s="140" t="s">
        <v>2463</v>
      </c>
      <c r="M27" s="219"/>
      <c r="N27" s="143" t="s">
        <v>2389</v>
      </c>
      <c r="O27" s="143" t="s">
        <v>2464</v>
      </c>
      <c r="P27" s="204"/>
      <c r="Q27" s="187"/>
      <c r="R27" s="187"/>
      <c r="S27" s="187"/>
      <c r="T27" s="187"/>
      <c r="U27" s="187"/>
      <c r="V27" s="187"/>
      <c r="W27" s="187"/>
      <c r="X27" s="187"/>
      <c r="Y27" s="187"/>
      <c r="Z27" s="187"/>
      <c r="AA27" s="187"/>
    </row>
    <row r="28" ht="14.25" customHeight="1">
      <c r="A28" s="198">
        <v>7.0</v>
      </c>
      <c r="B28" s="137" t="s">
        <v>100</v>
      </c>
      <c r="C28" s="147"/>
      <c r="D28" s="137" t="s">
        <v>2363</v>
      </c>
      <c r="E28" s="137" t="s">
        <v>70</v>
      </c>
      <c r="F28" s="138">
        <v>3.25E7</v>
      </c>
      <c r="G28" s="137" t="s">
        <v>2434</v>
      </c>
      <c r="H28" s="137">
        <v>2019.0</v>
      </c>
      <c r="I28" s="137" t="s">
        <v>2465</v>
      </c>
      <c r="J28" s="202" t="s">
        <v>2466</v>
      </c>
      <c r="K28" s="137" t="s">
        <v>2467</v>
      </c>
      <c r="L28" s="140" t="s">
        <v>2468</v>
      </c>
      <c r="M28" s="220"/>
      <c r="N28" s="137" t="s">
        <v>2469</v>
      </c>
      <c r="O28" s="221" t="s">
        <v>2470</v>
      </c>
      <c r="P28" s="200"/>
      <c r="Q28" s="187"/>
      <c r="R28" s="187"/>
      <c r="S28" s="187"/>
      <c r="T28" s="187"/>
      <c r="U28" s="187"/>
      <c r="V28" s="187"/>
      <c r="W28" s="187"/>
      <c r="X28" s="187"/>
      <c r="Y28" s="187"/>
      <c r="Z28" s="187"/>
      <c r="AA28" s="187"/>
    </row>
    <row r="29" ht="14.25" customHeight="1">
      <c r="A29" s="187"/>
      <c r="B29" s="187"/>
      <c r="C29" s="187"/>
      <c r="D29" s="187"/>
      <c r="E29" s="187"/>
      <c r="F29" s="187"/>
      <c r="G29" s="187"/>
      <c r="H29" s="187"/>
      <c r="I29" s="187"/>
      <c r="J29" s="187"/>
      <c r="K29" s="187"/>
      <c r="L29" s="187"/>
      <c r="M29" s="187"/>
      <c r="N29" s="187"/>
      <c r="O29" s="187"/>
      <c r="P29" s="187"/>
      <c r="Q29" s="187"/>
      <c r="R29" s="187"/>
      <c r="S29" s="187"/>
      <c r="T29" s="187"/>
      <c r="U29" s="187"/>
      <c r="V29" s="187"/>
      <c r="W29" s="187"/>
      <c r="X29" s="187"/>
      <c r="Y29" s="187"/>
      <c r="Z29" s="187"/>
      <c r="AA29" s="187"/>
    </row>
    <row r="30" ht="14.25" customHeight="1">
      <c r="A30" s="222" t="s">
        <v>2471</v>
      </c>
      <c r="C30" s="187"/>
      <c r="D30" s="187"/>
      <c r="E30" s="187"/>
      <c r="F30" s="187"/>
      <c r="G30" s="187"/>
      <c r="H30" s="187"/>
      <c r="I30" s="187"/>
      <c r="J30" s="187"/>
      <c r="K30" s="187"/>
      <c r="L30" s="187"/>
      <c r="M30" s="187"/>
      <c r="N30" s="187"/>
      <c r="O30" s="187"/>
      <c r="P30" s="187"/>
      <c r="Q30" s="187"/>
      <c r="R30" s="187"/>
      <c r="S30" s="187"/>
      <c r="T30" s="187"/>
      <c r="U30" s="187"/>
      <c r="V30" s="187"/>
      <c r="W30" s="187"/>
      <c r="X30" s="187"/>
      <c r="Y30" s="187"/>
      <c r="Z30" s="187"/>
      <c r="AA30" s="187"/>
    </row>
    <row r="31" ht="14.25" customHeight="1">
      <c r="A31" s="223">
        <v>11.0</v>
      </c>
      <c r="B31" s="224" t="s">
        <v>2472</v>
      </c>
      <c r="C31" s="224" t="s">
        <v>2473</v>
      </c>
      <c r="D31" s="224" t="s">
        <v>2474</v>
      </c>
      <c r="E31" s="224" t="s">
        <v>70</v>
      </c>
      <c r="F31" s="225">
        <v>5.10774E8</v>
      </c>
      <c r="G31" s="226"/>
      <c r="H31" s="224">
        <v>2017.0</v>
      </c>
      <c r="I31" s="224" t="s">
        <v>2475</v>
      </c>
      <c r="J31" s="224" t="s">
        <v>2476</v>
      </c>
      <c r="K31" s="227" t="s">
        <v>2477</v>
      </c>
      <c r="L31" s="226"/>
      <c r="M31" s="226"/>
      <c r="N31" s="187"/>
      <c r="O31" s="187"/>
      <c r="P31" s="187"/>
      <c r="Q31" s="187"/>
      <c r="R31" s="187"/>
      <c r="S31" s="187"/>
      <c r="T31" s="187"/>
      <c r="U31" s="187"/>
      <c r="V31" s="187"/>
      <c r="W31" s="187"/>
      <c r="X31" s="187"/>
      <c r="Y31" s="187"/>
      <c r="Z31" s="187"/>
      <c r="AA31" s="187"/>
    </row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A2:M2"/>
    <mergeCell ref="A3:M3"/>
    <mergeCell ref="A30:B30"/>
  </mergeCells>
  <printOptions/>
  <pageMargins bottom="0.7480314960629921" footer="0.0" header="0.0" left="0.7086614173228347" right="0.7086614173228347" top="0.7480314960629921"/>
  <pageSetup paperSize="5" scale="65"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18.14"/>
    <col customWidth="1" min="3" max="3" width="19.43"/>
    <col customWidth="1" min="4" max="4" width="16.14"/>
    <col customWidth="1" min="5" max="5" width="11.0"/>
    <col customWidth="1" min="6" max="6" width="16.29"/>
    <col customWidth="1" min="7" max="7" width="19.57"/>
    <col customWidth="1" min="8" max="8" width="8.0"/>
    <col customWidth="1" min="9" max="9" width="21.71"/>
    <col customWidth="1" min="10" max="10" width="27.14"/>
    <col customWidth="1" min="11" max="12" width="15.14"/>
    <col customWidth="1" min="13" max="13" width="45.14"/>
    <col customWidth="1" min="14" max="14" width="15.71"/>
    <col customWidth="1" min="15" max="15" width="43.43"/>
    <col customWidth="1" min="16" max="16" width="11.86"/>
    <col customWidth="1" min="17" max="27" width="8.71"/>
  </cols>
  <sheetData>
    <row r="1" ht="14.25" customHeight="1"/>
    <row r="2" ht="14.25" customHeight="1">
      <c r="A2" s="1" t="s">
        <v>0</v>
      </c>
    </row>
    <row r="3" ht="14.25" customHeight="1">
      <c r="A3" s="1" t="s">
        <v>1</v>
      </c>
    </row>
    <row r="4" ht="14.25" customHeight="1"/>
    <row r="5" ht="14.25" customHeight="1"/>
    <row r="6" ht="14.25" customHeight="1">
      <c r="A6" s="2" t="s">
        <v>2</v>
      </c>
      <c r="C6" s="2" t="s">
        <v>3</v>
      </c>
    </row>
    <row r="7" ht="14.25" customHeight="1">
      <c r="A7" s="2" t="s">
        <v>4</v>
      </c>
      <c r="C7" s="2" t="s">
        <v>5</v>
      </c>
    </row>
    <row r="8" ht="14.25" customHeight="1">
      <c r="A8" s="2" t="s">
        <v>6</v>
      </c>
      <c r="C8" s="2" t="s">
        <v>2478</v>
      </c>
    </row>
    <row r="9" ht="14.25" customHeight="1">
      <c r="A9" s="228" t="s">
        <v>8</v>
      </c>
      <c r="B9" s="229" t="s">
        <v>9</v>
      </c>
      <c r="C9" s="229" t="s">
        <v>10</v>
      </c>
      <c r="D9" s="229" t="s">
        <v>11</v>
      </c>
      <c r="E9" s="229" t="s">
        <v>12</v>
      </c>
      <c r="F9" s="229" t="s">
        <v>13</v>
      </c>
      <c r="G9" s="229" t="s">
        <v>14</v>
      </c>
      <c r="H9" s="229" t="s">
        <v>15</v>
      </c>
      <c r="I9" s="229" t="s">
        <v>16</v>
      </c>
      <c r="J9" s="229" t="s">
        <v>17</v>
      </c>
      <c r="K9" s="230" t="s">
        <v>1881</v>
      </c>
      <c r="L9" s="229" t="s">
        <v>1882</v>
      </c>
      <c r="M9" s="231" t="s">
        <v>20</v>
      </c>
      <c r="N9" s="229" t="s">
        <v>1883</v>
      </c>
      <c r="O9" s="232" t="s">
        <v>2479</v>
      </c>
      <c r="P9" s="232" t="s">
        <v>2480</v>
      </c>
    </row>
    <row r="10" ht="14.25" customHeight="1">
      <c r="A10" s="233">
        <v>1.0</v>
      </c>
      <c r="B10" s="233" t="s">
        <v>780</v>
      </c>
      <c r="C10" s="233"/>
      <c r="D10" s="233" t="s">
        <v>2481</v>
      </c>
      <c r="E10" s="233" t="s">
        <v>70</v>
      </c>
      <c r="F10" s="234">
        <v>1.35E8</v>
      </c>
      <c r="G10" s="233" t="s">
        <v>2482</v>
      </c>
      <c r="H10" s="233" t="s">
        <v>788</v>
      </c>
      <c r="I10" s="235" t="s">
        <v>2483</v>
      </c>
      <c r="J10" s="233" t="s">
        <v>2484</v>
      </c>
      <c r="K10" s="236" t="s">
        <v>2485</v>
      </c>
      <c r="L10" s="237" t="s">
        <v>2486</v>
      </c>
      <c r="M10" s="233" t="s">
        <v>2487</v>
      </c>
      <c r="N10" s="234" t="s">
        <v>2488</v>
      </c>
      <c r="O10" s="238" t="s">
        <v>2489</v>
      </c>
      <c r="P10" s="238" t="s">
        <v>2490</v>
      </c>
      <c r="Q10" s="239"/>
      <c r="R10" s="239"/>
      <c r="S10" s="239"/>
      <c r="T10" s="239"/>
      <c r="U10" s="239"/>
      <c r="V10" s="239"/>
      <c r="W10" s="239"/>
      <c r="X10" s="239"/>
      <c r="Y10" s="239"/>
      <c r="Z10" s="239"/>
      <c r="AA10" s="239"/>
    </row>
    <row r="11" ht="14.25" customHeight="1">
      <c r="A11" s="233">
        <v>2.0</v>
      </c>
      <c r="B11" s="233" t="s">
        <v>2491</v>
      </c>
      <c r="C11" s="233"/>
      <c r="D11" s="233" t="s">
        <v>2481</v>
      </c>
      <c r="E11" s="233" t="s">
        <v>70</v>
      </c>
      <c r="F11" s="234">
        <v>1.33E8</v>
      </c>
      <c r="G11" s="233" t="s">
        <v>2492</v>
      </c>
      <c r="H11" s="233" t="s">
        <v>391</v>
      </c>
      <c r="I11" s="240" t="s">
        <v>2493</v>
      </c>
      <c r="J11" s="233" t="s">
        <v>2494</v>
      </c>
      <c r="K11" s="236" t="s">
        <v>2495</v>
      </c>
      <c r="L11" s="237" t="s">
        <v>2496</v>
      </c>
      <c r="M11" s="233" t="s">
        <v>2497</v>
      </c>
      <c r="N11" s="234" t="s">
        <v>2498</v>
      </c>
      <c r="O11" s="238" t="s">
        <v>2499</v>
      </c>
      <c r="P11" s="241"/>
      <c r="Q11" s="239"/>
      <c r="R11" s="239"/>
      <c r="S11" s="239"/>
      <c r="T11" s="239"/>
      <c r="U11" s="239"/>
      <c r="V11" s="239"/>
      <c r="W11" s="239"/>
      <c r="X11" s="239"/>
      <c r="Y11" s="239"/>
      <c r="Z11" s="239"/>
      <c r="AA11" s="239"/>
    </row>
    <row r="12" ht="14.25" customHeight="1">
      <c r="A12" s="233">
        <v>3.0</v>
      </c>
      <c r="B12" s="233" t="s">
        <v>2500</v>
      </c>
      <c r="C12" s="233"/>
      <c r="D12" s="233" t="s">
        <v>2481</v>
      </c>
      <c r="E12" s="233" t="s">
        <v>70</v>
      </c>
      <c r="F12" s="234">
        <v>3.75E8</v>
      </c>
      <c r="G12" s="233" t="s">
        <v>2501</v>
      </c>
      <c r="H12" s="233" t="s">
        <v>788</v>
      </c>
      <c r="I12" s="233" t="s">
        <v>2502</v>
      </c>
      <c r="J12" s="233" t="s">
        <v>2503</v>
      </c>
      <c r="K12" s="236" t="s">
        <v>2504</v>
      </c>
      <c r="L12" s="237" t="s">
        <v>2505</v>
      </c>
      <c r="M12" s="233" t="s">
        <v>2506</v>
      </c>
      <c r="N12" s="234" t="s">
        <v>2507</v>
      </c>
      <c r="O12" s="238" t="s">
        <v>2508</v>
      </c>
      <c r="P12" s="241"/>
      <c r="Q12" s="239"/>
      <c r="R12" s="239"/>
      <c r="S12" s="239"/>
      <c r="T12" s="239"/>
      <c r="U12" s="239"/>
      <c r="V12" s="239"/>
      <c r="W12" s="239"/>
      <c r="X12" s="239"/>
      <c r="Y12" s="239"/>
      <c r="Z12" s="239"/>
      <c r="AA12" s="239"/>
    </row>
    <row r="13" ht="14.25" customHeight="1">
      <c r="A13" s="233">
        <v>4.0</v>
      </c>
      <c r="B13" s="233" t="s">
        <v>2500</v>
      </c>
      <c r="C13" s="233"/>
      <c r="D13" s="233" t="s">
        <v>2481</v>
      </c>
      <c r="E13" s="233" t="s">
        <v>70</v>
      </c>
      <c r="F13" s="234">
        <v>8.46395E8</v>
      </c>
      <c r="G13" s="233" t="s">
        <v>2509</v>
      </c>
      <c r="H13" s="233" t="s">
        <v>37</v>
      </c>
      <c r="I13" s="233" t="s">
        <v>2510</v>
      </c>
      <c r="J13" s="233" t="s">
        <v>2511</v>
      </c>
      <c r="K13" s="236" t="s">
        <v>2512</v>
      </c>
      <c r="L13" s="237" t="s">
        <v>2513</v>
      </c>
      <c r="M13" s="233" t="s">
        <v>2506</v>
      </c>
      <c r="N13" s="234" t="s">
        <v>2498</v>
      </c>
      <c r="O13" s="238" t="s">
        <v>2508</v>
      </c>
      <c r="P13" s="241"/>
      <c r="Q13" s="239"/>
      <c r="R13" s="239"/>
      <c r="S13" s="239"/>
      <c r="T13" s="239"/>
      <c r="U13" s="239"/>
      <c r="V13" s="239"/>
      <c r="W13" s="239"/>
      <c r="X13" s="239"/>
      <c r="Y13" s="239"/>
      <c r="Z13" s="239"/>
      <c r="AA13" s="239"/>
    </row>
    <row r="14" ht="14.25" customHeight="1">
      <c r="A14" s="233">
        <v>5.0</v>
      </c>
      <c r="B14" s="233" t="s">
        <v>2500</v>
      </c>
      <c r="C14" s="233"/>
      <c r="D14" s="233" t="s">
        <v>2481</v>
      </c>
      <c r="E14" s="233" t="s">
        <v>70</v>
      </c>
      <c r="F14" s="234">
        <v>8.495E8</v>
      </c>
      <c r="G14" s="233" t="s">
        <v>2514</v>
      </c>
      <c r="H14" s="233" t="s">
        <v>391</v>
      </c>
      <c r="I14" s="233" t="s">
        <v>2515</v>
      </c>
      <c r="J14" s="233" t="s">
        <v>2516</v>
      </c>
      <c r="K14" s="236" t="s">
        <v>2517</v>
      </c>
      <c r="L14" s="237" t="s">
        <v>2518</v>
      </c>
      <c r="M14" s="233" t="s">
        <v>2506</v>
      </c>
      <c r="N14" s="234" t="s">
        <v>2488</v>
      </c>
      <c r="O14" s="238" t="s">
        <v>2508</v>
      </c>
      <c r="P14" s="241"/>
      <c r="Q14" s="239"/>
      <c r="R14" s="239"/>
      <c r="S14" s="239"/>
      <c r="T14" s="239"/>
      <c r="U14" s="239"/>
      <c r="V14" s="239"/>
      <c r="W14" s="239"/>
      <c r="X14" s="239"/>
      <c r="Y14" s="239"/>
      <c r="Z14" s="239"/>
      <c r="AA14" s="239"/>
    </row>
    <row r="15" ht="14.25" customHeight="1">
      <c r="A15" s="233">
        <v>6.0</v>
      </c>
      <c r="B15" s="233" t="s">
        <v>2500</v>
      </c>
      <c r="C15" s="233"/>
      <c r="D15" s="233" t="s">
        <v>2481</v>
      </c>
      <c r="E15" s="233" t="s">
        <v>70</v>
      </c>
      <c r="F15" s="234">
        <v>8.495E8</v>
      </c>
      <c r="G15" s="233" t="s">
        <v>2514</v>
      </c>
      <c r="H15" s="233" t="s">
        <v>391</v>
      </c>
      <c r="I15" s="233" t="s">
        <v>2519</v>
      </c>
      <c r="J15" s="233" t="s">
        <v>2520</v>
      </c>
      <c r="K15" s="236" t="s">
        <v>2521</v>
      </c>
      <c r="L15" s="237" t="s">
        <v>2522</v>
      </c>
      <c r="M15" s="233" t="s">
        <v>2506</v>
      </c>
      <c r="N15" s="234" t="s">
        <v>2523</v>
      </c>
      <c r="O15" s="238" t="s">
        <v>2508</v>
      </c>
      <c r="P15" s="241"/>
      <c r="Q15" s="239"/>
      <c r="R15" s="239"/>
      <c r="S15" s="239"/>
      <c r="T15" s="239"/>
      <c r="U15" s="239"/>
      <c r="V15" s="239"/>
      <c r="W15" s="239"/>
      <c r="X15" s="239"/>
      <c r="Y15" s="239"/>
      <c r="Z15" s="239"/>
      <c r="AA15" s="239"/>
    </row>
    <row r="16" ht="14.25" customHeight="1">
      <c r="A16" s="233">
        <v>7.0</v>
      </c>
      <c r="B16" s="233" t="s">
        <v>2500</v>
      </c>
      <c r="C16" s="233"/>
      <c r="D16" s="233" t="s">
        <v>2481</v>
      </c>
      <c r="E16" s="233" t="s">
        <v>70</v>
      </c>
      <c r="F16" s="234">
        <v>1.3475E9</v>
      </c>
      <c r="G16" s="233" t="s">
        <v>885</v>
      </c>
      <c r="H16" s="233" t="s">
        <v>58</v>
      </c>
      <c r="I16" s="233" t="s">
        <v>2524</v>
      </c>
      <c r="J16" s="233" t="s">
        <v>2525</v>
      </c>
      <c r="K16" s="236" t="s">
        <v>2526</v>
      </c>
      <c r="L16" s="237" t="s">
        <v>2527</v>
      </c>
      <c r="M16" s="233" t="s">
        <v>2506</v>
      </c>
      <c r="N16" s="234" t="s">
        <v>2507</v>
      </c>
      <c r="O16" s="238" t="s">
        <v>2508</v>
      </c>
      <c r="P16" s="241"/>
      <c r="Q16" s="239"/>
      <c r="R16" s="239"/>
      <c r="S16" s="239"/>
      <c r="T16" s="239"/>
      <c r="U16" s="239"/>
      <c r="V16" s="239"/>
      <c r="W16" s="239"/>
      <c r="X16" s="239"/>
      <c r="Y16" s="239"/>
      <c r="Z16" s="239"/>
      <c r="AA16" s="239"/>
    </row>
    <row r="17" ht="14.25" customHeight="1">
      <c r="A17" s="233"/>
      <c r="B17" s="233"/>
      <c r="C17" s="233"/>
      <c r="D17" s="233"/>
      <c r="E17" s="233"/>
      <c r="F17" s="234"/>
      <c r="G17" s="233"/>
      <c r="H17" s="233"/>
      <c r="I17" s="233"/>
      <c r="J17" s="233"/>
      <c r="K17" s="242"/>
      <c r="L17" s="233"/>
      <c r="M17" s="233"/>
      <c r="N17" s="234"/>
      <c r="O17" s="241"/>
      <c r="P17" s="241"/>
      <c r="Q17" s="239"/>
      <c r="R17" s="239"/>
      <c r="S17" s="239"/>
      <c r="T17" s="239"/>
      <c r="U17" s="239"/>
      <c r="V17" s="239"/>
      <c r="W17" s="239"/>
      <c r="X17" s="239"/>
      <c r="Y17" s="239"/>
      <c r="Z17" s="239"/>
      <c r="AA17" s="239"/>
    </row>
    <row r="18" ht="14.25" customHeight="1">
      <c r="A18" s="233">
        <v>1.0</v>
      </c>
      <c r="B18" s="233" t="s">
        <v>100</v>
      </c>
      <c r="C18" s="233"/>
      <c r="D18" s="233" t="s">
        <v>2481</v>
      </c>
      <c r="E18" s="233" t="s">
        <v>70</v>
      </c>
      <c r="F18" s="234">
        <v>7000000.0</v>
      </c>
      <c r="G18" s="233" t="s">
        <v>163</v>
      </c>
      <c r="H18" s="233" t="s">
        <v>788</v>
      </c>
      <c r="I18" s="233" t="s">
        <v>2528</v>
      </c>
      <c r="J18" s="233" t="s">
        <v>2529</v>
      </c>
      <c r="K18" s="236" t="s">
        <v>2530</v>
      </c>
      <c r="L18" s="237" t="s">
        <v>2531</v>
      </c>
      <c r="M18" s="233" t="s">
        <v>2532</v>
      </c>
      <c r="N18" s="234" t="s">
        <v>2533</v>
      </c>
      <c r="O18" s="238" t="s">
        <v>2534</v>
      </c>
      <c r="P18" s="241"/>
      <c r="Q18" s="239"/>
      <c r="R18" s="239"/>
      <c r="S18" s="239"/>
      <c r="T18" s="239"/>
      <c r="U18" s="239"/>
      <c r="V18" s="239"/>
      <c r="W18" s="239"/>
      <c r="X18" s="239"/>
      <c r="Y18" s="239"/>
      <c r="Z18" s="239"/>
      <c r="AA18" s="239"/>
    </row>
    <row r="19" ht="14.25" customHeight="1">
      <c r="A19" s="233">
        <v>2.0</v>
      </c>
      <c r="B19" s="233" t="s">
        <v>100</v>
      </c>
      <c r="C19" s="233"/>
      <c r="D19" s="233" t="s">
        <v>2481</v>
      </c>
      <c r="E19" s="233" t="s">
        <v>70</v>
      </c>
      <c r="F19" s="234">
        <v>9000000.0</v>
      </c>
      <c r="G19" s="233" t="s">
        <v>163</v>
      </c>
      <c r="H19" s="233" t="s">
        <v>948</v>
      </c>
      <c r="I19" s="233" t="s">
        <v>2535</v>
      </c>
      <c r="J19" s="233" t="s">
        <v>2536</v>
      </c>
      <c r="K19" s="236" t="s">
        <v>2537</v>
      </c>
      <c r="L19" s="237" t="s">
        <v>2538</v>
      </c>
      <c r="M19" s="233" t="s">
        <v>2506</v>
      </c>
      <c r="N19" s="234" t="s">
        <v>2539</v>
      </c>
      <c r="O19" s="238" t="s">
        <v>2540</v>
      </c>
      <c r="P19" s="241"/>
      <c r="Q19" s="239"/>
      <c r="R19" s="239"/>
      <c r="S19" s="239"/>
      <c r="T19" s="239"/>
      <c r="U19" s="239"/>
      <c r="V19" s="239"/>
      <c r="W19" s="239"/>
      <c r="X19" s="239"/>
      <c r="Y19" s="239"/>
      <c r="Z19" s="239"/>
      <c r="AA19" s="239"/>
    </row>
    <row r="20" ht="14.25" customHeight="1">
      <c r="A20" s="233">
        <v>3.0</v>
      </c>
      <c r="B20" s="233" t="s">
        <v>100</v>
      </c>
      <c r="C20" s="233"/>
      <c r="D20" s="233" t="s">
        <v>2481</v>
      </c>
      <c r="E20" s="233" t="s">
        <v>70</v>
      </c>
      <c r="F20" s="234">
        <v>1.77072E7</v>
      </c>
      <c r="G20" s="233" t="s">
        <v>2541</v>
      </c>
      <c r="H20" s="233" t="s">
        <v>44</v>
      </c>
      <c r="I20" s="233" t="s">
        <v>2542</v>
      </c>
      <c r="J20" s="233" t="s">
        <v>2543</v>
      </c>
      <c r="K20" s="236" t="s">
        <v>2544</v>
      </c>
      <c r="L20" s="243" t="s">
        <v>2545</v>
      </c>
      <c r="M20" s="233" t="s">
        <v>2506</v>
      </c>
      <c r="N20" s="234" t="s">
        <v>2546</v>
      </c>
      <c r="O20" s="238" t="s">
        <v>2547</v>
      </c>
      <c r="P20" s="241"/>
      <c r="Q20" s="239"/>
      <c r="R20" s="239"/>
      <c r="S20" s="239"/>
      <c r="T20" s="239"/>
      <c r="U20" s="239"/>
      <c r="V20" s="239"/>
      <c r="W20" s="239"/>
      <c r="X20" s="239"/>
      <c r="Y20" s="239"/>
      <c r="Z20" s="239"/>
      <c r="AA20" s="239"/>
    </row>
    <row r="21" ht="14.25" customHeight="1">
      <c r="A21" s="233">
        <v>4.0</v>
      </c>
      <c r="B21" s="233" t="s">
        <v>100</v>
      </c>
      <c r="C21" s="233"/>
      <c r="D21" s="233" t="s">
        <v>2481</v>
      </c>
      <c r="E21" s="233" t="s">
        <v>70</v>
      </c>
      <c r="F21" s="234">
        <v>1.77072E7</v>
      </c>
      <c r="G21" s="233" t="s">
        <v>2541</v>
      </c>
      <c r="H21" s="233" t="s">
        <v>44</v>
      </c>
      <c r="I21" s="233" t="s">
        <v>2548</v>
      </c>
      <c r="J21" s="233" t="s">
        <v>2549</v>
      </c>
      <c r="K21" s="236" t="s">
        <v>2550</v>
      </c>
      <c r="L21" s="243" t="s">
        <v>2551</v>
      </c>
      <c r="M21" s="233" t="s">
        <v>2506</v>
      </c>
      <c r="N21" s="234" t="s">
        <v>2552</v>
      </c>
      <c r="O21" s="238" t="s">
        <v>2553</v>
      </c>
      <c r="P21" s="241"/>
      <c r="Q21" s="239"/>
      <c r="R21" s="239"/>
      <c r="S21" s="239"/>
      <c r="T21" s="239"/>
      <c r="U21" s="239"/>
      <c r="V21" s="239"/>
      <c r="W21" s="239"/>
      <c r="X21" s="239"/>
      <c r="Y21" s="239"/>
      <c r="Z21" s="239"/>
      <c r="AA21" s="239"/>
    </row>
    <row r="22" ht="14.25" customHeight="1">
      <c r="A22" s="233">
        <v>5.0</v>
      </c>
      <c r="B22" s="233" t="s">
        <v>100</v>
      </c>
      <c r="C22" s="233"/>
      <c r="D22" s="233" t="s">
        <v>2481</v>
      </c>
      <c r="E22" s="233" t="s">
        <v>70</v>
      </c>
      <c r="F22" s="234">
        <v>3.4372E7</v>
      </c>
      <c r="G22" s="233" t="s">
        <v>2554</v>
      </c>
      <c r="H22" s="233" t="s">
        <v>887</v>
      </c>
      <c r="I22" s="233" t="s">
        <v>2555</v>
      </c>
      <c r="J22" s="235" t="s">
        <v>2556</v>
      </c>
      <c r="K22" s="236" t="s">
        <v>2557</v>
      </c>
      <c r="L22" s="237" t="s">
        <v>2558</v>
      </c>
      <c r="M22" s="233"/>
      <c r="N22" s="234" t="s">
        <v>2559</v>
      </c>
      <c r="O22" s="238" t="s">
        <v>2560</v>
      </c>
      <c r="P22" s="241"/>
      <c r="Q22" s="239"/>
      <c r="R22" s="239"/>
      <c r="S22" s="239"/>
      <c r="T22" s="239"/>
      <c r="U22" s="239"/>
      <c r="V22" s="239"/>
      <c r="W22" s="239"/>
      <c r="X22" s="239"/>
      <c r="Y22" s="239"/>
      <c r="Z22" s="239"/>
      <c r="AA22" s="239"/>
    </row>
    <row r="23" ht="19.5" customHeight="1">
      <c r="A23" s="233">
        <v>6.0</v>
      </c>
      <c r="B23" s="233" t="s">
        <v>100</v>
      </c>
      <c r="C23" s="233"/>
      <c r="D23" s="233" t="s">
        <v>2481</v>
      </c>
      <c r="E23" s="233" t="s">
        <v>70</v>
      </c>
      <c r="F23" s="234">
        <v>3.4372E7</v>
      </c>
      <c r="G23" s="233" t="s">
        <v>2561</v>
      </c>
      <c r="H23" s="233" t="s">
        <v>887</v>
      </c>
      <c r="I23" s="233" t="s">
        <v>2562</v>
      </c>
      <c r="J23" s="233" t="s">
        <v>2563</v>
      </c>
      <c r="K23" s="236" t="s">
        <v>2564</v>
      </c>
      <c r="L23" s="237" t="s">
        <v>2565</v>
      </c>
      <c r="M23" s="233"/>
      <c r="N23" s="234" t="s">
        <v>2566</v>
      </c>
      <c r="O23" s="238" t="s">
        <v>2567</v>
      </c>
      <c r="P23" s="241"/>
      <c r="Q23" s="239"/>
      <c r="R23" s="239"/>
      <c r="S23" s="239"/>
      <c r="T23" s="239"/>
      <c r="U23" s="239"/>
      <c r="V23" s="239"/>
      <c r="W23" s="239"/>
      <c r="X23" s="239"/>
      <c r="Y23" s="239"/>
      <c r="Z23" s="239"/>
      <c r="AA23" s="239"/>
    </row>
    <row r="24" ht="14.25" customHeight="1">
      <c r="A24" s="233">
        <v>7.0</v>
      </c>
      <c r="B24" s="233" t="s">
        <v>100</v>
      </c>
      <c r="C24" s="233"/>
      <c r="D24" s="233" t="s">
        <v>2481</v>
      </c>
      <c r="E24" s="233" t="s">
        <v>70</v>
      </c>
      <c r="F24" s="234">
        <v>3.4372E7</v>
      </c>
      <c r="G24" s="233" t="s">
        <v>2554</v>
      </c>
      <c r="H24" s="233" t="s">
        <v>887</v>
      </c>
      <c r="I24" s="233" t="s">
        <v>2568</v>
      </c>
      <c r="J24" s="235" t="s">
        <v>2569</v>
      </c>
      <c r="K24" s="236" t="s">
        <v>2570</v>
      </c>
      <c r="L24" s="237" t="s">
        <v>2571</v>
      </c>
      <c r="M24" s="233"/>
      <c r="N24" s="244" t="s">
        <v>2572</v>
      </c>
      <c r="O24" s="238" t="s">
        <v>2573</v>
      </c>
      <c r="P24" s="245"/>
      <c r="Q24" s="239"/>
      <c r="R24" s="239"/>
      <c r="S24" s="239"/>
      <c r="T24" s="239"/>
      <c r="U24" s="239"/>
      <c r="V24" s="239"/>
      <c r="W24" s="239"/>
      <c r="X24" s="239"/>
      <c r="Y24" s="239"/>
      <c r="Z24" s="239"/>
      <c r="AA24" s="239"/>
    </row>
    <row r="25" ht="14.25" customHeight="1">
      <c r="A25" s="233">
        <v>8.0</v>
      </c>
      <c r="B25" s="233" t="s">
        <v>100</v>
      </c>
      <c r="C25" s="233"/>
      <c r="D25" s="233" t="s">
        <v>2481</v>
      </c>
      <c r="E25" s="233" t="s">
        <v>70</v>
      </c>
      <c r="F25" s="234">
        <v>3.4372E7</v>
      </c>
      <c r="G25" s="233" t="s">
        <v>2554</v>
      </c>
      <c r="H25" s="233" t="s">
        <v>887</v>
      </c>
      <c r="I25" s="233" t="s">
        <v>2574</v>
      </c>
      <c r="J25" s="235" t="s">
        <v>2575</v>
      </c>
      <c r="K25" s="236" t="s">
        <v>2576</v>
      </c>
      <c r="L25" s="237" t="s">
        <v>2577</v>
      </c>
      <c r="M25" s="233"/>
      <c r="N25" s="234" t="s">
        <v>2578</v>
      </c>
      <c r="O25" s="238" t="s">
        <v>2579</v>
      </c>
      <c r="P25" s="241"/>
      <c r="Q25" s="239"/>
      <c r="R25" s="239"/>
      <c r="S25" s="239"/>
      <c r="T25" s="239"/>
      <c r="U25" s="239"/>
      <c r="V25" s="239"/>
      <c r="W25" s="239"/>
      <c r="X25" s="239"/>
      <c r="Y25" s="239"/>
      <c r="Z25" s="239"/>
      <c r="AA25" s="239"/>
    </row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2:M2"/>
    <mergeCell ref="A3:M3"/>
  </mergeCells>
  <printOptions/>
  <pageMargins bottom="0.7480314960629921" footer="0.0" header="0.0" left="0.7086614173228347" right="0.7086614173228347" top="0.7480314960629921"/>
  <pageSetup paperSize="5" scale="70" orientation="landscape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workbookViewId="0"/>
  </sheetViews>
  <sheetFormatPr customHeight="1" defaultColWidth="14.43" defaultRowHeight="15.0"/>
  <cols>
    <col customWidth="1" min="1" max="1" width="4.86"/>
    <col customWidth="1" min="2" max="2" width="37.43"/>
    <col customWidth="1" min="3" max="3" width="18.43"/>
    <col customWidth="1" min="4" max="4" width="21.57"/>
    <col customWidth="1" min="5" max="5" width="11.71"/>
    <col customWidth="1" min="6" max="6" width="18.86"/>
    <col customWidth="1" min="7" max="7" width="34.71"/>
    <col customWidth="1" min="8" max="8" width="8.71"/>
    <col customWidth="1" min="9" max="9" width="10.86"/>
    <col customWidth="1" min="10" max="11" width="22.0"/>
    <col customWidth="1" min="12" max="12" width="23.57"/>
    <col customWidth="1" min="13" max="13" width="33.29"/>
    <col customWidth="1" min="14" max="14" width="39.71"/>
    <col customWidth="1" min="15" max="15" width="70.71"/>
    <col customWidth="1" min="16" max="16" width="20.71"/>
    <col customWidth="1" min="17" max="27" width="8.71"/>
  </cols>
  <sheetData>
    <row r="1" ht="14.25" customHeight="1"/>
    <row r="2" ht="14.25" customHeight="1">
      <c r="A2" s="1" t="s">
        <v>0</v>
      </c>
    </row>
    <row r="3" ht="14.25" customHeight="1">
      <c r="A3" s="1" t="s">
        <v>1</v>
      </c>
    </row>
    <row r="4" ht="14.25" customHeight="1"/>
    <row r="5" ht="14.25" customHeight="1"/>
    <row r="6" ht="14.25" customHeight="1">
      <c r="A6" s="2" t="s">
        <v>2</v>
      </c>
      <c r="C6" s="2" t="s">
        <v>3</v>
      </c>
    </row>
    <row r="7" ht="14.25" customHeight="1">
      <c r="A7" s="2" t="s">
        <v>4</v>
      </c>
      <c r="C7" s="2" t="s">
        <v>5</v>
      </c>
    </row>
    <row r="8" ht="14.25" customHeight="1">
      <c r="A8" s="2" t="s">
        <v>6</v>
      </c>
      <c r="C8" s="2" t="s">
        <v>2580</v>
      </c>
    </row>
    <row r="9" ht="14.25" customHeight="1">
      <c r="A9" s="169" t="s">
        <v>8</v>
      </c>
      <c r="B9" s="170" t="s">
        <v>9</v>
      </c>
      <c r="C9" s="170" t="s">
        <v>10</v>
      </c>
      <c r="D9" s="170" t="s">
        <v>11</v>
      </c>
      <c r="E9" s="170" t="s">
        <v>12</v>
      </c>
      <c r="F9" s="170" t="s">
        <v>13</v>
      </c>
      <c r="G9" s="170" t="s">
        <v>14</v>
      </c>
      <c r="H9" s="170" t="s">
        <v>15</v>
      </c>
      <c r="I9" s="170" t="s">
        <v>16</v>
      </c>
      <c r="J9" s="170" t="s">
        <v>17</v>
      </c>
      <c r="K9" s="246" t="s">
        <v>766</v>
      </c>
      <c r="L9" s="170" t="s">
        <v>1882</v>
      </c>
      <c r="M9" s="171" t="s">
        <v>20</v>
      </c>
      <c r="N9" s="170" t="s">
        <v>1883</v>
      </c>
      <c r="O9" s="172" t="s">
        <v>2361</v>
      </c>
      <c r="P9" s="172" t="s">
        <v>2368</v>
      </c>
    </row>
    <row r="10" ht="14.25" customHeight="1">
      <c r="A10" s="247"/>
      <c r="B10" s="248" t="s">
        <v>23</v>
      </c>
      <c r="C10" s="248"/>
      <c r="D10" s="248"/>
      <c r="E10" s="248"/>
      <c r="F10" s="249">
        <f>SUM(F11:F17)</f>
        <v>2067915000</v>
      </c>
      <c r="G10" s="248"/>
      <c r="H10" s="248"/>
      <c r="I10" s="248"/>
      <c r="J10" s="248"/>
      <c r="K10" s="248"/>
      <c r="L10" s="248"/>
      <c r="M10" s="250"/>
      <c r="N10" s="251"/>
      <c r="O10" s="252"/>
      <c r="P10" s="252"/>
    </row>
    <row r="11" ht="14.25" customHeight="1">
      <c r="A11" s="253">
        <v>1.0</v>
      </c>
      <c r="B11" s="175" t="s">
        <v>779</v>
      </c>
      <c r="C11" s="175"/>
      <c r="D11" s="175" t="s">
        <v>2581</v>
      </c>
      <c r="E11" s="175" t="s">
        <v>70</v>
      </c>
      <c r="F11" s="177">
        <v>2.32947E8</v>
      </c>
      <c r="G11" s="254" t="s">
        <v>2582</v>
      </c>
      <c r="H11" s="143">
        <v>2010.0</v>
      </c>
      <c r="I11" s="254" t="s">
        <v>2583</v>
      </c>
      <c r="J11" s="254" t="s">
        <v>2584</v>
      </c>
      <c r="K11" s="254" t="s">
        <v>2585</v>
      </c>
      <c r="L11" s="140" t="s">
        <v>2586</v>
      </c>
      <c r="M11" s="255" t="s">
        <v>2587</v>
      </c>
      <c r="N11" s="256"/>
      <c r="O11" s="257"/>
      <c r="P11" s="257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</row>
    <row r="12" ht="14.25" customHeight="1">
      <c r="A12" s="253">
        <v>2.0</v>
      </c>
      <c r="B12" s="175" t="s">
        <v>779</v>
      </c>
      <c r="C12" s="175"/>
      <c r="D12" s="175" t="s">
        <v>2581</v>
      </c>
      <c r="E12" s="175" t="s">
        <v>70</v>
      </c>
      <c r="F12" s="177">
        <v>1.99815E8</v>
      </c>
      <c r="G12" s="137" t="s">
        <v>2588</v>
      </c>
      <c r="H12" s="202">
        <v>2010.0</v>
      </c>
      <c r="I12" s="137" t="s">
        <v>2589</v>
      </c>
      <c r="J12" s="137" t="s">
        <v>2590</v>
      </c>
      <c r="K12" s="137" t="s">
        <v>2591</v>
      </c>
      <c r="L12" s="140" t="s">
        <v>2592</v>
      </c>
      <c r="M12" s="199" t="s">
        <v>2593</v>
      </c>
      <c r="N12" s="199" t="s">
        <v>2594</v>
      </c>
      <c r="O12" s="258" t="s">
        <v>2595</v>
      </c>
      <c r="P12" s="259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</row>
    <row r="13" ht="14.25" customHeight="1">
      <c r="A13" s="253">
        <v>3.0</v>
      </c>
      <c r="B13" s="175" t="s">
        <v>779</v>
      </c>
      <c r="C13" s="175"/>
      <c r="D13" s="175" t="s">
        <v>2581</v>
      </c>
      <c r="E13" s="175" t="s">
        <v>70</v>
      </c>
      <c r="F13" s="177">
        <v>2.67453E8</v>
      </c>
      <c r="G13" s="254" t="s">
        <v>2596</v>
      </c>
      <c r="H13" s="143">
        <v>2012.0</v>
      </c>
      <c r="I13" s="254" t="s">
        <v>2597</v>
      </c>
      <c r="J13" s="254" t="s">
        <v>2598</v>
      </c>
      <c r="K13" s="254" t="s">
        <v>2599</v>
      </c>
      <c r="L13" s="140" t="s">
        <v>2600</v>
      </c>
      <c r="M13" s="255" t="s">
        <v>2601</v>
      </c>
      <c r="N13" s="255" t="s">
        <v>2602</v>
      </c>
      <c r="O13" s="257"/>
      <c r="P13" s="260" t="s">
        <v>2362</v>
      </c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</row>
    <row r="14" ht="14.25" customHeight="1">
      <c r="A14" s="253">
        <v>4.0</v>
      </c>
      <c r="B14" s="175" t="s">
        <v>779</v>
      </c>
      <c r="C14" s="175"/>
      <c r="D14" s="175" t="s">
        <v>2581</v>
      </c>
      <c r="E14" s="175" t="s">
        <v>2603</v>
      </c>
      <c r="F14" s="177">
        <v>2.334E8</v>
      </c>
      <c r="G14" s="137" t="s">
        <v>2604</v>
      </c>
      <c r="H14" s="202">
        <v>2017.0</v>
      </c>
      <c r="I14" s="137" t="s">
        <v>2605</v>
      </c>
      <c r="J14" s="137" t="s">
        <v>2606</v>
      </c>
      <c r="K14" s="137" t="s">
        <v>2607</v>
      </c>
      <c r="L14" s="140" t="s">
        <v>2608</v>
      </c>
      <c r="M14" s="199" t="s">
        <v>2609</v>
      </c>
      <c r="N14" s="199" t="s">
        <v>2610</v>
      </c>
      <c r="O14" s="258" t="s">
        <v>2611</v>
      </c>
      <c r="P14" s="259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</row>
    <row r="15" ht="14.25" customHeight="1">
      <c r="A15" s="253">
        <v>5.0</v>
      </c>
      <c r="B15" s="175" t="s">
        <v>779</v>
      </c>
      <c r="C15" s="175"/>
      <c r="D15" s="175" t="s">
        <v>2581</v>
      </c>
      <c r="E15" s="175" t="s">
        <v>70</v>
      </c>
      <c r="F15" s="177">
        <v>3.47E8</v>
      </c>
      <c r="G15" s="143" t="s">
        <v>2612</v>
      </c>
      <c r="H15" s="202">
        <v>2020.0</v>
      </c>
      <c r="I15" s="143" t="s">
        <v>2613</v>
      </c>
      <c r="J15" s="143" t="s">
        <v>2614</v>
      </c>
      <c r="K15" s="143" t="s">
        <v>2615</v>
      </c>
      <c r="L15" s="140" t="s">
        <v>2616</v>
      </c>
      <c r="M15" s="203" t="s">
        <v>2617</v>
      </c>
      <c r="N15" s="203" t="s">
        <v>2618</v>
      </c>
      <c r="O15" s="261" t="s">
        <v>1898</v>
      </c>
      <c r="P15" s="262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</row>
    <row r="16" ht="14.25" customHeight="1">
      <c r="A16" s="253">
        <v>6.0</v>
      </c>
      <c r="B16" s="263" t="s">
        <v>779</v>
      </c>
      <c r="C16" s="263"/>
      <c r="D16" s="175" t="s">
        <v>2581</v>
      </c>
      <c r="E16" s="175" t="s">
        <v>70</v>
      </c>
      <c r="F16" s="115">
        <v>3.32E8</v>
      </c>
      <c r="G16" s="258" t="s">
        <v>2619</v>
      </c>
      <c r="H16" s="264">
        <v>2025.0</v>
      </c>
      <c r="I16" s="258" t="s">
        <v>2620</v>
      </c>
      <c r="J16" s="258" t="s">
        <v>2621</v>
      </c>
      <c r="K16" s="258" t="s">
        <v>2622</v>
      </c>
      <c r="L16" s="265" t="s">
        <v>2623</v>
      </c>
      <c r="M16" s="199" t="s">
        <v>2617</v>
      </c>
      <c r="N16" s="199" t="s">
        <v>2624</v>
      </c>
      <c r="O16" s="137" t="s">
        <v>2625</v>
      </c>
      <c r="P16" s="208"/>
    </row>
    <row r="17" ht="14.25" customHeight="1">
      <c r="A17" s="253">
        <v>7.0</v>
      </c>
      <c r="B17" s="263" t="s">
        <v>908</v>
      </c>
      <c r="C17" s="263"/>
      <c r="D17" s="175" t="s">
        <v>2581</v>
      </c>
      <c r="E17" s="175" t="s">
        <v>70</v>
      </c>
      <c r="F17" s="115">
        <v>4.553E8</v>
      </c>
      <c r="G17" s="261" t="s">
        <v>2626</v>
      </c>
      <c r="H17" s="264">
        <v>2025.0</v>
      </c>
      <c r="I17" s="261" t="s">
        <v>2627</v>
      </c>
      <c r="J17" s="261" t="s">
        <v>2628</v>
      </c>
      <c r="K17" s="261" t="s">
        <v>2629</v>
      </c>
      <c r="L17" s="265" t="s">
        <v>2630</v>
      </c>
      <c r="M17" s="203" t="s">
        <v>2617</v>
      </c>
      <c r="N17" s="203" t="s">
        <v>2631</v>
      </c>
      <c r="O17" s="261" t="s">
        <v>2632</v>
      </c>
      <c r="P17" s="262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</row>
    <row r="18" ht="14.25" customHeight="1">
      <c r="A18" s="247"/>
      <c r="B18" s="248" t="s">
        <v>99</v>
      </c>
      <c r="C18" s="248"/>
      <c r="D18" s="248"/>
      <c r="E18" s="248"/>
      <c r="F18" s="249">
        <f>SUM(F19:F30)</f>
        <v>217720000</v>
      </c>
      <c r="G18" s="128"/>
      <c r="H18" s="128"/>
      <c r="I18" s="128"/>
      <c r="J18" s="128"/>
      <c r="K18" s="128"/>
      <c r="L18" s="128"/>
      <c r="M18" s="130"/>
      <c r="N18" s="130"/>
      <c r="O18" s="128"/>
      <c r="P18" s="128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</row>
    <row r="19" ht="14.25" customHeight="1">
      <c r="A19" s="253">
        <v>1.0</v>
      </c>
      <c r="B19" s="175" t="s">
        <v>100</v>
      </c>
      <c r="C19" s="175"/>
      <c r="D19" s="175" t="s">
        <v>2581</v>
      </c>
      <c r="E19" s="175" t="s">
        <v>70</v>
      </c>
      <c r="F19" s="177">
        <v>6000000.0</v>
      </c>
      <c r="G19" s="192" t="s">
        <v>2633</v>
      </c>
      <c r="H19" s="266">
        <v>2003.0</v>
      </c>
      <c r="I19" s="192" t="s">
        <v>2634</v>
      </c>
      <c r="J19" s="192" t="s">
        <v>2635</v>
      </c>
      <c r="K19" s="192" t="s">
        <v>2636</v>
      </c>
      <c r="L19" s="267" t="s">
        <v>2637</v>
      </c>
      <c r="M19" s="195" t="s">
        <v>2638</v>
      </c>
      <c r="N19" s="195" t="s">
        <v>2639</v>
      </c>
      <c r="O19" s="268" t="s">
        <v>2640</v>
      </c>
      <c r="P19" s="268" t="s">
        <v>2362</v>
      </c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</row>
    <row r="20" ht="14.25" customHeight="1">
      <c r="A20" s="253">
        <v>2.0</v>
      </c>
      <c r="B20" s="175" t="s">
        <v>100</v>
      </c>
      <c r="C20" s="175"/>
      <c r="D20" s="175" t="s">
        <v>2581</v>
      </c>
      <c r="E20" s="175" t="s">
        <v>70</v>
      </c>
      <c r="F20" s="177">
        <v>8100000.0</v>
      </c>
      <c r="G20" s="137" t="s">
        <v>2641</v>
      </c>
      <c r="H20" s="202">
        <v>2004.0</v>
      </c>
      <c r="I20" s="137" t="s">
        <v>2642</v>
      </c>
      <c r="J20" s="137" t="s">
        <v>2643</v>
      </c>
      <c r="K20" s="137" t="s">
        <v>2644</v>
      </c>
      <c r="L20" s="147"/>
      <c r="M20" s="199" t="s">
        <v>2638</v>
      </c>
      <c r="N20" s="199" t="s">
        <v>2645</v>
      </c>
      <c r="O20" s="258" t="s">
        <v>2646</v>
      </c>
      <c r="P20" s="259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</row>
    <row r="21" ht="14.25" customHeight="1">
      <c r="A21" s="253">
        <v>3.0</v>
      </c>
      <c r="B21" s="175" t="s">
        <v>100</v>
      </c>
      <c r="C21" s="175"/>
      <c r="D21" s="175" t="s">
        <v>2581</v>
      </c>
      <c r="E21" s="175" t="s">
        <v>70</v>
      </c>
      <c r="F21" s="177">
        <v>1.275E7</v>
      </c>
      <c r="G21" s="143" t="s">
        <v>2647</v>
      </c>
      <c r="H21" s="202">
        <v>2008.0</v>
      </c>
      <c r="I21" s="143" t="s">
        <v>2648</v>
      </c>
      <c r="J21" s="143" t="s">
        <v>2649</v>
      </c>
      <c r="K21" s="143" t="s">
        <v>2650</v>
      </c>
      <c r="L21" s="140" t="s">
        <v>2651</v>
      </c>
      <c r="M21" s="203" t="s">
        <v>2652</v>
      </c>
      <c r="N21" s="203" t="s">
        <v>2653</v>
      </c>
      <c r="O21" s="261" t="s">
        <v>2654</v>
      </c>
      <c r="P21" s="262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</row>
    <row r="22" ht="14.25" customHeight="1">
      <c r="A22" s="253">
        <v>4.0</v>
      </c>
      <c r="B22" s="175" t="s">
        <v>100</v>
      </c>
      <c r="C22" s="175"/>
      <c r="D22" s="175" t="s">
        <v>2581</v>
      </c>
      <c r="E22" s="175" t="s">
        <v>70</v>
      </c>
      <c r="F22" s="177">
        <v>1.55E7</v>
      </c>
      <c r="G22" s="212" t="s">
        <v>2655</v>
      </c>
      <c r="H22" s="212">
        <v>2011.0</v>
      </c>
      <c r="I22" s="212" t="s">
        <v>2656</v>
      </c>
      <c r="J22" s="212" t="s">
        <v>2657</v>
      </c>
      <c r="K22" s="212" t="s">
        <v>2658</v>
      </c>
      <c r="L22" s="267" t="s">
        <v>2659</v>
      </c>
      <c r="M22" s="216" t="s">
        <v>2660</v>
      </c>
      <c r="N22" s="269"/>
      <c r="O22" s="270"/>
      <c r="P22" s="270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</row>
    <row r="23" ht="14.25" customHeight="1">
      <c r="A23" s="253">
        <v>5.0</v>
      </c>
      <c r="B23" s="175" t="s">
        <v>100</v>
      </c>
      <c r="C23" s="175"/>
      <c r="D23" s="175" t="s">
        <v>2581</v>
      </c>
      <c r="E23" s="175" t="s">
        <v>70</v>
      </c>
      <c r="F23" s="177">
        <v>1.615E7</v>
      </c>
      <c r="G23" s="143" t="s">
        <v>2661</v>
      </c>
      <c r="H23" s="202">
        <v>2011.0</v>
      </c>
      <c r="I23" s="143" t="s">
        <v>2662</v>
      </c>
      <c r="J23" s="143" t="s">
        <v>2663</v>
      </c>
      <c r="K23" s="143" t="s">
        <v>2664</v>
      </c>
      <c r="L23" s="145"/>
      <c r="M23" s="203" t="s">
        <v>2638</v>
      </c>
      <c r="N23" s="203" t="s">
        <v>2665</v>
      </c>
      <c r="O23" s="261" t="s">
        <v>2666</v>
      </c>
      <c r="P23" s="262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</row>
    <row r="24" ht="14.25" customHeight="1">
      <c r="A24" s="253">
        <v>6.0</v>
      </c>
      <c r="B24" s="175" t="s">
        <v>100</v>
      </c>
      <c r="C24" s="175"/>
      <c r="D24" s="175" t="s">
        <v>2581</v>
      </c>
      <c r="E24" s="175" t="s">
        <v>70</v>
      </c>
      <c r="F24" s="177">
        <v>2.0525E7</v>
      </c>
      <c r="G24" s="137" t="s">
        <v>2667</v>
      </c>
      <c r="H24" s="202">
        <v>2012.0</v>
      </c>
      <c r="I24" s="137" t="s">
        <v>2668</v>
      </c>
      <c r="J24" s="137" t="s">
        <v>2669</v>
      </c>
      <c r="K24" s="137" t="s">
        <v>2670</v>
      </c>
      <c r="L24" s="140" t="s">
        <v>2671</v>
      </c>
      <c r="M24" s="199" t="s">
        <v>2638</v>
      </c>
      <c r="N24" s="199" t="s">
        <v>2672</v>
      </c>
      <c r="O24" s="258" t="s">
        <v>2673</v>
      </c>
      <c r="P24" s="259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</row>
    <row r="25" ht="14.25" customHeight="1">
      <c r="A25" s="253">
        <v>7.0</v>
      </c>
      <c r="B25" s="175" t="s">
        <v>100</v>
      </c>
      <c r="C25" s="175"/>
      <c r="D25" s="175" t="s">
        <v>2581</v>
      </c>
      <c r="E25" s="175" t="s">
        <v>70</v>
      </c>
      <c r="F25" s="177">
        <v>1.8921E7</v>
      </c>
      <c r="G25" s="143" t="s">
        <v>2674</v>
      </c>
      <c r="H25" s="202">
        <v>2017.0</v>
      </c>
      <c r="I25" s="143" t="s">
        <v>2675</v>
      </c>
      <c r="J25" s="143" t="s">
        <v>2676</v>
      </c>
      <c r="K25" s="143" t="s">
        <v>2677</v>
      </c>
      <c r="L25" s="140" t="s">
        <v>2678</v>
      </c>
      <c r="M25" s="203" t="s">
        <v>2679</v>
      </c>
      <c r="N25" s="203" t="s">
        <v>2680</v>
      </c>
      <c r="O25" s="261" t="s">
        <v>2681</v>
      </c>
      <c r="P25" s="262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</row>
    <row r="26" ht="14.25" customHeight="1">
      <c r="A26" s="253">
        <v>8.0</v>
      </c>
      <c r="B26" s="175" t="s">
        <v>100</v>
      </c>
      <c r="C26" s="175"/>
      <c r="D26" s="175" t="s">
        <v>2581</v>
      </c>
      <c r="E26" s="175" t="s">
        <v>70</v>
      </c>
      <c r="F26" s="177">
        <v>1.8921E7</v>
      </c>
      <c r="G26" s="137" t="s">
        <v>2674</v>
      </c>
      <c r="H26" s="202">
        <v>2017.0</v>
      </c>
      <c r="I26" s="137" t="s">
        <v>2682</v>
      </c>
      <c r="J26" s="137" t="s">
        <v>2683</v>
      </c>
      <c r="K26" s="137" t="s">
        <v>2684</v>
      </c>
      <c r="L26" s="140" t="s">
        <v>2685</v>
      </c>
      <c r="M26" s="199" t="s">
        <v>2679</v>
      </c>
      <c r="N26" s="199" t="s">
        <v>2686</v>
      </c>
      <c r="O26" s="258" t="s">
        <v>2687</v>
      </c>
      <c r="P26" s="259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</row>
    <row r="27" ht="14.25" customHeight="1">
      <c r="A27" s="253">
        <v>9.0</v>
      </c>
      <c r="B27" s="175" t="s">
        <v>100</v>
      </c>
      <c r="C27" s="175"/>
      <c r="D27" s="175" t="s">
        <v>2581</v>
      </c>
      <c r="E27" s="175" t="s">
        <v>70</v>
      </c>
      <c r="F27" s="177">
        <v>2.71E7</v>
      </c>
      <c r="G27" s="143" t="s">
        <v>2688</v>
      </c>
      <c r="H27" s="202">
        <v>2020.0</v>
      </c>
      <c r="I27" s="143" t="s">
        <v>2689</v>
      </c>
      <c r="J27" s="143" t="s">
        <v>2690</v>
      </c>
      <c r="K27" s="143" t="s">
        <v>2691</v>
      </c>
      <c r="L27" s="140" t="s">
        <v>2692</v>
      </c>
      <c r="M27" s="203" t="s">
        <v>2617</v>
      </c>
      <c r="N27" s="203" t="s">
        <v>2693</v>
      </c>
      <c r="O27" s="261" t="s">
        <v>2654</v>
      </c>
      <c r="P27" s="262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</row>
    <row r="28" ht="14.25" customHeight="1">
      <c r="A28" s="253">
        <v>10.0</v>
      </c>
      <c r="B28" s="175" t="s">
        <v>100</v>
      </c>
      <c r="C28" s="175"/>
      <c r="D28" s="175" t="s">
        <v>2581</v>
      </c>
      <c r="E28" s="175" t="s">
        <v>70</v>
      </c>
      <c r="F28" s="177">
        <v>2.35E7</v>
      </c>
      <c r="G28" s="137" t="s">
        <v>2694</v>
      </c>
      <c r="H28" s="202">
        <v>2020.0</v>
      </c>
      <c r="I28" s="137" t="s">
        <v>2695</v>
      </c>
      <c r="J28" s="137" t="s">
        <v>2696</v>
      </c>
      <c r="K28" s="137" t="s">
        <v>2697</v>
      </c>
      <c r="L28" s="140" t="s">
        <v>2698</v>
      </c>
      <c r="M28" s="199" t="s">
        <v>2617</v>
      </c>
      <c r="N28" s="199" t="s">
        <v>2699</v>
      </c>
      <c r="O28" s="258" t="s">
        <v>2453</v>
      </c>
      <c r="P28" s="259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</row>
    <row r="29" ht="14.25" customHeight="1">
      <c r="A29" s="253">
        <v>11.0</v>
      </c>
      <c r="B29" s="175" t="s">
        <v>100</v>
      </c>
      <c r="C29" s="175"/>
      <c r="D29" s="175" t="s">
        <v>2581</v>
      </c>
      <c r="E29" s="175" t="s">
        <v>70</v>
      </c>
      <c r="F29" s="177">
        <v>2.25E7</v>
      </c>
      <c r="G29" s="143" t="s">
        <v>2700</v>
      </c>
      <c r="H29" s="202">
        <v>2021.0</v>
      </c>
      <c r="I29" s="143" t="s">
        <v>2701</v>
      </c>
      <c r="J29" s="143" t="s">
        <v>2702</v>
      </c>
      <c r="K29" s="143" t="s">
        <v>2703</v>
      </c>
      <c r="L29" s="140" t="s">
        <v>2704</v>
      </c>
      <c r="M29" s="203" t="s">
        <v>2617</v>
      </c>
      <c r="N29" s="203" t="s">
        <v>2705</v>
      </c>
      <c r="O29" s="143" t="s">
        <v>2706</v>
      </c>
      <c r="P29" s="204"/>
    </row>
    <row r="30" ht="14.25" customHeight="1">
      <c r="A30" s="271">
        <v>12.0</v>
      </c>
      <c r="B30" s="272" t="s">
        <v>100</v>
      </c>
      <c r="C30" s="272"/>
      <c r="D30" s="272" t="s">
        <v>2581</v>
      </c>
      <c r="E30" s="272" t="s">
        <v>70</v>
      </c>
      <c r="F30" s="273">
        <v>2.7753E7</v>
      </c>
      <c r="G30" s="165" t="s">
        <v>2707</v>
      </c>
      <c r="H30" s="274">
        <v>2024.0</v>
      </c>
      <c r="I30" s="165" t="s">
        <v>2708</v>
      </c>
      <c r="J30" s="165" t="s">
        <v>2709</v>
      </c>
      <c r="K30" s="165" t="s">
        <v>2710</v>
      </c>
      <c r="L30" s="275" t="s">
        <v>2711</v>
      </c>
      <c r="M30" s="276" t="s">
        <v>2581</v>
      </c>
      <c r="N30" s="276" t="s">
        <v>2712</v>
      </c>
      <c r="O30" s="137" t="s">
        <v>2713</v>
      </c>
      <c r="P30" s="208"/>
    </row>
    <row r="31" ht="14.25" customHeight="1"/>
    <row r="32" ht="14.25" customHeight="1">
      <c r="N32" s="277"/>
      <c r="O32" s="277"/>
      <c r="P32" s="278"/>
      <c r="Q32" s="278"/>
      <c r="R32" s="278"/>
      <c r="S32" s="279"/>
    </row>
    <row r="33" ht="14.25" customHeight="1">
      <c r="N33" s="277"/>
      <c r="O33" s="277"/>
      <c r="P33" s="278"/>
      <c r="Q33" s="278"/>
      <c r="R33" s="278"/>
      <c r="S33" s="279"/>
    </row>
    <row r="34" ht="14.25" customHeight="1">
      <c r="A34" s="35"/>
      <c r="D34" s="35"/>
      <c r="I34" s="35"/>
      <c r="M34" s="35"/>
    </row>
    <row r="35" ht="14.25" customHeight="1">
      <c r="A35" s="35"/>
      <c r="D35" s="35"/>
      <c r="I35" s="35"/>
      <c r="M35" s="35"/>
    </row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2:M2"/>
    <mergeCell ref="A3:M3"/>
  </mergeCells>
  <printOptions/>
  <pageMargins bottom="0.7480314960629921" footer="0.0" header="0.0" left="0.7086614173228347" right="0.7086614173228347" top="0.7480314960629921"/>
  <pageSetup paperSize="5" scale="60" orientation="landscape"/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workbookViewId="0"/>
  </sheetViews>
  <sheetFormatPr customHeight="1" defaultColWidth="14.43" defaultRowHeight="15.0"/>
  <cols>
    <col customWidth="1" min="1" max="1" width="3.29"/>
    <col customWidth="1" min="2" max="2" width="20.29"/>
    <col customWidth="1" min="3" max="3" width="18.29"/>
    <col customWidth="1" min="4" max="4" width="11.43"/>
    <col customWidth="1" min="5" max="5" width="10.71"/>
    <col customWidth="1" min="6" max="6" width="17.29"/>
    <col customWidth="1" min="7" max="7" width="20.71"/>
    <col customWidth="1" min="8" max="8" width="8.29"/>
    <col customWidth="1" min="9" max="9" width="11.71"/>
    <col customWidth="1" min="10" max="10" width="23.43"/>
    <col customWidth="1" min="11" max="11" width="19.29"/>
    <col customWidth="1" min="12" max="12" width="14.29"/>
    <col customWidth="1" min="13" max="13" width="43.29"/>
    <col customWidth="1" min="14" max="14" width="14.0"/>
    <col customWidth="1" min="15" max="15" width="15.43"/>
    <col customWidth="1" min="16" max="16" width="10.86"/>
    <col customWidth="1" min="17" max="26" width="9.0"/>
  </cols>
  <sheetData>
    <row r="1" ht="12.75" customHeight="1">
      <c r="A1" s="179"/>
      <c r="B1" s="179"/>
      <c r="C1" s="179"/>
      <c r="D1" s="179"/>
      <c r="E1" s="179"/>
      <c r="F1" s="179"/>
      <c r="G1" s="179"/>
      <c r="H1" s="179"/>
      <c r="I1" s="179"/>
      <c r="J1" s="179"/>
      <c r="K1" s="179"/>
      <c r="L1" s="179"/>
      <c r="M1" s="179"/>
      <c r="N1" s="179"/>
      <c r="O1" s="179"/>
      <c r="P1" s="179"/>
      <c r="Q1" s="179"/>
      <c r="R1" s="179"/>
      <c r="S1" s="179"/>
      <c r="T1" s="179"/>
      <c r="U1" s="179"/>
      <c r="V1" s="179"/>
      <c r="W1" s="179"/>
      <c r="X1" s="179"/>
      <c r="Y1" s="179"/>
      <c r="Z1" s="179"/>
    </row>
    <row r="2" ht="12.75" customHeight="1">
      <c r="A2" s="280" t="s">
        <v>0</v>
      </c>
      <c r="O2" s="179"/>
      <c r="P2" s="179"/>
      <c r="Q2" s="179"/>
      <c r="R2" s="179"/>
      <c r="S2" s="179"/>
      <c r="T2" s="179"/>
      <c r="U2" s="179"/>
      <c r="V2" s="179"/>
      <c r="W2" s="179"/>
      <c r="X2" s="179"/>
      <c r="Y2" s="179"/>
      <c r="Z2" s="179"/>
    </row>
    <row r="3" ht="12.75" customHeight="1">
      <c r="A3" s="280" t="s">
        <v>2714</v>
      </c>
      <c r="O3" s="179"/>
      <c r="P3" s="179"/>
      <c r="Q3" s="179"/>
      <c r="R3" s="179"/>
      <c r="S3" s="179"/>
      <c r="T3" s="179"/>
      <c r="U3" s="179"/>
      <c r="V3" s="179"/>
      <c r="W3" s="179"/>
      <c r="X3" s="179"/>
      <c r="Y3" s="179"/>
      <c r="Z3" s="179"/>
    </row>
    <row r="4" ht="12.75" customHeight="1">
      <c r="A4" s="280" t="s">
        <v>2715</v>
      </c>
      <c r="O4" s="179"/>
      <c r="P4" s="179"/>
      <c r="Q4" s="179"/>
      <c r="R4" s="179"/>
      <c r="S4" s="179"/>
      <c r="T4" s="179"/>
      <c r="U4" s="179"/>
      <c r="V4" s="179"/>
      <c r="W4" s="179"/>
      <c r="X4" s="179"/>
      <c r="Y4" s="179"/>
      <c r="Z4" s="179"/>
    </row>
    <row r="5" ht="12.75" customHeight="1">
      <c r="A5" s="179"/>
      <c r="B5" s="179"/>
      <c r="C5" s="179"/>
      <c r="D5" s="179"/>
      <c r="E5" s="179"/>
      <c r="F5" s="179"/>
      <c r="G5" s="179"/>
      <c r="H5" s="179"/>
      <c r="I5" s="179"/>
      <c r="J5" s="179"/>
      <c r="K5" s="179"/>
      <c r="L5" s="179"/>
      <c r="M5" s="179"/>
      <c r="N5" s="179"/>
      <c r="O5" s="179"/>
      <c r="P5" s="179"/>
      <c r="Q5" s="179"/>
      <c r="R5" s="179"/>
      <c r="S5" s="179"/>
      <c r="T5" s="179"/>
      <c r="U5" s="179"/>
      <c r="V5" s="179"/>
      <c r="W5" s="179"/>
      <c r="X5" s="179"/>
      <c r="Y5" s="179"/>
      <c r="Z5" s="179"/>
    </row>
    <row r="6" ht="12.75" customHeight="1">
      <c r="A6" s="179"/>
      <c r="B6" s="179"/>
      <c r="C6" s="179"/>
      <c r="D6" s="179"/>
      <c r="E6" s="179"/>
      <c r="F6" s="179"/>
      <c r="G6" s="179"/>
      <c r="H6" s="179"/>
      <c r="I6" s="179"/>
      <c r="J6" s="179"/>
      <c r="K6" s="179"/>
      <c r="L6" s="179"/>
      <c r="M6" s="179"/>
      <c r="N6" s="179"/>
      <c r="O6" s="179"/>
      <c r="P6" s="179"/>
      <c r="Q6" s="179"/>
      <c r="R6" s="179"/>
      <c r="S6" s="179"/>
      <c r="T6" s="179"/>
      <c r="U6" s="179"/>
      <c r="V6" s="179"/>
      <c r="W6" s="179"/>
      <c r="X6" s="179"/>
      <c r="Y6" s="179"/>
      <c r="Z6" s="179"/>
    </row>
    <row r="7" ht="12.75" customHeight="1">
      <c r="A7" s="179"/>
      <c r="B7" s="179"/>
      <c r="C7" s="179"/>
      <c r="D7" s="179"/>
      <c r="E7" s="179"/>
      <c r="F7" s="179"/>
      <c r="G7" s="179"/>
      <c r="H7" s="179"/>
      <c r="I7" s="179"/>
      <c r="J7" s="179"/>
      <c r="K7" s="179"/>
      <c r="L7" s="179"/>
      <c r="M7" s="179"/>
      <c r="N7" s="179"/>
      <c r="O7" s="179"/>
      <c r="P7" s="179"/>
      <c r="Q7" s="179"/>
      <c r="R7" s="179"/>
      <c r="S7" s="179"/>
      <c r="T7" s="179"/>
      <c r="U7" s="179"/>
      <c r="V7" s="179"/>
      <c r="W7" s="179"/>
      <c r="X7" s="179"/>
      <c r="Y7" s="179"/>
      <c r="Z7" s="179"/>
    </row>
    <row r="8" ht="12.75" customHeight="1">
      <c r="A8" s="179"/>
      <c r="B8" s="281" t="s">
        <v>2716</v>
      </c>
      <c r="C8" s="179" t="s">
        <v>3</v>
      </c>
      <c r="D8" s="179"/>
      <c r="E8" s="179"/>
      <c r="F8" s="179"/>
      <c r="G8" s="179"/>
      <c r="H8" s="179"/>
      <c r="I8" s="179"/>
      <c r="J8" s="179"/>
      <c r="K8" s="179"/>
      <c r="L8" s="179"/>
      <c r="M8" s="179"/>
      <c r="N8" s="179"/>
      <c r="O8" s="179"/>
      <c r="P8" s="179"/>
      <c r="Q8" s="179"/>
      <c r="R8" s="179"/>
      <c r="S8" s="179"/>
      <c r="T8" s="179"/>
      <c r="U8" s="179"/>
      <c r="V8" s="179"/>
      <c r="W8" s="179"/>
      <c r="X8" s="179"/>
      <c r="Y8" s="179"/>
      <c r="Z8" s="179"/>
    </row>
    <row r="9" ht="12.75" customHeight="1">
      <c r="A9" s="179"/>
      <c r="B9" s="281" t="s">
        <v>2717</v>
      </c>
      <c r="C9" s="179" t="s">
        <v>5</v>
      </c>
      <c r="D9" s="179"/>
      <c r="E9" s="179"/>
      <c r="F9" s="179"/>
      <c r="G9" s="179"/>
      <c r="H9" s="179"/>
      <c r="I9" s="179"/>
      <c r="J9" s="179"/>
      <c r="K9" s="179"/>
      <c r="L9" s="179"/>
      <c r="M9" s="179"/>
      <c r="N9" s="179"/>
      <c r="O9" s="179"/>
      <c r="P9" s="179"/>
      <c r="Q9" s="179"/>
      <c r="R9" s="179"/>
      <c r="S9" s="179"/>
      <c r="T9" s="179"/>
      <c r="U9" s="179"/>
      <c r="V9" s="179"/>
      <c r="W9" s="179"/>
      <c r="X9" s="179"/>
      <c r="Y9" s="179"/>
      <c r="Z9" s="179"/>
    </row>
    <row r="10" ht="12.75" customHeight="1">
      <c r="A10" s="179"/>
      <c r="B10" s="281" t="s">
        <v>2718</v>
      </c>
      <c r="C10" s="179" t="s">
        <v>2719</v>
      </c>
      <c r="D10" s="179"/>
      <c r="E10" s="179"/>
      <c r="F10" s="282"/>
      <c r="G10" s="179"/>
      <c r="H10" s="179"/>
      <c r="I10" s="179"/>
      <c r="J10" s="179"/>
      <c r="K10" s="179"/>
      <c r="L10" s="179"/>
      <c r="M10" s="179"/>
      <c r="N10" s="179"/>
      <c r="O10" s="179"/>
      <c r="P10" s="179"/>
      <c r="Q10" s="179"/>
      <c r="R10" s="179"/>
      <c r="S10" s="179"/>
      <c r="T10" s="179"/>
      <c r="U10" s="179"/>
      <c r="V10" s="179"/>
      <c r="W10" s="179"/>
      <c r="X10" s="179"/>
      <c r="Y10" s="179"/>
      <c r="Z10" s="179"/>
    </row>
    <row r="11" ht="12.75" customHeight="1">
      <c r="A11" s="179"/>
      <c r="B11" s="281" t="s">
        <v>2720</v>
      </c>
      <c r="C11" s="179" t="s">
        <v>2721</v>
      </c>
      <c r="D11" s="179"/>
      <c r="E11" s="179"/>
      <c r="F11" s="283"/>
      <c r="G11" s="179"/>
      <c r="H11" s="179"/>
      <c r="I11" s="179"/>
      <c r="J11" s="179"/>
      <c r="K11" s="179"/>
      <c r="L11" s="179"/>
      <c r="M11" s="179"/>
      <c r="N11" s="179"/>
      <c r="O11" s="179"/>
      <c r="P11" s="179"/>
      <c r="Q11" s="179"/>
      <c r="R11" s="179"/>
      <c r="S11" s="179"/>
      <c r="T11" s="179"/>
      <c r="U11" s="179"/>
      <c r="V11" s="179"/>
      <c r="W11" s="179"/>
      <c r="X11" s="179"/>
      <c r="Y11" s="179"/>
      <c r="Z11" s="179"/>
    </row>
    <row r="12" ht="12.75" customHeight="1">
      <c r="A12" s="179"/>
      <c r="B12" s="281" t="s">
        <v>6</v>
      </c>
      <c r="C12" s="179" t="s">
        <v>2722</v>
      </c>
      <c r="D12" s="179"/>
      <c r="E12" s="179"/>
      <c r="F12" s="283"/>
      <c r="G12" s="179"/>
      <c r="H12" s="179"/>
      <c r="I12" s="179"/>
      <c r="J12" s="179"/>
      <c r="K12" s="179"/>
      <c r="L12" s="179"/>
      <c r="M12" s="179"/>
      <c r="N12" s="179"/>
      <c r="O12" s="179"/>
      <c r="P12" s="179"/>
      <c r="Q12" s="179"/>
      <c r="R12" s="179"/>
      <c r="S12" s="179"/>
      <c r="T12" s="179"/>
      <c r="U12" s="179"/>
      <c r="V12" s="179"/>
      <c r="W12" s="179"/>
      <c r="X12" s="179"/>
      <c r="Y12" s="179"/>
      <c r="Z12" s="179"/>
    </row>
    <row r="13" ht="12.75" customHeight="1">
      <c r="A13" s="179"/>
      <c r="B13" s="179"/>
      <c r="C13" s="179"/>
      <c r="D13" s="179"/>
      <c r="E13" s="179"/>
      <c r="F13" s="283"/>
      <c r="G13" s="179"/>
      <c r="H13" s="179"/>
      <c r="I13" s="179"/>
      <c r="J13" s="179"/>
      <c r="K13" s="179"/>
      <c r="L13" s="179"/>
      <c r="M13" s="179"/>
      <c r="N13" s="179"/>
      <c r="O13" s="179"/>
      <c r="P13" s="179"/>
      <c r="Q13" s="179"/>
      <c r="R13" s="179"/>
      <c r="S13" s="179"/>
      <c r="T13" s="179"/>
      <c r="U13" s="179"/>
      <c r="V13" s="179"/>
      <c r="W13" s="179"/>
      <c r="X13" s="179"/>
      <c r="Y13" s="179"/>
      <c r="Z13" s="179"/>
    </row>
    <row r="14" ht="12.75" customHeight="1">
      <c r="A14" s="179"/>
      <c r="B14" s="179"/>
      <c r="C14" s="179"/>
      <c r="D14" s="179"/>
      <c r="E14" s="179"/>
      <c r="F14" s="283"/>
      <c r="G14" s="179"/>
      <c r="H14" s="179"/>
      <c r="I14" s="179"/>
      <c r="J14" s="179"/>
      <c r="K14" s="179"/>
      <c r="L14" s="179"/>
      <c r="M14" s="179"/>
      <c r="N14" s="179"/>
      <c r="O14" s="179"/>
      <c r="P14" s="179"/>
      <c r="Q14" s="179"/>
      <c r="R14" s="179"/>
      <c r="S14" s="179"/>
      <c r="T14" s="179"/>
      <c r="U14" s="179"/>
      <c r="V14" s="179"/>
      <c r="W14" s="179"/>
      <c r="X14" s="179"/>
      <c r="Y14" s="179"/>
      <c r="Z14" s="179"/>
    </row>
    <row r="15" ht="12.75" customHeight="1">
      <c r="A15" s="179"/>
      <c r="B15" s="179"/>
      <c r="C15" s="179"/>
      <c r="D15" s="179"/>
      <c r="E15" s="179"/>
      <c r="F15" s="284"/>
      <c r="G15" s="179"/>
      <c r="H15" s="179"/>
      <c r="I15" s="179"/>
      <c r="J15" s="179"/>
      <c r="K15" s="179"/>
      <c r="L15" s="179"/>
      <c r="M15" s="179"/>
      <c r="N15" s="179"/>
      <c r="O15" s="179"/>
      <c r="P15" s="179"/>
      <c r="Q15" s="179"/>
      <c r="R15" s="179"/>
      <c r="S15" s="179"/>
      <c r="T15" s="179"/>
      <c r="U15" s="179"/>
      <c r="V15" s="179"/>
      <c r="W15" s="179"/>
      <c r="X15" s="179"/>
      <c r="Y15" s="179"/>
      <c r="Z15" s="179"/>
    </row>
    <row r="16" ht="12.75" customHeight="1">
      <c r="A16" s="285" t="s">
        <v>8</v>
      </c>
      <c r="B16" s="285" t="s">
        <v>9</v>
      </c>
      <c r="C16" s="285" t="s">
        <v>2723</v>
      </c>
      <c r="D16" s="285" t="s">
        <v>2724</v>
      </c>
      <c r="E16" s="285" t="s">
        <v>12</v>
      </c>
      <c r="F16" s="285" t="s">
        <v>13</v>
      </c>
      <c r="G16" s="285" t="s">
        <v>14</v>
      </c>
      <c r="H16" s="285" t="s">
        <v>15</v>
      </c>
      <c r="I16" s="285" t="s">
        <v>2725</v>
      </c>
      <c r="J16" s="285" t="s">
        <v>2726</v>
      </c>
      <c r="K16" s="285" t="s">
        <v>766</v>
      </c>
      <c r="L16" s="285" t="s">
        <v>19</v>
      </c>
      <c r="M16" s="285" t="s">
        <v>20</v>
      </c>
      <c r="N16" s="286" t="s">
        <v>21</v>
      </c>
      <c r="O16" s="287" t="s">
        <v>2479</v>
      </c>
      <c r="P16" s="288" t="s">
        <v>2209</v>
      </c>
      <c r="Q16" s="179"/>
      <c r="R16" s="179"/>
      <c r="S16" s="179"/>
      <c r="T16" s="179"/>
      <c r="U16" s="179"/>
      <c r="V16" s="179"/>
      <c r="W16" s="179"/>
      <c r="X16" s="179"/>
      <c r="Y16" s="179"/>
      <c r="Z16" s="179"/>
    </row>
    <row r="17" ht="12.75" customHeight="1">
      <c r="A17" s="289"/>
      <c r="B17" s="289" t="s">
        <v>2727</v>
      </c>
      <c r="C17" s="289"/>
      <c r="D17" s="289"/>
      <c r="E17" s="289"/>
      <c r="F17" s="290">
        <f t="shared" ref="F17:F18" si="1">F18</f>
        <v>1901820800</v>
      </c>
      <c r="G17" s="289"/>
      <c r="H17" s="289"/>
      <c r="I17" s="289"/>
      <c r="J17" s="289"/>
      <c r="K17" s="289"/>
      <c r="L17" s="289"/>
      <c r="M17" s="289"/>
      <c r="N17" s="291"/>
      <c r="O17" s="291"/>
      <c r="P17" s="289"/>
      <c r="Q17" s="179"/>
      <c r="R17" s="179"/>
      <c r="S17" s="179"/>
      <c r="T17" s="179"/>
      <c r="U17" s="179"/>
      <c r="V17" s="179"/>
      <c r="W17" s="179"/>
      <c r="X17" s="179"/>
      <c r="Y17" s="179"/>
      <c r="Z17" s="179"/>
    </row>
    <row r="18" ht="12.75" customHeight="1">
      <c r="A18" s="292" t="s">
        <v>22</v>
      </c>
      <c r="B18" s="292" t="s">
        <v>2728</v>
      </c>
      <c r="C18" s="292"/>
      <c r="D18" s="292"/>
      <c r="E18" s="292"/>
      <c r="F18" s="293">
        <f t="shared" si="1"/>
        <v>1901820800</v>
      </c>
      <c r="G18" s="292"/>
      <c r="H18" s="292"/>
      <c r="I18" s="292"/>
      <c r="J18" s="292"/>
      <c r="K18" s="292"/>
      <c r="L18" s="292"/>
      <c r="M18" s="292"/>
      <c r="N18" s="294"/>
      <c r="O18" s="294"/>
      <c r="P18" s="292"/>
      <c r="Q18" s="35"/>
      <c r="R18" s="35"/>
      <c r="S18" s="35"/>
      <c r="T18" s="35"/>
      <c r="U18" s="35"/>
      <c r="V18" s="35"/>
      <c r="W18" s="35"/>
      <c r="X18" s="35"/>
      <c r="Y18" s="35"/>
      <c r="Z18" s="35"/>
    </row>
    <row r="19" ht="12.75" customHeight="1">
      <c r="A19" s="295" t="s">
        <v>22</v>
      </c>
      <c r="B19" s="295" t="s">
        <v>2728</v>
      </c>
      <c r="C19" s="295"/>
      <c r="D19" s="295"/>
      <c r="E19" s="295"/>
      <c r="F19" s="296">
        <f>F20+F22+F25+F35</f>
        <v>1901820800</v>
      </c>
      <c r="G19" s="295"/>
      <c r="H19" s="295"/>
      <c r="I19" s="295"/>
      <c r="J19" s="295"/>
      <c r="K19" s="295"/>
      <c r="L19" s="295"/>
      <c r="M19" s="295"/>
      <c r="N19" s="297"/>
      <c r="O19" s="297"/>
      <c r="P19" s="295"/>
      <c r="Q19" s="298"/>
      <c r="R19" s="298"/>
      <c r="S19" s="298"/>
      <c r="T19" s="298"/>
      <c r="U19" s="298"/>
      <c r="V19" s="298"/>
      <c r="W19" s="298"/>
      <c r="X19" s="298"/>
      <c r="Y19" s="298"/>
      <c r="Z19" s="298"/>
    </row>
    <row r="20" ht="12.75" customHeight="1">
      <c r="A20" s="248" t="s">
        <v>22</v>
      </c>
      <c r="B20" s="248" t="s">
        <v>1884</v>
      </c>
      <c r="C20" s="248"/>
      <c r="D20" s="248"/>
      <c r="E20" s="248"/>
      <c r="F20" s="249">
        <f>F21</f>
        <v>272000000</v>
      </c>
      <c r="G20" s="248"/>
      <c r="H20" s="248"/>
      <c r="I20" s="248"/>
      <c r="J20" s="248"/>
      <c r="K20" s="248"/>
      <c r="L20" s="248"/>
      <c r="M20" s="248"/>
      <c r="N20" s="299"/>
      <c r="O20" s="299"/>
      <c r="P20" s="248"/>
      <c r="Q20" s="298"/>
      <c r="R20" s="298"/>
      <c r="S20" s="298"/>
      <c r="T20" s="298"/>
      <c r="U20" s="298"/>
      <c r="V20" s="298"/>
      <c r="W20" s="298"/>
      <c r="X20" s="298"/>
      <c r="Y20" s="298"/>
      <c r="Z20" s="298"/>
    </row>
    <row r="21" ht="12.75" customHeight="1">
      <c r="A21" s="300">
        <v>1.0</v>
      </c>
      <c r="B21" s="300" t="s">
        <v>1926</v>
      </c>
      <c r="C21" s="300"/>
      <c r="D21" s="300" t="s">
        <v>2729</v>
      </c>
      <c r="E21" s="300" t="s">
        <v>70</v>
      </c>
      <c r="F21" s="301">
        <v>2.72E8</v>
      </c>
      <c r="G21" s="300" t="s">
        <v>2730</v>
      </c>
      <c r="H21" s="300" t="s">
        <v>78</v>
      </c>
      <c r="I21" s="300" t="s">
        <v>2731</v>
      </c>
      <c r="J21" s="300" t="s">
        <v>2732</v>
      </c>
      <c r="K21" s="300" t="s">
        <v>2733</v>
      </c>
      <c r="L21" s="27" t="s">
        <v>2734</v>
      </c>
      <c r="M21" s="300"/>
      <c r="N21" s="302" t="s">
        <v>2735</v>
      </c>
      <c r="O21" s="303" t="s">
        <v>2735</v>
      </c>
      <c r="P21" s="304" t="s">
        <v>70</v>
      </c>
      <c r="Q21" s="35"/>
      <c r="R21" s="35"/>
      <c r="S21" s="35"/>
      <c r="T21" s="35"/>
      <c r="U21" s="35"/>
      <c r="V21" s="35"/>
      <c r="W21" s="35"/>
      <c r="X21" s="35"/>
      <c r="Y21" s="35"/>
      <c r="Z21" s="35"/>
    </row>
    <row r="22" ht="12.75" customHeight="1">
      <c r="A22" s="248"/>
      <c r="B22" s="248" t="s">
        <v>1933</v>
      </c>
      <c r="C22" s="248"/>
      <c r="D22" s="248"/>
      <c r="E22" s="248"/>
      <c r="F22" s="249">
        <f>SUM(F23:F24)</f>
        <v>615600000</v>
      </c>
      <c r="G22" s="248"/>
      <c r="H22" s="248"/>
      <c r="I22" s="248"/>
      <c r="J22" s="248"/>
      <c r="K22" s="248"/>
      <c r="L22" s="248"/>
      <c r="M22" s="248"/>
      <c r="N22" s="299"/>
      <c r="O22" s="299"/>
      <c r="P22" s="248"/>
      <c r="Q22" s="35"/>
      <c r="R22" s="35"/>
      <c r="S22" s="35"/>
      <c r="T22" s="35"/>
      <c r="U22" s="35"/>
      <c r="V22" s="35"/>
      <c r="W22" s="35"/>
      <c r="X22" s="35"/>
      <c r="Y22" s="35"/>
      <c r="Z22" s="35"/>
    </row>
    <row r="23" ht="12.75" customHeight="1">
      <c r="A23" s="300">
        <v>1.0</v>
      </c>
      <c r="B23" s="300" t="s">
        <v>908</v>
      </c>
      <c r="C23" s="300"/>
      <c r="D23" s="300" t="s">
        <v>2729</v>
      </c>
      <c r="E23" s="300" t="s">
        <v>70</v>
      </c>
      <c r="F23" s="301">
        <v>1.85E8</v>
      </c>
      <c r="G23" s="300" t="s">
        <v>2736</v>
      </c>
      <c r="H23" s="300" t="s">
        <v>1076</v>
      </c>
      <c r="I23" s="300" t="s">
        <v>2737</v>
      </c>
      <c r="J23" s="300" t="s">
        <v>2738</v>
      </c>
      <c r="K23" s="300" t="s">
        <v>2739</v>
      </c>
      <c r="L23" s="27" t="s">
        <v>2740</v>
      </c>
      <c r="M23" s="300"/>
      <c r="N23" s="302" t="s">
        <v>2741</v>
      </c>
      <c r="O23" s="305"/>
      <c r="P23" s="304" t="s">
        <v>70</v>
      </c>
      <c r="Q23" s="35"/>
      <c r="R23" s="35"/>
      <c r="S23" s="35"/>
      <c r="T23" s="35"/>
      <c r="U23" s="35"/>
      <c r="V23" s="35"/>
      <c r="W23" s="35"/>
      <c r="X23" s="35"/>
      <c r="Y23" s="35"/>
      <c r="Z23" s="35"/>
    </row>
    <row r="24" ht="12.75" customHeight="1">
      <c r="A24" s="300">
        <v>2.0</v>
      </c>
      <c r="B24" s="300" t="s">
        <v>908</v>
      </c>
      <c r="C24" s="300"/>
      <c r="D24" s="300" t="s">
        <v>2729</v>
      </c>
      <c r="E24" s="300" t="s">
        <v>70</v>
      </c>
      <c r="F24" s="301">
        <v>4.306E8</v>
      </c>
      <c r="G24" s="300" t="s">
        <v>2742</v>
      </c>
      <c r="H24" s="300" t="s">
        <v>2743</v>
      </c>
      <c r="I24" s="300" t="s">
        <v>2744</v>
      </c>
      <c r="J24" s="300" t="s">
        <v>2745</v>
      </c>
      <c r="K24" s="300" t="s">
        <v>2746</v>
      </c>
      <c r="L24" s="27" t="s">
        <v>2747</v>
      </c>
      <c r="M24" s="300"/>
      <c r="N24" s="302" t="s">
        <v>2748</v>
      </c>
      <c r="O24" s="305"/>
      <c r="P24" s="304" t="s">
        <v>70</v>
      </c>
      <c r="Q24" s="35"/>
      <c r="R24" s="35"/>
      <c r="S24" s="35"/>
      <c r="T24" s="35"/>
      <c r="U24" s="35"/>
      <c r="V24" s="35"/>
      <c r="W24" s="35"/>
      <c r="X24" s="35"/>
      <c r="Y24" s="35"/>
      <c r="Z24" s="35"/>
    </row>
    <row r="25" ht="12.75" customHeight="1">
      <c r="A25" s="248"/>
      <c r="B25" s="248" t="s">
        <v>99</v>
      </c>
      <c r="C25" s="248"/>
      <c r="D25" s="248"/>
      <c r="E25" s="248"/>
      <c r="F25" s="249">
        <f>SUM(F26:F34)</f>
        <v>232388200</v>
      </c>
      <c r="G25" s="248"/>
      <c r="H25" s="248"/>
      <c r="I25" s="248"/>
      <c r="J25" s="248"/>
      <c r="K25" s="248"/>
      <c r="L25" s="248"/>
      <c r="M25" s="248"/>
      <c r="N25" s="299"/>
      <c r="O25" s="299"/>
      <c r="P25" s="248"/>
      <c r="Q25" s="35"/>
      <c r="R25" s="35"/>
      <c r="S25" s="35"/>
      <c r="T25" s="35"/>
      <c r="U25" s="35"/>
      <c r="V25" s="35"/>
      <c r="W25" s="35"/>
      <c r="X25" s="35"/>
      <c r="Y25" s="35"/>
      <c r="Z25" s="35"/>
    </row>
    <row r="26" ht="12.75" customHeight="1">
      <c r="A26" s="300">
        <v>1.0</v>
      </c>
      <c r="B26" s="300" t="s">
        <v>100</v>
      </c>
      <c r="C26" s="300"/>
      <c r="D26" s="300" t="s">
        <v>2729</v>
      </c>
      <c r="E26" s="300" t="s">
        <v>70</v>
      </c>
      <c r="F26" s="301">
        <v>1.77111E7</v>
      </c>
      <c r="G26" s="300" t="s">
        <v>2749</v>
      </c>
      <c r="H26" s="300" t="s">
        <v>44</v>
      </c>
      <c r="I26" s="300" t="s">
        <v>2750</v>
      </c>
      <c r="J26" s="300" t="s">
        <v>2751</v>
      </c>
      <c r="K26" s="306" t="s">
        <v>2752</v>
      </c>
      <c r="L26" s="307" t="s">
        <v>2753</v>
      </c>
      <c r="M26" s="300"/>
      <c r="N26" s="302" t="s">
        <v>2754</v>
      </c>
      <c r="O26" s="303" t="s">
        <v>2755</v>
      </c>
      <c r="P26" s="304" t="s">
        <v>70</v>
      </c>
      <c r="Q26" s="35"/>
      <c r="R26" s="35"/>
      <c r="S26" s="35"/>
      <c r="T26" s="35"/>
      <c r="U26" s="35"/>
      <c r="V26" s="35"/>
      <c r="W26" s="35"/>
      <c r="X26" s="35"/>
      <c r="Y26" s="35"/>
      <c r="Z26" s="35"/>
    </row>
    <row r="27" ht="12.75" customHeight="1">
      <c r="A27" s="300">
        <v>2.0</v>
      </c>
      <c r="B27" s="300" t="s">
        <v>100</v>
      </c>
      <c r="C27" s="300"/>
      <c r="D27" s="300" t="s">
        <v>2729</v>
      </c>
      <c r="E27" s="300" t="s">
        <v>70</v>
      </c>
      <c r="F27" s="301">
        <v>1.77111E7</v>
      </c>
      <c r="G27" s="300" t="s">
        <v>2749</v>
      </c>
      <c r="H27" s="300" t="s">
        <v>44</v>
      </c>
      <c r="I27" s="300" t="s">
        <v>2756</v>
      </c>
      <c r="J27" s="300" t="s">
        <v>2757</v>
      </c>
      <c r="K27" s="306" t="s">
        <v>2758</v>
      </c>
      <c r="L27" s="307" t="s">
        <v>2759</v>
      </c>
      <c r="M27" s="300"/>
      <c r="N27" s="302" t="s">
        <v>2760</v>
      </c>
      <c r="O27" s="303" t="s">
        <v>2755</v>
      </c>
      <c r="P27" s="304" t="s">
        <v>70</v>
      </c>
      <c r="Q27" s="35"/>
      <c r="R27" s="35"/>
      <c r="S27" s="35"/>
      <c r="T27" s="35"/>
      <c r="U27" s="35"/>
      <c r="V27" s="35"/>
      <c r="W27" s="35"/>
      <c r="X27" s="35"/>
      <c r="Y27" s="35"/>
      <c r="Z27" s="35"/>
    </row>
    <row r="28" ht="12.75" customHeight="1">
      <c r="A28" s="300">
        <v>3.0</v>
      </c>
      <c r="B28" s="300" t="s">
        <v>100</v>
      </c>
      <c r="C28" s="300"/>
      <c r="D28" s="300" t="s">
        <v>2729</v>
      </c>
      <c r="E28" s="300" t="s">
        <v>70</v>
      </c>
      <c r="F28" s="301">
        <v>3.306E7</v>
      </c>
      <c r="G28" s="300" t="s">
        <v>2761</v>
      </c>
      <c r="H28" s="300" t="s">
        <v>2762</v>
      </c>
      <c r="I28" s="300" t="s">
        <v>2763</v>
      </c>
      <c r="J28" s="300" t="s">
        <v>2764</v>
      </c>
      <c r="K28" s="300" t="s">
        <v>2765</v>
      </c>
      <c r="L28" s="27" t="s">
        <v>2766</v>
      </c>
      <c r="M28" s="300"/>
      <c r="N28" s="302" t="s">
        <v>2767</v>
      </c>
      <c r="O28" s="303" t="s">
        <v>2755</v>
      </c>
      <c r="P28" s="304" t="s">
        <v>70</v>
      </c>
      <c r="Q28" s="35"/>
      <c r="R28" s="35"/>
      <c r="S28" s="35"/>
      <c r="T28" s="35"/>
      <c r="U28" s="35"/>
      <c r="V28" s="35"/>
      <c r="W28" s="35"/>
      <c r="X28" s="35"/>
      <c r="Y28" s="35"/>
      <c r="Z28" s="35"/>
    </row>
    <row r="29" ht="12.75" customHeight="1">
      <c r="A29" s="300">
        <v>4.0</v>
      </c>
      <c r="B29" s="300" t="s">
        <v>100</v>
      </c>
      <c r="C29" s="300"/>
      <c r="D29" s="300" t="s">
        <v>2729</v>
      </c>
      <c r="E29" s="300" t="s">
        <v>70</v>
      </c>
      <c r="F29" s="301">
        <v>3.306E7</v>
      </c>
      <c r="G29" s="300" t="s">
        <v>2761</v>
      </c>
      <c r="H29" s="300" t="s">
        <v>2762</v>
      </c>
      <c r="I29" s="300" t="s">
        <v>2768</v>
      </c>
      <c r="J29" s="300" t="s">
        <v>2769</v>
      </c>
      <c r="K29" s="300" t="s">
        <v>2770</v>
      </c>
      <c r="L29" s="27" t="s">
        <v>2771</v>
      </c>
      <c r="M29" s="300"/>
      <c r="N29" s="302" t="s">
        <v>2741</v>
      </c>
      <c r="O29" s="303" t="s">
        <v>2755</v>
      </c>
      <c r="P29" s="304" t="s">
        <v>70</v>
      </c>
      <c r="Q29" s="35"/>
      <c r="R29" s="35"/>
      <c r="S29" s="35"/>
      <c r="T29" s="35"/>
      <c r="U29" s="35"/>
      <c r="V29" s="35"/>
      <c r="W29" s="35"/>
      <c r="X29" s="35"/>
      <c r="Y29" s="35"/>
      <c r="Z29" s="35"/>
    </row>
    <row r="30" ht="12.75" customHeight="1">
      <c r="A30" s="300">
        <v>5.0</v>
      </c>
      <c r="B30" s="300" t="s">
        <v>2772</v>
      </c>
      <c r="C30" s="300"/>
      <c r="D30" s="300" t="s">
        <v>2729</v>
      </c>
      <c r="E30" s="300" t="s">
        <v>70</v>
      </c>
      <c r="F30" s="301">
        <v>2.6587E7</v>
      </c>
      <c r="G30" s="300" t="s">
        <v>2773</v>
      </c>
      <c r="H30" s="300" t="s">
        <v>44</v>
      </c>
      <c r="I30" s="300" t="s">
        <v>2774</v>
      </c>
      <c r="J30" s="300" t="s">
        <v>2775</v>
      </c>
      <c r="K30" s="300" t="s">
        <v>2776</v>
      </c>
      <c r="L30" s="27" t="s">
        <v>2777</v>
      </c>
      <c r="M30" s="300" t="s">
        <v>2778</v>
      </c>
      <c r="N30" s="302" t="s">
        <v>2779</v>
      </c>
      <c r="O30" s="303" t="s">
        <v>2755</v>
      </c>
      <c r="P30" s="304" t="s">
        <v>70</v>
      </c>
      <c r="Q30" s="35"/>
      <c r="R30" s="35"/>
      <c r="S30" s="35"/>
      <c r="T30" s="35"/>
      <c r="U30" s="35"/>
      <c r="V30" s="35"/>
      <c r="W30" s="35"/>
      <c r="X30" s="35"/>
      <c r="Y30" s="35"/>
      <c r="Z30" s="35"/>
    </row>
    <row r="31" ht="12.75" customHeight="1">
      <c r="A31" s="300">
        <v>6.0</v>
      </c>
      <c r="B31" s="300" t="s">
        <v>2772</v>
      </c>
      <c r="C31" s="300"/>
      <c r="D31" s="300" t="s">
        <v>2729</v>
      </c>
      <c r="E31" s="300" t="s">
        <v>70</v>
      </c>
      <c r="F31" s="301">
        <v>2.6587E7</v>
      </c>
      <c r="G31" s="300" t="s">
        <v>2773</v>
      </c>
      <c r="H31" s="300" t="s">
        <v>44</v>
      </c>
      <c r="I31" s="300" t="s">
        <v>2780</v>
      </c>
      <c r="J31" s="300" t="s">
        <v>2781</v>
      </c>
      <c r="K31" s="300" t="s">
        <v>2782</v>
      </c>
      <c r="L31" s="27" t="s">
        <v>2783</v>
      </c>
      <c r="M31" s="300" t="s">
        <v>2784</v>
      </c>
      <c r="N31" s="302" t="s">
        <v>2785</v>
      </c>
      <c r="O31" s="303" t="s">
        <v>2755</v>
      </c>
      <c r="P31" s="304" t="s">
        <v>2786</v>
      </c>
      <c r="Q31" s="35"/>
      <c r="R31" s="35"/>
      <c r="S31" s="35"/>
      <c r="T31" s="35"/>
      <c r="U31" s="35"/>
      <c r="V31" s="35"/>
      <c r="W31" s="35"/>
      <c r="X31" s="35"/>
      <c r="Y31" s="35"/>
      <c r="Z31" s="35"/>
    </row>
    <row r="32" ht="12.75" customHeight="1">
      <c r="A32" s="300">
        <v>7.0</v>
      </c>
      <c r="B32" s="300" t="s">
        <v>2772</v>
      </c>
      <c r="C32" s="300"/>
      <c r="D32" s="300" t="s">
        <v>2729</v>
      </c>
      <c r="E32" s="300" t="s">
        <v>70</v>
      </c>
      <c r="F32" s="301">
        <v>2.155E7</v>
      </c>
      <c r="G32" s="300" t="s">
        <v>2787</v>
      </c>
      <c r="H32" s="300" t="s">
        <v>92</v>
      </c>
      <c r="I32" s="300" t="s">
        <v>2788</v>
      </c>
      <c r="J32" s="300" t="s">
        <v>2789</v>
      </c>
      <c r="K32" s="300" t="s">
        <v>2790</v>
      </c>
      <c r="L32" s="27" t="s">
        <v>2791</v>
      </c>
      <c r="M32" s="300"/>
      <c r="N32" s="302" t="s">
        <v>2792</v>
      </c>
      <c r="O32" s="303" t="s">
        <v>2755</v>
      </c>
      <c r="P32" s="304" t="s">
        <v>70</v>
      </c>
      <c r="Q32" s="35"/>
      <c r="R32" s="35"/>
      <c r="S32" s="35"/>
      <c r="T32" s="35"/>
      <c r="U32" s="35"/>
      <c r="V32" s="35"/>
      <c r="W32" s="35"/>
      <c r="X32" s="35"/>
      <c r="Y32" s="35"/>
      <c r="Z32" s="35"/>
    </row>
    <row r="33" ht="12.75" customHeight="1">
      <c r="A33" s="300">
        <v>8.0</v>
      </c>
      <c r="B33" s="300" t="s">
        <v>2772</v>
      </c>
      <c r="C33" s="300"/>
      <c r="D33" s="300" t="s">
        <v>2729</v>
      </c>
      <c r="E33" s="300" t="s">
        <v>70</v>
      </c>
      <c r="F33" s="301">
        <v>2.8061E7</v>
      </c>
      <c r="G33" s="300" t="s">
        <v>2793</v>
      </c>
      <c r="H33" s="300" t="s">
        <v>1040</v>
      </c>
      <c r="I33" s="300" t="s">
        <v>2794</v>
      </c>
      <c r="J33" s="300" t="s">
        <v>2795</v>
      </c>
      <c r="K33" s="300" t="s">
        <v>2796</v>
      </c>
      <c r="L33" s="27" t="s">
        <v>2797</v>
      </c>
      <c r="M33" s="300" t="s">
        <v>2798</v>
      </c>
      <c r="N33" s="302" t="s">
        <v>2799</v>
      </c>
      <c r="O33" s="303" t="s">
        <v>2755</v>
      </c>
      <c r="P33" s="304" t="s">
        <v>70</v>
      </c>
      <c r="Q33" s="35"/>
      <c r="R33" s="35"/>
      <c r="S33" s="35"/>
      <c r="T33" s="35"/>
      <c r="U33" s="35"/>
      <c r="V33" s="35"/>
      <c r="W33" s="35"/>
      <c r="X33" s="35"/>
      <c r="Y33" s="35"/>
      <c r="Z33" s="35"/>
    </row>
    <row r="34" ht="12.75" customHeight="1">
      <c r="A34" s="300">
        <v>9.0</v>
      </c>
      <c r="B34" s="300" t="s">
        <v>2772</v>
      </c>
      <c r="C34" s="300"/>
      <c r="D34" s="300" t="s">
        <v>2729</v>
      </c>
      <c r="E34" s="300" t="s">
        <v>70</v>
      </c>
      <c r="F34" s="301">
        <v>2.8061E7</v>
      </c>
      <c r="G34" s="300" t="s">
        <v>2793</v>
      </c>
      <c r="H34" s="300" t="s">
        <v>1040</v>
      </c>
      <c r="I34" s="300" t="s">
        <v>2800</v>
      </c>
      <c r="J34" s="300" t="s">
        <v>2801</v>
      </c>
      <c r="K34" s="300" t="s">
        <v>2802</v>
      </c>
      <c r="L34" s="27" t="s">
        <v>2803</v>
      </c>
      <c r="M34" s="300" t="s">
        <v>2804</v>
      </c>
      <c r="N34" s="302" t="s">
        <v>2805</v>
      </c>
      <c r="O34" s="303" t="s">
        <v>2755</v>
      </c>
      <c r="P34" s="304" t="s">
        <v>70</v>
      </c>
      <c r="Q34" s="35"/>
      <c r="R34" s="35"/>
      <c r="S34" s="35"/>
      <c r="T34" s="35"/>
      <c r="U34" s="35"/>
      <c r="V34" s="35"/>
      <c r="W34" s="35"/>
      <c r="X34" s="35"/>
      <c r="Y34" s="35"/>
      <c r="Z34" s="35"/>
    </row>
    <row r="35" ht="12.75" customHeight="1">
      <c r="A35" s="248"/>
      <c r="B35" s="248" t="s">
        <v>2806</v>
      </c>
      <c r="C35" s="248"/>
      <c r="D35" s="248"/>
      <c r="E35" s="248"/>
      <c r="F35" s="249">
        <f>SUM(F36:F37)</f>
        <v>781832600</v>
      </c>
      <c r="G35" s="248"/>
      <c r="H35" s="248"/>
      <c r="I35" s="248"/>
      <c r="J35" s="248"/>
      <c r="K35" s="248"/>
      <c r="L35" s="248"/>
      <c r="M35" s="248"/>
      <c r="N35" s="299"/>
      <c r="O35" s="299"/>
      <c r="P35" s="248"/>
      <c r="Q35" s="35"/>
      <c r="R35" s="35"/>
      <c r="S35" s="35"/>
      <c r="T35" s="35"/>
      <c r="U35" s="35"/>
      <c r="V35" s="35"/>
      <c r="W35" s="35"/>
      <c r="X35" s="35"/>
      <c r="Y35" s="35"/>
      <c r="Z35" s="35"/>
    </row>
    <row r="36" ht="12.75" customHeight="1">
      <c r="A36" s="300">
        <v>1.0</v>
      </c>
      <c r="B36" s="300" t="s">
        <v>2807</v>
      </c>
      <c r="C36" s="300"/>
      <c r="D36" s="300" t="s">
        <v>2729</v>
      </c>
      <c r="E36" s="300" t="s">
        <v>70</v>
      </c>
      <c r="F36" s="301">
        <v>3.3242E8</v>
      </c>
      <c r="G36" s="300" t="s">
        <v>2808</v>
      </c>
      <c r="H36" s="300" t="s">
        <v>58</v>
      </c>
      <c r="I36" s="300" t="s">
        <v>2809</v>
      </c>
      <c r="J36" s="300" t="s">
        <v>2810</v>
      </c>
      <c r="K36" s="300" t="s">
        <v>2811</v>
      </c>
      <c r="L36" s="27" t="s">
        <v>2812</v>
      </c>
      <c r="M36" s="300" t="s">
        <v>2813</v>
      </c>
      <c r="N36" s="302" t="s">
        <v>2741</v>
      </c>
      <c r="O36" s="305"/>
      <c r="P36" s="304" t="s">
        <v>70</v>
      </c>
      <c r="Q36" s="35"/>
      <c r="R36" s="35"/>
      <c r="S36" s="35"/>
      <c r="T36" s="35"/>
      <c r="U36" s="35"/>
      <c r="V36" s="35"/>
      <c r="W36" s="35"/>
      <c r="X36" s="35"/>
      <c r="Y36" s="35"/>
      <c r="Z36" s="35"/>
    </row>
    <row r="37" ht="12.75" customHeight="1">
      <c r="A37" s="300">
        <v>2.0</v>
      </c>
      <c r="B37" s="300" t="s">
        <v>2814</v>
      </c>
      <c r="C37" s="300"/>
      <c r="D37" s="300" t="s">
        <v>2729</v>
      </c>
      <c r="E37" s="300" t="s">
        <v>27</v>
      </c>
      <c r="F37" s="301">
        <v>4.494126E8</v>
      </c>
      <c r="G37" s="300" t="s">
        <v>2815</v>
      </c>
      <c r="H37" s="300" t="s">
        <v>92</v>
      </c>
      <c r="I37" s="300" t="s">
        <v>2816</v>
      </c>
      <c r="J37" s="300" t="s">
        <v>2817</v>
      </c>
      <c r="K37" s="300" t="s">
        <v>2818</v>
      </c>
      <c r="L37" s="27" t="s">
        <v>2819</v>
      </c>
      <c r="M37" s="300" t="s">
        <v>2820</v>
      </c>
      <c r="N37" s="302" t="s">
        <v>27</v>
      </c>
      <c r="O37" s="305"/>
      <c r="P37" s="304" t="s">
        <v>2821</v>
      </c>
      <c r="Q37" s="35"/>
      <c r="R37" s="35"/>
      <c r="S37" s="35"/>
      <c r="T37" s="35"/>
      <c r="U37" s="35"/>
      <c r="V37" s="35"/>
      <c r="W37" s="35"/>
      <c r="X37" s="35"/>
      <c r="Y37" s="35"/>
      <c r="Z37" s="35"/>
    </row>
    <row r="38" ht="12.75" customHeight="1">
      <c r="A38" s="308" t="s">
        <v>22</v>
      </c>
      <c r="B38" s="309"/>
      <c r="C38" s="309"/>
      <c r="D38" s="309"/>
      <c r="E38" s="309"/>
      <c r="F38" s="310">
        <f>F17</f>
        <v>1901820800</v>
      </c>
      <c r="G38" s="309"/>
      <c r="H38" s="309"/>
      <c r="I38" s="309"/>
      <c r="J38" s="309"/>
      <c r="K38" s="309"/>
      <c r="L38" s="309"/>
      <c r="M38" s="309"/>
      <c r="N38" s="311"/>
      <c r="O38" s="312"/>
      <c r="P38" s="313"/>
      <c r="Q38" s="35"/>
      <c r="R38" s="35"/>
      <c r="S38" s="35"/>
      <c r="T38" s="35"/>
      <c r="U38" s="35"/>
      <c r="V38" s="35"/>
      <c r="W38" s="35"/>
      <c r="X38" s="35"/>
      <c r="Y38" s="35"/>
      <c r="Z38" s="35"/>
    </row>
    <row r="39" ht="12.75" customHeight="1">
      <c r="A39" s="35"/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</row>
    <row r="40" ht="12.75" customHeight="1">
      <c r="A40" s="35"/>
      <c r="B40" s="35"/>
      <c r="C40" s="35"/>
      <c r="D40" s="35"/>
      <c r="E40" s="35"/>
      <c r="F40" s="284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</row>
    <row r="41" ht="12.75" customHeight="1">
      <c r="A41" s="35"/>
      <c r="B41" s="35"/>
      <c r="C41" s="35"/>
      <c r="D41" s="35"/>
      <c r="E41" s="35"/>
      <c r="F41" s="314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</row>
    <row r="42" ht="12.75" customHeight="1">
      <c r="A42" s="35"/>
      <c r="B42" s="280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 ht="12.75" customHeight="1">
      <c r="A43" s="35"/>
      <c r="B43" s="280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 ht="12.75" customHeight="1">
      <c r="A44" s="35"/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 ht="12.75" customHeight="1">
      <c r="A45" s="35"/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 ht="12.75" customHeight="1">
      <c r="A46" s="35"/>
      <c r="B46" s="35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 ht="12.75" customHeight="1">
      <c r="A47" s="35"/>
      <c r="B47" s="35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 ht="12.75" customHeight="1">
      <c r="A48" s="35"/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ht="12.75" customHeight="1">
      <c r="A49" s="35"/>
      <c r="B49" s="280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ht="12.75" customHeight="1">
      <c r="A50" s="35"/>
      <c r="B50" s="280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ht="12.75" customHeight="1">
      <c r="A51" s="35"/>
      <c r="B51" s="35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ht="12.75" customHeight="1">
      <c r="A52" s="35"/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ht="12.75" customHeight="1">
      <c r="A53" s="35"/>
      <c r="B53" s="35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ht="12.75" customHeight="1">
      <c r="A54" s="35"/>
      <c r="B54" s="35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ht="12.75" customHeight="1">
      <c r="A55" s="35"/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ht="12.75" customHeight="1">
      <c r="A56" s="35"/>
      <c r="B56" s="35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ht="12.75" customHeight="1">
      <c r="A57" s="35"/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ht="12.75" customHeight="1">
      <c r="A58" s="35"/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ht="12.75" customHeight="1">
      <c r="A59" s="35"/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ht="12.75" customHeight="1">
      <c r="A60" s="35"/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ht="12.75" customHeight="1">
      <c r="A61" s="35"/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ht="12.75" customHeight="1">
      <c r="A62" s="35"/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ht="12.75" customHeight="1">
      <c r="A63" s="35"/>
      <c r="B63" s="35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2.75" customHeight="1">
      <c r="A64" s="35"/>
      <c r="B64" s="35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2.75" customHeight="1">
      <c r="A65" s="35"/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2.75" customHeight="1">
      <c r="A66" s="35"/>
      <c r="B66" s="35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2.75" customHeight="1">
      <c r="A67" s="35"/>
      <c r="B67" s="35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2.75" customHeight="1">
      <c r="A68" s="35"/>
      <c r="B68" s="35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2.75" customHeight="1">
      <c r="A69" s="35"/>
      <c r="B69" s="35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2.75" customHeight="1">
      <c r="A70" s="35"/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2.75" customHeight="1">
      <c r="A71" s="35"/>
      <c r="B71" s="35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2.75" customHeight="1">
      <c r="A72" s="35"/>
      <c r="B72" s="35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2.75" customHeight="1">
      <c r="A73" s="35"/>
      <c r="B73" s="35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2.75" customHeight="1">
      <c r="A74" s="35"/>
      <c r="B74" s="35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2.75" customHeight="1">
      <c r="A75" s="35"/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2.75" customHeight="1">
      <c r="A76" s="35"/>
      <c r="B76" s="35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2.75" customHeight="1">
      <c r="A77" s="35"/>
      <c r="B77" s="35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2.75" customHeight="1">
      <c r="A78" s="35"/>
      <c r="B78" s="35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2.75" customHeight="1">
      <c r="A79" s="35"/>
      <c r="B79" s="35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2.75" customHeight="1">
      <c r="A80" s="35"/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2.75" customHeight="1">
      <c r="A81" s="35"/>
      <c r="B81" s="35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2.75" customHeight="1">
      <c r="A82" s="35"/>
      <c r="B82" s="35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2.75" customHeight="1">
      <c r="A83" s="35"/>
      <c r="B83" s="35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2.75" customHeight="1">
      <c r="A84" s="35"/>
      <c r="B84" s="35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2.75" customHeight="1">
      <c r="A85" s="35"/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2.75" customHeight="1">
      <c r="A86" s="35"/>
      <c r="B86" s="35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2.75" customHeight="1">
      <c r="A87" s="35"/>
      <c r="B87" s="35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2.75" customHeight="1">
      <c r="A88" s="35"/>
      <c r="B88" s="35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2.75" customHeight="1">
      <c r="A89" s="35"/>
      <c r="B89" s="35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2.75" customHeight="1">
      <c r="A90" s="35"/>
      <c r="B90" s="35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2.75" customHeight="1">
      <c r="A91" s="35"/>
      <c r="B91" s="35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2.75" customHeight="1">
      <c r="A92" s="35"/>
      <c r="B92" s="35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2.75" customHeight="1">
      <c r="A93" s="35"/>
      <c r="B93" s="35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2.75" customHeight="1">
      <c r="A94" s="35"/>
      <c r="B94" s="35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2.75" customHeight="1">
      <c r="A95" s="35"/>
      <c r="B95" s="35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2.75" customHeight="1">
      <c r="A96" s="35"/>
      <c r="B96" s="35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2.75" customHeight="1">
      <c r="A97" s="35"/>
      <c r="B97" s="35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</row>
    <row r="98" ht="12.75" customHeight="1">
      <c r="A98" s="35"/>
      <c r="B98" s="35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</row>
    <row r="99" ht="12.75" customHeight="1">
      <c r="A99" s="35"/>
      <c r="B99" s="35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</row>
    <row r="100" ht="12.75" customHeight="1">
      <c r="A100" s="35"/>
      <c r="B100" s="35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</row>
    <row r="101" ht="12.75" customHeight="1">
      <c r="A101" s="35"/>
      <c r="B101" s="35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</row>
    <row r="102" ht="12.75" customHeight="1">
      <c r="A102" s="35"/>
      <c r="B102" s="35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</row>
    <row r="103" ht="12.75" customHeight="1">
      <c r="A103" s="35"/>
      <c r="B103" s="35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</row>
    <row r="104" ht="12.75" customHeight="1">
      <c r="A104" s="35"/>
      <c r="B104" s="35"/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</row>
    <row r="105" ht="12.75" customHeight="1">
      <c r="A105" s="35"/>
      <c r="B105" s="35"/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</row>
    <row r="106" ht="12.75" customHeight="1">
      <c r="A106" s="35"/>
      <c r="B106" s="35"/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</row>
    <row r="107" ht="12.75" customHeight="1">
      <c r="A107" s="35"/>
      <c r="B107" s="35"/>
      <c r="C107" s="35"/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</row>
    <row r="108" ht="12.75" customHeight="1">
      <c r="A108" s="35"/>
      <c r="B108" s="35"/>
      <c r="C108" s="35"/>
      <c r="D108" s="35"/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</row>
    <row r="109" ht="12.75" customHeight="1">
      <c r="A109" s="35"/>
      <c r="B109" s="35"/>
      <c r="C109" s="35"/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</row>
    <row r="110" ht="12.75" customHeight="1">
      <c r="A110" s="35"/>
      <c r="B110" s="35"/>
      <c r="C110" s="35"/>
      <c r="D110" s="35"/>
      <c r="E110" s="35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</row>
    <row r="111" ht="12.75" customHeight="1">
      <c r="A111" s="35"/>
      <c r="B111" s="35"/>
      <c r="C111" s="35"/>
      <c r="D111" s="35"/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</row>
    <row r="112" ht="12.75" customHeight="1">
      <c r="A112" s="35"/>
      <c r="B112" s="35"/>
      <c r="C112" s="35"/>
      <c r="D112" s="35"/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</row>
    <row r="113" ht="12.75" customHeight="1">
      <c r="A113" s="35"/>
      <c r="B113" s="35"/>
      <c r="C113" s="35"/>
      <c r="D113" s="35"/>
      <c r="E113" s="35"/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</row>
    <row r="114" ht="12.75" customHeight="1">
      <c r="A114" s="35"/>
      <c r="B114" s="35"/>
      <c r="C114" s="35"/>
      <c r="D114" s="35"/>
      <c r="E114" s="35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</row>
    <row r="115" ht="12.75" customHeight="1">
      <c r="A115" s="35"/>
      <c r="B115" s="35"/>
      <c r="C115" s="35"/>
      <c r="D115" s="35"/>
      <c r="E115" s="35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</row>
    <row r="116" ht="12.75" customHeight="1">
      <c r="A116" s="35"/>
      <c r="B116" s="35"/>
      <c r="C116" s="35"/>
      <c r="D116" s="35"/>
      <c r="E116" s="35"/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</row>
    <row r="117" ht="12.75" customHeight="1">
      <c r="A117" s="35"/>
      <c r="B117" s="35"/>
      <c r="C117" s="35"/>
      <c r="D117" s="35"/>
      <c r="E117" s="35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</row>
    <row r="118" ht="12.75" customHeight="1">
      <c r="A118" s="35"/>
      <c r="B118" s="35"/>
      <c r="C118" s="35"/>
      <c r="D118" s="35"/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</row>
    <row r="119" ht="12.75" customHeight="1">
      <c r="A119" s="35"/>
      <c r="B119" s="35"/>
      <c r="C119" s="35"/>
      <c r="D119" s="35"/>
      <c r="E119" s="35"/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</row>
    <row r="120" ht="12.75" customHeight="1">
      <c r="A120" s="35"/>
      <c r="B120" s="35"/>
      <c r="C120" s="35"/>
      <c r="D120" s="35"/>
      <c r="E120" s="35"/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</row>
    <row r="121" ht="12.75" customHeight="1">
      <c r="A121" s="35"/>
      <c r="B121" s="35"/>
      <c r="C121" s="35"/>
      <c r="D121" s="35"/>
      <c r="E121" s="35"/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</row>
    <row r="122" ht="12.75" customHeight="1">
      <c r="A122" s="35"/>
      <c r="B122" s="35"/>
      <c r="C122" s="35"/>
      <c r="D122" s="35"/>
      <c r="E122" s="35"/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</row>
    <row r="123" ht="12.75" customHeight="1">
      <c r="A123" s="35"/>
      <c r="B123" s="35"/>
      <c r="C123" s="35"/>
      <c r="D123" s="35"/>
      <c r="E123" s="35"/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</row>
    <row r="124" ht="12.75" customHeight="1">
      <c r="A124" s="35"/>
      <c r="B124" s="35"/>
      <c r="C124" s="35"/>
      <c r="D124" s="35"/>
      <c r="E124" s="35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</row>
    <row r="125" ht="12.75" customHeight="1">
      <c r="A125" s="35"/>
      <c r="B125" s="35"/>
      <c r="C125" s="35"/>
      <c r="D125" s="35"/>
      <c r="E125" s="35"/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</row>
    <row r="126" ht="12.75" customHeight="1">
      <c r="A126" s="35"/>
      <c r="B126" s="35"/>
      <c r="C126" s="35"/>
      <c r="D126" s="35"/>
      <c r="E126" s="35"/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</row>
    <row r="127" ht="12.75" customHeight="1">
      <c r="A127" s="35"/>
      <c r="B127" s="35"/>
      <c r="C127" s="35"/>
      <c r="D127" s="35"/>
      <c r="E127" s="35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</row>
    <row r="128" ht="12.75" customHeight="1">
      <c r="A128" s="35"/>
      <c r="B128" s="35"/>
      <c r="C128" s="35"/>
      <c r="D128" s="35"/>
      <c r="E128" s="35"/>
      <c r="F128" s="35"/>
      <c r="G128" s="35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</row>
    <row r="129" ht="12.75" customHeight="1">
      <c r="A129" s="35"/>
      <c r="B129" s="35"/>
      <c r="C129" s="35"/>
      <c r="D129" s="35"/>
      <c r="E129" s="35"/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</row>
    <row r="130" ht="12.75" customHeight="1">
      <c r="A130" s="35"/>
      <c r="B130" s="35"/>
      <c r="C130" s="35"/>
      <c r="D130" s="35"/>
      <c r="E130" s="35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</row>
    <row r="131" ht="12.75" customHeight="1">
      <c r="A131" s="35"/>
      <c r="B131" s="35"/>
      <c r="C131" s="35"/>
      <c r="D131" s="35"/>
      <c r="E131" s="35"/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</row>
    <row r="132" ht="12.75" customHeight="1">
      <c r="A132" s="35"/>
      <c r="B132" s="35"/>
      <c r="C132" s="35"/>
      <c r="D132" s="35"/>
      <c r="E132" s="35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</row>
    <row r="133" ht="12.75" customHeight="1">
      <c r="A133" s="35"/>
      <c r="B133" s="35"/>
      <c r="C133" s="35"/>
      <c r="D133" s="35"/>
      <c r="E133" s="35"/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</row>
    <row r="134" ht="12.75" customHeight="1">
      <c r="A134" s="35"/>
      <c r="B134" s="35"/>
      <c r="C134" s="35"/>
      <c r="D134" s="35"/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</row>
    <row r="135" ht="12.75" customHeight="1">
      <c r="A135" s="35"/>
      <c r="B135" s="35"/>
      <c r="C135" s="35"/>
      <c r="D135" s="35"/>
      <c r="E135" s="35"/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</row>
    <row r="136" ht="12.75" customHeight="1">
      <c r="A136" s="35"/>
      <c r="B136" s="35"/>
      <c r="C136" s="35"/>
      <c r="D136" s="35"/>
      <c r="E136" s="35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</row>
    <row r="137" ht="12.75" customHeight="1">
      <c r="A137" s="35"/>
      <c r="B137" s="35"/>
      <c r="C137" s="35"/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</row>
    <row r="138" ht="12.75" customHeight="1">
      <c r="A138" s="35"/>
      <c r="B138" s="35"/>
      <c r="C138" s="35"/>
      <c r="D138" s="35"/>
      <c r="E138" s="35"/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</row>
    <row r="139" ht="12.75" customHeight="1">
      <c r="A139" s="35"/>
      <c r="B139" s="35"/>
      <c r="C139" s="35"/>
      <c r="D139" s="35"/>
      <c r="E139" s="35"/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</row>
    <row r="140" ht="12.75" customHeight="1">
      <c r="A140" s="35"/>
      <c r="B140" s="35"/>
      <c r="C140" s="35"/>
      <c r="D140" s="35"/>
      <c r="E140" s="35"/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</row>
    <row r="141" ht="12.75" customHeight="1">
      <c r="A141" s="35"/>
      <c r="B141" s="35"/>
      <c r="C141" s="35"/>
      <c r="D141" s="35"/>
      <c r="E141" s="35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</row>
    <row r="142" ht="12.75" customHeight="1">
      <c r="A142" s="35"/>
      <c r="B142" s="35"/>
      <c r="C142" s="35"/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</row>
    <row r="143" ht="12.75" customHeight="1">
      <c r="A143" s="35"/>
      <c r="B143" s="35"/>
      <c r="C143" s="35"/>
      <c r="D143" s="35"/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</row>
    <row r="144" ht="12.75" customHeight="1">
      <c r="A144" s="35"/>
      <c r="B144" s="35"/>
      <c r="C144" s="35"/>
      <c r="D144" s="35"/>
      <c r="E144" s="35"/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  <c r="Z144" s="35"/>
    </row>
    <row r="145" ht="12.75" customHeight="1">
      <c r="A145" s="35"/>
      <c r="B145" s="35"/>
      <c r="C145" s="35"/>
      <c r="D145" s="35"/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</row>
    <row r="146" ht="12.75" customHeight="1">
      <c r="A146" s="35"/>
      <c r="B146" s="35"/>
      <c r="C146" s="35"/>
      <c r="D146" s="35"/>
      <c r="E146" s="35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5"/>
    </row>
    <row r="147" ht="12.75" customHeight="1">
      <c r="A147" s="35"/>
      <c r="B147" s="35"/>
      <c r="C147" s="35"/>
      <c r="D147" s="35"/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</row>
    <row r="148" ht="12.75" customHeight="1">
      <c r="A148" s="35"/>
      <c r="B148" s="35"/>
      <c r="C148" s="35"/>
      <c r="D148" s="35"/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  <c r="Z148" s="35"/>
    </row>
    <row r="149" ht="12.75" customHeight="1">
      <c r="A149" s="35"/>
      <c r="B149" s="35"/>
      <c r="C149" s="35"/>
      <c r="D149" s="35"/>
      <c r="E149" s="35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5"/>
    </row>
    <row r="150" ht="12.75" customHeight="1">
      <c r="A150" s="35"/>
      <c r="B150" s="35"/>
      <c r="C150" s="35"/>
      <c r="D150" s="35"/>
      <c r="E150" s="35"/>
      <c r="F150" s="35"/>
      <c r="G150" s="35"/>
      <c r="H150" s="35"/>
      <c r="I150" s="35"/>
      <c r="J150" s="35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5"/>
    </row>
    <row r="151" ht="12.75" customHeight="1">
      <c r="A151" s="35"/>
      <c r="B151" s="35"/>
      <c r="C151" s="35"/>
      <c r="D151" s="35"/>
      <c r="E151" s="35"/>
      <c r="F151" s="35"/>
      <c r="G151" s="35"/>
      <c r="H151" s="35"/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</row>
    <row r="152" ht="12.75" customHeight="1">
      <c r="A152" s="35"/>
      <c r="B152" s="35"/>
      <c r="C152" s="35"/>
      <c r="D152" s="35"/>
      <c r="E152" s="35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5"/>
    </row>
    <row r="153" ht="12.75" customHeight="1">
      <c r="A153" s="35"/>
      <c r="B153" s="35"/>
      <c r="C153" s="35"/>
      <c r="D153" s="35"/>
      <c r="E153" s="35"/>
      <c r="F153" s="35"/>
      <c r="G153" s="35"/>
      <c r="H153" s="35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</row>
    <row r="154" ht="12.75" customHeight="1">
      <c r="A154" s="35"/>
      <c r="B154" s="35"/>
      <c r="C154" s="35"/>
      <c r="D154" s="35"/>
      <c r="E154" s="35"/>
      <c r="F154" s="35"/>
      <c r="G154" s="35"/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</row>
    <row r="155" ht="12.75" customHeight="1">
      <c r="A155" s="35"/>
      <c r="B155" s="35"/>
      <c r="C155" s="35"/>
      <c r="D155" s="35"/>
      <c r="E155" s="35"/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</row>
    <row r="156" ht="12.75" customHeight="1">
      <c r="A156" s="35"/>
      <c r="B156" s="35"/>
      <c r="C156" s="35"/>
      <c r="D156" s="35"/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</row>
    <row r="157" ht="12.75" customHeight="1">
      <c r="A157" s="35"/>
      <c r="B157" s="35"/>
      <c r="C157" s="35"/>
      <c r="D157" s="35"/>
      <c r="E157" s="35"/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</row>
    <row r="158" ht="12.75" customHeight="1">
      <c r="A158" s="35"/>
      <c r="B158" s="35"/>
      <c r="C158" s="35"/>
      <c r="D158" s="35"/>
      <c r="E158" s="35"/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</row>
    <row r="159" ht="12.75" customHeight="1">
      <c r="A159" s="35"/>
      <c r="B159" s="35"/>
      <c r="C159" s="35"/>
      <c r="D159" s="35"/>
      <c r="E159" s="35"/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</row>
    <row r="160" ht="12.75" customHeight="1">
      <c r="A160" s="35"/>
      <c r="B160" s="35"/>
      <c r="C160" s="35"/>
      <c r="D160" s="35"/>
      <c r="E160" s="35"/>
      <c r="F160" s="35"/>
      <c r="G160" s="35"/>
      <c r="H160" s="35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</row>
    <row r="161" ht="12.75" customHeight="1">
      <c r="A161" s="35"/>
      <c r="B161" s="35"/>
      <c r="C161" s="35"/>
      <c r="D161" s="35"/>
      <c r="E161" s="35"/>
      <c r="F161" s="35"/>
      <c r="G161" s="35"/>
      <c r="H161" s="35"/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</row>
    <row r="162" ht="12.75" customHeight="1">
      <c r="A162" s="35"/>
      <c r="B162" s="35"/>
      <c r="C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5"/>
    </row>
    <row r="163" ht="12.75" customHeight="1">
      <c r="A163" s="35"/>
      <c r="B163" s="35"/>
      <c r="C163" s="35"/>
      <c r="D163" s="35"/>
      <c r="E163" s="35"/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</row>
    <row r="164" ht="12.75" customHeight="1">
      <c r="A164" s="35"/>
      <c r="B164" s="35"/>
      <c r="C164" s="35"/>
      <c r="D164" s="35"/>
      <c r="E164" s="35"/>
      <c r="F164" s="35"/>
      <c r="G164" s="35"/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</row>
    <row r="165" ht="12.75" customHeight="1">
      <c r="A165" s="35"/>
      <c r="B165" s="35"/>
      <c r="C165" s="35"/>
      <c r="D165" s="35"/>
      <c r="E165" s="35"/>
      <c r="F165" s="35"/>
      <c r="G165" s="35"/>
      <c r="H165" s="35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</row>
    <row r="166" ht="12.75" customHeight="1">
      <c r="A166" s="35"/>
      <c r="B166" s="35"/>
      <c r="C166" s="35"/>
      <c r="D166" s="35"/>
      <c r="E166" s="35"/>
      <c r="F166" s="35"/>
      <c r="G166" s="35"/>
      <c r="H166" s="35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35"/>
    </row>
    <row r="167" ht="12.75" customHeight="1">
      <c r="A167" s="35"/>
      <c r="B167" s="35"/>
      <c r="C167" s="35"/>
      <c r="D167" s="35"/>
      <c r="E167" s="35"/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</row>
    <row r="168" ht="12.75" customHeight="1">
      <c r="A168" s="35"/>
      <c r="B168" s="35"/>
      <c r="C168" s="35"/>
      <c r="D168" s="35"/>
      <c r="E168" s="35"/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  <c r="Z168" s="35"/>
    </row>
    <row r="169" ht="12.75" customHeight="1">
      <c r="A169" s="35"/>
      <c r="B169" s="35"/>
      <c r="C169" s="35"/>
      <c r="D169" s="35"/>
      <c r="E169" s="35"/>
      <c r="F169" s="35"/>
      <c r="G169" s="35"/>
      <c r="H169" s="35"/>
      <c r="I169" s="35"/>
      <c r="J169" s="35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  <c r="Z169" s="35"/>
    </row>
    <row r="170" ht="12.75" customHeight="1">
      <c r="A170" s="35"/>
      <c r="B170" s="35"/>
      <c r="C170" s="35"/>
      <c r="D170" s="35"/>
      <c r="E170" s="35"/>
      <c r="F170" s="35"/>
      <c r="G170" s="35"/>
      <c r="H170" s="35"/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35"/>
    </row>
    <row r="171" ht="12.75" customHeight="1">
      <c r="A171" s="35"/>
      <c r="B171" s="35"/>
      <c r="C171" s="35"/>
      <c r="D171" s="35"/>
      <c r="E171" s="35"/>
      <c r="F171" s="35"/>
      <c r="G171" s="35"/>
      <c r="H171" s="35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</row>
    <row r="172" ht="12.75" customHeight="1">
      <c r="A172" s="35"/>
      <c r="B172" s="35"/>
      <c r="C172" s="35"/>
      <c r="D172" s="35"/>
      <c r="E172" s="35"/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  <c r="Z172" s="35"/>
    </row>
    <row r="173" ht="12.75" customHeight="1">
      <c r="A173" s="35"/>
      <c r="B173" s="35"/>
      <c r="C173" s="35"/>
      <c r="D173" s="35"/>
      <c r="E173" s="35"/>
      <c r="F173" s="35"/>
      <c r="G173" s="35"/>
      <c r="H173" s="35"/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  <c r="Z173" s="35"/>
    </row>
    <row r="174" ht="12.75" customHeight="1">
      <c r="A174" s="35"/>
      <c r="B174" s="35"/>
      <c r="C174" s="35"/>
      <c r="D174" s="35"/>
      <c r="E174" s="35"/>
      <c r="F174" s="35"/>
      <c r="G174" s="35"/>
      <c r="H174" s="35"/>
      <c r="I174" s="35"/>
      <c r="J174" s="35"/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  <c r="Z174" s="35"/>
    </row>
    <row r="175" ht="12.75" customHeight="1">
      <c r="A175" s="35"/>
      <c r="B175" s="35"/>
      <c r="C175" s="35"/>
      <c r="D175" s="35"/>
      <c r="E175" s="35"/>
      <c r="F175" s="35"/>
      <c r="G175" s="35"/>
      <c r="H175" s="35"/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5"/>
    </row>
    <row r="176" ht="12.75" customHeight="1">
      <c r="A176" s="35"/>
      <c r="B176" s="35"/>
      <c r="C176" s="35"/>
      <c r="D176" s="35"/>
      <c r="E176" s="35"/>
      <c r="F176" s="35"/>
      <c r="G176" s="35"/>
      <c r="H176" s="35"/>
      <c r="I176" s="35"/>
      <c r="J176" s="35"/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5"/>
    </row>
    <row r="177" ht="12.75" customHeight="1">
      <c r="A177" s="35"/>
      <c r="B177" s="35"/>
      <c r="C177" s="35"/>
      <c r="D177" s="35"/>
      <c r="E177" s="35"/>
      <c r="F177" s="35"/>
      <c r="G177" s="35"/>
      <c r="H177" s="35"/>
      <c r="I177" s="35"/>
      <c r="J177" s="35"/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  <c r="Z177" s="35"/>
    </row>
    <row r="178" ht="12.75" customHeight="1">
      <c r="A178" s="35"/>
      <c r="B178" s="35"/>
      <c r="C178" s="35"/>
      <c r="D178" s="35"/>
      <c r="E178" s="35"/>
      <c r="F178" s="35"/>
      <c r="G178" s="35"/>
      <c r="H178" s="35"/>
      <c r="I178" s="35"/>
      <c r="J178" s="35"/>
      <c r="K178" s="35"/>
      <c r="L178" s="35"/>
      <c r="M178" s="35"/>
      <c r="N178" s="35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  <c r="Z178" s="35"/>
    </row>
    <row r="179" ht="12.75" customHeight="1">
      <c r="A179" s="35"/>
      <c r="B179" s="35"/>
      <c r="C179" s="35"/>
      <c r="D179" s="35"/>
      <c r="E179" s="35"/>
      <c r="F179" s="35"/>
      <c r="G179" s="35"/>
      <c r="H179" s="35"/>
      <c r="I179" s="35"/>
      <c r="J179" s="35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  <c r="Z179" s="35"/>
    </row>
    <row r="180" ht="12.75" customHeight="1">
      <c r="A180" s="35"/>
      <c r="B180" s="35"/>
      <c r="C180" s="35"/>
      <c r="D180" s="35"/>
      <c r="E180" s="35"/>
      <c r="F180" s="35"/>
      <c r="G180" s="35"/>
      <c r="H180" s="35"/>
      <c r="I180" s="35"/>
      <c r="J180" s="35"/>
      <c r="K180" s="35"/>
      <c r="L180" s="35"/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  <c r="Z180" s="35"/>
    </row>
    <row r="181" ht="12.75" customHeight="1">
      <c r="A181" s="35"/>
      <c r="B181" s="35"/>
      <c r="C181" s="35"/>
      <c r="D181" s="35"/>
      <c r="E181" s="35"/>
      <c r="F181" s="35"/>
      <c r="G181" s="35"/>
      <c r="H181" s="35"/>
      <c r="I181" s="35"/>
      <c r="J181" s="35"/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  <c r="Z181" s="35"/>
    </row>
    <row r="182" ht="12.75" customHeight="1">
      <c r="A182" s="35"/>
      <c r="B182" s="35"/>
      <c r="C182" s="35"/>
      <c r="D182" s="35"/>
      <c r="E182" s="35"/>
      <c r="F182" s="35"/>
      <c r="G182" s="35"/>
      <c r="H182" s="35"/>
      <c r="I182" s="35"/>
      <c r="J182" s="35"/>
      <c r="K182" s="35"/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  <c r="Z182" s="35"/>
    </row>
    <row r="183" ht="12.75" customHeight="1">
      <c r="A183" s="35"/>
      <c r="B183" s="35"/>
      <c r="C183" s="35"/>
      <c r="D183" s="35"/>
      <c r="E183" s="35"/>
      <c r="F183" s="35"/>
      <c r="G183" s="35"/>
      <c r="H183" s="35"/>
      <c r="I183" s="35"/>
      <c r="J183" s="35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  <c r="Z183" s="35"/>
    </row>
    <row r="184" ht="12.75" customHeight="1">
      <c r="A184" s="35"/>
      <c r="B184" s="35"/>
      <c r="C184" s="35"/>
      <c r="D184" s="35"/>
      <c r="E184" s="35"/>
      <c r="F184" s="35"/>
      <c r="G184" s="35"/>
      <c r="H184" s="35"/>
      <c r="I184" s="35"/>
      <c r="J184" s="35"/>
      <c r="K184" s="35"/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  <c r="Z184" s="35"/>
    </row>
    <row r="185" ht="12.75" customHeight="1">
      <c r="A185" s="35"/>
      <c r="B185" s="35"/>
      <c r="C185" s="35"/>
      <c r="D185" s="35"/>
      <c r="E185" s="35"/>
      <c r="F185" s="35"/>
      <c r="G185" s="35"/>
      <c r="H185" s="35"/>
      <c r="I185" s="35"/>
      <c r="J185" s="35"/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  <c r="Z185" s="35"/>
    </row>
    <row r="186" ht="12.75" customHeight="1">
      <c r="A186" s="35"/>
      <c r="B186" s="35"/>
      <c r="C186" s="35"/>
      <c r="D186" s="35"/>
      <c r="E186" s="35"/>
      <c r="F186" s="35"/>
      <c r="G186" s="35"/>
      <c r="H186" s="35"/>
      <c r="I186" s="35"/>
      <c r="J186" s="35"/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  <c r="Z186" s="35"/>
    </row>
    <row r="187" ht="12.75" customHeight="1">
      <c r="A187" s="35"/>
      <c r="B187" s="35"/>
      <c r="C187" s="35"/>
      <c r="D187" s="35"/>
      <c r="E187" s="35"/>
      <c r="F187" s="35"/>
      <c r="G187" s="35"/>
      <c r="H187" s="35"/>
      <c r="I187" s="35"/>
      <c r="J187" s="35"/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35"/>
    </row>
    <row r="188" ht="12.75" customHeight="1">
      <c r="A188" s="35"/>
      <c r="B188" s="35"/>
      <c r="C188" s="35"/>
      <c r="D188" s="35"/>
      <c r="E188" s="35"/>
      <c r="F188" s="35"/>
      <c r="G188" s="35"/>
      <c r="H188" s="35"/>
      <c r="I188" s="35"/>
      <c r="J188" s="35"/>
      <c r="K188" s="35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  <c r="Z188" s="35"/>
    </row>
    <row r="189" ht="12.75" customHeight="1">
      <c r="A189" s="35"/>
      <c r="B189" s="35"/>
      <c r="C189" s="35"/>
      <c r="D189" s="35"/>
      <c r="E189" s="35"/>
      <c r="F189" s="35"/>
      <c r="G189" s="35"/>
      <c r="H189" s="35"/>
      <c r="I189" s="35"/>
      <c r="J189" s="35"/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  <c r="Z189" s="35"/>
    </row>
    <row r="190" ht="12.75" customHeight="1">
      <c r="A190" s="35"/>
      <c r="B190" s="35"/>
      <c r="C190" s="35"/>
      <c r="D190" s="35"/>
      <c r="E190" s="35"/>
      <c r="F190" s="35"/>
      <c r="G190" s="35"/>
      <c r="H190" s="35"/>
      <c r="I190" s="35"/>
      <c r="J190" s="35"/>
      <c r="K190" s="35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  <c r="Z190" s="35"/>
    </row>
    <row r="191" ht="12.75" customHeight="1">
      <c r="A191" s="35"/>
      <c r="B191" s="35"/>
      <c r="C191" s="35"/>
      <c r="D191" s="35"/>
      <c r="E191" s="35"/>
      <c r="F191" s="35"/>
      <c r="G191" s="35"/>
      <c r="H191" s="35"/>
      <c r="I191" s="35"/>
      <c r="J191" s="35"/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  <c r="Z191" s="35"/>
    </row>
    <row r="192" ht="12.75" customHeight="1">
      <c r="A192" s="35"/>
      <c r="B192" s="35"/>
      <c r="C192" s="35"/>
      <c r="D192" s="35"/>
      <c r="E192" s="35"/>
      <c r="F192" s="35"/>
      <c r="G192" s="35"/>
      <c r="H192" s="35"/>
      <c r="I192" s="35"/>
      <c r="J192" s="35"/>
      <c r="K192" s="35"/>
      <c r="L192" s="35"/>
      <c r="M192" s="35"/>
      <c r="N192" s="35"/>
      <c r="O192" s="35"/>
      <c r="P192" s="35"/>
      <c r="Q192" s="35"/>
      <c r="R192" s="35"/>
      <c r="S192" s="35"/>
      <c r="T192" s="35"/>
      <c r="U192" s="35"/>
      <c r="V192" s="35"/>
      <c r="W192" s="35"/>
      <c r="X192" s="35"/>
      <c r="Y192" s="35"/>
      <c r="Z192" s="35"/>
    </row>
    <row r="193" ht="12.75" customHeight="1">
      <c r="A193" s="35"/>
      <c r="B193" s="35"/>
      <c r="C193" s="35"/>
      <c r="D193" s="35"/>
      <c r="E193" s="35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</row>
    <row r="194" ht="12.75" customHeight="1">
      <c r="A194" s="35"/>
      <c r="B194" s="35"/>
      <c r="C194" s="35"/>
      <c r="D194" s="35"/>
      <c r="E194" s="35"/>
      <c r="F194" s="35"/>
      <c r="G194" s="35"/>
      <c r="H194" s="35"/>
      <c r="I194" s="35"/>
      <c r="J194" s="35"/>
      <c r="K194" s="35"/>
      <c r="L194" s="35"/>
      <c r="M194" s="35"/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  <c r="Z194" s="35"/>
    </row>
    <row r="195" ht="12.75" customHeight="1">
      <c r="A195" s="35"/>
      <c r="B195" s="35"/>
      <c r="C195" s="35"/>
      <c r="D195" s="35"/>
      <c r="E195" s="35"/>
      <c r="F195" s="35"/>
      <c r="G195" s="35"/>
      <c r="H195" s="35"/>
      <c r="I195" s="35"/>
      <c r="J195" s="35"/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  <c r="Z195" s="35"/>
    </row>
    <row r="196" ht="12.75" customHeight="1">
      <c r="A196" s="35"/>
      <c r="B196" s="35"/>
      <c r="C196" s="35"/>
      <c r="D196" s="35"/>
      <c r="E196" s="35"/>
      <c r="F196" s="35"/>
      <c r="G196" s="35"/>
      <c r="H196" s="35"/>
      <c r="I196" s="35"/>
      <c r="J196" s="35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  <c r="Z196" s="35"/>
    </row>
    <row r="197" ht="12.75" customHeight="1">
      <c r="A197" s="35"/>
      <c r="B197" s="35"/>
      <c r="C197" s="35"/>
      <c r="D197" s="35"/>
      <c r="E197" s="35"/>
      <c r="F197" s="35"/>
      <c r="G197" s="35"/>
      <c r="H197" s="35"/>
      <c r="I197" s="35"/>
      <c r="J197" s="35"/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  <c r="Z197" s="35"/>
    </row>
    <row r="198" ht="12.75" customHeight="1">
      <c r="A198" s="35"/>
      <c r="B198" s="35"/>
      <c r="C198" s="35"/>
      <c r="D198" s="35"/>
      <c r="E198" s="35"/>
      <c r="F198" s="35"/>
      <c r="G198" s="35"/>
      <c r="H198" s="35"/>
      <c r="I198" s="35"/>
      <c r="J198" s="35"/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  <c r="Z198" s="35"/>
    </row>
    <row r="199" ht="12.75" customHeight="1">
      <c r="A199" s="35"/>
      <c r="B199" s="35"/>
      <c r="C199" s="35"/>
      <c r="D199" s="35"/>
      <c r="E199" s="35"/>
      <c r="F199" s="35"/>
      <c r="G199" s="35"/>
      <c r="H199" s="35"/>
      <c r="I199" s="35"/>
      <c r="J199" s="35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  <c r="Z199" s="35"/>
    </row>
    <row r="200" ht="12.75" customHeight="1">
      <c r="A200" s="35"/>
      <c r="B200" s="35"/>
      <c r="C200" s="35"/>
      <c r="D200" s="35"/>
      <c r="E200" s="35"/>
      <c r="F200" s="35"/>
      <c r="G200" s="35"/>
      <c r="H200" s="35"/>
      <c r="I200" s="35"/>
      <c r="J200" s="35"/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  <c r="Z200" s="35"/>
    </row>
    <row r="201" ht="12.75" customHeight="1">
      <c r="A201" s="35"/>
      <c r="B201" s="35"/>
      <c r="C201" s="35"/>
      <c r="D201" s="35"/>
      <c r="E201" s="35"/>
      <c r="F201" s="35"/>
      <c r="G201" s="35"/>
      <c r="H201" s="35"/>
      <c r="I201" s="35"/>
      <c r="J201" s="35"/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  <c r="Z201" s="35"/>
    </row>
    <row r="202" ht="12.75" customHeight="1">
      <c r="A202" s="35"/>
      <c r="B202" s="35"/>
      <c r="C202" s="35"/>
      <c r="D202" s="35"/>
      <c r="E202" s="35"/>
      <c r="F202" s="35"/>
      <c r="G202" s="35"/>
      <c r="H202" s="35"/>
      <c r="I202" s="35"/>
      <c r="J202" s="35"/>
      <c r="K202" s="35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  <c r="Z202" s="35"/>
    </row>
    <row r="203" ht="12.75" customHeight="1">
      <c r="A203" s="35"/>
      <c r="B203" s="35"/>
      <c r="C203" s="35"/>
      <c r="D203" s="35"/>
      <c r="E203" s="35"/>
      <c r="F203" s="35"/>
      <c r="G203" s="35"/>
      <c r="H203" s="35"/>
      <c r="I203" s="35"/>
      <c r="J203" s="35"/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  <c r="Z203" s="35"/>
    </row>
    <row r="204" ht="12.75" customHeight="1">
      <c r="A204" s="35"/>
      <c r="B204" s="35"/>
      <c r="C204" s="35"/>
      <c r="D204" s="35"/>
      <c r="E204" s="35"/>
      <c r="F204" s="35"/>
      <c r="G204" s="35"/>
      <c r="H204" s="35"/>
      <c r="I204" s="35"/>
      <c r="J204" s="35"/>
      <c r="K204" s="35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  <c r="Z204" s="35"/>
    </row>
    <row r="205" ht="12.75" customHeight="1">
      <c r="A205" s="35"/>
      <c r="B205" s="35"/>
      <c r="C205" s="35"/>
      <c r="D205" s="35"/>
      <c r="E205" s="35"/>
      <c r="F205" s="35"/>
      <c r="G205" s="35"/>
      <c r="H205" s="35"/>
      <c r="I205" s="35"/>
      <c r="J205" s="35"/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  <c r="Z205" s="35"/>
    </row>
    <row r="206" ht="12.75" customHeight="1">
      <c r="A206" s="35"/>
      <c r="B206" s="35"/>
      <c r="C206" s="35"/>
      <c r="D206" s="35"/>
      <c r="E206" s="35"/>
      <c r="F206" s="35"/>
      <c r="G206" s="35"/>
      <c r="H206" s="35"/>
      <c r="I206" s="35"/>
      <c r="J206" s="35"/>
      <c r="K206" s="35"/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  <c r="Z206" s="35"/>
    </row>
    <row r="207" ht="12.75" customHeight="1">
      <c r="A207" s="35"/>
      <c r="B207" s="35"/>
      <c r="C207" s="35"/>
      <c r="D207" s="35"/>
      <c r="E207" s="35"/>
      <c r="F207" s="35"/>
      <c r="G207" s="35"/>
      <c r="H207" s="35"/>
      <c r="I207" s="35"/>
      <c r="J207" s="35"/>
      <c r="K207" s="35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35"/>
      <c r="Z207" s="35"/>
    </row>
    <row r="208" ht="12.75" customHeight="1">
      <c r="A208" s="35"/>
      <c r="B208" s="35"/>
      <c r="C208" s="35"/>
      <c r="D208" s="35"/>
      <c r="E208" s="35"/>
      <c r="F208" s="35"/>
      <c r="G208" s="35"/>
      <c r="H208" s="35"/>
      <c r="I208" s="35"/>
      <c r="J208" s="35"/>
      <c r="K208" s="35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  <c r="Z208" s="35"/>
    </row>
    <row r="209" ht="12.75" customHeight="1">
      <c r="A209" s="35"/>
      <c r="B209" s="35"/>
      <c r="C209" s="35"/>
      <c r="D209" s="35"/>
      <c r="E209" s="35"/>
      <c r="F209" s="35"/>
      <c r="G209" s="35"/>
      <c r="H209" s="35"/>
      <c r="I209" s="35"/>
      <c r="J209" s="35"/>
      <c r="K209" s="35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5"/>
      <c r="W209" s="35"/>
      <c r="X209" s="35"/>
      <c r="Y209" s="35"/>
      <c r="Z209" s="35"/>
    </row>
    <row r="210" ht="12.75" customHeight="1">
      <c r="A210" s="35"/>
      <c r="B210" s="35"/>
      <c r="C210" s="35"/>
      <c r="D210" s="35"/>
      <c r="E210" s="35"/>
      <c r="F210" s="35"/>
      <c r="G210" s="35"/>
      <c r="H210" s="35"/>
      <c r="I210" s="35"/>
      <c r="J210" s="35"/>
      <c r="K210" s="35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35"/>
      <c r="W210" s="35"/>
      <c r="X210" s="35"/>
      <c r="Y210" s="35"/>
      <c r="Z210" s="35"/>
    </row>
    <row r="211" ht="12.75" customHeight="1">
      <c r="A211" s="35"/>
      <c r="B211" s="35"/>
      <c r="C211" s="35"/>
      <c r="D211" s="35"/>
      <c r="E211" s="35"/>
      <c r="F211" s="35"/>
      <c r="G211" s="35"/>
      <c r="H211" s="35"/>
      <c r="I211" s="35"/>
      <c r="J211" s="35"/>
      <c r="K211" s="35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  <c r="Z211" s="35"/>
    </row>
    <row r="212" ht="12.75" customHeight="1">
      <c r="A212" s="35"/>
      <c r="B212" s="35"/>
      <c r="C212" s="35"/>
      <c r="D212" s="35"/>
      <c r="E212" s="35"/>
      <c r="F212" s="35"/>
      <c r="G212" s="35"/>
      <c r="H212" s="35"/>
      <c r="I212" s="35"/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35"/>
    </row>
    <row r="213" ht="12.75" customHeight="1">
      <c r="A213" s="35"/>
      <c r="B213" s="35"/>
      <c r="C213" s="35"/>
      <c r="D213" s="35"/>
      <c r="E213" s="35"/>
      <c r="F213" s="35"/>
      <c r="G213" s="35"/>
      <c r="H213" s="35"/>
      <c r="I213" s="35"/>
      <c r="J213" s="35"/>
      <c r="K213" s="35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  <c r="Z213" s="35"/>
    </row>
    <row r="214" ht="12.75" customHeight="1">
      <c r="A214" s="35"/>
      <c r="B214" s="35"/>
      <c r="C214" s="35"/>
      <c r="D214" s="35"/>
      <c r="E214" s="35"/>
      <c r="F214" s="35"/>
      <c r="G214" s="35"/>
      <c r="H214" s="35"/>
      <c r="I214" s="35"/>
      <c r="J214" s="35"/>
      <c r="K214" s="35"/>
      <c r="L214" s="35"/>
      <c r="M214" s="35"/>
      <c r="N214" s="35"/>
      <c r="O214" s="35"/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5"/>
    </row>
    <row r="215" ht="12.75" customHeight="1">
      <c r="A215" s="35"/>
      <c r="B215" s="35"/>
      <c r="C215" s="35"/>
      <c r="D215" s="35"/>
      <c r="E215" s="35"/>
      <c r="F215" s="35"/>
      <c r="G215" s="35"/>
      <c r="H215" s="35"/>
      <c r="I215" s="35"/>
      <c r="J215" s="35"/>
      <c r="K215" s="35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  <c r="Z215" s="35"/>
    </row>
    <row r="216" ht="12.75" customHeight="1">
      <c r="A216" s="35"/>
      <c r="B216" s="35"/>
      <c r="C216" s="35"/>
      <c r="D216" s="35"/>
      <c r="E216" s="35"/>
      <c r="F216" s="35"/>
      <c r="G216" s="35"/>
      <c r="H216" s="35"/>
      <c r="I216" s="35"/>
      <c r="J216" s="35"/>
      <c r="K216" s="35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35"/>
    </row>
    <row r="217" ht="12.75" customHeight="1">
      <c r="A217" s="35"/>
      <c r="B217" s="35"/>
      <c r="C217" s="35"/>
      <c r="D217" s="35"/>
      <c r="E217" s="35"/>
      <c r="F217" s="35"/>
      <c r="G217" s="35"/>
      <c r="H217" s="35"/>
      <c r="I217" s="35"/>
      <c r="J217" s="35"/>
      <c r="K217" s="35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  <c r="Z217" s="35"/>
    </row>
    <row r="218" ht="12.75" customHeight="1">
      <c r="A218" s="35"/>
      <c r="B218" s="35"/>
      <c r="C218" s="35"/>
      <c r="D218" s="35"/>
      <c r="E218" s="35"/>
      <c r="F218" s="35"/>
      <c r="G218" s="35"/>
      <c r="H218" s="35"/>
      <c r="I218" s="35"/>
      <c r="J218" s="35"/>
      <c r="K218" s="35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35"/>
      <c r="W218" s="35"/>
      <c r="X218" s="35"/>
      <c r="Y218" s="35"/>
      <c r="Z218" s="35"/>
    </row>
    <row r="219" ht="12.75" customHeight="1">
      <c r="A219" s="35"/>
      <c r="B219" s="35"/>
      <c r="C219" s="35"/>
      <c r="D219" s="35"/>
      <c r="E219" s="35"/>
      <c r="F219" s="35"/>
      <c r="G219" s="35"/>
      <c r="H219" s="35"/>
      <c r="I219" s="35"/>
      <c r="J219" s="35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  <c r="Z219" s="35"/>
    </row>
    <row r="220" ht="12.75" customHeight="1">
      <c r="A220" s="35"/>
      <c r="B220" s="35"/>
      <c r="C220" s="35"/>
      <c r="D220" s="35"/>
      <c r="E220" s="35"/>
      <c r="F220" s="35"/>
      <c r="G220" s="35"/>
      <c r="H220" s="35"/>
      <c r="I220" s="35"/>
      <c r="J220" s="35"/>
      <c r="K220" s="35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  <c r="Z220" s="35"/>
    </row>
    <row r="221" ht="12.75" customHeight="1">
      <c r="A221" s="35"/>
      <c r="B221" s="35"/>
      <c r="C221" s="35"/>
      <c r="D221" s="35"/>
      <c r="E221" s="35"/>
      <c r="F221" s="35"/>
      <c r="G221" s="35"/>
      <c r="H221" s="35"/>
      <c r="I221" s="35"/>
      <c r="J221" s="35"/>
      <c r="K221" s="35"/>
      <c r="L221" s="35"/>
      <c r="M221" s="35"/>
      <c r="N221" s="35"/>
      <c r="O221" s="35"/>
      <c r="P221" s="35"/>
      <c r="Q221" s="35"/>
      <c r="R221" s="35"/>
      <c r="S221" s="35"/>
      <c r="T221" s="35"/>
      <c r="U221" s="35"/>
      <c r="V221" s="35"/>
      <c r="W221" s="35"/>
      <c r="X221" s="35"/>
      <c r="Y221" s="35"/>
      <c r="Z221" s="35"/>
    </row>
    <row r="222" ht="12.75" customHeight="1">
      <c r="A222" s="35"/>
      <c r="B222" s="35"/>
      <c r="C222" s="35"/>
      <c r="D222" s="35"/>
      <c r="E222" s="35"/>
      <c r="F222" s="35"/>
      <c r="G222" s="35"/>
      <c r="H222" s="35"/>
      <c r="I222" s="35"/>
      <c r="J222" s="35"/>
      <c r="K222" s="35"/>
      <c r="L222" s="35"/>
      <c r="M222" s="35"/>
      <c r="N222" s="35"/>
      <c r="O222" s="35"/>
      <c r="P222" s="35"/>
      <c r="Q222" s="35"/>
      <c r="R222" s="35"/>
      <c r="S222" s="35"/>
      <c r="T222" s="35"/>
      <c r="U222" s="35"/>
      <c r="V222" s="35"/>
      <c r="W222" s="35"/>
      <c r="X222" s="35"/>
      <c r="Y222" s="35"/>
      <c r="Z222" s="35"/>
    </row>
    <row r="223" ht="12.75" customHeight="1">
      <c r="A223" s="35"/>
      <c r="B223" s="35"/>
      <c r="C223" s="35"/>
      <c r="D223" s="35"/>
      <c r="E223" s="35"/>
      <c r="F223" s="35"/>
      <c r="G223" s="35"/>
      <c r="H223" s="35"/>
      <c r="I223" s="35"/>
      <c r="J223" s="35"/>
      <c r="K223" s="35"/>
      <c r="L223" s="35"/>
      <c r="M223" s="35"/>
      <c r="N223" s="35"/>
      <c r="O223" s="35"/>
      <c r="P223" s="35"/>
      <c r="Q223" s="35"/>
      <c r="R223" s="35"/>
      <c r="S223" s="35"/>
      <c r="T223" s="35"/>
      <c r="U223" s="35"/>
      <c r="V223" s="35"/>
      <c r="W223" s="35"/>
      <c r="X223" s="35"/>
      <c r="Y223" s="35"/>
      <c r="Z223" s="35"/>
    </row>
    <row r="224" ht="12.75" customHeight="1">
      <c r="A224" s="35"/>
      <c r="B224" s="35"/>
      <c r="C224" s="35"/>
      <c r="D224" s="35"/>
      <c r="E224" s="35"/>
      <c r="F224" s="35"/>
      <c r="G224" s="35"/>
      <c r="H224" s="35"/>
      <c r="I224" s="35"/>
      <c r="J224" s="35"/>
      <c r="K224" s="35"/>
      <c r="L224" s="35"/>
      <c r="M224" s="35"/>
      <c r="N224" s="35"/>
      <c r="O224" s="35"/>
      <c r="P224" s="35"/>
      <c r="Q224" s="35"/>
      <c r="R224" s="35"/>
      <c r="S224" s="35"/>
      <c r="T224" s="35"/>
      <c r="U224" s="35"/>
      <c r="V224" s="35"/>
      <c r="W224" s="35"/>
      <c r="X224" s="35"/>
      <c r="Y224" s="35"/>
      <c r="Z224" s="35"/>
    </row>
    <row r="225" ht="12.75" customHeight="1">
      <c r="A225" s="35"/>
      <c r="B225" s="35"/>
      <c r="C225" s="35"/>
      <c r="D225" s="35"/>
      <c r="E225" s="35"/>
      <c r="F225" s="35"/>
      <c r="G225" s="35"/>
      <c r="H225" s="35"/>
      <c r="I225" s="35"/>
      <c r="J225" s="35"/>
      <c r="K225" s="35"/>
      <c r="L225" s="35"/>
      <c r="M225" s="35"/>
      <c r="N225" s="35"/>
      <c r="O225" s="35"/>
      <c r="P225" s="35"/>
      <c r="Q225" s="35"/>
      <c r="R225" s="35"/>
      <c r="S225" s="35"/>
      <c r="T225" s="35"/>
      <c r="U225" s="35"/>
      <c r="V225" s="35"/>
      <c r="W225" s="35"/>
      <c r="X225" s="35"/>
      <c r="Y225" s="35"/>
      <c r="Z225" s="35"/>
    </row>
    <row r="226" ht="12.75" customHeight="1">
      <c r="A226" s="35"/>
      <c r="B226" s="35"/>
      <c r="C226" s="35"/>
      <c r="D226" s="35"/>
      <c r="E226" s="35"/>
      <c r="F226" s="35"/>
      <c r="G226" s="35"/>
      <c r="H226" s="35"/>
      <c r="I226" s="35"/>
      <c r="J226" s="35"/>
      <c r="K226" s="35"/>
      <c r="L226" s="35"/>
      <c r="M226" s="35"/>
      <c r="N226" s="35"/>
      <c r="O226" s="35"/>
      <c r="P226" s="35"/>
      <c r="Q226" s="35"/>
      <c r="R226" s="35"/>
      <c r="S226" s="35"/>
      <c r="T226" s="35"/>
      <c r="U226" s="35"/>
      <c r="V226" s="35"/>
      <c r="W226" s="35"/>
      <c r="X226" s="35"/>
      <c r="Y226" s="35"/>
      <c r="Z226" s="35"/>
    </row>
    <row r="227" ht="12.75" customHeight="1">
      <c r="A227" s="35"/>
      <c r="B227" s="35"/>
      <c r="C227" s="35"/>
      <c r="D227" s="35"/>
      <c r="E227" s="35"/>
      <c r="F227" s="35"/>
      <c r="G227" s="35"/>
      <c r="H227" s="35"/>
      <c r="I227" s="35"/>
      <c r="J227" s="35"/>
      <c r="K227" s="35"/>
      <c r="L227" s="35"/>
      <c r="M227" s="35"/>
      <c r="N227" s="35"/>
      <c r="O227" s="35"/>
      <c r="P227" s="35"/>
      <c r="Q227" s="35"/>
      <c r="R227" s="35"/>
      <c r="S227" s="35"/>
      <c r="T227" s="35"/>
      <c r="U227" s="35"/>
      <c r="V227" s="35"/>
      <c r="W227" s="35"/>
      <c r="X227" s="35"/>
      <c r="Y227" s="35"/>
      <c r="Z227" s="35"/>
    </row>
    <row r="228" ht="12.75" customHeight="1">
      <c r="A228" s="35"/>
      <c r="B228" s="35"/>
      <c r="C228" s="35"/>
      <c r="D228" s="35"/>
      <c r="E228" s="35"/>
      <c r="F228" s="35"/>
      <c r="G228" s="35"/>
      <c r="H228" s="35"/>
      <c r="I228" s="35"/>
      <c r="J228" s="35"/>
      <c r="K228" s="35"/>
      <c r="L228" s="35"/>
      <c r="M228" s="35"/>
      <c r="N228" s="35"/>
      <c r="O228" s="35"/>
      <c r="P228" s="35"/>
      <c r="Q228" s="35"/>
      <c r="R228" s="35"/>
      <c r="S228" s="35"/>
      <c r="T228" s="35"/>
      <c r="U228" s="35"/>
      <c r="V228" s="35"/>
      <c r="W228" s="35"/>
      <c r="X228" s="35"/>
      <c r="Y228" s="35"/>
      <c r="Z228" s="35"/>
    </row>
    <row r="229" ht="12.75" customHeight="1">
      <c r="A229" s="35"/>
      <c r="B229" s="35"/>
      <c r="C229" s="35"/>
      <c r="D229" s="35"/>
      <c r="E229" s="35"/>
      <c r="F229" s="35"/>
      <c r="G229" s="35"/>
      <c r="H229" s="35"/>
      <c r="I229" s="35"/>
      <c r="J229" s="35"/>
      <c r="K229" s="35"/>
      <c r="L229" s="35"/>
      <c r="M229" s="35"/>
      <c r="N229" s="35"/>
      <c r="O229" s="35"/>
      <c r="P229" s="35"/>
      <c r="Q229" s="35"/>
      <c r="R229" s="35"/>
      <c r="S229" s="35"/>
      <c r="T229" s="35"/>
      <c r="U229" s="35"/>
      <c r="V229" s="35"/>
      <c r="W229" s="35"/>
      <c r="X229" s="35"/>
      <c r="Y229" s="35"/>
      <c r="Z229" s="35"/>
    </row>
    <row r="230" ht="12.75" customHeight="1">
      <c r="A230" s="35"/>
      <c r="B230" s="35"/>
      <c r="C230" s="35"/>
      <c r="D230" s="35"/>
      <c r="E230" s="35"/>
      <c r="F230" s="35"/>
      <c r="G230" s="35"/>
      <c r="H230" s="35"/>
      <c r="I230" s="35"/>
      <c r="J230" s="35"/>
      <c r="K230" s="35"/>
      <c r="L230" s="35"/>
      <c r="M230" s="35"/>
      <c r="N230" s="35"/>
      <c r="O230" s="35"/>
      <c r="P230" s="35"/>
      <c r="Q230" s="35"/>
      <c r="R230" s="35"/>
      <c r="S230" s="35"/>
      <c r="T230" s="35"/>
      <c r="U230" s="35"/>
      <c r="V230" s="35"/>
      <c r="W230" s="35"/>
      <c r="X230" s="35"/>
      <c r="Y230" s="35"/>
      <c r="Z230" s="35"/>
    </row>
    <row r="231" ht="12.75" customHeight="1">
      <c r="A231" s="35"/>
      <c r="B231" s="35"/>
      <c r="C231" s="35"/>
      <c r="D231" s="35"/>
      <c r="E231" s="35"/>
      <c r="F231" s="35"/>
      <c r="G231" s="35"/>
      <c r="H231" s="35"/>
      <c r="I231" s="35"/>
      <c r="J231" s="35"/>
      <c r="K231" s="35"/>
      <c r="L231" s="35"/>
      <c r="M231" s="35"/>
      <c r="N231" s="35"/>
      <c r="O231" s="35"/>
      <c r="P231" s="35"/>
      <c r="Q231" s="35"/>
      <c r="R231" s="35"/>
      <c r="S231" s="35"/>
      <c r="T231" s="35"/>
      <c r="U231" s="35"/>
      <c r="V231" s="35"/>
      <c r="W231" s="35"/>
      <c r="X231" s="35"/>
      <c r="Y231" s="35"/>
      <c r="Z231" s="35"/>
    </row>
    <row r="232" ht="12.75" customHeight="1">
      <c r="A232" s="35"/>
      <c r="B232" s="35"/>
      <c r="C232" s="35"/>
      <c r="D232" s="35"/>
      <c r="E232" s="35"/>
      <c r="F232" s="35"/>
      <c r="G232" s="35"/>
      <c r="H232" s="35"/>
      <c r="I232" s="35"/>
      <c r="J232" s="35"/>
      <c r="K232" s="35"/>
      <c r="L232" s="35"/>
      <c r="M232" s="35"/>
      <c r="N232" s="35"/>
      <c r="O232" s="35"/>
      <c r="P232" s="35"/>
      <c r="Q232" s="35"/>
      <c r="R232" s="35"/>
      <c r="S232" s="35"/>
      <c r="T232" s="35"/>
      <c r="U232" s="35"/>
      <c r="V232" s="35"/>
      <c r="W232" s="35"/>
      <c r="X232" s="35"/>
      <c r="Y232" s="35"/>
      <c r="Z232" s="35"/>
    </row>
    <row r="233" ht="12.75" customHeight="1">
      <c r="A233" s="35"/>
      <c r="B233" s="35"/>
      <c r="C233" s="35"/>
      <c r="D233" s="35"/>
      <c r="E233" s="35"/>
      <c r="F233" s="35"/>
      <c r="G233" s="35"/>
      <c r="H233" s="35"/>
      <c r="I233" s="35"/>
      <c r="J233" s="35"/>
      <c r="K233" s="35"/>
      <c r="L233" s="35"/>
      <c r="M233" s="35"/>
      <c r="N233" s="35"/>
      <c r="O233" s="35"/>
      <c r="P233" s="35"/>
      <c r="Q233" s="35"/>
      <c r="R233" s="35"/>
      <c r="S233" s="35"/>
      <c r="T233" s="35"/>
      <c r="U233" s="35"/>
      <c r="V233" s="35"/>
      <c r="W233" s="35"/>
      <c r="X233" s="35"/>
      <c r="Y233" s="35"/>
      <c r="Z233" s="35"/>
    </row>
    <row r="234" ht="12.75" customHeight="1">
      <c r="A234" s="35"/>
      <c r="B234" s="35"/>
      <c r="C234" s="35"/>
      <c r="D234" s="35"/>
      <c r="E234" s="35"/>
      <c r="F234" s="35"/>
      <c r="G234" s="35"/>
      <c r="H234" s="35"/>
      <c r="I234" s="35"/>
      <c r="J234" s="35"/>
      <c r="K234" s="35"/>
      <c r="L234" s="35"/>
      <c r="M234" s="35"/>
      <c r="N234" s="35"/>
      <c r="O234" s="35"/>
      <c r="P234" s="35"/>
      <c r="Q234" s="35"/>
      <c r="R234" s="35"/>
      <c r="S234" s="35"/>
      <c r="T234" s="35"/>
      <c r="U234" s="35"/>
      <c r="V234" s="35"/>
      <c r="W234" s="35"/>
      <c r="X234" s="35"/>
      <c r="Y234" s="35"/>
      <c r="Z234" s="35"/>
    </row>
    <row r="235" ht="12.75" customHeight="1">
      <c r="A235" s="35"/>
      <c r="B235" s="35"/>
      <c r="C235" s="35"/>
      <c r="D235" s="35"/>
      <c r="E235" s="35"/>
      <c r="F235" s="35"/>
      <c r="G235" s="35"/>
      <c r="H235" s="35"/>
      <c r="I235" s="35"/>
      <c r="J235" s="35"/>
      <c r="K235" s="35"/>
      <c r="L235" s="35"/>
      <c r="M235" s="35"/>
      <c r="N235" s="35"/>
      <c r="O235" s="35"/>
      <c r="P235" s="35"/>
      <c r="Q235" s="35"/>
      <c r="R235" s="35"/>
      <c r="S235" s="35"/>
      <c r="T235" s="35"/>
      <c r="U235" s="35"/>
      <c r="V235" s="35"/>
      <c r="W235" s="35"/>
      <c r="X235" s="35"/>
      <c r="Y235" s="35"/>
      <c r="Z235" s="35"/>
    </row>
    <row r="236" ht="12.75" customHeight="1">
      <c r="A236" s="35"/>
      <c r="B236" s="35"/>
      <c r="C236" s="35"/>
      <c r="D236" s="35"/>
      <c r="E236" s="35"/>
      <c r="F236" s="35"/>
      <c r="G236" s="35"/>
      <c r="H236" s="35"/>
      <c r="I236" s="35"/>
      <c r="J236" s="35"/>
      <c r="K236" s="35"/>
      <c r="L236" s="35"/>
      <c r="M236" s="35"/>
      <c r="N236" s="35"/>
      <c r="O236" s="35"/>
      <c r="P236" s="35"/>
      <c r="Q236" s="35"/>
      <c r="R236" s="35"/>
      <c r="S236" s="35"/>
      <c r="T236" s="35"/>
      <c r="U236" s="35"/>
      <c r="V236" s="35"/>
      <c r="W236" s="35"/>
      <c r="X236" s="35"/>
      <c r="Y236" s="35"/>
      <c r="Z236" s="35"/>
    </row>
    <row r="237" ht="12.75" customHeight="1">
      <c r="A237" s="35"/>
      <c r="B237" s="35"/>
      <c r="C237" s="35"/>
      <c r="D237" s="35"/>
      <c r="E237" s="35"/>
      <c r="F237" s="35"/>
      <c r="G237" s="35"/>
      <c r="H237" s="35"/>
      <c r="I237" s="35"/>
      <c r="J237" s="35"/>
      <c r="K237" s="35"/>
      <c r="L237" s="35"/>
      <c r="M237" s="35"/>
      <c r="N237" s="35"/>
      <c r="O237" s="35"/>
      <c r="P237" s="35"/>
      <c r="Q237" s="35"/>
      <c r="R237" s="35"/>
      <c r="S237" s="35"/>
      <c r="T237" s="35"/>
      <c r="U237" s="35"/>
      <c r="V237" s="35"/>
      <c r="W237" s="35"/>
      <c r="X237" s="35"/>
      <c r="Y237" s="35"/>
      <c r="Z237" s="35"/>
    </row>
    <row r="238" ht="12.75" customHeight="1">
      <c r="A238" s="35"/>
      <c r="B238" s="35"/>
      <c r="C238" s="35"/>
      <c r="D238" s="35"/>
      <c r="E238" s="35"/>
      <c r="F238" s="35"/>
      <c r="G238" s="35"/>
      <c r="H238" s="35"/>
      <c r="I238" s="35"/>
      <c r="J238" s="35"/>
      <c r="K238" s="35"/>
      <c r="L238" s="35"/>
      <c r="M238" s="35"/>
      <c r="N238" s="35"/>
      <c r="O238" s="35"/>
      <c r="P238" s="35"/>
      <c r="Q238" s="35"/>
      <c r="R238" s="35"/>
      <c r="S238" s="35"/>
      <c r="T238" s="35"/>
      <c r="U238" s="35"/>
      <c r="V238" s="35"/>
      <c r="W238" s="35"/>
      <c r="X238" s="35"/>
      <c r="Y238" s="35"/>
      <c r="Z238" s="35"/>
    </row>
    <row r="239" ht="12.75" customHeight="1">
      <c r="A239" s="35"/>
      <c r="B239" s="35"/>
      <c r="C239" s="35"/>
      <c r="D239" s="35"/>
      <c r="E239" s="35"/>
      <c r="F239" s="35"/>
      <c r="G239" s="35"/>
      <c r="H239" s="35"/>
      <c r="I239" s="35"/>
      <c r="J239" s="35"/>
      <c r="K239" s="35"/>
      <c r="L239" s="35"/>
      <c r="M239" s="35"/>
      <c r="N239" s="35"/>
      <c r="O239" s="35"/>
      <c r="P239" s="35"/>
      <c r="Q239" s="35"/>
      <c r="R239" s="35"/>
      <c r="S239" s="35"/>
      <c r="T239" s="35"/>
      <c r="U239" s="35"/>
      <c r="V239" s="35"/>
      <c r="W239" s="35"/>
      <c r="X239" s="35"/>
      <c r="Y239" s="35"/>
      <c r="Z239" s="35"/>
    </row>
    <row r="240" ht="12.75" customHeight="1">
      <c r="A240" s="35"/>
      <c r="B240" s="35"/>
      <c r="C240" s="35"/>
      <c r="D240" s="35"/>
      <c r="E240" s="35"/>
      <c r="F240" s="35"/>
      <c r="G240" s="35"/>
      <c r="H240" s="35"/>
      <c r="I240" s="35"/>
      <c r="J240" s="35"/>
      <c r="K240" s="35"/>
      <c r="L240" s="35"/>
      <c r="M240" s="35"/>
      <c r="N240" s="35"/>
      <c r="O240" s="35"/>
      <c r="P240" s="35"/>
      <c r="Q240" s="35"/>
      <c r="R240" s="35"/>
      <c r="S240" s="35"/>
      <c r="T240" s="35"/>
      <c r="U240" s="35"/>
      <c r="V240" s="35"/>
      <c r="W240" s="35"/>
      <c r="X240" s="35"/>
      <c r="Y240" s="35"/>
      <c r="Z240" s="35"/>
    </row>
    <row r="241" ht="12.75" customHeight="1">
      <c r="A241" s="35"/>
      <c r="B241" s="35"/>
      <c r="C241" s="35"/>
      <c r="D241" s="35"/>
      <c r="E241" s="35"/>
      <c r="F241" s="35"/>
      <c r="G241" s="35"/>
      <c r="H241" s="35"/>
      <c r="I241" s="35"/>
      <c r="J241" s="35"/>
      <c r="K241" s="35"/>
      <c r="L241" s="35"/>
      <c r="M241" s="35"/>
      <c r="N241" s="35"/>
      <c r="O241" s="35"/>
      <c r="P241" s="35"/>
      <c r="Q241" s="35"/>
      <c r="R241" s="35"/>
      <c r="S241" s="35"/>
      <c r="T241" s="35"/>
      <c r="U241" s="35"/>
      <c r="V241" s="35"/>
      <c r="W241" s="35"/>
      <c r="X241" s="35"/>
      <c r="Y241" s="35"/>
      <c r="Z241" s="35"/>
    </row>
    <row r="242" ht="12.75" customHeight="1">
      <c r="A242" s="35"/>
      <c r="B242" s="35"/>
      <c r="C242" s="35"/>
      <c r="D242" s="35"/>
      <c r="E242" s="35"/>
      <c r="F242" s="35"/>
      <c r="G242" s="35"/>
      <c r="H242" s="35"/>
      <c r="I242" s="35"/>
      <c r="J242" s="35"/>
      <c r="K242" s="35"/>
      <c r="L242" s="35"/>
      <c r="M242" s="35"/>
      <c r="N242" s="35"/>
      <c r="O242" s="35"/>
      <c r="P242" s="35"/>
      <c r="Q242" s="35"/>
      <c r="R242" s="35"/>
      <c r="S242" s="35"/>
      <c r="T242" s="35"/>
      <c r="U242" s="35"/>
      <c r="V242" s="35"/>
      <c r="W242" s="35"/>
      <c r="X242" s="35"/>
      <c r="Y242" s="35"/>
      <c r="Z242" s="35"/>
    </row>
    <row r="243" ht="12.75" customHeight="1">
      <c r="A243" s="35"/>
      <c r="B243" s="35"/>
      <c r="C243" s="35"/>
      <c r="D243" s="35"/>
      <c r="E243" s="35"/>
      <c r="F243" s="35"/>
      <c r="G243" s="35"/>
      <c r="H243" s="35"/>
      <c r="I243" s="35"/>
      <c r="J243" s="35"/>
      <c r="K243" s="35"/>
      <c r="L243" s="35"/>
      <c r="M243" s="35"/>
      <c r="N243" s="35"/>
      <c r="O243" s="35"/>
      <c r="P243" s="35"/>
      <c r="Q243" s="35"/>
      <c r="R243" s="35"/>
      <c r="S243" s="35"/>
      <c r="T243" s="35"/>
      <c r="U243" s="35"/>
      <c r="V243" s="35"/>
      <c r="W243" s="35"/>
      <c r="X243" s="35"/>
      <c r="Y243" s="35"/>
      <c r="Z243" s="35"/>
    </row>
    <row r="244" ht="12.75" customHeight="1">
      <c r="A244" s="35"/>
      <c r="B244" s="35"/>
      <c r="C244" s="35"/>
      <c r="D244" s="35"/>
      <c r="E244" s="35"/>
      <c r="F244" s="35"/>
      <c r="G244" s="35"/>
      <c r="H244" s="35"/>
      <c r="I244" s="35"/>
      <c r="J244" s="35"/>
      <c r="K244" s="35"/>
      <c r="L244" s="35"/>
      <c r="M244" s="35"/>
      <c r="N244" s="35"/>
      <c r="O244" s="35"/>
      <c r="P244" s="35"/>
      <c r="Q244" s="35"/>
      <c r="R244" s="35"/>
      <c r="S244" s="35"/>
      <c r="T244" s="35"/>
      <c r="U244" s="35"/>
      <c r="V244" s="35"/>
      <c r="W244" s="35"/>
      <c r="X244" s="35"/>
      <c r="Y244" s="35"/>
      <c r="Z244" s="35"/>
    </row>
    <row r="245" ht="12.75" customHeight="1">
      <c r="A245" s="35"/>
      <c r="B245" s="35"/>
      <c r="C245" s="35"/>
      <c r="D245" s="35"/>
      <c r="E245" s="35"/>
      <c r="F245" s="35"/>
      <c r="G245" s="35"/>
      <c r="H245" s="35"/>
      <c r="I245" s="35"/>
      <c r="J245" s="35"/>
      <c r="K245" s="35"/>
      <c r="L245" s="35"/>
      <c r="M245" s="35"/>
      <c r="N245" s="35"/>
      <c r="O245" s="35"/>
      <c r="P245" s="35"/>
      <c r="Q245" s="35"/>
      <c r="R245" s="35"/>
      <c r="S245" s="35"/>
      <c r="T245" s="35"/>
      <c r="U245" s="35"/>
      <c r="V245" s="35"/>
      <c r="W245" s="35"/>
      <c r="X245" s="35"/>
      <c r="Y245" s="35"/>
      <c r="Z245" s="35"/>
    </row>
    <row r="246" ht="12.75" customHeight="1">
      <c r="A246" s="35"/>
      <c r="B246" s="35"/>
      <c r="C246" s="35"/>
      <c r="D246" s="35"/>
      <c r="E246" s="35"/>
      <c r="F246" s="35"/>
      <c r="G246" s="35"/>
      <c r="H246" s="35"/>
      <c r="I246" s="35"/>
      <c r="J246" s="35"/>
      <c r="K246" s="35"/>
      <c r="L246" s="35"/>
      <c r="M246" s="35"/>
      <c r="N246" s="35"/>
      <c r="O246" s="35"/>
      <c r="P246" s="35"/>
      <c r="Q246" s="35"/>
      <c r="R246" s="35"/>
      <c r="S246" s="35"/>
      <c r="T246" s="35"/>
      <c r="U246" s="35"/>
      <c r="V246" s="35"/>
      <c r="W246" s="35"/>
      <c r="X246" s="35"/>
      <c r="Y246" s="35"/>
      <c r="Z246" s="35"/>
    </row>
    <row r="247" ht="12.75" customHeight="1">
      <c r="A247" s="35"/>
      <c r="B247" s="35"/>
      <c r="C247" s="35"/>
      <c r="D247" s="35"/>
      <c r="E247" s="35"/>
      <c r="F247" s="35"/>
      <c r="G247" s="35"/>
      <c r="H247" s="35"/>
      <c r="I247" s="35"/>
      <c r="J247" s="35"/>
      <c r="K247" s="35"/>
      <c r="L247" s="35"/>
      <c r="M247" s="35"/>
      <c r="N247" s="35"/>
      <c r="O247" s="35"/>
      <c r="P247" s="35"/>
      <c r="Q247" s="35"/>
      <c r="R247" s="35"/>
      <c r="S247" s="35"/>
      <c r="T247" s="35"/>
      <c r="U247" s="35"/>
      <c r="V247" s="35"/>
      <c r="W247" s="35"/>
      <c r="X247" s="35"/>
      <c r="Y247" s="35"/>
      <c r="Z247" s="35"/>
    </row>
    <row r="248" ht="12.75" customHeight="1">
      <c r="A248" s="35"/>
      <c r="B248" s="35"/>
      <c r="C248" s="35"/>
      <c r="D248" s="35"/>
      <c r="E248" s="35"/>
      <c r="F248" s="35"/>
      <c r="G248" s="35"/>
      <c r="H248" s="35"/>
      <c r="I248" s="35"/>
      <c r="J248" s="35"/>
      <c r="K248" s="35"/>
      <c r="L248" s="35"/>
      <c r="M248" s="35"/>
      <c r="N248" s="35"/>
      <c r="O248" s="35"/>
      <c r="P248" s="35"/>
      <c r="Q248" s="35"/>
      <c r="R248" s="35"/>
      <c r="S248" s="35"/>
      <c r="T248" s="35"/>
      <c r="U248" s="35"/>
      <c r="V248" s="35"/>
      <c r="W248" s="35"/>
      <c r="X248" s="35"/>
      <c r="Y248" s="35"/>
      <c r="Z248" s="35"/>
    </row>
    <row r="249" ht="12.75" customHeight="1">
      <c r="A249" s="35"/>
      <c r="B249" s="35"/>
      <c r="C249" s="35"/>
      <c r="D249" s="35"/>
      <c r="E249" s="35"/>
      <c r="F249" s="35"/>
      <c r="G249" s="35"/>
      <c r="H249" s="35"/>
      <c r="I249" s="35"/>
      <c r="J249" s="35"/>
      <c r="K249" s="35"/>
      <c r="L249" s="35"/>
      <c r="M249" s="35"/>
      <c r="N249" s="35"/>
      <c r="O249" s="35"/>
      <c r="P249" s="35"/>
      <c r="Q249" s="35"/>
      <c r="R249" s="35"/>
      <c r="S249" s="35"/>
      <c r="T249" s="35"/>
      <c r="U249" s="35"/>
      <c r="V249" s="35"/>
      <c r="W249" s="35"/>
      <c r="X249" s="35"/>
      <c r="Y249" s="35"/>
      <c r="Z249" s="35"/>
    </row>
    <row r="250" ht="12.75" customHeight="1">
      <c r="A250" s="35"/>
      <c r="B250" s="35"/>
      <c r="C250" s="35"/>
      <c r="D250" s="35"/>
      <c r="E250" s="35"/>
      <c r="F250" s="35"/>
      <c r="G250" s="35"/>
      <c r="H250" s="35"/>
      <c r="I250" s="35"/>
      <c r="J250" s="35"/>
      <c r="K250" s="35"/>
      <c r="L250" s="35"/>
      <c r="M250" s="35"/>
      <c r="N250" s="35"/>
      <c r="O250" s="35"/>
      <c r="P250" s="35"/>
      <c r="Q250" s="35"/>
      <c r="R250" s="35"/>
      <c r="S250" s="35"/>
      <c r="T250" s="35"/>
      <c r="U250" s="35"/>
      <c r="V250" s="35"/>
      <c r="W250" s="35"/>
      <c r="X250" s="35"/>
      <c r="Y250" s="35"/>
      <c r="Z250" s="35"/>
    </row>
    <row r="251" ht="12.75" customHeight="1">
      <c r="A251" s="35"/>
      <c r="B251" s="35"/>
      <c r="C251" s="35"/>
      <c r="D251" s="35"/>
      <c r="E251" s="35"/>
      <c r="F251" s="35"/>
      <c r="G251" s="35"/>
      <c r="H251" s="35"/>
      <c r="I251" s="35"/>
      <c r="J251" s="35"/>
      <c r="K251" s="35"/>
      <c r="L251" s="35"/>
      <c r="M251" s="35"/>
      <c r="N251" s="35"/>
      <c r="O251" s="35"/>
      <c r="P251" s="35"/>
      <c r="Q251" s="35"/>
      <c r="R251" s="35"/>
      <c r="S251" s="35"/>
      <c r="T251" s="35"/>
      <c r="U251" s="35"/>
      <c r="V251" s="35"/>
      <c r="W251" s="35"/>
      <c r="X251" s="35"/>
      <c r="Y251" s="35"/>
      <c r="Z251" s="35"/>
    </row>
    <row r="252" ht="12.75" customHeight="1">
      <c r="A252" s="35"/>
      <c r="B252" s="35"/>
      <c r="C252" s="35"/>
      <c r="D252" s="35"/>
      <c r="E252" s="35"/>
      <c r="F252" s="35"/>
      <c r="G252" s="35"/>
      <c r="H252" s="35"/>
      <c r="I252" s="35"/>
      <c r="J252" s="35"/>
      <c r="K252" s="35"/>
      <c r="L252" s="35"/>
      <c r="M252" s="35"/>
      <c r="N252" s="35"/>
      <c r="O252" s="35"/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5"/>
    </row>
    <row r="253" ht="12.75" customHeight="1">
      <c r="A253" s="35"/>
      <c r="B253" s="35"/>
      <c r="C253" s="35"/>
      <c r="D253" s="35"/>
      <c r="E253" s="35"/>
      <c r="F253" s="35"/>
      <c r="G253" s="35"/>
      <c r="H253" s="35"/>
      <c r="I253" s="35"/>
      <c r="J253" s="35"/>
      <c r="K253" s="35"/>
      <c r="L253" s="35"/>
      <c r="M253" s="35"/>
      <c r="N253" s="35"/>
      <c r="O253" s="35"/>
      <c r="P253" s="35"/>
      <c r="Q253" s="35"/>
      <c r="R253" s="35"/>
      <c r="S253" s="35"/>
      <c r="T253" s="35"/>
      <c r="U253" s="35"/>
      <c r="V253" s="35"/>
      <c r="W253" s="35"/>
      <c r="X253" s="35"/>
      <c r="Y253" s="35"/>
      <c r="Z253" s="35"/>
    </row>
    <row r="254" ht="12.75" customHeight="1">
      <c r="A254" s="35"/>
      <c r="B254" s="35"/>
      <c r="C254" s="35"/>
      <c r="D254" s="35"/>
      <c r="E254" s="35"/>
      <c r="F254" s="35"/>
      <c r="G254" s="35"/>
      <c r="H254" s="35"/>
      <c r="I254" s="35"/>
      <c r="J254" s="35"/>
      <c r="K254" s="35"/>
      <c r="L254" s="35"/>
      <c r="M254" s="35"/>
      <c r="N254" s="35"/>
      <c r="O254" s="35"/>
      <c r="P254" s="35"/>
      <c r="Q254" s="35"/>
      <c r="R254" s="35"/>
      <c r="S254" s="35"/>
      <c r="T254" s="35"/>
      <c r="U254" s="35"/>
      <c r="V254" s="35"/>
      <c r="W254" s="35"/>
      <c r="X254" s="35"/>
      <c r="Y254" s="35"/>
      <c r="Z254" s="35"/>
    </row>
    <row r="255" ht="12.75" customHeight="1">
      <c r="A255" s="35"/>
      <c r="B255" s="35"/>
      <c r="C255" s="35"/>
      <c r="D255" s="35"/>
      <c r="E255" s="35"/>
      <c r="F255" s="35"/>
      <c r="G255" s="35"/>
      <c r="H255" s="35"/>
      <c r="I255" s="35"/>
      <c r="J255" s="35"/>
      <c r="K255" s="35"/>
      <c r="L255" s="35"/>
      <c r="M255" s="35"/>
      <c r="N255" s="35"/>
      <c r="O255" s="35"/>
      <c r="P255" s="35"/>
      <c r="Q255" s="35"/>
      <c r="R255" s="35"/>
      <c r="S255" s="35"/>
      <c r="T255" s="35"/>
      <c r="U255" s="35"/>
      <c r="V255" s="35"/>
      <c r="W255" s="35"/>
      <c r="X255" s="35"/>
      <c r="Y255" s="35"/>
      <c r="Z255" s="35"/>
    </row>
    <row r="256" ht="12.75" customHeight="1">
      <c r="A256" s="35"/>
      <c r="B256" s="35"/>
      <c r="C256" s="35"/>
      <c r="D256" s="35"/>
      <c r="E256" s="35"/>
      <c r="F256" s="35"/>
      <c r="G256" s="35"/>
      <c r="H256" s="35"/>
      <c r="I256" s="35"/>
      <c r="J256" s="35"/>
      <c r="K256" s="35"/>
      <c r="L256" s="35"/>
      <c r="M256" s="35"/>
      <c r="N256" s="35"/>
      <c r="O256" s="35"/>
      <c r="P256" s="35"/>
      <c r="Q256" s="35"/>
      <c r="R256" s="35"/>
      <c r="S256" s="35"/>
      <c r="T256" s="35"/>
      <c r="U256" s="35"/>
      <c r="V256" s="35"/>
      <c r="W256" s="35"/>
      <c r="X256" s="35"/>
      <c r="Y256" s="35"/>
      <c r="Z256" s="35"/>
    </row>
    <row r="257" ht="12.75" customHeight="1">
      <c r="A257" s="35"/>
      <c r="B257" s="35"/>
      <c r="C257" s="35"/>
      <c r="D257" s="35"/>
      <c r="E257" s="35"/>
      <c r="F257" s="35"/>
      <c r="G257" s="35"/>
      <c r="H257" s="35"/>
      <c r="I257" s="35"/>
      <c r="J257" s="35"/>
      <c r="K257" s="35"/>
      <c r="L257" s="35"/>
      <c r="M257" s="35"/>
      <c r="N257" s="35"/>
      <c r="O257" s="35"/>
      <c r="P257" s="35"/>
      <c r="Q257" s="35"/>
      <c r="R257" s="35"/>
      <c r="S257" s="35"/>
      <c r="T257" s="35"/>
      <c r="U257" s="35"/>
      <c r="V257" s="35"/>
      <c r="W257" s="35"/>
      <c r="X257" s="35"/>
      <c r="Y257" s="35"/>
      <c r="Z257" s="35"/>
    </row>
    <row r="258" ht="12.75" customHeight="1">
      <c r="A258" s="35"/>
      <c r="B258" s="35"/>
      <c r="C258" s="35"/>
      <c r="D258" s="35"/>
      <c r="E258" s="35"/>
      <c r="F258" s="35"/>
      <c r="G258" s="35"/>
      <c r="H258" s="35"/>
      <c r="I258" s="35"/>
      <c r="J258" s="35"/>
      <c r="K258" s="35"/>
      <c r="L258" s="35"/>
      <c r="M258" s="35"/>
      <c r="N258" s="35"/>
      <c r="O258" s="35"/>
      <c r="P258" s="35"/>
      <c r="Q258" s="35"/>
      <c r="R258" s="35"/>
      <c r="S258" s="35"/>
      <c r="T258" s="35"/>
      <c r="U258" s="35"/>
      <c r="V258" s="35"/>
      <c r="W258" s="35"/>
      <c r="X258" s="35"/>
      <c r="Y258" s="35"/>
      <c r="Z258" s="35"/>
    </row>
    <row r="259" ht="12.75" customHeight="1">
      <c r="A259" s="35"/>
      <c r="B259" s="35"/>
      <c r="C259" s="35"/>
      <c r="D259" s="35"/>
      <c r="E259" s="35"/>
      <c r="F259" s="35"/>
      <c r="G259" s="35"/>
      <c r="H259" s="35"/>
      <c r="I259" s="35"/>
      <c r="J259" s="35"/>
      <c r="K259" s="35"/>
      <c r="L259" s="35"/>
      <c r="M259" s="35"/>
      <c r="N259" s="35"/>
      <c r="O259" s="35"/>
      <c r="P259" s="35"/>
      <c r="Q259" s="35"/>
      <c r="R259" s="35"/>
      <c r="S259" s="35"/>
      <c r="T259" s="35"/>
      <c r="U259" s="35"/>
      <c r="V259" s="35"/>
      <c r="W259" s="35"/>
      <c r="X259" s="35"/>
      <c r="Y259" s="35"/>
      <c r="Z259" s="35"/>
    </row>
    <row r="260" ht="12.75" customHeight="1">
      <c r="A260" s="35"/>
      <c r="B260" s="35"/>
      <c r="C260" s="35"/>
      <c r="D260" s="35"/>
      <c r="E260" s="35"/>
      <c r="F260" s="35"/>
      <c r="G260" s="35"/>
      <c r="H260" s="35"/>
      <c r="I260" s="35"/>
      <c r="J260" s="35"/>
      <c r="K260" s="35"/>
      <c r="L260" s="35"/>
      <c r="M260" s="35"/>
      <c r="N260" s="35"/>
      <c r="O260" s="35"/>
      <c r="P260" s="35"/>
      <c r="Q260" s="35"/>
      <c r="R260" s="35"/>
      <c r="S260" s="35"/>
      <c r="T260" s="35"/>
      <c r="U260" s="35"/>
      <c r="V260" s="35"/>
      <c r="W260" s="35"/>
      <c r="X260" s="35"/>
      <c r="Y260" s="35"/>
      <c r="Z260" s="35"/>
    </row>
    <row r="261" ht="12.75" customHeight="1">
      <c r="A261" s="35"/>
      <c r="B261" s="35"/>
      <c r="C261" s="35"/>
      <c r="D261" s="35"/>
      <c r="E261" s="35"/>
      <c r="F261" s="35"/>
      <c r="G261" s="35"/>
      <c r="H261" s="35"/>
      <c r="I261" s="35"/>
      <c r="J261" s="35"/>
      <c r="K261" s="35"/>
      <c r="L261" s="35"/>
      <c r="M261" s="35"/>
      <c r="N261" s="35"/>
      <c r="O261" s="35"/>
      <c r="P261" s="35"/>
      <c r="Q261" s="35"/>
      <c r="R261" s="35"/>
      <c r="S261" s="35"/>
      <c r="T261" s="35"/>
      <c r="U261" s="35"/>
      <c r="V261" s="35"/>
      <c r="W261" s="35"/>
      <c r="X261" s="35"/>
      <c r="Y261" s="35"/>
      <c r="Z261" s="35"/>
    </row>
    <row r="262" ht="12.75" customHeight="1">
      <c r="A262" s="35"/>
      <c r="B262" s="35"/>
      <c r="C262" s="35"/>
      <c r="D262" s="35"/>
      <c r="E262" s="35"/>
      <c r="F262" s="35"/>
      <c r="G262" s="35"/>
      <c r="H262" s="35"/>
      <c r="I262" s="35"/>
      <c r="J262" s="35"/>
      <c r="K262" s="35"/>
      <c r="L262" s="35"/>
      <c r="M262" s="35"/>
      <c r="N262" s="35"/>
      <c r="O262" s="35"/>
      <c r="P262" s="35"/>
      <c r="Q262" s="35"/>
      <c r="R262" s="35"/>
      <c r="S262" s="35"/>
      <c r="T262" s="35"/>
      <c r="U262" s="35"/>
      <c r="V262" s="35"/>
      <c r="W262" s="35"/>
      <c r="X262" s="35"/>
      <c r="Y262" s="35"/>
      <c r="Z262" s="35"/>
    </row>
    <row r="263" ht="12.75" customHeight="1">
      <c r="A263" s="35"/>
      <c r="B263" s="35"/>
      <c r="C263" s="35"/>
      <c r="D263" s="35"/>
      <c r="E263" s="35"/>
      <c r="F263" s="35"/>
      <c r="G263" s="35"/>
      <c r="H263" s="35"/>
      <c r="I263" s="35"/>
      <c r="J263" s="35"/>
      <c r="K263" s="35"/>
      <c r="L263" s="35"/>
      <c r="M263" s="35"/>
      <c r="N263" s="35"/>
      <c r="O263" s="35"/>
      <c r="P263" s="35"/>
      <c r="Q263" s="35"/>
      <c r="R263" s="35"/>
      <c r="S263" s="35"/>
      <c r="T263" s="35"/>
      <c r="U263" s="35"/>
      <c r="V263" s="35"/>
      <c r="W263" s="35"/>
      <c r="X263" s="35"/>
      <c r="Y263" s="35"/>
      <c r="Z263" s="35"/>
    </row>
    <row r="264" ht="12.75" customHeight="1">
      <c r="A264" s="35"/>
      <c r="B264" s="35"/>
      <c r="C264" s="35"/>
      <c r="D264" s="35"/>
      <c r="E264" s="35"/>
      <c r="F264" s="35"/>
      <c r="G264" s="35"/>
      <c r="H264" s="35"/>
      <c r="I264" s="35"/>
      <c r="J264" s="35"/>
      <c r="K264" s="35"/>
      <c r="L264" s="35"/>
      <c r="M264" s="35"/>
      <c r="N264" s="35"/>
      <c r="O264" s="35"/>
      <c r="P264" s="35"/>
      <c r="Q264" s="35"/>
      <c r="R264" s="35"/>
      <c r="S264" s="35"/>
      <c r="T264" s="35"/>
      <c r="U264" s="35"/>
      <c r="V264" s="35"/>
      <c r="W264" s="35"/>
      <c r="X264" s="35"/>
      <c r="Y264" s="35"/>
      <c r="Z264" s="35"/>
    </row>
    <row r="265" ht="12.75" customHeight="1">
      <c r="A265" s="35"/>
      <c r="B265" s="35"/>
      <c r="C265" s="35"/>
      <c r="D265" s="35"/>
      <c r="E265" s="35"/>
      <c r="F265" s="35"/>
      <c r="G265" s="35"/>
      <c r="H265" s="35"/>
      <c r="I265" s="35"/>
      <c r="J265" s="35"/>
      <c r="K265" s="35"/>
      <c r="L265" s="35"/>
      <c r="M265" s="35"/>
      <c r="N265" s="35"/>
      <c r="O265" s="35"/>
      <c r="P265" s="35"/>
      <c r="Q265" s="35"/>
      <c r="R265" s="35"/>
      <c r="S265" s="35"/>
      <c r="T265" s="35"/>
      <c r="U265" s="35"/>
      <c r="V265" s="35"/>
      <c r="W265" s="35"/>
      <c r="X265" s="35"/>
      <c r="Y265" s="35"/>
      <c r="Z265" s="35"/>
    </row>
    <row r="266" ht="12.75" customHeight="1">
      <c r="A266" s="35"/>
      <c r="B266" s="35"/>
      <c r="C266" s="35"/>
      <c r="D266" s="35"/>
      <c r="E266" s="35"/>
      <c r="F266" s="35"/>
      <c r="G266" s="35"/>
      <c r="H266" s="35"/>
      <c r="I266" s="35"/>
      <c r="J266" s="35"/>
      <c r="K266" s="35"/>
      <c r="L266" s="35"/>
      <c r="M266" s="35"/>
      <c r="N266" s="35"/>
      <c r="O266" s="35"/>
      <c r="P266" s="35"/>
      <c r="Q266" s="35"/>
      <c r="R266" s="35"/>
      <c r="S266" s="35"/>
      <c r="T266" s="35"/>
      <c r="U266" s="35"/>
      <c r="V266" s="35"/>
      <c r="W266" s="35"/>
      <c r="X266" s="35"/>
      <c r="Y266" s="35"/>
      <c r="Z266" s="35"/>
    </row>
    <row r="267" ht="12.75" customHeight="1">
      <c r="A267" s="35"/>
      <c r="B267" s="35"/>
      <c r="C267" s="35"/>
      <c r="D267" s="35"/>
      <c r="E267" s="35"/>
      <c r="F267" s="35"/>
      <c r="G267" s="35"/>
      <c r="H267" s="35"/>
      <c r="I267" s="35"/>
      <c r="J267" s="35"/>
      <c r="K267" s="35"/>
      <c r="L267" s="35"/>
      <c r="M267" s="35"/>
      <c r="N267" s="35"/>
      <c r="O267" s="35"/>
      <c r="P267" s="35"/>
      <c r="Q267" s="35"/>
      <c r="R267" s="35"/>
      <c r="S267" s="35"/>
      <c r="T267" s="35"/>
      <c r="U267" s="35"/>
      <c r="V267" s="35"/>
      <c r="W267" s="35"/>
      <c r="X267" s="35"/>
      <c r="Y267" s="35"/>
      <c r="Z267" s="35"/>
    </row>
    <row r="268" ht="12.75" customHeight="1">
      <c r="A268" s="35"/>
      <c r="B268" s="35"/>
      <c r="C268" s="35"/>
      <c r="D268" s="35"/>
      <c r="E268" s="35"/>
      <c r="F268" s="35"/>
      <c r="G268" s="35"/>
      <c r="H268" s="35"/>
      <c r="I268" s="35"/>
      <c r="J268" s="35"/>
      <c r="K268" s="35"/>
      <c r="L268" s="35"/>
      <c r="M268" s="35"/>
      <c r="N268" s="35"/>
      <c r="O268" s="35"/>
      <c r="P268" s="35"/>
      <c r="Q268" s="35"/>
      <c r="R268" s="35"/>
      <c r="S268" s="35"/>
      <c r="T268" s="35"/>
      <c r="U268" s="35"/>
      <c r="V268" s="35"/>
      <c r="W268" s="35"/>
      <c r="X268" s="35"/>
      <c r="Y268" s="35"/>
      <c r="Z268" s="35"/>
    </row>
    <row r="269" ht="12.75" customHeight="1">
      <c r="A269" s="35"/>
      <c r="B269" s="35"/>
      <c r="C269" s="35"/>
      <c r="D269" s="35"/>
      <c r="E269" s="35"/>
      <c r="F269" s="35"/>
      <c r="G269" s="35"/>
      <c r="H269" s="35"/>
      <c r="I269" s="35"/>
      <c r="J269" s="35"/>
      <c r="K269" s="35"/>
      <c r="L269" s="35"/>
      <c r="M269" s="35"/>
      <c r="N269" s="35"/>
      <c r="O269" s="35"/>
      <c r="P269" s="35"/>
      <c r="Q269" s="35"/>
      <c r="R269" s="35"/>
      <c r="S269" s="35"/>
      <c r="T269" s="35"/>
      <c r="U269" s="35"/>
      <c r="V269" s="35"/>
      <c r="W269" s="35"/>
      <c r="X269" s="35"/>
      <c r="Y269" s="35"/>
      <c r="Z269" s="35"/>
    </row>
    <row r="270" ht="12.75" customHeight="1">
      <c r="A270" s="35"/>
      <c r="B270" s="35"/>
      <c r="C270" s="35"/>
      <c r="D270" s="35"/>
      <c r="E270" s="35"/>
      <c r="F270" s="35"/>
      <c r="G270" s="35"/>
      <c r="H270" s="35"/>
      <c r="I270" s="35"/>
      <c r="J270" s="35"/>
      <c r="K270" s="35"/>
      <c r="L270" s="35"/>
      <c r="M270" s="35"/>
      <c r="N270" s="35"/>
      <c r="O270" s="35"/>
      <c r="P270" s="35"/>
      <c r="Q270" s="35"/>
      <c r="R270" s="35"/>
      <c r="S270" s="35"/>
      <c r="T270" s="35"/>
      <c r="U270" s="35"/>
      <c r="V270" s="35"/>
      <c r="W270" s="35"/>
      <c r="X270" s="35"/>
      <c r="Y270" s="35"/>
      <c r="Z270" s="35"/>
    </row>
    <row r="271" ht="12.75" customHeight="1">
      <c r="A271" s="35"/>
      <c r="B271" s="35"/>
      <c r="C271" s="35"/>
      <c r="D271" s="35"/>
      <c r="E271" s="35"/>
      <c r="F271" s="35"/>
      <c r="G271" s="35"/>
      <c r="H271" s="35"/>
      <c r="I271" s="35"/>
      <c r="J271" s="35"/>
      <c r="K271" s="35"/>
      <c r="L271" s="35"/>
      <c r="M271" s="35"/>
      <c r="N271" s="35"/>
      <c r="O271" s="35"/>
      <c r="P271" s="35"/>
      <c r="Q271" s="35"/>
      <c r="R271" s="35"/>
      <c r="S271" s="35"/>
      <c r="T271" s="35"/>
      <c r="U271" s="35"/>
      <c r="V271" s="35"/>
      <c r="W271" s="35"/>
      <c r="X271" s="35"/>
      <c r="Y271" s="35"/>
      <c r="Z271" s="35"/>
    </row>
    <row r="272" ht="12.75" customHeight="1">
      <c r="A272" s="35"/>
      <c r="B272" s="35"/>
      <c r="C272" s="35"/>
      <c r="D272" s="35"/>
      <c r="E272" s="35"/>
      <c r="F272" s="35"/>
      <c r="G272" s="35"/>
      <c r="H272" s="35"/>
      <c r="I272" s="35"/>
      <c r="J272" s="35"/>
      <c r="K272" s="35"/>
      <c r="L272" s="35"/>
      <c r="M272" s="35"/>
      <c r="N272" s="35"/>
      <c r="O272" s="35"/>
      <c r="P272" s="35"/>
      <c r="Q272" s="35"/>
      <c r="R272" s="35"/>
      <c r="S272" s="35"/>
      <c r="T272" s="35"/>
      <c r="U272" s="35"/>
      <c r="V272" s="35"/>
      <c r="W272" s="35"/>
      <c r="X272" s="35"/>
      <c r="Y272" s="35"/>
      <c r="Z272" s="35"/>
    </row>
    <row r="273" ht="12.75" customHeight="1">
      <c r="A273" s="35"/>
      <c r="B273" s="35"/>
      <c r="C273" s="35"/>
      <c r="D273" s="35"/>
      <c r="E273" s="35"/>
      <c r="F273" s="35"/>
      <c r="G273" s="35"/>
      <c r="H273" s="35"/>
      <c r="I273" s="35"/>
      <c r="J273" s="35"/>
      <c r="K273" s="35"/>
      <c r="L273" s="35"/>
      <c r="M273" s="35"/>
      <c r="N273" s="35"/>
      <c r="O273" s="35"/>
      <c r="P273" s="35"/>
      <c r="Q273" s="35"/>
      <c r="R273" s="35"/>
      <c r="S273" s="35"/>
      <c r="T273" s="35"/>
      <c r="U273" s="35"/>
      <c r="V273" s="35"/>
      <c r="W273" s="35"/>
      <c r="X273" s="35"/>
      <c r="Y273" s="35"/>
      <c r="Z273" s="35"/>
    </row>
    <row r="274" ht="12.75" customHeight="1">
      <c r="A274" s="35"/>
      <c r="B274" s="35"/>
      <c r="C274" s="35"/>
      <c r="D274" s="35"/>
      <c r="E274" s="35"/>
      <c r="F274" s="35"/>
      <c r="G274" s="35"/>
      <c r="H274" s="35"/>
      <c r="I274" s="35"/>
      <c r="J274" s="35"/>
      <c r="K274" s="35"/>
      <c r="L274" s="35"/>
      <c r="M274" s="35"/>
      <c r="N274" s="35"/>
      <c r="O274" s="35"/>
      <c r="P274" s="35"/>
      <c r="Q274" s="35"/>
      <c r="R274" s="35"/>
      <c r="S274" s="35"/>
      <c r="T274" s="35"/>
      <c r="U274" s="35"/>
      <c r="V274" s="35"/>
      <c r="W274" s="35"/>
      <c r="X274" s="35"/>
      <c r="Y274" s="35"/>
      <c r="Z274" s="35"/>
    </row>
    <row r="275" ht="12.75" customHeight="1">
      <c r="A275" s="35"/>
      <c r="B275" s="35"/>
      <c r="C275" s="35"/>
      <c r="D275" s="35"/>
      <c r="E275" s="35"/>
      <c r="F275" s="35"/>
      <c r="G275" s="35"/>
      <c r="H275" s="35"/>
      <c r="I275" s="35"/>
      <c r="J275" s="35"/>
      <c r="K275" s="35"/>
      <c r="L275" s="35"/>
      <c r="M275" s="35"/>
      <c r="N275" s="35"/>
      <c r="O275" s="35"/>
      <c r="P275" s="35"/>
      <c r="Q275" s="35"/>
      <c r="R275" s="35"/>
      <c r="S275" s="35"/>
      <c r="T275" s="35"/>
      <c r="U275" s="35"/>
      <c r="V275" s="35"/>
      <c r="W275" s="35"/>
      <c r="X275" s="35"/>
      <c r="Y275" s="35"/>
      <c r="Z275" s="35"/>
    </row>
    <row r="276" ht="12.75" customHeight="1">
      <c r="A276" s="35"/>
      <c r="B276" s="35"/>
      <c r="C276" s="35"/>
      <c r="D276" s="35"/>
      <c r="E276" s="35"/>
      <c r="F276" s="35"/>
      <c r="G276" s="35"/>
      <c r="H276" s="35"/>
      <c r="I276" s="35"/>
      <c r="J276" s="35"/>
      <c r="K276" s="35"/>
      <c r="L276" s="35"/>
      <c r="M276" s="35"/>
      <c r="N276" s="35"/>
      <c r="O276" s="35"/>
      <c r="P276" s="35"/>
      <c r="Q276" s="35"/>
      <c r="R276" s="35"/>
      <c r="S276" s="35"/>
      <c r="T276" s="35"/>
      <c r="U276" s="35"/>
      <c r="V276" s="35"/>
      <c r="W276" s="35"/>
      <c r="X276" s="35"/>
      <c r="Y276" s="35"/>
      <c r="Z276" s="35"/>
    </row>
    <row r="277" ht="12.75" customHeight="1">
      <c r="A277" s="35"/>
      <c r="B277" s="35"/>
      <c r="C277" s="35"/>
      <c r="D277" s="35"/>
      <c r="E277" s="35"/>
      <c r="F277" s="35"/>
      <c r="G277" s="35"/>
      <c r="H277" s="35"/>
      <c r="I277" s="35"/>
      <c r="J277" s="35"/>
      <c r="K277" s="35"/>
      <c r="L277" s="35"/>
      <c r="M277" s="35"/>
      <c r="N277" s="35"/>
      <c r="O277" s="35"/>
      <c r="P277" s="35"/>
      <c r="Q277" s="35"/>
      <c r="R277" s="35"/>
      <c r="S277" s="35"/>
      <c r="T277" s="35"/>
      <c r="U277" s="35"/>
      <c r="V277" s="35"/>
      <c r="W277" s="35"/>
      <c r="X277" s="35"/>
      <c r="Y277" s="35"/>
      <c r="Z277" s="35"/>
    </row>
    <row r="278" ht="12.75" customHeight="1">
      <c r="A278" s="35"/>
      <c r="B278" s="35"/>
      <c r="C278" s="35"/>
      <c r="D278" s="35"/>
      <c r="E278" s="35"/>
      <c r="F278" s="35"/>
      <c r="G278" s="35"/>
      <c r="H278" s="35"/>
      <c r="I278" s="35"/>
      <c r="J278" s="35"/>
      <c r="K278" s="35"/>
      <c r="L278" s="35"/>
      <c r="M278" s="35"/>
      <c r="N278" s="35"/>
      <c r="O278" s="35"/>
      <c r="P278" s="35"/>
      <c r="Q278" s="35"/>
      <c r="R278" s="35"/>
      <c r="S278" s="35"/>
      <c r="T278" s="35"/>
      <c r="U278" s="35"/>
      <c r="V278" s="35"/>
      <c r="W278" s="35"/>
      <c r="X278" s="35"/>
      <c r="Y278" s="35"/>
      <c r="Z278" s="35"/>
    </row>
    <row r="279" ht="12.75" customHeight="1">
      <c r="A279" s="35"/>
      <c r="B279" s="35"/>
      <c r="C279" s="35"/>
      <c r="D279" s="35"/>
      <c r="E279" s="35"/>
      <c r="F279" s="35"/>
      <c r="G279" s="35"/>
      <c r="H279" s="35"/>
      <c r="I279" s="35"/>
      <c r="J279" s="35"/>
      <c r="K279" s="35"/>
      <c r="L279" s="35"/>
      <c r="M279" s="35"/>
      <c r="N279" s="35"/>
      <c r="O279" s="35"/>
      <c r="P279" s="35"/>
      <c r="Q279" s="35"/>
      <c r="R279" s="35"/>
      <c r="S279" s="35"/>
      <c r="T279" s="35"/>
      <c r="U279" s="35"/>
      <c r="V279" s="35"/>
      <c r="W279" s="35"/>
      <c r="X279" s="35"/>
      <c r="Y279" s="35"/>
      <c r="Z279" s="35"/>
    </row>
    <row r="280" ht="12.75" customHeight="1">
      <c r="A280" s="35"/>
      <c r="B280" s="35"/>
      <c r="C280" s="35"/>
      <c r="D280" s="35"/>
      <c r="E280" s="35"/>
      <c r="F280" s="35"/>
      <c r="G280" s="35"/>
      <c r="H280" s="35"/>
      <c r="I280" s="35"/>
      <c r="J280" s="35"/>
      <c r="K280" s="35"/>
      <c r="L280" s="35"/>
      <c r="M280" s="35"/>
      <c r="N280" s="35"/>
      <c r="O280" s="35"/>
      <c r="P280" s="35"/>
      <c r="Q280" s="35"/>
      <c r="R280" s="35"/>
      <c r="S280" s="35"/>
      <c r="T280" s="35"/>
      <c r="U280" s="35"/>
      <c r="V280" s="35"/>
      <c r="W280" s="35"/>
      <c r="X280" s="35"/>
      <c r="Y280" s="35"/>
      <c r="Z280" s="35"/>
    </row>
    <row r="281" ht="12.75" customHeight="1">
      <c r="A281" s="35"/>
      <c r="B281" s="35"/>
      <c r="C281" s="35"/>
      <c r="D281" s="35"/>
      <c r="E281" s="35"/>
      <c r="F281" s="35"/>
      <c r="G281" s="35"/>
      <c r="H281" s="35"/>
      <c r="I281" s="35"/>
      <c r="J281" s="35"/>
      <c r="K281" s="35"/>
      <c r="L281" s="35"/>
      <c r="M281" s="35"/>
      <c r="N281" s="35"/>
      <c r="O281" s="35"/>
      <c r="P281" s="35"/>
      <c r="Q281" s="35"/>
      <c r="R281" s="35"/>
      <c r="S281" s="35"/>
      <c r="T281" s="35"/>
      <c r="U281" s="35"/>
      <c r="V281" s="35"/>
      <c r="W281" s="35"/>
      <c r="X281" s="35"/>
      <c r="Y281" s="35"/>
      <c r="Z281" s="35"/>
    </row>
    <row r="282" ht="12.75" customHeight="1">
      <c r="A282" s="35"/>
      <c r="B282" s="35"/>
      <c r="C282" s="35"/>
      <c r="D282" s="35"/>
      <c r="E282" s="35"/>
      <c r="F282" s="35"/>
      <c r="G282" s="35"/>
      <c r="H282" s="35"/>
      <c r="I282" s="35"/>
      <c r="J282" s="35"/>
      <c r="K282" s="35"/>
      <c r="L282" s="35"/>
      <c r="M282" s="35"/>
      <c r="N282" s="35"/>
      <c r="O282" s="35"/>
      <c r="P282" s="35"/>
      <c r="Q282" s="35"/>
      <c r="R282" s="35"/>
      <c r="S282" s="35"/>
      <c r="T282" s="35"/>
      <c r="U282" s="35"/>
      <c r="V282" s="35"/>
      <c r="W282" s="35"/>
      <c r="X282" s="35"/>
      <c r="Y282" s="35"/>
      <c r="Z282" s="35"/>
    </row>
    <row r="283" ht="12.75" customHeight="1">
      <c r="A283" s="35"/>
      <c r="B283" s="35"/>
      <c r="C283" s="35"/>
      <c r="D283" s="35"/>
      <c r="E283" s="35"/>
      <c r="F283" s="35"/>
      <c r="G283" s="35"/>
      <c r="H283" s="35"/>
      <c r="I283" s="35"/>
      <c r="J283" s="35"/>
      <c r="K283" s="35"/>
      <c r="L283" s="35"/>
      <c r="M283" s="35"/>
      <c r="N283" s="35"/>
      <c r="O283" s="35"/>
      <c r="P283" s="35"/>
      <c r="Q283" s="35"/>
      <c r="R283" s="35"/>
      <c r="S283" s="35"/>
      <c r="T283" s="35"/>
      <c r="U283" s="35"/>
      <c r="V283" s="35"/>
      <c r="W283" s="35"/>
      <c r="X283" s="35"/>
      <c r="Y283" s="35"/>
      <c r="Z283" s="35"/>
    </row>
    <row r="284" ht="12.75" customHeight="1">
      <c r="A284" s="35"/>
      <c r="B284" s="35"/>
      <c r="C284" s="35"/>
      <c r="D284" s="35"/>
      <c r="E284" s="35"/>
      <c r="F284" s="35"/>
      <c r="G284" s="35"/>
      <c r="H284" s="35"/>
      <c r="I284" s="35"/>
      <c r="J284" s="35"/>
      <c r="K284" s="35"/>
      <c r="L284" s="35"/>
      <c r="M284" s="35"/>
      <c r="N284" s="35"/>
      <c r="O284" s="35"/>
      <c r="P284" s="35"/>
      <c r="Q284" s="35"/>
      <c r="R284" s="35"/>
      <c r="S284" s="35"/>
      <c r="T284" s="35"/>
      <c r="U284" s="35"/>
      <c r="V284" s="35"/>
      <c r="W284" s="35"/>
      <c r="X284" s="35"/>
      <c r="Y284" s="35"/>
      <c r="Z284" s="35"/>
    </row>
    <row r="285" ht="12.75" customHeight="1">
      <c r="A285" s="35"/>
      <c r="B285" s="35"/>
      <c r="C285" s="35"/>
      <c r="D285" s="35"/>
      <c r="E285" s="35"/>
      <c r="F285" s="35"/>
      <c r="G285" s="35"/>
      <c r="H285" s="35"/>
      <c r="I285" s="35"/>
      <c r="J285" s="35"/>
      <c r="K285" s="35"/>
      <c r="L285" s="35"/>
      <c r="M285" s="35"/>
      <c r="N285" s="35"/>
      <c r="O285" s="35"/>
      <c r="P285" s="35"/>
      <c r="Q285" s="35"/>
      <c r="R285" s="35"/>
      <c r="S285" s="35"/>
      <c r="T285" s="35"/>
      <c r="U285" s="35"/>
      <c r="V285" s="35"/>
      <c r="W285" s="35"/>
      <c r="X285" s="35"/>
      <c r="Y285" s="35"/>
      <c r="Z285" s="35"/>
    </row>
    <row r="286" ht="12.75" customHeight="1">
      <c r="A286" s="35"/>
      <c r="B286" s="35"/>
      <c r="C286" s="35"/>
      <c r="D286" s="35"/>
      <c r="E286" s="35"/>
      <c r="F286" s="35"/>
      <c r="G286" s="35"/>
      <c r="H286" s="35"/>
      <c r="I286" s="35"/>
      <c r="J286" s="35"/>
      <c r="K286" s="35"/>
      <c r="L286" s="35"/>
      <c r="M286" s="35"/>
      <c r="N286" s="35"/>
      <c r="O286" s="35"/>
      <c r="P286" s="35"/>
      <c r="Q286" s="35"/>
      <c r="R286" s="35"/>
      <c r="S286" s="35"/>
      <c r="T286" s="35"/>
      <c r="U286" s="35"/>
      <c r="V286" s="35"/>
      <c r="W286" s="35"/>
      <c r="X286" s="35"/>
      <c r="Y286" s="35"/>
      <c r="Z286" s="35"/>
    </row>
    <row r="287" ht="12.75" customHeight="1">
      <c r="A287" s="35"/>
      <c r="B287" s="35"/>
      <c r="C287" s="35"/>
      <c r="D287" s="35"/>
      <c r="E287" s="35"/>
      <c r="F287" s="35"/>
      <c r="G287" s="35"/>
      <c r="H287" s="35"/>
      <c r="I287" s="35"/>
      <c r="J287" s="35"/>
      <c r="K287" s="35"/>
      <c r="L287" s="35"/>
      <c r="M287" s="35"/>
      <c r="N287" s="35"/>
      <c r="O287" s="35"/>
      <c r="P287" s="35"/>
      <c r="Q287" s="35"/>
      <c r="R287" s="35"/>
      <c r="S287" s="35"/>
      <c r="T287" s="35"/>
      <c r="U287" s="35"/>
      <c r="V287" s="35"/>
      <c r="W287" s="35"/>
      <c r="X287" s="35"/>
      <c r="Y287" s="35"/>
      <c r="Z287" s="35"/>
    </row>
    <row r="288" ht="12.75" customHeight="1">
      <c r="A288" s="35"/>
      <c r="B288" s="35"/>
      <c r="C288" s="35"/>
      <c r="D288" s="35"/>
      <c r="E288" s="35"/>
      <c r="F288" s="35"/>
      <c r="G288" s="35"/>
      <c r="H288" s="35"/>
      <c r="I288" s="35"/>
      <c r="J288" s="35"/>
      <c r="K288" s="35"/>
      <c r="L288" s="35"/>
      <c r="M288" s="35"/>
      <c r="N288" s="35"/>
      <c r="O288" s="35"/>
      <c r="P288" s="35"/>
      <c r="Q288" s="35"/>
      <c r="R288" s="35"/>
      <c r="S288" s="35"/>
      <c r="T288" s="35"/>
      <c r="U288" s="35"/>
      <c r="V288" s="35"/>
      <c r="W288" s="35"/>
      <c r="X288" s="35"/>
      <c r="Y288" s="35"/>
      <c r="Z288" s="35"/>
    </row>
    <row r="289" ht="12.75" customHeight="1">
      <c r="A289" s="35"/>
      <c r="B289" s="35"/>
      <c r="C289" s="35"/>
      <c r="D289" s="35"/>
      <c r="E289" s="35"/>
      <c r="F289" s="35"/>
      <c r="G289" s="35"/>
      <c r="H289" s="35"/>
      <c r="I289" s="35"/>
      <c r="J289" s="35"/>
      <c r="K289" s="35"/>
      <c r="L289" s="35"/>
      <c r="M289" s="35"/>
      <c r="N289" s="35"/>
      <c r="O289" s="35"/>
      <c r="P289" s="35"/>
      <c r="Q289" s="35"/>
      <c r="R289" s="35"/>
      <c r="S289" s="35"/>
      <c r="T289" s="35"/>
      <c r="U289" s="35"/>
      <c r="V289" s="35"/>
      <c r="W289" s="35"/>
      <c r="X289" s="35"/>
      <c r="Y289" s="35"/>
      <c r="Z289" s="35"/>
    </row>
    <row r="290" ht="12.75" customHeight="1">
      <c r="A290" s="35"/>
      <c r="B290" s="35"/>
      <c r="C290" s="35"/>
      <c r="D290" s="35"/>
      <c r="E290" s="35"/>
      <c r="F290" s="35"/>
      <c r="G290" s="35"/>
      <c r="H290" s="35"/>
      <c r="I290" s="35"/>
      <c r="J290" s="35"/>
      <c r="K290" s="35"/>
      <c r="L290" s="35"/>
      <c r="M290" s="35"/>
      <c r="N290" s="35"/>
      <c r="O290" s="35"/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5"/>
    </row>
    <row r="291" ht="12.75" customHeight="1">
      <c r="A291" s="35"/>
      <c r="B291" s="35"/>
      <c r="C291" s="35"/>
      <c r="D291" s="35"/>
      <c r="E291" s="35"/>
      <c r="F291" s="35"/>
      <c r="G291" s="35"/>
      <c r="H291" s="35"/>
      <c r="I291" s="35"/>
      <c r="J291" s="35"/>
      <c r="K291" s="35"/>
      <c r="L291" s="35"/>
      <c r="M291" s="35"/>
      <c r="N291" s="35"/>
      <c r="O291" s="35"/>
      <c r="P291" s="35"/>
      <c r="Q291" s="35"/>
      <c r="R291" s="35"/>
      <c r="S291" s="35"/>
      <c r="T291" s="35"/>
      <c r="U291" s="35"/>
      <c r="V291" s="35"/>
      <c r="W291" s="35"/>
      <c r="X291" s="35"/>
      <c r="Y291" s="35"/>
      <c r="Z291" s="35"/>
    </row>
    <row r="292" ht="12.75" customHeight="1">
      <c r="A292" s="35"/>
      <c r="B292" s="35"/>
      <c r="C292" s="35"/>
      <c r="D292" s="35"/>
      <c r="E292" s="35"/>
      <c r="F292" s="35"/>
      <c r="G292" s="35"/>
      <c r="H292" s="35"/>
      <c r="I292" s="35"/>
      <c r="J292" s="35"/>
      <c r="K292" s="35"/>
      <c r="L292" s="35"/>
      <c r="M292" s="35"/>
      <c r="N292" s="35"/>
      <c r="O292" s="35"/>
      <c r="P292" s="35"/>
      <c r="Q292" s="35"/>
      <c r="R292" s="35"/>
      <c r="S292" s="35"/>
      <c r="T292" s="35"/>
      <c r="U292" s="35"/>
      <c r="V292" s="35"/>
      <c r="W292" s="35"/>
      <c r="X292" s="35"/>
      <c r="Y292" s="35"/>
      <c r="Z292" s="35"/>
    </row>
    <row r="293" ht="12.75" customHeight="1">
      <c r="A293" s="35"/>
      <c r="B293" s="35"/>
      <c r="C293" s="35"/>
      <c r="D293" s="35"/>
      <c r="E293" s="35"/>
      <c r="F293" s="35"/>
      <c r="G293" s="35"/>
      <c r="H293" s="35"/>
      <c r="I293" s="35"/>
      <c r="J293" s="35"/>
      <c r="K293" s="35"/>
      <c r="L293" s="35"/>
      <c r="M293" s="35"/>
      <c r="N293" s="35"/>
      <c r="O293" s="35"/>
      <c r="P293" s="35"/>
      <c r="Q293" s="35"/>
      <c r="R293" s="35"/>
      <c r="S293" s="35"/>
      <c r="T293" s="35"/>
      <c r="U293" s="35"/>
      <c r="V293" s="35"/>
      <c r="W293" s="35"/>
      <c r="X293" s="35"/>
      <c r="Y293" s="35"/>
      <c r="Z293" s="35"/>
    </row>
    <row r="294" ht="12.75" customHeight="1">
      <c r="A294" s="35"/>
      <c r="B294" s="35"/>
      <c r="C294" s="35"/>
      <c r="D294" s="35"/>
      <c r="E294" s="35"/>
      <c r="F294" s="35"/>
      <c r="G294" s="35"/>
      <c r="H294" s="35"/>
      <c r="I294" s="35"/>
      <c r="J294" s="35"/>
      <c r="K294" s="35"/>
      <c r="L294" s="35"/>
      <c r="M294" s="35"/>
      <c r="N294" s="35"/>
      <c r="O294" s="35"/>
      <c r="P294" s="35"/>
      <c r="Q294" s="35"/>
      <c r="R294" s="35"/>
      <c r="S294" s="35"/>
      <c r="T294" s="35"/>
      <c r="U294" s="35"/>
      <c r="V294" s="35"/>
      <c r="W294" s="35"/>
      <c r="X294" s="35"/>
      <c r="Y294" s="35"/>
      <c r="Z294" s="35"/>
    </row>
    <row r="295" ht="12.75" customHeight="1">
      <c r="A295" s="35"/>
      <c r="B295" s="35"/>
      <c r="C295" s="35"/>
      <c r="D295" s="35"/>
      <c r="E295" s="35"/>
      <c r="F295" s="35"/>
      <c r="G295" s="35"/>
      <c r="H295" s="35"/>
      <c r="I295" s="35"/>
      <c r="J295" s="35"/>
      <c r="K295" s="35"/>
      <c r="L295" s="35"/>
      <c r="M295" s="35"/>
      <c r="N295" s="35"/>
      <c r="O295" s="35"/>
      <c r="P295" s="35"/>
      <c r="Q295" s="35"/>
      <c r="R295" s="35"/>
      <c r="S295" s="35"/>
      <c r="T295" s="35"/>
      <c r="U295" s="35"/>
      <c r="V295" s="35"/>
      <c r="W295" s="35"/>
      <c r="X295" s="35"/>
      <c r="Y295" s="35"/>
      <c r="Z295" s="35"/>
    </row>
    <row r="296" ht="12.75" customHeight="1">
      <c r="A296" s="35"/>
      <c r="B296" s="35"/>
      <c r="C296" s="35"/>
      <c r="D296" s="35"/>
      <c r="E296" s="35"/>
      <c r="F296" s="35"/>
      <c r="G296" s="35"/>
      <c r="H296" s="35"/>
      <c r="I296" s="35"/>
      <c r="J296" s="35"/>
      <c r="K296" s="35"/>
      <c r="L296" s="35"/>
      <c r="M296" s="35"/>
      <c r="N296" s="35"/>
      <c r="O296" s="35"/>
      <c r="P296" s="35"/>
      <c r="Q296" s="35"/>
      <c r="R296" s="35"/>
      <c r="S296" s="35"/>
      <c r="T296" s="35"/>
      <c r="U296" s="35"/>
      <c r="V296" s="35"/>
      <c r="W296" s="35"/>
      <c r="X296" s="35"/>
      <c r="Y296" s="35"/>
      <c r="Z296" s="35"/>
    </row>
    <row r="297" ht="12.75" customHeight="1">
      <c r="A297" s="35"/>
      <c r="B297" s="35"/>
      <c r="C297" s="35"/>
      <c r="D297" s="35"/>
      <c r="E297" s="35"/>
      <c r="F297" s="35"/>
      <c r="G297" s="35"/>
      <c r="H297" s="35"/>
      <c r="I297" s="35"/>
      <c r="J297" s="35"/>
      <c r="K297" s="35"/>
      <c r="L297" s="35"/>
      <c r="M297" s="35"/>
      <c r="N297" s="35"/>
      <c r="O297" s="35"/>
      <c r="P297" s="35"/>
      <c r="Q297" s="35"/>
      <c r="R297" s="35"/>
      <c r="S297" s="35"/>
      <c r="T297" s="35"/>
      <c r="U297" s="35"/>
      <c r="V297" s="35"/>
      <c r="W297" s="35"/>
      <c r="X297" s="35"/>
      <c r="Y297" s="35"/>
      <c r="Z297" s="35"/>
    </row>
    <row r="298" ht="12.75" customHeight="1">
      <c r="A298" s="35"/>
      <c r="B298" s="35"/>
      <c r="C298" s="35"/>
      <c r="D298" s="35"/>
      <c r="E298" s="35"/>
      <c r="F298" s="35"/>
      <c r="G298" s="35"/>
      <c r="H298" s="35"/>
      <c r="I298" s="35"/>
      <c r="J298" s="35"/>
      <c r="K298" s="35"/>
      <c r="L298" s="35"/>
      <c r="M298" s="35"/>
      <c r="N298" s="35"/>
      <c r="O298" s="35"/>
      <c r="P298" s="35"/>
      <c r="Q298" s="35"/>
      <c r="R298" s="35"/>
      <c r="S298" s="35"/>
      <c r="T298" s="35"/>
      <c r="U298" s="35"/>
      <c r="V298" s="35"/>
      <c r="W298" s="35"/>
      <c r="X298" s="35"/>
      <c r="Y298" s="35"/>
      <c r="Z298" s="35"/>
    </row>
    <row r="299" ht="12.75" customHeight="1">
      <c r="A299" s="35"/>
      <c r="B299" s="35"/>
      <c r="C299" s="35"/>
      <c r="D299" s="35"/>
      <c r="E299" s="35"/>
      <c r="F299" s="35"/>
      <c r="G299" s="35"/>
      <c r="H299" s="35"/>
      <c r="I299" s="35"/>
      <c r="J299" s="35"/>
      <c r="K299" s="35"/>
      <c r="L299" s="35"/>
      <c r="M299" s="35"/>
      <c r="N299" s="35"/>
      <c r="O299" s="35"/>
      <c r="P299" s="35"/>
      <c r="Q299" s="35"/>
      <c r="R299" s="35"/>
      <c r="S299" s="35"/>
      <c r="T299" s="35"/>
      <c r="U299" s="35"/>
      <c r="V299" s="35"/>
      <c r="W299" s="35"/>
      <c r="X299" s="35"/>
      <c r="Y299" s="35"/>
      <c r="Z299" s="35"/>
    </row>
    <row r="300" ht="12.75" customHeight="1">
      <c r="A300" s="35"/>
      <c r="B300" s="35"/>
      <c r="C300" s="35"/>
      <c r="D300" s="35"/>
      <c r="E300" s="35"/>
      <c r="F300" s="35"/>
      <c r="G300" s="35"/>
      <c r="H300" s="35"/>
      <c r="I300" s="35"/>
      <c r="J300" s="35"/>
      <c r="K300" s="35"/>
      <c r="L300" s="35"/>
      <c r="M300" s="35"/>
      <c r="N300" s="35"/>
      <c r="O300" s="35"/>
      <c r="P300" s="35"/>
      <c r="Q300" s="35"/>
      <c r="R300" s="35"/>
      <c r="S300" s="35"/>
      <c r="T300" s="35"/>
      <c r="U300" s="35"/>
      <c r="V300" s="35"/>
      <c r="W300" s="35"/>
      <c r="X300" s="35"/>
      <c r="Y300" s="35"/>
      <c r="Z300" s="35"/>
    </row>
    <row r="301" ht="12.75" customHeight="1">
      <c r="A301" s="35"/>
      <c r="B301" s="35"/>
      <c r="C301" s="35"/>
      <c r="D301" s="35"/>
      <c r="E301" s="35"/>
      <c r="F301" s="35"/>
      <c r="G301" s="35"/>
      <c r="H301" s="35"/>
      <c r="I301" s="35"/>
      <c r="J301" s="35"/>
      <c r="K301" s="35"/>
      <c r="L301" s="35"/>
      <c r="M301" s="35"/>
      <c r="N301" s="35"/>
      <c r="O301" s="35"/>
      <c r="P301" s="35"/>
      <c r="Q301" s="35"/>
      <c r="R301" s="35"/>
      <c r="S301" s="35"/>
      <c r="T301" s="35"/>
      <c r="U301" s="35"/>
      <c r="V301" s="35"/>
      <c r="W301" s="35"/>
      <c r="X301" s="35"/>
      <c r="Y301" s="35"/>
      <c r="Z301" s="35"/>
    </row>
    <row r="302" ht="12.75" customHeight="1">
      <c r="A302" s="35"/>
      <c r="B302" s="35"/>
      <c r="C302" s="35"/>
      <c r="D302" s="35"/>
      <c r="E302" s="35"/>
      <c r="F302" s="35"/>
      <c r="G302" s="35"/>
      <c r="H302" s="35"/>
      <c r="I302" s="35"/>
      <c r="J302" s="35"/>
      <c r="K302" s="35"/>
      <c r="L302" s="35"/>
      <c r="M302" s="35"/>
      <c r="N302" s="35"/>
      <c r="O302" s="35"/>
      <c r="P302" s="35"/>
      <c r="Q302" s="35"/>
      <c r="R302" s="35"/>
      <c r="S302" s="35"/>
      <c r="T302" s="35"/>
      <c r="U302" s="35"/>
      <c r="V302" s="35"/>
      <c r="W302" s="35"/>
      <c r="X302" s="35"/>
      <c r="Y302" s="35"/>
      <c r="Z302" s="35"/>
    </row>
    <row r="303" ht="12.75" customHeight="1">
      <c r="A303" s="35"/>
      <c r="B303" s="35"/>
      <c r="C303" s="35"/>
      <c r="D303" s="35"/>
      <c r="E303" s="35"/>
      <c r="F303" s="35"/>
      <c r="G303" s="35"/>
      <c r="H303" s="35"/>
      <c r="I303" s="35"/>
      <c r="J303" s="35"/>
      <c r="K303" s="35"/>
      <c r="L303" s="35"/>
      <c r="M303" s="35"/>
      <c r="N303" s="35"/>
      <c r="O303" s="35"/>
      <c r="P303" s="35"/>
      <c r="Q303" s="35"/>
      <c r="R303" s="35"/>
      <c r="S303" s="35"/>
      <c r="T303" s="35"/>
      <c r="U303" s="35"/>
      <c r="V303" s="35"/>
      <c r="W303" s="35"/>
      <c r="X303" s="35"/>
      <c r="Y303" s="35"/>
      <c r="Z303" s="35"/>
    </row>
    <row r="304" ht="12.75" customHeight="1">
      <c r="A304" s="35"/>
      <c r="B304" s="35"/>
      <c r="C304" s="35"/>
      <c r="D304" s="35"/>
      <c r="E304" s="35"/>
      <c r="F304" s="35"/>
      <c r="G304" s="35"/>
      <c r="H304" s="35"/>
      <c r="I304" s="35"/>
      <c r="J304" s="35"/>
      <c r="K304" s="35"/>
      <c r="L304" s="35"/>
      <c r="M304" s="35"/>
      <c r="N304" s="35"/>
      <c r="O304" s="35"/>
      <c r="P304" s="35"/>
      <c r="Q304" s="35"/>
      <c r="R304" s="35"/>
      <c r="S304" s="35"/>
      <c r="T304" s="35"/>
      <c r="U304" s="35"/>
      <c r="V304" s="35"/>
      <c r="W304" s="35"/>
      <c r="X304" s="35"/>
      <c r="Y304" s="35"/>
      <c r="Z304" s="35"/>
    </row>
    <row r="305" ht="12.75" customHeight="1">
      <c r="A305" s="35"/>
      <c r="B305" s="35"/>
      <c r="C305" s="35"/>
      <c r="D305" s="35"/>
      <c r="E305" s="35"/>
      <c r="F305" s="35"/>
      <c r="G305" s="35"/>
      <c r="H305" s="35"/>
      <c r="I305" s="35"/>
      <c r="J305" s="35"/>
      <c r="K305" s="35"/>
      <c r="L305" s="35"/>
      <c r="M305" s="35"/>
      <c r="N305" s="35"/>
      <c r="O305" s="35"/>
      <c r="P305" s="35"/>
      <c r="Q305" s="35"/>
      <c r="R305" s="35"/>
      <c r="S305" s="35"/>
      <c r="T305" s="35"/>
      <c r="U305" s="35"/>
      <c r="V305" s="35"/>
      <c r="W305" s="35"/>
      <c r="X305" s="35"/>
      <c r="Y305" s="35"/>
      <c r="Z305" s="35"/>
    </row>
    <row r="306" ht="12.75" customHeight="1">
      <c r="A306" s="35"/>
      <c r="B306" s="35"/>
      <c r="C306" s="35"/>
      <c r="D306" s="35"/>
      <c r="E306" s="35"/>
      <c r="F306" s="35"/>
      <c r="G306" s="35"/>
      <c r="H306" s="35"/>
      <c r="I306" s="35"/>
      <c r="J306" s="35"/>
      <c r="K306" s="35"/>
      <c r="L306" s="35"/>
      <c r="M306" s="35"/>
      <c r="N306" s="35"/>
      <c r="O306" s="35"/>
      <c r="P306" s="35"/>
      <c r="Q306" s="35"/>
      <c r="R306" s="35"/>
      <c r="S306" s="35"/>
      <c r="T306" s="35"/>
      <c r="U306" s="35"/>
      <c r="V306" s="35"/>
      <c r="W306" s="35"/>
      <c r="X306" s="35"/>
      <c r="Y306" s="35"/>
      <c r="Z306" s="35"/>
    </row>
    <row r="307" ht="12.75" customHeight="1">
      <c r="A307" s="35"/>
      <c r="B307" s="35"/>
      <c r="C307" s="35"/>
      <c r="D307" s="35"/>
      <c r="E307" s="35"/>
      <c r="F307" s="35"/>
      <c r="G307" s="35"/>
      <c r="H307" s="35"/>
      <c r="I307" s="35"/>
      <c r="J307" s="35"/>
      <c r="K307" s="35"/>
      <c r="L307" s="35"/>
      <c r="M307" s="35"/>
      <c r="N307" s="35"/>
      <c r="O307" s="35"/>
      <c r="P307" s="35"/>
      <c r="Q307" s="35"/>
      <c r="R307" s="35"/>
      <c r="S307" s="35"/>
      <c r="T307" s="35"/>
      <c r="U307" s="35"/>
      <c r="V307" s="35"/>
      <c r="W307" s="35"/>
      <c r="X307" s="35"/>
      <c r="Y307" s="35"/>
      <c r="Z307" s="35"/>
    </row>
    <row r="308" ht="12.75" customHeight="1">
      <c r="A308" s="35"/>
      <c r="B308" s="35"/>
      <c r="C308" s="35"/>
      <c r="D308" s="35"/>
      <c r="E308" s="35"/>
      <c r="F308" s="35"/>
      <c r="G308" s="35"/>
      <c r="H308" s="35"/>
      <c r="I308" s="35"/>
      <c r="J308" s="35"/>
      <c r="K308" s="35"/>
      <c r="L308" s="35"/>
      <c r="M308" s="35"/>
      <c r="N308" s="35"/>
      <c r="O308" s="35"/>
      <c r="P308" s="35"/>
      <c r="Q308" s="35"/>
      <c r="R308" s="35"/>
      <c r="S308" s="35"/>
      <c r="T308" s="35"/>
      <c r="U308" s="35"/>
      <c r="V308" s="35"/>
      <c r="W308" s="35"/>
      <c r="X308" s="35"/>
      <c r="Y308" s="35"/>
      <c r="Z308" s="35"/>
    </row>
    <row r="309" ht="12.75" customHeight="1">
      <c r="A309" s="35"/>
      <c r="B309" s="35"/>
      <c r="C309" s="35"/>
      <c r="D309" s="35"/>
      <c r="E309" s="35"/>
      <c r="F309" s="35"/>
      <c r="G309" s="35"/>
      <c r="H309" s="35"/>
      <c r="I309" s="35"/>
      <c r="J309" s="35"/>
      <c r="K309" s="35"/>
      <c r="L309" s="35"/>
      <c r="M309" s="35"/>
      <c r="N309" s="35"/>
      <c r="O309" s="35"/>
      <c r="P309" s="35"/>
      <c r="Q309" s="35"/>
      <c r="R309" s="35"/>
      <c r="S309" s="35"/>
      <c r="T309" s="35"/>
      <c r="U309" s="35"/>
      <c r="V309" s="35"/>
      <c r="W309" s="35"/>
      <c r="X309" s="35"/>
      <c r="Y309" s="35"/>
      <c r="Z309" s="35"/>
    </row>
    <row r="310" ht="12.75" customHeight="1">
      <c r="A310" s="35"/>
      <c r="B310" s="35"/>
      <c r="C310" s="35"/>
      <c r="D310" s="35"/>
      <c r="E310" s="35"/>
      <c r="F310" s="35"/>
      <c r="G310" s="35"/>
      <c r="H310" s="35"/>
      <c r="I310" s="35"/>
      <c r="J310" s="35"/>
      <c r="K310" s="35"/>
      <c r="L310" s="35"/>
      <c r="M310" s="35"/>
      <c r="N310" s="35"/>
      <c r="O310" s="35"/>
      <c r="P310" s="35"/>
      <c r="Q310" s="35"/>
      <c r="R310" s="35"/>
      <c r="S310" s="35"/>
      <c r="T310" s="35"/>
      <c r="U310" s="35"/>
      <c r="V310" s="35"/>
      <c r="W310" s="35"/>
      <c r="X310" s="35"/>
      <c r="Y310" s="35"/>
      <c r="Z310" s="35"/>
    </row>
    <row r="311" ht="12.75" customHeight="1">
      <c r="A311" s="35"/>
      <c r="B311" s="35"/>
      <c r="C311" s="35"/>
      <c r="D311" s="35"/>
      <c r="E311" s="35"/>
      <c r="F311" s="35"/>
      <c r="G311" s="35"/>
      <c r="H311" s="35"/>
      <c r="I311" s="35"/>
      <c r="J311" s="35"/>
      <c r="K311" s="35"/>
      <c r="L311" s="35"/>
      <c r="M311" s="35"/>
      <c r="N311" s="35"/>
      <c r="O311" s="35"/>
      <c r="P311" s="35"/>
      <c r="Q311" s="35"/>
      <c r="R311" s="35"/>
      <c r="S311" s="35"/>
      <c r="T311" s="35"/>
      <c r="U311" s="35"/>
      <c r="V311" s="35"/>
      <c r="W311" s="35"/>
      <c r="X311" s="35"/>
      <c r="Y311" s="35"/>
      <c r="Z311" s="35"/>
    </row>
    <row r="312" ht="12.75" customHeight="1">
      <c r="A312" s="35"/>
      <c r="B312" s="35"/>
      <c r="C312" s="35"/>
      <c r="D312" s="35"/>
      <c r="E312" s="35"/>
      <c r="F312" s="35"/>
      <c r="G312" s="35"/>
      <c r="H312" s="35"/>
      <c r="I312" s="35"/>
      <c r="J312" s="35"/>
      <c r="K312" s="35"/>
      <c r="L312" s="35"/>
      <c r="M312" s="35"/>
      <c r="N312" s="35"/>
      <c r="O312" s="35"/>
      <c r="P312" s="35"/>
      <c r="Q312" s="35"/>
      <c r="R312" s="35"/>
      <c r="S312" s="35"/>
      <c r="T312" s="35"/>
      <c r="U312" s="35"/>
      <c r="V312" s="35"/>
      <c r="W312" s="35"/>
      <c r="X312" s="35"/>
      <c r="Y312" s="35"/>
      <c r="Z312" s="35"/>
    </row>
    <row r="313" ht="12.75" customHeight="1">
      <c r="A313" s="35"/>
      <c r="B313" s="35"/>
      <c r="C313" s="35"/>
      <c r="D313" s="35"/>
      <c r="E313" s="35"/>
      <c r="F313" s="35"/>
      <c r="G313" s="35"/>
      <c r="H313" s="35"/>
      <c r="I313" s="35"/>
      <c r="J313" s="35"/>
      <c r="K313" s="35"/>
      <c r="L313" s="35"/>
      <c r="M313" s="35"/>
      <c r="N313" s="35"/>
      <c r="O313" s="35"/>
      <c r="P313" s="35"/>
      <c r="Q313" s="35"/>
      <c r="R313" s="35"/>
      <c r="S313" s="35"/>
      <c r="T313" s="35"/>
      <c r="U313" s="35"/>
      <c r="V313" s="35"/>
      <c r="W313" s="35"/>
      <c r="X313" s="35"/>
      <c r="Y313" s="35"/>
      <c r="Z313" s="35"/>
    </row>
    <row r="314" ht="12.75" customHeight="1">
      <c r="A314" s="35"/>
      <c r="B314" s="35"/>
      <c r="C314" s="35"/>
      <c r="D314" s="35"/>
      <c r="E314" s="35"/>
      <c r="F314" s="35"/>
      <c r="G314" s="35"/>
      <c r="H314" s="35"/>
      <c r="I314" s="35"/>
      <c r="J314" s="35"/>
      <c r="K314" s="35"/>
      <c r="L314" s="35"/>
      <c r="M314" s="35"/>
      <c r="N314" s="35"/>
      <c r="O314" s="35"/>
      <c r="P314" s="35"/>
      <c r="Q314" s="35"/>
      <c r="R314" s="35"/>
      <c r="S314" s="35"/>
      <c r="T314" s="35"/>
      <c r="U314" s="35"/>
      <c r="V314" s="35"/>
      <c r="W314" s="35"/>
      <c r="X314" s="35"/>
      <c r="Y314" s="35"/>
      <c r="Z314" s="35"/>
    </row>
    <row r="315" ht="12.75" customHeight="1">
      <c r="A315" s="35"/>
      <c r="B315" s="35"/>
      <c r="C315" s="35"/>
      <c r="D315" s="35"/>
      <c r="E315" s="35"/>
      <c r="F315" s="35"/>
      <c r="G315" s="35"/>
      <c r="H315" s="35"/>
      <c r="I315" s="35"/>
      <c r="J315" s="35"/>
      <c r="K315" s="35"/>
      <c r="L315" s="35"/>
      <c r="M315" s="35"/>
      <c r="N315" s="35"/>
      <c r="O315" s="35"/>
      <c r="P315" s="35"/>
      <c r="Q315" s="35"/>
      <c r="R315" s="35"/>
      <c r="S315" s="35"/>
      <c r="T315" s="35"/>
      <c r="U315" s="35"/>
      <c r="V315" s="35"/>
      <c r="W315" s="35"/>
      <c r="X315" s="35"/>
      <c r="Y315" s="35"/>
      <c r="Z315" s="35"/>
    </row>
    <row r="316" ht="12.75" customHeight="1">
      <c r="A316" s="35"/>
      <c r="B316" s="35"/>
      <c r="C316" s="35"/>
      <c r="D316" s="35"/>
      <c r="E316" s="35"/>
      <c r="F316" s="35"/>
      <c r="G316" s="35"/>
      <c r="H316" s="35"/>
      <c r="I316" s="35"/>
      <c r="J316" s="35"/>
      <c r="K316" s="35"/>
      <c r="L316" s="35"/>
      <c r="M316" s="35"/>
      <c r="N316" s="35"/>
      <c r="O316" s="35"/>
      <c r="P316" s="35"/>
      <c r="Q316" s="35"/>
      <c r="R316" s="35"/>
      <c r="S316" s="35"/>
      <c r="T316" s="35"/>
      <c r="U316" s="35"/>
      <c r="V316" s="35"/>
      <c r="W316" s="35"/>
      <c r="X316" s="35"/>
      <c r="Y316" s="35"/>
      <c r="Z316" s="35"/>
    </row>
    <row r="317" ht="12.75" customHeight="1">
      <c r="A317" s="35"/>
      <c r="B317" s="35"/>
      <c r="C317" s="35"/>
      <c r="D317" s="35"/>
      <c r="E317" s="35"/>
      <c r="F317" s="35"/>
      <c r="G317" s="35"/>
      <c r="H317" s="35"/>
      <c r="I317" s="35"/>
      <c r="J317" s="35"/>
      <c r="K317" s="35"/>
      <c r="L317" s="35"/>
      <c r="M317" s="35"/>
      <c r="N317" s="35"/>
      <c r="O317" s="35"/>
      <c r="P317" s="35"/>
      <c r="Q317" s="35"/>
      <c r="R317" s="35"/>
      <c r="S317" s="35"/>
      <c r="T317" s="35"/>
      <c r="U317" s="35"/>
      <c r="V317" s="35"/>
      <c r="W317" s="35"/>
      <c r="X317" s="35"/>
      <c r="Y317" s="35"/>
      <c r="Z317" s="35"/>
    </row>
    <row r="318" ht="12.75" customHeight="1">
      <c r="A318" s="35"/>
      <c r="B318" s="35"/>
      <c r="C318" s="35"/>
      <c r="D318" s="35"/>
      <c r="E318" s="35"/>
      <c r="F318" s="35"/>
      <c r="G318" s="35"/>
      <c r="H318" s="35"/>
      <c r="I318" s="35"/>
      <c r="J318" s="35"/>
      <c r="K318" s="35"/>
      <c r="L318" s="35"/>
      <c r="M318" s="35"/>
      <c r="N318" s="35"/>
      <c r="O318" s="35"/>
      <c r="P318" s="35"/>
      <c r="Q318" s="35"/>
      <c r="R318" s="35"/>
      <c r="S318" s="35"/>
      <c r="T318" s="35"/>
      <c r="U318" s="35"/>
      <c r="V318" s="35"/>
      <c r="W318" s="35"/>
      <c r="X318" s="35"/>
      <c r="Y318" s="35"/>
      <c r="Z318" s="35"/>
    </row>
    <row r="319" ht="12.75" customHeight="1">
      <c r="A319" s="35"/>
      <c r="B319" s="35"/>
      <c r="C319" s="35"/>
      <c r="D319" s="35"/>
      <c r="E319" s="35"/>
      <c r="F319" s="35"/>
      <c r="G319" s="35"/>
      <c r="H319" s="35"/>
      <c r="I319" s="35"/>
      <c r="J319" s="35"/>
      <c r="K319" s="35"/>
      <c r="L319" s="35"/>
      <c r="M319" s="35"/>
      <c r="N319" s="35"/>
      <c r="O319" s="35"/>
      <c r="P319" s="35"/>
      <c r="Q319" s="35"/>
      <c r="R319" s="35"/>
      <c r="S319" s="35"/>
      <c r="T319" s="35"/>
      <c r="U319" s="35"/>
      <c r="V319" s="35"/>
      <c r="W319" s="35"/>
      <c r="X319" s="35"/>
      <c r="Y319" s="35"/>
      <c r="Z319" s="35"/>
    </row>
    <row r="320" ht="12.75" customHeight="1">
      <c r="A320" s="35"/>
      <c r="B320" s="35"/>
      <c r="C320" s="35"/>
      <c r="D320" s="35"/>
      <c r="E320" s="35"/>
      <c r="F320" s="35"/>
      <c r="G320" s="35"/>
      <c r="H320" s="35"/>
      <c r="I320" s="35"/>
      <c r="J320" s="35"/>
      <c r="K320" s="35"/>
      <c r="L320" s="35"/>
      <c r="M320" s="35"/>
      <c r="N320" s="35"/>
      <c r="O320" s="35"/>
      <c r="P320" s="35"/>
      <c r="Q320" s="35"/>
      <c r="R320" s="35"/>
      <c r="S320" s="35"/>
      <c r="T320" s="35"/>
      <c r="U320" s="35"/>
      <c r="V320" s="35"/>
      <c r="W320" s="35"/>
      <c r="X320" s="35"/>
      <c r="Y320" s="35"/>
      <c r="Z320" s="35"/>
    </row>
    <row r="321" ht="12.75" customHeight="1">
      <c r="A321" s="35"/>
      <c r="B321" s="35"/>
      <c r="C321" s="35"/>
      <c r="D321" s="35"/>
      <c r="E321" s="35"/>
      <c r="F321" s="35"/>
      <c r="G321" s="35"/>
      <c r="H321" s="35"/>
      <c r="I321" s="35"/>
      <c r="J321" s="35"/>
      <c r="K321" s="35"/>
      <c r="L321" s="35"/>
      <c r="M321" s="35"/>
      <c r="N321" s="35"/>
      <c r="O321" s="35"/>
      <c r="P321" s="35"/>
      <c r="Q321" s="35"/>
      <c r="R321" s="35"/>
      <c r="S321" s="35"/>
      <c r="T321" s="35"/>
      <c r="U321" s="35"/>
      <c r="V321" s="35"/>
      <c r="W321" s="35"/>
      <c r="X321" s="35"/>
      <c r="Y321" s="35"/>
      <c r="Z321" s="35"/>
    </row>
    <row r="322" ht="12.75" customHeight="1">
      <c r="A322" s="35"/>
      <c r="B322" s="35"/>
      <c r="C322" s="35"/>
      <c r="D322" s="35"/>
      <c r="E322" s="35"/>
      <c r="F322" s="35"/>
      <c r="G322" s="35"/>
      <c r="H322" s="35"/>
      <c r="I322" s="35"/>
      <c r="J322" s="35"/>
      <c r="K322" s="35"/>
      <c r="L322" s="35"/>
      <c r="M322" s="35"/>
      <c r="N322" s="35"/>
      <c r="O322" s="35"/>
      <c r="P322" s="35"/>
      <c r="Q322" s="35"/>
      <c r="R322" s="35"/>
      <c r="S322" s="35"/>
      <c r="T322" s="35"/>
      <c r="U322" s="35"/>
      <c r="V322" s="35"/>
      <c r="W322" s="35"/>
      <c r="X322" s="35"/>
      <c r="Y322" s="35"/>
      <c r="Z322" s="35"/>
    </row>
    <row r="323" ht="12.75" customHeight="1">
      <c r="A323" s="35"/>
      <c r="B323" s="35"/>
      <c r="C323" s="35"/>
      <c r="D323" s="35"/>
      <c r="E323" s="35"/>
      <c r="F323" s="35"/>
      <c r="G323" s="35"/>
      <c r="H323" s="35"/>
      <c r="I323" s="35"/>
      <c r="J323" s="35"/>
      <c r="K323" s="35"/>
      <c r="L323" s="35"/>
      <c r="M323" s="35"/>
      <c r="N323" s="35"/>
      <c r="O323" s="35"/>
      <c r="P323" s="35"/>
      <c r="Q323" s="35"/>
      <c r="R323" s="35"/>
      <c r="S323" s="35"/>
      <c r="T323" s="35"/>
      <c r="U323" s="35"/>
      <c r="V323" s="35"/>
      <c r="W323" s="35"/>
      <c r="X323" s="35"/>
      <c r="Y323" s="35"/>
      <c r="Z323" s="35"/>
    </row>
    <row r="324" ht="12.75" customHeight="1">
      <c r="A324" s="35"/>
      <c r="B324" s="35"/>
      <c r="C324" s="35"/>
      <c r="D324" s="35"/>
      <c r="E324" s="35"/>
      <c r="F324" s="35"/>
      <c r="G324" s="35"/>
      <c r="H324" s="35"/>
      <c r="I324" s="35"/>
      <c r="J324" s="35"/>
      <c r="K324" s="35"/>
      <c r="L324" s="35"/>
      <c r="M324" s="35"/>
      <c r="N324" s="35"/>
      <c r="O324" s="35"/>
      <c r="P324" s="35"/>
      <c r="Q324" s="35"/>
      <c r="R324" s="35"/>
      <c r="S324" s="35"/>
      <c r="T324" s="35"/>
      <c r="U324" s="35"/>
      <c r="V324" s="35"/>
      <c r="W324" s="35"/>
      <c r="X324" s="35"/>
      <c r="Y324" s="35"/>
      <c r="Z324" s="35"/>
    </row>
    <row r="325" ht="12.75" customHeight="1">
      <c r="A325" s="35"/>
      <c r="B325" s="35"/>
      <c r="C325" s="35"/>
      <c r="D325" s="35"/>
      <c r="E325" s="35"/>
      <c r="F325" s="35"/>
      <c r="G325" s="35"/>
      <c r="H325" s="35"/>
      <c r="I325" s="35"/>
      <c r="J325" s="35"/>
      <c r="K325" s="35"/>
      <c r="L325" s="35"/>
      <c r="M325" s="35"/>
      <c r="N325" s="35"/>
      <c r="O325" s="35"/>
      <c r="P325" s="35"/>
      <c r="Q325" s="35"/>
      <c r="R325" s="35"/>
      <c r="S325" s="35"/>
      <c r="T325" s="35"/>
      <c r="U325" s="35"/>
      <c r="V325" s="35"/>
      <c r="W325" s="35"/>
      <c r="X325" s="35"/>
      <c r="Y325" s="35"/>
      <c r="Z325" s="35"/>
    </row>
    <row r="326" ht="12.75" customHeight="1">
      <c r="A326" s="35"/>
      <c r="B326" s="35"/>
      <c r="C326" s="35"/>
      <c r="D326" s="35"/>
      <c r="E326" s="35"/>
      <c r="F326" s="35"/>
      <c r="G326" s="35"/>
      <c r="H326" s="35"/>
      <c r="I326" s="35"/>
      <c r="J326" s="35"/>
      <c r="K326" s="35"/>
      <c r="L326" s="35"/>
      <c r="M326" s="35"/>
      <c r="N326" s="35"/>
      <c r="O326" s="35"/>
      <c r="P326" s="35"/>
      <c r="Q326" s="35"/>
      <c r="R326" s="35"/>
      <c r="S326" s="35"/>
      <c r="T326" s="35"/>
      <c r="U326" s="35"/>
      <c r="V326" s="35"/>
      <c r="W326" s="35"/>
      <c r="X326" s="35"/>
      <c r="Y326" s="35"/>
      <c r="Z326" s="35"/>
    </row>
    <row r="327" ht="12.75" customHeight="1">
      <c r="A327" s="35"/>
      <c r="B327" s="35"/>
      <c r="C327" s="35"/>
      <c r="D327" s="35"/>
      <c r="E327" s="35"/>
      <c r="F327" s="35"/>
      <c r="G327" s="35"/>
      <c r="H327" s="35"/>
      <c r="I327" s="35"/>
      <c r="J327" s="35"/>
      <c r="K327" s="35"/>
      <c r="L327" s="35"/>
      <c r="M327" s="35"/>
      <c r="N327" s="35"/>
      <c r="O327" s="35"/>
      <c r="P327" s="35"/>
      <c r="Q327" s="35"/>
      <c r="R327" s="35"/>
      <c r="S327" s="35"/>
      <c r="T327" s="35"/>
      <c r="U327" s="35"/>
      <c r="V327" s="35"/>
      <c r="W327" s="35"/>
      <c r="X327" s="35"/>
      <c r="Y327" s="35"/>
      <c r="Z327" s="35"/>
    </row>
    <row r="328" ht="12.75" customHeight="1">
      <c r="A328" s="35"/>
      <c r="B328" s="35"/>
      <c r="C328" s="35"/>
      <c r="D328" s="35"/>
      <c r="E328" s="35"/>
      <c r="F328" s="35"/>
      <c r="G328" s="35"/>
      <c r="H328" s="35"/>
      <c r="I328" s="35"/>
      <c r="J328" s="35"/>
      <c r="K328" s="35"/>
      <c r="L328" s="35"/>
      <c r="M328" s="35"/>
      <c r="N328" s="35"/>
      <c r="O328" s="35"/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5"/>
    </row>
    <row r="329" ht="12.75" customHeight="1">
      <c r="A329" s="35"/>
      <c r="B329" s="35"/>
      <c r="C329" s="35"/>
      <c r="D329" s="35"/>
      <c r="E329" s="35"/>
      <c r="F329" s="35"/>
      <c r="G329" s="35"/>
      <c r="H329" s="35"/>
      <c r="I329" s="35"/>
      <c r="J329" s="35"/>
      <c r="K329" s="35"/>
      <c r="L329" s="35"/>
      <c r="M329" s="35"/>
      <c r="N329" s="35"/>
      <c r="O329" s="35"/>
      <c r="P329" s="35"/>
      <c r="Q329" s="35"/>
      <c r="R329" s="35"/>
      <c r="S329" s="35"/>
      <c r="T329" s="35"/>
      <c r="U329" s="35"/>
      <c r="V329" s="35"/>
      <c r="W329" s="35"/>
      <c r="X329" s="35"/>
      <c r="Y329" s="35"/>
      <c r="Z329" s="35"/>
    </row>
    <row r="330" ht="12.75" customHeight="1">
      <c r="A330" s="35"/>
      <c r="B330" s="35"/>
      <c r="C330" s="35"/>
      <c r="D330" s="35"/>
      <c r="E330" s="35"/>
      <c r="F330" s="35"/>
      <c r="G330" s="35"/>
      <c r="H330" s="35"/>
      <c r="I330" s="35"/>
      <c r="J330" s="35"/>
      <c r="K330" s="35"/>
      <c r="L330" s="35"/>
      <c r="M330" s="35"/>
      <c r="N330" s="35"/>
      <c r="O330" s="35"/>
      <c r="P330" s="35"/>
      <c r="Q330" s="35"/>
      <c r="R330" s="35"/>
      <c r="S330" s="35"/>
      <c r="T330" s="35"/>
      <c r="U330" s="35"/>
      <c r="V330" s="35"/>
      <c r="W330" s="35"/>
      <c r="X330" s="35"/>
      <c r="Y330" s="35"/>
      <c r="Z330" s="35"/>
    </row>
    <row r="331" ht="12.75" customHeight="1">
      <c r="A331" s="35"/>
      <c r="B331" s="35"/>
      <c r="C331" s="35"/>
      <c r="D331" s="35"/>
      <c r="E331" s="35"/>
      <c r="F331" s="35"/>
      <c r="G331" s="35"/>
      <c r="H331" s="35"/>
      <c r="I331" s="35"/>
      <c r="J331" s="35"/>
      <c r="K331" s="35"/>
      <c r="L331" s="35"/>
      <c r="M331" s="35"/>
      <c r="N331" s="35"/>
      <c r="O331" s="35"/>
      <c r="P331" s="35"/>
      <c r="Q331" s="35"/>
      <c r="R331" s="35"/>
      <c r="S331" s="35"/>
      <c r="T331" s="35"/>
      <c r="U331" s="35"/>
      <c r="V331" s="35"/>
      <c r="W331" s="35"/>
      <c r="X331" s="35"/>
      <c r="Y331" s="35"/>
      <c r="Z331" s="35"/>
    </row>
    <row r="332" ht="12.75" customHeight="1">
      <c r="A332" s="35"/>
      <c r="B332" s="35"/>
      <c r="C332" s="35"/>
      <c r="D332" s="35"/>
      <c r="E332" s="35"/>
      <c r="F332" s="35"/>
      <c r="G332" s="35"/>
      <c r="H332" s="35"/>
      <c r="I332" s="35"/>
      <c r="J332" s="35"/>
      <c r="K332" s="35"/>
      <c r="L332" s="35"/>
      <c r="M332" s="35"/>
      <c r="N332" s="35"/>
      <c r="O332" s="35"/>
      <c r="P332" s="35"/>
      <c r="Q332" s="35"/>
      <c r="R332" s="35"/>
      <c r="S332" s="35"/>
      <c r="T332" s="35"/>
      <c r="U332" s="35"/>
      <c r="V332" s="35"/>
      <c r="W332" s="35"/>
      <c r="X332" s="35"/>
      <c r="Y332" s="35"/>
      <c r="Z332" s="35"/>
    </row>
    <row r="333" ht="12.75" customHeight="1">
      <c r="A333" s="35"/>
      <c r="B333" s="35"/>
      <c r="C333" s="35"/>
      <c r="D333" s="35"/>
      <c r="E333" s="35"/>
      <c r="F333" s="35"/>
      <c r="G333" s="35"/>
      <c r="H333" s="35"/>
      <c r="I333" s="35"/>
      <c r="J333" s="35"/>
      <c r="K333" s="35"/>
      <c r="L333" s="35"/>
      <c r="M333" s="35"/>
      <c r="N333" s="35"/>
      <c r="O333" s="35"/>
      <c r="P333" s="35"/>
      <c r="Q333" s="35"/>
      <c r="R333" s="35"/>
      <c r="S333" s="35"/>
      <c r="T333" s="35"/>
      <c r="U333" s="35"/>
      <c r="V333" s="35"/>
      <c r="W333" s="35"/>
      <c r="X333" s="35"/>
      <c r="Y333" s="35"/>
      <c r="Z333" s="35"/>
    </row>
    <row r="334" ht="12.75" customHeight="1">
      <c r="A334" s="35"/>
      <c r="B334" s="35"/>
      <c r="C334" s="35"/>
      <c r="D334" s="35"/>
      <c r="E334" s="35"/>
      <c r="F334" s="35"/>
      <c r="G334" s="35"/>
      <c r="H334" s="35"/>
      <c r="I334" s="35"/>
      <c r="J334" s="35"/>
      <c r="K334" s="35"/>
      <c r="L334" s="35"/>
      <c r="M334" s="35"/>
      <c r="N334" s="35"/>
      <c r="O334" s="35"/>
      <c r="P334" s="35"/>
      <c r="Q334" s="35"/>
      <c r="R334" s="35"/>
      <c r="S334" s="35"/>
      <c r="T334" s="35"/>
      <c r="U334" s="35"/>
      <c r="V334" s="35"/>
      <c r="W334" s="35"/>
      <c r="X334" s="35"/>
      <c r="Y334" s="35"/>
      <c r="Z334" s="35"/>
    </row>
    <row r="335" ht="12.75" customHeight="1">
      <c r="A335" s="35"/>
      <c r="B335" s="35"/>
      <c r="C335" s="35"/>
      <c r="D335" s="35"/>
      <c r="E335" s="35"/>
      <c r="F335" s="35"/>
      <c r="G335" s="35"/>
      <c r="H335" s="35"/>
      <c r="I335" s="35"/>
      <c r="J335" s="35"/>
      <c r="K335" s="35"/>
      <c r="L335" s="35"/>
      <c r="M335" s="35"/>
      <c r="N335" s="35"/>
      <c r="O335" s="35"/>
      <c r="P335" s="35"/>
      <c r="Q335" s="35"/>
      <c r="R335" s="35"/>
      <c r="S335" s="35"/>
      <c r="T335" s="35"/>
      <c r="U335" s="35"/>
      <c r="V335" s="35"/>
      <c r="W335" s="35"/>
      <c r="X335" s="35"/>
      <c r="Y335" s="35"/>
      <c r="Z335" s="35"/>
    </row>
    <row r="336" ht="12.75" customHeight="1">
      <c r="A336" s="35"/>
      <c r="B336" s="35"/>
      <c r="C336" s="35"/>
      <c r="D336" s="35"/>
      <c r="E336" s="35"/>
      <c r="F336" s="35"/>
      <c r="G336" s="35"/>
      <c r="H336" s="35"/>
      <c r="I336" s="35"/>
      <c r="J336" s="35"/>
      <c r="K336" s="35"/>
      <c r="L336" s="35"/>
      <c r="M336" s="35"/>
      <c r="N336" s="35"/>
      <c r="O336" s="35"/>
      <c r="P336" s="35"/>
      <c r="Q336" s="35"/>
      <c r="R336" s="35"/>
      <c r="S336" s="35"/>
      <c r="T336" s="35"/>
      <c r="U336" s="35"/>
      <c r="V336" s="35"/>
      <c r="W336" s="35"/>
      <c r="X336" s="35"/>
      <c r="Y336" s="35"/>
      <c r="Z336" s="35"/>
    </row>
    <row r="337" ht="12.75" customHeight="1">
      <c r="A337" s="35"/>
      <c r="B337" s="35"/>
      <c r="C337" s="35"/>
      <c r="D337" s="35"/>
      <c r="E337" s="35"/>
      <c r="F337" s="35"/>
      <c r="G337" s="35"/>
      <c r="H337" s="35"/>
      <c r="I337" s="35"/>
      <c r="J337" s="35"/>
      <c r="K337" s="35"/>
      <c r="L337" s="35"/>
      <c r="M337" s="35"/>
      <c r="N337" s="35"/>
      <c r="O337" s="35"/>
      <c r="P337" s="35"/>
      <c r="Q337" s="35"/>
      <c r="R337" s="35"/>
      <c r="S337" s="35"/>
      <c r="T337" s="35"/>
      <c r="U337" s="35"/>
      <c r="V337" s="35"/>
      <c r="W337" s="35"/>
      <c r="X337" s="35"/>
      <c r="Y337" s="35"/>
      <c r="Z337" s="35"/>
    </row>
    <row r="338" ht="12.75" customHeight="1">
      <c r="A338" s="35"/>
      <c r="B338" s="35"/>
      <c r="C338" s="35"/>
      <c r="D338" s="35"/>
      <c r="E338" s="35"/>
      <c r="F338" s="35"/>
      <c r="G338" s="35"/>
      <c r="H338" s="35"/>
      <c r="I338" s="35"/>
      <c r="J338" s="35"/>
      <c r="K338" s="35"/>
      <c r="L338" s="35"/>
      <c r="M338" s="35"/>
      <c r="N338" s="35"/>
      <c r="O338" s="35"/>
      <c r="P338" s="35"/>
      <c r="Q338" s="35"/>
      <c r="R338" s="35"/>
      <c r="S338" s="35"/>
      <c r="T338" s="35"/>
      <c r="U338" s="35"/>
      <c r="V338" s="35"/>
      <c r="W338" s="35"/>
      <c r="X338" s="35"/>
      <c r="Y338" s="35"/>
      <c r="Z338" s="35"/>
    </row>
    <row r="339" ht="12.75" customHeight="1">
      <c r="A339" s="35"/>
      <c r="B339" s="35"/>
      <c r="C339" s="35"/>
      <c r="D339" s="35"/>
      <c r="E339" s="35"/>
      <c r="F339" s="35"/>
      <c r="G339" s="35"/>
      <c r="H339" s="35"/>
      <c r="I339" s="35"/>
      <c r="J339" s="35"/>
      <c r="K339" s="35"/>
      <c r="L339" s="35"/>
      <c r="M339" s="35"/>
      <c r="N339" s="35"/>
      <c r="O339" s="35"/>
      <c r="P339" s="35"/>
      <c r="Q339" s="35"/>
      <c r="R339" s="35"/>
      <c r="S339" s="35"/>
      <c r="T339" s="35"/>
      <c r="U339" s="35"/>
      <c r="V339" s="35"/>
      <c r="W339" s="35"/>
      <c r="X339" s="35"/>
      <c r="Y339" s="35"/>
      <c r="Z339" s="35"/>
    </row>
    <row r="340" ht="12.75" customHeight="1">
      <c r="A340" s="35"/>
      <c r="B340" s="35"/>
      <c r="C340" s="35"/>
      <c r="D340" s="35"/>
      <c r="E340" s="35"/>
      <c r="F340" s="35"/>
      <c r="G340" s="35"/>
      <c r="H340" s="35"/>
      <c r="I340" s="35"/>
      <c r="J340" s="35"/>
      <c r="K340" s="35"/>
      <c r="L340" s="35"/>
      <c r="M340" s="35"/>
      <c r="N340" s="35"/>
      <c r="O340" s="35"/>
      <c r="P340" s="35"/>
      <c r="Q340" s="35"/>
      <c r="R340" s="35"/>
      <c r="S340" s="35"/>
      <c r="T340" s="35"/>
      <c r="U340" s="35"/>
      <c r="V340" s="35"/>
      <c r="W340" s="35"/>
      <c r="X340" s="35"/>
      <c r="Y340" s="35"/>
      <c r="Z340" s="35"/>
    </row>
    <row r="341" ht="12.75" customHeight="1">
      <c r="A341" s="35"/>
      <c r="B341" s="35"/>
      <c r="C341" s="35"/>
      <c r="D341" s="35"/>
      <c r="E341" s="35"/>
      <c r="F341" s="35"/>
      <c r="G341" s="35"/>
      <c r="H341" s="35"/>
      <c r="I341" s="35"/>
      <c r="J341" s="35"/>
      <c r="K341" s="35"/>
      <c r="L341" s="35"/>
      <c r="M341" s="35"/>
      <c r="N341" s="35"/>
      <c r="O341" s="35"/>
      <c r="P341" s="35"/>
      <c r="Q341" s="35"/>
      <c r="R341" s="35"/>
      <c r="S341" s="35"/>
      <c r="T341" s="35"/>
      <c r="U341" s="35"/>
      <c r="V341" s="35"/>
      <c r="W341" s="35"/>
      <c r="X341" s="35"/>
      <c r="Y341" s="35"/>
      <c r="Z341" s="35"/>
    </row>
    <row r="342" ht="12.75" customHeight="1">
      <c r="A342" s="35"/>
      <c r="B342" s="35"/>
      <c r="C342" s="35"/>
      <c r="D342" s="35"/>
      <c r="E342" s="35"/>
      <c r="F342" s="35"/>
      <c r="G342" s="35"/>
      <c r="H342" s="35"/>
      <c r="I342" s="35"/>
      <c r="J342" s="35"/>
      <c r="K342" s="35"/>
      <c r="L342" s="35"/>
      <c r="M342" s="35"/>
      <c r="N342" s="35"/>
      <c r="O342" s="35"/>
      <c r="P342" s="35"/>
      <c r="Q342" s="35"/>
      <c r="R342" s="35"/>
      <c r="S342" s="35"/>
      <c r="T342" s="35"/>
      <c r="U342" s="35"/>
      <c r="V342" s="35"/>
      <c r="W342" s="35"/>
      <c r="X342" s="35"/>
      <c r="Y342" s="35"/>
      <c r="Z342" s="35"/>
    </row>
    <row r="343" ht="12.75" customHeight="1">
      <c r="A343" s="35"/>
      <c r="B343" s="35"/>
      <c r="C343" s="35"/>
      <c r="D343" s="35"/>
      <c r="E343" s="35"/>
      <c r="F343" s="35"/>
      <c r="G343" s="35"/>
      <c r="H343" s="35"/>
      <c r="I343" s="35"/>
      <c r="J343" s="35"/>
      <c r="K343" s="35"/>
      <c r="L343" s="35"/>
      <c r="M343" s="35"/>
      <c r="N343" s="35"/>
      <c r="O343" s="35"/>
      <c r="P343" s="35"/>
      <c r="Q343" s="35"/>
      <c r="R343" s="35"/>
      <c r="S343" s="35"/>
      <c r="T343" s="35"/>
      <c r="U343" s="35"/>
      <c r="V343" s="35"/>
      <c r="W343" s="35"/>
      <c r="X343" s="35"/>
      <c r="Y343" s="35"/>
      <c r="Z343" s="35"/>
    </row>
    <row r="344" ht="12.75" customHeight="1">
      <c r="A344" s="35"/>
      <c r="B344" s="35"/>
      <c r="C344" s="35"/>
      <c r="D344" s="35"/>
      <c r="E344" s="35"/>
      <c r="F344" s="35"/>
      <c r="G344" s="35"/>
      <c r="H344" s="35"/>
      <c r="I344" s="35"/>
      <c r="J344" s="35"/>
      <c r="K344" s="35"/>
      <c r="L344" s="35"/>
      <c r="M344" s="35"/>
      <c r="N344" s="35"/>
      <c r="O344" s="35"/>
      <c r="P344" s="35"/>
      <c r="Q344" s="35"/>
      <c r="R344" s="35"/>
      <c r="S344" s="35"/>
      <c r="T344" s="35"/>
      <c r="U344" s="35"/>
      <c r="V344" s="35"/>
      <c r="W344" s="35"/>
      <c r="X344" s="35"/>
      <c r="Y344" s="35"/>
      <c r="Z344" s="35"/>
    </row>
    <row r="345" ht="12.75" customHeight="1">
      <c r="A345" s="35"/>
      <c r="B345" s="35"/>
      <c r="C345" s="35"/>
      <c r="D345" s="35"/>
      <c r="E345" s="35"/>
      <c r="F345" s="35"/>
      <c r="G345" s="35"/>
      <c r="H345" s="35"/>
      <c r="I345" s="35"/>
      <c r="J345" s="35"/>
      <c r="K345" s="35"/>
      <c r="L345" s="35"/>
      <c r="M345" s="35"/>
      <c r="N345" s="35"/>
      <c r="O345" s="35"/>
      <c r="P345" s="35"/>
      <c r="Q345" s="35"/>
      <c r="R345" s="35"/>
      <c r="S345" s="35"/>
      <c r="T345" s="35"/>
      <c r="U345" s="35"/>
      <c r="V345" s="35"/>
      <c r="W345" s="35"/>
      <c r="X345" s="35"/>
      <c r="Y345" s="35"/>
      <c r="Z345" s="35"/>
    </row>
    <row r="346" ht="12.75" customHeight="1">
      <c r="A346" s="35"/>
      <c r="B346" s="35"/>
      <c r="C346" s="35"/>
      <c r="D346" s="35"/>
      <c r="E346" s="35"/>
      <c r="F346" s="35"/>
      <c r="G346" s="35"/>
      <c r="H346" s="35"/>
      <c r="I346" s="35"/>
      <c r="J346" s="35"/>
      <c r="K346" s="35"/>
      <c r="L346" s="35"/>
      <c r="M346" s="35"/>
      <c r="N346" s="35"/>
      <c r="O346" s="35"/>
      <c r="P346" s="35"/>
      <c r="Q346" s="35"/>
      <c r="R346" s="35"/>
      <c r="S346" s="35"/>
      <c r="T346" s="35"/>
      <c r="U346" s="35"/>
      <c r="V346" s="35"/>
      <c r="W346" s="35"/>
      <c r="X346" s="35"/>
      <c r="Y346" s="35"/>
      <c r="Z346" s="35"/>
    </row>
    <row r="347" ht="12.75" customHeight="1">
      <c r="A347" s="35"/>
      <c r="B347" s="35"/>
      <c r="C347" s="35"/>
      <c r="D347" s="35"/>
      <c r="E347" s="35"/>
      <c r="F347" s="35"/>
      <c r="G347" s="35"/>
      <c r="H347" s="35"/>
      <c r="I347" s="35"/>
      <c r="J347" s="35"/>
      <c r="K347" s="35"/>
      <c r="L347" s="35"/>
      <c r="M347" s="35"/>
      <c r="N347" s="35"/>
      <c r="O347" s="35"/>
      <c r="P347" s="35"/>
      <c r="Q347" s="35"/>
      <c r="R347" s="35"/>
      <c r="S347" s="35"/>
      <c r="T347" s="35"/>
      <c r="U347" s="35"/>
      <c r="V347" s="35"/>
      <c r="W347" s="35"/>
      <c r="X347" s="35"/>
      <c r="Y347" s="35"/>
      <c r="Z347" s="35"/>
    </row>
    <row r="348" ht="12.75" customHeight="1">
      <c r="A348" s="35"/>
      <c r="B348" s="35"/>
      <c r="C348" s="35"/>
      <c r="D348" s="35"/>
      <c r="E348" s="35"/>
      <c r="F348" s="35"/>
      <c r="G348" s="35"/>
      <c r="H348" s="35"/>
      <c r="I348" s="35"/>
      <c r="J348" s="35"/>
      <c r="K348" s="35"/>
      <c r="L348" s="35"/>
      <c r="M348" s="35"/>
      <c r="N348" s="35"/>
      <c r="O348" s="35"/>
      <c r="P348" s="35"/>
      <c r="Q348" s="35"/>
      <c r="R348" s="35"/>
      <c r="S348" s="35"/>
      <c r="T348" s="35"/>
      <c r="U348" s="35"/>
      <c r="V348" s="35"/>
      <c r="W348" s="35"/>
      <c r="X348" s="35"/>
      <c r="Y348" s="35"/>
      <c r="Z348" s="35"/>
    </row>
    <row r="349" ht="12.75" customHeight="1">
      <c r="A349" s="35"/>
      <c r="B349" s="35"/>
      <c r="C349" s="35"/>
      <c r="D349" s="35"/>
      <c r="E349" s="35"/>
      <c r="F349" s="35"/>
      <c r="G349" s="35"/>
      <c r="H349" s="35"/>
      <c r="I349" s="35"/>
      <c r="J349" s="35"/>
      <c r="K349" s="35"/>
      <c r="L349" s="35"/>
      <c r="M349" s="35"/>
      <c r="N349" s="35"/>
      <c r="O349" s="35"/>
      <c r="P349" s="35"/>
      <c r="Q349" s="35"/>
      <c r="R349" s="35"/>
      <c r="S349" s="35"/>
      <c r="T349" s="35"/>
      <c r="U349" s="35"/>
      <c r="V349" s="35"/>
      <c r="W349" s="35"/>
      <c r="X349" s="35"/>
      <c r="Y349" s="35"/>
      <c r="Z349" s="35"/>
    </row>
    <row r="350" ht="12.75" customHeight="1">
      <c r="A350" s="35"/>
      <c r="B350" s="35"/>
      <c r="C350" s="35"/>
      <c r="D350" s="35"/>
      <c r="E350" s="35"/>
      <c r="F350" s="35"/>
      <c r="G350" s="35"/>
      <c r="H350" s="35"/>
      <c r="I350" s="35"/>
      <c r="J350" s="35"/>
      <c r="K350" s="35"/>
      <c r="L350" s="35"/>
      <c r="M350" s="35"/>
      <c r="N350" s="35"/>
      <c r="O350" s="35"/>
      <c r="P350" s="35"/>
      <c r="Q350" s="35"/>
      <c r="R350" s="35"/>
      <c r="S350" s="35"/>
      <c r="T350" s="35"/>
      <c r="U350" s="35"/>
      <c r="V350" s="35"/>
      <c r="W350" s="35"/>
      <c r="X350" s="35"/>
      <c r="Y350" s="35"/>
      <c r="Z350" s="35"/>
    </row>
    <row r="351" ht="12.75" customHeight="1">
      <c r="A351" s="35"/>
      <c r="B351" s="35"/>
      <c r="C351" s="35"/>
      <c r="D351" s="35"/>
      <c r="E351" s="35"/>
      <c r="F351" s="35"/>
      <c r="G351" s="35"/>
      <c r="H351" s="35"/>
      <c r="I351" s="35"/>
      <c r="J351" s="35"/>
      <c r="K351" s="35"/>
      <c r="L351" s="35"/>
      <c r="M351" s="35"/>
      <c r="N351" s="35"/>
      <c r="O351" s="35"/>
      <c r="P351" s="35"/>
      <c r="Q351" s="35"/>
      <c r="R351" s="35"/>
      <c r="S351" s="35"/>
      <c r="T351" s="35"/>
      <c r="U351" s="35"/>
      <c r="V351" s="35"/>
      <c r="W351" s="35"/>
      <c r="X351" s="35"/>
      <c r="Y351" s="35"/>
      <c r="Z351" s="35"/>
    </row>
    <row r="352" ht="12.75" customHeight="1">
      <c r="A352" s="35"/>
      <c r="B352" s="35"/>
      <c r="C352" s="35"/>
      <c r="D352" s="35"/>
      <c r="E352" s="35"/>
      <c r="F352" s="35"/>
      <c r="G352" s="35"/>
      <c r="H352" s="35"/>
      <c r="I352" s="35"/>
      <c r="J352" s="35"/>
      <c r="K352" s="35"/>
      <c r="L352" s="35"/>
      <c r="M352" s="35"/>
      <c r="N352" s="35"/>
      <c r="O352" s="35"/>
      <c r="P352" s="35"/>
      <c r="Q352" s="35"/>
      <c r="R352" s="35"/>
      <c r="S352" s="35"/>
      <c r="T352" s="35"/>
      <c r="U352" s="35"/>
      <c r="V352" s="35"/>
      <c r="W352" s="35"/>
      <c r="X352" s="35"/>
      <c r="Y352" s="35"/>
      <c r="Z352" s="35"/>
    </row>
    <row r="353" ht="12.75" customHeight="1">
      <c r="A353" s="35"/>
      <c r="B353" s="35"/>
      <c r="C353" s="35"/>
      <c r="D353" s="35"/>
      <c r="E353" s="35"/>
      <c r="F353" s="35"/>
      <c r="G353" s="35"/>
      <c r="H353" s="35"/>
      <c r="I353" s="35"/>
      <c r="J353" s="35"/>
      <c r="K353" s="35"/>
      <c r="L353" s="35"/>
      <c r="M353" s="35"/>
      <c r="N353" s="35"/>
      <c r="O353" s="35"/>
      <c r="P353" s="35"/>
      <c r="Q353" s="35"/>
      <c r="R353" s="35"/>
      <c r="S353" s="35"/>
      <c r="T353" s="35"/>
      <c r="U353" s="35"/>
      <c r="V353" s="35"/>
      <c r="W353" s="35"/>
      <c r="X353" s="35"/>
      <c r="Y353" s="35"/>
      <c r="Z353" s="35"/>
    </row>
    <row r="354" ht="12.75" customHeight="1">
      <c r="A354" s="35"/>
      <c r="B354" s="35"/>
      <c r="C354" s="35"/>
      <c r="D354" s="35"/>
      <c r="E354" s="35"/>
      <c r="F354" s="35"/>
      <c r="G354" s="35"/>
      <c r="H354" s="35"/>
      <c r="I354" s="35"/>
      <c r="J354" s="35"/>
      <c r="K354" s="35"/>
      <c r="L354" s="35"/>
      <c r="M354" s="35"/>
      <c r="N354" s="35"/>
      <c r="O354" s="35"/>
      <c r="P354" s="35"/>
      <c r="Q354" s="35"/>
      <c r="R354" s="35"/>
      <c r="S354" s="35"/>
      <c r="T354" s="35"/>
      <c r="U354" s="35"/>
      <c r="V354" s="35"/>
      <c r="W354" s="35"/>
      <c r="X354" s="35"/>
      <c r="Y354" s="35"/>
      <c r="Z354" s="35"/>
    </row>
    <row r="355" ht="12.75" customHeight="1">
      <c r="A355" s="35"/>
      <c r="B355" s="35"/>
      <c r="C355" s="35"/>
      <c r="D355" s="35"/>
      <c r="E355" s="35"/>
      <c r="F355" s="35"/>
      <c r="G355" s="35"/>
      <c r="H355" s="35"/>
      <c r="I355" s="35"/>
      <c r="J355" s="35"/>
      <c r="K355" s="35"/>
      <c r="L355" s="35"/>
      <c r="M355" s="35"/>
      <c r="N355" s="35"/>
      <c r="O355" s="35"/>
      <c r="P355" s="35"/>
      <c r="Q355" s="35"/>
      <c r="R355" s="35"/>
      <c r="S355" s="35"/>
      <c r="T355" s="35"/>
      <c r="U355" s="35"/>
      <c r="V355" s="35"/>
      <c r="W355" s="35"/>
      <c r="X355" s="35"/>
      <c r="Y355" s="35"/>
      <c r="Z355" s="35"/>
    </row>
    <row r="356" ht="12.75" customHeight="1">
      <c r="A356" s="35"/>
      <c r="B356" s="35"/>
      <c r="C356" s="35"/>
      <c r="D356" s="35"/>
      <c r="E356" s="35"/>
      <c r="F356" s="35"/>
      <c r="G356" s="35"/>
      <c r="H356" s="35"/>
      <c r="I356" s="35"/>
      <c r="J356" s="35"/>
      <c r="K356" s="35"/>
      <c r="L356" s="35"/>
      <c r="M356" s="35"/>
      <c r="N356" s="35"/>
      <c r="O356" s="35"/>
      <c r="P356" s="35"/>
      <c r="Q356" s="35"/>
      <c r="R356" s="35"/>
      <c r="S356" s="35"/>
      <c r="T356" s="35"/>
      <c r="U356" s="35"/>
      <c r="V356" s="35"/>
      <c r="W356" s="35"/>
      <c r="X356" s="35"/>
      <c r="Y356" s="35"/>
      <c r="Z356" s="35"/>
    </row>
    <row r="357" ht="12.75" customHeight="1">
      <c r="A357" s="35"/>
      <c r="B357" s="35"/>
      <c r="C357" s="35"/>
      <c r="D357" s="35"/>
      <c r="E357" s="35"/>
      <c r="F357" s="35"/>
      <c r="G357" s="35"/>
      <c r="H357" s="35"/>
      <c r="I357" s="35"/>
      <c r="J357" s="35"/>
      <c r="K357" s="35"/>
      <c r="L357" s="35"/>
      <c r="M357" s="35"/>
      <c r="N357" s="35"/>
      <c r="O357" s="35"/>
      <c r="P357" s="35"/>
      <c r="Q357" s="35"/>
      <c r="R357" s="35"/>
      <c r="S357" s="35"/>
      <c r="T357" s="35"/>
      <c r="U357" s="35"/>
      <c r="V357" s="35"/>
      <c r="W357" s="35"/>
      <c r="X357" s="35"/>
      <c r="Y357" s="35"/>
      <c r="Z357" s="35"/>
    </row>
    <row r="358" ht="12.75" customHeight="1">
      <c r="A358" s="35"/>
      <c r="B358" s="35"/>
      <c r="C358" s="35"/>
      <c r="D358" s="35"/>
      <c r="E358" s="35"/>
      <c r="F358" s="35"/>
      <c r="G358" s="35"/>
      <c r="H358" s="35"/>
      <c r="I358" s="35"/>
      <c r="J358" s="35"/>
      <c r="K358" s="35"/>
      <c r="L358" s="35"/>
      <c r="M358" s="35"/>
      <c r="N358" s="35"/>
      <c r="O358" s="35"/>
      <c r="P358" s="35"/>
      <c r="Q358" s="35"/>
      <c r="R358" s="35"/>
      <c r="S358" s="35"/>
      <c r="T358" s="35"/>
      <c r="U358" s="35"/>
      <c r="V358" s="35"/>
      <c r="W358" s="35"/>
      <c r="X358" s="35"/>
      <c r="Y358" s="35"/>
      <c r="Z358" s="35"/>
    </row>
    <row r="359" ht="12.75" customHeight="1">
      <c r="A359" s="35"/>
      <c r="B359" s="35"/>
      <c r="C359" s="35"/>
      <c r="D359" s="35"/>
      <c r="E359" s="35"/>
      <c r="F359" s="35"/>
      <c r="G359" s="35"/>
      <c r="H359" s="35"/>
      <c r="I359" s="35"/>
      <c r="J359" s="35"/>
      <c r="K359" s="35"/>
      <c r="L359" s="35"/>
      <c r="M359" s="35"/>
      <c r="N359" s="35"/>
      <c r="O359" s="35"/>
      <c r="P359" s="35"/>
      <c r="Q359" s="35"/>
      <c r="R359" s="35"/>
      <c r="S359" s="35"/>
      <c r="T359" s="35"/>
      <c r="U359" s="35"/>
      <c r="V359" s="35"/>
      <c r="W359" s="35"/>
      <c r="X359" s="35"/>
      <c r="Y359" s="35"/>
      <c r="Z359" s="35"/>
    </row>
    <row r="360" ht="12.75" customHeight="1">
      <c r="A360" s="35"/>
      <c r="B360" s="35"/>
      <c r="C360" s="35"/>
      <c r="D360" s="35"/>
      <c r="E360" s="35"/>
      <c r="F360" s="35"/>
      <c r="G360" s="35"/>
      <c r="H360" s="35"/>
      <c r="I360" s="35"/>
      <c r="J360" s="35"/>
      <c r="K360" s="35"/>
      <c r="L360" s="35"/>
      <c r="M360" s="35"/>
      <c r="N360" s="35"/>
      <c r="O360" s="35"/>
      <c r="P360" s="35"/>
      <c r="Q360" s="35"/>
      <c r="R360" s="35"/>
      <c r="S360" s="35"/>
      <c r="T360" s="35"/>
      <c r="U360" s="35"/>
      <c r="V360" s="35"/>
      <c r="W360" s="35"/>
      <c r="X360" s="35"/>
      <c r="Y360" s="35"/>
      <c r="Z360" s="35"/>
    </row>
    <row r="361" ht="12.75" customHeight="1">
      <c r="A361" s="35"/>
      <c r="B361" s="35"/>
      <c r="C361" s="35"/>
      <c r="D361" s="35"/>
      <c r="E361" s="35"/>
      <c r="F361" s="35"/>
      <c r="G361" s="35"/>
      <c r="H361" s="35"/>
      <c r="I361" s="35"/>
      <c r="J361" s="35"/>
      <c r="K361" s="35"/>
      <c r="L361" s="35"/>
      <c r="M361" s="35"/>
      <c r="N361" s="35"/>
      <c r="O361" s="35"/>
      <c r="P361" s="35"/>
      <c r="Q361" s="35"/>
      <c r="R361" s="35"/>
      <c r="S361" s="35"/>
      <c r="T361" s="35"/>
      <c r="U361" s="35"/>
      <c r="V361" s="35"/>
      <c r="W361" s="35"/>
      <c r="X361" s="35"/>
      <c r="Y361" s="35"/>
      <c r="Z361" s="35"/>
    </row>
    <row r="362" ht="12.75" customHeight="1">
      <c r="A362" s="35"/>
      <c r="B362" s="35"/>
      <c r="C362" s="35"/>
      <c r="D362" s="35"/>
      <c r="E362" s="35"/>
      <c r="F362" s="35"/>
      <c r="G362" s="35"/>
      <c r="H362" s="35"/>
      <c r="I362" s="35"/>
      <c r="J362" s="35"/>
      <c r="K362" s="35"/>
      <c r="L362" s="35"/>
      <c r="M362" s="35"/>
      <c r="N362" s="35"/>
      <c r="O362" s="35"/>
      <c r="P362" s="35"/>
      <c r="Q362" s="35"/>
      <c r="R362" s="35"/>
      <c r="S362" s="35"/>
      <c r="T362" s="35"/>
      <c r="U362" s="35"/>
      <c r="V362" s="35"/>
      <c r="W362" s="35"/>
      <c r="X362" s="35"/>
      <c r="Y362" s="35"/>
      <c r="Z362" s="35"/>
    </row>
    <row r="363" ht="12.75" customHeight="1">
      <c r="A363" s="35"/>
      <c r="B363" s="35"/>
      <c r="C363" s="35"/>
      <c r="D363" s="35"/>
      <c r="E363" s="35"/>
      <c r="F363" s="35"/>
      <c r="G363" s="35"/>
      <c r="H363" s="35"/>
      <c r="I363" s="35"/>
      <c r="J363" s="35"/>
      <c r="K363" s="35"/>
      <c r="L363" s="35"/>
      <c r="M363" s="35"/>
      <c r="N363" s="35"/>
      <c r="O363" s="35"/>
      <c r="P363" s="35"/>
      <c r="Q363" s="35"/>
      <c r="R363" s="35"/>
      <c r="S363" s="35"/>
      <c r="T363" s="35"/>
      <c r="U363" s="35"/>
      <c r="V363" s="35"/>
      <c r="W363" s="35"/>
      <c r="X363" s="35"/>
      <c r="Y363" s="35"/>
      <c r="Z363" s="35"/>
    </row>
    <row r="364" ht="12.75" customHeight="1">
      <c r="A364" s="35"/>
      <c r="B364" s="35"/>
      <c r="C364" s="35"/>
      <c r="D364" s="35"/>
      <c r="E364" s="35"/>
      <c r="F364" s="35"/>
      <c r="G364" s="35"/>
      <c r="H364" s="35"/>
      <c r="I364" s="35"/>
      <c r="J364" s="35"/>
      <c r="K364" s="35"/>
      <c r="L364" s="35"/>
      <c r="M364" s="35"/>
      <c r="N364" s="35"/>
      <c r="O364" s="35"/>
      <c r="P364" s="35"/>
      <c r="Q364" s="35"/>
      <c r="R364" s="35"/>
      <c r="S364" s="35"/>
      <c r="T364" s="35"/>
      <c r="U364" s="35"/>
      <c r="V364" s="35"/>
      <c r="W364" s="35"/>
      <c r="X364" s="35"/>
      <c r="Y364" s="35"/>
      <c r="Z364" s="35"/>
    </row>
    <row r="365" ht="12.75" customHeight="1">
      <c r="A365" s="35"/>
      <c r="B365" s="35"/>
      <c r="C365" s="35"/>
      <c r="D365" s="35"/>
      <c r="E365" s="35"/>
      <c r="F365" s="35"/>
      <c r="G365" s="35"/>
      <c r="H365" s="35"/>
      <c r="I365" s="35"/>
      <c r="J365" s="35"/>
      <c r="K365" s="35"/>
      <c r="L365" s="35"/>
      <c r="M365" s="35"/>
      <c r="N365" s="35"/>
      <c r="O365" s="35"/>
      <c r="P365" s="35"/>
      <c r="Q365" s="35"/>
      <c r="R365" s="35"/>
      <c r="S365" s="35"/>
      <c r="T365" s="35"/>
      <c r="U365" s="35"/>
      <c r="V365" s="35"/>
      <c r="W365" s="35"/>
      <c r="X365" s="35"/>
      <c r="Y365" s="35"/>
      <c r="Z365" s="35"/>
    </row>
    <row r="366" ht="12.75" customHeight="1">
      <c r="A366" s="35"/>
      <c r="B366" s="35"/>
      <c r="C366" s="35"/>
      <c r="D366" s="35"/>
      <c r="E366" s="35"/>
      <c r="F366" s="35"/>
      <c r="G366" s="35"/>
      <c r="H366" s="35"/>
      <c r="I366" s="35"/>
      <c r="J366" s="35"/>
      <c r="K366" s="35"/>
      <c r="L366" s="35"/>
      <c r="M366" s="35"/>
      <c r="N366" s="35"/>
      <c r="O366" s="35"/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5"/>
    </row>
    <row r="367" ht="12.75" customHeight="1">
      <c r="A367" s="35"/>
      <c r="B367" s="35"/>
      <c r="C367" s="35"/>
      <c r="D367" s="35"/>
      <c r="E367" s="35"/>
      <c r="F367" s="35"/>
      <c r="G367" s="35"/>
      <c r="H367" s="35"/>
      <c r="I367" s="35"/>
      <c r="J367" s="35"/>
      <c r="K367" s="35"/>
      <c r="L367" s="35"/>
      <c r="M367" s="35"/>
      <c r="N367" s="35"/>
      <c r="O367" s="35"/>
      <c r="P367" s="35"/>
      <c r="Q367" s="35"/>
      <c r="R367" s="35"/>
      <c r="S367" s="35"/>
      <c r="T367" s="35"/>
      <c r="U367" s="35"/>
      <c r="V367" s="35"/>
      <c r="W367" s="35"/>
      <c r="X367" s="35"/>
      <c r="Y367" s="35"/>
      <c r="Z367" s="35"/>
    </row>
    <row r="368" ht="12.75" customHeight="1">
      <c r="A368" s="35"/>
      <c r="B368" s="35"/>
      <c r="C368" s="35"/>
      <c r="D368" s="35"/>
      <c r="E368" s="35"/>
      <c r="F368" s="35"/>
      <c r="G368" s="35"/>
      <c r="H368" s="35"/>
      <c r="I368" s="35"/>
      <c r="J368" s="35"/>
      <c r="K368" s="35"/>
      <c r="L368" s="35"/>
      <c r="M368" s="35"/>
      <c r="N368" s="35"/>
      <c r="O368" s="35"/>
      <c r="P368" s="35"/>
      <c r="Q368" s="35"/>
      <c r="R368" s="35"/>
      <c r="S368" s="35"/>
      <c r="T368" s="35"/>
      <c r="U368" s="35"/>
      <c r="V368" s="35"/>
      <c r="W368" s="35"/>
      <c r="X368" s="35"/>
      <c r="Y368" s="35"/>
      <c r="Z368" s="35"/>
    </row>
    <row r="369" ht="12.75" customHeight="1">
      <c r="A369" s="35"/>
      <c r="B369" s="35"/>
      <c r="C369" s="35"/>
      <c r="D369" s="35"/>
      <c r="E369" s="35"/>
      <c r="F369" s="35"/>
      <c r="G369" s="35"/>
      <c r="H369" s="35"/>
      <c r="I369" s="35"/>
      <c r="J369" s="35"/>
      <c r="K369" s="35"/>
      <c r="L369" s="35"/>
      <c r="M369" s="35"/>
      <c r="N369" s="35"/>
      <c r="O369" s="35"/>
      <c r="P369" s="35"/>
      <c r="Q369" s="35"/>
      <c r="R369" s="35"/>
      <c r="S369" s="35"/>
      <c r="T369" s="35"/>
      <c r="U369" s="35"/>
      <c r="V369" s="35"/>
      <c r="W369" s="35"/>
      <c r="X369" s="35"/>
      <c r="Y369" s="35"/>
      <c r="Z369" s="35"/>
    </row>
    <row r="370" ht="12.75" customHeight="1">
      <c r="A370" s="35"/>
      <c r="B370" s="35"/>
      <c r="C370" s="35"/>
      <c r="D370" s="35"/>
      <c r="E370" s="35"/>
      <c r="F370" s="35"/>
      <c r="G370" s="35"/>
      <c r="H370" s="35"/>
      <c r="I370" s="35"/>
      <c r="J370" s="35"/>
      <c r="K370" s="35"/>
      <c r="L370" s="35"/>
      <c r="M370" s="35"/>
      <c r="N370" s="35"/>
      <c r="O370" s="35"/>
      <c r="P370" s="35"/>
      <c r="Q370" s="35"/>
      <c r="R370" s="35"/>
      <c r="S370" s="35"/>
      <c r="T370" s="35"/>
      <c r="U370" s="35"/>
      <c r="V370" s="35"/>
      <c r="W370" s="35"/>
      <c r="X370" s="35"/>
      <c r="Y370" s="35"/>
      <c r="Z370" s="35"/>
    </row>
    <row r="371" ht="12.75" customHeight="1">
      <c r="A371" s="35"/>
      <c r="B371" s="35"/>
      <c r="C371" s="35"/>
      <c r="D371" s="35"/>
      <c r="E371" s="35"/>
      <c r="F371" s="35"/>
      <c r="G371" s="35"/>
      <c r="H371" s="35"/>
      <c r="I371" s="35"/>
      <c r="J371" s="35"/>
      <c r="K371" s="35"/>
      <c r="L371" s="35"/>
      <c r="M371" s="35"/>
      <c r="N371" s="35"/>
      <c r="O371" s="35"/>
      <c r="P371" s="35"/>
      <c r="Q371" s="35"/>
      <c r="R371" s="35"/>
      <c r="S371" s="35"/>
      <c r="T371" s="35"/>
      <c r="U371" s="35"/>
      <c r="V371" s="35"/>
      <c r="W371" s="35"/>
      <c r="X371" s="35"/>
      <c r="Y371" s="35"/>
      <c r="Z371" s="35"/>
    </row>
    <row r="372" ht="12.75" customHeight="1">
      <c r="A372" s="35"/>
      <c r="B372" s="35"/>
      <c r="C372" s="35"/>
      <c r="D372" s="35"/>
      <c r="E372" s="35"/>
      <c r="F372" s="35"/>
      <c r="G372" s="35"/>
      <c r="H372" s="35"/>
      <c r="I372" s="35"/>
      <c r="J372" s="35"/>
      <c r="K372" s="35"/>
      <c r="L372" s="35"/>
      <c r="M372" s="35"/>
      <c r="N372" s="35"/>
      <c r="O372" s="35"/>
      <c r="P372" s="35"/>
      <c r="Q372" s="35"/>
      <c r="R372" s="35"/>
      <c r="S372" s="35"/>
      <c r="T372" s="35"/>
      <c r="U372" s="35"/>
      <c r="V372" s="35"/>
      <c r="W372" s="35"/>
      <c r="X372" s="35"/>
      <c r="Y372" s="35"/>
      <c r="Z372" s="35"/>
    </row>
    <row r="373" ht="12.75" customHeight="1">
      <c r="A373" s="35"/>
      <c r="B373" s="35"/>
      <c r="C373" s="35"/>
      <c r="D373" s="35"/>
      <c r="E373" s="35"/>
      <c r="F373" s="35"/>
      <c r="G373" s="35"/>
      <c r="H373" s="35"/>
      <c r="I373" s="35"/>
      <c r="J373" s="35"/>
      <c r="K373" s="35"/>
      <c r="L373" s="35"/>
      <c r="M373" s="35"/>
      <c r="N373" s="35"/>
      <c r="O373" s="35"/>
      <c r="P373" s="35"/>
      <c r="Q373" s="35"/>
      <c r="R373" s="35"/>
      <c r="S373" s="35"/>
      <c r="T373" s="35"/>
      <c r="U373" s="35"/>
      <c r="V373" s="35"/>
      <c r="W373" s="35"/>
      <c r="X373" s="35"/>
      <c r="Y373" s="35"/>
      <c r="Z373" s="35"/>
    </row>
    <row r="374" ht="12.75" customHeight="1">
      <c r="A374" s="35"/>
      <c r="B374" s="35"/>
      <c r="C374" s="35"/>
      <c r="D374" s="35"/>
      <c r="E374" s="35"/>
      <c r="F374" s="35"/>
      <c r="G374" s="35"/>
      <c r="H374" s="35"/>
      <c r="I374" s="35"/>
      <c r="J374" s="35"/>
      <c r="K374" s="35"/>
      <c r="L374" s="35"/>
      <c r="M374" s="35"/>
      <c r="N374" s="35"/>
      <c r="O374" s="35"/>
      <c r="P374" s="35"/>
      <c r="Q374" s="35"/>
      <c r="R374" s="35"/>
      <c r="S374" s="35"/>
      <c r="T374" s="35"/>
      <c r="U374" s="35"/>
      <c r="V374" s="35"/>
      <c r="W374" s="35"/>
      <c r="X374" s="35"/>
      <c r="Y374" s="35"/>
      <c r="Z374" s="35"/>
    </row>
    <row r="375" ht="12.75" customHeight="1">
      <c r="A375" s="35"/>
      <c r="B375" s="35"/>
      <c r="C375" s="35"/>
      <c r="D375" s="35"/>
      <c r="E375" s="35"/>
      <c r="F375" s="35"/>
      <c r="G375" s="35"/>
      <c r="H375" s="35"/>
      <c r="I375" s="35"/>
      <c r="J375" s="35"/>
      <c r="K375" s="35"/>
      <c r="L375" s="35"/>
      <c r="M375" s="35"/>
      <c r="N375" s="35"/>
      <c r="O375" s="35"/>
      <c r="P375" s="35"/>
      <c r="Q375" s="35"/>
      <c r="R375" s="35"/>
      <c r="S375" s="35"/>
      <c r="T375" s="35"/>
      <c r="U375" s="35"/>
      <c r="V375" s="35"/>
      <c r="W375" s="35"/>
      <c r="X375" s="35"/>
      <c r="Y375" s="35"/>
      <c r="Z375" s="35"/>
    </row>
    <row r="376" ht="12.75" customHeight="1">
      <c r="A376" s="35"/>
      <c r="B376" s="35"/>
      <c r="C376" s="35"/>
      <c r="D376" s="35"/>
      <c r="E376" s="35"/>
      <c r="F376" s="35"/>
      <c r="G376" s="35"/>
      <c r="H376" s="35"/>
      <c r="I376" s="35"/>
      <c r="J376" s="35"/>
      <c r="K376" s="35"/>
      <c r="L376" s="35"/>
      <c r="M376" s="35"/>
      <c r="N376" s="35"/>
      <c r="O376" s="35"/>
      <c r="P376" s="35"/>
      <c r="Q376" s="35"/>
      <c r="R376" s="35"/>
      <c r="S376" s="35"/>
      <c r="T376" s="35"/>
      <c r="U376" s="35"/>
      <c r="V376" s="35"/>
      <c r="W376" s="35"/>
      <c r="X376" s="35"/>
      <c r="Y376" s="35"/>
      <c r="Z376" s="35"/>
    </row>
    <row r="377" ht="12.75" customHeight="1">
      <c r="A377" s="35"/>
      <c r="B377" s="35"/>
      <c r="C377" s="35"/>
      <c r="D377" s="35"/>
      <c r="E377" s="35"/>
      <c r="F377" s="35"/>
      <c r="G377" s="35"/>
      <c r="H377" s="35"/>
      <c r="I377" s="35"/>
      <c r="J377" s="35"/>
      <c r="K377" s="35"/>
      <c r="L377" s="35"/>
      <c r="M377" s="35"/>
      <c r="N377" s="35"/>
      <c r="O377" s="35"/>
      <c r="P377" s="35"/>
      <c r="Q377" s="35"/>
      <c r="R377" s="35"/>
      <c r="S377" s="35"/>
      <c r="T377" s="35"/>
      <c r="U377" s="35"/>
      <c r="V377" s="35"/>
      <c r="W377" s="35"/>
      <c r="X377" s="35"/>
      <c r="Y377" s="35"/>
      <c r="Z377" s="35"/>
    </row>
    <row r="378" ht="12.75" customHeight="1">
      <c r="A378" s="35"/>
      <c r="B378" s="35"/>
      <c r="C378" s="35"/>
      <c r="D378" s="35"/>
      <c r="E378" s="35"/>
      <c r="F378" s="35"/>
      <c r="G378" s="35"/>
      <c r="H378" s="35"/>
      <c r="I378" s="35"/>
      <c r="J378" s="35"/>
      <c r="K378" s="35"/>
      <c r="L378" s="35"/>
      <c r="M378" s="35"/>
      <c r="N378" s="35"/>
      <c r="O378" s="35"/>
      <c r="P378" s="35"/>
      <c r="Q378" s="35"/>
      <c r="R378" s="35"/>
      <c r="S378" s="35"/>
      <c r="T378" s="35"/>
      <c r="U378" s="35"/>
      <c r="V378" s="35"/>
      <c r="W378" s="35"/>
      <c r="X378" s="35"/>
      <c r="Y378" s="35"/>
      <c r="Z378" s="35"/>
    </row>
    <row r="379" ht="12.75" customHeight="1">
      <c r="A379" s="35"/>
      <c r="B379" s="35"/>
      <c r="C379" s="35"/>
      <c r="D379" s="35"/>
      <c r="E379" s="35"/>
      <c r="F379" s="35"/>
      <c r="G379" s="35"/>
      <c r="H379" s="35"/>
      <c r="I379" s="35"/>
      <c r="J379" s="35"/>
      <c r="K379" s="35"/>
      <c r="L379" s="35"/>
      <c r="M379" s="35"/>
      <c r="N379" s="35"/>
      <c r="O379" s="35"/>
      <c r="P379" s="35"/>
      <c r="Q379" s="35"/>
      <c r="R379" s="35"/>
      <c r="S379" s="35"/>
      <c r="T379" s="35"/>
      <c r="U379" s="35"/>
      <c r="V379" s="35"/>
      <c r="W379" s="35"/>
      <c r="X379" s="35"/>
      <c r="Y379" s="35"/>
      <c r="Z379" s="35"/>
    </row>
    <row r="380" ht="12.75" customHeight="1">
      <c r="A380" s="35"/>
      <c r="B380" s="35"/>
      <c r="C380" s="35"/>
      <c r="D380" s="35"/>
      <c r="E380" s="35"/>
      <c r="F380" s="35"/>
      <c r="G380" s="35"/>
      <c r="H380" s="35"/>
      <c r="I380" s="35"/>
      <c r="J380" s="35"/>
      <c r="K380" s="35"/>
      <c r="L380" s="35"/>
      <c r="M380" s="35"/>
      <c r="N380" s="35"/>
      <c r="O380" s="35"/>
      <c r="P380" s="35"/>
      <c r="Q380" s="35"/>
      <c r="R380" s="35"/>
      <c r="S380" s="35"/>
      <c r="T380" s="35"/>
      <c r="U380" s="35"/>
      <c r="V380" s="35"/>
      <c r="W380" s="35"/>
      <c r="X380" s="35"/>
      <c r="Y380" s="35"/>
      <c r="Z380" s="35"/>
    </row>
    <row r="381" ht="12.75" customHeight="1">
      <c r="A381" s="35"/>
      <c r="B381" s="35"/>
      <c r="C381" s="35"/>
      <c r="D381" s="35"/>
      <c r="E381" s="35"/>
      <c r="F381" s="35"/>
      <c r="G381" s="35"/>
      <c r="H381" s="35"/>
      <c r="I381" s="35"/>
      <c r="J381" s="35"/>
      <c r="K381" s="35"/>
      <c r="L381" s="35"/>
      <c r="M381" s="35"/>
      <c r="N381" s="35"/>
      <c r="O381" s="35"/>
      <c r="P381" s="35"/>
      <c r="Q381" s="35"/>
      <c r="R381" s="35"/>
      <c r="S381" s="35"/>
      <c r="T381" s="35"/>
      <c r="U381" s="35"/>
      <c r="V381" s="35"/>
      <c r="W381" s="35"/>
      <c r="X381" s="35"/>
      <c r="Y381" s="35"/>
      <c r="Z381" s="35"/>
    </row>
    <row r="382" ht="12.75" customHeight="1">
      <c r="A382" s="35"/>
      <c r="B382" s="35"/>
      <c r="C382" s="35"/>
      <c r="D382" s="35"/>
      <c r="E382" s="35"/>
      <c r="F382" s="35"/>
      <c r="G382" s="35"/>
      <c r="H382" s="35"/>
      <c r="I382" s="35"/>
      <c r="J382" s="35"/>
      <c r="K382" s="35"/>
      <c r="L382" s="35"/>
      <c r="M382" s="35"/>
      <c r="N382" s="35"/>
      <c r="O382" s="35"/>
      <c r="P382" s="35"/>
      <c r="Q382" s="35"/>
      <c r="R382" s="35"/>
      <c r="S382" s="35"/>
      <c r="T382" s="35"/>
      <c r="U382" s="35"/>
      <c r="V382" s="35"/>
      <c r="W382" s="35"/>
      <c r="X382" s="35"/>
      <c r="Y382" s="35"/>
      <c r="Z382" s="35"/>
    </row>
    <row r="383" ht="12.75" customHeight="1">
      <c r="A383" s="35"/>
      <c r="B383" s="35"/>
      <c r="C383" s="35"/>
      <c r="D383" s="35"/>
      <c r="E383" s="35"/>
      <c r="F383" s="35"/>
      <c r="G383" s="35"/>
      <c r="H383" s="35"/>
      <c r="I383" s="35"/>
      <c r="J383" s="35"/>
      <c r="K383" s="35"/>
      <c r="L383" s="35"/>
      <c r="M383" s="35"/>
      <c r="N383" s="35"/>
      <c r="O383" s="35"/>
      <c r="P383" s="35"/>
      <c r="Q383" s="35"/>
      <c r="R383" s="35"/>
      <c r="S383" s="35"/>
      <c r="T383" s="35"/>
      <c r="U383" s="35"/>
      <c r="V383" s="35"/>
      <c r="W383" s="35"/>
      <c r="X383" s="35"/>
      <c r="Y383" s="35"/>
      <c r="Z383" s="35"/>
    </row>
    <row r="384" ht="12.75" customHeight="1">
      <c r="A384" s="35"/>
      <c r="B384" s="35"/>
      <c r="C384" s="35"/>
      <c r="D384" s="35"/>
      <c r="E384" s="35"/>
      <c r="F384" s="35"/>
      <c r="G384" s="35"/>
      <c r="H384" s="35"/>
      <c r="I384" s="35"/>
      <c r="J384" s="35"/>
      <c r="K384" s="35"/>
      <c r="L384" s="35"/>
      <c r="M384" s="35"/>
      <c r="N384" s="35"/>
      <c r="O384" s="35"/>
      <c r="P384" s="35"/>
      <c r="Q384" s="35"/>
      <c r="R384" s="35"/>
      <c r="S384" s="35"/>
      <c r="T384" s="35"/>
      <c r="U384" s="35"/>
      <c r="V384" s="35"/>
      <c r="W384" s="35"/>
      <c r="X384" s="35"/>
      <c r="Y384" s="35"/>
      <c r="Z384" s="35"/>
    </row>
    <row r="385" ht="12.75" customHeight="1">
      <c r="A385" s="35"/>
      <c r="B385" s="35"/>
      <c r="C385" s="35"/>
      <c r="D385" s="35"/>
      <c r="E385" s="35"/>
      <c r="F385" s="35"/>
      <c r="G385" s="35"/>
      <c r="H385" s="35"/>
      <c r="I385" s="35"/>
      <c r="J385" s="35"/>
      <c r="K385" s="35"/>
      <c r="L385" s="35"/>
      <c r="M385" s="35"/>
      <c r="N385" s="35"/>
      <c r="O385" s="35"/>
      <c r="P385" s="35"/>
      <c r="Q385" s="35"/>
      <c r="R385" s="35"/>
      <c r="S385" s="35"/>
      <c r="T385" s="35"/>
      <c r="U385" s="35"/>
      <c r="V385" s="35"/>
      <c r="W385" s="35"/>
      <c r="X385" s="35"/>
      <c r="Y385" s="35"/>
      <c r="Z385" s="35"/>
    </row>
    <row r="386" ht="12.75" customHeight="1">
      <c r="A386" s="35"/>
      <c r="B386" s="35"/>
      <c r="C386" s="35"/>
      <c r="D386" s="35"/>
      <c r="E386" s="35"/>
      <c r="F386" s="35"/>
      <c r="G386" s="35"/>
      <c r="H386" s="35"/>
      <c r="I386" s="35"/>
      <c r="J386" s="35"/>
      <c r="K386" s="35"/>
      <c r="L386" s="35"/>
      <c r="M386" s="35"/>
      <c r="N386" s="35"/>
      <c r="O386" s="35"/>
      <c r="P386" s="35"/>
      <c r="Q386" s="35"/>
      <c r="R386" s="35"/>
      <c r="S386" s="35"/>
      <c r="T386" s="35"/>
      <c r="U386" s="35"/>
      <c r="V386" s="35"/>
      <c r="W386" s="35"/>
      <c r="X386" s="35"/>
      <c r="Y386" s="35"/>
      <c r="Z386" s="35"/>
    </row>
    <row r="387" ht="12.75" customHeight="1">
      <c r="A387" s="35"/>
      <c r="B387" s="35"/>
      <c r="C387" s="35"/>
      <c r="D387" s="35"/>
      <c r="E387" s="35"/>
      <c r="F387" s="35"/>
      <c r="G387" s="35"/>
      <c r="H387" s="35"/>
      <c r="I387" s="35"/>
      <c r="J387" s="35"/>
      <c r="K387" s="35"/>
      <c r="L387" s="35"/>
      <c r="M387" s="35"/>
      <c r="N387" s="35"/>
      <c r="O387" s="35"/>
      <c r="P387" s="35"/>
      <c r="Q387" s="35"/>
      <c r="R387" s="35"/>
      <c r="S387" s="35"/>
      <c r="T387" s="35"/>
      <c r="U387" s="35"/>
      <c r="V387" s="35"/>
      <c r="W387" s="35"/>
      <c r="X387" s="35"/>
      <c r="Y387" s="35"/>
      <c r="Z387" s="35"/>
    </row>
    <row r="388" ht="12.75" customHeight="1">
      <c r="A388" s="35"/>
      <c r="B388" s="35"/>
      <c r="C388" s="35"/>
      <c r="D388" s="35"/>
      <c r="E388" s="35"/>
      <c r="F388" s="35"/>
      <c r="G388" s="35"/>
      <c r="H388" s="35"/>
      <c r="I388" s="35"/>
      <c r="J388" s="35"/>
      <c r="K388" s="35"/>
      <c r="L388" s="35"/>
      <c r="M388" s="35"/>
      <c r="N388" s="35"/>
      <c r="O388" s="35"/>
      <c r="P388" s="35"/>
      <c r="Q388" s="35"/>
      <c r="R388" s="35"/>
      <c r="S388" s="35"/>
      <c r="T388" s="35"/>
      <c r="U388" s="35"/>
      <c r="V388" s="35"/>
      <c r="W388" s="35"/>
      <c r="X388" s="35"/>
      <c r="Y388" s="35"/>
      <c r="Z388" s="35"/>
    </row>
    <row r="389" ht="12.75" customHeight="1">
      <c r="A389" s="35"/>
      <c r="B389" s="35"/>
      <c r="C389" s="35"/>
      <c r="D389" s="35"/>
      <c r="E389" s="35"/>
      <c r="F389" s="35"/>
      <c r="G389" s="35"/>
      <c r="H389" s="35"/>
      <c r="I389" s="35"/>
      <c r="J389" s="35"/>
      <c r="K389" s="35"/>
      <c r="L389" s="35"/>
      <c r="M389" s="35"/>
      <c r="N389" s="35"/>
      <c r="O389" s="35"/>
      <c r="P389" s="35"/>
      <c r="Q389" s="35"/>
      <c r="R389" s="35"/>
      <c r="S389" s="35"/>
      <c r="T389" s="35"/>
      <c r="U389" s="35"/>
      <c r="V389" s="35"/>
      <c r="W389" s="35"/>
      <c r="X389" s="35"/>
      <c r="Y389" s="35"/>
      <c r="Z389" s="35"/>
    </row>
    <row r="390" ht="12.75" customHeight="1">
      <c r="A390" s="35"/>
      <c r="B390" s="35"/>
      <c r="C390" s="35"/>
      <c r="D390" s="35"/>
      <c r="E390" s="35"/>
      <c r="F390" s="35"/>
      <c r="G390" s="35"/>
      <c r="H390" s="35"/>
      <c r="I390" s="35"/>
      <c r="J390" s="35"/>
      <c r="K390" s="35"/>
      <c r="L390" s="35"/>
      <c r="M390" s="35"/>
      <c r="N390" s="35"/>
      <c r="O390" s="35"/>
      <c r="P390" s="35"/>
      <c r="Q390" s="35"/>
      <c r="R390" s="35"/>
      <c r="S390" s="35"/>
      <c r="T390" s="35"/>
      <c r="U390" s="35"/>
      <c r="V390" s="35"/>
      <c r="W390" s="35"/>
      <c r="X390" s="35"/>
      <c r="Y390" s="35"/>
      <c r="Z390" s="35"/>
    </row>
    <row r="391" ht="12.75" customHeight="1">
      <c r="A391" s="35"/>
      <c r="B391" s="35"/>
      <c r="C391" s="35"/>
      <c r="D391" s="35"/>
      <c r="E391" s="35"/>
      <c r="F391" s="35"/>
      <c r="G391" s="35"/>
      <c r="H391" s="35"/>
      <c r="I391" s="35"/>
      <c r="J391" s="35"/>
      <c r="K391" s="35"/>
      <c r="L391" s="35"/>
      <c r="M391" s="35"/>
      <c r="N391" s="35"/>
      <c r="O391" s="35"/>
      <c r="P391" s="35"/>
      <c r="Q391" s="35"/>
      <c r="R391" s="35"/>
      <c r="S391" s="35"/>
      <c r="T391" s="35"/>
      <c r="U391" s="35"/>
      <c r="V391" s="35"/>
      <c r="W391" s="35"/>
      <c r="X391" s="35"/>
      <c r="Y391" s="35"/>
      <c r="Z391" s="35"/>
    </row>
    <row r="392" ht="12.75" customHeight="1">
      <c r="A392" s="35"/>
      <c r="B392" s="35"/>
      <c r="C392" s="35"/>
      <c r="D392" s="35"/>
      <c r="E392" s="35"/>
      <c r="F392" s="35"/>
      <c r="G392" s="35"/>
      <c r="H392" s="35"/>
      <c r="I392" s="35"/>
      <c r="J392" s="35"/>
      <c r="K392" s="35"/>
      <c r="L392" s="35"/>
      <c r="M392" s="35"/>
      <c r="N392" s="35"/>
      <c r="O392" s="35"/>
      <c r="P392" s="35"/>
      <c r="Q392" s="35"/>
      <c r="R392" s="35"/>
      <c r="S392" s="35"/>
      <c r="T392" s="35"/>
      <c r="U392" s="35"/>
      <c r="V392" s="35"/>
      <c r="W392" s="35"/>
      <c r="X392" s="35"/>
      <c r="Y392" s="35"/>
      <c r="Z392" s="35"/>
    </row>
    <row r="393" ht="12.75" customHeight="1">
      <c r="A393" s="35"/>
      <c r="B393" s="35"/>
      <c r="C393" s="35"/>
      <c r="D393" s="35"/>
      <c r="E393" s="35"/>
      <c r="F393" s="35"/>
      <c r="G393" s="35"/>
      <c r="H393" s="35"/>
      <c r="I393" s="35"/>
      <c r="J393" s="35"/>
      <c r="K393" s="35"/>
      <c r="L393" s="35"/>
      <c r="M393" s="35"/>
      <c r="N393" s="35"/>
      <c r="O393" s="35"/>
      <c r="P393" s="35"/>
      <c r="Q393" s="35"/>
      <c r="R393" s="35"/>
      <c r="S393" s="35"/>
      <c r="T393" s="35"/>
      <c r="U393" s="35"/>
      <c r="V393" s="35"/>
      <c r="W393" s="35"/>
      <c r="X393" s="35"/>
      <c r="Y393" s="35"/>
      <c r="Z393" s="35"/>
    </row>
    <row r="394" ht="12.75" customHeight="1">
      <c r="A394" s="35"/>
      <c r="B394" s="35"/>
      <c r="C394" s="35"/>
      <c r="D394" s="35"/>
      <c r="E394" s="35"/>
      <c r="F394" s="35"/>
      <c r="G394" s="35"/>
      <c r="H394" s="35"/>
      <c r="I394" s="35"/>
      <c r="J394" s="35"/>
      <c r="K394" s="35"/>
      <c r="L394" s="35"/>
      <c r="M394" s="35"/>
      <c r="N394" s="35"/>
      <c r="O394" s="35"/>
      <c r="P394" s="35"/>
      <c r="Q394" s="35"/>
      <c r="R394" s="35"/>
      <c r="S394" s="35"/>
      <c r="T394" s="35"/>
      <c r="U394" s="35"/>
      <c r="V394" s="35"/>
      <c r="W394" s="35"/>
      <c r="X394" s="35"/>
      <c r="Y394" s="35"/>
      <c r="Z394" s="35"/>
    </row>
    <row r="395" ht="12.75" customHeight="1">
      <c r="A395" s="35"/>
      <c r="B395" s="35"/>
      <c r="C395" s="35"/>
      <c r="D395" s="35"/>
      <c r="E395" s="35"/>
      <c r="F395" s="35"/>
      <c r="G395" s="35"/>
      <c r="H395" s="35"/>
      <c r="I395" s="35"/>
      <c r="J395" s="35"/>
      <c r="K395" s="35"/>
      <c r="L395" s="35"/>
      <c r="M395" s="35"/>
      <c r="N395" s="35"/>
      <c r="O395" s="35"/>
      <c r="P395" s="35"/>
      <c r="Q395" s="35"/>
      <c r="R395" s="35"/>
      <c r="S395" s="35"/>
      <c r="T395" s="35"/>
      <c r="U395" s="35"/>
      <c r="V395" s="35"/>
      <c r="W395" s="35"/>
      <c r="X395" s="35"/>
      <c r="Y395" s="35"/>
      <c r="Z395" s="35"/>
    </row>
    <row r="396" ht="12.75" customHeight="1">
      <c r="A396" s="35"/>
      <c r="B396" s="35"/>
      <c r="C396" s="35"/>
      <c r="D396" s="35"/>
      <c r="E396" s="35"/>
      <c r="F396" s="35"/>
      <c r="G396" s="35"/>
      <c r="H396" s="35"/>
      <c r="I396" s="35"/>
      <c r="J396" s="35"/>
      <c r="K396" s="35"/>
      <c r="L396" s="35"/>
      <c r="M396" s="35"/>
      <c r="N396" s="35"/>
      <c r="O396" s="35"/>
      <c r="P396" s="35"/>
      <c r="Q396" s="35"/>
      <c r="R396" s="35"/>
      <c r="S396" s="35"/>
      <c r="T396" s="35"/>
      <c r="U396" s="35"/>
      <c r="V396" s="35"/>
      <c r="W396" s="35"/>
      <c r="X396" s="35"/>
      <c r="Y396" s="35"/>
      <c r="Z396" s="35"/>
    </row>
    <row r="397" ht="12.75" customHeight="1">
      <c r="A397" s="35"/>
      <c r="B397" s="35"/>
      <c r="C397" s="35"/>
      <c r="D397" s="35"/>
      <c r="E397" s="35"/>
      <c r="F397" s="35"/>
      <c r="G397" s="35"/>
      <c r="H397" s="35"/>
      <c r="I397" s="35"/>
      <c r="J397" s="35"/>
      <c r="K397" s="35"/>
      <c r="L397" s="35"/>
      <c r="M397" s="35"/>
      <c r="N397" s="35"/>
      <c r="O397" s="35"/>
      <c r="P397" s="35"/>
      <c r="Q397" s="35"/>
      <c r="R397" s="35"/>
      <c r="S397" s="35"/>
      <c r="T397" s="35"/>
      <c r="U397" s="35"/>
      <c r="V397" s="35"/>
      <c r="W397" s="35"/>
      <c r="X397" s="35"/>
      <c r="Y397" s="35"/>
      <c r="Z397" s="35"/>
    </row>
    <row r="398" ht="12.75" customHeight="1">
      <c r="A398" s="35"/>
      <c r="B398" s="35"/>
      <c r="C398" s="35"/>
      <c r="D398" s="35"/>
      <c r="E398" s="35"/>
      <c r="F398" s="35"/>
      <c r="G398" s="35"/>
      <c r="H398" s="35"/>
      <c r="I398" s="35"/>
      <c r="J398" s="35"/>
      <c r="K398" s="35"/>
      <c r="L398" s="35"/>
      <c r="M398" s="35"/>
      <c r="N398" s="35"/>
      <c r="O398" s="35"/>
      <c r="P398" s="35"/>
      <c r="Q398" s="35"/>
      <c r="R398" s="35"/>
      <c r="S398" s="35"/>
      <c r="T398" s="35"/>
      <c r="U398" s="35"/>
      <c r="V398" s="35"/>
      <c r="W398" s="35"/>
      <c r="X398" s="35"/>
      <c r="Y398" s="35"/>
      <c r="Z398" s="35"/>
    </row>
    <row r="399" ht="12.75" customHeight="1">
      <c r="A399" s="35"/>
      <c r="B399" s="35"/>
      <c r="C399" s="35"/>
      <c r="D399" s="35"/>
      <c r="E399" s="35"/>
      <c r="F399" s="35"/>
      <c r="G399" s="35"/>
      <c r="H399" s="35"/>
      <c r="I399" s="35"/>
      <c r="J399" s="35"/>
      <c r="K399" s="35"/>
      <c r="L399" s="35"/>
      <c r="M399" s="35"/>
      <c r="N399" s="35"/>
      <c r="O399" s="35"/>
      <c r="P399" s="35"/>
      <c r="Q399" s="35"/>
      <c r="R399" s="35"/>
      <c r="S399" s="35"/>
      <c r="T399" s="35"/>
      <c r="U399" s="35"/>
      <c r="V399" s="35"/>
      <c r="W399" s="35"/>
      <c r="X399" s="35"/>
      <c r="Y399" s="35"/>
      <c r="Z399" s="35"/>
    </row>
    <row r="400" ht="12.75" customHeight="1">
      <c r="A400" s="35"/>
      <c r="B400" s="35"/>
      <c r="C400" s="35"/>
      <c r="D400" s="35"/>
      <c r="E400" s="35"/>
      <c r="F400" s="35"/>
      <c r="G400" s="35"/>
      <c r="H400" s="35"/>
      <c r="I400" s="35"/>
      <c r="J400" s="35"/>
      <c r="K400" s="35"/>
      <c r="L400" s="35"/>
      <c r="M400" s="35"/>
      <c r="N400" s="35"/>
      <c r="O400" s="35"/>
      <c r="P400" s="35"/>
      <c r="Q400" s="35"/>
      <c r="R400" s="35"/>
      <c r="S400" s="35"/>
      <c r="T400" s="35"/>
      <c r="U400" s="35"/>
      <c r="V400" s="35"/>
      <c r="W400" s="35"/>
      <c r="X400" s="35"/>
      <c r="Y400" s="35"/>
      <c r="Z400" s="35"/>
    </row>
    <row r="401" ht="12.75" customHeight="1">
      <c r="A401" s="35"/>
      <c r="B401" s="35"/>
      <c r="C401" s="35"/>
      <c r="D401" s="35"/>
      <c r="E401" s="35"/>
      <c r="F401" s="35"/>
      <c r="G401" s="35"/>
      <c r="H401" s="35"/>
      <c r="I401" s="35"/>
      <c r="J401" s="35"/>
      <c r="K401" s="35"/>
      <c r="L401" s="35"/>
      <c r="M401" s="35"/>
      <c r="N401" s="35"/>
      <c r="O401" s="35"/>
      <c r="P401" s="35"/>
      <c r="Q401" s="35"/>
      <c r="R401" s="35"/>
      <c r="S401" s="35"/>
      <c r="T401" s="35"/>
      <c r="U401" s="35"/>
      <c r="V401" s="35"/>
      <c r="W401" s="35"/>
      <c r="X401" s="35"/>
      <c r="Y401" s="35"/>
      <c r="Z401" s="35"/>
    </row>
    <row r="402" ht="12.75" customHeight="1">
      <c r="A402" s="35"/>
      <c r="B402" s="35"/>
      <c r="C402" s="35"/>
      <c r="D402" s="35"/>
      <c r="E402" s="35"/>
      <c r="F402" s="35"/>
      <c r="G402" s="35"/>
      <c r="H402" s="35"/>
      <c r="I402" s="35"/>
      <c r="J402" s="35"/>
      <c r="K402" s="35"/>
      <c r="L402" s="35"/>
      <c r="M402" s="35"/>
      <c r="N402" s="35"/>
      <c r="O402" s="35"/>
      <c r="P402" s="35"/>
      <c r="Q402" s="35"/>
      <c r="R402" s="35"/>
      <c r="S402" s="35"/>
      <c r="T402" s="35"/>
      <c r="U402" s="35"/>
      <c r="V402" s="35"/>
      <c r="W402" s="35"/>
      <c r="X402" s="35"/>
      <c r="Y402" s="35"/>
      <c r="Z402" s="35"/>
    </row>
    <row r="403" ht="12.75" customHeight="1">
      <c r="A403" s="35"/>
      <c r="B403" s="35"/>
      <c r="C403" s="35"/>
      <c r="D403" s="35"/>
      <c r="E403" s="35"/>
      <c r="F403" s="35"/>
      <c r="G403" s="35"/>
      <c r="H403" s="35"/>
      <c r="I403" s="35"/>
      <c r="J403" s="35"/>
      <c r="K403" s="35"/>
      <c r="L403" s="35"/>
      <c r="M403" s="35"/>
      <c r="N403" s="35"/>
      <c r="O403" s="35"/>
      <c r="P403" s="35"/>
      <c r="Q403" s="35"/>
      <c r="R403" s="35"/>
      <c r="S403" s="35"/>
      <c r="T403" s="35"/>
      <c r="U403" s="35"/>
      <c r="V403" s="35"/>
      <c r="W403" s="35"/>
      <c r="X403" s="35"/>
      <c r="Y403" s="35"/>
      <c r="Z403" s="35"/>
    </row>
    <row r="404" ht="12.75" customHeight="1">
      <c r="A404" s="35"/>
      <c r="B404" s="35"/>
      <c r="C404" s="35"/>
      <c r="D404" s="35"/>
      <c r="E404" s="35"/>
      <c r="F404" s="35"/>
      <c r="G404" s="35"/>
      <c r="H404" s="35"/>
      <c r="I404" s="35"/>
      <c r="J404" s="35"/>
      <c r="K404" s="35"/>
      <c r="L404" s="35"/>
      <c r="M404" s="35"/>
      <c r="N404" s="35"/>
      <c r="O404" s="35"/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5"/>
    </row>
    <row r="405" ht="12.75" customHeight="1">
      <c r="A405" s="35"/>
      <c r="B405" s="35"/>
      <c r="C405" s="35"/>
      <c r="D405" s="35"/>
      <c r="E405" s="35"/>
      <c r="F405" s="35"/>
      <c r="G405" s="35"/>
      <c r="H405" s="35"/>
      <c r="I405" s="35"/>
      <c r="J405" s="35"/>
      <c r="K405" s="35"/>
      <c r="L405" s="35"/>
      <c r="M405" s="35"/>
      <c r="N405" s="35"/>
      <c r="O405" s="35"/>
      <c r="P405" s="35"/>
      <c r="Q405" s="35"/>
      <c r="R405" s="35"/>
      <c r="S405" s="35"/>
      <c r="T405" s="35"/>
      <c r="U405" s="35"/>
      <c r="V405" s="35"/>
      <c r="W405" s="35"/>
      <c r="X405" s="35"/>
      <c r="Y405" s="35"/>
      <c r="Z405" s="35"/>
    </row>
    <row r="406" ht="12.75" customHeight="1">
      <c r="A406" s="35"/>
      <c r="B406" s="35"/>
      <c r="C406" s="35"/>
      <c r="D406" s="35"/>
      <c r="E406" s="35"/>
      <c r="F406" s="35"/>
      <c r="G406" s="35"/>
      <c r="H406" s="35"/>
      <c r="I406" s="35"/>
      <c r="J406" s="35"/>
      <c r="K406" s="35"/>
      <c r="L406" s="35"/>
      <c r="M406" s="35"/>
      <c r="N406" s="35"/>
      <c r="O406" s="35"/>
      <c r="P406" s="35"/>
      <c r="Q406" s="35"/>
      <c r="R406" s="35"/>
      <c r="S406" s="35"/>
      <c r="T406" s="35"/>
      <c r="U406" s="35"/>
      <c r="V406" s="35"/>
      <c r="W406" s="35"/>
      <c r="X406" s="35"/>
      <c r="Y406" s="35"/>
      <c r="Z406" s="35"/>
    </row>
    <row r="407" ht="12.75" customHeight="1">
      <c r="A407" s="35"/>
      <c r="B407" s="35"/>
      <c r="C407" s="35"/>
      <c r="D407" s="35"/>
      <c r="E407" s="35"/>
      <c r="F407" s="35"/>
      <c r="G407" s="35"/>
      <c r="H407" s="35"/>
      <c r="I407" s="35"/>
      <c r="J407" s="35"/>
      <c r="K407" s="35"/>
      <c r="L407" s="35"/>
      <c r="M407" s="35"/>
      <c r="N407" s="35"/>
      <c r="O407" s="35"/>
      <c r="P407" s="35"/>
      <c r="Q407" s="35"/>
      <c r="R407" s="35"/>
      <c r="S407" s="35"/>
      <c r="T407" s="35"/>
      <c r="U407" s="35"/>
      <c r="V407" s="35"/>
      <c r="W407" s="35"/>
      <c r="X407" s="35"/>
      <c r="Y407" s="35"/>
      <c r="Z407" s="35"/>
    </row>
    <row r="408" ht="12.75" customHeight="1">
      <c r="A408" s="35"/>
      <c r="B408" s="35"/>
      <c r="C408" s="35"/>
      <c r="D408" s="35"/>
      <c r="E408" s="35"/>
      <c r="F408" s="35"/>
      <c r="G408" s="35"/>
      <c r="H408" s="35"/>
      <c r="I408" s="35"/>
      <c r="J408" s="35"/>
      <c r="K408" s="35"/>
      <c r="L408" s="35"/>
      <c r="M408" s="35"/>
      <c r="N408" s="35"/>
      <c r="O408" s="35"/>
      <c r="P408" s="35"/>
      <c r="Q408" s="35"/>
      <c r="R408" s="35"/>
      <c r="S408" s="35"/>
      <c r="T408" s="35"/>
      <c r="U408" s="35"/>
      <c r="V408" s="35"/>
      <c r="W408" s="35"/>
      <c r="X408" s="35"/>
      <c r="Y408" s="35"/>
      <c r="Z408" s="35"/>
    </row>
    <row r="409" ht="12.75" customHeight="1">
      <c r="A409" s="35"/>
      <c r="B409" s="35"/>
      <c r="C409" s="35"/>
      <c r="D409" s="35"/>
      <c r="E409" s="35"/>
      <c r="F409" s="35"/>
      <c r="G409" s="35"/>
      <c r="H409" s="35"/>
      <c r="I409" s="35"/>
      <c r="J409" s="35"/>
      <c r="K409" s="35"/>
      <c r="L409" s="35"/>
      <c r="M409" s="35"/>
      <c r="N409" s="35"/>
      <c r="O409" s="35"/>
      <c r="P409" s="35"/>
      <c r="Q409" s="35"/>
      <c r="R409" s="35"/>
      <c r="S409" s="35"/>
      <c r="T409" s="35"/>
      <c r="U409" s="35"/>
      <c r="V409" s="35"/>
      <c r="W409" s="35"/>
      <c r="X409" s="35"/>
      <c r="Y409" s="35"/>
      <c r="Z409" s="35"/>
    </row>
    <row r="410" ht="12.75" customHeight="1">
      <c r="A410" s="35"/>
      <c r="B410" s="35"/>
      <c r="C410" s="35"/>
      <c r="D410" s="35"/>
      <c r="E410" s="35"/>
      <c r="F410" s="35"/>
      <c r="G410" s="35"/>
      <c r="H410" s="35"/>
      <c r="I410" s="35"/>
      <c r="J410" s="35"/>
      <c r="K410" s="35"/>
      <c r="L410" s="35"/>
      <c r="M410" s="35"/>
      <c r="N410" s="35"/>
      <c r="O410" s="35"/>
      <c r="P410" s="35"/>
      <c r="Q410" s="35"/>
      <c r="R410" s="35"/>
      <c r="S410" s="35"/>
      <c r="T410" s="35"/>
      <c r="U410" s="35"/>
      <c r="V410" s="35"/>
      <c r="W410" s="35"/>
      <c r="X410" s="35"/>
      <c r="Y410" s="35"/>
      <c r="Z410" s="35"/>
    </row>
    <row r="411" ht="12.75" customHeight="1">
      <c r="A411" s="35"/>
      <c r="B411" s="35"/>
      <c r="C411" s="35"/>
      <c r="D411" s="35"/>
      <c r="E411" s="35"/>
      <c r="F411" s="35"/>
      <c r="G411" s="35"/>
      <c r="H411" s="35"/>
      <c r="I411" s="35"/>
      <c r="J411" s="35"/>
      <c r="K411" s="35"/>
      <c r="L411" s="35"/>
      <c r="M411" s="35"/>
      <c r="N411" s="35"/>
      <c r="O411" s="35"/>
      <c r="P411" s="35"/>
      <c r="Q411" s="35"/>
      <c r="R411" s="35"/>
      <c r="S411" s="35"/>
      <c r="T411" s="35"/>
      <c r="U411" s="35"/>
      <c r="V411" s="35"/>
      <c r="W411" s="35"/>
      <c r="X411" s="35"/>
      <c r="Y411" s="35"/>
      <c r="Z411" s="35"/>
    </row>
    <row r="412" ht="12.75" customHeight="1">
      <c r="A412" s="35"/>
      <c r="B412" s="35"/>
      <c r="C412" s="35"/>
      <c r="D412" s="35"/>
      <c r="E412" s="35"/>
      <c r="F412" s="35"/>
      <c r="G412" s="35"/>
      <c r="H412" s="35"/>
      <c r="I412" s="35"/>
      <c r="J412" s="35"/>
      <c r="K412" s="35"/>
      <c r="L412" s="35"/>
      <c r="M412" s="35"/>
      <c r="N412" s="35"/>
      <c r="O412" s="35"/>
      <c r="P412" s="35"/>
      <c r="Q412" s="35"/>
      <c r="R412" s="35"/>
      <c r="S412" s="35"/>
      <c r="T412" s="35"/>
      <c r="U412" s="35"/>
      <c r="V412" s="35"/>
      <c r="W412" s="35"/>
      <c r="X412" s="35"/>
      <c r="Y412" s="35"/>
      <c r="Z412" s="35"/>
    </row>
    <row r="413" ht="12.75" customHeight="1">
      <c r="A413" s="35"/>
      <c r="B413" s="35"/>
      <c r="C413" s="35"/>
      <c r="D413" s="35"/>
      <c r="E413" s="35"/>
      <c r="F413" s="35"/>
      <c r="G413" s="35"/>
      <c r="H413" s="35"/>
      <c r="I413" s="35"/>
      <c r="J413" s="35"/>
      <c r="K413" s="35"/>
      <c r="L413" s="35"/>
      <c r="M413" s="35"/>
      <c r="N413" s="35"/>
      <c r="O413" s="35"/>
      <c r="P413" s="35"/>
      <c r="Q413" s="35"/>
      <c r="R413" s="35"/>
      <c r="S413" s="35"/>
      <c r="T413" s="35"/>
      <c r="U413" s="35"/>
      <c r="V413" s="35"/>
      <c r="W413" s="35"/>
      <c r="X413" s="35"/>
      <c r="Y413" s="35"/>
      <c r="Z413" s="35"/>
    </row>
    <row r="414" ht="12.75" customHeight="1">
      <c r="A414" s="35"/>
      <c r="B414" s="35"/>
      <c r="C414" s="35"/>
      <c r="D414" s="35"/>
      <c r="E414" s="35"/>
      <c r="F414" s="35"/>
      <c r="G414" s="35"/>
      <c r="H414" s="35"/>
      <c r="I414" s="35"/>
      <c r="J414" s="35"/>
      <c r="K414" s="35"/>
      <c r="L414" s="35"/>
      <c r="M414" s="35"/>
      <c r="N414" s="35"/>
      <c r="O414" s="35"/>
      <c r="P414" s="35"/>
      <c r="Q414" s="35"/>
      <c r="R414" s="35"/>
      <c r="S414" s="35"/>
      <c r="T414" s="35"/>
      <c r="U414" s="35"/>
      <c r="V414" s="35"/>
      <c r="W414" s="35"/>
      <c r="X414" s="35"/>
      <c r="Y414" s="35"/>
      <c r="Z414" s="35"/>
    </row>
    <row r="415" ht="12.75" customHeight="1">
      <c r="A415" s="35"/>
      <c r="B415" s="35"/>
      <c r="C415" s="35"/>
      <c r="D415" s="35"/>
      <c r="E415" s="35"/>
      <c r="F415" s="35"/>
      <c r="G415" s="35"/>
      <c r="H415" s="35"/>
      <c r="I415" s="35"/>
      <c r="J415" s="35"/>
      <c r="K415" s="35"/>
      <c r="L415" s="35"/>
      <c r="M415" s="35"/>
      <c r="N415" s="35"/>
      <c r="O415" s="35"/>
      <c r="P415" s="35"/>
      <c r="Q415" s="35"/>
      <c r="R415" s="35"/>
      <c r="S415" s="35"/>
      <c r="T415" s="35"/>
      <c r="U415" s="35"/>
      <c r="V415" s="35"/>
      <c r="W415" s="35"/>
      <c r="X415" s="35"/>
      <c r="Y415" s="35"/>
      <c r="Z415" s="35"/>
    </row>
    <row r="416" ht="12.75" customHeight="1">
      <c r="A416" s="35"/>
      <c r="B416" s="35"/>
      <c r="C416" s="35"/>
      <c r="D416" s="35"/>
      <c r="E416" s="35"/>
      <c r="F416" s="35"/>
      <c r="G416" s="35"/>
      <c r="H416" s="35"/>
      <c r="I416" s="35"/>
      <c r="J416" s="35"/>
      <c r="K416" s="35"/>
      <c r="L416" s="35"/>
      <c r="M416" s="35"/>
      <c r="N416" s="35"/>
      <c r="O416" s="35"/>
      <c r="P416" s="35"/>
      <c r="Q416" s="35"/>
      <c r="R416" s="35"/>
      <c r="S416" s="35"/>
      <c r="T416" s="35"/>
      <c r="U416" s="35"/>
      <c r="V416" s="35"/>
      <c r="W416" s="35"/>
      <c r="X416" s="35"/>
      <c r="Y416" s="35"/>
      <c r="Z416" s="35"/>
    </row>
    <row r="417" ht="12.75" customHeight="1">
      <c r="A417" s="35"/>
      <c r="B417" s="35"/>
      <c r="C417" s="35"/>
      <c r="D417" s="35"/>
      <c r="E417" s="35"/>
      <c r="F417" s="35"/>
      <c r="G417" s="35"/>
      <c r="H417" s="35"/>
      <c r="I417" s="35"/>
      <c r="J417" s="35"/>
      <c r="K417" s="35"/>
      <c r="L417" s="35"/>
      <c r="M417" s="35"/>
      <c r="N417" s="35"/>
      <c r="O417" s="35"/>
      <c r="P417" s="35"/>
      <c r="Q417" s="35"/>
      <c r="R417" s="35"/>
      <c r="S417" s="35"/>
      <c r="T417" s="35"/>
      <c r="U417" s="35"/>
      <c r="V417" s="35"/>
      <c r="W417" s="35"/>
      <c r="X417" s="35"/>
      <c r="Y417" s="35"/>
      <c r="Z417" s="35"/>
    </row>
    <row r="418" ht="12.75" customHeight="1">
      <c r="A418" s="35"/>
      <c r="B418" s="35"/>
      <c r="C418" s="35"/>
      <c r="D418" s="35"/>
      <c r="E418" s="35"/>
      <c r="F418" s="35"/>
      <c r="G418" s="35"/>
      <c r="H418" s="35"/>
      <c r="I418" s="35"/>
      <c r="J418" s="35"/>
      <c r="K418" s="35"/>
      <c r="L418" s="35"/>
      <c r="M418" s="35"/>
      <c r="N418" s="35"/>
      <c r="O418" s="35"/>
      <c r="P418" s="35"/>
      <c r="Q418" s="35"/>
      <c r="R418" s="35"/>
      <c r="S418" s="35"/>
      <c r="T418" s="35"/>
      <c r="U418" s="35"/>
      <c r="V418" s="35"/>
      <c r="W418" s="35"/>
      <c r="X418" s="35"/>
      <c r="Y418" s="35"/>
      <c r="Z418" s="35"/>
    </row>
    <row r="419" ht="12.75" customHeight="1">
      <c r="A419" s="35"/>
      <c r="B419" s="35"/>
      <c r="C419" s="35"/>
      <c r="D419" s="35"/>
      <c r="E419" s="35"/>
      <c r="F419" s="35"/>
      <c r="G419" s="35"/>
      <c r="H419" s="35"/>
      <c r="I419" s="35"/>
      <c r="J419" s="35"/>
      <c r="K419" s="35"/>
      <c r="L419" s="35"/>
      <c r="M419" s="35"/>
      <c r="N419" s="35"/>
      <c r="O419" s="35"/>
      <c r="P419" s="35"/>
      <c r="Q419" s="35"/>
      <c r="R419" s="35"/>
      <c r="S419" s="35"/>
      <c r="T419" s="35"/>
      <c r="U419" s="35"/>
      <c r="V419" s="35"/>
      <c r="W419" s="35"/>
      <c r="X419" s="35"/>
      <c r="Y419" s="35"/>
      <c r="Z419" s="35"/>
    </row>
    <row r="420" ht="12.75" customHeight="1">
      <c r="A420" s="35"/>
      <c r="B420" s="35"/>
      <c r="C420" s="35"/>
      <c r="D420" s="35"/>
      <c r="E420" s="35"/>
      <c r="F420" s="35"/>
      <c r="G420" s="35"/>
      <c r="H420" s="35"/>
      <c r="I420" s="35"/>
      <c r="J420" s="35"/>
      <c r="K420" s="35"/>
      <c r="L420" s="35"/>
      <c r="M420" s="35"/>
      <c r="N420" s="35"/>
      <c r="O420" s="35"/>
      <c r="P420" s="35"/>
      <c r="Q420" s="35"/>
      <c r="R420" s="35"/>
      <c r="S420" s="35"/>
      <c r="T420" s="35"/>
      <c r="U420" s="35"/>
      <c r="V420" s="35"/>
      <c r="W420" s="35"/>
      <c r="X420" s="35"/>
      <c r="Y420" s="35"/>
      <c r="Z420" s="35"/>
    </row>
    <row r="421" ht="12.75" customHeight="1">
      <c r="A421" s="35"/>
      <c r="B421" s="35"/>
      <c r="C421" s="35"/>
      <c r="D421" s="35"/>
      <c r="E421" s="35"/>
      <c r="F421" s="35"/>
      <c r="G421" s="35"/>
      <c r="H421" s="35"/>
      <c r="I421" s="35"/>
      <c r="J421" s="35"/>
      <c r="K421" s="35"/>
      <c r="L421" s="35"/>
      <c r="M421" s="35"/>
      <c r="N421" s="35"/>
      <c r="O421" s="35"/>
      <c r="P421" s="35"/>
      <c r="Q421" s="35"/>
      <c r="R421" s="35"/>
      <c r="S421" s="35"/>
      <c r="T421" s="35"/>
      <c r="U421" s="35"/>
      <c r="V421" s="35"/>
      <c r="W421" s="35"/>
      <c r="X421" s="35"/>
      <c r="Y421" s="35"/>
      <c r="Z421" s="35"/>
    </row>
    <row r="422" ht="12.75" customHeight="1">
      <c r="A422" s="35"/>
      <c r="B422" s="35"/>
      <c r="C422" s="35"/>
      <c r="D422" s="35"/>
      <c r="E422" s="35"/>
      <c r="F422" s="35"/>
      <c r="G422" s="35"/>
      <c r="H422" s="35"/>
      <c r="I422" s="35"/>
      <c r="J422" s="35"/>
      <c r="K422" s="35"/>
      <c r="L422" s="35"/>
      <c r="M422" s="35"/>
      <c r="N422" s="35"/>
      <c r="O422" s="35"/>
      <c r="P422" s="35"/>
      <c r="Q422" s="35"/>
      <c r="R422" s="35"/>
      <c r="S422" s="35"/>
      <c r="T422" s="35"/>
      <c r="U422" s="35"/>
      <c r="V422" s="35"/>
      <c r="W422" s="35"/>
      <c r="X422" s="35"/>
      <c r="Y422" s="35"/>
      <c r="Z422" s="35"/>
    </row>
    <row r="423" ht="12.75" customHeight="1">
      <c r="A423" s="35"/>
      <c r="B423" s="35"/>
      <c r="C423" s="35"/>
      <c r="D423" s="35"/>
      <c r="E423" s="35"/>
      <c r="F423" s="35"/>
      <c r="G423" s="35"/>
      <c r="H423" s="35"/>
      <c r="I423" s="35"/>
      <c r="J423" s="35"/>
      <c r="K423" s="35"/>
      <c r="L423" s="35"/>
      <c r="M423" s="35"/>
      <c r="N423" s="35"/>
      <c r="O423" s="35"/>
      <c r="P423" s="35"/>
      <c r="Q423" s="35"/>
      <c r="R423" s="35"/>
      <c r="S423" s="35"/>
      <c r="T423" s="35"/>
      <c r="U423" s="35"/>
      <c r="V423" s="35"/>
      <c r="W423" s="35"/>
      <c r="X423" s="35"/>
      <c r="Y423" s="35"/>
      <c r="Z423" s="35"/>
    </row>
    <row r="424" ht="12.75" customHeight="1">
      <c r="A424" s="35"/>
      <c r="B424" s="35"/>
      <c r="C424" s="35"/>
      <c r="D424" s="35"/>
      <c r="E424" s="35"/>
      <c r="F424" s="35"/>
      <c r="G424" s="35"/>
      <c r="H424" s="35"/>
      <c r="I424" s="35"/>
      <c r="J424" s="35"/>
      <c r="K424" s="35"/>
      <c r="L424" s="35"/>
      <c r="M424" s="35"/>
      <c r="N424" s="35"/>
      <c r="O424" s="35"/>
      <c r="P424" s="35"/>
      <c r="Q424" s="35"/>
      <c r="R424" s="35"/>
      <c r="S424" s="35"/>
      <c r="T424" s="35"/>
      <c r="U424" s="35"/>
      <c r="V424" s="35"/>
      <c r="W424" s="35"/>
      <c r="X424" s="35"/>
      <c r="Y424" s="35"/>
      <c r="Z424" s="35"/>
    </row>
    <row r="425" ht="12.75" customHeight="1">
      <c r="A425" s="35"/>
      <c r="B425" s="35"/>
      <c r="C425" s="35"/>
      <c r="D425" s="35"/>
      <c r="E425" s="35"/>
      <c r="F425" s="35"/>
      <c r="G425" s="35"/>
      <c r="H425" s="35"/>
      <c r="I425" s="35"/>
      <c r="J425" s="35"/>
      <c r="K425" s="35"/>
      <c r="L425" s="35"/>
      <c r="M425" s="35"/>
      <c r="N425" s="35"/>
      <c r="O425" s="35"/>
      <c r="P425" s="35"/>
      <c r="Q425" s="35"/>
      <c r="R425" s="35"/>
      <c r="S425" s="35"/>
      <c r="T425" s="35"/>
      <c r="U425" s="35"/>
      <c r="V425" s="35"/>
      <c r="W425" s="35"/>
      <c r="X425" s="35"/>
      <c r="Y425" s="35"/>
      <c r="Z425" s="35"/>
    </row>
    <row r="426" ht="12.75" customHeight="1">
      <c r="A426" s="35"/>
      <c r="B426" s="35"/>
      <c r="C426" s="35"/>
      <c r="D426" s="35"/>
      <c r="E426" s="35"/>
      <c r="F426" s="35"/>
      <c r="G426" s="35"/>
      <c r="H426" s="35"/>
      <c r="I426" s="35"/>
      <c r="J426" s="35"/>
      <c r="K426" s="35"/>
      <c r="L426" s="35"/>
      <c r="M426" s="35"/>
      <c r="N426" s="35"/>
      <c r="O426" s="35"/>
      <c r="P426" s="35"/>
      <c r="Q426" s="35"/>
      <c r="R426" s="35"/>
      <c r="S426" s="35"/>
      <c r="T426" s="35"/>
      <c r="U426" s="35"/>
      <c r="V426" s="35"/>
      <c r="W426" s="35"/>
      <c r="X426" s="35"/>
      <c r="Y426" s="35"/>
      <c r="Z426" s="35"/>
    </row>
    <row r="427" ht="12.75" customHeight="1">
      <c r="A427" s="35"/>
      <c r="B427" s="35"/>
      <c r="C427" s="35"/>
      <c r="D427" s="35"/>
      <c r="E427" s="35"/>
      <c r="F427" s="35"/>
      <c r="G427" s="35"/>
      <c r="H427" s="35"/>
      <c r="I427" s="35"/>
      <c r="J427" s="35"/>
      <c r="K427" s="35"/>
      <c r="L427" s="35"/>
      <c r="M427" s="35"/>
      <c r="N427" s="35"/>
      <c r="O427" s="35"/>
      <c r="P427" s="35"/>
      <c r="Q427" s="35"/>
      <c r="R427" s="35"/>
      <c r="S427" s="35"/>
      <c r="T427" s="35"/>
      <c r="U427" s="35"/>
      <c r="V427" s="35"/>
      <c r="W427" s="35"/>
      <c r="X427" s="35"/>
      <c r="Y427" s="35"/>
      <c r="Z427" s="35"/>
    </row>
    <row r="428" ht="12.75" customHeight="1">
      <c r="A428" s="35"/>
      <c r="B428" s="35"/>
      <c r="C428" s="35"/>
      <c r="D428" s="35"/>
      <c r="E428" s="35"/>
      <c r="F428" s="35"/>
      <c r="G428" s="35"/>
      <c r="H428" s="35"/>
      <c r="I428" s="35"/>
      <c r="J428" s="35"/>
      <c r="K428" s="35"/>
      <c r="L428" s="35"/>
      <c r="M428" s="35"/>
      <c r="N428" s="35"/>
      <c r="O428" s="35"/>
      <c r="P428" s="35"/>
      <c r="Q428" s="35"/>
      <c r="R428" s="35"/>
      <c r="S428" s="35"/>
      <c r="T428" s="35"/>
      <c r="U428" s="35"/>
      <c r="V428" s="35"/>
      <c r="W428" s="35"/>
      <c r="X428" s="35"/>
      <c r="Y428" s="35"/>
      <c r="Z428" s="35"/>
    </row>
    <row r="429" ht="12.75" customHeight="1">
      <c r="A429" s="35"/>
      <c r="B429" s="35"/>
      <c r="C429" s="35"/>
      <c r="D429" s="35"/>
      <c r="E429" s="35"/>
      <c r="F429" s="35"/>
      <c r="G429" s="35"/>
      <c r="H429" s="35"/>
      <c r="I429" s="35"/>
      <c r="J429" s="35"/>
      <c r="K429" s="35"/>
      <c r="L429" s="35"/>
      <c r="M429" s="35"/>
      <c r="N429" s="35"/>
      <c r="O429" s="35"/>
      <c r="P429" s="35"/>
      <c r="Q429" s="35"/>
      <c r="R429" s="35"/>
      <c r="S429" s="35"/>
      <c r="T429" s="35"/>
      <c r="U429" s="35"/>
      <c r="V429" s="35"/>
      <c r="W429" s="35"/>
      <c r="X429" s="35"/>
      <c r="Y429" s="35"/>
      <c r="Z429" s="35"/>
    </row>
    <row r="430" ht="12.75" customHeight="1">
      <c r="A430" s="35"/>
      <c r="B430" s="35"/>
      <c r="C430" s="35"/>
      <c r="D430" s="35"/>
      <c r="E430" s="35"/>
      <c r="F430" s="35"/>
      <c r="G430" s="35"/>
      <c r="H430" s="35"/>
      <c r="I430" s="35"/>
      <c r="J430" s="35"/>
      <c r="K430" s="35"/>
      <c r="L430" s="35"/>
      <c r="M430" s="35"/>
      <c r="N430" s="35"/>
      <c r="O430" s="35"/>
      <c r="P430" s="35"/>
      <c r="Q430" s="35"/>
      <c r="R430" s="35"/>
      <c r="S430" s="35"/>
      <c r="T430" s="35"/>
      <c r="U430" s="35"/>
      <c r="V430" s="35"/>
      <c r="W430" s="35"/>
      <c r="X430" s="35"/>
      <c r="Y430" s="35"/>
      <c r="Z430" s="35"/>
    </row>
    <row r="431" ht="12.75" customHeight="1">
      <c r="A431" s="35"/>
      <c r="B431" s="35"/>
      <c r="C431" s="35"/>
      <c r="D431" s="35"/>
      <c r="E431" s="35"/>
      <c r="F431" s="35"/>
      <c r="G431" s="35"/>
      <c r="H431" s="35"/>
      <c r="I431" s="35"/>
      <c r="J431" s="35"/>
      <c r="K431" s="35"/>
      <c r="L431" s="35"/>
      <c r="M431" s="35"/>
      <c r="N431" s="35"/>
      <c r="O431" s="35"/>
      <c r="P431" s="35"/>
      <c r="Q431" s="35"/>
      <c r="R431" s="35"/>
      <c r="S431" s="35"/>
      <c r="T431" s="35"/>
      <c r="U431" s="35"/>
      <c r="V431" s="35"/>
      <c r="W431" s="35"/>
      <c r="X431" s="35"/>
      <c r="Y431" s="35"/>
      <c r="Z431" s="35"/>
    </row>
    <row r="432" ht="12.75" customHeight="1">
      <c r="A432" s="35"/>
      <c r="B432" s="35"/>
      <c r="C432" s="35"/>
      <c r="D432" s="35"/>
      <c r="E432" s="35"/>
      <c r="F432" s="35"/>
      <c r="G432" s="35"/>
      <c r="H432" s="35"/>
      <c r="I432" s="35"/>
      <c r="J432" s="35"/>
      <c r="K432" s="35"/>
      <c r="L432" s="35"/>
      <c r="M432" s="35"/>
      <c r="N432" s="35"/>
      <c r="O432" s="35"/>
      <c r="P432" s="35"/>
      <c r="Q432" s="35"/>
      <c r="R432" s="35"/>
      <c r="S432" s="35"/>
      <c r="T432" s="35"/>
      <c r="U432" s="35"/>
      <c r="V432" s="35"/>
      <c r="W432" s="35"/>
      <c r="X432" s="35"/>
      <c r="Y432" s="35"/>
      <c r="Z432" s="35"/>
    </row>
    <row r="433" ht="12.75" customHeight="1">
      <c r="A433" s="35"/>
      <c r="B433" s="35"/>
      <c r="C433" s="35"/>
      <c r="D433" s="35"/>
      <c r="E433" s="35"/>
      <c r="F433" s="35"/>
      <c r="G433" s="35"/>
      <c r="H433" s="35"/>
      <c r="I433" s="35"/>
      <c r="J433" s="35"/>
      <c r="K433" s="35"/>
      <c r="L433" s="35"/>
      <c r="M433" s="35"/>
      <c r="N433" s="35"/>
      <c r="O433" s="35"/>
      <c r="P433" s="35"/>
      <c r="Q433" s="35"/>
      <c r="R433" s="35"/>
      <c r="S433" s="35"/>
      <c r="T433" s="35"/>
      <c r="U433" s="35"/>
      <c r="V433" s="35"/>
      <c r="W433" s="35"/>
      <c r="X433" s="35"/>
      <c r="Y433" s="35"/>
      <c r="Z433" s="35"/>
    </row>
    <row r="434" ht="12.75" customHeight="1">
      <c r="A434" s="35"/>
      <c r="B434" s="35"/>
      <c r="C434" s="35"/>
      <c r="D434" s="35"/>
      <c r="E434" s="35"/>
      <c r="F434" s="35"/>
      <c r="G434" s="35"/>
      <c r="H434" s="35"/>
      <c r="I434" s="35"/>
      <c r="J434" s="35"/>
      <c r="K434" s="35"/>
      <c r="L434" s="35"/>
      <c r="M434" s="35"/>
      <c r="N434" s="35"/>
      <c r="O434" s="35"/>
      <c r="P434" s="35"/>
      <c r="Q434" s="35"/>
      <c r="R434" s="35"/>
      <c r="S434" s="35"/>
      <c r="T434" s="35"/>
      <c r="U434" s="35"/>
      <c r="V434" s="35"/>
      <c r="W434" s="35"/>
      <c r="X434" s="35"/>
      <c r="Y434" s="35"/>
      <c r="Z434" s="35"/>
    </row>
    <row r="435" ht="12.75" customHeight="1">
      <c r="A435" s="35"/>
      <c r="B435" s="35"/>
      <c r="C435" s="35"/>
      <c r="D435" s="35"/>
      <c r="E435" s="35"/>
      <c r="F435" s="35"/>
      <c r="G435" s="35"/>
      <c r="H435" s="35"/>
      <c r="I435" s="35"/>
      <c r="J435" s="35"/>
      <c r="K435" s="35"/>
      <c r="L435" s="35"/>
      <c r="M435" s="35"/>
      <c r="N435" s="35"/>
      <c r="O435" s="35"/>
      <c r="P435" s="35"/>
      <c r="Q435" s="35"/>
      <c r="R435" s="35"/>
      <c r="S435" s="35"/>
      <c r="T435" s="35"/>
      <c r="U435" s="35"/>
      <c r="V435" s="35"/>
      <c r="W435" s="35"/>
      <c r="X435" s="35"/>
      <c r="Y435" s="35"/>
      <c r="Z435" s="35"/>
    </row>
    <row r="436" ht="12.75" customHeight="1">
      <c r="A436" s="35"/>
      <c r="B436" s="35"/>
      <c r="C436" s="35"/>
      <c r="D436" s="35"/>
      <c r="E436" s="35"/>
      <c r="F436" s="35"/>
      <c r="G436" s="35"/>
      <c r="H436" s="35"/>
      <c r="I436" s="35"/>
      <c r="J436" s="35"/>
      <c r="K436" s="35"/>
      <c r="L436" s="35"/>
      <c r="M436" s="35"/>
      <c r="N436" s="35"/>
      <c r="O436" s="35"/>
      <c r="P436" s="35"/>
      <c r="Q436" s="35"/>
      <c r="R436" s="35"/>
      <c r="S436" s="35"/>
      <c r="T436" s="35"/>
      <c r="U436" s="35"/>
      <c r="V436" s="35"/>
      <c r="W436" s="35"/>
      <c r="X436" s="35"/>
      <c r="Y436" s="35"/>
      <c r="Z436" s="35"/>
    </row>
    <row r="437" ht="12.75" customHeight="1">
      <c r="A437" s="35"/>
      <c r="B437" s="35"/>
      <c r="C437" s="35"/>
      <c r="D437" s="35"/>
      <c r="E437" s="35"/>
      <c r="F437" s="35"/>
      <c r="G437" s="35"/>
      <c r="H437" s="35"/>
      <c r="I437" s="35"/>
      <c r="J437" s="35"/>
      <c r="K437" s="35"/>
      <c r="L437" s="35"/>
      <c r="M437" s="35"/>
      <c r="N437" s="35"/>
      <c r="O437" s="35"/>
      <c r="P437" s="35"/>
      <c r="Q437" s="35"/>
      <c r="R437" s="35"/>
      <c r="S437" s="35"/>
      <c r="T437" s="35"/>
      <c r="U437" s="35"/>
      <c r="V437" s="35"/>
      <c r="W437" s="35"/>
      <c r="X437" s="35"/>
      <c r="Y437" s="35"/>
      <c r="Z437" s="35"/>
    </row>
    <row r="438" ht="12.75" customHeight="1">
      <c r="A438" s="35"/>
      <c r="B438" s="35"/>
      <c r="C438" s="35"/>
      <c r="D438" s="35"/>
      <c r="E438" s="35"/>
      <c r="F438" s="35"/>
      <c r="G438" s="35"/>
      <c r="H438" s="35"/>
      <c r="I438" s="35"/>
      <c r="J438" s="35"/>
      <c r="K438" s="35"/>
      <c r="L438" s="35"/>
      <c r="M438" s="35"/>
      <c r="N438" s="35"/>
      <c r="O438" s="35"/>
      <c r="P438" s="35"/>
      <c r="Q438" s="35"/>
      <c r="R438" s="35"/>
      <c r="S438" s="35"/>
      <c r="T438" s="35"/>
      <c r="U438" s="35"/>
      <c r="V438" s="35"/>
      <c r="W438" s="35"/>
      <c r="X438" s="35"/>
      <c r="Y438" s="35"/>
      <c r="Z438" s="35"/>
    </row>
    <row r="439" ht="12.75" customHeight="1">
      <c r="A439" s="35"/>
      <c r="B439" s="35"/>
      <c r="C439" s="35"/>
      <c r="D439" s="35"/>
      <c r="E439" s="35"/>
      <c r="F439" s="35"/>
      <c r="G439" s="35"/>
      <c r="H439" s="35"/>
      <c r="I439" s="35"/>
      <c r="J439" s="35"/>
      <c r="K439" s="35"/>
      <c r="L439" s="35"/>
      <c r="M439" s="35"/>
      <c r="N439" s="35"/>
      <c r="O439" s="35"/>
      <c r="P439" s="35"/>
      <c r="Q439" s="35"/>
      <c r="R439" s="35"/>
      <c r="S439" s="35"/>
      <c r="T439" s="35"/>
      <c r="U439" s="35"/>
      <c r="V439" s="35"/>
      <c r="W439" s="35"/>
      <c r="X439" s="35"/>
      <c r="Y439" s="35"/>
      <c r="Z439" s="35"/>
    </row>
    <row r="440" ht="12.75" customHeight="1">
      <c r="A440" s="35"/>
      <c r="B440" s="35"/>
      <c r="C440" s="35"/>
      <c r="D440" s="35"/>
      <c r="E440" s="35"/>
      <c r="F440" s="35"/>
      <c r="G440" s="35"/>
      <c r="H440" s="35"/>
      <c r="I440" s="35"/>
      <c r="J440" s="35"/>
      <c r="K440" s="35"/>
      <c r="L440" s="35"/>
      <c r="M440" s="35"/>
      <c r="N440" s="35"/>
      <c r="O440" s="35"/>
      <c r="P440" s="35"/>
      <c r="Q440" s="35"/>
      <c r="R440" s="35"/>
      <c r="S440" s="35"/>
      <c r="T440" s="35"/>
      <c r="U440" s="35"/>
      <c r="V440" s="35"/>
      <c r="W440" s="35"/>
      <c r="X440" s="35"/>
      <c r="Y440" s="35"/>
      <c r="Z440" s="35"/>
    </row>
    <row r="441" ht="12.75" customHeight="1">
      <c r="A441" s="35"/>
      <c r="B441" s="35"/>
      <c r="C441" s="35"/>
      <c r="D441" s="35"/>
      <c r="E441" s="35"/>
      <c r="F441" s="35"/>
      <c r="G441" s="35"/>
      <c r="H441" s="35"/>
      <c r="I441" s="35"/>
      <c r="J441" s="35"/>
      <c r="K441" s="35"/>
      <c r="L441" s="35"/>
      <c r="M441" s="35"/>
      <c r="N441" s="35"/>
      <c r="O441" s="35"/>
      <c r="P441" s="35"/>
      <c r="Q441" s="35"/>
      <c r="R441" s="35"/>
      <c r="S441" s="35"/>
      <c r="T441" s="35"/>
      <c r="U441" s="35"/>
      <c r="V441" s="35"/>
      <c r="W441" s="35"/>
      <c r="X441" s="35"/>
      <c r="Y441" s="35"/>
      <c r="Z441" s="35"/>
    </row>
    <row r="442" ht="12.75" customHeight="1">
      <c r="A442" s="35"/>
      <c r="B442" s="35"/>
      <c r="C442" s="35"/>
      <c r="D442" s="35"/>
      <c r="E442" s="35"/>
      <c r="F442" s="35"/>
      <c r="G442" s="35"/>
      <c r="H442" s="35"/>
      <c r="I442" s="35"/>
      <c r="J442" s="35"/>
      <c r="K442" s="35"/>
      <c r="L442" s="35"/>
      <c r="M442" s="35"/>
      <c r="N442" s="35"/>
      <c r="O442" s="35"/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5"/>
    </row>
    <row r="443" ht="12.75" customHeight="1">
      <c r="A443" s="35"/>
      <c r="B443" s="35"/>
      <c r="C443" s="35"/>
      <c r="D443" s="35"/>
      <c r="E443" s="35"/>
      <c r="F443" s="35"/>
      <c r="G443" s="35"/>
      <c r="H443" s="35"/>
      <c r="I443" s="35"/>
      <c r="J443" s="35"/>
      <c r="K443" s="35"/>
      <c r="L443" s="35"/>
      <c r="M443" s="35"/>
      <c r="N443" s="35"/>
      <c r="O443" s="35"/>
      <c r="P443" s="35"/>
      <c r="Q443" s="35"/>
      <c r="R443" s="35"/>
      <c r="S443" s="35"/>
      <c r="T443" s="35"/>
      <c r="U443" s="35"/>
      <c r="V443" s="35"/>
      <c r="W443" s="35"/>
      <c r="X443" s="35"/>
      <c r="Y443" s="35"/>
      <c r="Z443" s="35"/>
    </row>
    <row r="444" ht="12.75" customHeight="1">
      <c r="A444" s="35"/>
      <c r="B444" s="35"/>
      <c r="C444" s="35"/>
      <c r="D444" s="35"/>
      <c r="E444" s="35"/>
      <c r="F444" s="35"/>
      <c r="G444" s="35"/>
      <c r="H444" s="35"/>
      <c r="I444" s="35"/>
      <c r="J444" s="35"/>
      <c r="K444" s="35"/>
      <c r="L444" s="35"/>
      <c r="M444" s="35"/>
      <c r="N444" s="35"/>
      <c r="O444" s="35"/>
      <c r="P444" s="35"/>
      <c r="Q444" s="35"/>
      <c r="R444" s="35"/>
      <c r="S444" s="35"/>
      <c r="T444" s="35"/>
      <c r="U444" s="35"/>
      <c r="V444" s="35"/>
      <c r="W444" s="35"/>
      <c r="X444" s="35"/>
      <c r="Y444" s="35"/>
      <c r="Z444" s="35"/>
    </row>
    <row r="445" ht="12.75" customHeight="1">
      <c r="A445" s="35"/>
      <c r="B445" s="35"/>
      <c r="C445" s="35"/>
      <c r="D445" s="35"/>
      <c r="E445" s="35"/>
      <c r="F445" s="35"/>
      <c r="G445" s="35"/>
      <c r="H445" s="35"/>
      <c r="I445" s="35"/>
      <c r="J445" s="35"/>
      <c r="K445" s="35"/>
      <c r="L445" s="35"/>
      <c r="M445" s="35"/>
      <c r="N445" s="35"/>
      <c r="O445" s="35"/>
      <c r="P445" s="35"/>
      <c r="Q445" s="35"/>
      <c r="R445" s="35"/>
      <c r="S445" s="35"/>
      <c r="T445" s="35"/>
      <c r="U445" s="35"/>
      <c r="V445" s="35"/>
      <c r="W445" s="35"/>
      <c r="X445" s="35"/>
      <c r="Y445" s="35"/>
      <c r="Z445" s="35"/>
    </row>
    <row r="446" ht="12.75" customHeight="1">
      <c r="A446" s="35"/>
      <c r="B446" s="35"/>
      <c r="C446" s="35"/>
      <c r="D446" s="35"/>
      <c r="E446" s="35"/>
      <c r="F446" s="35"/>
      <c r="G446" s="35"/>
      <c r="H446" s="35"/>
      <c r="I446" s="35"/>
      <c r="J446" s="35"/>
      <c r="K446" s="35"/>
      <c r="L446" s="35"/>
      <c r="M446" s="35"/>
      <c r="N446" s="35"/>
      <c r="O446" s="35"/>
      <c r="P446" s="35"/>
      <c r="Q446" s="35"/>
      <c r="R446" s="35"/>
      <c r="S446" s="35"/>
      <c r="T446" s="35"/>
      <c r="U446" s="35"/>
      <c r="V446" s="35"/>
      <c r="W446" s="35"/>
      <c r="X446" s="35"/>
      <c r="Y446" s="35"/>
      <c r="Z446" s="35"/>
    </row>
    <row r="447" ht="12.75" customHeight="1">
      <c r="A447" s="35"/>
      <c r="B447" s="35"/>
      <c r="C447" s="35"/>
      <c r="D447" s="35"/>
      <c r="E447" s="35"/>
      <c r="F447" s="35"/>
      <c r="G447" s="35"/>
      <c r="H447" s="35"/>
      <c r="I447" s="35"/>
      <c r="J447" s="35"/>
      <c r="K447" s="35"/>
      <c r="L447" s="35"/>
      <c r="M447" s="35"/>
      <c r="N447" s="35"/>
      <c r="O447" s="35"/>
      <c r="P447" s="35"/>
      <c r="Q447" s="35"/>
      <c r="R447" s="35"/>
      <c r="S447" s="35"/>
      <c r="T447" s="35"/>
      <c r="U447" s="35"/>
      <c r="V447" s="35"/>
      <c r="W447" s="35"/>
      <c r="X447" s="35"/>
      <c r="Y447" s="35"/>
      <c r="Z447" s="35"/>
    </row>
    <row r="448" ht="12.75" customHeight="1">
      <c r="A448" s="35"/>
      <c r="B448" s="35"/>
      <c r="C448" s="35"/>
      <c r="D448" s="35"/>
      <c r="E448" s="35"/>
      <c r="F448" s="35"/>
      <c r="G448" s="35"/>
      <c r="H448" s="35"/>
      <c r="I448" s="35"/>
      <c r="J448" s="35"/>
      <c r="K448" s="35"/>
      <c r="L448" s="35"/>
      <c r="M448" s="35"/>
      <c r="N448" s="35"/>
      <c r="O448" s="35"/>
      <c r="P448" s="35"/>
      <c r="Q448" s="35"/>
      <c r="R448" s="35"/>
      <c r="S448" s="35"/>
      <c r="T448" s="35"/>
      <c r="U448" s="35"/>
      <c r="V448" s="35"/>
      <c r="W448" s="35"/>
      <c r="X448" s="35"/>
      <c r="Y448" s="35"/>
      <c r="Z448" s="35"/>
    </row>
    <row r="449" ht="12.75" customHeight="1">
      <c r="A449" s="35"/>
      <c r="B449" s="35"/>
      <c r="C449" s="35"/>
      <c r="D449" s="35"/>
      <c r="E449" s="35"/>
      <c r="F449" s="35"/>
      <c r="G449" s="35"/>
      <c r="H449" s="35"/>
      <c r="I449" s="35"/>
      <c r="J449" s="35"/>
      <c r="K449" s="35"/>
      <c r="L449" s="35"/>
      <c r="M449" s="35"/>
      <c r="N449" s="35"/>
      <c r="O449" s="35"/>
      <c r="P449" s="35"/>
      <c r="Q449" s="35"/>
      <c r="R449" s="35"/>
      <c r="S449" s="35"/>
      <c r="T449" s="35"/>
      <c r="U449" s="35"/>
      <c r="V449" s="35"/>
      <c r="W449" s="35"/>
      <c r="X449" s="35"/>
      <c r="Y449" s="35"/>
      <c r="Z449" s="35"/>
    </row>
    <row r="450" ht="12.75" customHeight="1">
      <c r="A450" s="35"/>
      <c r="B450" s="35"/>
      <c r="C450" s="35"/>
      <c r="D450" s="35"/>
      <c r="E450" s="35"/>
      <c r="F450" s="35"/>
      <c r="G450" s="35"/>
      <c r="H450" s="35"/>
      <c r="I450" s="35"/>
      <c r="J450" s="35"/>
      <c r="K450" s="35"/>
      <c r="L450" s="35"/>
      <c r="M450" s="35"/>
      <c r="N450" s="35"/>
      <c r="O450" s="35"/>
      <c r="P450" s="35"/>
      <c r="Q450" s="35"/>
      <c r="R450" s="35"/>
      <c r="S450" s="35"/>
      <c r="T450" s="35"/>
      <c r="U450" s="35"/>
      <c r="V450" s="35"/>
      <c r="W450" s="35"/>
      <c r="X450" s="35"/>
      <c r="Y450" s="35"/>
      <c r="Z450" s="35"/>
    </row>
    <row r="451" ht="12.75" customHeight="1">
      <c r="A451" s="35"/>
      <c r="B451" s="35"/>
      <c r="C451" s="35"/>
      <c r="D451" s="35"/>
      <c r="E451" s="35"/>
      <c r="F451" s="35"/>
      <c r="G451" s="35"/>
      <c r="H451" s="35"/>
      <c r="I451" s="35"/>
      <c r="J451" s="35"/>
      <c r="K451" s="35"/>
      <c r="L451" s="35"/>
      <c r="M451" s="35"/>
      <c r="N451" s="35"/>
      <c r="O451" s="35"/>
      <c r="P451" s="35"/>
      <c r="Q451" s="35"/>
      <c r="R451" s="35"/>
      <c r="S451" s="35"/>
      <c r="T451" s="35"/>
      <c r="U451" s="35"/>
      <c r="V451" s="35"/>
      <c r="W451" s="35"/>
      <c r="X451" s="35"/>
      <c r="Y451" s="35"/>
      <c r="Z451" s="35"/>
    </row>
    <row r="452" ht="12.75" customHeight="1">
      <c r="A452" s="35"/>
      <c r="B452" s="35"/>
      <c r="C452" s="35"/>
      <c r="D452" s="35"/>
      <c r="E452" s="35"/>
      <c r="F452" s="35"/>
      <c r="G452" s="35"/>
      <c r="H452" s="35"/>
      <c r="I452" s="35"/>
      <c r="J452" s="35"/>
      <c r="K452" s="35"/>
      <c r="L452" s="35"/>
      <c r="M452" s="35"/>
      <c r="N452" s="35"/>
      <c r="O452" s="35"/>
      <c r="P452" s="35"/>
      <c r="Q452" s="35"/>
      <c r="R452" s="35"/>
      <c r="S452" s="35"/>
      <c r="T452" s="35"/>
      <c r="U452" s="35"/>
      <c r="V452" s="35"/>
      <c r="W452" s="35"/>
      <c r="X452" s="35"/>
      <c r="Y452" s="35"/>
      <c r="Z452" s="35"/>
    </row>
    <row r="453" ht="12.75" customHeight="1">
      <c r="A453" s="35"/>
      <c r="B453" s="35"/>
      <c r="C453" s="35"/>
      <c r="D453" s="35"/>
      <c r="E453" s="35"/>
      <c r="F453" s="35"/>
      <c r="G453" s="35"/>
      <c r="H453" s="35"/>
      <c r="I453" s="35"/>
      <c r="J453" s="35"/>
      <c r="K453" s="35"/>
      <c r="L453" s="35"/>
      <c r="M453" s="35"/>
      <c r="N453" s="35"/>
      <c r="O453" s="35"/>
      <c r="P453" s="35"/>
      <c r="Q453" s="35"/>
      <c r="R453" s="35"/>
      <c r="S453" s="35"/>
      <c r="T453" s="35"/>
      <c r="U453" s="35"/>
      <c r="V453" s="35"/>
      <c r="W453" s="35"/>
      <c r="X453" s="35"/>
      <c r="Y453" s="35"/>
      <c r="Z453" s="35"/>
    </row>
    <row r="454" ht="12.75" customHeight="1">
      <c r="A454" s="35"/>
      <c r="B454" s="35"/>
      <c r="C454" s="35"/>
      <c r="D454" s="35"/>
      <c r="E454" s="35"/>
      <c r="F454" s="35"/>
      <c r="G454" s="35"/>
      <c r="H454" s="35"/>
      <c r="I454" s="35"/>
      <c r="J454" s="35"/>
      <c r="K454" s="35"/>
      <c r="L454" s="35"/>
      <c r="M454" s="35"/>
      <c r="N454" s="35"/>
      <c r="O454" s="35"/>
      <c r="P454" s="35"/>
      <c r="Q454" s="35"/>
      <c r="R454" s="35"/>
      <c r="S454" s="35"/>
      <c r="T454" s="35"/>
      <c r="U454" s="35"/>
      <c r="V454" s="35"/>
      <c r="W454" s="35"/>
      <c r="X454" s="35"/>
      <c r="Y454" s="35"/>
      <c r="Z454" s="35"/>
    </row>
    <row r="455" ht="12.75" customHeight="1">
      <c r="A455" s="35"/>
      <c r="B455" s="35"/>
      <c r="C455" s="35"/>
      <c r="D455" s="35"/>
      <c r="E455" s="35"/>
      <c r="F455" s="35"/>
      <c r="G455" s="35"/>
      <c r="H455" s="35"/>
      <c r="I455" s="35"/>
      <c r="J455" s="35"/>
      <c r="K455" s="35"/>
      <c r="L455" s="35"/>
      <c r="M455" s="35"/>
      <c r="N455" s="35"/>
      <c r="O455" s="35"/>
      <c r="P455" s="35"/>
      <c r="Q455" s="35"/>
      <c r="R455" s="35"/>
      <c r="S455" s="35"/>
      <c r="T455" s="35"/>
      <c r="U455" s="35"/>
      <c r="V455" s="35"/>
      <c r="W455" s="35"/>
      <c r="X455" s="35"/>
      <c r="Y455" s="35"/>
      <c r="Z455" s="35"/>
    </row>
    <row r="456" ht="12.75" customHeight="1">
      <c r="A456" s="35"/>
      <c r="B456" s="35"/>
      <c r="C456" s="35"/>
      <c r="D456" s="35"/>
      <c r="E456" s="35"/>
      <c r="F456" s="35"/>
      <c r="G456" s="35"/>
      <c r="H456" s="35"/>
      <c r="I456" s="35"/>
      <c r="J456" s="35"/>
      <c r="K456" s="35"/>
      <c r="L456" s="35"/>
      <c r="M456" s="35"/>
      <c r="N456" s="35"/>
      <c r="O456" s="35"/>
      <c r="P456" s="35"/>
      <c r="Q456" s="35"/>
      <c r="R456" s="35"/>
      <c r="S456" s="35"/>
      <c r="T456" s="35"/>
      <c r="U456" s="35"/>
      <c r="V456" s="35"/>
      <c r="W456" s="35"/>
      <c r="X456" s="35"/>
      <c r="Y456" s="35"/>
      <c r="Z456" s="35"/>
    </row>
    <row r="457" ht="12.75" customHeight="1">
      <c r="A457" s="35"/>
      <c r="B457" s="35"/>
      <c r="C457" s="35"/>
      <c r="D457" s="35"/>
      <c r="E457" s="35"/>
      <c r="F457" s="35"/>
      <c r="G457" s="35"/>
      <c r="H457" s="35"/>
      <c r="I457" s="35"/>
      <c r="J457" s="35"/>
      <c r="K457" s="35"/>
      <c r="L457" s="35"/>
      <c r="M457" s="35"/>
      <c r="N457" s="35"/>
      <c r="O457" s="35"/>
      <c r="P457" s="35"/>
      <c r="Q457" s="35"/>
      <c r="R457" s="35"/>
      <c r="S457" s="35"/>
      <c r="T457" s="35"/>
      <c r="U457" s="35"/>
      <c r="V457" s="35"/>
      <c r="W457" s="35"/>
      <c r="X457" s="35"/>
      <c r="Y457" s="35"/>
      <c r="Z457" s="35"/>
    </row>
    <row r="458" ht="12.75" customHeight="1">
      <c r="A458" s="35"/>
      <c r="B458" s="35"/>
      <c r="C458" s="35"/>
      <c r="D458" s="35"/>
      <c r="E458" s="35"/>
      <c r="F458" s="35"/>
      <c r="G458" s="35"/>
      <c r="H458" s="35"/>
      <c r="I458" s="35"/>
      <c r="J458" s="35"/>
      <c r="K458" s="35"/>
      <c r="L458" s="35"/>
      <c r="M458" s="35"/>
      <c r="N458" s="35"/>
      <c r="O458" s="35"/>
      <c r="P458" s="35"/>
      <c r="Q458" s="35"/>
      <c r="R458" s="35"/>
      <c r="S458" s="35"/>
      <c r="T458" s="35"/>
      <c r="U458" s="35"/>
      <c r="V458" s="35"/>
      <c r="W458" s="35"/>
      <c r="X458" s="35"/>
      <c r="Y458" s="35"/>
      <c r="Z458" s="35"/>
    </row>
    <row r="459" ht="12.75" customHeight="1">
      <c r="A459" s="35"/>
      <c r="B459" s="35"/>
      <c r="C459" s="35"/>
      <c r="D459" s="35"/>
      <c r="E459" s="35"/>
      <c r="F459" s="35"/>
      <c r="G459" s="35"/>
      <c r="H459" s="35"/>
      <c r="I459" s="35"/>
      <c r="J459" s="35"/>
      <c r="K459" s="35"/>
      <c r="L459" s="35"/>
      <c r="M459" s="35"/>
      <c r="N459" s="35"/>
      <c r="O459" s="35"/>
      <c r="P459" s="35"/>
      <c r="Q459" s="35"/>
      <c r="R459" s="35"/>
      <c r="S459" s="35"/>
      <c r="T459" s="35"/>
      <c r="U459" s="35"/>
      <c r="V459" s="35"/>
      <c r="W459" s="35"/>
      <c r="X459" s="35"/>
      <c r="Y459" s="35"/>
      <c r="Z459" s="35"/>
    </row>
    <row r="460" ht="12.75" customHeight="1">
      <c r="A460" s="35"/>
      <c r="B460" s="35"/>
      <c r="C460" s="35"/>
      <c r="D460" s="35"/>
      <c r="E460" s="35"/>
      <c r="F460" s="35"/>
      <c r="G460" s="35"/>
      <c r="H460" s="35"/>
      <c r="I460" s="35"/>
      <c r="J460" s="35"/>
      <c r="K460" s="35"/>
      <c r="L460" s="35"/>
      <c r="M460" s="35"/>
      <c r="N460" s="35"/>
      <c r="O460" s="35"/>
      <c r="P460" s="35"/>
      <c r="Q460" s="35"/>
      <c r="R460" s="35"/>
      <c r="S460" s="35"/>
      <c r="T460" s="35"/>
      <c r="U460" s="35"/>
      <c r="V460" s="35"/>
      <c r="W460" s="35"/>
      <c r="X460" s="35"/>
      <c r="Y460" s="35"/>
      <c r="Z460" s="35"/>
    </row>
    <row r="461" ht="12.75" customHeight="1">
      <c r="A461" s="35"/>
      <c r="B461" s="35"/>
      <c r="C461" s="35"/>
      <c r="D461" s="35"/>
      <c r="E461" s="35"/>
      <c r="F461" s="35"/>
      <c r="G461" s="35"/>
      <c r="H461" s="35"/>
      <c r="I461" s="35"/>
      <c r="J461" s="35"/>
      <c r="K461" s="35"/>
      <c r="L461" s="35"/>
      <c r="M461" s="35"/>
      <c r="N461" s="35"/>
      <c r="O461" s="35"/>
      <c r="P461" s="35"/>
      <c r="Q461" s="35"/>
      <c r="R461" s="35"/>
      <c r="S461" s="35"/>
      <c r="T461" s="35"/>
      <c r="U461" s="35"/>
      <c r="V461" s="35"/>
      <c r="W461" s="35"/>
      <c r="X461" s="35"/>
      <c r="Y461" s="35"/>
      <c r="Z461" s="35"/>
    </row>
    <row r="462" ht="12.75" customHeight="1">
      <c r="A462" s="35"/>
      <c r="B462" s="35"/>
      <c r="C462" s="35"/>
      <c r="D462" s="35"/>
      <c r="E462" s="35"/>
      <c r="F462" s="35"/>
      <c r="G462" s="35"/>
      <c r="H462" s="35"/>
      <c r="I462" s="35"/>
      <c r="J462" s="35"/>
      <c r="K462" s="35"/>
      <c r="L462" s="35"/>
      <c r="M462" s="35"/>
      <c r="N462" s="35"/>
      <c r="O462" s="35"/>
      <c r="P462" s="35"/>
      <c r="Q462" s="35"/>
      <c r="R462" s="35"/>
      <c r="S462" s="35"/>
      <c r="T462" s="35"/>
      <c r="U462" s="35"/>
      <c r="V462" s="35"/>
      <c r="W462" s="35"/>
      <c r="X462" s="35"/>
      <c r="Y462" s="35"/>
      <c r="Z462" s="35"/>
    </row>
    <row r="463" ht="12.75" customHeight="1">
      <c r="A463" s="35"/>
      <c r="B463" s="35"/>
      <c r="C463" s="35"/>
      <c r="D463" s="35"/>
      <c r="E463" s="35"/>
      <c r="F463" s="35"/>
      <c r="G463" s="35"/>
      <c r="H463" s="35"/>
      <c r="I463" s="35"/>
      <c r="J463" s="35"/>
      <c r="K463" s="35"/>
      <c r="L463" s="35"/>
      <c r="M463" s="35"/>
      <c r="N463" s="35"/>
      <c r="O463" s="35"/>
      <c r="P463" s="35"/>
      <c r="Q463" s="35"/>
      <c r="R463" s="35"/>
      <c r="S463" s="35"/>
      <c r="T463" s="35"/>
      <c r="U463" s="35"/>
      <c r="V463" s="35"/>
      <c r="W463" s="35"/>
      <c r="X463" s="35"/>
      <c r="Y463" s="35"/>
      <c r="Z463" s="35"/>
    </row>
    <row r="464" ht="12.75" customHeight="1">
      <c r="A464" s="35"/>
      <c r="B464" s="35"/>
      <c r="C464" s="35"/>
      <c r="D464" s="35"/>
      <c r="E464" s="35"/>
      <c r="F464" s="35"/>
      <c r="G464" s="35"/>
      <c r="H464" s="35"/>
      <c r="I464" s="35"/>
      <c r="J464" s="35"/>
      <c r="K464" s="35"/>
      <c r="L464" s="35"/>
      <c r="M464" s="35"/>
      <c r="N464" s="35"/>
      <c r="O464" s="35"/>
      <c r="P464" s="35"/>
      <c r="Q464" s="35"/>
      <c r="R464" s="35"/>
      <c r="S464" s="35"/>
      <c r="T464" s="35"/>
      <c r="U464" s="35"/>
      <c r="V464" s="35"/>
      <c r="W464" s="35"/>
      <c r="X464" s="35"/>
      <c r="Y464" s="35"/>
      <c r="Z464" s="35"/>
    </row>
    <row r="465" ht="12.75" customHeight="1">
      <c r="A465" s="35"/>
      <c r="B465" s="35"/>
      <c r="C465" s="35"/>
      <c r="D465" s="35"/>
      <c r="E465" s="35"/>
      <c r="F465" s="35"/>
      <c r="G465" s="35"/>
      <c r="H465" s="35"/>
      <c r="I465" s="35"/>
      <c r="J465" s="35"/>
      <c r="K465" s="35"/>
      <c r="L465" s="35"/>
      <c r="M465" s="35"/>
      <c r="N465" s="35"/>
      <c r="O465" s="35"/>
      <c r="P465" s="35"/>
      <c r="Q465" s="35"/>
      <c r="R465" s="35"/>
      <c r="S465" s="35"/>
      <c r="T465" s="35"/>
      <c r="U465" s="35"/>
      <c r="V465" s="35"/>
      <c r="W465" s="35"/>
      <c r="X465" s="35"/>
      <c r="Y465" s="35"/>
      <c r="Z465" s="35"/>
    </row>
    <row r="466" ht="12.75" customHeight="1">
      <c r="A466" s="35"/>
      <c r="B466" s="35"/>
      <c r="C466" s="35"/>
      <c r="D466" s="35"/>
      <c r="E466" s="35"/>
      <c r="F466" s="35"/>
      <c r="G466" s="35"/>
      <c r="H466" s="35"/>
      <c r="I466" s="35"/>
      <c r="J466" s="35"/>
      <c r="K466" s="35"/>
      <c r="L466" s="35"/>
      <c r="M466" s="35"/>
      <c r="N466" s="35"/>
      <c r="O466" s="35"/>
      <c r="P466" s="35"/>
      <c r="Q466" s="35"/>
      <c r="R466" s="35"/>
      <c r="S466" s="35"/>
      <c r="T466" s="35"/>
      <c r="U466" s="35"/>
      <c r="V466" s="35"/>
      <c r="W466" s="35"/>
      <c r="X466" s="35"/>
      <c r="Y466" s="35"/>
      <c r="Z466" s="35"/>
    </row>
    <row r="467" ht="12.75" customHeight="1">
      <c r="A467" s="35"/>
      <c r="B467" s="35"/>
      <c r="C467" s="35"/>
      <c r="D467" s="35"/>
      <c r="E467" s="35"/>
      <c r="F467" s="35"/>
      <c r="G467" s="35"/>
      <c r="H467" s="35"/>
      <c r="I467" s="35"/>
      <c r="J467" s="35"/>
      <c r="K467" s="35"/>
      <c r="L467" s="35"/>
      <c r="M467" s="35"/>
      <c r="N467" s="35"/>
      <c r="O467" s="35"/>
      <c r="P467" s="35"/>
      <c r="Q467" s="35"/>
      <c r="R467" s="35"/>
      <c r="S467" s="35"/>
      <c r="T467" s="35"/>
      <c r="U467" s="35"/>
      <c r="V467" s="35"/>
      <c r="W467" s="35"/>
      <c r="X467" s="35"/>
      <c r="Y467" s="35"/>
      <c r="Z467" s="35"/>
    </row>
    <row r="468" ht="12.75" customHeight="1">
      <c r="A468" s="35"/>
      <c r="B468" s="35"/>
      <c r="C468" s="35"/>
      <c r="D468" s="35"/>
      <c r="E468" s="35"/>
      <c r="F468" s="35"/>
      <c r="G468" s="35"/>
      <c r="H468" s="35"/>
      <c r="I468" s="35"/>
      <c r="J468" s="35"/>
      <c r="K468" s="35"/>
      <c r="L468" s="35"/>
      <c r="M468" s="35"/>
      <c r="N468" s="35"/>
      <c r="O468" s="35"/>
      <c r="P468" s="35"/>
      <c r="Q468" s="35"/>
      <c r="R468" s="35"/>
      <c r="S468" s="35"/>
      <c r="T468" s="35"/>
      <c r="U468" s="35"/>
      <c r="V468" s="35"/>
      <c r="W468" s="35"/>
      <c r="X468" s="35"/>
      <c r="Y468" s="35"/>
      <c r="Z468" s="35"/>
    </row>
    <row r="469" ht="12.75" customHeight="1">
      <c r="A469" s="35"/>
      <c r="B469" s="35"/>
      <c r="C469" s="35"/>
      <c r="D469" s="35"/>
      <c r="E469" s="35"/>
      <c r="F469" s="35"/>
      <c r="G469" s="35"/>
      <c r="H469" s="35"/>
      <c r="I469" s="35"/>
      <c r="J469" s="35"/>
      <c r="K469" s="35"/>
      <c r="L469" s="35"/>
      <c r="M469" s="35"/>
      <c r="N469" s="35"/>
      <c r="O469" s="35"/>
      <c r="P469" s="35"/>
      <c r="Q469" s="35"/>
      <c r="R469" s="35"/>
      <c r="S469" s="35"/>
      <c r="T469" s="35"/>
      <c r="U469" s="35"/>
      <c r="V469" s="35"/>
      <c r="W469" s="35"/>
      <c r="X469" s="35"/>
      <c r="Y469" s="35"/>
      <c r="Z469" s="35"/>
    </row>
    <row r="470" ht="12.75" customHeight="1">
      <c r="A470" s="35"/>
      <c r="B470" s="35"/>
      <c r="C470" s="35"/>
      <c r="D470" s="35"/>
      <c r="E470" s="35"/>
      <c r="F470" s="35"/>
      <c r="G470" s="35"/>
      <c r="H470" s="35"/>
      <c r="I470" s="35"/>
      <c r="J470" s="35"/>
      <c r="K470" s="35"/>
      <c r="L470" s="35"/>
      <c r="M470" s="35"/>
      <c r="N470" s="35"/>
      <c r="O470" s="35"/>
      <c r="P470" s="35"/>
      <c r="Q470" s="35"/>
      <c r="R470" s="35"/>
      <c r="S470" s="35"/>
      <c r="T470" s="35"/>
      <c r="U470" s="35"/>
      <c r="V470" s="35"/>
      <c r="W470" s="35"/>
      <c r="X470" s="35"/>
      <c r="Y470" s="35"/>
      <c r="Z470" s="35"/>
    </row>
    <row r="471" ht="12.75" customHeight="1">
      <c r="A471" s="35"/>
      <c r="B471" s="35"/>
      <c r="C471" s="35"/>
      <c r="D471" s="35"/>
      <c r="E471" s="35"/>
      <c r="F471" s="35"/>
      <c r="G471" s="35"/>
      <c r="H471" s="35"/>
      <c r="I471" s="35"/>
      <c r="J471" s="35"/>
      <c r="K471" s="35"/>
      <c r="L471" s="35"/>
      <c r="M471" s="35"/>
      <c r="N471" s="35"/>
      <c r="O471" s="35"/>
      <c r="P471" s="35"/>
      <c r="Q471" s="35"/>
      <c r="R471" s="35"/>
      <c r="S471" s="35"/>
      <c r="T471" s="35"/>
      <c r="U471" s="35"/>
      <c r="V471" s="35"/>
      <c r="W471" s="35"/>
      <c r="X471" s="35"/>
      <c r="Y471" s="35"/>
      <c r="Z471" s="35"/>
    </row>
    <row r="472" ht="12.75" customHeight="1">
      <c r="A472" s="35"/>
      <c r="B472" s="35"/>
      <c r="C472" s="35"/>
      <c r="D472" s="35"/>
      <c r="E472" s="35"/>
      <c r="F472" s="35"/>
      <c r="G472" s="35"/>
      <c r="H472" s="35"/>
      <c r="I472" s="35"/>
      <c r="J472" s="35"/>
      <c r="K472" s="35"/>
      <c r="L472" s="35"/>
      <c r="M472" s="35"/>
      <c r="N472" s="35"/>
      <c r="O472" s="35"/>
      <c r="P472" s="35"/>
      <c r="Q472" s="35"/>
      <c r="R472" s="35"/>
      <c r="S472" s="35"/>
      <c r="T472" s="35"/>
      <c r="U472" s="35"/>
      <c r="V472" s="35"/>
      <c r="W472" s="35"/>
      <c r="X472" s="35"/>
      <c r="Y472" s="35"/>
      <c r="Z472" s="35"/>
    </row>
    <row r="473" ht="12.75" customHeight="1">
      <c r="A473" s="35"/>
      <c r="B473" s="35"/>
      <c r="C473" s="35"/>
      <c r="D473" s="35"/>
      <c r="E473" s="35"/>
      <c r="F473" s="35"/>
      <c r="G473" s="35"/>
      <c r="H473" s="35"/>
      <c r="I473" s="35"/>
      <c r="J473" s="35"/>
      <c r="K473" s="35"/>
      <c r="L473" s="35"/>
      <c r="M473" s="35"/>
      <c r="N473" s="35"/>
      <c r="O473" s="35"/>
      <c r="P473" s="35"/>
      <c r="Q473" s="35"/>
      <c r="R473" s="35"/>
      <c r="S473" s="35"/>
      <c r="T473" s="35"/>
      <c r="U473" s="35"/>
      <c r="V473" s="35"/>
      <c r="W473" s="35"/>
      <c r="X473" s="35"/>
      <c r="Y473" s="35"/>
      <c r="Z473" s="35"/>
    </row>
    <row r="474" ht="12.75" customHeight="1">
      <c r="A474" s="35"/>
      <c r="B474" s="35"/>
      <c r="C474" s="35"/>
      <c r="D474" s="35"/>
      <c r="E474" s="35"/>
      <c r="F474" s="35"/>
      <c r="G474" s="35"/>
      <c r="H474" s="35"/>
      <c r="I474" s="35"/>
      <c r="J474" s="35"/>
      <c r="K474" s="35"/>
      <c r="L474" s="35"/>
      <c r="M474" s="35"/>
      <c r="N474" s="35"/>
      <c r="O474" s="35"/>
      <c r="P474" s="35"/>
      <c r="Q474" s="35"/>
      <c r="R474" s="35"/>
      <c r="S474" s="35"/>
      <c r="T474" s="35"/>
      <c r="U474" s="35"/>
      <c r="V474" s="35"/>
      <c r="W474" s="35"/>
      <c r="X474" s="35"/>
      <c r="Y474" s="35"/>
      <c r="Z474" s="35"/>
    </row>
    <row r="475" ht="12.75" customHeight="1">
      <c r="A475" s="35"/>
      <c r="B475" s="35"/>
      <c r="C475" s="35"/>
      <c r="D475" s="35"/>
      <c r="E475" s="35"/>
      <c r="F475" s="35"/>
      <c r="G475" s="35"/>
      <c r="H475" s="35"/>
      <c r="I475" s="35"/>
      <c r="J475" s="35"/>
      <c r="K475" s="35"/>
      <c r="L475" s="35"/>
      <c r="M475" s="35"/>
      <c r="N475" s="35"/>
      <c r="O475" s="35"/>
      <c r="P475" s="35"/>
      <c r="Q475" s="35"/>
      <c r="R475" s="35"/>
      <c r="S475" s="35"/>
      <c r="T475" s="35"/>
      <c r="U475" s="35"/>
      <c r="V475" s="35"/>
      <c r="W475" s="35"/>
      <c r="X475" s="35"/>
      <c r="Y475" s="35"/>
      <c r="Z475" s="35"/>
    </row>
    <row r="476" ht="12.75" customHeight="1">
      <c r="A476" s="35"/>
      <c r="B476" s="35"/>
      <c r="C476" s="35"/>
      <c r="D476" s="35"/>
      <c r="E476" s="35"/>
      <c r="F476" s="35"/>
      <c r="G476" s="35"/>
      <c r="H476" s="35"/>
      <c r="I476" s="35"/>
      <c r="J476" s="35"/>
      <c r="K476" s="35"/>
      <c r="L476" s="35"/>
      <c r="M476" s="35"/>
      <c r="N476" s="35"/>
      <c r="O476" s="35"/>
      <c r="P476" s="35"/>
      <c r="Q476" s="35"/>
      <c r="R476" s="35"/>
      <c r="S476" s="35"/>
      <c r="T476" s="35"/>
      <c r="U476" s="35"/>
      <c r="V476" s="35"/>
      <c r="W476" s="35"/>
      <c r="X476" s="35"/>
      <c r="Y476" s="35"/>
      <c r="Z476" s="35"/>
    </row>
    <row r="477" ht="12.75" customHeight="1">
      <c r="A477" s="35"/>
      <c r="B477" s="35"/>
      <c r="C477" s="35"/>
      <c r="D477" s="35"/>
      <c r="E477" s="35"/>
      <c r="F477" s="35"/>
      <c r="G477" s="35"/>
      <c r="H477" s="35"/>
      <c r="I477" s="35"/>
      <c r="J477" s="35"/>
      <c r="K477" s="35"/>
      <c r="L477" s="35"/>
      <c r="M477" s="35"/>
      <c r="N477" s="35"/>
      <c r="O477" s="35"/>
      <c r="P477" s="35"/>
      <c r="Q477" s="35"/>
      <c r="R477" s="35"/>
      <c r="S477" s="35"/>
      <c r="T477" s="35"/>
      <c r="U477" s="35"/>
      <c r="V477" s="35"/>
      <c r="W477" s="35"/>
      <c r="X477" s="35"/>
      <c r="Y477" s="35"/>
      <c r="Z477" s="35"/>
    </row>
    <row r="478" ht="12.75" customHeight="1">
      <c r="A478" s="35"/>
      <c r="B478" s="35"/>
      <c r="C478" s="35"/>
      <c r="D478" s="35"/>
      <c r="E478" s="35"/>
      <c r="F478" s="35"/>
      <c r="G478" s="35"/>
      <c r="H478" s="35"/>
      <c r="I478" s="35"/>
      <c r="J478" s="35"/>
      <c r="K478" s="35"/>
      <c r="L478" s="35"/>
      <c r="M478" s="35"/>
      <c r="N478" s="35"/>
      <c r="O478" s="35"/>
      <c r="P478" s="35"/>
      <c r="Q478" s="35"/>
      <c r="R478" s="35"/>
      <c r="S478" s="35"/>
      <c r="T478" s="35"/>
      <c r="U478" s="35"/>
      <c r="V478" s="35"/>
      <c r="W478" s="35"/>
      <c r="X478" s="35"/>
      <c r="Y478" s="35"/>
      <c r="Z478" s="35"/>
    </row>
    <row r="479" ht="12.75" customHeight="1">
      <c r="A479" s="35"/>
      <c r="B479" s="35"/>
      <c r="C479" s="35"/>
      <c r="D479" s="35"/>
      <c r="E479" s="35"/>
      <c r="F479" s="35"/>
      <c r="G479" s="35"/>
      <c r="H479" s="35"/>
      <c r="I479" s="35"/>
      <c r="J479" s="35"/>
      <c r="K479" s="35"/>
      <c r="L479" s="35"/>
      <c r="M479" s="35"/>
      <c r="N479" s="35"/>
      <c r="O479" s="35"/>
      <c r="P479" s="35"/>
      <c r="Q479" s="35"/>
      <c r="R479" s="35"/>
      <c r="S479" s="35"/>
      <c r="T479" s="35"/>
      <c r="U479" s="35"/>
      <c r="V479" s="35"/>
      <c r="W479" s="35"/>
      <c r="X479" s="35"/>
      <c r="Y479" s="35"/>
      <c r="Z479" s="35"/>
    </row>
    <row r="480" ht="12.75" customHeight="1">
      <c r="A480" s="35"/>
      <c r="B480" s="35"/>
      <c r="C480" s="35"/>
      <c r="D480" s="35"/>
      <c r="E480" s="35"/>
      <c r="F480" s="35"/>
      <c r="G480" s="35"/>
      <c r="H480" s="35"/>
      <c r="I480" s="35"/>
      <c r="J480" s="35"/>
      <c r="K480" s="35"/>
      <c r="L480" s="35"/>
      <c r="M480" s="35"/>
      <c r="N480" s="35"/>
      <c r="O480" s="35"/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5"/>
    </row>
    <row r="481" ht="12.75" customHeight="1">
      <c r="A481" s="35"/>
      <c r="B481" s="35"/>
      <c r="C481" s="35"/>
      <c r="D481" s="35"/>
      <c r="E481" s="35"/>
      <c r="F481" s="35"/>
      <c r="G481" s="35"/>
      <c r="H481" s="35"/>
      <c r="I481" s="35"/>
      <c r="J481" s="35"/>
      <c r="K481" s="35"/>
      <c r="L481" s="35"/>
      <c r="M481" s="35"/>
      <c r="N481" s="35"/>
      <c r="O481" s="35"/>
      <c r="P481" s="35"/>
      <c r="Q481" s="35"/>
      <c r="R481" s="35"/>
      <c r="S481" s="35"/>
      <c r="T481" s="35"/>
      <c r="U481" s="35"/>
      <c r="V481" s="35"/>
      <c r="W481" s="35"/>
      <c r="X481" s="35"/>
      <c r="Y481" s="35"/>
      <c r="Z481" s="35"/>
    </row>
    <row r="482" ht="12.75" customHeight="1">
      <c r="A482" s="35"/>
      <c r="B482" s="35"/>
      <c r="C482" s="35"/>
      <c r="D482" s="35"/>
      <c r="E482" s="35"/>
      <c r="F482" s="35"/>
      <c r="G482" s="35"/>
      <c r="H482" s="35"/>
      <c r="I482" s="35"/>
      <c r="J482" s="35"/>
      <c r="K482" s="35"/>
      <c r="L482" s="35"/>
      <c r="M482" s="35"/>
      <c r="N482" s="35"/>
      <c r="O482" s="35"/>
      <c r="P482" s="35"/>
      <c r="Q482" s="35"/>
      <c r="R482" s="35"/>
      <c r="S482" s="35"/>
      <c r="T482" s="35"/>
      <c r="U482" s="35"/>
      <c r="V482" s="35"/>
      <c r="W482" s="35"/>
      <c r="X482" s="35"/>
      <c r="Y482" s="35"/>
      <c r="Z482" s="35"/>
    </row>
    <row r="483" ht="12.75" customHeight="1">
      <c r="A483" s="35"/>
      <c r="B483" s="35"/>
      <c r="C483" s="35"/>
      <c r="D483" s="35"/>
      <c r="E483" s="35"/>
      <c r="F483" s="35"/>
      <c r="G483" s="35"/>
      <c r="H483" s="35"/>
      <c r="I483" s="35"/>
      <c r="J483" s="35"/>
      <c r="K483" s="35"/>
      <c r="L483" s="35"/>
      <c r="M483" s="35"/>
      <c r="N483" s="35"/>
      <c r="O483" s="35"/>
      <c r="P483" s="35"/>
      <c r="Q483" s="35"/>
      <c r="R483" s="35"/>
      <c r="S483" s="35"/>
      <c r="T483" s="35"/>
      <c r="U483" s="35"/>
      <c r="V483" s="35"/>
      <c r="W483" s="35"/>
      <c r="X483" s="35"/>
      <c r="Y483" s="35"/>
      <c r="Z483" s="35"/>
    </row>
    <row r="484" ht="12.75" customHeight="1">
      <c r="A484" s="35"/>
      <c r="B484" s="35"/>
      <c r="C484" s="35"/>
      <c r="D484" s="35"/>
      <c r="E484" s="35"/>
      <c r="F484" s="35"/>
      <c r="G484" s="35"/>
      <c r="H484" s="35"/>
      <c r="I484" s="35"/>
      <c r="J484" s="35"/>
      <c r="K484" s="35"/>
      <c r="L484" s="35"/>
      <c r="M484" s="35"/>
      <c r="N484" s="35"/>
      <c r="O484" s="35"/>
      <c r="P484" s="35"/>
      <c r="Q484" s="35"/>
      <c r="R484" s="35"/>
      <c r="S484" s="35"/>
      <c r="T484" s="35"/>
      <c r="U484" s="35"/>
      <c r="V484" s="35"/>
      <c r="W484" s="35"/>
      <c r="X484" s="35"/>
      <c r="Y484" s="35"/>
      <c r="Z484" s="35"/>
    </row>
    <row r="485" ht="12.75" customHeight="1">
      <c r="A485" s="35"/>
      <c r="B485" s="35"/>
      <c r="C485" s="35"/>
      <c r="D485" s="35"/>
      <c r="E485" s="35"/>
      <c r="F485" s="35"/>
      <c r="G485" s="35"/>
      <c r="H485" s="35"/>
      <c r="I485" s="35"/>
      <c r="J485" s="35"/>
      <c r="K485" s="35"/>
      <c r="L485" s="35"/>
      <c r="M485" s="35"/>
      <c r="N485" s="35"/>
      <c r="O485" s="35"/>
      <c r="P485" s="35"/>
      <c r="Q485" s="35"/>
      <c r="R485" s="35"/>
      <c r="S485" s="35"/>
      <c r="T485" s="35"/>
      <c r="U485" s="35"/>
      <c r="V485" s="35"/>
      <c r="W485" s="35"/>
      <c r="X485" s="35"/>
      <c r="Y485" s="35"/>
      <c r="Z485" s="35"/>
    </row>
    <row r="486" ht="12.75" customHeight="1">
      <c r="A486" s="35"/>
      <c r="B486" s="35"/>
      <c r="C486" s="35"/>
      <c r="D486" s="35"/>
      <c r="E486" s="35"/>
      <c r="F486" s="35"/>
      <c r="G486" s="35"/>
      <c r="H486" s="35"/>
      <c r="I486" s="35"/>
      <c r="J486" s="35"/>
      <c r="K486" s="35"/>
      <c r="L486" s="35"/>
      <c r="M486" s="35"/>
      <c r="N486" s="35"/>
      <c r="O486" s="35"/>
      <c r="P486" s="35"/>
      <c r="Q486" s="35"/>
      <c r="R486" s="35"/>
      <c r="S486" s="35"/>
      <c r="T486" s="35"/>
      <c r="U486" s="35"/>
      <c r="V486" s="35"/>
      <c r="W486" s="35"/>
      <c r="X486" s="35"/>
      <c r="Y486" s="35"/>
      <c r="Z486" s="35"/>
    </row>
    <row r="487" ht="12.75" customHeight="1">
      <c r="A487" s="35"/>
      <c r="B487" s="35"/>
      <c r="C487" s="35"/>
      <c r="D487" s="35"/>
      <c r="E487" s="35"/>
      <c r="F487" s="35"/>
      <c r="G487" s="35"/>
      <c r="H487" s="35"/>
      <c r="I487" s="35"/>
      <c r="J487" s="35"/>
      <c r="K487" s="35"/>
      <c r="L487" s="35"/>
      <c r="M487" s="35"/>
      <c r="N487" s="35"/>
      <c r="O487" s="35"/>
      <c r="P487" s="35"/>
      <c r="Q487" s="35"/>
      <c r="R487" s="35"/>
      <c r="S487" s="35"/>
      <c r="T487" s="35"/>
      <c r="U487" s="35"/>
      <c r="V487" s="35"/>
      <c r="W487" s="35"/>
      <c r="X487" s="35"/>
      <c r="Y487" s="35"/>
      <c r="Z487" s="35"/>
    </row>
    <row r="488" ht="12.75" customHeight="1">
      <c r="A488" s="35"/>
      <c r="B488" s="35"/>
      <c r="C488" s="35"/>
      <c r="D488" s="35"/>
      <c r="E488" s="35"/>
      <c r="F488" s="35"/>
      <c r="G488" s="35"/>
      <c r="H488" s="35"/>
      <c r="I488" s="35"/>
      <c r="J488" s="35"/>
      <c r="K488" s="35"/>
      <c r="L488" s="35"/>
      <c r="M488" s="35"/>
      <c r="N488" s="35"/>
      <c r="O488" s="35"/>
      <c r="P488" s="35"/>
      <c r="Q488" s="35"/>
      <c r="R488" s="35"/>
      <c r="S488" s="35"/>
      <c r="T488" s="35"/>
      <c r="U488" s="35"/>
      <c r="V488" s="35"/>
      <c r="W488" s="35"/>
      <c r="X488" s="35"/>
      <c r="Y488" s="35"/>
      <c r="Z488" s="35"/>
    </row>
    <row r="489" ht="12.75" customHeight="1">
      <c r="A489" s="35"/>
      <c r="B489" s="35"/>
      <c r="C489" s="35"/>
      <c r="D489" s="35"/>
      <c r="E489" s="35"/>
      <c r="F489" s="35"/>
      <c r="G489" s="35"/>
      <c r="H489" s="35"/>
      <c r="I489" s="35"/>
      <c r="J489" s="35"/>
      <c r="K489" s="35"/>
      <c r="L489" s="35"/>
      <c r="M489" s="35"/>
      <c r="N489" s="35"/>
      <c r="O489" s="35"/>
      <c r="P489" s="35"/>
      <c r="Q489" s="35"/>
      <c r="R489" s="35"/>
      <c r="S489" s="35"/>
      <c r="T489" s="35"/>
      <c r="U489" s="35"/>
      <c r="V489" s="35"/>
      <c r="W489" s="35"/>
      <c r="X489" s="35"/>
      <c r="Y489" s="35"/>
      <c r="Z489" s="35"/>
    </row>
    <row r="490" ht="12.75" customHeight="1">
      <c r="A490" s="35"/>
      <c r="B490" s="35"/>
      <c r="C490" s="35"/>
      <c r="D490" s="35"/>
      <c r="E490" s="35"/>
      <c r="F490" s="35"/>
      <c r="G490" s="35"/>
      <c r="H490" s="35"/>
      <c r="I490" s="35"/>
      <c r="J490" s="35"/>
      <c r="K490" s="35"/>
      <c r="L490" s="35"/>
      <c r="M490" s="35"/>
      <c r="N490" s="35"/>
      <c r="O490" s="35"/>
      <c r="P490" s="35"/>
      <c r="Q490" s="35"/>
      <c r="R490" s="35"/>
      <c r="S490" s="35"/>
      <c r="T490" s="35"/>
      <c r="U490" s="35"/>
      <c r="V490" s="35"/>
      <c r="W490" s="35"/>
      <c r="X490" s="35"/>
      <c r="Y490" s="35"/>
      <c r="Z490" s="35"/>
    </row>
    <row r="491" ht="12.75" customHeight="1">
      <c r="A491" s="35"/>
      <c r="B491" s="35"/>
      <c r="C491" s="35"/>
      <c r="D491" s="35"/>
      <c r="E491" s="35"/>
      <c r="F491" s="35"/>
      <c r="G491" s="35"/>
      <c r="H491" s="35"/>
      <c r="I491" s="35"/>
      <c r="J491" s="35"/>
      <c r="K491" s="35"/>
      <c r="L491" s="35"/>
      <c r="M491" s="35"/>
      <c r="N491" s="35"/>
      <c r="O491" s="35"/>
      <c r="P491" s="35"/>
      <c r="Q491" s="35"/>
      <c r="R491" s="35"/>
      <c r="S491" s="35"/>
      <c r="T491" s="35"/>
      <c r="U491" s="35"/>
      <c r="V491" s="35"/>
      <c r="W491" s="35"/>
      <c r="X491" s="35"/>
      <c r="Y491" s="35"/>
      <c r="Z491" s="35"/>
    </row>
    <row r="492" ht="12.75" customHeight="1">
      <c r="A492" s="35"/>
      <c r="B492" s="35"/>
      <c r="C492" s="35"/>
      <c r="D492" s="35"/>
      <c r="E492" s="35"/>
      <c r="F492" s="35"/>
      <c r="G492" s="35"/>
      <c r="H492" s="35"/>
      <c r="I492" s="35"/>
      <c r="J492" s="35"/>
      <c r="K492" s="35"/>
      <c r="L492" s="35"/>
      <c r="M492" s="35"/>
      <c r="N492" s="35"/>
      <c r="O492" s="35"/>
      <c r="P492" s="35"/>
      <c r="Q492" s="35"/>
      <c r="R492" s="35"/>
      <c r="S492" s="35"/>
      <c r="T492" s="35"/>
      <c r="U492" s="35"/>
      <c r="V492" s="35"/>
      <c r="W492" s="35"/>
      <c r="X492" s="35"/>
      <c r="Y492" s="35"/>
      <c r="Z492" s="35"/>
    </row>
    <row r="493" ht="12.75" customHeight="1">
      <c r="A493" s="35"/>
      <c r="B493" s="35"/>
      <c r="C493" s="35"/>
      <c r="D493" s="35"/>
      <c r="E493" s="35"/>
      <c r="F493" s="35"/>
      <c r="G493" s="35"/>
      <c r="H493" s="35"/>
      <c r="I493" s="35"/>
      <c r="J493" s="35"/>
      <c r="K493" s="35"/>
      <c r="L493" s="35"/>
      <c r="M493" s="35"/>
      <c r="N493" s="35"/>
      <c r="O493" s="35"/>
      <c r="P493" s="35"/>
      <c r="Q493" s="35"/>
      <c r="R493" s="35"/>
      <c r="S493" s="35"/>
      <c r="T493" s="35"/>
      <c r="U493" s="35"/>
      <c r="V493" s="35"/>
      <c r="W493" s="35"/>
      <c r="X493" s="35"/>
      <c r="Y493" s="35"/>
      <c r="Z493" s="35"/>
    </row>
    <row r="494" ht="12.75" customHeight="1">
      <c r="A494" s="35"/>
      <c r="B494" s="35"/>
      <c r="C494" s="35"/>
      <c r="D494" s="35"/>
      <c r="E494" s="35"/>
      <c r="F494" s="35"/>
      <c r="G494" s="35"/>
      <c r="H494" s="35"/>
      <c r="I494" s="35"/>
      <c r="J494" s="35"/>
      <c r="K494" s="35"/>
      <c r="L494" s="35"/>
      <c r="M494" s="35"/>
      <c r="N494" s="35"/>
      <c r="O494" s="35"/>
      <c r="P494" s="35"/>
      <c r="Q494" s="35"/>
      <c r="R494" s="35"/>
      <c r="S494" s="35"/>
      <c r="T494" s="35"/>
      <c r="U494" s="35"/>
      <c r="V494" s="35"/>
      <c r="W494" s="35"/>
      <c r="X494" s="35"/>
      <c r="Y494" s="35"/>
      <c r="Z494" s="35"/>
    </row>
    <row r="495" ht="12.75" customHeight="1">
      <c r="A495" s="35"/>
      <c r="B495" s="35"/>
      <c r="C495" s="35"/>
      <c r="D495" s="35"/>
      <c r="E495" s="35"/>
      <c r="F495" s="35"/>
      <c r="G495" s="35"/>
      <c r="H495" s="35"/>
      <c r="I495" s="35"/>
      <c r="J495" s="35"/>
      <c r="K495" s="35"/>
      <c r="L495" s="35"/>
      <c r="M495" s="35"/>
      <c r="N495" s="35"/>
      <c r="O495" s="35"/>
      <c r="P495" s="35"/>
      <c r="Q495" s="35"/>
      <c r="R495" s="35"/>
      <c r="S495" s="35"/>
      <c r="T495" s="35"/>
      <c r="U495" s="35"/>
      <c r="V495" s="35"/>
      <c r="W495" s="35"/>
      <c r="X495" s="35"/>
      <c r="Y495" s="35"/>
      <c r="Z495" s="35"/>
    </row>
    <row r="496" ht="12.75" customHeight="1">
      <c r="A496" s="35"/>
      <c r="B496" s="35"/>
      <c r="C496" s="35"/>
      <c r="D496" s="35"/>
      <c r="E496" s="35"/>
      <c r="F496" s="35"/>
      <c r="G496" s="35"/>
      <c r="H496" s="35"/>
      <c r="I496" s="35"/>
      <c r="J496" s="35"/>
      <c r="K496" s="35"/>
      <c r="L496" s="35"/>
      <c r="M496" s="35"/>
      <c r="N496" s="35"/>
      <c r="O496" s="35"/>
      <c r="P496" s="35"/>
      <c r="Q496" s="35"/>
      <c r="R496" s="35"/>
      <c r="S496" s="35"/>
      <c r="T496" s="35"/>
      <c r="U496" s="35"/>
      <c r="V496" s="35"/>
      <c r="W496" s="35"/>
      <c r="X496" s="35"/>
      <c r="Y496" s="35"/>
      <c r="Z496" s="35"/>
    </row>
    <row r="497" ht="12.75" customHeight="1">
      <c r="A497" s="35"/>
      <c r="B497" s="35"/>
      <c r="C497" s="35"/>
      <c r="D497" s="35"/>
      <c r="E497" s="35"/>
      <c r="F497" s="35"/>
      <c r="G497" s="35"/>
      <c r="H497" s="35"/>
      <c r="I497" s="35"/>
      <c r="J497" s="35"/>
      <c r="K497" s="35"/>
      <c r="L497" s="35"/>
      <c r="M497" s="35"/>
      <c r="N497" s="35"/>
      <c r="O497" s="35"/>
      <c r="P497" s="35"/>
      <c r="Q497" s="35"/>
      <c r="R497" s="35"/>
      <c r="S497" s="35"/>
      <c r="T497" s="35"/>
      <c r="U497" s="35"/>
      <c r="V497" s="35"/>
      <c r="W497" s="35"/>
      <c r="X497" s="35"/>
      <c r="Y497" s="35"/>
      <c r="Z497" s="35"/>
    </row>
    <row r="498" ht="12.75" customHeight="1">
      <c r="A498" s="35"/>
      <c r="B498" s="35"/>
      <c r="C498" s="35"/>
      <c r="D498" s="35"/>
      <c r="E498" s="35"/>
      <c r="F498" s="35"/>
      <c r="G498" s="35"/>
      <c r="H498" s="35"/>
      <c r="I498" s="35"/>
      <c r="J498" s="35"/>
      <c r="K498" s="35"/>
      <c r="L498" s="35"/>
      <c r="M498" s="35"/>
      <c r="N498" s="35"/>
      <c r="O498" s="35"/>
      <c r="P498" s="35"/>
      <c r="Q498" s="35"/>
      <c r="R498" s="35"/>
      <c r="S498" s="35"/>
      <c r="T498" s="35"/>
      <c r="U498" s="35"/>
      <c r="V498" s="35"/>
      <c r="W498" s="35"/>
      <c r="X498" s="35"/>
      <c r="Y498" s="35"/>
      <c r="Z498" s="35"/>
    </row>
    <row r="499" ht="12.75" customHeight="1">
      <c r="A499" s="35"/>
      <c r="B499" s="35"/>
      <c r="C499" s="35"/>
      <c r="D499" s="35"/>
      <c r="E499" s="35"/>
      <c r="F499" s="35"/>
      <c r="G499" s="35"/>
      <c r="H499" s="35"/>
      <c r="I499" s="35"/>
      <c r="J499" s="35"/>
      <c r="K499" s="35"/>
      <c r="L499" s="35"/>
      <c r="M499" s="35"/>
      <c r="N499" s="35"/>
      <c r="O499" s="35"/>
      <c r="P499" s="35"/>
      <c r="Q499" s="35"/>
      <c r="R499" s="35"/>
      <c r="S499" s="35"/>
      <c r="T499" s="35"/>
      <c r="U499" s="35"/>
      <c r="V499" s="35"/>
      <c r="W499" s="35"/>
      <c r="X499" s="35"/>
      <c r="Y499" s="35"/>
      <c r="Z499" s="35"/>
    </row>
    <row r="500" ht="12.75" customHeight="1">
      <c r="A500" s="35"/>
      <c r="B500" s="35"/>
      <c r="C500" s="35"/>
      <c r="D500" s="35"/>
      <c r="E500" s="35"/>
      <c r="F500" s="35"/>
      <c r="G500" s="35"/>
      <c r="H500" s="35"/>
      <c r="I500" s="35"/>
      <c r="J500" s="35"/>
      <c r="K500" s="35"/>
      <c r="L500" s="35"/>
      <c r="M500" s="35"/>
      <c r="N500" s="35"/>
      <c r="O500" s="35"/>
      <c r="P500" s="35"/>
      <c r="Q500" s="35"/>
      <c r="R500" s="35"/>
      <c r="S500" s="35"/>
      <c r="T500" s="35"/>
      <c r="U500" s="35"/>
      <c r="V500" s="35"/>
      <c r="W500" s="35"/>
      <c r="X500" s="35"/>
      <c r="Y500" s="35"/>
      <c r="Z500" s="35"/>
    </row>
    <row r="501" ht="12.75" customHeight="1">
      <c r="A501" s="35"/>
      <c r="B501" s="35"/>
      <c r="C501" s="35"/>
      <c r="D501" s="35"/>
      <c r="E501" s="35"/>
      <c r="F501" s="35"/>
      <c r="G501" s="35"/>
      <c r="H501" s="35"/>
      <c r="I501" s="35"/>
      <c r="J501" s="35"/>
      <c r="K501" s="35"/>
      <c r="L501" s="35"/>
      <c r="M501" s="35"/>
      <c r="N501" s="35"/>
      <c r="O501" s="35"/>
      <c r="P501" s="35"/>
      <c r="Q501" s="35"/>
      <c r="R501" s="35"/>
      <c r="S501" s="35"/>
      <c r="T501" s="35"/>
      <c r="U501" s="35"/>
      <c r="V501" s="35"/>
      <c r="W501" s="35"/>
      <c r="X501" s="35"/>
      <c r="Y501" s="35"/>
      <c r="Z501" s="35"/>
    </row>
    <row r="502" ht="12.75" customHeight="1">
      <c r="A502" s="35"/>
      <c r="B502" s="35"/>
      <c r="C502" s="35"/>
      <c r="D502" s="35"/>
      <c r="E502" s="35"/>
      <c r="F502" s="35"/>
      <c r="G502" s="35"/>
      <c r="H502" s="35"/>
      <c r="I502" s="35"/>
      <c r="J502" s="35"/>
      <c r="K502" s="35"/>
      <c r="L502" s="35"/>
      <c r="M502" s="35"/>
      <c r="N502" s="35"/>
      <c r="O502" s="35"/>
      <c r="P502" s="35"/>
      <c r="Q502" s="35"/>
      <c r="R502" s="35"/>
      <c r="S502" s="35"/>
      <c r="T502" s="35"/>
      <c r="U502" s="35"/>
      <c r="V502" s="35"/>
      <c r="W502" s="35"/>
      <c r="X502" s="35"/>
      <c r="Y502" s="35"/>
      <c r="Z502" s="35"/>
    </row>
    <row r="503" ht="12.75" customHeight="1">
      <c r="A503" s="35"/>
      <c r="B503" s="35"/>
      <c r="C503" s="35"/>
      <c r="D503" s="35"/>
      <c r="E503" s="35"/>
      <c r="F503" s="35"/>
      <c r="G503" s="35"/>
      <c r="H503" s="35"/>
      <c r="I503" s="35"/>
      <c r="J503" s="35"/>
      <c r="K503" s="35"/>
      <c r="L503" s="35"/>
      <c r="M503" s="35"/>
      <c r="N503" s="35"/>
      <c r="O503" s="35"/>
      <c r="P503" s="35"/>
      <c r="Q503" s="35"/>
      <c r="R503" s="35"/>
      <c r="S503" s="35"/>
      <c r="T503" s="35"/>
      <c r="U503" s="35"/>
      <c r="V503" s="35"/>
      <c r="W503" s="35"/>
      <c r="X503" s="35"/>
      <c r="Y503" s="35"/>
      <c r="Z503" s="35"/>
    </row>
    <row r="504" ht="12.75" customHeight="1">
      <c r="A504" s="35"/>
      <c r="B504" s="35"/>
      <c r="C504" s="35"/>
      <c r="D504" s="35"/>
      <c r="E504" s="35"/>
      <c r="F504" s="35"/>
      <c r="G504" s="35"/>
      <c r="H504" s="35"/>
      <c r="I504" s="35"/>
      <c r="J504" s="35"/>
      <c r="K504" s="35"/>
      <c r="L504" s="35"/>
      <c r="M504" s="35"/>
      <c r="N504" s="35"/>
      <c r="O504" s="35"/>
      <c r="P504" s="35"/>
      <c r="Q504" s="35"/>
      <c r="R504" s="35"/>
      <c r="S504" s="35"/>
      <c r="T504" s="35"/>
      <c r="U504" s="35"/>
      <c r="V504" s="35"/>
      <c r="W504" s="35"/>
      <c r="X504" s="35"/>
      <c r="Y504" s="35"/>
      <c r="Z504" s="35"/>
    </row>
    <row r="505" ht="12.75" customHeight="1">
      <c r="A505" s="35"/>
      <c r="B505" s="35"/>
      <c r="C505" s="35"/>
      <c r="D505" s="35"/>
      <c r="E505" s="35"/>
      <c r="F505" s="35"/>
      <c r="G505" s="35"/>
      <c r="H505" s="35"/>
      <c r="I505" s="35"/>
      <c r="J505" s="35"/>
      <c r="K505" s="35"/>
      <c r="L505" s="35"/>
      <c r="M505" s="35"/>
      <c r="N505" s="35"/>
      <c r="O505" s="35"/>
      <c r="P505" s="35"/>
      <c r="Q505" s="35"/>
      <c r="R505" s="35"/>
      <c r="S505" s="35"/>
      <c r="T505" s="35"/>
      <c r="U505" s="35"/>
      <c r="V505" s="35"/>
      <c r="W505" s="35"/>
      <c r="X505" s="35"/>
      <c r="Y505" s="35"/>
      <c r="Z505" s="35"/>
    </row>
    <row r="506" ht="12.75" customHeight="1">
      <c r="A506" s="35"/>
      <c r="B506" s="35"/>
      <c r="C506" s="35"/>
      <c r="D506" s="35"/>
      <c r="E506" s="35"/>
      <c r="F506" s="35"/>
      <c r="G506" s="35"/>
      <c r="H506" s="35"/>
      <c r="I506" s="35"/>
      <c r="J506" s="35"/>
      <c r="K506" s="35"/>
      <c r="L506" s="35"/>
      <c r="M506" s="35"/>
      <c r="N506" s="35"/>
      <c r="O506" s="35"/>
      <c r="P506" s="35"/>
      <c r="Q506" s="35"/>
      <c r="R506" s="35"/>
      <c r="S506" s="35"/>
      <c r="T506" s="35"/>
      <c r="U506" s="35"/>
      <c r="V506" s="35"/>
      <c r="W506" s="35"/>
      <c r="X506" s="35"/>
      <c r="Y506" s="35"/>
      <c r="Z506" s="35"/>
    </row>
    <row r="507" ht="12.75" customHeight="1">
      <c r="A507" s="35"/>
      <c r="B507" s="35"/>
      <c r="C507" s="35"/>
      <c r="D507" s="35"/>
      <c r="E507" s="35"/>
      <c r="F507" s="35"/>
      <c r="G507" s="35"/>
      <c r="H507" s="35"/>
      <c r="I507" s="35"/>
      <c r="J507" s="35"/>
      <c r="K507" s="35"/>
      <c r="L507" s="35"/>
      <c r="M507" s="35"/>
      <c r="N507" s="35"/>
      <c r="O507" s="35"/>
      <c r="P507" s="35"/>
      <c r="Q507" s="35"/>
      <c r="R507" s="35"/>
      <c r="S507" s="35"/>
      <c r="T507" s="35"/>
      <c r="U507" s="35"/>
      <c r="V507" s="35"/>
      <c r="W507" s="35"/>
      <c r="X507" s="35"/>
      <c r="Y507" s="35"/>
      <c r="Z507" s="35"/>
    </row>
    <row r="508" ht="12.75" customHeight="1">
      <c r="A508" s="35"/>
      <c r="B508" s="35"/>
      <c r="C508" s="35"/>
      <c r="D508" s="35"/>
      <c r="E508" s="35"/>
      <c r="F508" s="35"/>
      <c r="G508" s="35"/>
      <c r="H508" s="35"/>
      <c r="I508" s="35"/>
      <c r="J508" s="35"/>
      <c r="K508" s="35"/>
      <c r="L508" s="35"/>
      <c r="M508" s="35"/>
      <c r="N508" s="35"/>
      <c r="O508" s="35"/>
      <c r="P508" s="35"/>
      <c r="Q508" s="35"/>
      <c r="R508" s="35"/>
      <c r="S508" s="35"/>
      <c r="T508" s="35"/>
      <c r="U508" s="35"/>
      <c r="V508" s="35"/>
      <c r="W508" s="35"/>
      <c r="X508" s="35"/>
      <c r="Y508" s="35"/>
      <c r="Z508" s="35"/>
    </row>
    <row r="509" ht="12.75" customHeight="1">
      <c r="A509" s="35"/>
      <c r="B509" s="35"/>
      <c r="C509" s="35"/>
      <c r="D509" s="35"/>
      <c r="E509" s="35"/>
      <c r="F509" s="35"/>
      <c r="G509" s="35"/>
      <c r="H509" s="35"/>
      <c r="I509" s="35"/>
      <c r="J509" s="35"/>
      <c r="K509" s="35"/>
      <c r="L509" s="35"/>
      <c r="M509" s="35"/>
      <c r="N509" s="35"/>
      <c r="O509" s="35"/>
      <c r="P509" s="35"/>
      <c r="Q509" s="35"/>
      <c r="R509" s="35"/>
      <c r="S509" s="35"/>
      <c r="T509" s="35"/>
      <c r="U509" s="35"/>
      <c r="V509" s="35"/>
      <c r="W509" s="35"/>
      <c r="X509" s="35"/>
      <c r="Y509" s="35"/>
      <c r="Z509" s="35"/>
    </row>
    <row r="510" ht="12.75" customHeight="1">
      <c r="A510" s="35"/>
      <c r="B510" s="35"/>
      <c r="C510" s="35"/>
      <c r="D510" s="35"/>
      <c r="E510" s="35"/>
      <c r="F510" s="35"/>
      <c r="G510" s="35"/>
      <c r="H510" s="35"/>
      <c r="I510" s="35"/>
      <c r="J510" s="35"/>
      <c r="K510" s="35"/>
      <c r="L510" s="35"/>
      <c r="M510" s="35"/>
      <c r="N510" s="35"/>
      <c r="O510" s="35"/>
      <c r="P510" s="35"/>
      <c r="Q510" s="35"/>
      <c r="R510" s="35"/>
      <c r="S510" s="35"/>
      <c r="T510" s="35"/>
      <c r="U510" s="35"/>
      <c r="V510" s="35"/>
      <c r="W510" s="35"/>
      <c r="X510" s="35"/>
      <c r="Y510" s="35"/>
      <c r="Z510" s="35"/>
    </row>
    <row r="511" ht="12.75" customHeight="1">
      <c r="A511" s="35"/>
      <c r="B511" s="35"/>
      <c r="C511" s="35"/>
      <c r="D511" s="35"/>
      <c r="E511" s="35"/>
      <c r="F511" s="35"/>
      <c r="G511" s="35"/>
      <c r="H511" s="35"/>
      <c r="I511" s="35"/>
      <c r="J511" s="35"/>
      <c r="K511" s="35"/>
      <c r="L511" s="35"/>
      <c r="M511" s="35"/>
      <c r="N511" s="35"/>
      <c r="O511" s="35"/>
      <c r="P511" s="35"/>
      <c r="Q511" s="35"/>
      <c r="R511" s="35"/>
      <c r="S511" s="35"/>
      <c r="T511" s="35"/>
      <c r="U511" s="35"/>
      <c r="V511" s="35"/>
      <c r="W511" s="35"/>
      <c r="X511" s="35"/>
      <c r="Y511" s="35"/>
      <c r="Z511" s="35"/>
    </row>
    <row r="512" ht="12.75" customHeight="1">
      <c r="A512" s="35"/>
      <c r="B512" s="35"/>
      <c r="C512" s="35"/>
      <c r="D512" s="35"/>
      <c r="E512" s="35"/>
      <c r="F512" s="35"/>
      <c r="G512" s="35"/>
      <c r="H512" s="35"/>
      <c r="I512" s="35"/>
      <c r="J512" s="35"/>
      <c r="K512" s="35"/>
      <c r="L512" s="35"/>
      <c r="M512" s="35"/>
      <c r="N512" s="35"/>
      <c r="O512" s="35"/>
      <c r="P512" s="35"/>
      <c r="Q512" s="35"/>
      <c r="R512" s="35"/>
      <c r="S512" s="35"/>
      <c r="T512" s="35"/>
      <c r="U512" s="35"/>
      <c r="V512" s="35"/>
      <c r="W512" s="35"/>
      <c r="X512" s="35"/>
      <c r="Y512" s="35"/>
      <c r="Z512" s="35"/>
    </row>
    <row r="513" ht="12.75" customHeight="1">
      <c r="A513" s="35"/>
      <c r="B513" s="35"/>
      <c r="C513" s="35"/>
      <c r="D513" s="35"/>
      <c r="E513" s="35"/>
      <c r="F513" s="35"/>
      <c r="G513" s="35"/>
      <c r="H513" s="35"/>
      <c r="I513" s="35"/>
      <c r="J513" s="35"/>
      <c r="K513" s="35"/>
      <c r="L513" s="35"/>
      <c r="M513" s="35"/>
      <c r="N513" s="35"/>
      <c r="O513" s="35"/>
      <c r="P513" s="35"/>
      <c r="Q513" s="35"/>
      <c r="R513" s="35"/>
      <c r="S513" s="35"/>
      <c r="T513" s="35"/>
      <c r="U513" s="35"/>
      <c r="V513" s="35"/>
      <c r="W513" s="35"/>
      <c r="X513" s="35"/>
      <c r="Y513" s="35"/>
      <c r="Z513" s="35"/>
    </row>
    <row r="514" ht="12.75" customHeight="1">
      <c r="A514" s="35"/>
      <c r="B514" s="35"/>
      <c r="C514" s="35"/>
      <c r="D514" s="35"/>
      <c r="E514" s="35"/>
      <c r="F514" s="35"/>
      <c r="G514" s="35"/>
      <c r="H514" s="35"/>
      <c r="I514" s="35"/>
      <c r="J514" s="35"/>
      <c r="K514" s="35"/>
      <c r="L514" s="35"/>
      <c r="M514" s="35"/>
      <c r="N514" s="35"/>
      <c r="O514" s="35"/>
      <c r="P514" s="35"/>
      <c r="Q514" s="35"/>
      <c r="R514" s="35"/>
      <c r="S514" s="35"/>
      <c r="T514" s="35"/>
      <c r="U514" s="35"/>
      <c r="V514" s="35"/>
      <c r="W514" s="35"/>
      <c r="X514" s="35"/>
      <c r="Y514" s="35"/>
      <c r="Z514" s="35"/>
    </row>
    <row r="515" ht="12.75" customHeight="1">
      <c r="A515" s="35"/>
      <c r="B515" s="35"/>
      <c r="C515" s="35"/>
      <c r="D515" s="35"/>
      <c r="E515" s="35"/>
      <c r="F515" s="35"/>
      <c r="G515" s="35"/>
      <c r="H515" s="35"/>
      <c r="I515" s="35"/>
      <c r="J515" s="35"/>
      <c r="K515" s="35"/>
      <c r="L515" s="35"/>
      <c r="M515" s="35"/>
      <c r="N515" s="35"/>
      <c r="O515" s="35"/>
      <c r="P515" s="35"/>
      <c r="Q515" s="35"/>
      <c r="R515" s="35"/>
      <c r="S515" s="35"/>
      <c r="T515" s="35"/>
      <c r="U515" s="35"/>
      <c r="V515" s="35"/>
      <c r="W515" s="35"/>
      <c r="X515" s="35"/>
      <c r="Y515" s="35"/>
      <c r="Z515" s="35"/>
    </row>
    <row r="516" ht="12.75" customHeight="1">
      <c r="A516" s="35"/>
      <c r="B516" s="35"/>
      <c r="C516" s="35"/>
      <c r="D516" s="35"/>
      <c r="E516" s="35"/>
      <c r="F516" s="35"/>
      <c r="G516" s="35"/>
      <c r="H516" s="35"/>
      <c r="I516" s="35"/>
      <c r="J516" s="35"/>
      <c r="K516" s="35"/>
      <c r="L516" s="35"/>
      <c r="M516" s="35"/>
      <c r="N516" s="35"/>
      <c r="O516" s="35"/>
      <c r="P516" s="35"/>
      <c r="Q516" s="35"/>
      <c r="R516" s="35"/>
      <c r="S516" s="35"/>
      <c r="T516" s="35"/>
      <c r="U516" s="35"/>
      <c r="V516" s="35"/>
      <c r="W516" s="35"/>
      <c r="X516" s="35"/>
      <c r="Y516" s="35"/>
      <c r="Z516" s="35"/>
    </row>
    <row r="517" ht="12.75" customHeight="1">
      <c r="A517" s="35"/>
      <c r="B517" s="35"/>
      <c r="C517" s="35"/>
      <c r="D517" s="35"/>
      <c r="E517" s="35"/>
      <c r="F517" s="35"/>
      <c r="G517" s="35"/>
      <c r="H517" s="35"/>
      <c r="I517" s="35"/>
      <c r="J517" s="35"/>
      <c r="K517" s="35"/>
      <c r="L517" s="35"/>
      <c r="M517" s="35"/>
      <c r="N517" s="35"/>
      <c r="O517" s="35"/>
      <c r="P517" s="35"/>
      <c r="Q517" s="35"/>
      <c r="R517" s="35"/>
      <c r="S517" s="35"/>
      <c r="T517" s="35"/>
      <c r="U517" s="35"/>
      <c r="V517" s="35"/>
      <c r="W517" s="35"/>
      <c r="X517" s="35"/>
      <c r="Y517" s="35"/>
      <c r="Z517" s="35"/>
    </row>
    <row r="518" ht="12.75" customHeight="1">
      <c r="A518" s="35"/>
      <c r="B518" s="35"/>
      <c r="C518" s="35"/>
      <c r="D518" s="35"/>
      <c r="E518" s="35"/>
      <c r="F518" s="35"/>
      <c r="G518" s="35"/>
      <c r="H518" s="35"/>
      <c r="I518" s="35"/>
      <c r="J518" s="35"/>
      <c r="K518" s="35"/>
      <c r="L518" s="35"/>
      <c r="M518" s="35"/>
      <c r="N518" s="35"/>
      <c r="O518" s="35"/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5"/>
    </row>
    <row r="519" ht="12.75" customHeight="1">
      <c r="A519" s="35"/>
      <c r="B519" s="35"/>
      <c r="C519" s="35"/>
      <c r="D519" s="35"/>
      <c r="E519" s="35"/>
      <c r="F519" s="35"/>
      <c r="G519" s="35"/>
      <c r="H519" s="35"/>
      <c r="I519" s="35"/>
      <c r="J519" s="35"/>
      <c r="K519" s="35"/>
      <c r="L519" s="35"/>
      <c r="M519" s="35"/>
      <c r="N519" s="35"/>
      <c r="O519" s="35"/>
      <c r="P519" s="35"/>
      <c r="Q519" s="35"/>
      <c r="R519" s="35"/>
      <c r="S519" s="35"/>
      <c r="T519" s="35"/>
      <c r="U519" s="35"/>
      <c r="V519" s="35"/>
      <c r="W519" s="35"/>
      <c r="X519" s="35"/>
      <c r="Y519" s="35"/>
      <c r="Z519" s="35"/>
    </row>
    <row r="520" ht="12.75" customHeight="1">
      <c r="A520" s="35"/>
      <c r="B520" s="35"/>
      <c r="C520" s="35"/>
      <c r="D520" s="35"/>
      <c r="E520" s="35"/>
      <c r="F520" s="35"/>
      <c r="G520" s="35"/>
      <c r="H520" s="35"/>
      <c r="I520" s="35"/>
      <c r="J520" s="35"/>
      <c r="K520" s="35"/>
      <c r="L520" s="35"/>
      <c r="M520" s="35"/>
      <c r="N520" s="35"/>
      <c r="O520" s="35"/>
      <c r="P520" s="35"/>
      <c r="Q520" s="35"/>
      <c r="R520" s="35"/>
      <c r="S520" s="35"/>
      <c r="T520" s="35"/>
      <c r="U520" s="35"/>
      <c r="V520" s="35"/>
      <c r="W520" s="35"/>
      <c r="X520" s="35"/>
      <c r="Y520" s="35"/>
      <c r="Z520" s="35"/>
    </row>
    <row r="521" ht="12.75" customHeight="1">
      <c r="A521" s="35"/>
      <c r="B521" s="35"/>
      <c r="C521" s="35"/>
      <c r="D521" s="35"/>
      <c r="E521" s="35"/>
      <c r="F521" s="35"/>
      <c r="G521" s="35"/>
      <c r="H521" s="35"/>
      <c r="I521" s="35"/>
      <c r="J521" s="35"/>
      <c r="K521" s="35"/>
      <c r="L521" s="35"/>
      <c r="M521" s="35"/>
      <c r="N521" s="35"/>
      <c r="O521" s="35"/>
      <c r="P521" s="35"/>
      <c r="Q521" s="35"/>
      <c r="R521" s="35"/>
      <c r="S521" s="35"/>
      <c r="T521" s="35"/>
      <c r="U521" s="35"/>
      <c r="V521" s="35"/>
      <c r="W521" s="35"/>
      <c r="X521" s="35"/>
      <c r="Y521" s="35"/>
      <c r="Z521" s="35"/>
    </row>
    <row r="522" ht="12.75" customHeight="1">
      <c r="A522" s="35"/>
      <c r="B522" s="35"/>
      <c r="C522" s="35"/>
      <c r="D522" s="35"/>
      <c r="E522" s="35"/>
      <c r="F522" s="35"/>
      <c r="G522" s="35"/>
      <c r="H522" s="35"/>
      <c r="I522" s="35"/>
      <c r="J522" s="35"/>
      <c r="K522" s="35"/>
      <c r="L522" s="35"/>
      <c r="M522" s="35"/>
      <c r="N522" s="35"/>
      <c r="O522" s="35"/>
      <c r="P522" s="35"/>
      <c r="Q522" s="35"/>
      <c r="R522" s="35"/>
      <c r="S522" s="35"/>
      <c r="T522" s="35"/>
      <c r="U522" s="35"/>
      <c r="V522" s="35"/>
      <c r="W522" s="35"/>
      <c r="X522" s="35"/>
      <c r="Y522" s="35"/>
      <c r="Z522" s="35"/>
    </row>
    <row r="523" ht="12.75" customHeight="1">
      <c r="A523" s="35"/>
      <c r="B523" s="35"/>
      <c r="C523" s="35"/>
      <c r="D523" s="35"/>
      <c r="E523" s="35"/>
      <c r="F523" s="35"/>
      <c r="G523" s="35"/>
      <c r="H523" s="35"/>
      <c r="I523" s="35"/>
      <c r="J523" s="35"/>
      <c r="K523" s="35"/>
      <c r="L523" s="35"/>
      <c r="M523" s="35"/>
      <c r="N523" s="35"/>
      <c r="O523" s="35"/>
      <c r="P523" s="35"/>
      <c r="Q523" s="35"/>
      <c r="R523" s="35"/>
      <c r="S523" s="35"/>
      <c r="T523" s="35"/>
      <c r="U523" s="35"/>
      <c r="V523" s="35"/>
      <c r="W523" s="35"/>
      <c r="X523" s="35"/>
      <c r="Y523" s="35"/>
      <c r="Z523" s="35"/>
    </row>
    <row r="524" ht="12.75" customHeight="1">
      <c r="A524" s="35"/>
      <c r="B524" s="35"/>
      <c r="C524" s="35"/>
      <c r="D524" s="35"/>
      <c r="E524" s="35"/>
      <c r="F524" s="35"/>
      <c r="G524" s="35"/>
      <c r="H524" s="35"/>
      <c r="I524" s="35"/>
      <c r="J524" s="35"/>
      <c r="K524" s="35"/>
      <c r="L524" s="35"/>
      <c r="M524" s="35"/>
      <c r="N524" s="35"/>
      <c r="O524" s="35"/>
      <c r="P524" s="35"/>
      <c r="Q524" s="35"/>
      <c r="R524" s="35"/>
      <c r="S524" s="35"/>
      <c r="T524" s="35"/>
      <c r="U524" s="35"/>
      <c r="V524" s="35"/>
      <c r="W524" s="35"/>
      <c r="X524" s="35"/>
      <c r="Y524" s="35"/>
      <c r="Z524" s="35"/>
    </row>
    <row r="525" ht="12.75" customHeight="1">
      <c r="A525" s="35"/>
      <c r="B525" s="35"/>
      <c r="C525" s="35"/>
      <c r="D525" s="35"/>
      <c r="E525" s="35"/>
      <c r="F525" s="35"/>
      <c r="G525" s="35"/>
      <c r="H525" s="35"/>
      <c r="I525" s="35"/>
      <c r="J525" s="35"/>
      <c r="K525" s="35"/>
      <c r="L525" s="35"/>
      <c r="M525" s="35"/>
      <c r="N525" s="35"/>
      <c r="O525" s="35"/>
      <c r="P525" s="35"/>
      <c r="Q525" s="35"/>
      <c r="R525" s="35"/>
      <c r="S525" s="35"/>
      <c r="T525" s="35"/>
      <c r="U525" s="35"/>
      <c r="V525" s="35"/>
      <c r="W525" s="35"/>
      <c r="X525" s="35"/>
      <c r="Y525" s="35"/>
      <c r="Z525" s="35"/>
    </row>
    <row r="526" ht="12.75" customHeight="1">
      <c r="A526" s="35"/>
      <c r="B526" s="35"/>
      <c r="C526" s="35"/>
      <c r="D526" s="35"/>
      <c r="E526" s="35"/>
      <c r="F526" s="35"/>
      <c r="G526" s="35"/>
      <c r="H526" s="35"/>
      <c r="I526" s="35"/>
      <c r="J526" s="35"/>
      <c r="K526" s="35"/>
      <c r="L526" s="35"/>
      <c r="M526" s="35"/>
      <c r="N526" s="35"/>
      <c r="O526" s="35"/>
      <c r="P526" s="35"/>
      <c r="Q526" s="35"/>
      <c r="R526" s="35"/>
      <c r="S526" s="35"/>
      <c r="T526" s="35"/>
      <c r="U526" s="35"/>
      <c r="V526" s="35"/>
      <c r="W526" s="35"/>
      <c r="X526" s="35"/>
      <c r="Y526" s="35"/>
      <c r="Z526" s="35"/>
    </row>
    <row r="527" ht="12.75" customHeight="1">
      <c r="A527" s="35"/>
      <c r="B527" s="35"/>
      <c r="C527" s="35"/>
      <c r="D527" s="35"/>
      <c r="E527" s="35"/>
      <c r="F527" s="35"/>
      <c r="G527" s="35"/>
      <c r="H527" s="35"/>
      <c r="I527" s="35"/>
      <c r="J527" s="35"/>
      <c r="K527" s="35"/>
      <c r="L527" s="35"/>
      <c r="M527" s="35"/>
      <c r="N527" s="35"/>
      <c r="O527" s="35"/>
      <c r="P527" s="35"/>
      <c r="Q527" s="35"/>
      <c r="R527" s="35"/>
      <c r="S527" s="35"/>
      <c r="T527" s="35"/>
      <c r="U527" s="35"/>
      <c r="V527" s="35"/>
      <c r="W527" s="35"/>
      <c r="X527" s="35"/>
      <c r="Y527" s="35"/>
      <c r="Z527" s="35"/>
    </row>
    <row r="528" ht="12.75" customHeight="1">
      <c r="A528" s="35"/>
      <c r="B528" s="35"/>
      <c r="C528" s="35"/>
      <c r="D528" s="35"/>
      <c r="E528" s="35"/>
      <c r="F528" s="35"/>
      <c r="G528" s="35"/>
      <c r="H528" s="35"/>
      <c r="I528" s="35"/>
      <c r="J528" s="35"/>
      <c r="K528" s="35"/>
      <c r="L528" s="35"/>
      <c r="M528" s="35"/>
      <c r="N528" s="35"/>
      <c r="O528" s="35"/>
      <c r="P528" s="35"/>
      <c r="Q528" s="35"/>
      <c r="R528" s="35"/>
      <c r="S528" s="35"/>
      <c r="T528" s="35"/>
      <c r="U528" s="35"/>
      <c r="V528" s="35"/>
      <c r="W528" s="35"/>
      <c r="X528" s="35"/>
      <c r="Y528" s="35"/>
      <c r="Z528" s="35"/>
    </row>
    <row r="529" ht="12.75" customHeight="1">
      <c r="A529" s="35"/>
      <c r="B529" s="35"/>
      <c r="C529" s="35"/>
      <c r="D529" s="35"/>
      <c r="E529" s="35"/>
      <c r="F529" s="35"/>
      <c r="G529" s="35"/>
      <c r="H529" s="35"/>
      <c r="I529" s="35"/>
      <c r="J529" s="35"/>
      <c r="K529" s="35"/>
      <c r="L529" s="35"/>
      <c r="M529" s="35"/>
      <c r="N529" s="35"/>
      <c r="O529" s="35"/>
      <c r="P529" s="35"/>
      <c r="Q529" s="35"/>
      <c r="R529" s="35"/>
      <c r="S529" s="35"/>
      <c r="T529" s="35"/>
      <c r="U529" s="35"/>
      <c r="V529" s="35"/>
      <c r="W529" s="35"/>
      <c r="X529" s="35"/>
      <c r="Y529" s="35"/>
      <c r="Z529" s="35"/>
    </row>
    <row r="530" ht="12.75" customHeight="1">
      <c r="A530" s="35"/>
      <c r="B530" s="35"/>
      <c r="C530" s="35"/>
      <c r="D530" s="35"/>
      <c r="E530" s="35"/>
      <c r="F530" s="35"/>
      <c r="G530" s="35"/>
      <c r="H530" s="35"/>
      <c r="I530" s="35"/>
      <c r="J530" s="35"/>
      <c r="K530" s="35"/>
      <c r="L530" s="35"/>
      <c r="M530" s="35"/>
      <c r="N530" s="35"/>
      <c r="O530" s="35"/>
      <c r="P530" s="35"/>
      <c r="Q530" s="35"/>
      <c r="R530" s="35"/>
      <c r="S530" s="35"/>
      <c r="T530" s="35"/>
      <c r="U530" s="35"/>
      <c r="V530" s="35"/>
      <c r="W530" s="35"/>
      <c r="X530" s="35"/>
      <c r="Y530" s="35"/>
      <c r="Z530" s="35"/>
    </row>
    <row r="531" ht="12.75" customHeight="1">
      <c r="A531" s="35"/>
      <c r="B531" s="35"/>
      <c r="C531" s="35"/>
      <c r="D531" s="35"/>
      <c r="E531" s="35"/>
      <c r="F531" s="35"/>
      <c r="G531" s="35"/>
      <c r="H531" s="35"/>
      <c r="I531" s="35"/>
      <c r="J531" s="35"/>
      <c r="K531" s="35"/>
      <c r="L531" s="35"/>
      <c r="M531" s="35"/>
      <c r="N531" s="35"/>
      <c r="O531" s="35"/>
      <c r="P531" s="35"/>
      <c r="Q531" s="35"/>
      <c r="R531" s="35"/>
      <c r="S531" s="35"/>
      <c r="T531" s="35"/>
      <c r="U531" s="35"/>
      <c r="V531" s="35"/>
      <c r="W531" s="35"/>
      <c r="X531" s="35"/>
      <c r="Y531" s="35"/>
      <c r="Z531" s="35"/>
    </row>
    <row r="532" ht="12.75" customHeight="1">
      <c r="A532" s="35"/>
      <c r="B532" s="35"/>
      <c r="C532" s="35"/>
      <c r="D532" s="35"/>
      <c r="E532" s="35"/>
      <c r="F532" s="35"/>
      <c r="G532" s="35"/>
      <c r="H532" s="35"/>
      <c r="I532" s="35"/>
      <c r="J532" s="35"/>
      <c r="K532" s="35"/>
      <c r="L532" s="35"/>
      <c r="M532" s="35"/>
      <c r="N532" s="35"/>
      <c r="O532" s="35"/>
      <c r="P532" s="35"/>
      <c r="Q532" s="35"/>
      <c r="R532" s="35"/>
      <c r="S532" s="35"/>
      <c r="T532" s="35"/>
      <c r="U532" s="35"/>
      <c r="V532" s="35"/>
      <c r="W532" s="35"/>
      <c r="X532" s="35"/>
      <c r="Y532" s="35"/>
      <c r="Z532" s="35"/>
    </row>
    <row r="533" ht="12.75" customHeight="1">
      <c r="A533" s="35"/>
      <c r="B533" s="35"/>
      <c r="C533" s="35"/>
      <c r="D533" s="35"/>
      <c r="E533" s="35"/>
      <c r="F533" s="35"/>
      <c r="G533" s="35"/>
      <c r="H533" s="35"/>
      <c r="I533" s="35"/>
      <c r="J533" s="35"/>
      <c r="K533" s="35"/>
      <c r="L533" s="35"/>
      <c r="M533" s="35"/>
      <c r="N533" s="35"/>
      <c r="O533" s="35"/>
      <c r="P533" s="35"/>
      <c r="Q533" s="35"/>
      <c r="R533" s="35"/>
      <c r="S533" s="35"/>
      <c r="T533" s="35"/>
      <c r="U533" s="35"/>
      <c r="V533" s="35"/>
      <c r="W533" s="35"/>
      <c r="X533" s="35"/>
      <c r="Y533" s="35"/>
      <c r="Z533" s="35"/>
    </row>
    <row r="534" ht="12.75" customHeight="1">
      <c r="A534" s="35"/>
      <c r="B534" s="35"/>
      <c r="C534" s="35"/>
      <c r="D534" s="35"/>
      <c r="E534" s="35"/>
      <c r="F534" s="35"/>
      <c r="G534" s="35"/>
      <c r="H534" s="35"/>
      <c r="I534" s="35"/>
      <c r="J534" s="35"/>
      <c r="K534" s="35"/>
      <c r="L534" s="35"/>
      <c r="M534" s="35"/>
      <c r="N534" s="35"/>
      <c r="O534" s="35"/>
      <c r="P534" s="35"/>
      <c r="Q534" s="35"/>
      <c r="R534" s="35"/>
      <c r="S534" s="35"/>
      <c r="T534" s="35"/>
      <c r="U534" s="35"/>
      <c r="V534" s="35"/>
      <c r="W534" s="35"/>
      <c r="X534" s="35"/>
      <c r="Y534" s="35"/>
      <c r="Z534" s="35"/>
    </row>
    <row r="535" ht="12.75" customHeight="1">
      <c r="A535" s="35"/>
      <c r="B535" s="35"/>
      <c r="C535" s="35"/>
      <c r="D535" s="35"/>
      <c r="E535" s="35"/>
      <c r="F535" s="35"/>
      <c r="G535" s="35"/>
      <c r="H535" s="35"/>
      <c r="I535" s="35"/>
      <c r="J535" s="35"/>
      <c r="K535" s="35"/>
      <c r="L535" s="35"/>
      <c r="M535" s="35"/>
      <c r="N535" s="35"/>
      <c r="O535" s="35"/>
      <c r="P535" s="35"/>
      <c r="Q535" s="35"/>
      <c r="R535" s="35"/>
      <c r="S535" s="35"/>
      <c r="T535" s="35"/>
      <c r="U535" s="35"/>
      <c r="V535" s="35"/>
      <c r="W535" s="35"/>
      <c r="X535" s="35"/>
      <c r="Y535" s="35"/>
      <c r="Z535" s="35"/>
    </row>
    <row r="536" ht="12.75" customHeight="1">
      <c r="A536" s="35"/>
      <c r="B536" s="35"/>
      <c r="C536" s="35"/>
      <c r="D536" s="35"/>
      <c r="E536" s="35"/>
      <c r="F536" s="35"/>
      <c r="G536" s="35"/>
      <c r="H536" s="35"/>
      <c r="I536" s="35"/>
      <c r="J536" s="35"/>
      <c r="K536" s="35"/>
      <c r="L536" s="35"/>
      <c r="M536" s="35"/>
      <c r="N536" s="35"/>
      <c r="O536" s="35"/>
      <c r="P536" s="35"/>
      <c r="Q536" s="35"/>
      <c r="R536" s="35"/>
      <c r="S536" s="35"/>
      <c r="T536" s="35"/>
      <c r="U536" s="35"/>
      <c r="V536" s="35"/>
      <c r="W536" s="35"/>
      <c r="X536" s="35"/>
      <c r="Y536" s="35"/>
      <c r="Z536" s="35"/>
    </row>
    <row r="537" ht="12.75" customHeight="1">
      <c r="A537" s="35"/>
      <c r="B537" s="35"/>
      <c r="C537" s="35"/>
      <c r="D537" s="35"/>
      <c r="E537" s="35"/>
      <c r="F537" s="35"/>
      <c r="G537" s="35"/>
      <c r="H537" s="35"/>
      <c r="I537" s="35"/>
      <c r="J537" s="35"/>
      <c r="K537" s="35"/>
      <c r="L537" s="35"/>
      <c r="M537" s="35"/>
      <c r="N537" s="35"/>
      <c r="O537" s="35"/>
      <c r="P537" s="35"/>
      <c r="Q537" s="35"/>
      <c r="R537" s="35"/>
      <c r="S537" s="35"/>
      <c r="T537" s="35"/>
      <c r="U537" s="35"/>
      <c r="V537" s="35"/>
      <c r="W537" s="35"/>
      <c r="X537" s="35"/>
      <c r="Y537" s="35"/>
      <c r="Z537" s="35"/>
    </row>
    <row r="538" ht="12.75" customHeight="1">
      <c r="A538" s="35"/>
      <c r="B538" s="35"/>
      <c r="C538" s="35"/>
      <c r="D538" s="35"/>
      <c r="E538" s="35"/>
      <c r="F538" s="35"/>
      <c r="G538" s="35"/>
      <c r="H538" s="35"/>
      <c r="I538" s="35"/>
      <c r="J538" s="35"/>
      <c r="K538" s="35"/>
      <c r="L538" s="35"/>
      <c r="M538" s="35"/>
      <c r="N538" s="35"/>
      <c r="O538" s="35"/>
      <c r="P538" s="35"/>
      <c r="Q538" s="35"/>
      <c r="R538" s="35"/>
      <c r="S538" s="35"/>
      <c r="T538" s="35"/>
      <c r="U538" s="35"/>
      <c r="V538" s="35"/>
      <c r="W538" s="35"/>
      <c r="X538" s="35"/>
      <c r="Y538" s="35"/>
      <c r="Z538" s="35"/>
    </row>
    <row r="539" ht="12.75" customHeight="1">
      <c r="A539" s="35"/>
      <c r="B539" s="35"/>
      <c r="C539" s="35"/>
      <c r="D539" s="35"/>
      <c r="E539" s="35"/>
      <c r="F539" s="35"/>
      <c r="G539" s="35"/>
      <c r="H539" s="35"/>
      <c r="I539" s="35"/>
      <c r="J539" s="35"/>
      <c r="K539" s="35"/>
      <c r="L539" s="35"/>
      <c r="M539" s="35"/>
      <c r="N539" s="35"/>
      <c r="O539" s="35"/>
      <c r="P539" s="35"/>
      <c r="Q539" s="35"/>
      <c r="R539" s="35"/>
      <c r="S539" s="35"/>
      <c r="T539" s="35"/>
      <c r="U539" s="35"/>
      <c r="V539" s="35"/>
      <c r="W539" s="35"/>
      <c r="X539" s="35"/>
      <c r="Y539" s="35"/>
      <c r="Z539" s="35"/>
    </row>
    <row r="540" ht="12.75" customHeight="1">
      <c r="A540" s="35"/>
      <c r="B540" s="35"/>
      <c r="C540" s="35"/>
      <c r="D540" s="35"/>
      <c r="E540" s="35"/>
      <c r="F540" s="35"/>
      <c r="G540" s="35"/>
      <c r="H540" s="35"/>
      <c r="I540" s="35"/>
      <c r="J540" s="35"/>
      <c r="K540" s="35"/>
      <c r="L540" s="35"/>
      <c r="M540" s="35"/>
      <c r="N540" s="35"/>
      <c r="O540" s="35"/>
      <c r="P540" s="35"/>
      <c r="Q540" s="35"/>
      <c r="R540" s="35"/>
      <c r="S540" s="35"/>
      <c r="T540" s="35"/>
      <c r="U540" s="35"/>
      <c r="V540" s="35"/>
      <c r="W540" s="35"/>
      <c r="X540" s="35"/>
      <c r="Y540" s="35"/>
      <c r="Z540" s="35"/>
    </row>
    <row r="541" ht="12.75" customHeight="1">
      <c r="A541" s="35"/>
      <c r="B541" s="35"/>
      <c r="C541" s="35"/>
      <c r="D541" s="35"/>
      <c r="E541" s="35"/>
      <c r="F541" s="35"/>
      <c r="G541" s="35"/>
      <c r="H541" s="35"/>
      <c r="I541" s="35"/>
      <c r="J541" s="35"/>
      <c r="K541" s="35"/>
      <c r="L541" s="35"/>
      <c r="M541" s="35"/>
      <c r="N541" s="35"/>
      <c r="O541" s="35"/>
      <c r="P541" s="35"/>
      <c r="Q541" s="35"/>
      <c r="R541" s="35"/>
      <c r="S541" s="35"/>
      <c r="T541" s="35"/>
      <c r="U541" s="35"/>
      <c r="V541" s="35"/>
      <c r="W541" s="35"/>
      <c r="X541" s="35"/>
      <c r="Y541" s="35"/>
      <c r="Z541" s="35"/>
    </row>
    <row r="542" ht="12.75" customHeight="1">
      <c r="A542" s="35"/>
      <c r="B542" s="35"/>
      <c r="C542" s="35"/>
      <c r="D542" s="35"/>
      <c r="E542" s="35"/>
      <c r="F542" s="35"/>
      <c r="G542" s="35"/>
      <c r="H542" s="35"/>
      <c r="I542" s="35"/>
      <c r="J542" s="35"/>
      <c r="K542" s="35"/>
      <c r="L542" s="35"/>
      <c r="M542" s="35"/>
      <c r="N542" s="35"/>
      <c r="O542" s="35"/>
      <c r="P542" s="35"/>
      <c r="Q542" s="35"/>
      <c r="R542" s="35"/>
      <c r="S542" s="35"/>
      <c r="T542" s="35"/>
      <c r="U542" s="35"/>
      <c r="V542" s="35"/>
      <c r="W542" s="35"/>
      <c r="X542" s="35"/>
      <c r="Y542" s="35"/>
      <c r="Z542" s="35"/>
    </row>
    <row r="543" ht="12.75" customHeight="1">
      <c r="A543" s="35"/>
      <c r="B543" s="35"/>
      <c r="C543" s="35"/>
      <c r="D543" s="35"/>
      <c r="E543" s="35"/>
      <c r="F543" s="35"/>
      <c r="G543" s="35"/>
      <c r="H543" s="35"/>
      <c r="I543" s="35"/>
      <c r="J543" s="35"/>
      <c r="K543" s="35"/>
      <c r="L543" s="35"/>
      <c r="M543" s="35"/>
      <c r="N543" s="35"/>
      <c r="O543" s="35"/>
      <c r="P543" s="35"/>
      <c r="Q543" s="35"/>
      <c r="R543" s="35"/>
      <c r="S543" s="35"/>
      <c r="T543" s="35"/>
      <c r="U543" s="35"/>
      <c r="V543" s="35"/>
      <c r="W543" s="35"/>
      <c r="X543" s="35"/>
      <c r="Y543" s="35"/>
      <c r="Z543" s="35"/>
    </row>
    <row r="544" ht="12.75" customHeight="1">
      <c r="A544" s="35"/>
      <c r="B544" s="35"/>
      <c r="C544" s="35"/>
      <c r="D544" s="35"/>
      <c r="E544" s="35"/>
      <c r="F544" s="35"/>
      <c r="G544" s="35"/>
      <c r="H544" s="35"/>
      <c r="I544" s="35"/>
      <c r="J544" s="35"/>
      <c r="K544" s="35"/>
      <c r="L544" s="35"/>
      <c r="M544" s="35"/>
      <c r="N544" s="35"/>
      <c r="O544" s="35"/>
      <c r="P544" s="35"/>
      <c r="Q544" s="35"/>
      <c r="R544" s="35"/>
      <c r="S544" s="35"/>
      <c r="T544" s="35"/>
      <c r="U544" s="35"/>
      <c r="V544" s="35"/>
      <c r="W544" s="35"/>
      <c r="X544" s="35"/>
      <c r="Y544" s="35"/>
      <c r="Z544" s="35"/>
    </row>
    <row r="545" ht="12.75" customHeight="1">
      <c r="A545" s="35"/>
      <c r="B545" s="35"/>
      <c r="C545" s="35"/>
      <c r="D545" s="35"/>
      <c r="E545" s="35"/>
      <c r="F545" s="35"/>
      <c r="G545" s="35"/>
      <c r="H545" s="35"/>
      <c r="I545" s="35"/>
      <c r="J545" s="35"/>
      <c r="K545" s="35"/>
      <c r="L545" s="35"/>
      <c r="M545" s="35"/>
      <c r="N545" s="35"/>
      <c r="O545" s="35"/>
      <c r="P545" s="35"/>
      <c r="Q545" s="35"/>
      <c r="R545" s="35"/>
      <c r="S545" s="35"/>
      <c r="T545" s="35"/>
      <c r="U545" s="35"/>
      <c r="V545" s="35"/>
      <c r="W545" s="35"/>
      <c r="X545" s="35"/>
      <c r="Y545" s="35"/>
      <c r="Z545" s="35"/>
    </row>
    <row r="546" ht="12.75" customHeight="1">
      <c r="A546" s="35"/>
      <c r="B546" s="35"/>
      <c r="C546" s="35"/>
      <c r="D546" s="35"/>
      <c r="E546" s="35"/>
      <c r="F546" s="35"/>
      <c r="G546" s="35"/>
      <c r="H546" s="35"/>
      <c r="I546" s="35"/>
      <c r="J546" s="35"/>
      <c r="K546" s="35"/>
      <c r="L546" s="35"/>
      <c r="M546" s="35"/>
      <c r="N546" s="35"/>
      <c r="O546" s="35"/>
      <c r="P546" s="35"/>
      <c r="Q546" s="35"/>
      <c r="R546" s="35"/>
      <c r="S546" s="35"/>
      <c r="T546" s="35"/>
      <c r="U546" s="35"/>
      <c r="V546" s="35"/>
      <c r="W546" s="35"/>
      <c r="X546" s="35"/>
      <c r="Y546" s="35"/>
      <c r="Z546" s="35"/>
    </row>
    <row r="547" ht="12.75" customHeight="1">
      <c r="A547" s="35"/>
      <c r="B547" s="35"/>
      <c r="C547" s="35"/>
      <c r="D547" s="35"/>
      <c r="E547" s="35"/>
      <c r="F547" s="35"/>
      <c r="G547" s="35"/>
      <c r="H547" s="35"/>
      <c r="I547" s="35"/>
      <c r="J547" s="35"/>
      <c r="K547" s="35"/>
      <c r="L547" s="35"/>
      <c r="M547" s="35"/>
      <c r="N547" s="35"/>
      <c r="O547" s="35"/>
      <c r="P547" s="35"/>
      <c r="Q547" s="35"/>
      <c r="R547" s="35"/>
      <c r="S547" s="35"/>
      <c r="T547" s="35"/>
      <c r="U547" s="35"/>
      <c r="V547" s="35"/>
      <c r="W547" s="35"/>
      <c r="X547" s="35"/>
      <c r="Y547" s="35"/>
      <c r="Z547" s="35"/>
    </row>
    <row r="548" ht="12.75" customHeight="1">
      <c r="A548" s="35"/>
      <c r="B548" s="35"/>
      <c r="C548" s="35"/>
      <c r="D548" s="35"/>
      <c r="E548" s="35"/>
      <c r="F548" s="35"/>
      <c r="G548" s="35"/>
      <c r="H548" s="35"/>
      <c r="I548" s="35"/>
      <c r="J548" s="35"/>
      <c r="K548" s="35"/>
      <c r="L548" s="35"/>
      <c r="M548" s="35"/>
      <c r="N548" s="35"/>
      <c r="O548" s="35"/>
      <c r="P548" s="35"/>
      <c r="Q548" s="35"/>
      <c r="R548" s="35"/>
      <c r="S548" s="35"/>
      <c r="T548" s="35"/>
      <c r="U548" s="35"/>
      <c r="V548" s="35"/>
      <c r="W548" s="35"/>
      <c r="X548" s="35"/>
      <c r="Y548" s="35"/>
      <c r="Z548" s="35"/>
    </row>
    <row r="549" ht="12.75" customHeight="1">
      <c r="A549" s="35"/>
      <c r="B549" s="35"/>
      <c r="C549" s="35"/>
      <c r="D549" s="35"/>
      <c r="E549" s="35"/>
      <c r="F549" s="35"/>
      <c r="G549" s="35"/>
      <c r="H549" s="35"/>
      <c r="I549" s="35"/>
      <c r="J549" s="35"/>
      <c r="K549" s="35"/>
      <c r="L549" s="35"/>
      <c r="M549" s="35"/>
      <c r="N549" s="35"/>
      <c r="O549" s="35"/>
      <c r="P549" s="35"/>
      <c r="Q549" s="35"/>
      <c r="R549" s="35"/>
      <c r="S549" s="35"/>
      <c r="T549" s="35"/>
      <c r="U549" s="35"/>
      <c r="V549" s="35"/>
      <c r="W549" s="35"/>
      <c r="X549" s="35"/>
      <c r="Y549" s="35"/>
      <c r="Z549" s="35"/>
    </row>
    <row r="550" ht="12.75" customHeight="1">
      <c r="A550" s="35"/>
      <c r="B550" s="35"/>
      <c r="C550" s="35"/>
      <c r="D550" s="35"/>
      <c r="E550" s="35"/>
      <c r="F550" s="35"/>
      <c r="G550" s="35"/>
      <c r="H550" s="35"/>
      <c r="I550" s="35"/>
      <c r="J550" s="35"/>
      <c r="K550" s="35"/>
      <c r="L550" s="35"/>
      <c r="M550" s="35"/>
      <c r="N550" s="35"/>
      <c r="O550" s="35"/>
      <c r="P550" s="35"/>
      <c r="Q550" s="35"/>
      <c r="R550" s="35"/>
      <c r="S550" s="35"/>
      <c r="T550" s="35"/>
      <c r="U550" s="35"/>
      <c r="V550" s="35"/>
      <c r="W550" s="35"/>
      <c r="X550" s="35"/>
      <c r="Y550" s="35"/>
      <c r="Z550" s="35"/>
    </row>
    <row r="551" ht="12.75" customHeight="1">
      <c r="A551" s="35"/>
      <c r="B551" s="35"/>
      <c r="C551" s="35"/>
      <c r="D551" s="35"/>
      <c r="E551" s="35"/>
      <c r="F551" s="35"/>
      <c r="G551" s="35"/>
      <c r="H551" s="35"/>
      <c r="I551" s="35"/>
      <c r="J551" s="35"/>
      <c r="K551" s="35"/>
      <c r="L551" s="35"/>
      <c r="M551" s="35"/>
      <c r="N551" s="35"/>
      <c r="O551" s="35"/>
      <c r="P551" s="35"/>
      <c r="Q551" s="35"/>
      <c r="R551" s="35"/>
      <c r="S551" s="35"/>
      <c r="T551" s="35"/>
      <c r="U551" s="35"/>
      <c r="V551" s="35"/>
      <c r="W551" s="35"/>
      <c r="X551" s="35"/>
      <c r="Y551" s="35"/>
      <c r="Z551" s="35"/>
    </row>
    <row r="552" ht="12.75" customHeight="1">
      <c r="A552" s="35"/>
      <c r="B552" s="35"/>
      <c r="C552" s="35"/>
      <c r="D552" s="35"/>
      <c r="E552" s="35"/>
      <c r="F552" s="35"/>
      <c r="G552" s="35"/>
      <c r="H552" s="35"/>
      <c r="I552" s="35"/>
      <c r="J552" s="35"/>
      <c r="K552" s="35"/>
      <c r="L552" s="35"/>
      <c r="M552" s="35"/>
      <c r="N552" s="35"/>
      <c r="O552" s="35"/>
      <c r="P552" s="35"/>
      <c r="Q552" s="35"/>
      <c r="R552" s="35"/>
      <c r="S552" s="35"/>
      <c r="T552" s="35"/>
      <c r="U552" s="35"/>
      <c r="V552" s="35"/>
      <c r="W552" s="35"/>
      <c r="X552" s="35"/>
      <c r="Y552" s="35"/>
      <c r="Z552" s="35"/>
    </row>
    <row r="553" ht="12.75" customHeight="1">
      <c r="A553" s="35"/>
      <c r="B553" s="35"/>
      <c r="C553" s="35"/>
      <c r="D553" s="35"/>
      <c r="E553" s="35"/>
      <c r="F553" s="35"/>
      <c r="G553" s="35"/>
      <c r="H553" s="35"/>
      <c r="I553" s="35"/>
      <c r="J553" s="35"/>
      <c r="K553" s="35"/>
      <c r="L553" s="35"/>
      <c r="M553" s="35"/>
      <c r="N553" s="35"/>
      <c r="O553" s="35"/>
      <c r="P553" s="35"/>
      <c r="Q553" s="35"/>
      <c r="R553" s="35"/>
      <c r="S553" s="35"/>
      <c r="T553" s="35"/>
      <c r="U553" s="35"/>
      <c r="V553" s="35"/>
      <c r="W553" s="35"/>
      <c r="X553" s="35"/>
      <c r="Y553" s="35"/>
      <c r="Z553" s="35"/>
    </row>
    <row r="554" ht="12.75" customHeight="1">
      <c r="A554" s="35"/>
      <c r="B554" s="35"/>
      <c r="C554" s="35"/>
      <c r="D554" s="35"/>
      <c r="E554" s="35"/>
      <c r="F554" s="35"/>
      <c r="G554" s="35"/>
      <c r="H554" s="35"/>
      <c r="I554" s="35"/>
      <c r="J554" s="35"/>
      <c r="K554" s="35"/>
      <c r="L554" s="35"/>
      <c r="M554" s="35"/>
      <c r="N554" s="35"/>
      <c r="O554" s="35"/>
      <c r="P554" s="35"/>
      <c r="Q554" s="35"/>
      <c r="R554" s="35"/>
      <c r="S554" s="35"/>
      <c r="T554" s="35"/>
      <c r="U554" s="35"/>
      <c r="V554" s="35"/>
      <c r="W554" s="35"/>
      <c r="X554" s="35"/>
      <c r="Y554" s="35"/>
      <c r="Z554" s="35"/>
    </row>
    <row r="555" ht="12.75" customHeight="1">
      <c r="A555" s="35"/>
      <c r="B555" s="35"/>
      <c r="C555" s="35"/>
      <c r="D555" s="35"/>
      <c r="E555" s="35"/>
      <c r="F555" s="35"/>
      <c r="G555" s="35"/>
      <c r="H555" s="35"/>
      <c r="I555" s="35"/>
      <c r="J555" s="35"/>
      <c r="K555" s="35"/>
      <c r="L555" s="35"/>
      <c r="M555" s="35"/>
      <c r="N555" s="35"/>
      <c r="O555" s="35"/>
      <c r="P555" s="35"/>
      <c r="Q555" s="35"/>
      <c r="R555" s="35"/>
      <c r="S555" s="35"/>
      <c r="T555" s="35"/>
      <c r="U555" s="35"/>
      <c r="V555" s="35"/>
      <c r="W555" s="35"/>
      <c r="X555" s="35"/>
      <c r="Y555" s="35"/>
      <c r="Z555" s="35"/>
    </row>
    <row r="556" ht="12.75" customHeight="1">
      <c r="A556" s="35"/>
      <c r="B556" s="35"/>
      <c r="C556" s="35"/>
      <c r="D556" s="35"/>
      <c r="E556" s="35"/>
      <c r="F556" s="35"/>
      <c r="G556" s="35"/>
      <c r="H556" s="35"/>
      <c r="I556" s="35"/>
      <c r="J556" s="35"/>
      <c r="K556" s="35"/>
      <c r="L556" s="35"/>
      <c r="M556" s="35"/>
      <c r="N556" s="35"/>
      <c r="O556" s="35"/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5"/>
    </row>
    <row r="557" ht="12.75" customHeight="1">
      <c r="A557" s="35"/>
      <c r="B557" s="35"/>
      <c r="C557" s="35"/>
      <c r="D557" s="35"/>
      <c r="E557" s="35"/>
      <c r="F557" s="35"/>
      <c r="G557" s="35"/>
      <c r="H557" s="35"/>
      <c r="I557" s="35"/>
      <c r="J557" s="35"/>
      <c r="K557" s="35"/>
      <c r="L557" s="35"/>
      <c r="M557" s="35"/>
      <c r="N557" s="35"/>
      <c r="O557" s="35"/>
      <c r="P557" s="35"/>
      <c r="Q557" s="35"/>
      <c r="R557" s="35"/>
      <c r="S557" s="35"/>
      <c r="T557" s="35"/>
      <c r="U557" s="35"/>
      <c r="V557" s="35"/>
      <c r="W557" s="35"/>
      <c r="X557" s="35"/>
      <c r="Y557" s="35"/>
      <c r="Z557" s="35"/>
    </row>
    <row r="558" ht="12.75" customHeight="1">
      <c r="A558" s="35"/>
      <c r="B558" s="35"/>
      <c r="C558" s="35"/>
      <c r="D558" s="35"/>
      <c r="E558" s="35"/>
      <c r="F558" s="35"/>
      <c r="G558" s="35"/>
      <c r="H558" s="35"/>
      <c r="I558" s="35"/>
      <c r="J558" s="35"/>
      <c r="K558" s="35"/>
      <c r="L558" s="35"/>
      <c r="M558" s="35"/>
      <c r="N558" s="35"/>
      <c r="O558" s="35"/>
      <c r="P558" s="35"/>
      <c r="Q558" s="35"/>
      <c r="R558" s="35"/>
      <c r="S558" s="35"/>
      <c r="T558" s="35"/>
      <c r="U558" s="35"/>
      <c r="V558" s="35"/>
      <c r="W558" s="35"/>
      <c r="X558" s="35"/>
      <c r="Y558" s="35"/>
      <c r="Z558" s="35"/>
    </row>
    <row r="559" ht="12.75" customHeight="1">
      <c r="A559" s="35"/>
      <c r="B559" s="35"/>
      <c r="C559" s="35"/>
      <c r="D559" s="35"/>
      <c r="E559" s="35"/>
      <c r="F559" s="35"/>
      <c r="G559" s="35"/>
      <c r="H559" s="35"/>
      <c r="I559" s="35"/>
      <c r="J559" s="35"/>
      <c r="K559" s="35"/>
      <c r="L559" s="35"/>
      <c r="M559" s="35"/>
      <c r="N559" s="35"/>
      <c r="O559" s="35"/>
      <c r="P559" s="35"/>
      <c r="Q559" s="35"/>
      <c r="R559" s="35"/>
      <c r="S559" s="35"/>
      <c r="T559" s="35"/>
      <c r="U559" s="35"/>
      <c r="V559" s="35"/>
      <c r="W559" s="35"/>
      <c r="X559" s="35"/>
      <c r="Y559" s="35"/>
      <c r="Z559" s="35"/>
    </row>
    <row r="560" ht="12.75" customHeight="1">
      <c r="A560" s="35"/>
      <c r="B560" s="35"/>
      <c r="C560" s="35"/>
      <c r="D560" s="35"/>
      <c r="E560" s="35"/>
      <c r="F560" s="35"/>
      <c r="G560" s="35"/>
      <c r="H560" s="35"/>
      <c r="I560" s="35"/>
      <c r="J560" s="35"/>
      <c r="K560" s="35"/>
      <c r="L560" s="35"/>
      <c r="M560" s="35"/>
      <c r="N560" s="35"/>
      <c r="O560" s="35"/>
      <c r="P560" s="35"/>
      <c r="Q560" s="35"/>
      <c r="R560" s="35"/>
      <c r="S560" s="35"/>
      <c r="T560" s="35"/>
      <c r="U560" s="35"/>
      <c r="V560" s="35"/>
      <c r="W560" s="35"/>
      <c r="X560" s="35"/>
      <c r="Y560" s="35"/>
      <c r="Z560" s="35"/>
    </row>
    <row r="561" ht="12.75" customHeight="1">
      <c r="A561" s="35"/>
      <c r="B561" s="35"/>
      <c r="C561" s="35"/>
      <c r="D561" s="35"/>
      <c r="E561" s="35"/>
      <c r="F561" s="35"/>
      <c r="G561" s="35"/>
      <c r="H561" s="35"/>
      <c r="I561" s="35"/>
      <c r="J561" s="35"/>
      <c r="K561" s="35"/>
      <c r="L561" s="35"/>
      <c r="M561" s="35"/>
      <c r="N561" s="35"/>
      <c r="O561" s="35"/>
      <c r="P561" s="35"/>
      <c r="Q561" s="35"/>
      <c r="R561" s="35"/>
      <c r="S561" s="35"/>
      <c r="T561" s="35"/>
      <c r="U561" s="35"/>
      <c r="V561" s="35"/>
      <c r="W561" s="35"/>
      <c r="X561" s="35"/>
      <c r="Y561" s="35"/>
      <c r="Z561" s="35"/>
    </row>
    <row r="562" ht="12.75" customHeight="1">
      <c r="A562" s="35"/>
      <c r="B562" s="35"/>
      <c r="C562" s="35"/>
      <c r="D562" s="35"/>
      <c r="E562" s="35"/>
      <c r="F562" s="35"/>
      <c r="G562" s="35"/>
      <c r="H562" s="35"/>
      <c r="I562" s="35"/>
      <c r="J562" s="35"/>
      <c r="K562" s="35"/>
      <c r="L562" s="35"/>
      <c r="M562" s="35"/>
      <c r="N562" s="35"/>
      <c r="O562" s="35"/>
      <c r="P562" s="35"/>
      <c r="Q562" s="35"/>
      <c r="R562" s="35"/>
      <c r="S562" s="35"/>
      <c r="T562" s="35"/>
      <c r="U562" s="35"/>
      <c r="V562" s="35"/>
      <c r="W562" s="35"/>
      <c r="X562" s="35"/>
      <c r="Y562" s="35"/>
      <c r="Z562" s="35"/>
    </row>
    <row r="563" ht="12.75" customHeight="1">
      <c r="A563" s="35"/>
      <c r="B563" s="35"/>
      <c r="C563" s="35"/>
      <c r="D563" s="35"/>
      <c r="E563" s="35"/>
      <c r="F563" s="35"/>
      <c r="G563" s="35"/>
      <c r="H563" s="35"/>
      <c r="I563" s="35"/>
      <c r="J563" s="35"/>
      <c r="K563" s="35"/>
      <c r="L563" s="35"/>
      <c r="M563" s="35"/>
      <c r="N563" s="35"/>
      <c r="O563" s="35"/>
      <c r="P563" s="35"/>
      <c r="Q563" s="35"/>
      <c r="R563" s="35"/>
      <c r="S563" s="35"/>
      <c r="T563" s="35"/>
      <c r="U563" s="35"/>
      <c r="V563" s="35"/>
      <c r="W563" s="35"/>
      <c r="X563" s="35"/>
      <c r="Y563" s="35"/>
      <c r="Z563" s="35"/>
    </row>
    <row r="564" ht="12.75" customHeight="1">
      <c r="A564" s="35"/>
      <c r="B564" s="35"/>
      <c r="C564" s="35"/>
      <c r="D564" s="35"/>
      <c r="E564" s="35"/>
      <c r="F564" s="35"/>
      <c r="G564" s="35"/>
      <c r="H564" s="35"/>
      <c r="I564" s="35"/>
      <c r="J564" s="35"/>
      <c r="K564" s="35"/>
      <c r="L564" s="35"/>
      <c r="M564" s="35"/>
      <c r="N564" s="35"/>
      <c r="O564" s="35"/>
      <c r="P564" s="35"/>
      <c r="Q564" s="35"/>
      <c r="R564" s="35"/>
      <c r="S564" s="35"/>
      <c r="T564" s="35"/>
      <c r="U564" s="35"/>
      <c r="V564" s="35"/>
      <c r="W564" s="35"/>
      <c r="X564" s="35"/>
      <c r="Y564" s="35"/>
      <c r="Z564" s="35"/>
    </row>
    <row r="565" ht="12.75" customHeight="1">
      <c r="A565" s="35"/>
      <c r="B565" s="35"/>
      <c r="C565" s="35"/>
      <c r="D565" s="35"/>
      <c r="E565" s="35"/>
      <c r="F565" s="35"/>
      <c r="G565" s="35"/>
      <c r="H565" s="35"/>
      <c r="I565" s="35"/>
      <c r="J565" s="35"/>
      <c r="K565" s="35"/>
      <c r="L565" s="35"/>
      <c r="M565" s="35"/>
      <c r="N565" s="35"/>
      <c r="O565" s="35"/>
      <c r="P565" s="35"/>
      <c r="Q565" s="35"/>
      <c r="R565" s="35"/>
      <c r="S565" s="35"/>
      <c r="T565" s="35"/>
      <c r="U565" s="35"/>
      <c r="V565" s="35"/>
      <c r="W565" s="35"/>
      <c r="X565" s="35"/>
      <c r="Y565" s="35"/>
      <c r="Z565" s="35"/>
    </row>
    <row r="566" ht="12.75" customHeight="1">
      <c r="A566" s="35"/>
      <c r="B566" s="35"/>
      <c r="C566" s="35"/>
      <c r="D566" s="35"/>
      <c r="E566" s="35"/>
      <c r="F566" s="35"/>
      <c r="G566" s="35"/>
      <c r="H566" s="35"/>
      <c r="I566" s="35"/>
      <c r="J566" s="35"/>
      <c r="K566" s="35"/>
      <c r="L566" s="35"/>
      <c r="M566" s="35"/>
      <c r="N566" s="35"/>
      <c r="O566" s="35"/>
      <c r="P566" s="35"/>
      <c r="Q566" s="35"/>
      <c r="R566" s="35"/>
      <c r="S566" s="35"/>
      <c r="T566" s="35"/>
      <c r="U566" s="35"/>
      <c r="V566" s="35"/>
      <c r="W566" s="35"/>
      <c r="X566" s="35"/>
      <c r="Y566" s="35"/>
      <c r="Z566" s="35"/>
    </row>
    <row r="567" ht="12.75" customHeight="1">
      <c r="A567" s="35"/>
      <c r="B567" s="35"/>
      <c r="C567" s="35"/>
      <c r="D567" s="35"/>
      <c r="E567" s="35"/>
      <c r="F567" s="35"/>
      <c r="G567" s="35"/>
      <c r="H567" s="35"/>
      <c r="I567" s="35"/>
      <c r="J567" s="35"/>
      <c r="K567" s="35"/>
      <c r="L567" s="35"/>
      <c r="M567" s="35"/>
      <c r="N567" s="35"/>
      <c r="O567" s="35"/>
      <c r="P567" s="35"/>
      <c r="Q567" s="35"/>
      <c r="R567" s="35"/>
      <c r="S567" s="35"/>
      <c r="T567" s="35"/>
      <c r="U567" s="35"/>
      <c r="V567" s="35"/>
      <c r="W567" s="35"/>
      <c r="X567" s="35"/>
      <c r="Y567" s="35"/>
      <c r="Z567" s="35"/>
    </row>
    <row r="568" ht="12.75" customHeight="1">
      <c r="A568" s="35"/>
      <c r="B568" s="35"/>
      <c r="C568" s="35"/>
      <c r="D568" s="35"/>
      <c r="E568" s="35"/>
      <c r="F568" s="35"/>
      <c r="G568" s="35"/>
      <c r="H568" s="35"/>
      <c r="I568" s="35"/>
      <c r="J568" s="35"/>
      <c r="K568" s="35"/>
      <c r="L568" s="35"/>
      <c r="M568" s="35"/>
      <c r="N568" s="35"/>
      <c r="O568" s="35"/>
      <c r="P568" s="35"/>
      <c r="Q568" s="35"/>
      <c r="R568" s="35"/>
      <c r="S568" s="35"/>
      <c r="T568" s="35"/>
      <c r="U568" s="35"/>
      <c r="V568" s="35"/>
      <c r="W568" s="35"/>
      <c r="X568" s="35"/>
      <c r="Y568" s="35"/>
      <c r="Z568" s="35"/>
    </row>
    <row r="569" ht="12.75" customHeight="1">
      <c r="A569" s="35"/>
      <c r="B569" s="35"/>
      <c r="C569" s="35"/>
      <c r="D569" s="35"/>
      <c r="E569" s="35"/>
      <c r="F569" s="35"/>
      <c r="G569" s="35"/>
      <c r="H569" s="35"/>
      <c r="I569" s="35"/>
      <c r="J569" s="35"/>
      <c r="K569" s="35"/>
      <c r="L569" s="35"/>
      <c r="M569" s="35"/>
      <c r="N569" s="35"/>
      <c r="O569" s="35"/>
      <c r="P569" s="35"/>
      <c r="Q569" s="35"/>
      <c r="R569" s="35"/>
      <c r="S569" s="35"/>
      <c r="T569" s="35"/>
      <c r="U569" s="35"/>
      <c r="V569" s="35"/>
      <c r="W569" s="35"/>
      <c r="X569" s="35"/>
      <c r="Y569" s="35"/>
      <c r="Z569" s="35"/>
    </row>
    <row r="570" ht="12.75" customHeight="1">
      <c r="A570" s="35"/>
      <c r="B570" s="35"/>
      <c r="C570" s="35"/>
      <c r="D570" s="35"/>
      <c r="E570" s="35"/>
      <c r="F570" s="35"/>
      <c r="G570" s="35"/>
      <c r="H570" s="35"/>
      <c r="I570" s="35"/>
      <c r="J570" s="35"/>
      <c r="K570" s="35"/>
      <c r="L570" s="35"/>
      <c r="M570" s="35"/>
      <c r="N570" s="35"/>
      <c r="O570" s="35"/>
      <c r="P570" s="35"/>
      <c r="Q570" s="35"/>
      <c r="R570" s="35"/>
      <c r="S570" s="35"/>
      <c r="T570" s="35"/>
      <c r="U570" s="35"/>
      <c r="V570" s="35"/>
      <c r="W570" s="35"/>
      <c r="X570" s="35"/>
      <c r="Y570" s="35"/>
      <c r="Z570" s="35"/>
    </row>
    <row r="571" ht="12.75" customHeight="1">
      <c r="A571" s="35"/>
      <c r="B571" s="35"/>
      <c r="C571" s="35"/>
      <c r="D571" s="35"/>
      <c r="E571" s="35"/>
      <c r="F571" s="35"/>
      <c r="G571" s="35"/>
      <c r="H571" s="35"/>
      <c r="I571" s="35"/>
      <c r="J571" s="35"/>
      <c r="K571" s="35"/>
      <c r="L571" s="35"/>
      <c r="M571" s="35"/>
      <c r="N571" s="35"/>
      <c r="O571" s="35"/>
      <c r="P571" s="35"/>
      <c r="Q571" s="35"/>
      <c r="R571" s="35"/>
      <c r="S571" s="35"/>
      <c r="T571" s="35"/>
      <c r="U571" s="35"/>
      <c r="V571" s="35"/>
      <c r="W571" s="35"/>
      <c r="X571" s="35"/>
      <c r="Y571" s="35"/>
      <c r="Z571" s="35"/>
    </row>
    <row r="572" ht="12.75" customHeight="1">
      <c r="A572" s="35"/>
      <c r="B572" s="35"/>
      <c r="C572" s="35"/>
      <c r="D572" s="35"/>
      <c r="E572" s="35"/>
      <c r="F572" s="35"/>
      <c r="G572" s="35"/>
      <c r="H572" s="35"/>
      <c r="I572" s="35"/>
      <c r="J572" s="35"/>
      <c r="K572" s="35"/>
      <c r="L572" s="35"/>
      <c r="M572" s="35"/>
      <c r="N572" s="35"/>
      <c r="O572" s="35"/>
      <c r="P572" s="35"/>
      <c r="Q572" s="35"/>
      <c r="R572" s="35"/>
      <c r="S572" s="35"/>
      <c r="T572" s="35"/>
      <c r="U572" s="35"/>
      <c r="V572" s="35"/>
      <c r="W572" s="35"/>
      <c r="X572" s="35"/>
      <c r="Y572" s="35"/>
      <c r="Z572" s="35"/>
    </row>
    <row r="573" ht="12.75" customHeight="1">
      <c r="A573" s="35"/>
      <c r="B573" s="35"/>
      <c r="C573" s="35"/>
      <c r="D573" s="35"/>
      <c r="E573" s="35"/>
      <c r="F573" s="35"/>
      <c r="G573" s="35"/>
      <c r="H573" s="35"/>
      <c r="I573" s="35"/>
      <c r="J573" s="35"/>
      <c r="K573" s="35"/>
      <c r="L573" s="35"/>
      <c r="M573" s="35"/>
      <c r="N573" s="35"/>
      <c r="O573" s="35"/>
      <c r="P573" s="35"/>
      <c r="Q573" s="35"/>
      <c r="R573" s="35"/>
      <c r="S573" s="35"/>
      <c r="T573" s="35"/>
      <c r="U573" s="35"/>
      <c r="V573" s="35"/>
      <c r="W573" s="35"/>
      <c r="X573" s="35"/>
      <c r="Y573" s="35"/>
      <c r="Z573" s="35"/>
    </row>
    <row r="574" ht="12.75" customHeight="1">
      <c r="A574" s="35"/>
      <c r="B574" s="35"/>
      <c r="C574" s="35"/>
      <c r="D574" s="35"/>
      <c r="E574" s="35"/>
      <c r="F574" s="35"/>
      <c r="G574" s="35"/>
      <c r="H574" s="35"/>
      <c r="I574" s="35"/>
      <c r="J574" s="35"/>
      <c r="K574" s="35"/>
      <c r="L574" s="35"/>
      <c r="M574" s="35"/>
      <c r="N574" s="35"/>
      <c r="O574" s="35"/>
      <c r="P574" s="35"/>
      <c r="Q574" s="35"/>
      <c r="R574" s="35"/>
      <c r="S574" s="35"/>
      <c r="T574" s="35"/>
      <c r="U574" s="35"/>
      <c r="V574" s="35"/>
      <c r="W574" s="35"/>
      <c r="X574" s="35"/>
      <c r="Y574" s="35"/>
      <c r="Z574" s="35"/>
    </row>
    <row r="575" ht="12.75" customHeight="1">
      <c r="A575" s="35"/>
      <c r="B575" s="35"/>
      <c r="C575" s="35"/>
      <c r="D575" s="35"/>
      <c r="E575" s="35"/>
      <c r="F575" s="35"/>
      <c r="G575" s="35"/>
      <c r="H575" s="35"/>
      <c r="I575" s="35"/>
      <c r="J575" s="35"/>
      <c r="K575" s="35"/>
      <c r="L575" s="35"/>
      <c r="M575" s="35"/>
      <c r="N575" s="35"/>
      <c r="O575" s="35"/>
      <c r="P575" s="35"/>
      <c r="Q575" s="35"/>
      <c r="R575" s="35"/>
      <c r="S575" s="35"/>
      <c r="T575" s="35"/>
      <c r="U575" s="35"/>
      <c r="V575" s="35"/>
      <c r="W575" s="35"/>
      <c r="X575" s="35"/>
      <c r="Y575" s="35"/>
      <c r="Z575" s="35"/>
    </row>
    <row r="576" ht="12.75" customHeight="1">
      <c r="A576" s="35"/>
      <c r="B576" s="35"/>
      <c r="C576" s="35"/>
      <c r="D576" s="35"/>
      <c r="E576" s="35"/>
      <c r="F576" s="35"/>
      <c r="G576" s="35"/>
      <c r="H576" s="35"/>
      <c r="I576" s="35"/>
      <c r="J576" s="35"/>
      <c r="K576" s="35"/>
      <c r="L576" s="35"/>
      <c r="M576" s="35"/>
      <c r="N576" s="35"/>
      <c r="O576" s="35"/>
      <c r="P576" s="35"/>
      <c r="Q576" s="35"/>
      <c r="R576" s="35"/>
      <c r="S576" s="35"/>
      <c r="T576" s="35"/>
      <c r="U576" s="35"/>
      <c r="V576" s="35"/>
      <c r="W576" s="35"/>
      <c r="X576" s="35"/>
      <c r="Y576" s="35"/>
      <c r="Z576" s="35"/>
    </row>
    <row r="577" ht="12.75" customHeight="1">
      <c r="A577" s="35"/>
      <c r="B577" s="35"/>
      <c r="C577" s="35"/>
      <c r="D577" s="35"/>
      <c r="E577" s="35"/>
      <c r="F577" s="35"/>
      <c r="G577" s="35"/>
      <c r="H577" s="35"/>
      <c r="I577" s="35"/>
      <c r="J577" s="35"/>
      <c r="K577" s="35"/>
      <c r="L577" s="35"/>
      <c r="M577" s="35"/>
      <c r="N577" s="35"/>
      <c r="O577" s="35"/>
      <c r="P577" s="35"/>
      <c r="Q577" s="35"/>
      <c r="R577" s="35"/>
      <c r="S577" s="35"/>
      <c r="T577" s="35"/>
      <c r="U577" s="35"/>
      <c r="V577" s="35"/>
      <c r="W577" s="35"/>
      <c r="X577" s="35"/>
      <c r="Y577" s="35"/>
      <c r="Z577" s="35"/>
    </row>
    <row r="578" ht="12.75" customHeight="1">
      <c r="A578" s="35"/>
      <c r="B578" s="35"/>
      <c r="C578" s="35"/>
      <c r="D578" s="35"/>
      <c r="E578" s="35"/>
      <c r="F578" s="35"/>
      <c r="G578" s="35"/>
      <c r="H578" s="35"/>
      <c r="I578" s="35"/>
      <c r="J578" s="35"/>
      <c r="K578" s="35"/>
      <c r="L578" s="35"/>
      <c r="M578" s="35"/>
      <c r="N578" s="35"/>
      <c r="O578" s="35"/>
      <c r="P578" s="35"/>
      <c r="Q578" s="35"/>
      <c r="R578" s="35"/>
      <c r="S578" s="35"/>
      <c r="T578" s="35"/>
      <c r="U578" s="35"/>
      <c r="V578" s="35"/>
      <c r="W578" s="35"/>
      <c r="X578" s="35"/>
      <c r="Y578" s="35"/>
      <c r="Z578" s="35"/>
    </row>
    <row r="579" ht="12.75" customHeight="1">
      <c r="A579" s="35"/>
      <c r="B579" s="35"/>
      <c r="C579" s="35"/>
      <c r="D579" s="35"/>
      <c r="E579" s="35"/>
      <c r="F579" s="35"/>
      <c r="G579" s="35"/>
      <c r="H579" s="35"/>
      <c r="I579" s="35"/>
      <c r="J579" s="35"/>
      <c r="K579" s="35"/>
      <c r="L579" s="35"/>
      <c r="M579" s="35"/>
      <c r="N579" s="35"/>
      <c r="O579" s="35"/>
      <c r="P579" s="35"/>
      <c r="Q579" s="35"/>
      <c r="R579" s="35"/>
      <c r="S579" s="35"/>
      <c r="T579" s="35"/>
      <c r="U579" s="35"/>
      <c r="V579" s="35"/>
      <c r="W579" s="35"/>
      <c r="X579" s="35"/>
      <c r="Y579" s="35"/>
      <c r="Z579" s="35"/>
    </row>
    <row r="580" ht="12.75" customHeight="1">
      <c r="A580" s="35"/>
      <c r="B580" s="35"/>
      <c r="C580" s="35"/>
      <c r="D580" s="35"/>
      <c r="E580" s="35"/>
      <c r="F580" s="35"/>
      <c r="G580" s="35"/>
      <c r="H580" s="35"/>
      <c r="I580" s="35"/>
      <c r="J580" s="35"/>
      <c r="K580" s="35"/>
      <c r="L580" s="35"/>
      <c r="M580" s="35"/>
      <c r="N580" s="35"/>
      <c r="O580" s="35"/>
      <c r="P580" s="35"/>
      <c r="Q580" s="35"/>
      <c r="R580" s="35"/>
      <c r="S580" s="35"/>
      <c r="T580" s="35"/>
      <c r="U580" s="35"/>
      <c r="V580" s="35"/>
      <c r="W580" s="35"/>
      <c r="X580" s="35"/>
      <c r="Y580" s="35"/>
      <c r="Z580" s="35"/>
    </row>
    <row r="581" ht="12.75" customHeight="1">
      <c r="A581" s="35"/>
      <c r="B581" s="35"/>
      <c r="C581" s="35"/>
      <c r="D581" s="35"/>
      <c r="E581" s="35"/>
      <c r="F581" s="35"/>
      <c r="G581" s="35"/>
      <c r="H581" s="35"/>
      <c r="I581" s="35"/>
      <c r="J581" s="35"/>
      <c r="K581" s="35"/>
      <c r="L581" s="35"/>
      <c r="M581" s="35"/>
      <c r="N581" s="35"/>
      <c r="O581" s="35"/>
      <c r="P581" s="35"/>
      <c r="Q581" s="35"/>
      <c r="R581" s="35"/>
      <c r="S581" s="35"/>
      <c r="T581" s="35"/>
      <c r="U581" s="35"/>
      <c r="V581" s="35"/>
      <c r="W581" s="35"/>
      <c r="X581" s="35"/>
      <c r="Y581" s="35"/>
      <c r="Z581" s="35"/>
    </row>
    <row r="582" ht="12.75" customHeight="1">
      <c r="A582" s="35"/>
      <c r="B582" s="35"/>
      <c r="C582" s="35"/>
      <c r="D582" s="35"/>
      <c r="E582" s="35"/>
      <c r="F582" s="35"/>
      <c r="G582" s="35"/>
      <c r="H582" s="35"/>
      <c r="I582" s="35"/>
      <c r="J582" s="35"/>
      <c r="K582" s="35"/>
      <c r="L582" s="35"/>
      <c r="M582" s="35"/>
      <c r="N582" s="35"/>
      <c r="O582" s="35"/>
      <c r="P582" s="35"/>
      <c r="Q582" s="35"/>
      <c r="R582" s="35"/>
      <c r="S582" s="35"/>
      <c r="T582" s="35"/>
      <c r="U582" s="35"/>
      <c r="V582" s="35"/>
      <c r="W582" s="35"/>
      <c r="X582" s="35"/>
      <c r="Y582" s="35"/>
      <c r="Z582" s="35"/>
    </row>
    <row r="583" ht="12.75" customHeight="1">
      <c r="A583" s="35"/>
      <c r="B583" s="35"/>
      <c r="C583" s="35"/>
      <c r="D583" s="35"/>
      <c r="E583" s="35"/>
      <c r="F583" s="35"/>
      <c r="G583" s="35"/>
      <c r="H583" s="35"/>
      <c r="I583" s="35"/>
      <c r="J583" s="35"/>
      <c r="K583" s="35"/>
      <c r="L583" s="35"/>
      <c r="M583" s="35"/>
      <c r="N583" s="35"/>
      <c r="O583" s="35"/>
      <c r="P583" s="35"/>
      <c r="Q583" s="35"/>
      <c r="R583" s="35"/>
      <c r="S583" s="35"/>
      <c r="T583" s="35"/>
      <c r="U583" s="35"/>
      <c r="V583" s="35"/>
      <c r="W583" s="35"/>
      <c r="X583" s="35"/>
      <c r="Y583" s="35"/>
      <c r="Z583" s="35"/>
    </row>
    <row r="584" ht="12.75" customHeight="1">
      <c r="A584" s="35"/>
      <c r="B584" s="35"/>
      <c r="C584" s="35"/>
      <c r="D584" s="35"/>
      <c r="E584" s="35"/>
      <c r="F584" s="35"/>
      <c r="G584" s="35"/>
      <c r="H584" s="35"/>
      <c r="I584" s="35"/>
      <c r="J584" s="35"/>
      <c r="K584" s="35"/>
      <c r="L584" s="35"/>
      <c r="M584" s="35"/>
      <c r="N584" s="35"/>
      <c r="O584" s="35"/>
      <c r="P584" s="35"/>
      <c r="Q584" s="35"/>
      <c r="R584" s="35"/>
      <c r="S584" s="35"/>
      <c r="T584" s="35"/>
      <c r="U584" s="35"/>
      <c r="V584" s="35"/>
      <c r="W584" s="35"/>
      <c r="X584" s="35"/>
      <c r="Y584" s="35"/>
      <c r="Z584" s="35"/>
    </row>
    <row r="585" ht="12.75" customHeight="1">
      <c r="A585" s="35"/>
      <c r="B585" s="35"/>
      <c r="C585" s="35"/>
      <c r="D585" s="35"/>
      <c r="E585" s="35"/>
      <c r="F585" s="35"/>
      <c r="G585" s="35"/>
      <c r="H585" s="35"/>
      <c r="I585" s="35"/>
      <c r="J585" s="35"/>
      <c r="K585" s="35"/>
      <c r="L585" s="35"/>
      <c r="M585" s="35"/>
      <c r="N585" s="35"/>
      <c r="O585" s="35"/>
      <c r="P585" s="35"/>
      <c r="Q585" s="35"/>
      <c r="R585" s="35"/>
      <c r="S585" s="35"/>
      <c r="T585" s="35"/>
      <c r="U585" s="35"/>
      <c r="V585" s="35"/>
      <c r="W585" s="35"/>
      <c r="X585" s="35"/>
      <c r="Y585" s="35"/>
      <c r="Z585" s="35"/>
    </row>
    <row r="586" ht="12.75" customHeight="1">
      <c r="A586" s="35"/>
      <c r="B586" s="35"/>
      <c r="C586" s="35"/>
      <c r="D586" s="35"/>
      <c r="E586" s="35"/>
      <c r="F586" s="35"/>
      <c r="G586" s="35"/>
      <c r="H586" s="35"/>
      <c r="I586" s="35"/>
      <c r="J586" s="35"/>
      <c r="K586" s="35"/>
      <c r="L586" s="35"/>
      <c r="M586" s="35"/>
      <c r="N586" s="35"/>
      <c r="O586" s="35"/>
      <c r="P586" s="35"/>
      <c r="Q586" s="35"/>
      <c r="R586" s="35"/>
      <c r="S586" s="35"/>
      <c r="T586" s="35"/>
      <c r="U586" s="35"/>
      <c r="V586" s="35"/>
      <c r="W586" s="35"/>
      <c r="X586" s="35"/>
      <c r="Y586" s="35"/>
      <c r="Z586" s="35"/>
    </row>
    <row r="587" ht="12.75" customHeight="1">
      <c r="A587" s="35"/>
      <c r="B587" s="35"/>
      <c r="C587" s="35"/>
      <c r="D587" s="35"/>
      <c r="E587" s="35"/>
      <c r="F587" s="35"/>
      <c r="G587" s="35"/>
      <c r="H587" s="35"/>
      <c r="I587" s="35"/>
      <c r="J587" s="35"/>
      <c r="K587" s="35"/>
      <c r="L587" s="35"/>
      <c r="M587" s="35"/>
      <c r="N587" s="35"/>
      <c r="O587" s="35"/>
      <c r="P587" s="35"/>
      <c r="Q587" s="35"/>
      <c r="R587" s="35"/>
      <c r="S587" s="35"/>
      <c r="T587" s="35"/>
      <c r="U587" s="35"/>
      <c r="V587" s="35"/>
      <c r="W587" s="35"/>
      <c r="X587" s="35"/>
      <c r="Y587" s="35"/>
      <c r="Z587" s="35"/>
    </row>
    <row r="588" ht="12.75" customHeight="1">
      <c r="A588" s="35"/>
      <c r="B588" s="35"/>
      <c r="C588" s="35"/>
      <c r="D588" s="35"/>
      <c r="E588" s="35"/>
      <c r="F588" s="35"/>
      <c r="G588" s="35"/>
      <c r="H588" s="35"/>
      <c r="I588" s="35"/>
      <c r="J588" s="35"/>
      <c r="K588" s="35"/>
      <c r="L588" s="35"/>
      <c r="M588" s="35"/>
      <c r="N588" s="35"/>
      <c r="O588" s="35"/>
      <c r="P588" s="35"/>
      <c r="Q588" s="35"/>
      <c r="R588" s="35"/>
      <c r="S588" s="35"/>
      <c r="T588" s="35"/>
      <c r="U588" s="35"/>
      <c r="V588" s="35"/>
      <c r="W588" s="35"/>
      <c r="X588" s="35"/>
      <c r="Y588" s="35"/>
      <c r="Z588" s="35"/>
    </row>
    <row r="589" ht="12.75" customHeight="1">
      <c r="A589" s="35"/>
      <c r="B589" s="35"/>
      <c r="C589" s="35"/>
      <c r="D589" s="35"/>
      <c r="E589" s="35"/>
      <c r="F589" s="35"/>
      <c r="G589" s="35"/>
      <c r="H589" s="35"/>
      <c r="I589" s="35"/>
      <c r="J589" s="35"/>
      <c r="K589" s="35"/>
      <c r="L589" s="35"/>
      <c r="M589" s="35"/>
      <c r="N589" s="35"/>
      <c r="O589" s="35"/>
      <c r="P589" s="35"/>
      <c r="Q589" s="35"/>
      <c r="R589" s="35"/>
      <c r="S589" s="35"/>
      <c r="T589" s="35"/>
      <c r="U589" s="35"/>
      <c r="V589" s="35"/>
      <c r="W589" s="35"/>
      <c r="X589" s="35"/>
      <c r="Y589" s="35"/>
      <c r="Z589" s="35"/>
    </row>
    <row r="590" ht="12.75" customHeight="1">
      <c r="A590" s="35"/>
      <c r="B590" s="35"/>
      <c r="C590" s="35"/>
      <c r="D590" s="35"/>
      <c r="E590" s="35"/>
      <c r="F590" s="35"/>
      <c r="G590" s="35"/>
      <c r="H590" s="35"/>
      <c r="I590" s="35"/>
      <c r="J590" s="35"/>
      <c r="K590" s="35"/>
      <c r="L590" s="35"/>
      <c r="M590" s="35"/>
      <c r="N590" s="35"/>
      <c r="O590" s="35"/>
      <c r="P590" s="35"/>
      <c r="Q590" s="35"/>
      <c r="R590" s="35"/>
      <c r="S590" s="35"/>
      <c r="T590" s="35"/>
      <c r="U590" s="35"/>
      <c r="V590" s="35"/>
      <c r="W590" s="35"/>
      <c r="X590" s="35"/>
      <c r="Y590" s="35"/>
      <c r="Z590" s="35"/>
    </row>
    <row r="591" ht="12.75" customHeight="1">
      <c r="A591" s="35"/>
      <c r="B591" s="35"/>
      <c r="C591" s="35"/>
      <c r="D591" s="35"/>
      <c r="E591" s="35"/>
      <c r="F591" s="35"/>
      <c r="G591" s="35"/>
      <c r="H591" s="35"/>
      <c r="I591" s="35"/>
      <c r="J591" s="35"/>
      <c r="K591" s="35"/>
      <c r="L591" s="35"/>
      <c r="M591" s="35"/>
      <c r="N591" s="35"/>
      <c r="O591" s="35"/>
      <c r="P591" s="35"/>
      <c r="Q591" s="35"/>
      <c r="R591" s="35"/>
      <c r="S591" s="35"/>
      <c r="T591" s="35"/>
      <c r="U591" s="35"/>
      <c r="V591" s="35"/>
      <c r="W591" s="35"/>
      <c r="X591" s="35"/>
      <c r="Y591" s="35"/>
      <c r="Z591" s="35"/>
    </row>
    <row r="592" ht="12.75" customHeight="1">
      <c r="A592" s="35"/>
      <c r="B592" s="35"/>
      <c r="C592" s="35"/>
      <c r="D592" s="35"/>
      <c r="E592" s="35"/>
      <c r="F592" s="35"/>
      <c r="G592" s="35"/>
      <c r="H592" s="35"/>
      <c r="I592" s="35"/>
      <c r="J592" s="35"/>
      <c r="K592" s="35"/>
      <c r="L592" s="35"/>
      <c r="M592" s="35"/>
      <c r="N592" s="35"/>
      <c r="O592" s="35"/>
      <c r="P592" s="35"/>
      <c r="Q592" s="35"/>
      <c r="R592" s="35"/>
      <c r="S592" s="35"/>
      <c r="T592" s="35"/>
      <c r="U592" s="35"/>
      <c r="V592" s="35"/>
      <c r="W592" s="35"/>
      <c r="X592" s="35"/>
      <c r="Y592" s="35"/>
      <c r="Z592" s="35"/>
    </row>
    <row r="593" ht="12.75" customHeight="1">
      <c r="A593" s="35"/>
      <c r="B593" s="35"/>
      <c r="C593" s="35"/>
      <c r="D593" s="35"/>
      <c r="E593" s="35"/>
      <c r="F593" s="35"/>
      <c r="G593" s="35"/>
      <c r="H593" s="35"/>
      <c r="I593" s="35"/>
      <c r="J593" s="35"/>
      <c r="K593" s="35"/>
      <c r="L593" s="35"/>
      <c r="M593" s="35"/>
      <c r="N593" s="35"/>
      <c r="O593" s="35"/>
      <c r="P593" s="35"/>
      <c r="Q593" s="35"/>
      <c r="R593" s="35"/>
      <c r="S593" s="35"/>
      <c r="T593" s="35"/>
      <c r="U593" s="35"/>
      <c r="V593" s="35"/>
      <c r="W593" s="35"/>
      <c r="X593" s="35"/>
      <c r="Y593" s="35"/>
      <c r="Z593" s="35"/>
    </row>
    <row r="594" ht="12.75" customHeight="1">
      <c r="A594" s="35"/>
      <c r="B594" s="35"/>
      <c r="C594" s="35"/>
      <c r="D594" s="35"/>
      <c r="E594" s="35"/>
      <c r="F594" s="35"/>
      <c r="G594" s="35"/>
      <c r="H594" s="35"/>
      <c r="I594" s="35"/>
      <c r="J594" s="35"/>
      <c r="K594" s="35"/>
      <c r="L594" s="35"/>
      <c r="M594" s="35"/>
      <c r="N594" s="35"/>
      <c r="O594" s="35"/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5"/>
    </row>
    <row r="595" ht="12.75" customHeight="1">
      <c r="A595" s="35"/>
      <c r="B595" s="35"/>
      <c r="C595" s="35"/>
      <c r="D595" s="35"/>
      <c r="E595" s="35"/>
      <c r="F595" s="35"/>
      <c r="G595" s="35"/>
      <c r="H595" s="35"/>
      <c r="I595" s="35"/>
      <c r="J595" s="35"/>
      <c r="K595" s="35"/>
      <c r="L595" s="35"/>
      <c r="M595" s="35"/>
      <c r="N595" s="35"/>
      <c r="O595" s="35"/>
      <c r="P595" s="35"/>
      <c r="Q595" s="35"/>
      <c r="R595" s="35"/>
      <c r="S595" s="35"/>
      <c r="T595" s="35"/>
      <c r="U595" s="35"/>
      <c r="V595" s="35"/>
      <c r="W595" s="35"/>
      <c r="X595" s="35"/>
      <c r="Y595" s="35"/>
      <c r="Z595" s="35"/>
    </row>
    <row r="596" ht="12.75" customHeight="1">
      <c r="A596" s="35"/>
      <c r="B596" s="35"/>
      <c r="C596" s="35"/>
      <c r="D596" s="35"/>
      <c r="E596" s="35"/>
      <c r="F596" s="35"/>
      <c r="G596" s="35"/>
      <c r="H596" s="35"/>
      <c r="I596" s="35"/>
      <c r="J596" s="35"/>
      <c r="K596" s="35"/>
      <c r="L596" s="35"/>
      <c r="M596" s="35"/>
      <c r="N596" s="35"/>
      <c r="O596" s="35"/>
      <c r="P596" s="35"/>
      <c r="Q596" s="35"/>
      <c r="R596" s="35"/>
      <c r="S596" s="35"/>
      <c r="T596" s="35"/>
      <c r="U596" s="35"/>
      <c r="V596" s="35"/>
      <c r="W596" s="35"/>
      <c r="X596" s="35"/>
      <c r="Y596" s="35"/>
      <c r="Z596" s="35"/>
    </row>
    <row r="597" ht="12.75" customHeight="1">
      <c r="A597" s="35"/>
      <c r="B597" s="35"/>
      <c r="C597" s="35"/>
      <c r="D597" s="35"/>
      <c r="E597" s="35"/>
      <c r="F597" s="35"/>
      <c r="G597" s="35"/>
      <c r="H597" s="35"/>
      <c r="I597" s="35"/>
      <c r="J597" s="35"/>
      <c r="K597" s="35"/>
      <c r="L597" s="35"/>
      <c r="M597" s="35"/>
      <c r="N597" s="35"/>
      <c r="O597" s="35"/>
      <c r="P597" s="35"/>
      <c r="Q597" s="35"/>
      <c r="R597" s="35"/>
      <c r="S597" s="35"/>
      <c r="T597" s="35"/>
      <c r="U597" s="35"/>
      <c r="V597" s="35"/>
      <c r="W597" s="35"/>
      <c r="X597" s="35"/>
      <c r="Y597" s="35"/>
      <c r="Z597" s="35"/>
    </row>
    <row r="598" ht="12.75" customHeight="1">
      <c r="A598" s="35"/>
      <c r="B598" s="35"/>
      <c r="C598" s="35"/>
      <c r="D598" s="35"/>
      <c r="E598" s="35"/>
      <c r="F598" s="35"/>
      <c r="G598" s="35"/>
      <c r="H598" s="35"/>
      <c r="I598" s="35"/>
      <c r="J598" s="35"/>
      <c r="K598" s="35"/>
      <c r="L598" s="35"/>
      <c r="M598" s="35"/>
      <c r="N598" s="35"/>
      <c r="O598" s="35"/>
      <c r="P598" s="35"/>
      <c r="Q598" s="35"/>
      <c r="R598" s="35"/>
      <c r="S598" s="35"/>
      <c r="T598" s="35"/>
      <c r="U598" s="35"/>
      <c r="V598" s="35"/>
      <c r="W598" s="35"/>
      <c r="X598" s="35"/>
      <c r="Y598" s="35"/>
      <c r="Z598" s="35"/>
    </row>
    <row r="599" ht="12.75" customHeight="1">
      <c r="A599" s="35"/>
      <c r="B599" s="35"/>
      <c r="C599" s="35"/>
      <c r="D599" s="35"/>
      <c r="E599" s="35"/>
      <c r="F599" s="35"/>
      <c r="G599" s="35"/>
      <c r="H599" s="35"/>
      <c r="I599" s="35"/>
      <c r="J599" s="35"/>
      <c r="K599" s="35"/>
      <c r="L599" s="35"/>
      <c r="M599" s="35"/>
      <c r="N599" s="35"/>
      <c r="O599" s="35"/>
      <c r="P599" s="35"/>
      <c r="Q599" s="35"/>
      <c r="R599" s="35"/>
      <c r="S599" s="35"/>
      <c r="T599" s="35"/>
      <c r="U599" s="35"/>
      <c r="V599" s="35"/>
      <c r="W599" s="35"/>
      <c r="X599" s="35"/>
      <c r="Y599" s="35"/>
      <c r="Z599" s="35"/>
    </row>
    <row r="600" ht="12.75" customHeight="1">
      <c r="A600" s="35"/>
      <c r="B600" s="35"/>
      <c r="C600" s="35"/>
      <c r="D600" s="35"/>
      <c r="E600" s="35"/>
      <c r="F600" s="35"/>
      <c r="G600" s="35"/>
      <c r="H600" s="35"/>
      <c r="I600" s="35"/>
      <c r="J600" s="35"/>
      <c r="K600" s="35"/>
      <c r="L600" s="35"/>
      <c r="M600" s="35"/>
      <c r="N600" s="35"/>
      <c r="O600" s="35"/>
      <c r="P600" s="35"/>
      <c r="Q600" s="35"/>
      <c r="R600" s="35"/>
      <c r="S600" s="35"/>
      <c r="T600" s="35"/>
      <c r="U600" s="35"/>
      <c r="V600" s="35"/>
      <c r="W600" s="35"/>
      <c r="X600" s="35"/>
      <c r="Y600" s="35"/>
      <c r="Z600" s="35"/>
    </row>
    <row r="601" ht="12.75" customHeight="1">
      <c r="A601" s="35"/>
      <c r="B601" s="35"/>
      <c r="C601" s="35"/>
      <c r="D601" s="35"/>
      <c r="E601" s="35"/>
      <c r="F601" s="35"/>
      <c r="G601" s="35"/>
      <c r="H601" s="35"/>
      <c r="I601" s="35"/>
      <c r="J601" s="35"/>
      <c r="K601" s="35"/>
      <c r="L601" s="35"/>
      <c r="M601" s="35"/>
      <c r="N601" s="35"/>
      <c r="O601" s="35"/>
      <c r="P601" s="35"/>
      <c r="Q601" s="35"/>
      <c r="R601" s="35"/>
      <c r="S601" s="35"/>
      <c r="T601" s="35"/>
      <c r="U601" s="35"/>
      <c r="V601" s="35"/>
      <c r="W601" s="35"/>
      <c r="X601" s="35"/>
      <c r="Y601" s="35"/>
      <c r="Z601" s="35"/>
    </row>
    <row r="602" ht="12.75" customHeight="1">
      <c r="A602" s="35"/>
      <c r="B602" s="35"/>
      <c r="C602" s="35"/>
      <c r="D602" s="35"/>
      <c r="E602" s="35"/>
      <c r="F602" s="35"/>
      <c r="G602" s="35"/>
      <c r="H602" s="35"/>
      <c r="I602" s="35"/>
      <c r="J602" s="35"/>
      <c r="K602" s="35"/>
      <c r="L602" s="35"/>
      <c r="M602" s="35"/>
      <c r="N602" s="35"/>
      <c r="O602" s="35"/>
      <c r="P602" s="35"/>
      <c r="Q602" s="35"/>
      <c r="R602" s="35"/>
      <c r="S602" s="35"/>
      <c r="T602" s="35"/>
      <c r="U602" s="35"/>
      <c r="V602" s="35"/>
      <c r="W602" s="35"/>
      <c r="X602" s="35"/>
      <c r="Y602" s="35"/>
      <c r="Z602" s="35"/>
    </row>
    <row r="603" ht="12.75" customHeight="1">
      <c r="A603" s="35"/>
      <c r="B603" s="35"/>
      <c r="C603" s="35"/>
      <c r="D603" s="35"/>
      <c r="E603" s="35"/>
      <c r="F603" s="35"/>
      <c r="G603" s="35"/>
      <c r="H603" s="35"/>
      <c r="I603" s="35"/>
      <c r="J603" s="35"/>
      <c r="K603" s="35"/>
      <c r="L603" s="35"/>
      <c r="M603" s="35"/>
      <c r="N603" s="35"/>
      <c r="O603" s="35"/>
      <c r="P603" s="35"/>
      <c r="Q603" s="35"/>
      <c r="R603" s="35"/>
      <c r="S603" s="35"/>
      <c r="T603" s="35"/>
      <c r="U603" s="35"/>
      <c r="V603" s="35"/>
      <c r="W603" s="35"/>
      <c r="X603" s="35"/>
      <c r="Y603" s="35"/>
      <c r="Z603" s="35"/>
    </row>
    <row r="604" ht="12.75" customHeight="1">
      <c r="A604" s="35"/>
      <c r="B604" s="35"/>
      <c r="C604" s="35"/>
      <c r="D604" s="35"/>
      <c r="E604" s="35"/>
      <c r="F604" s="35"/>
      <c r="G604" s="35"/>
      <c r="H604" s="35"/>
      <c r="I604" s="35"/>
      <c r="J604" s="35"/>
      <c r="K604" s="35"/>
      <c r="L604" s="35"/>
      <c r="M604" s="35"/>
      <c r="N604" s="35"/>
      <c r="O604" s="35"/>
      <c r="P604" s="35"/>
      <c r="Q604" s="35"/>
      <c r="R604" s="35"/>
      <c r="S604" s="35"/>
      <c r="T604" s="35"/>
      <c r="U604" s="35"/>
      <c r="V604" s="35"/>
      <c r="W604" s="35"/>
      <c r="X604" s="35"/>
      <c r="Y604" s="35"/>
      <c r="Z604" s="35"/>
    </row>
    <row r="605" ht="12.75" customHeight="1">
      <c r="A605" s="35"/>
      <c r="B605" s="35"/>
      <c r="C605" s="35"/>
      <c r="D605" s="35"/>
      <c r="E605" s="35"/>
      <c r="F605" s="35"/>
      <c r="G605" s="35"/>
      <c r="H605" s="35"/>
      <c r="I605" s="35"/>
      <c r="J605" s="35"/>
      <c r="K605" s="35"/>
      <c r="L605" s="35"/>
      <c r="M605" s="35"/>
      <c r="N605" s="35"/>
      <c r="O605" s="35"/>
      <c r="P605" s="35"/>
      <c r="Q605" s="35"/>
      <c r="R605" s="35"/>
      <c r="S605" s="35"/>
      <c r="T605" s="35"/>
      <c r="U605" s="35"/>
      <c r="V605" s="35"/>
      <c r="W605" s="35"/>
      <c r="X605" s="35"/>
      <c r="Y605" s="35"/>
      <c r="Z605" s="35"/>
    </row>
    <row r="606" ht="12.75" customHeight="1">
      <c r="A606" s="35"/>
      <c r="B606" s="35"/>
      <c r="C606" s="35"/>
      <c r="D606" s="35"/>
      <c r="E606" s="35"/>
      <c r="F606" s="35"/>
      <c r="G606" s="35"/>
      <c r="H606" s="35"/>
      <c r="I606" s="35"/>
      <c r="J606" s="35"/>
      <c r="K606" s="35"/>
      <c r="L606" s="35"/>
      <c r="M606" s="35"/>
      <c r="N606" s="35"/>
      <c r="O606" s="35"/>
      <c r="P606" s="35"/>
      <c r="Q606" s="35"/>
      <c r="R606" s="35"/>
      <c r="S606" s="35"/>
      <c r="T606" s="35"/>
      <c r="U606" s="35"/>
      <c r="V606" s="35"/>
      <c r="W606" s="35"/>
      <c r="X606" s="35"/>
      <c r="Y606" s="35"/>
      <c r="Z606" s="35"/>
    </row>
    <row r="607" ht="12.75" customHeight="1">
      <c r="A607" s="35"/>
      <c r="B607" s="35"/>
      <c r="C607" s="35"/>
      <c r="D607" s="35"/>
      <c r="E607" s="35"/>
      <c r="F607" s="35"/>
      <c r="G607" s="35"/>
      <c r="H607" s="35"/>
      <c r="I607" s="35"/>
      <c r="J607" s="35"/>
      <c r="K607" s="35"/>
      <c r="L607" s="35"/>
      <c r="M607" s="35"/>
      <c r="N607" s="35"/>
      <c r="O607" s="35"/>
      <c r="P607" s="35"/>
      <c r="Q607" s="35"/>
      <c r="R607" s="35"/>
      <c r="S607" s="35"/>
      <c r="T607" s="35"/>
      <c r="U607" s="35"/>
      <c r="V607" s="35"/>
      <c r="W607" s="35"/>
      <c r="X607" s="35"/>
      <c r="Y607" s="35"/>
      <c r="Z607" s="35"/>
    </row>
    <row r="608" ht="12.75" customHeight="1">
      <c r="A608" s="35"/>
      <c r="B608" s="35"/>
      <c r="C608" s="35"/>
      <c r="D608" s="35"/>
      <c r="E608" s="35"/>
      <c r="F608" s="35"/>
      <c r="G608" s="35"/>
      <c r="H608" s="35"/>
      <c r="I608" s="35"/>
      <c r="J608" s="35"/>
      <c r="K608" s="35"/>
      <c r="L608" s="35"/>
      <c r="M608" s="35"/>
      <c r="N608" s="35"/>
      <c r="O608" s="35"/>
      <c r="P608" s="35"/>
      <c r="Q608" s="35"/>
      <c r="R608" s="35"/>
      <c r="S608" s="35"/>
      <c r="T608" s="35"/>
      <c r="U608" s="35"/>
      <c r="V608" s="35"/>
      <c r="W608" s="35"/>
      <c r="X608" s="35"/>
      <c r="Y608" s="35"/>
      <c r="Z608" s="35"/>
    </row>
    <row r="609" ht="12.75" customHeight="1">
      <c r="A609" s="35"/>
      <c r="B609" s="35"/>
      <c r="C609" s="35"/>
      <c r="D609" s="35"/>
      <c r="E609" s="35"/>
      <c r="F609" s="35"/>
      <c r="G609" s="35"/>
      <c r="H609" s="35"/>
      <c r="I609" s="35"/>
      <c r="J609" s="35"/>
      <c r="K609" s="35"/>
      <c r="L609" s="35"/>
      <c r="M609" s="35"/>
      <c r="N609" s="35"/>
      <c r="O609" s="35"/>
      <c r="P609" s="35"/>
      <c r="Q609" s="35"/>
      <c r="R609" s="35"/>
      <c r="S609" s="35"/>
      <c r="T609" s="35"/>
      <c r="U609" s="35"/>
      <c r="V609" s="35"/>
      <c r="W609" s="35"/>
      <c r="X609" s="35"/>
      <c r="Y609" s="35"/>
      <c r="Z609" s="35"/>
    </row>
    <row r="610" ht="12.75" customHeight="1">
      <c r="A610" s="35"/>
      <c r="B610" s="35"/>
      <c r="C610" s="35"/>
      <c r="D610" s="35"/>
      <c r="E610" s="35"/>
      <c r="F610" s="35"/>
      <c r="G610" s="35"/>
      <c r="H610" s="35"/>
      <c r="I610" s="35"/>
      <c r="J610" s="35"/>
      <c r="K610" s="35"/>
      <c r="L610" s="35"/>
      <c r="M610" s="35"/>
      <c r="N610" s="35"/>
      <c r="O610" s="35"/>
      <c r="P610" s="35"/>
      <c r="Q610" s="35"/>
      <c r="R610" s="35"/>
      <c r="S610" s="35"/>
      <c r="T610" s="35"/>
      <c r="U610" s="35"/>
      <c r="V610" s="35"/>
      <c r="W610" s="35"/>
      <c r="X610" s="35"/>
      <c r="Y610" s="35"/>
      <c r="Z610" s="35"/>
    </row>
    <row r="611" ht="12.75" customHeight="1">
      <c r="A611" s="35"/>
      <c r="B611" s="35"/>
      <c r="C611" s="35"/>
      <c r="D611" s="35"/>
      <c r="E611" s="35"/>
      <c r="F611" s="35"/>
      <c r="G611" s="35"/>
      <c r="H611" s="35"/>
      <c r="I611" s="35"/>
      <c r="J611" s="35"/>
      <c r="K611" s="35"/>
      <c r="L611" s="35"/>
      <c r="M611" s="35"/>
      <c r="N611" s="35"/>
      <c r="O611" s="35"/>
      <c r="P611" s="35"/>
      <c r="Q611" s="35"/>
      <c r="R611" s="35"/>
      <c r="S611" s="35"/>
      <c r="T611" s="35"/>
      <c r="U611" s="35"/>
      <c r="V611" s="35"/>
      <c r="W611" s="35"/>
      <c r="X611" s="35"/>
      <c r="Y611" s="35"/>
      <c r="Z611" s="35"/>
    </row>
    <row r="612" ht="12.75" customHeight="1">
      <c r="A612" s="35"/>
      <c r="B612" s="35"/>
      <c r="C612" s="35"/>
      <c r="D612" s="35"/>
      <c r="E612" s="35"/>
      <c r="F612" s="35"/>
      <c r="G612" s="35"/>
      <c r="H612" s="35"/>
      <c r="I612" s="35"/>
      <c r="J612" s="35"/>
      <c r="K612" s="35"/>
      <c r="L612" s="35"/>
      <c r="M612" s="35"/>
      <c r="N612" s="35"/>
      <c r="O612" s="35"/>
      <c r="P612" s="35"/>
      <c r="Q612" s="35"/>
      <c r="R612" s="35"/>
      <c r="S612" s="35"/>
      <c r="T612" s="35"/>
      <c r="U612" s="35"/>
      <c r="V612" s="35"/>
      <c r="W612" s="35"/>
      <c r="X612" s="35"/>
      <c r="Y612" s="35"/>
      <c r="Z612" s="35"/>
    </row>
    <row r="613" ht="12.75" customHeight="1">
      <c r="A613" s="35"/>
      <c r="B613" s="35"/>
      <c r="C613" s="35"/>
      <c r="D613" s="35"/>
      <c r="E613" s="35"/>
      <c r="F613" s="35"/>
      <c r="G613" s="35"/>
      <c r="H613" s="35"/>
      <c r="I613" s="35"/>
      <c r="J613" s="35"/>
      <c r="K613" s="35"/>
      <c r="L613" s="35"/>
      <c r="M613" s="35"/>
      <c r="N613" s="35"/>
      <c r="O613" s="35"/>
      <c r="P613" s="35"/>
      <c r="Q613" s="35"/>
      <c r="R613" s="35"/>
      <c r="S613" s="35"/>
      <c r="T613" s="35"/>
      <c r="U613" s="35"/>
      <c r="V613" s="35"/>
      <c r="W613" s="35"/>
      <c r="X613" s="35"/>
      <c r="Y613" s="35"/>
      <c r="Z613" s="35"/>
    </row>
    <row r="614" ht="12.75" customHeight="1">
      <c r="A614" s="35"/>
      <c r="B614" s="35"/>
      <c r="C614" s="35"/>
      <c r="D614" s="35"/>
      <c r="E614" s="35"/>
      <c r="F614" s="35"/>
      <c r="G614" s="35"/>
      <c r="H614" s="35"/>
      <c r="I614" s="35"/>
      <c r="J614" s="35"/>
      <c r="K614" s="35"/>
      <c r="L614" s="35"/>
      <c r="M614" s="35"/>
      <c r="N614" s="35"/>
      <c r="O614" s="35"/>
      <c r="P614" s="35"/>
      <c r="Q614" s="35"/>
      <c r="R614" s="35"/>
      <c r="S614" s="35"/>
      <c r="T614" s="35"/>
      <c r="U614" s="35"/>
      <c r="V614" s="35"/>
      <c r="W614" s="35"/>
      <c r="X614" s="35"/>
      <c r="Y614" s="35"/>
      <c r="Z614" s="35"/>
    </row>
    <row r="615" ht="12.75" customHeight="1">
      <c r="A615" s="35"/>
      <c r="B615" s="35"/>
      <c r="C615" s="35"/>
      <c r="D615" s="35"/>
      <c r="E615" s="35"/>
      <c r="F615" s="35"/>
      <c r="G615" s="35"/>
      <c r="H615" s="35"/>
      <c r="I615" s="35"/>
      <c r="J615" s="35"/>
      <c r="K615" s="35"/>
      <c r="L615" s="35"/>
      <c r="M615" s="35"/>
      <c r="N615" s="35"/>
      <c r="O615" s="35"/>
      <c r="P615" s="35"/>
      <c r="Q615" s="35"/>
      <c r="R615" s="35"/>
      <c r="S615" s="35"/>
      <c r="T615" s="35"/>
      <c r="U615" s="35"/>
      <c r="V615" s="35"/>
      <c r="W615" s="35"/>
      <c r="X615" s="35"/>
      <c r="Y615" s="35"/>
      <c r="Z615" s="35"/>
    </row>
    <row r="616" ht="12.75" customHeight="1">
      <c r="A616" s="35"/>
      <c r="B616" s="35"/>
      <c r="C616" s="35"/>
      <c r="D616" s="35"/>
      <c r="E616" s="35"/>
      <c r="F616" s="35"/>
      <c r="G616" s="35"/>
      <c r="H616" s="35"/>
      <c r="I616" s="35"/>
      <c r="J616" s="35"/>
      <c r="K616" s="35"/>
      <c r="L616" s="35"/>
      <c r="M616" s="35"/>
      <c r="N616" s="35"/>
      <c r="O616" s="35"/>
      <c r="P616" s="35"/>
      <c r="Q616" s="35"/>
      <c r="R616" s="35"/>
      <c r="S616" s="35"/>
      <c r="T616" s="35"/>
      <c r="U616" s="35"/>
      <c r="V616" s="35"/>
      <c r="W616" s="35"/>
      <c r="X616" s="35"/>
      <c r="Y616" s="35"/>
      <c r="Z616" s="35"/>
    </row>
    <row r="617" ht="12.75" customHeight="1">
      <c r="A617" s="35"/>
      <c r="B617" s="35"/>
      <c r="C617" s="35"/>
      <c r="D617" s="35"/>
      <c r="E617" s="35"/>
      <c r="F617" s="35"/>
      <c r="G617" s="35"/>
      <c r="H617" s="35"/>
      <c r="I617" s="35"/>
      <c r="J617" s="35"/>
      <c r="K617" s="35"/>
      <c r="L617" s="35"/>
      <c r="M617" s="35"/>
      <c r="N617" s="35"/>
      <c r="O617" s="35"/>
      <c r="P617" s="35"/>
      <c r="Q617" s="35"/>
      <c r="R617" s="35"/>
      <c r="S617" s="35"/>
      <c r="T617" s="35"/>
      <c r="U617" s="35"/>
      <c r="V617" s="35"/>
      <c r="W617" s="35"/>
      <c r="X617" s="35"/>
      <c r="Y617" s="35"/>
      <c r="Z617" s="35"/>
    </row>
    <row r="618" ht="12.75" customHeight="1">
      <c r="A618" s="35"/>
      <c r="B618" s="35"/>
      <c r="C618" s="35"/>
      <c r="D618" s="35"/>
      <c r="E618" s="35"/>
      <c r="F618" s="35"/>
      <c r="G618" s="35"/>
      <c r="H618" s="35"/>
      <c r="I618" s="35"/>
      <c r="J618" s="35"/>
      <c r="K618" s="35"/>
      <c r="L618" s="35"/>
      <c r="M618" s="35"/>
      <c r="N618" s="35"/>
      <c r="O618" s="35"/>
      <c r="P618" s="35"/>
      <c r="Q618" s="35"/>
      <c r="R618" s="35"/>
      <c r="S618" s="35"/>
      <c r="T618" s="35"/>
      <c r="U618" s="35"/>
      <c r="V618" s="35"/>
      <c r="W618" s="35"/>
      <c r="X618" s="35"/>
      <c r="Y618" s="35"/>
      <c r="Z618" s="35"/>
    </row>
    <row r="619" ht="12.75" customHeight="1">
      <c r="A619" s="35"/>
      <c r="B619" s="35"/>
      <c r="C619" s="35"/>
      <c r="D619" s="35"/>
      <c r="E619" s="35"/>
      <c r="F619" s="35"/>
      <c r="G619" s="35"/>
      <c r="H619" s="35"/>
      <c r="I619" s="35"/>
      <c r="J619" s="35"/>
      <c r="K619" s="35"/>
      <c r="L619" s="35"/>
      <c r="M619" s="35"/>
      <c r="N619" s="35"/>
      <c r="O619" s="35"/>
      <c r="P619" s="35"/>
      <c r="Q619" s="35"/>
      <c r="R619" s="35"/>
      <c r="S619" s="35"/>
      <c r="T619" s="35"/>
      <c r="U619" s="35"/>
      <c r="V619" s="35"/>
      <c r="W619" s="35"/>
      <c r="X619" s="35"/>
      <c r="Y619" s="35"/>
      <c r="Z619" s="35"/>
    </row>
    <row r="620" ht="12.75" customHeight="1">
      <c r="A620" s="35"/>
      <c r="B620" s="35"/>
      <c r="C620" s="35"/>
      <c r="D620" s="35"/>
      <c r="E620" s="35"/>
      <c r="F620" s="35"/>
      <c r="G620" s="35"/>
      <c r="H620" s="35"/>
      <c r="I620" s="35"/>
      <c r="J620" s="35"/>
      <c r="K620" s="35"/>
      <c r="L620" s="35"/>
      <c r="M620" s="35"/>
      <c r="N620" s="35"/>
      <c r="O620" s="35"/>
      <c r="P620" s="35"/>
      <c r="Q620" s="35"/>
      <c r="R620" s="35"/>
      <c r="S620" s="35"/>
      <c r="T620" s="35"/>
      <c r="U620" s="35"/>
      <c r="V620" s="35"/>
      <c r="W620" s="35"/>
      <c r="X620" s="35"/>
      <c r="Y620" s="35"/>
      <c r="Z620" s="35"/>
    </row>
    <row r="621" ht="12.75" customHeight="1">
      <c r="A621" s="35"/>
      <c r="B621" s="35"/>
      <c r="C621" s="35"/>
      <c r="D621" s="35"/>
      <c r="E621" s="35"/>
      <c r="F621" s="35"/>
      <c r="G621" s="35"/>
      <c r="H621" s="35"/>
      <c r="I621" s="35"/>
      <c r="J621" s="35"/>
      <c r="K621" s="35"/>
      <c r="L621" s="35"/>
      <c r="M621" s="35"/>
      <c r="N621" s="35"/>
      <c r="O621" s="35"/>
      <c r="P621" s="35"/>
      <c r="Q621" s="35"/>
      <c r="R621" s="35"/>
      <c r="S621" s="35"/>
      <c r="T621" s="35"/>
      <c r="U621" s="35"/>
      <c r="V621" s="35"/>
      <c r="W621" s="35"/>
      <c r="X621" s="35"/>
      <c r="Y621" s="35"/>
      <c r="Z621" s="35"/>
    </row>
    <row r="622" ht="12.75" customHeight="1">
      <c r="A622" s="35"/>
      <c r="B622" s="35"/>
      <c r="C622" s="35"/>
      <c r="D622" s="35"/>
      <c r="E622" s="35"/>
      <c r="F622" s="35"/>
      <c r="G622" s="35"/>
      <c r="H622" s="35"/>
      <c r="I622" s="35"/>
      <c r="J622" s="35"/>
      <c r="K622" s="35"/>
      <c r="L622" s="35"/>
      <c r="M622" s="35"/>
      <c r="N622" s="35"/>
      <c r="O622" s="35"/>
      <c r="P622" s="35"/>
      <c r="Q622" s="35"/>
      <c r="R622" s="35"/>
      <c r="S622" s="35"/>
      <c r="T622" s="35"/>
      <c r="U622" s="35"/>
      <c r="V622" s="35"/>
      <c r="W622" s="35"/>
      <c r="X622" s="35"/>
      <c r="Y622" s="35"/>
      <c r="Z622" s="35"/>
    </row>
    <row r="623" ht="12.75" customHeight="1">
      <c r="A623" s="35"/>
      <c r="B623" s="35"/>
      <c r="C623" s="35"/>
      <c r="D623" s="35"/>
      <c r="E623" s="35"/>
      <c r="F623" s="35"/>
      <c r="G623" s="35"/>
      <c r="H623" s="35"/>
      <c r="I623" s="35"/>
      <c r="J623" s="35"/>
      <c r="K623" s="35"/>
      <c r="L623" s="35"/>
      <c r="M623" s="35"/>
      <c r="N623" s="35"/>
      <c r="O623" s="35"/>
      <c r="P623" s="35"/>
      <c r="Q623" s="35"/>
      <c r="R623" s="35"/>
      <c r="S623" s="35"/>
      <c r="T623" s="35"/>
      <c r="U623" s="35"/>
      <c r="V623" s="35"/>
      <c r="W623" s="35"/>
      <c r="X623" s="35"/>
      <c r="Y623" s="35"/>
      <c r="Z623" s="35"/>
    </row>
    <row r="624" ht="12.75" customHeight="1">
      <c r="A624" s="35"/>
      <c r="B624" s="35"/>
      <c r="C624" s="35"/>
      <c r="D624" s="35"/>
      <c r="E624" s="35"/>
      <c r="F624" s="35"/>
      <c r="G624" s="35"/>
      <c r="H624" s="35"/>
      <c r="I624" s="35"/>
      <c r="J624" s="35"/>
      <c r="K624" s="35"/>
      <c r="L624" s="35"/>
      <c r="M624" s="35"/>
      <c r="N624" s="35"/>
      <c r="O624" s="35"/>
      <c r="P624" s="35"/>
      <c r="Q624" s="35"/>
      <c r="R624" s="35"/>
      <c r="S624" s="35"/>
      <c r="T624" s="35"/>
      <c r="U624" s="35"/>
      <c r="V624" s="35"/>
      <c r="W624" s="35"/>
      <c r="X624" s="35"/>
      <c r="Y624" s="35"/>
      <c r="Z624" s="35"/>
    </row>
    <row r="625" ht="12.75" customHeight="1">
      <c r="A625" s="35"/>
      <c r="B625" s="35"/>
      <c r="C625" s="35"/>
      <c r="D625" s="35"/>
      <c r="E625" s="35"/>
      <c r="F625" s="35"/>
      <c r="G625" s="35"/>
      <c r="H625" s="35"/>
      <c r="I625" s="35"/>
      <c r="J625" s="35"/>
      <c r="K625" s="35"/>
      <c r="L625" s="35"/>
      <c r="M625" s="35"/>
      <c r="N625" s="35"/>
      <c r="O625" s="35"/>
      <c r="P625" s="35"/>
      <c r="Q625" s="35"/>
      <c r="R625" s="35"/>
      <c r="S625" s="35"/>
      <c r="T625" s="35"/>
      <c r="U625" s="35"/>
      <c r="V625" s="35"/>
      <c r="W625" s="35"/>
      <c r="X625" s="35"/>
      <c r="Y625" s="35"/>
      <c r="Z625" s="35"/>
    </row>
    <row r="626" ht="12.75" customHeight="1">
      <c r="A626" s="35"/>
      <c r="B626" s="35"/>
      <c r="C626" s="35"/>
      <c r="D626" s="35"/>
      <c r="E626" s="35"/>
      <c r="F626" s="35"/>
      <c r="G626" s="35"/>
      <c r="H626" s="35"/>
      <c r="I626" s="35"/>
      <c r="J626" s="35"/>
      <c r="K626" s="35"/>
      <c r="L626" s="35"/>
      <c r="M626" s="35"/>
      <c r="N626" s="35"/>
      <c r="O626" s="35"/>
      <c r="P626" s="35"/>
      <c r="Q626" s="35"/>
      <c r="R626" s="35"/>
      <c r="S626" s="35"/>
      <c r="T626" s="35"/>
      <c r="U626" s="35"/>
      <c r="V626" s="35"/>
      <c r="W626" s="35"/>
      <c r="X626" s="35"/>
      <c r="Y626" s="35"/>
      <c r="Z626" s="35"/>
    </row>
    <row r="627" ht="12.75" customHeight="1">
      <c r="A627" s="35"/>
      <c r="B627" s="35"/>
      <c r="C627" s="35"/>
      <c r="D627" s="35"/>
      <c r="E627" s="35"/>
      <c r="F627" s="35"/>
      <c r="G627" s="35"/>
      <c r="H627" s="35"/>
      <c r="I627" s="35"/>
      <c r="J627" s="35"/>
      <c r="K627" s="35"/>
      <c r="L627" s="35"/>
      <c r="M627" s="35"/>
      <c r="N627" s="35"/>
      <c r="O627" s="35"/>
      <c r="P627" s="35"/>
      <c r="Q627" s="35"/>
      <c r="R627" s="35"/>
      <c r="S627" s="35"/>
      <c r="T627" s="35"/>
      <c r="U627" s="35"/>
      <c r="V627" s="35"/>
      <c r="W627" s="35"/>
      <c r="X627" s="35"/>
      <c r="Y627" s="35"/>
      <c r="Z627" s="35"/>
    </row>
    <row r="628" ht="12.75" customHeight="1">
      <c r="A628" s="35"/>
      <c r="B628" s="35"/>
      <c r="C628" s="35"/>
      <c r="D628" s="35"/>
      <c r="E628" s="35"/>
      <c r="F628" s="35"/>
      <c r="G628" s="35"/>
      <c r="H628" s="35"/>
      <c r="I628" s="35"/>
      <c r="J628" s="35"/>
      <c r="K628" s="35"/>
      <c r="L628" s="35"/>
      <c r="M628" s="35"/>
      <c r="N628" s="35"/>
      <c r="O628" s="35"/>
      <c r="P628" s="35"/>
      <c r="Q628" s="35"/>
      <c r="R628" s="35"/>
      <c r="S628" s="35"/>
      <c r="T628" s="35"/>
      <c r="U628" s="35"/>
      <c r="V628" s="35"/>
      <c r="W628" s="35"/>
      <c r="X628" s="35"/>
      <c r="Y628" s="35"/>
      <c r="Z628" s="35"/>
    </row>
    <row r="629" ht="12.75" customHeight="1">
      <c r="A629" s="35"/>
      <c r="B629" s="35"/>
      <c r="C629" s="35"/>
      <c r="D629" s="35"/>
      <c r="E629" s="35"/>
      <c r="F629" s="35"/>
      <c r="G629" s="35"/>
      <c r="H629" s="35"/>
      <c r="I629" s="35"/>
      <c r="J629" s="35"/>
      <c r="K629" s="35"/>
      <c r="L629" s="35"/>
      <c r="M629" s="35"/>
      <c r="N629" s="35"/>
      <c r="O629" s="35"/>
      <c r="P629" s="35"/>
      <c r="Q629" s="35"/>
      <c r="R629" s="35"/>
      <c r="S629" s="35"/>
      <c r="T629" s="35"/>
      <c r="U629" s="35"/>
      <c r="V629" s="35"/>
      <c r="W629" s="35"/>
      <c r="X629" s="35"/>
      <c r="Y629" s="35"/>
      <c r="Z629" s="35"/>
    </row>
    <row r="630" ht="12.75" customHeight="1">
      <c r="A630" s="35"/>
      <c r="B630" s="35"/>
      <c r="C630" s="35"/>
      <c r="D630" s="35"/>
      <c r="E630" s="35"/>
      <c r="F630" s="35"/>
      <c r="G630" s="35"/>
      <c r="H630" s="35"/>
      <c r="I630" s="35"/>
      <c r="J630" s="35"/>
      <c r="K630" s="35"/>
      <c r="L630" s="35"/>
      <c r="M630" s="35"/>
      <c r="N630" s="35"/>
      <c r="O630" s="35"/>
      <c r="P630" s="35"/>
      <c r="Q630" s="35"/>
      <c r="R630" s="35"/>
      <c r="S630" s="35"/>
      <c r="T630" s="35"/>
      <c r="U630" s="35"/>
      <c r="V630" s="35"/>
      <c r="W630" s="35"/>
      <c r="X630" s="35"/>
      <c r="Y630" s="35"/>
      <c r="Z630" s="35"/>
    </row>
    <row r="631" ht="12.75" customHeight="1">
      <c r="A631" s="35"/>
      <c r="B631" s="35"/>
      <c r="C631" s="35"/>
      <c r="D631" s="35"/>
      <c r="E631" s="35"/>
      <c r="F631" s="35"/>
      <c r="G631" s="35"/>
      <c r="H631" s="35"/>
      <c r="I631" s="35"/>
      <c r="J631" s="35"/>
      <c r="K631" s="35"/>
      <c r="L631" s="35"/>
      <c r="M631" s="35"/>
      <c r="N631" s="35"/>
      <c r="O631" s="35"/>
      <c r="P631" s="35"/>
      <c r="Q631" s="35"/>
      <c r="R631" s="35"/>
      <c r="S631" s="35"/>
      <c r="T631" s="35"/>
      <c r="U631" s="35"/>
      <c r="V631" s="35"/>
      <c r="W631" s="35"/>
      <c r="X631" s="35"/>
      <c r="Y631" s="35"/>
      <c r="Z631" s="35"/>
    </row>
    <row r="632" ht="12.75" customHeight="1">
      <c r="A632" s="35"/>
      <c r="B632" s="35"/>
      <c r="C632" s="35"/>
      <c r="D632" s="35"/>
      <c r="E632" s="35"/>
      <c r="F632" s="35"/>
      <c r="G632" s="35"/>
      <c r="H632" s="35"/>
      <c r="I632" s="35"/>
      <c r="J632" s="35"/>
      <c r="K632" s="35"/>
      <c r="L632" s="35"/>
      <c r="M632" s="35"/>
      <c r="N632" s="35"/>
      <c r="O632" s="35"/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5"/>
    </row>
    <row r="633" ht="12.75" customHeight="1">
      <c r="A633" s="35"/>
      <c r="B633" s="35"/>
      <c r="C633" s="35"/>
      <c r="D633" s="35"/>
      <c r="E633" s="35"/>
      <c r="F633" s="35"/>
      <c r="G633" s="35"/>
      <c r="H633" s="35"/>
      <c r="I633" s="35"/>
      <c r="J633" s="35"/>
      <c r="K633" s="35"/>
      <c r="L633" s="35"/>
      <c r="M633" s="35"/>
      <c r="N633" s="35"/>
      <c r="O633" s="35"/>
      <c r="P633" s="35"/>
      <c r="Q633" s="35"/>
      <c r="R633" s="35"/>
      <c r="S633" s="35"/>
      <c r="T633" s="35"/>
      <c r="U633" s="35"/>
      <c r="V633" s="35"/>
      <c r="W633" s="35"/>
      <c r="X633" s="35"/>
      <c r="Y633" s="35"/>
      <c r="Z633" s="35"/>
    </row>
    <row r="634" ht="12.75" customHeight="1">
      <c r="A634" s="35"/>
      <c r="B634" s="35"/>
      <c r="C634" s="35"/>
      <c r="D634" s="35"/>
      <c r="E634" s="35"/>
      <c r="F634" s="35"/>
      <c r="G634" s="35"/>
      <c r="H634" s="35"/>
      <c r="I634" s="35"/>
      <c r="J634" s="35"/>
      <c r="K634" s="35"/>
      <c r="L634" s="35"/>
      <c r="M634" s="35"/>
      <c r="N634" s="35"/>
      <c r="O634" s="35"/>
      <c r="P634" s="35"/>
      <c r="Q634" s="35"/>
      <c r="R634" s="35"/>
      <c r="S634" s="35"/>
      <c r="T634" s="35"/>
      <c r="U634" s="35"/>
      <c r="V634" s="35"/>
      <c r="W634" s="35"/>
      <c r="X634" s="35"/>
      <c r="Y634" s="35"/>
      <c r="Z634" s="35"/>
    </row>
    <row r="635" ht="12.75" customHeight="1">
      <c r="A635" s="35"/>
      <c r="B635" s="35"/>
      <c r="C635" s="35"/>
      <c r="D635" s="35"/>
      <c r="E635" s="35"/>
      <c r="F635" s="35"/>
      <c r="G635" s="35"/>
      <c r="H635" s="35"/>
      <c r="I635" s="35"/>
      <c r="J635" s="35"/>
      <c r="K635" s="35"/>
      <c r="L635" s="35"/>
      <c r="M635" s="35"/>
      <c r="N635" s="35"/>
      <c r="O635" s="35"/>
      <c r="P635" s="35"/>
      <c r="Q635" s="35"/>
      <c r="R635" s="35"/>
      <c r="S635" s="35"/>
      <c r="T635" s="35"/>
      <c r="U635" s="35"/>
      <c r="V635" s="35"/>
      <c r="W635" s="35"/>
      <c r="X635" s="35"/>
      <c r="Y635" s="35"/>
      <c r="Z635" s="35"/>
    </row>
    <row r="636" ht="12.75" customHeight="1">
      <c r="A636" s="35"/>
      <c r="B636" s="35"/>
      <c r="C636" s="35"/>
      <c r="D636" s="35"/>
      <c r="E636" s="35"/>
      <c r="F636" s="35"/>
      <c r="G636" s="35"/>
      <c r="H636" s="35"/>
      <c r="I636" s="35"/>
      <c r="J636" s="35"/>
      <c r="K636" s="35"/>
      <c r="L636" s="35"/>
      <c r="M636" s="35"/>
      <c r="N636" s="35"/>
      <c r="O636" s="35"/>
      <c r="P636" s="35"/>
      <c r="Q636" s="35"/>
      <c r="R636" s="35"/>
      <c r="S636" s="35"/>
      <c r="T636" s="35"/>
      <c r="U636" s="35"/>
      <c r="V636" s="35"/>
      <c r="W636" s="35"/>
      <c r="X636" s="35"/>
      <c r="Y636" s="35"/>
      <c r="Z636" s="35"/>
    </row>
    <row r="637" ht="12.75" customHeight="1">
      <c r="A637" s="35"/>
      <c r="B637" s="35"/>
      <c r="C637" s="35"/>
      <c r="D637" s="35"/>
      <c r="E637" s="35"/>
      <c r="F637" s="35"/>
      <c r="G637" s="35"/>
      <c r="H637" s="35"/>
      <c r="I637" s="35"/>
      <c r="J637" s="35"/>
      <c r="K637" s="35"/>
      <c r="L637" s="35"/>
      <c r="M637" s="35"/>
      <c r="N637" s="35"/>
      <c r="O637" s="35"/>
      <c r="P637" s="35"/>
      <c r="Q637" s="35"/>
      <c r="R637" s="35"/>
      <c r="S637" s="35"/>
      <c r="T637" s="35"/>
      <c r="U637" s="35"/>
      <c r="V637" s="35"/>
      <c r="W637" s="35"/>
      <c r="X637" s="35"/>
      <c r="Y637" s="35"/>
      <c r="Z637" s="35"/>
    </row>
    <row r="638" ht="12.75" customHeight="1">
      <c r="A638" s="35"/>
      <c r="B638" s="35"/>
      <c r="C638" s="35"/>
      <c r="D638" s="35"/>
      <c r="E638" s="35"/>
      <c r="F638" s="35"/>
      <c r="G638" s="35"/>
      <c r="H638" s="35"/>
      <c r="I638" s="35"/>
      <c r="J638" s="35"/>
      <c r="K638" s="35"/>
      <c r="L638" s="35"/>
      <c r="M638" s="35"/>
      <c r="N638" s="35"/>
      <c r="O638" s="35"/>
      <c r="P638" s="35"/>
      <c r="Q638" s="35"/>
      <c r="R638" s="35"/>
      <c r="S638" s="35"/>
      <c r="T638" s="35"/>
      <c r="U638" s="35"/>
      <c r="V638" s="35"/>
      <c r="W638" s="35"/>
      <c r="X638" s="35"/>
      <c r="Y638" s="35"/>
      <c r="Z638" s="35"/>
    </row>
    <row r="639" ht="12.75" customHeight="1">
      <c r="A639" s="35"/>
      <c r="B639" s="35"/>
      <c r="C639" s="35"/>
      <c r="D639" s="35"/>
      <c r="E639" s="35"/>
      <c r="F639" s="35"/>
      <c r="G639" s="35"/>
      <c r="H639" s="35"/>
      <c r="I639" s="35"/>
      <c r="J639" s="35"/>
      <c r="K639" s="35"/>
      <c r="L639" s="35"/>
      <c r="M639" s="35"/>
      <c r="N639" s="35"/>
      <c r="O639" s="35"/>
      <c r="P639" s="35"/>
      <c r="Q639" s="35"/>
      <c r="R639" s="35"/>
      <c r="S639" s="35"/>
      <c r="T639" s="35"/>
      <c r="U639" s="35"/>
      <c r="V639" s="35"/>
      <c r="W639" s="35"/>
      <c r="X639" s="35"/>
      <c r="Y639" s="35"/>
      <c r="Z639" s="35"/>
    </row>
    <row r="640" ht="12.75" customHeight="1">
      <c r="A640" s="35"/>
      <c r="B640" s="35"/>
      <c r="C640" s="35"/>
      <c r="D640" s="35"/>
      <c r="E640" s="35"/>
      <c r="F640" s="35"/>
      <c r="G640" s="35"/>
      <c r="H640" s="35"/>
      <c r="I640" s="35"/>
      <c r="J640" s="35"/>
      <c r="K640" s="35"/>
      <c r="L640" s="35"/>
      <c r="M640" s="35"/>
      <c r="N640" s="35"/>
      <c r="O640" s="35"/>
      <c r="P640" s="35"/>
      <c r="Q640" s="35"/>
      <c r="R640" s="35"/>
      <c r="S640" s="35"/>
      <c r="T640" s="35"/>
      <c r="U640" s="35"/>
      <c r="V640" s="35"/>
      <c r="W640" s="35"/>
      <c r="X640" s="35"/>
      <c r="Y640" s="35"/>
      <c r="Z640" s="35"/>
    </row>
    <row r="641" ht="12.75" customHeight="1">
      <c r="A641" s="35"/>
      <c r="B641" s="35"/>
      <c r="C641" s="35"/>
      <c r="D641" s="35"/>
      <c r="E641" s="35"/>
      <c r="F641" s="35"/>
      <c r="G641" s="35"/>
      <c r="H641" s="35"/>
      <c r="I641" s="35"/>
      <c r="J641" s="35"/>
      <c r="K641" s="35"/>
      <c r="L641" s="35"/>
      <c r="M641" s="35"/>
      <c r="N641" s="35"/>
      <c r="O641" s="35"/>
      <c r="P641" s="35"/>
      <c r="Q641" s="35"/>
      <c r="R641" s="35"/>
      <c r="S641" s="35"/>
      <c r="T641" s="35"/>
      <c r="U641" s="35"/>
      <c r="V641" s="35"/>
      <c r="W641" s="35"/>
      <c r="X641" s="35"/>
      <c r="Y641" s="35"/>
      <c r="Z641" s="35"/>
    </row>
    <row r="642" ht="12.75" customHeight="1">
      <c r="A642" s="35"/>
      <c r="B642" s="35"/>
      <c r="C642" s="35"/>
      <c r="D642" s="35"/>
      <c r="E642" s="35"/>
      <c r="F642" s="35"/>
      <c r="G642" s="35"/>
      <c r="H642" s="35"/>
      <c r="I642" s="35"/>
      <c r="J642" s="35"/>
      <c r="K642" s="35"/>
      <c r="L642" s="35"/>
      <c r="M642" s="35"/>
      <c r="N642" s="35"/>
      <c r="O642" s="35"/>
      <c r="P642" s="35"/>
      <c r="Q642" s="35"/>
      <c r="R642" s="35"/>
      <c r="S642" s="35"/>
      <c r="T642" s="35"/>
      <c r="U642" s="35"/>
      <c r="V642" s="35"/>
      <c r="W642" s="35"/>
      <c r="X642" s="35"/>
      <c r="Y642" s="35"/>
      <c r="Z642" s="35"/>
    </row>
    <row r="643" ht="12.75" customHeight="1">
      <c r="A643" s="35"/>
      <c r="B643" s="35"/>
      <c r="C643" s="35"/>
      <c r="D643" s="35"/>
      <c r="E643" s="35"/>
      <c r="F643" s="35"/>
      <c r="G643" s="35"/>
      <c r="H643" s="35"/>
      <c r="I643" s="35"/>
      <c r="J643" s="35"/>
      <c r="K643" s="35"/>
      <c r="L643" s="35"/>
      <c r="M643" s="35"/>
      <c r="N643" s="35"/>
      <c r="O643" s="35"/>
      <c r="P643" s="35"/>
      <c r="Q643" s="35"/>
      <c r="R643" s="35"/>
      <c r="S643" s="35"/>
      <c r="T643" s="35"/>
      <c r="U643" s="35"/>
      <c r="V643" s="35"/>
      <c r="W643" s="35"/>
      <c r="X643" s="35"/>
      <c r="Y643" s="35"/>
      <c r="Z643" s="35"/>
    </row>
    <row r="644" ht="12.75" customHeight="1">
      <c r="A644" s="35"/>
      <c r="B644" s="35"/>
      <c r="C644" s="35"/>
      <c r="D644" s="35"/>
      <c r="E644" s="35"/>
      <c r="F644" s="35"/>
      <c r="G644" s="35"/>
      <c r="H644" s="35"/>
      <c r="I644" s="35"/>
      <c r="J644" s="35"/>
      <c r="K644" s="35"/>
      <c r="L644" s="35"/>
      <c r="M644" s="35"/>
      <c r="N644" s="35"/>
      <c r="O644" s="35"/>
      <c r="P644" s="35"/>
      <c r="Q644" s="35"/>
      <c r="R644" s="35"/>
      <c r="S644" s="35"/>
      <c r="T644" s="35"/>
      <c r="U644" s="35"/>
      <c r="V644" s="35"/>
      <c r="W644" s="35"/>
      <c r="X644" s="35"/>
      <c r="Y644" s="35"/>
      <c r="Z644" s="35"/>
    </row>
    <row r="645" ht="12.75" customHeight="1">
      <c r="A645" s="35"/>
      <c r="B645" s="35"/>
      <c r="C645" s="35"/>
      <c r="D645" s="35"/>
      <c r="E645" s="35"/>
      <c r="F645" s="35"/>
      <c r="G645" s="35"/>
      <c r="H645" s="35"/>
      <c r="I645" s="35"/>
      <c r="J645" s="35"/>
      <c r="K645" s="35"/>
      <c r="L645" s="35"/>
      <c r="M645" s="35"/>
      <c r="N645" s="35"/>
      <c r="O645" s="35"/>
      <c r="P645" s="35"/>
      <c r="Q645" s="35"/>
      <c r="R645" s="35"/>
      <c r="S645" s="35"/>
      <c r="T645" s="35"/>
      <c r="U645" s="35"/>
      <c r="V645" s="35"/>
      <c r="W645" s="35"/>
      <c r="X645" s="35"/>
      <c r="Y645" s="35"/>
      <c r="Z645" s="35"/>
    </row>
    <row r="646" ht="12.75" customHeight="1">
      <c r="A646" s="35"/>
      <c r="B646" s="35"/>
      <c r="C646" s="35"/>
      <c r="D646" s="35"/>
      <c r="E646" s="35"/>
      <c r="F646" s="35"/>
      <c r="G646" s="35"/>
      <c r="H646" s="35"/>
      <c r="I646" s="35"/>
      <c r="J646" s="35"/>
      <c r="K646" s="35"/>
      <c r="L646" s="35"/>
      <c r="M646" s="35"/>
      <c r="N646" s="35"/>
      <c r="O646" s="35"/>
      <c r="P646" s="35"/>
      <c r="Q646" s="35"/>
      <c r="R646" s="35"/>
      <c r="S646" s="35"/>
      <c r="T646" s="35"/>
      <c r="U646" s="35"/>
      <c r="V646" s="35"/>
      <c r="W646" s="35"/>
      <c r="X646" s="35"/>
      <c r="Y646" s="35"/>
      <c r="Z646" s="35"/>
    </row>
    <row r="647" ht="12.75" customHeight="1">
      <c r="A647" s="35"/>
      <c r="B647" s="35"/>
      <c r="C647" s="35"/>
      <c r="D647" s="35"/>
      <c r="E647" s="35"/>
      <c r="F647" s="35"/>
      <c r="G647" s="35"/>
      <c r="H647" s="35"/>
      <c r="I647" s="35"/>
      <c r="J647" s="35"/>
      <c r="K647" s="35"/>
      <c r="L647" s="35"/>
      <c r="M647" s="35"/>
      <c r="N647" s="35"/>
      <c r="O647" s="35"/>
      <c r="P647" s="35"/>
      <c r="Q647" s="35"/>
      <c r="R647" s="35"/>
      <c r="S647" s="35"/>
      <c r="T647" s="35"/>
      <c r="U647" s="35"/>
      <c r="V647" s="35"/>
      <c r="W647" s="35"/>
      <c r="X647" s="35"/>
      <c r="Y647" s="35"/>
      <c r="Z647" s="35"/>
    </row>
    <row r="648" ht="12.75" customHeight="1">
      <c r="A648" s="35"/>
      <c r="B648" s="35"/>
      <c r="C648" s="35"/>
      <c r="D648" s="35"/>
      <c r="E648" s="35"/>
      <c r="F648" s="35"/>
      <c r="G648" s="35"/>
      <c r="H648" s="35"/>
      <c r="I648" s="35"/>
      <c r="J648" s="35"/>
      <c r="K648" s="35"/>
      <c r="L648" s="35"/>
      <c r="M648" s="35"/>
      <c r="N648" s="35"/>
      <c r="O648" s="35"/>
      <c r="P648" s="35"/>
      <c r="Q648" s="35"/>
      <c r="R648" s="35"/>
      <c r="S648" s="35"/>
      <c r="T648" s="35"/>
      <c r="U648" s="35"/>
      <c r="V648" s="35"/>
      <c r="W648" s="35"/>
      <c r="X648" s="35"/>
      <c r="Y648" s="35"/>
      <c r="Z648" s="35"/>
    </row>
    <row r="649" ht="12.75" customHeight="1">
      <c r="A649" s="35"/>
      <c r="B649" s="35"/>
      <c r="C649" s="35"/>
      <c r="D649" s="35"/>
      <c r="E649" s="35"/>
      <c r="F649" s="35"/>
      <c r="G649" s="35"/>
      <c r="H649" s="35"/>
      <c r="I649" s="35"/>
      <c r="J649" s="35"/>
      <c r="K649" s="35"/>
      <c r="L649" s="35"/>
      <c r="M649" s="35"/>
      <c r="N649" s="35"/>
      <c r="O649" s="35"/>
      <c r="P649" s="35"/>
      <c r="Q649" s="35"/>
      <c r="R649" s="35"/>
      <c r="S649" s="35"/>
      <c r="T649" s="35"/>
      <c r="U649" s="35"/>
      <c r="V649" s="35"/>
      <c r="W649" s="35"/>
      <c r="X649" s="35"/>
      <c r="Y649" s="35"/>
      <c r="Z649" s="35"/>
    </row>
    <row r="650" ht="12.75" customHeight="1">
      <c r="A650" s="35"/>
      <c r="B650" s="35"/>
      <c r="C650" s="35"/>
      <c r="D650" s="35"/>
      <c r="E650" s="35"/>
      <c r="F650" s="35"/>
      <c r="G650" s="35"/>
      <c r="H650" s="35"/>
      <c r="I650" s="35"/>
      <c r="J650" s="35"/>
      <c r="K650" s="35"/>
      <c r="L650" s="35"/>
      <c r="M650" s="35"/>
      <c r="N650" s="35"/>
      <c r="O650" s="35"/>
      <c r="P650" s="35"/>
      <c r="Q650" s="35"/>
      <c r="R650" s="35"/>
      <c r="S650" s="35"/>
      <c r="T650" s="35"/>
      <c r="U650" s="35"/>
      <c r="V650" s="35"/>
      <c r="W650" s="35"/>
      <c r="X650" s="35"/>
      <c r="Y650" s="35"/>
      <c r="Z650" s="35"/>
    </row>
    <row r="651" ht="12.75" customHeight="1">
      <c r="A651" s="35"/>
      <c r="B651" s="35"/>
      <c r="C651" s="35"/>
      <c r="D651" s="35"/>
      <c r="E651" s="35"/>
      <c r="F651" s="35"/>
      <c r="G651" s="35"/>
      <c r="H651" s="35"/>
      <c r="I651" s="35"/>
      <c r="J651" s="35"/>
      <c r="K651" s="35"/>
      <c r="L651" s="35"/>
      <c r="M651" s="35"/>
      <c r="N651" s="35"/>
      <c r="O651" s="35"/>
      <c r="P651" s="35"/>
      <c r="Q651" s="35"/>
      <c r="R651" s="35"/>
      <c r="S651" s="35"/>
      <c r="T651" s="35"/>
      <c r="U651" s="35"/>
      <c r="V651" s="35"/>
      <c r="W651" s="35"/>
      <c r="X651" s="35"/>
      <c r="Y651" s="35"/>
      <c r="Z651" s="35"/>
    </row>
    <row r="652" ht="12.75" customHeight="1">
      <c r="A652" s="35"/>
      <c r="B652" s="35"/>
      <c r="C652" s="35"/>
      <c r="D652" s="35"/>
      <c r="E652" s="35"/>
      <c r="F652" s="35"/>
      <c r="G652" s="35"/>
      <c r="H652" s="35"/>
      <c r="I652" s="35"/>
      <c r="J652" s="35"/>
      <c r="K652" s="35"/>
      <c r="L652" s="35"/>
      <c r="M652" s="35"/>
      <c r="N652" s="35"/>
      <c r="O652" s="35"/>
      <c r="P652" s="35"/>
      <c r="Q652" s="35"/>
      <c r="R652" s="35"/>
      <c r="S652" s="35"/>
      <c r="T652" s="35"/>
      <c r="U652" s="35"/>
      <c r="V652" s="35"/>
      <c r="W652" s="35"/>
      <c r="X652" s="35"/>
      <c r="Y652" s="35"/>
      <c r="Z652" s="35"/>
    </row>
    <row r="653" ht="12.75" customHeight="1">
      <c r="A653" s="35"/>
      <c r="B653" s="35"/>
      <c r="C653" s="35"/>
      <c r="D653" s="35"/>
      <c r="E653" s="35"/>
      <c r="F653" s="35"/>
      <c r="G653" s="35"/>
      <c r="H653" s="35"/>
      <c r="I653" s="35"/>
      <c r="J653" s="35"/>
      <c r="K653" s="35"/>
      <c r="L653" s="35"/>
      <c r="M653" s="35"/>
      <c r="N653" s="35"/>
      <c r="O653" s="35"/>
      <c r="P653" s="35"/>
      <c r="Q653" s="35"/>
      <c r="R653" s="35"/>
      <c r="S653" s="35"/>
      <c r="T653" s="35"/>
      <c r="U653" s="35"/>
      <c r="V653" s="35"/>
      <c r="W653" s="35"/>
      <c r="X653" s="35"/>
      <c r="Y653" s="35"/>
      <c r="Z653" s="35"/>
    </row>
    <row r="654" ht="12.75" customHeight="1">
      <c r="A654" s="35"/>
      <c r="B654" s="35"/>
      <c r="C654" s="35"/>
      <c r="D654" s="35"/>
      <c r="E654" s="35"/>
      <c r="F654" s="35"/>
      <c r="G654" s="35"/>
      <c r="H654" s="35"/>
      <c r="I654" s="35"/>
      <c r="J654" s="35"/>
      <c r="K654" s="35"/>
      <c r="L654" s="35"/>
      <c r="M654" s="35"/>
      <c r="N654" s="35"/>
      <c r="O654" s="35"/>
      <c r="P654" s="35"/>
      <c r="Q654" s="35"/>
      <c r="R654" s="35"/>
      <c r="S654" s="35"/>
      <c r="T654" s="35"/>
      <c r="U654" s="35"/>
      <c r="V654" s="35"/>
      <c r="W654" s="35"/>
      <c r="X654" s="35"/>
      <c r="Y654" s="35"/>
      <c r="Z654" s="35"/>
    </row>
    <row r="655" ht="12.75" customHeight="1">
      <c r="A655" s="35"/>
      <c r="B655" s="35"/>
      <c r="C655" s="35"/>
      <c r="D655" s="35"/>
      <c r="E655" s="35"/>
      <c r="F655" s="35"/>
      <c r="G655" s="35"/>
      <c r="H655" s="35"/>
      <c r="I655" s="35"/>
      <c r="J655" s="35"/>
      <c r="K655" s="35"/>
      <c r="L655" s="35"/>
      <c r="M655" s="35"/>
      <c r="N655" s="35"/>
      <c r="O655" s="35"/>
      <c r="P655" s="35"/>
      <c r="Q655" s="35"/>
      <c r="R655" s="35"/>
      <c r="S655" s="35"/>
      <c r="T655" s="35"/>
      <c r="U655" s="35"/>
      <c r="V655" s="35"/>
      <c r="W655" s="35"/>
      <c r="X655" s="35"/>
      <c r="Y655" s="35"/>
      <c r="Z655" s="35"/>
    </row>
    <row r="656" ht="12.75" customHeight="1">
      <c r="A656" s="35"/>
      <c r="B656" s="35"/>
      <c r="C656" s="35"/>
      <c r="D656" s="35"/>
      <c r="E656" s="35"/>
      <c r="F656" s="35"/>
      <c r="G656" s="35"/>
      <c r="H656" s="35"/>
      <c r="I656" s="35"/>
      <c r="J656" s="35"/>
      <c r="K656" s="35"/>
      <c r="L656" s="35"/>
      <c r="M656" s="35"/>
      <c r="N656" s="35"/>
      <c r="O656" s="35"/>
      <c r="P656" s="35"/>
      <c r="Q656" s="35"/>
      <c r="R656" s="35"/>
      <c r="S656" s="35"/>
      <c r="T656" s="35"/>
      <c r="U656" s="35"/>
      <c r="V656" s="35"/>
      <c r="W656" s="35"/>
      <c r="X656" s="35"/>
      <c r="Y656" s="35"/>
      <c r="Z656" s="35"/>
    </row>
    <row r="657" ht="12.75" customHeight="1">
      <c r="A657" s="35"/>
      <c r="B657" s="35"/>
      <c r="C657" s="35"/>
      <c r="D657" s="35"/>
      <c r="E657" s="35"/>
      <c r="F657" s="35"/>
      <c r="G657" s="35"/>
      <c r="H657" s="35"/>
      <c r="I657" s="35"/>
      <c r="J657" s="35"/>
      <c r="K657" s="35"/>
      <c r="L657" s="35"/>
      <c r="M657" s="35"/>
      <c r="N657" s="35"/>
      <c r="O657" s="35"/>
      <c r="P657" s="35"/>
      <c r="Q657" s="35"/>
      <c r="R657" s="35"/>
      <c r="S657" s="35"/>
      <c r="T657" s="35"/>
      <c r="U657" s="35"/>
      <c r="V657" s="35"/>
      <c r="W657" s="35"/>
      <c r="X657" s="35"/>
      <c r="Y657" s="35"/>
      <c r="Z657" s="35"/>
    </row>
    <row r="658" ht="12.75" customHeight="1">
      <c r="A658" s="35"/>
      <c r="B658" s="35"/>
      <c r="C658" s="35"/>
      <c r="D658" s="35"/>
      <c r="E658" s="35"/>
      <c r="F658" s="35"/>
      <c r="G658" s="35"/>
      <c r="H658" s="35"/>
      <c r="I658" s="35"/>
      <c r="J658" s="35"/>
      <c r="K658" s="35"/>
      <c r="L658" s="35"/>
      <c r="M658" s="35"/>
      <c r="N658" s="35"/>
      <c r="O658" s="35"/>
      <c r="P658" s="35"/>
      <c r="Q658" s="35"/>
      <c r="R658" s="35"/>
      <c r="S658" s="35"/>
      <c r="T658" s="35"/>
      <c r="U658" s="35"/>
      <c r="V658" s="35"/>
      <c r="W658" s="35"/>
      <c r="X658" s="35"/>
      <c r="Y658" s="35"/>
      <c r="Z658" s="35"/>
    </row>
    <row r="659" ht="12.75" customHeight="1">
      <c r="A659" s="35"/>
      <c r="B659" s="35"/>
      <c r="C659" s="35"/>
      <c r="D659" s="35"/>
      <c r="E659" s="35"/>
      <c r="F659" s="35"/>
      <c r="G659" s="35"/>
      <c r="H659" s="35"/>
      <c r="I659" s="35"/>
      <c r="J659" s="35"/>
      <c r="K659" s="35"/>
      <c r="L659" s="35"/>
      <c r="M659" s="35"/>
      <c r="N659" s="35"/>
      <c r="O659" s="35"/>
      <c r="P659" s="35"/>
      <c r="Q659" s="35"/>
      <c r="R659" s="35"/>
      <c r="S659" s="35"/>
      <c r="T659" s="35"/>
      <c r="U659" s="35"/>
      <c r="V659" s="35"/>
      <c r="W659" s="35"/>
      <c r="X659" s="35"/>
      <c r="Y659" s="35"/>
      <c r="Z659" s="35"/>
    </row>
    <row r="660" ht="12.75" customHeight="1">
      <c r="A660" s="35"/>
      <c r="B660" s="35"/>
      <c r="C660" s="35"/>
      <c r="D660" s="35"/>
      <c r="E660" s="35"/>
      <c r="F660" s="35"/>
      <c r="G660" s="35"/>
      <c r="H660" s="35"/>
      <c r="I660" s="35"/>
      <c r="J660" s="35"/>
      <c r="K660" s="35"/>
      <c r="L660" s="35"/>
      <c r="M660" s="35"/>
      <c r="N660" s="35"/>
      <c r="O660" s="35"/>
      <c r="P660" s="35"/>
      <c r="Q660" s="35"/>
      <c r="R660" s="35"/>
      <c r="S660" s="35"/>
      <c r="T660" s="35"/>
      <c r="U660" s="35"/>
      <c r="V660" s="35"/>
      <c r="W660" s="35"/>
      <c r="X660" s="35"/>
      <c r="Y660" s="35"/>
      <c r="Z660" s="35"/>
    </row>
    <row r="661" ht="12.75" customHeight="1">
      <c r="A661" s="35"/>
      <c r="B661" s="35"/>
      <c r="C661" s="35"/>
      <c r="D661" s="35"/>
      <c r="E661" s="35"/>
      <c r="F661" s="35"/>
      <c r="G661" s="35"/>
      <c r="H661" s="35"/>
      <c r="I661" s="35"/>
      <c r="J661" s="35"/>
      <c r="K661" s="35"/>
      <c r="L661" s="35"/>
      <c r="M661" s="35"/>
      <c r="N661" s="35"/>
      <c r="O661" s="35"/>
      <c r="P661" s="35"/>
      <c r="Q661" s="35"/>
      <c r="R661" s="35"/>
      <c r="S661" s="35"/>
      <c r="T661" s="35"/>
      <c r="U661" s="35"/>
      <c r="V661" s="35"/>
      <c r="W661" s="35"/>
      <c r="X661" s="35"/>
      <c r="Y661" s="35"/>
      <c r="Z661" s="35"/>
    </row>
    <row r="662" ht="12.75" customHeight="1">
      <c r="A662" s="35"/>
      <c r="B662" s="35"/>
      <c r="C662" s="35"/>
      <c r="D662" s="35"/>
      <c r="E662" s="35"/>
      <c r="F662" s="35"/>
      <c r="G662" s="35"/>
      <c r="H662" s="35"/>
      <c r="I662" s="35"/>
      <c r="J662" s="35"/>
      <c r="K662" s="35"/>
      <c r="L662" s="35"/>
      <c r="M662" s="35"/>
      <c r="N662" s="35"/>
      <c r="O662" s="35"/>
      <c r="P662" s="35"/>
      <c r="Q662" s="35"/>
      <c r="R662" s="35"/>
      <c r="S662" s="35"/>
      <c r="T662" s="35"/>
      <c r="U662" s="35"/>
      <c r="V662" s="35"/>
      <c r="W662" s="35"/>
      <c r="X662" s="35"/>
      <c r="Y662" s="35"/>
      <c r="Z662" s="35"/>
    </row>
    <row r="663" ht="12.75" customHeight="1">
      <c r="A663" s="35"/>
      <c r="B663" s="35"/>
      <c r="C663" s="35"/>
      <c r="D663" s="35"/>
      <c r="E663" s="35"/>
      <c r="F663" s="35"/>
      <c r="G663" s="35"/>
      <c r="H663" s="35"/>
      <c r="I663" s="35"/>
      <c r="J663" s="35"/>
      <c r="K663" s="35"/>
      <c r="L663" s="35"/>
      <c r="M663" s="35"/>
      <c r="N663" s="35"/>
      <c r="O663" s="35"/>
      <c r="P663" s="35"/>
      <c r="Q663" s="35"/>
      <c r="R663" s="35"/>
      <c r="S663" s="35"/>
      <c r="T663" s="35"/>
      <c r="U663" s="35"/>
      <c r="V663" s="35"/>
      <c r="W663" s="35"/>
      <c r="X663" s="35"/>
      <c r="Y663" s="35"/>
      <c r="Z663" s="35"/>
    </row>
    <row r="664" ht="12.75" customHeight="1">
      <c r="A664" s="35"/>
      <c r="B664" s="35"/>
      <c r="C664" s="35"/>
      <c r="D664" s="35"/>
      <c r="E664" s="35"/>
      <c r="F664" s="35"/>
      <c r="G664" s="35"/>
      <c r="H664" s="35"/>
      <c r="I664" s="35"/>
      <c r="J664" s="35"/>
      <c r="K664" s="35"/>
      <c r="L664" s="35"/>
      <c r="M664" s="35"/>
      <c r="N664" s="35"/>
      <c r="O664" s="35"/>
      <c r="P664" s="35"/>
      <c r="Q664" s="35"/>
      <c r="R664" s="35"/>
      <c r="S664" s="35"/>
      <c r="T664" s="35"/>
      <c r="U664" s="35"/>
      <c r="V664" s="35"/>
      <c r="W664" s="35"/>
      <c r="X664" s="35"/>
      <c r="Y664" s="35"/>
      <c r="Z664" s="35"/>
    </row>
    <row r="665" ht="12.75" customHeight="1">
      <c r="A665" s="35"/>
      <c r="B665" s="35"/>
      <c r="C665" s="35"/>
      <c r="D665" s="35"/>
      <c r="E665" s="35"/>
      <c r="F665" s="35"/>
      <c r="G665" s="35"/>
      <c r="H665" s="35"/>
      <c r="I665" s="35"/>
      <c r="J665" s="35"/>
      <c r="K665" s="35"/>
      <c r="L665" s="35"/>
      <c r="M665" s="35"/>
      <c r="N665" s="35"/>
      <c r="O665" s="35"/>
      <c r="P665" s="35"/>
      <c r="Q665" s="35"/>
      <c r="R665" s="35"/>
      <c r="S665" s="35"/>
      <c r="T665" s="35"/>
      <c r="U665" s="35"/>
      <c r="V665" s="35"/>
      <c r="W665" s="35"/>
      <c r="X665" s="35"/>
      <c r="Y665" s="35"/>
      <c r="Z665" s="35"/>
    </row>
    <row r="666" ht="12.75" customHeight="1">
      <c r="A666" s="35"/>
      <c r="B666" s="35"/>
      <c r="C666" s="35"/>
      <c r="D666" s="35"/>
      <c r="E666" s="35"/>
      <c r="F666" s="35"/>
      <c r="G666" s="35"/>
      <c r="H666" s="35"/>
      <c r="I666" s="35"/>
      <c r="J666" s="35"/>
      <c r="K666" s="35"/>
      <c r="L666" s="35"/>
      <c r="M666" s="35"/>
      <c r="N666" s="35"/>
      <c r="O666" s="35"/>
      <c r="P666" s="35"/>
      <c r="Q666" s="35"/>
      <c r="R666" s="35"/>
      <c r="S666" s="35"/>
      <c r="T666" s="35"/>
      <c r="U666" s="35"/>
      <c r="V666" s="35"/>
      <c r="W666" s="35"/>
      <c r="X666" s="35"/>
      <c r="Y666" s="35"/>
      <c r="Z666" s="35"/>
    </row>
    <row r="667" ht="12.75" customHeight="1">
      <c r="A667" s="35"/>
      <c r="B667" s="35"/>
      <c r="C667" s="35"/>
      <c r="D667" s="35"/>
      <c r="E667" s="35"/>
      <c r="F667" s="35"/>
      <c r="G667" s="35"/>
      <c r="H667" s="35"/>
      <c r="I667" s="35"/>
      <c r="J667" s="35"/>
      <c r="K667" s="35"/>
      <c r="L667" s="35"/>
      <c r="M667" s="35"/>
      <c r="N667" s="35"/>
      <c r="O667" s="35"/>
      <c r="P667" s="35"/>
      <c r="Q667" s="35"/>
      <c r="R667" s="35"/>
      <c r="S667" s="35"/>
      <c r="T667" s="35"/>
      <c r="U667" s="35"/>
      <c r="V667" s="35"/>
      <c r="W667" s="35"/>
      <c r="X667" s="35"/>
      <c r="Y667" s="35"/>
      <c r="Z667" s="35"/>
    </row>
    <row r="668" ht="12.75" customHeight="1">
      <c r="A668" s="35"/>
      <c r="B668" s="35"/>
      <c r="C668" s="35"/>
      <c r="D668" s="35"/>
      <c r="E668" s="35"/>
      <c r="F668" s="35"/>
      <c r="G668" s="35"/>
      <c r="H668" s="35"/>
      <c r="I668" s="35"/>
      <c r="J668" s="35"/>
      <c r="K668" s="35"/>
      <c r="L668" s="35"/>
      <c r="M668" s="35"/>
      <c r="N668" s="35"/>
      <c r="O668" s="35"/>
      <c r="P668" s="35"/>
      <c r="Q668" s="35"/>
      <c r="R668" s="35"/>
      <c r="S668" s="35"/>
      <c r="T668" s="35"/>
      <c r="U668" s="35"/>
      <c r="V668" s="35"/>
      <c r="W668" s="35"/>
      <c r="X668" s="35"/>
      <c r="Y668" s="35"/>
      <c r="Z668" s="35"/>
    </row>
    <row r="669" ht="12.75" customHeight="1">
      <c r="A669" s="35"/>
      <c r="B669" s="35"/>
      <c r="C669" s="35"/>
      <c r="D669" s="35"/>
      <c r="E669" s="35"/>
      <c r="F669" s="35"/>
      <c r="G669" s="35"/>
      <c r="H669" s="35"/>
      <c r="I669" s="35"/>
      <c r="J669" s="35"/>
      <c r="K669" s="35"/>
      <c r="L669" s="35"/>
      <c r="M669" s="35"/>
      <c r="N669" s="35"/>
      <c r="O669" s="35"/>
      <c r="P669" s="35"/>
      <c r="Q669" s="35"/>
      <c r="R669" s="35"/>
      <c r="S669" s="35"/>
      <c r="T669" s="35"/>
      <c r="U669" s="35"/>
      <c r="V669" s="35"/>
      <c r="W669" s="35"/>
      <c r="X669" s="35"/>
      <c r="Y669" s="35"/>
      <c r="Z669" s="35"/>
    </row>
    <row r="670" ht="12.75" customHeight="1">
      <c r="A670" s="35"/>
      <c r="B670" s="35"/>
      <c r="C670" s="35"/>
      <c r="D670" s="35"/>
      <c r="E670" s="35"/>
      <c r="F670" s="35"/>
      <c r="G670" s="35"/>
      <c r="H670" s="35"/>
      <c r="I670" s="35"/>
      <c r="J670" s="35"/>
      <c r="K670" s="35"/>
      <c r="L670" s="35"/>
      <c r="M670" s="35"/>
      <c r="N670" s="35"/>
      <c r="O670" s="35"/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5"/>
    </row>
    <row r="671" ht="12.75" customHeight="1">
      <c r="A671" s="35"/>
      <c r="B671" s="35"/>
      <c r="C671" s="35"/>
      <c r="D671" s="35"/>
      <c r="E671" s="35"/>
      <c r="F671" s="35"/>
      <c r="G671" s="35"/>
      <c r="H671" s="35"/>
      <c r="I671" s="35"/>
      <c r="J671" s="35"/>
      <c r="K671" s="35"/>
      <c r="L671" s="35"/>
      <c r="M671" s="35"/>
      <c r="N671" s="35"/>
      <c r="O671" s="35"/>
      <c r="P671" s="35"/>
      <c r="Q671" s="35"/>
      <c r="R671" s="35"/>
      <c r="S671" s="35"/>
      <c r="T671" s="35"/>
      <c r="U671" s="35"/>
      <c r="V671" s="35"/>
      <c r="W671" s="35"/>
      <c r="X671" s="35"/>
      <c r="Y671" s="35"/>
      <c r="Z671" s="35"/>
    </row>
    <row r="672" ht="12.75" customHeight="1">
      <c r="A672" s="35"/>
      <c r="B672" s="35"/>
      <c r="C672" s="35"/>
      <c r="D672" s="35"/>
      <c r="E672" s="35"/>
      <c r="F672" s="35"/>
      <c r="G672" s="35"/>
      <c r="H672" s="35"/>
      <c r="I672" s="35"/>
      <c r="J672" s="35"/>
      <c r="K672" s="35"/>
      <c r="L672" s="35"/>
      <c r="M672" s="35"/>
      <c r="N672" s="35"/>
      <c r="O672" s="35"/>
      <c r="P672" s="35"/>
      <c r="Q672" s="35"/>
      <c r="R672" s="35"/>
      <c r="S672" s="35"/>
      <c r="T672" s="35"/>
      <c r="U672" s="35"/>
      <c r="V672" s="35"/>
      <c r="W672" s="35"/>
      <c r="X672" s="35"/>
      <c r="Y672" s="35"/>
      <c r="Z672" s="35"/>
    </row>
    <row r="673" ht="12.75" customHeight="1">
      <c r="A673" s="35"/>
      <c r="B673" s="35"/>
      <c r="C673" s="35"/>
      <c r="D673" s="35"/>
      <c r="E673" s="35"/>
      <c r="F673" s="35"/>
      <c r="G673" s="35"/>
      <c r="H673" s="35"/>
      <c r="I673" s="35"/>
      <c r="J673" s="35"/>
      <c r="K673" s="35"/>
      <c r="L673" s="35"/>
      <c r="M673" s="35"/>
      <c r="N673" s="35"/>
      <c r="O673" s="35"/>
      <c r="P673" s="35"/>
      <c r="Q673" s="35"/>
      <c r="R673" s="35"/>
      <c r="S673" s="35"/>
      <c r="T673" s="35"/>
      <c r="U673" s="35"/>
      <c r="V673" s="35"/>
      <c r="W673" s="35"/>
      <c r="X673" s="35"/>
      <c r="Y673" s="35"/>
      <c r="Z673" s="35"/>
    </row>
    <row r="674" ht="12.75" customHeight="1">
      <c r="A674" s="35"/>
      <c r="B674" s="35"/>
      <c r="C674" s="35"/>
      <c r="D674" s="35"/>
      <c r="E674" s="35"/>
      <c r="F674" s="35"/>
      <c r="G674" s="35"/>
      <c r="H674" s="35"/>
      <c r="I674" s="35"/>
      <c r="J674" s="35"/>
      <c r="K674" s="35"/>
      <c r="L674" s="35"/>
      <c r="M674" s="35"/>
      <c r="N674" s="35"/>
      <c r="O674" s="35"/>
      <c r="P674" s="35"/>
      <c r="Q674" s="35"/>
      <c r="R674" s="35"/>
      <c r="S674" s="35"/>
      <c r="T674" s="35"/>
      <c r="U674" s="35"/>
      <c r="V674" s="35"/>
      <c r="W674" s="35"/>
      <c r="X674" s="35"/>
      <c r="Y674" s="35"/>
      <c r="Z674" s="35"/>
    </row>
    <row r="675" ht="12.75" customHeight="1">
      <c r="A675" s="35"/>
      <c r="B675" s="35"/>
      <c r="C675" s="35"/>
      <c r="D675" s="35"/>
      <c r="E675" s="35"/>
      <c r="F675" s="35"/>
      <c r="G675" s="35"/>
      <c r="H675" s="35"/>
      <c r="I675" s="35"/>
      <c r="J675" s="35"/>
      <c r="K675" s="35"/>
      <c r="L675" s="35"/>
      <c r="M675" s="35"/>
      <c r="N675" s="35"/>
      <c r="O675" s="35"/>
      <c r="P675" s="35"/>
      <c r="Q675" s="35"/>
      <c r="R675" s="35"/>
      <c r="S675" s="35"/>
      <c r="T675" s="35"/>
      <c r="U675" s="35"/>
      <c r="V675" s="35"/>
      <c r="W675" s="35"/>
      <c r="X675" s="35"/>
      <c r="Y675" s="35"/>
      <c r="Z675" s="35"/>
    </row>
    <row r="676" ht="12.75" customHeight="1">
      <c r="A676" s="35"/>
      <c r="B676" s="35"/>
      <c r="C676" s="35"/>
      <c r="D676" s="35"/>
      <c r="E676" s="35"/>
      <c r="F676" s="35"/>
      <c r="G676" s="35"/>
      <c r="H676" s="35"/>
      <c r="I676" s="35"/>
      <c r="J676" s="35"/>
      <c r="K676" s="35"/>
      <c r="L676" s="35"/>
      <c r="M676" s="35"/>
      <c r="N676" s="35"/>
      <c r="O676" s="35"/>
      <c r="P676" s="35"/>
      <c r="Q676" s="35"/>
      <c r="R676" s="35"/>
      <c r="S676" s="35"/>
      <c r="T676" s="35"/>
      <c r="U676" s="35"/>
      <c r="V676" s="35"/>
      <c r="W676" s="35"/>
      <c r="X676" s="35"/>
      <c r="Y676" s="35"/>
      <c r="Z676" s="35"/>
    </row>
    <row r="677" ht="12.75" customHeight="1">
      <c r="A677" s="35"/>
      <c r="B677" s="35"/>
      <c r="C677" s="35"/>
      <c r="D677" s="35"/>
      <c r="E677" s="35"/>
      <c r="F677" s="35"/>
      <c r="G677" s="35"/>
      <c r="H677" s="35"/>
      <c r="I677" s="35"/>
      <c r="J677" s="35"/>
      <c r="K677" s="35"/>
      <c r="L677" s="35"/>
      <c r="M677" s="35"/>
      <c r="N677" s="35"/>
      <c r="O677" s="35"/>
      <c r="P677" s="35"/>
      <c r="Q677" s="35"/>
      <c r="R677" s="35"/>
      <c r="S677" s="35"/>
      <c r="T677" s="35"/>
      <c r="U677" s="35"/>
      <c r="V677" s="35"/>
      <c r="W677" s="35"/>
      <c r="X677" s="35"/>
      <c r="Y677" s="35"/>
      <c r="Z677" s="35"/>
    </row>
    <row r="678" ht="12.75" customHeight="1">
      <c r="A678" s="35"/>
      <c r="B678" s="35"/>
      <c r="C678" s="35"/>
      <c r="D678" s="35"/>
      <c r="E678" s="35"/>
      <c r="F678" s="35"/>
      <c r="G678" s="35"/>
      <c r="H678" s="35"/>
      <c r="I678" s="35"/>
      <c r="J678" s="35"/>
      <c r="K678" s="35"/>
      <c r="L678" s="35"/>
      <c r="M678" s="35"/>
      <c r="N678" s="35"/>
      <c r="O678" s="35"/>
      <c r="P678" s="35"/>
      <c r="Q678" s="35"/>
      <c r="R678" s="35"/>
      <c r="S678" s="35"/>
      <c r="T678" s="35"/>
      <c r="U678" s="35"/>
      <c r="V678" s="35"/>
      <c r="W678" s="35"/>
      <c r="X678" s="35"/>
      <c r="Y678" s="35"/>
      <c r="Z678" s="35"/>
    </row>
    <row r="679" ht="12.75" customHeight="1">
      <c r="A679" s="35"/>
      <c r="B679" s="35"/>
      <c r="C679" s="35"/>
      <c r="D679" s="35"/>
      <c r="E679" s="35"/>
      <c r="F679" s="35"/>
      <c r="G679" s="35"/>
      <c r="H679" s="35"/>
      <c r="I679" s="35"/>
      <c r="J679" s="35"/>
      <c r="K679" s="35"/>
      <c r="L679" s="35"/>
      <c r="M679" s="35"/>
      <c r="N679" s="35"/>
      <c r="O679" s="35"/>
      <c r="P679" s="35"/>
      <c r="Q679" s="35"/>
      <c r="R679" s="35"/>
      <c r="S679" s="35"/>
      <c r="T679" s="35"/>
      <c r="U679" s="35"/>
      <c r="V679" s="35"/>
      <c r="W679" s="35"/>
      <c r="X679" s="35"/>
      <c r="Y679" s="35"/>
      <c r="Z679" s="35"/>
    </row>
    <row r="680" ht="12.75" customHeight="1">
      <c r="A680" s="35"/>
      <c r="B680" s="35"/>
      <c r="C680" s="35"/>
      <c r="D680" s="35"/>
      <c r="E680" s="35"/>
      <c r="F680" s="35"/>
      <c r="G680" s="35"/>
      <c r="H680" s="35"/>
      <c r="I680" s="35"/>
      <c r="J680" s="35"/>
      <c r="K680" s="35"/>
      <c r="L680" s="35"/>
      <c r="M680" s="35"/>
      <c r="N680" s="35"/>
      <c r="O680" s="35"/>
      <c r="P680" s="35"/>
      <c r="Q680" s="35"/>
      <c r="R680" s="35"/>
      <c r="S680" s="35"/>
      <c r="T680" s="35"/>
      <c r="U680" s="35"/>
      <c r="V680" s="35"/>
      <c r="W680" s="35"/>
      <c r="X680" s="35"/>
      <c r="Y680" s="35"/>
      <c r="Z680" s="35"/>
    </row>
    <row r="681" ht="12.75" customHeight="1">
      <c r="A681" s="35"/>
      <c r="B681" s="35"/>
      <c r="C681" s="35"/>
      <c r="D681" s="35"/>
      <c r="E681" s="35"/>
      <c r="F681" s="35"/>
      <c r="G681" s="35"/>
      <c r="H681" s="35"/>
      <c r="I681" s="35"/>
      <c r="J681" s="35"/>
      <c r="K681" s="35"/>
      <c r="L681" s="35"/>
      <c r="M681" s="35"/>
      <c r="N681" s="35"/>
      <c r="O681" s="35"/>
      <c r="P681" s="35"/>
      <c r="Q681" s="35"/>
      <c r="R681" s="35"/>
      <c r="S681" s="35"/>
      <c r="T681" s="35"/>
      <c r="U681" s="35"/>
      <c r="V681" s="35"/>
      <c r="W681" s="35"/>
      <c r="X681" s="35"/>
      <c r="Y681" s="35"/>
      <c r="Z681" s="35"/>
    </row>
    <row r="682" ht="12.75" customHeight="1">
      <c r="A682" s="35"/>
      <c r="B682" s="35"/>
      <c r="C682" s="35"/>
      <c r="D682" s="35"/>
      <c r="E682" s="35"/>
      <c r="F682" s="35"/>
      <c r="G682" s="35"/>
      <c r="H682" s="35"/>
      <c r="I682" s="35"/>
      <c r="J682" s="35"/>
      <c r="K682" s="35"/>
      <c r="L682" s="35"/>
      <c r="M682" s="35"/>
      <c r="N682" s="35"/>
      <c r="O682" s="35"/>
      <c r="P682" s="35"/>
      <c r="Q682" s="35"/>
      <c r="R682" s="35"/>
      <c r="S682" s="35"/>
      <c r="T682" s="35"/>
      <c r="U682" s="35"/>
      <c r="V682" s="35"/>
      <c r="W682" s="35"/>
      <c r="X682" s="35"/>
      <c r="Y682" s="35"/>
      <c r="Z682" s="35"/>
    </row>
    <row r="683" ht="12.75" customHeight="1">
      <c r="A683" s="35"/>
      <c r="B683" s="35"/>
      <c r="C683" s="35"/>
      <c r="D683" s="35"/>
      <c r="E683" s="35"/>
      <c r="F683" s="35"/>
      <c r="G683" s="35"/>
      <c r="H683" s="35"/>
      <c r="I683" s="35"/>
      <c r="J683" s="35"/>
      <c r="K683" s="35"/>
      <c r="L683" s="35"/>
      <c r="M683" s="35"/>
      <c r="N683" s="35"/>
      <c r="O683" s="35"/>
      <c r="P683" s="35"/>
      <c r="Q683" s="35"/>
      <c r="R683" s="35"/>
      <c r="S683" s="35"/>
      <c r="T683" s="35"/>
      <c r="U683" s="35"/>
      <c r="V683" s="35"/>
      <c r="W683" s="35"/>
      <c r="X683" s="35"/>
      <c r="Y683" s="35"/>
      <c r="Z683" s="35"/>
    </row>
    <row r="684" ht="12.75" customHeight="1">
      <c r="A684" s="35"/>
      <c r="B684" s="35"/>
      <c r="C684" s="35"/>
      <c r="D684" s="35"/>
      <c r="E684" s="35"/>
      <c r="F684" s="35"/>
      <c r="G684" s="35"/>
      <c r="H684" s="35"/>
      <c r="I684" s="35"/>
      <c r="J684" s="35"/>
      <c r="K684" s="35"/>
      <c r="L684" s="35"/>
      <c r="M684" s="35"/>
      <c r="N684" s="35"/>
      <c r="O684" s="35"/>
      <c r="P684" s="35"/>
      <c r="Q684" s="35"/>
      <c r="R684" s="35"/>
      <c r="S684" s="35"/>
      <c r="T684" s="35"/>
      <c r="U684" s="35"/>
      <c r="V684" s="35"/>
      <c r="W684" s="35"/>
      <c r="X684" s="35"/>
      <c r="Y684" s="35"/>
      <c r="Z684" s="35"/>
    </row>
    <row r="685" ht="12.75" customHeight="1">
      <c r="A685" s="35"/>
      <c r="B685" s="35"/>
      <c r="C685" s="35"/>
      <c r="D685" s="35"/>
      <c r="E685" s="35"/>
      <c r="F685" s="35"/>
      <c r="G685" s="35"/>
      <c r="H685" s="35"/>
      <c r="I685" s="35"/>
      <c r="J685" s="35"/>
      <c r="K685" s="35"/>
      <c r="L685" s="35"/>
      <c r="M685" s="35"/>
      <c r="N685" s="35"/>
      <c r="O685" s="35"/>
      <c r="P685" s="35"/>
      <c r="Q685" s="35"/>
      <c r="R685" s="35"/>
      <c r="S685" s="35"/>
      <c r="T685" s="35"/>
      <c r="U685" s="35"/>
      <c r="V685" s="35"/>
      <c r="W685" s="35"/>
      <c r="X685" s="35"/>
      <c r="Y685" s="35"/>
      <c r="Z685" s="35"/>
    </row>
    <row r="686" ht="12.75" customHeight="1">
      <c r="A686" s="35"/>
      <c r="B686" s="35"/>
      <c r="C686" s="35"/>
      <c r="D686" s="35"/>
      <c r="E686" s="35"/>
      <c r="F686" s="35"/>
      <c r="G686" s="35"/>
      <c r="H686" s="35"/>
      <c r="I686" s="35"/>
      <c r="J686" s="35"/>
      <c r="K686" s="35"/>
      <c r="L686" s="35"/>
      <c r="M686" s="35"/>
      <c r="N686" s="35"/>
      <c r="O686" s="35"/>
      <c r="P686" s="35"/>
      <c r="Q686" s="35"/>
      <c r="R686" s="35"/>
      <c r="S686" s="35"/>
      <c r="T686" s="35"/>
      <c r="U686" s="35"/>
      <c r="V686" s="35"/>
      <c r="W686" s="35"/>
      <c r="X686" s="35"/>
      <c r="Y686" s="35"/>
      <c r="Z686" s="35"/>
    </row>
    <row r="687" ht="12.75" customHeight="1">
      <c r="A687" s="35"/>
      <c r="B687" s="35"/>
      <c r="C687" s="35"/>
      <c r="D687" s="35"/>
      <c r="E687" s="35"/>
      <c r="F687" s="35"/>
      <c r="G687" s="35"/>
      <c r="H687" s="35"/>
      <c r="I687" s="35"/>
      <c r="J687" s="35"/>
      <c r="K687" s="35"/>
      <c r="L687" s="35"/>
      <c r="M687" s="35"/>
      <c r="N687" s="35"/>
      <c r="O687" s="35"/>
      <c r="P687" s="35"/>
      <c r="Q687" s="35"/>
      <c r="R687" s="35"/>
      <c r="S687" s="35"/>
      <c r="T687" s="35"/>
      <c r="U687" s="35"/>
      <c r="V687" s="35"/>
      <c r="W687" s="35"/>
      <c r="X687" s="35"/>
      <c r="Y687" s="35"/>
      <c r="Z687" s="35"/>
    </row>
    <row r="688" ht="12.75" customHeight="1">
      <c r="A688" s="35"/>
      <c r="B688" s="35"/>
      <c r="C688" s="35"/>
      <c r="D688" s="35"/>
      <c r="E688" s="35"/>
      <c r="F688" s="35"/>
      <c r="G688" s="35"/>
      <c r="H688" s="35"/>
      <c r="I688" s="35"/>
      <c r="J688" s="35"/>
      <c r="K688" s="35"/>
      <c r="L688" s="35"/>
      <c r="M688" s="35"/>
      <c r="N688" s="35"/>
      <c r="O688" s="35"/>
      <c r="P688" s="35"/>
      <c r="Q688" s="35"/>
      <c r="R688" s="35"/>
      <c r="S688" s="35"/>
      <c r="T688" s="35"/>
      <c r="U688" s="35"/>
      <c r="V688" s="35"/>
      <c r="W688" s="35"/>
      <c r="X688" s="35"/>
      <c r="Y688" s="35"/>
      <c r="Z688" s="35"/>
    </row>
    <row r="689" ht="12.75" customHeight="1">
      <c r="A689" s="35"/>
      <c r="B689" s="35"/>
      <c r="C689" s="35"/>
      <c r="D689" s="35"/>
      <c r="E689" s="35"/>
      <c r="F689" s="35"/>
      <c r="G689" s="35"/>
      <c r="H689" s="35"/>
      <c r="I689" s="35"/>
      <c r="J689" s="35"/>
      <c r="K689" s="35"/>
      <c r="L689" s="35"/>
      <c r="M689" s="35"/>
      <c r="N689" s="35"/>
      <c r="O689" s="35"/>
      <c r="P689" s="35"/>
      <c r="Q689" s="35"/>
      <c r="R689" s="35"/>
      <c r="S689" s="35"/>
      <c r="T689" s="35"/>
      <c r="U689" s="35"/>
      <c r="V689" s="35"/>
      <c r="W689" s="35"/>
      <c r="X689" s="35"/>
      <c r="Y689" s="35"/>
      <c r="Z689" s="35"/>
    </row>
    <row r="690" ht="12.75" customHeight="1">
      <c r="A690" s="35"/>
      <c r="B690" s="35"/>
      <c r="C690" s="35"/>
      <c r="D690" s="35"/>
      <c r="E690" s="35"/>
      <c r="F690" s="35"/>
      <c r="G690" s="35"/>
      <c r="H690" s="35"/>
      <c r="I690" s="35"/>
      <c r="J690" s="35"/>
      <c r="K690" s="35"/>
      <c r="L690" s="35"/>
      <c r="M690" s="35"/>
      <c r="N690" s="35"/>
      <c r="O690" s="35"/>
      <c r="P690" s="35"/>
      <c r="Q690" s="35"/>
      <c r="R690" s="35"/>
      <c r="S690" s="35"/>
      <c r="T690" s="35"/>
      <c r="U690" s="35"/>
      <c r="V690" s="35"/>
      <c r="W690" s="35"/>
      <c r="X690" s="35"/>
      <c r="Y690" s="35"/>
      <c r="Z690" s="35"/>
    </row>
    <row r="691" ht="12.75" customHeight="1">
      <c r="A691" s="35"/>
      <c r="B691" s="35"/>
      <c r="C691" s="35"/>
      <c r="D691" s="35"/>
      <c r="E691" s="35"/>
      <c r="F691" s="35"/>
      <c r="G691" s="35"/>
      <c r="H691" s="35"/>
      <c r="I691" s="35"/>
      <c r="J691" s="35"/>
      <c r="K691" s="35"/>
      <c r="L691" s="35"/>
      <c r="M691" s="35"/>
      <c r="N691" s="35"/>
      <c r="O691" s="35"/>
      <c r="P691" s="35"/>
      <c r="Q691" s="35"/>
      <c r="R691" s="35"/>
      <c r="S691" s="35"/>
      <c r="T691" s="35"/>
      <c r="U691" s="35"/>
      <c r="V691" s="35"/>
      <c r="W691" s="35"/>
      <c r="X691" s="35"/>
      <c r="Y691" s="35"/>
      <c r="Z691" s="35"/>
    </row>
    <row r="692" ht="12.75" customHeight="1">
      <c r="A692" s="35"/>
      <c r="B692" s="35"/>
      <c r="C692" s="35"/>
      <c r="D692" s="35"/>
      <c r="E692" s="35"/>
      <c r="F692" s="35"/>
      <c r="G692" s="35"/>
      <c r="H692" s="35"/>
      <c r="I692" s="35"/>
      <c r="J692" s="35"/>
      <c r="K692" s="35"/>
      <c r="L692" s="35"/>
      <c r="M692" s="35"/>
      <c r="N692" s="35"/>
      <c r="O692" s="35"/>
      <c r="P692" s="35"/>
      <c r="Q692" s="35"/>
      <c r="R692" s="35"/>
      <c r="S692" s="35"/>
      <c r="T692" s="35"/>
      <c r="U692" s="35"/>
      <c r="V692" s="35"/>
      <c r="W692" s="35"/>
      <c r="X692" s="35"/>
      <c r="Y692" s="35"/>
      <c r="Z692" s="35"/>
    </row>
    <row r="693" ht="12.75" customHeight="1">
      <c r="A693" s="35"/>
      <c r="B693" s="35"/>
      <c r="C693" s="35"/>
      <c r="D693" s="35"/>
      <c r="E693" s="35"/>
      <c r="F693" s="35"/>
      <c r="G693" s="35"/>
      <c r="H693" s="35"/>
      <c r="I693" s="35"/>
      <c r="J693" s="35"/>
      <c r="K693" s="35"/>
      <c r="L693" s="35"/>
      <c r="M693" s="35"/>
      <c r="N693" s="35"/>
      <c r="O693" s="35"/>
      <c r="P693" s="35"/>
      <c r="Q693" s="35"/>
      <c r="R693" s="35"/>
      <c r="S693" s="35"/>
      <c r="T693" s="35"/>
      <c r="U693" s="35"/>
      <c r="V693" s="35"/>
      <c r="W693" s="35"/>
      <c r="X693" s="35"/>
      <c r="Y693" s="35"/>
      <c r="Z693" s="35"/>
    </row>
    <row r="694" ht="12.75" customHeight="1">
      <c r="A694" s="35"/>
      <c r="B694" s="35"/>
      <c r="C694" s="35"/>
      <c r="D694" s="35"/>
      <c r="E694" s="35"/>
      <c r="F694" s="35"/>
      <c r="G694" s="35"/>
      <c r="H694" s="35"/>
      <c r="I694" s="35"/>
      <c r="J694" s="35"/>
      <c r="K694" s="35"/>
      <c r="L694" s="35"/>
      <c r="M694" s="35"/>
      <c r="N694" s="35"/>
      <c r="O694" s="35"/>
      <c r="P694" s="35"/>
      <c r="Q694" s="35"/>
      <c r="R694" s="35"/>
      <c r="S694" s="35"/>
      <c r="T694" s="35"/>
      <c r="U694" s="35"/>
      <c r="V694" s="35"/>
      <c r="W694" s="35"/>
      <c r="X694" s="35"/>
      <c r="Y694" s="35"/>
      <c r="Z694" s="35"/>
    </row>
    <row r="695" ht="12.75" customHeight="1">
      <c r="A695" s="35"/>
      <c r="B695" s="35"/>
      <c r="C695" s="35"/>
      <c r="D695" s="35"/>
      <c r="E695" s="35"/>
      <c r="F695" s="35"/>
      <c r="G695" s="35"/>
      <c r="H695" s="35"/>
      <c r="I695" s="35"/>
      <c r="J695" s="35"/>
      <c r="K695" s="35"/>
      <c r="L695" s="35"/>
      <c r="M695" s="35"/>
      <c r="N695" s="35"/>
      <c r="O695" s="35"/>
      <c r="P695" s="35"/>
      <c r="Q695" s="35"/>
      <c r="R695" s="35"/>
      <c r="S695" s="35"/>
      <c r="T695" s="35"/>
      <c r="U695" s="35"/>
      <c r="V695" s="35"/>
      <c r="W695" s="35"/>
      <c r="X695" s="35"/>
      <c r="Y695" s="35"/>
      <c r="Z695" s="35"/>
    </row>
    <row r="696" ht="12.75" customHeight="1">
      <c r="A696" s="35"/>
      <c r="B696" s="35"/>
      <c r="C696" s="35"/>
      <c r="D696" s="35"/>
      <c r="E696" s="35"/>
      <c r="F696" s="35"/>
      <c r="G696" s="35"/>
      <c r="H696" s="35"/>
      <c r="I696" s="35"/>
      <c r="J696" s="35"/>
      <c r="K696" s="35"/>
      <c r="L696" s="35"/>
      <c r="M696" s="35"/>
      <c r="N696" s="35"/>
      <c r="O696" s="35"/>
      <c r="P696" s="35"/>
      <c r="Q696" s="35"/>
      <c r="R696" s="35"/>
      <c r="S696" s="35"/>
      <c r="T696" s="35"/>
      <c r="U696" s="35"/>
      <c r="V696" s="35"/>
      <c r="W696" s="35"/>
      <c r="X696" s="35"/>
      <c r="Y696" s="35"/>
      <c r="Z696" s="35"/>
    </row>
    <row r="697" ht="12.75" customHeight="1">
      <c r="A697" s="35"/>
      <c r="B697" s="35"/>
      <c r="C697" s="35"/>
      <c r="D697" s="35"/>
      <c r="E697" s="35"/>
      <c r="F697" s="35"/>
      <c r="G697" s="35"/>
      <c r="H697" s="35"/>
      <c r="I697" s="35"/>
      <c r="J697" s="35"/>
      <c r="K697" s="35"/>
      <c r="L697" s="35"/>
      <c r="M697" s="35"/>
      <c r="N697" s="35"/>
      <c r="O697" s="35"/>
      <c r="P697" s="35"/>
      <c r="Q697" s="35"/>
      <c r="R697" s="35"/>
      <c r="S697" s="35"/>
      <c r="T697" s="35"/>
      <c r="U697" s="35"/>
      <c r="V697" s="35"/>
      <c r="W697" s="35"/>
      <c r="X697" s="35"/>
      <c r="Y697" s="35"/>
      <c r="Z697" s="35"/>
    </row>
    <row r="698" ht="12.75" customHeight="1">
      <c r="A698" s="35"/>
      <c r="B698" s="35"/>
      <c r="C698" s="35"/>
      <c r="D698" s="35"/>
      <c r="E698" s="35"/>
      <c r="F698" s="35"/>
      <c r="G698" s="35"/>
      <c r="H698" s="35"/>
      <c r="I698" s="35"/>
      <c r="J698" s="35"/>
      <c r="K698" s="35"/>
      <c r="L698" s="35"/>
      <c r="M698" s="35"/>
      <c r="N698" s="35"/>
      <c r="O698" s="35"/>
      <c r="P698" s="35"/>
      <c r="Q698" s="35"/>
      <c r="R698" s="35"/>
      <c r="S698" s="35"/>
      <c r="T698" s="35"/>
      <c r="U698" s="35"/>
      <c r="V698" s="35"/>
      <c r="W698" s="35"/>
      <c r="X698" s="35"/>
      <c r="Y698" s="35"/>
      <c r="Z698" s="35"/>
    </row>
    <row r="699" ht="12.75" customHeight="1">
      <c r="A699" s="35"/>
      <c r="B699" s="35"/>
      <c r="C699" s="35"/>
      <c r="D699" s="35"/>
      <c r="E699" s="35"/>
      <c r="F699" s="35"/>
      <c r="G699" s="35"/>
      <c r="H699" s="35"/>
      <c r="I699" s="35"/>
      <c r="J699" s="35"/>
      <c r="K699" s="35"/>
      <c r="L699" s="35"/>
      <c r="M699" s="35"/>
      <c r="N699" s="35"/>
      <c r="O699" s="35"/>
      <c r="P699" s="35"/>
      <c r="Q699" s="35"/>
      <c r="R699" s="35"/>
      <c r="S699" s="35"/>
      <c r="T699" s="35"/>
      <c r="U699" s="35"/>
      <c r="V699" s="35"/>
      <c r="W699" s="35"/>
      <c r="X699" s="35"/>
      <c r="Y699" s="35"/>
      <c r="Z699" s="35"/>
    </row>
    <row r="700" ht="12.75" customHeight="1">
      <c r="A700" s="35"/>
      <c r="B700" s="35"/>
      <c r="C700" s="35"/>
      <c r="D700" s="35"/>
      <c r="E700" s="35"/>
      <c r="F700" s="35"/>
      <c r="G700" s="35"/>
      <c r="H700" s="35"/>
      <c r="I700" s="35"/>
      <c r="J700" s="35"/>
      <c r="K700" s="35"/>
      <c r="L700" s="35"/>
      <c r="M700" s="35"/>
      <c r="N700" s="35"/>
      <c r="O700" s="35"/>
      <c r="P700" s="35"/>
      <c r="Q700" s="35"/>
      <c r="R700" s="35"/>
      <c r="S700" s="35"/>
      <c r="T700" s="35"/>
      <c r="U700" s="35"/>
      <c r="V700" s="35"/>
      <c r="W700" s="35"/>
      <c r="X700" s="35"/>
      <c r="Y700" s="35"/>
      <c r="Z700" s="35"/>
    </row>
    <row r="701" ht="12.75" customHeight="1">
      <c r="A701" s="35"/>
      <c r="B701" s="35"/>
      <c r="C701" s="35"/>
      <c r="D701" s="35"/>
      <c r="E701" s="35"/>
      <c r="F701" s="35"/>
      <c r="G701" s="35"/>
      <c r="H701" s="35"/>
      <c r="I701" s="35"/>
      <c r="J701" s="35"/>
      <c r="K701" s="35"/>
      <c r="L701" s="35"/>
      <c r="M701" s="35"/>
      <c r="N701" s="35"/>
      <c r="O701" s="35"/>
      <c r="P701" s="35"/>
      <c r="Q701" s="35"/>
      <c r="R701" s="35"/>
      <c r="S701" s="35"/>
      <c r="T701" s="35"/>
      <c r="U701" s="35"/>
      <c r="V701" s="35"/>
      <c r="W701" s="35"/>
      <c r="X701" s="35"/>
      <c r="Y701" s="35"/>
      <c r="Z701" s="35"/>
    </row>
    <row r="702" ht="12.75" customHeight="1">
      <c r="A702" s="35"/>
      <c r="B702" s="35"/>
      <c r="C702" s="35"/>
      <c r="D702" s="35"/>
      <c r="E702" s="35"/>
      <c r="F702" s="35"/>
      <c r="G702" s="35"/>
      <c r="H702" s="35"/>
      <c r="I702" s="35"/>
      <c r="J702" s="35"/>
      <c r="K702" s="35"/>
      <c r="L702" s="35"/>
      <c r="M702" s="35"/>
      <c r="N702" s="35"/>
      <c r="O702" s="35"/>
      <c r="P702" s="35"/>
      <c r="Q702" s="35"/>
      <c r="R702" s="35"/>
      <c r="S702" s="35"/>
      <c r="T702" s="35"/>
      <c r="U702" s="35"/>
      <c r="V702" s="35"/>
      <c r="W702" s="35"/>
      <c r="X702" s="35"/>
      <c r="Y702" s="35"/>
      <c r="Z702" s="35"/>
    </row>
    <row r="703" ht="12.75" customHeight="1">
      <c r="A703" s="35"/>
      <c r="B703" s="35"/>
      <c r="C703" s="35"/>
      <c r="D703" s="35"/>
      <c r="E703" s="35"/>
      <c r="F703" s="35"/>
      <c r="G703" s="35"/>
      <c r="H703" s="35"/>
      <c r="I703" s="35"/>
      <c r="J703" s="35"/>
      <c r="K703" s="35"/>
      <c r="L703" s="35"/>
      <c r="M703" s="35"/>
      <c r="N703" s="35"/>
      <c r="O703" s="35"/>
      <c r="P703" s="35"/>
      <c r="Q703" s="35"/>
      <c r="R703" s="35"/>
      <c r="S703" s="35"/>
      <c r="T703" s="35"/>
      <c r="U703" s="35"/>
      <c r="V703" s="35"/>
      <c r="W703" s="35"/>
      <c r="X703" s="35"/>
      <c r="Y703" s="35"/>
      <c r="Z703" s="35"/>
    </row>
    <row r="704" ht="12.75" customHeight="1">
      <c r="A704" s="35"/>
      <c r="B704" s="35"/>
      <c r="C704" s="35"/>
      <c r="D704" s="35"/>
      <c r="E704" s="35"/>
      <c r="F704" s="35"/>
      <c r="G704" s="35"/>
      <c r="H704" s="35"/>
      <c r="I704" s="35"/>
      <c r="J704" s="35"/>
      <c r="K704" s="35"/>
      <c r="L704" s="35"/>
      <c r="M704" s="35"/>
      <c r="N704" s="35"/>
      <c r="O704" s="35"/>
      <c r="P704" s="35"/>
      <c r="Q704" s="35"/>
      <c r="R704" s="35"/>
      <c r="S704" s="35"/>
      <c r="T704" s="35"/>
      <c r="U704" s="35"/>
      <c r="V704" s="35"/>
      <c r="W704" s="35"/>
      <c r="X704" s="35"/>
      <c r="Y704" s="35"/>
      <c r="Z704" s="35"/>
    </row>
    <row r="705" ht="12.75" customHeight="1">
      <c r="A705" s="35"/>
      <c r="B705" s="35"/>
      <c r="C705" s="35"/>
      <c r="D705" s="35"/>
      <c r="E705" s="35"/>
      <c r="F705" s="35"/>
      <c r="G705" s="35"/>
      <c r="H705" s="35"/>
      <c r="I705" s="35"/>
      <c r="J705" s="35"/>
      <c r="K705" s="35"/>
      <c r="L705" s="35"/>
      <c r="M705" s="35"/>
      <c r="N705" s="35"/>
      <c r="O705" s="35"/>
      <c r="P705" s="35"/>
      <c r="Q705" s="35"/>
      <c r="R705" s="35"/>
      <c r="S705" s="35"/>
      <c r="T705" s="35"/>
      <c r="U705" s="35"/>
      <c r="V705" s="35"/>
      <c r="W705" s="35"/>
      <c r="X705" s="35"/>
      <c r="Y705" s="35"/>
      <c r="Z705" s="35"/>
    </row>
    <row r="706" ht="12.75" customHeight="1">
      <c r="A706" s="35"/>
      <c r="B706" s="35"/>
      <c r="C706" s="35"/>
      <c r="D706" s="35"/>
      <c r="E706" s="35"/>
      <c r="F706" s="35"/>
      <c r="G706" s="35"/>
      <c r="H706" s="35"/>
      <c r="I706" s="35"/>
      <c r="J706" s="35"/>
      <c r="K706" s="35"/>
      <c r="L706" s="35"/>
      <c r="M706" s="35"/>
      <c r="N706" s="35"/>
      <c r="O706" s="35"/>
      <c r="P706" s="35"/>
      <c r="Q706" s="35"/>
      <c r="R706" s="35"/>
      <c r="S706" s="35"/>
      <c r="T706" s="35"/>
      <c r="U706" s="35"/>
      <c r="V706" s="35"/>
      <c r="W706" s="35"/>
      <c r="X706" s="35"/>
      <c r="Y706" s="35"/>
      <c r="Z706" s="35"/>
    </row>
    <row r="707" ht="12.75" customHeight="1">
      <c r="A707" s="35"/>
      <c r="B707" s="35"/>
      <c r="C707" s="35"/>
      <c r="D707" s="35"/>
      <c r="E707" s="35"/>
      <c r="F707" s="35"/>
      <c r="G707" s="35"/>
      <c r="H707" s="35"/>
      <c r="I707" s="35"/>
      <c r="J707" s="35"/>
      <c r="K707" s="35"/>
      <c r="L707" s="35"/>
      <c r="M707" s="35"/>
      <c r="N707" s="35"/>
      <c r="O707" s="35"/>
      <c r="P707" s="35"/>
      <c r="Q707" s="35"/>
      <c r="R707" s="35"/>
      <c r="S707" s="35"/>
      <c r="T707" s="35"/>
      <c r="U707" s="35"/>
      <c r="V707" s="35"/>
      <c r="W707" s="35"/>
      <c r="X707" s="35"/>
      <c r="Y707" s="35"/>
      <c r="Z707" s="35"/>
    </row>
    <row r="708" ht="12.75" customHeight="1">
      <c r="A708" s="35"/>
      <c r="B708" s="35"/>
      <c r="C708" s="35"/>
      <c r="D708" s="35"/>
      <c r="E708" s="35"/>
      <c r="F708" s="35"/>
      <c r="G708" s="35"/>
      <c r="H708" s="35"/>
      <c r="I708" s="35"/>
      <c r="J708" s="35"/>
      <c r="K708" s="35"/>
      <c r="L708" s="35"/>
      <c r="M708" s="35"/>
      <c r="N708" s="35"/>
      <c r="O708" s="35"/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5"/>
    </row>
    <row r="709" ht="12.75" customHeight="1">
      <c r="A709" s="35"/>
      <c r="B709" s="35"/>
      <c r="C709" s="35"/>
      <c r="D709" s="35"/>
      <c r="E709" s="35"/>
      <c r="F709" s="35"/>
      <c r="G709" s="35"/>
      <c r="H709" s="35"/>
      <c r="I709" s="35"/>
      <c r="J709" s="35"/>
      <c r="K709" s="35"/>
      <c r="L709" s="35"/>
      <c r="M709" s="35"/>
      <c r="N709" s="35"/>
      <c r="O709" s="35"/>
      <c r="P709" s="35"/>
      <c r="Q709" s="35"/>
      <c r="R709" s="35"/>
      <c r="S709" s="35"/>
      <c r="T709" s="35"/>
      <c r="U709" s="35"/>
      <c r="V709" s="35"/>
      <c r="W709" s="35"/>
      <c r="X709" s="35"/>
      <c r="Y709" s="35"/>
      <c r="Z709" s="35"/>
    </row>
    <row r="710" ht="12.75" customHeight="1">
      <c r="A710" s="35"/>
      <c r="B710" s="35"/>
      <c r="C710" s="35"/>
      <c r="D710" s="35"/>
      <c r="E710" s="35"/>
      <c r="F710" s="35"/>
      <c r="G710" s="35"/>
      <c r="H710" s="35"/>
      <c r="I710" s="35"/>
      <c r="J710" s="35"/>
      <c r="K710" s="35"/>
      <c r="L710" s="35"/>
      <c r="M710" s="35"/>
      <c r="N710" s="35"/>
      <c r="O710" s="35"/>
      <c r="P710" s="35"/>
      <c r="Q710" s="35"/>
      <c r="R710" s="35"/>
      <c r="S710" s="35"/>
      <c r="T710" s="35"/>
      <c r="U710" s="35"/>
      <c r="V710" s="35"/>
      <c r="W710" s="35"/>
      <c r="X710" s="35"/>
      <c r="Y710" s="35"/>
      <c r="Z710" s="35"/>
    </row>
    <row r="711" ht="12.75" customHeight="1">
      <c r="A711" s="35"/>
      <c r="B711" s="35"/>
      <c r="C711" s="35"/>
      <c r="D711" s="35"/>
      <c r="E711" s="35"/>
      <c r="F711" s="35"/>
      <c r="G711" s="35"/>
      <c r="H711" s="35"/>
      <c r="I711" s="35"/>
      <c r="J711" s="35"/>
      <c r="K711" s="35"/>
      <c r="L711" s="35"/>
      <c r="M711" s="35"/>
      <c r="N711" s="35"/>
      <c r="O711" s="35"/>
      <c r="P711" s="35"/>
      <c r="Q711" s="35"/>
      <c r="R711" s="35"/>
      <c r="S711" s="35"/>
      <c r="T711" s="35"/>
      <c r="U711" s="35"/>
      <c r="V711" s="35"/>
      <c r="W711" s="35"/>
      <c r="X711" s="35"/>
      <c r="Y711" s="35"/>
      <c r="Z711" s="35"/>
    </row>
    <row r="712" ht="12.75" customHeight="1">
      <c r="A712" s="35"/>
      <c r="B712" s="35"/>
      <c r="C712" s="35"/>
      <c r="D712" s="35"/>
      <c r="E712" s="35"/>
      <c r="F712" s="35"/>
      <c r="G712" s="35"/>
      <c r="H712" s="35"/>
      <c r="I712" s="35"/>
      <c r="J712" s="35"/>
      <c r="K712" s="35"/>
      <c r="L712" s="35"/>
      <c r="M712" s="35"/>
      <c r="N712" s="35"/>
      <c r="O712" s="35"/>
      <c r="P712" s="35"/>
      <c r="Q712" s="35"/>
      <c r="R712" s="35"/>
      <c r="S712" s="35"/>
      <c r="T712" s="35"/>
      <c r="U712" s="35"/>
      <c r="V712" s="35"/>
      <c r="W712" s="35"/>
      <c r="X712" s="35"/>
      <c r="Y712" s="35"/>
      <c r="Z712" s="35"/>
    </row>
    <row r="713" ht="12.75" customHeight="1">
      <c r="A713" s="35"/>
      <c r="B713" s="35"/>
      <c r="C713" s="35"/>
      <c r="D713" s="35"/>
      <c r="E713" s="35"/>
      <c r="F713" s="35"/>
      <c r="G713" s="35"/>
      <c r="H713" s="35"/>
      <c r="I713" s="35"/>
      <c r="J713" s="35"/>
      <c r="K713" s="35"/>
      <c r="L713" s="35"/>
      <c r="M713" s="35"/>
      <c r="N713" s="35"/>
      <c r="O713" s="35"/>
      <c r="P713" s="35"/>
      <c r="Q713" s="35"/>
      <c r="R713" s="35"/>
      <c r="S713" s="35"/>
      <c r="T713" s="35"/>
      <c r="U713" s="35"/>
      <c r="V713" s="35"/>
      <c r="W713" s="35"/>
      <c r="X713" s="35"/>
      <c r="Y713" s="35"/>
      <c r="Z713" s="35"/>
    </row>
    <row r="714" ht="12.75" customHeight="1">
      <c r="A714" s="35"/>
      <c r="B714" s="35"/>
      <c r="C714" s="35"/>
      <c r="D714" s="35"/>
      <c r="E714" s="35"/>
      <c r="F714" s="35"/>
      <c r="G714" s="35"/>
      <c r="H714" s="35"/>
      <c r="I714" s="35"/>
      <c r="J714" s="35"/>
      <c r="K714" s="35"/>
      <c r="L714" s="35"/>
      <c r="M714" s="35"/>
      <c r="N714" s="35"/>
      <c r="O714" s="35"/>
      <c r="P714" s="35"/>
      <c r="Q714" s="35"/>
      <c r="R714" s="35"/>
      <c r="S714" s="35"/>
      <c r="T714" s="35"/>
      <c r="U714" s="35"/>
      <c r="V714" s="35"/>
      <c r="W714" s="35"/>
      <c r="X714" s="35"/>
      <c r="Y714" s="35"/>
      <c r="Z714" s="35"/>
    </row>
    <row r="715" ht="12.75" customHeight="1">
      <c r="A715" s="35"/>
      <c r="B715" s="35"/>
      <c r="C715" s="35"/>
      <c r="D715" s="35"/>
      <c r="E715" s="35"/>
      <c r="F715" s="35"/>
      <c r="G715" s="35"/>
      <c r="H715" s="35"/>
      <c r="I715" s="35"/>
      <c r="J715" s="35"/>
      <c r="K715" s="35"/>
      <c r="L715" s="35"/>
      <c r="M715" s="35"/>
      <c r="N715" s="35"/>
      <c r="O715" s="35"/>
      <c r="P715" s="35"/>
      <c r="Q715" s="35"/>
      <c r="R715" s="35"/>
      <c r="S715" s="35"/>
      <c r="T715" s="35"/>
      <c r="U715" s="35"/>
      <c r="V715" s="35"/>
      <c r="W715" s="35"/>
      <c r="X715" s="35"/>
      <c r="Y715" s="35"/>
      <c r="Z715" s="35"/>
    </row>
    <row r="716" ht="12.75" customHeight="1">
      <c r="A716" s="35"/>
      <c r="B716" s="35"/>
      <c r="C716" s="35"/>
      <c r="D716" s="35"/>
      <c r="E716" s="35"/>
      <c r="F716" s="35"/>
      <c r="G716" s="35"/>
      <c r="H716" s="35"/>
      <c r="I716" s="35"/>
      <c r="J716" s="35"/>
      <c r="K716" s="35"/>
      <c r="L716" s="35"/>
      <c r="M716" s="35"/>
      <c r="N716" s="35"/>
      <c r="O716" s="35"/>
      <c r="P716" s="35"/>
      <c r="Q716" s="35"/>
      <c r="R716" s="35"/>
      <c r="S716" s="35"/>
      <c r="T716" s="35"/>
      <c r="U716" s="35"/>
      <c r="V716" s="35"/>
      <c r="W716" s="35"/>
      <c r="X716" s="35"/>
      <c r="Y716" s="35"/>
      <c r="Z716" s="35"/>
    </row>
    <row r="717" ht="12.75" customHeight="1">
      <c r="A717" s="35"/>
      <c r="B717" s="35"/>
      <c r="C717" s="35"/>
      <c r="D717" s="35"/>
      <c r="E717" s="35"/>
      <c r="F717" s="35"/>
      <c r="G717" s="35"/>
      <c r="H717" s="35"/>
      <c r="I717" s="35"/>
      <c r="J717" s="35"/>
      <c r="K717" s="35"/>
      <c r="L717" s="35"/>
      <c r="M717" s="35"/>
      <c r="N717" s="35"/>
      <c r="O717" s="35"/>
      <c r="P717" s="35"/>
      <c r="Q717" s="35"/>
      <c r="R717" s="35"/>
      <c r="S717" s="35"/>
      <c r="T717" s="35"/>
      <c r="U717" s="35"/>
      <c r="V717" s="35"/>
      <c r="W717" s="35"/>
      <c r="X717" s="35"/>
      <c r="Y717" s="35"/>
      <c r="Z717" s="35"/>
    </row>
    <row r="718" ht="12.75" customHeight="1">
      <c r="A718" s="35"/>
      <c r="B718" s="35"/>
      <c r="C718" s="35"/>
      <c r="D718" s="35"/>
      <c r="E718" s="35"/>
      <c r="F718" s="35"/>
      <c r="G718" s="35"/>
      <c r="H718" s="35"/>
      <c r="I718" s="35"/>
      <c r="J718" s="35"/>
      <c r="K718" s="35"/>
      <c r="L718" s="35"/>
      <c r="M718" s="35"/>
      <c r="N718" s="35"/>
      <c r="O718" s="35"/>
      <c r="P718" s="35"/>
      <c r="Q718" s="35"/>
      <c r="R718" s="35"/>
      <c r="S718" s="35"/>
      <c r="T718" s="35"/>
      <c r="U718" s="35"/>
      <c r="V718" s="35"/>
      <c r="W718" s="35"/>
      <c r="X718" s="35"/>
      <c r="Y718" s="35"/>
      <c r="Z718" s="35"/>
    </row>
    <row r="719" ht="12.75" customHeight="1">
      <c r="A719" s="35"/>
      <c r="B719" s="35"/>
      <c r="C719" s="35"/>
      <c r="D719" s="35"/>
      <c r="E719" s="35"/>
      <c r="F719" s="35"/>
      <c r="G719" s="35"/>
      <c r="H719" s="35"/>
      <c r="I719" s="35"/>
      <c r="J719" s="35"/>
      <c r="K719" s="35"/>
      <c r="L719" s="35"/>
      <c r="M719" s="35"/>
      <c r="N719" s="35"/>
      <c r="O719" s="35"/>
      <c r="P719" s="35"/>
      <c r="Q719" s="35"/>
      <c r="R719" s="35"/>
      <c r="S719" s="35"/>
      <c r="T719" s="35"/>
      <c r="U719" s="35"/>
      <c r="V719" s="35"/>
      <c r="W719" s="35"/>
      <c r="X719" s="35"/>
      <c r="Y719" s="35"/>
      <c r="Z719" s="35"/>
    </row>
    <row r="720" ht="12.75" customHeight="1">
      <c r="A720" s="35"/>
      <c r="B720" s="35"/>
      <c r="C720" s="35"/>
      <c r="D720" s="35"/>
      <c r="E720" s="35"/>
      <c r="F720" s="35"/>
      <c r="G720" s="35"/>
      <c r="H720" s="35"/>
      <c r="I720" s="35"/>
      <c r="J720" s="35"/>
      <c r="K720" s="35"/>
      <c r="L720" s="35"/>
      <c r="M720" s="35"/>
      <c r="N720" s="35"/>
      <c r="O720" s="35"/>
      <c r="P720" s="35"/>
      <c r="Q720" s="35"/>
      <c r="R720" s="35"/>
      <c r="S720" s="35"/>
      <c r="T720" s="35"/>
      <c r="U720" s="35"/>
      <c r="V720" s="35"/>
      <c r="W720" s="35"/>
      <c r="X720" s="35"/>
      <c r="Y720" s="35"/>
      <c r="Z720" s="35"/>
    </row>
    <row r="721" ht="12.75" customHeight="1">
      <c r="A721" s="35"/>
      <c r="B721" s="35"/>
      <c r="C721" s="35"/>
      <c r="D721" s="35"/>
      <c r="E721" s="35"/>
      <c r="F721" s="35"/>
      <c r="G721" s="35"/>
      <c r="H721" s="35"/>
      <c r="I721" s="35"/>
      <c r="J721" s="35"/>
      <c r="K721" s="35"/>
      <c r="L721" s="35"/>
      <c r="M721" s="35"/>
      <c r="N721" s="35"/>
      <c r="O721" s="35"/>
      <c r="P721" s="35"/>
      <c r="Q721" s="35"/>
      <c r="R721" s="35"/>
      <c r="S721" s="35"/>
      <c r="T721" s="35"/>
      <c r="U721" s="35"/>
      <c r="V721" s="35"/>
      <c r="W721" s="35"/>
      <c r="X721" s="35"/>
      <c r="Y721" s="35"/>
      <c r="Z721" s="35"/>
    </row>
    <row r="722" ht="12.75" customHeight="1">
      <c r="A722" s="35"/>
      <c r="B722" s="35"/>
      <c r="C722" s="35"/>
      <c r="D722" s="35"/>
      <c r="E722" s="35"/>
      <c r="F722" s="35"/>
      <c r="G722" s="35"/>
      <c r="H722" s="35"/>
      <c r="I722" s="35"/>
      <c r="J722" s="35"/>
      <c r="K722" s="35"/>
      <c r="L722" s="35"/>
      <c r="M722" s="35"/>
      <c r="N722" s="35"/>
      <c r="O722" s="35"/>
      <c r="P722" s="35"/>
      <c r="Q722" s="35"/>
      <c r="R722" s="35"/>
      <c r="S722" s="35"/>
      <c r="T722" s="35"/>
      <c r="U722" s="35"/>
      <c r="V722" s="35"/>
      <c r="W722" s="35"/>
      <c r="X722" s="35"/>
      <c r="Y722" s="35"/>
      <c r="Z722" s="35"/>
    </row>
    <row r="723" ht="12.75" customHeight="1">
      <c r="A723" s="35"/>
      <c r="B723" s="35"/>
      <c r="C723" s="35"/>
      <c r="D723" s="35"/>
      <c r="E723" s="35"/>
      <c r="F723" s="35"/>
      <c r="G723" s="35"/>
      <c r="H723" s="35"/>
      <c r="I723" s="35"/>
      <c r="J723" s="35"/>
      <c r="K723" s="35"/>
      <c r="L723" s="35"/>
      <c r="M723" s="35"/>
      <c r="N723" s="35"/>
      <c r="O723" s="35"/>
      <c r="P723" s="35"/>
      <c r="Q723" s="35"/>
      <c r="R723" s="35"/>
      <c r="S723" s="35"/>
      <c r="T723" s="35"/>
      <c r="U723" s="35"/>
      <c r="V723" s="35"/>
      <c r="W723" s="35"/>
      <c r="X723" s="35"/>
      <c r="Y723" s="35"/>
      <c r="Z723" s="35"/>
    </row>
    <row r="724" ht="12.75" customHeight="1">
      <c r="A724" s="35"/>
      <c r="B724" s="35"/>
      <c r="C724" s="35"/>
      <c r="D724" s="35"/>
      <c r="E724" s="35"/>
      <c r="F724" s="35"/>
      <c r="G724" s="35"/>
      <c r="H724" s="35"/>
      <c r="I724" s="35"/>
      <c r="J724" s="35"/>
      <c r="K724" s="35"/>
      <c r="L724" s="35"/>
      <c r="M724" s="35"/>
      <c r="N724" s="35"/>
      <c r="O724" s="35"/>
      <c r="P724" s="35"/>
      <c r="Q724" s="35"/>
      <c r="R724" s="35"/>
      <c r="S724" s="35"/>
      <c r="T724" s="35"/>
      <c r="U724" s="35"/>
      <c r="V724" s="35"/>
      <c r="W724" s="35"/>
      <c r="X724" s="35"/>
      <c r="Y724" s="35"/>
      <c r="Z724" s="35"/>
    </row>
    <row r="725" ht="12.75" customHeight="1">
      <c r="A725" s="35"/>
      <c r="B725" s="35"/>
      <c r="C725" s="35"/>
      <c r="D725" s="35"/>
      <c r="E725" s="35"/>
      <c r="F725" s="35"/>
      <c r="G725" s="35"/>
      <c r="H725" s="35"/>
      <c r="I725" s="35"/>
      <c r="J725" s="35"/>
      <c r="K725" s="35"/>
      <c r="L725" s="35"/>
      <c r="M725" s="35"/>
      <c r="N725" s="35"/>
      <c r="O725" s="35"/>
      <c r="P725" s="35"/>
      <c r="Q725" s="35"/>
      <c r="R725" s="35"/>
      <c r="S725" s="35"/>
      <c r="T725" s="35"/>
      <c r="U725" s="35"/>
      <c r="V725" s="35"/>
      <c r="W725" s="35"/>
      <c r="X725" s="35"/>
      <c r="Y725" s="35"/>
      <c r="Z725" s="35"/>
    </row>
    <row r="726" ht="12.75" customHeight="1">
      <c r="A726" s="35"/>
      <c r="B726" s="35"/>
      <c r="C726" s="35"/>
      <c r="D726" s="35"/>
      <c r="E726" s="35"/>
      <c r="F726" s="35"/>
      <c r="G726" s="35"/>
      <c r="H726" s="35"/>
      <c r="I726" s="35"/>
      <c r="J726" s="35"/>
      <c r="K726" s="35"/>
      <c r="L726" s="35"/>
      <c r="M726" s="35"/>
      <c r="N726" s="35"/>
      <c r="O726" s="35"/>
      <c r="P726" s="35"/>
      <c r="Q726" s="35"/>
      <c r="R726" s="35"/>
      <c r="S726" s="35"/>
      <c r="T726" s="35"/>
      <c r="U726" s="35"/>
      <c r="V726" s="35"/>
      <c r="W726" s="35"/>
      <c r="X726" s="35"/>
      <c r="Y726" s="35"/>
      <c r="Z726" s="35"/>
    </row>
    <row r="727" ht="12.75" customHeight="1">
      <c r="A727" s="35"/>
      <c r="B727" s="35"/>
      <c r="C727" s="35"/>
      <c r="D727" s="35"/>
      <c r="E727" s="35"/>
      <c r="F727" s="35"/>
      <c r="G727" s="35"/>
      <c r="H727" s="35"/>
      <c r="I727" s="35"/>
      <c r="J727" s="35"/>
      <c r="K727" s="35"/>
      <c r="L727" s="35"/>
      <c r="M727" s="35"/>
      <c r="N727" s="35"/>
      <c r="O727" s="35"/>
      <c r="P727" s="35"/>
      <c r="Q727" s="35"/>
      <c r="R727" s="35"/>
      <c r="S727" s="35"/>
      <c r="T727" s="35"/>
      <c r="U727" s="35"/>
      <c r="V727" s="35"/>
      <c r="W727" s="35"/>
      <c r="X727" s="35"/>
      <c r="Y727" s="35"/>
      <c r="Z727" s="35"/>
    </row>
    <row r="728" ht="12.75" customHeight="1">
      <c r="A728" s="35"/>
      <c r="B728" s="35"/>
      <c r="C728" s="35"/>
      <c r="D728" s="35"/>
      <c r="E728" s="35"/>
      <c r="F728" s="35"/>
      <c r="G728" s="35"/>
      <c r="H728" s="35"/>
      <c r="I728" s="35"/>
      <c r="J728" s="35"/>
      <c r="K728" s="35"/>
      <c r="L728" s="35"/>
      <c r="M728" s="35"/>
      <c r="N728" s="35"/>
      <c r="O728" s="35"/>
      <c r="P728" s="35"/>
      <c r="Q728" s="35"/>
      <c r="R728" s="35"/>
      <c r="S728" s="35"/>
      <c r="T728" s="35"/>
      <c r="U728" s="35"/>
      <c r="V728" s="35"/>
      <c r="W728" s="35"/>
      <c r="X728" s="35"/>
      <c r="Y728" s="35"/>
      <c r="Z728" s="35"/>
    </row>
    <row r="729" ht="12.75" customHeight="1">
      <c r="A729" s="35"/>
      <c r="B729" s="35"/>
      <c r="C729" s="35"/>
      <c r="D729" s="35"/>
      <c r="E729" s="35"/>
      <c r="F729" s="35"/>
      <c r="G729" s="35"/>
      <c r="H729" s="35"/>
      <c r="I729" s="35"/>
      <c r="J729" s="35"/>
      <c r="K729" s="35"/>
      <c r="L729" s="35"/>
      <c r="M729" s="35"/>
      <c r="N729" s="35"/>
      <c r="O729" s="35"/>
      <c r="P729" s="35"/>
      <c r="Q729" s="35"/>
      <c r="R729" s="35"/>
      <c r="S729" s="35"/>
      <c r="T729" s="35"/>
      <c r="U729" s="35"/>
      <c r="V729" s="35"/>
      <c r="W729" s="35"/>
      <c r="X729" s="35"/>
      <c r="Y729" s="35"/>
      <c r="Z729" s="35"/>
    </row>
    <row r="730" ht="12.75" customHeight="1">
      <c r="A730" s="35"/>
      <c r="B730" s="35"/>
      <c r="C730" s="35"/>
      <c r="D730" s="35"/>
      <c r="E730" s="35"/>
      <c r="F730" s="35"/>
      <c r="G730" s="35"/>
      <c r="H730" s="35"/>
      <c r="I730" s="35"/>
      <c r="J730" s="35"/>
      <c r="K730" s="35"/>
      <c r="L730" s="35"/>
      <c r="M730" s="35"/>
      <c r="N730" s="35"/>
      <c r="O730" s="35"/>
      <c r="P730" s="35"/>
      <c r="Q730" s="35"/>
      <c r="R730" s="35"/>
      <c r="S730" s="35"/>
      <c r="T730" s="35"/>
      <c r="U730" s="35"/>
      <c r="V730" s="35"/>
      <c r="W730" s="35"/>
      <c r="X730" s="35"/>
      <c r="Y730" s="35"/>
      <c r="Z730" s="35"/>
    </row>
    <row r="731" ht="12.75" customHeight="1">
      <c r="A731" s="35"/>
      <c r="B731" s="35"/>
      <c r="C731" s="35"/>
      <c r="D731" s="35"/>
      <c r="E731" s="35"/>
      <c r="F731" s="35"/>
      <c r="G731" s="35"/>
      <c r="H731" s="35"/>
      <c r="I731" s="35"/>
      <c r="J731" s="35"/>
      <c r="K731" s="35"/>
      <c r="L731" s="35"/>
      <c r="M731" s="35"/>
      <c r="N731" s="35"/>
      <c r="O731" s="35"/>
      <c r="P731" s="35"/>
      <c r="Q731" s="35"/>
      <c r="R731" s="35"/>
      <c r="S731" s="35"/>
      <c r="T731" s="35"/>
      <c r="U731" s="35"/>
      <c r="V731" s="35"/>
      <c r="W731" s="35"/>
      <c r="X731" s="35"/>
      <c r="Y731" s="35"/>
      <c r="Z731" s="35"/>
    </row>
    <row r="732" ht="12.75" customHeight="1">
      <c r="A732" s="35"/>
      <c r="B732" s="35"/>
      <c r="C732" s="35"/>
      <c r="D732" s="35"/>
      <c r="E732" s="35"/>
      <c r="F732" s="35"/>
      <c r="G732" s="35"/>
      <c r="H732" s="35"/>
      <c r="I732" s="35"/>
      <c r="J732" s="35"/>
      <c r="K732" s="35"/>
      <c r="L732" s="35"/>
      <c r="M732" s="35"/>
      <c r="N732" s="35"/>
      <c r="O732" s="35"/>
      <c r="P732" s="35"/>
      <c r="Q732" s="35"/>
      <c r="R732" s="35"/>
      <c r="S732" s="35"/>
      <c r="T732" s="35"/>
      <c r="U732" s="35"/>
      <c r="V732" s="35"/>
      <c r="W732" s="35"/>
      <c r="X732" s="35"/>
      <c r="Y732" s="35"/>
      <c r="Z732" s="35"/>
    </row>
    <row r="733" ht="12.75" customHeight="1">
      <c r="A733" s="35"/>
      <c r="B733" s="35"/>
      <c r="C733" s="35"/>
      <c r="D733" s="35"/>
      <c r="E733" s="35"/>
      <c r="F733" s="35"/>
      <c r="G733" s="35"/>
      <c r="H733" s="35"/>
      <c r="I733" s="35"/>
      <c r="J733" s="35"/>
      <c r="K733" s="35"/>
      <c r="L733" s="35"/>
      <c r="M733" s="35"/>
      <c r="N733" s="35"/>
      <c r="O733" s="35"/>
      <c r="P733" s="35"/>
      <c r="Q733" s="35"/>
      <c r="R733" s="35"/>
      <c r="S733" s="35"/>
      <c r="T733" s="35"/>
      <c r="U733" s="35"/>
      <c r="V733" s="35"/>
      <c r="W733" s="35"/>
      <c r="X733" s="35"/>
      <c r="Y733" s="35"/>
      <c r="Z733" s="35"/>
    </row>
    <row r="734" ht="12.75" customHeight="1">
      <c r="A734" s="35"/>
      <c r="B734" s="35"/>
      <c r="C734" s="35"/>
      <c r="D734" s="35"/>
      <c r="E734" s="35"/>
      <c r="F734" s="35"/>
      <c r="G734" s="35"/>
      <c r="H734" s="35"/>
      <c r="I734" s="35"/>
      <c r="J734" s="35"/>
      <c r="K734" s="35"/>
      <c r="L734" s="35"/>
      <c r="M734" s="35"/>
      <c r="N734" s="35"/>
      <c r="O734" s="35"/>
      <c r="P734" s="35"/>
      <c r="Q734" s="35"/>
      <c r="R734" s="35"/>
      <c r="S734" s="35"/>
      <c r="T734" s="35"/>
      <c r="U734" s="35"/>
      <c r="V734" s="35"/>
      <c r="W734" s="35"/>
      <c r="X734" s="35"/>
      <c r="Y734" s="35"/>
      <c r="Z734" s="35"/>
    </row>
    <row r="735" ht="12.75" customHeight="1">
      <c r="A735" s="35"/>
      <c r="B735" s="35"/>
      <c r="C735" s="35"/>
      <c r="D735" s="35"/>
      <c r="E735" s="35"/>
      <c r="F735" s="35"/>
      <c r="G735" s="35"/>
      <c r="H735" s="35"/>
      <c r="I735" s="35"/>
      <c r="J735" s="35"/>
      <c r="K735" s="35"/>
      <c r="L735" s="35"/>
      <c r="M735" s="35"/>
      <c r="N735" s="35"/>
      <c r="O735" s="35"/>
      <c r="P735" s="35"/>
      <c r="Q735" s="35"/>
      <c r="R735" s="35"/>
      <c r="S735" s="35"/>
      <c r="T735" s="35"/>
      <c r="U735" s="35"/>
      <c r="V735" s="35"/>
      <c r="W735" s="35"/>
      <c r="X735" s="35"/>
      <c r="Y735" s="35"/>
      <c r="Z735" s="35"/>
    </row>
    <row r="736" ht="12.75" customHeight="1">
      <c r="A736" s="35"/>
      <c r="B736" s="35"/>
      <c r="C736" s="35"/>
      <c r="D736" s="35"/>
      <c r="E736" s="35"/>
      <c r="F736" s="35"/>
      <c r="G736" s="35"/>
      <c r="H736" s="35"/>
      <c r="I736" s="35"/>
      <c r="J736" s="35"/>
      <c r="K736" s="35"/>
      <c r="L736" s="35"/>
      <c r="M736" s="35"/>
      <c r="N736" s="35"/>
      <c r="O736" s="35"/>
      <c r="P736" s="35"/>
      <c r="Q736" s="35"/>
      <c r="R736" s="35"/>
      <c r="S736" s="35"/>
      <c r="T736" s="35"/>
      <c r="U736" s="35"/>
      <c r="V736" s="35"/>
      <c r="W736" s="35"/>
      <c r="X736" s="35"/>
      <c r="Y736" s="35"/>
      <c r="Z736" s="35"/>
    </row>
    <row r="737" ht="12.75" customHeight="1">
      <c r="A737" s="35"/>
      <c r="B737" s="35"/>
      <c r="C737" s="35"/>
      <c r="D737" s="35"/>
      <c r="E737" s="35"/>
      <c r="F737" s="35"/>
      <c r="G737" s="35"/>
      <c r="H737" s="35"/>
      <c r="I737" s="35"/>
      <c r="J737" s="35"/>
      <c r="K737" s="35"/>
      <c r="L737" s="35"/>
      <c r="M737" s="35"/>
      <c r="N737" s="35"/>
      <c r="O737" s="35"/>
      <c r="P737" s="35"/>
      <c r="Q737" s="35"/>
      <c r="R737" s="35"/>
      <c r="S737" s="35"/>
      <c r="T737" s="35"/>
      <c r="U737" s="35"/>
      <c r="V737" s="35"/>
      <c r="W737" s="35"/>
      <c r="X737" s="35"/>
      <c r="Y737" s="35"/>
      <c r="Z737" s="35"/>
    </row>
    <row r="738" ht="12.75" customHeight="1">
      <c r="A738" s="35"/>
      <c r="B738" s="35"/>
      <c r="C738" s="35"/>
      <c r="D738" s="35"/>
      <c r="E738" s="35"/>
      <c r="F738" s="35"/>
      <c r="G738" s="35"/>
      <c r="H738" s="35"/>
      <c r="I738" s="35"/>
      <c r="J738" s="35"/>
      <c r="K738" s="35"/>
      <c r="L738" s="35"/>
      <c r="M738" s="35"/>
      <c r="N738" s="35"/>
      <c r="O738" s="35"/>
      <c r="P738" s="35"/>
      <c r="Q738" s="35"/>
      <c r="R738" s="35"/>
      <c r="S738" s="35"/>
      <c r="T738" s="35"/>
      <c r="U738" s="35"/>
      <c r="V738" s="35"/>
      <c r="W738" s="35"/>
      <c r="X738" s="35"/>
      <c r="Y738" s="35"/>
      <c r="Z738" s="35"/>
    </row>
    <row r="739" ht="12.75" customHeight="1">
      <c r="A739" s="35"/>
      <c r="B739" s="35"/>
      <c r="C739" s="35"/>
      <c r="D739" s="35"/>
      <c r="E739" s="35"/>
      <c r="F739" s="35"/>
      <c r="G739" s="35"/>
      <c r="H739" s="35"/>
      <c r="I739" s="35"/>
      <c r="J739" s="35"/>
      <c r="K739" s="35"/>
      <c r="L739" s="35"/>
      <c r="M739" s="35"/>
      <c r="N739" s="35"/>
      <c r="O739" s="35"/>
      <c r="P739" s="35"/>
      <c r="Q739" s="35"/>
      <c r="R739" s="35"/>
      <c r="S739" s="35"/>
      <c r="T739" s="35"/>
      <c r="U739" s="35"/>
      <c r="V739" s="35"/>
      <c r="W739" s="35"/>
      <c r="X739" s="35"/>
      <c r="Y739" s="35"/>
      <c r="Z739" s="35"/>
    </row>
    <row r="740" ht="12.75" customHeight="1">
      <c r="A740" s="35"/>
      <c r="B740" s="35"/>
      <c r="C740" s="35"/>
      <c r="D740" s="35"/>
      <c r="E740" s="35"/>
      <c r="F740" s="35"/>
      <c r="G740" s="35"/>
      <c r="H740" s="35"/>
      <c r="I740" s="35"/>
      <c r="J740" s="35"/>
      <c r="K740" s="35"/>
      <c r="L740" s="35"/>
      <c r="M740" s="35"/>
      <c r="N740" s="35"/>
      <c r="O740" s="35"/>
      <c r="P740" s="35"/>
      <c r="Q740" s="35"/>
      <c r="R740" s="35"/>
      <c r="S740" s="35"/>
      <c r="T740" s="35"/>
      <c r="U740" s="35"/>
      <c r="V740" s="35"/>
      <c r="W740" s="35"/>
      <c r="X740" s="35"/>
      <c r="Y740" s="35"/>
      <c r="Z740" s="35"/>
    </row>
    <row r="741" ht="12.75" customHeight="1">
      <c r="A741" s="35"/>
      <c r="B741" s="35"/>
      <c r="C741" s="35"/>
      <c r="D741" s="35"/>
      <c r="E741" s="35"/>
      <c r="F741" s="35"/>
      <c r="G741" s="35"/>
      <c r="H741" s="35"/>
      <c r="I741" s="35"/>
      <c r="J741" s="35"/>
      <c r="K741" s="35"/>
      <c r="L741" s="35"/>
      <c r="M741" s="35"/>
      <c r="N741" s="35"/>
      <c r="O741" s="35"/>
      <c r="P741" s="35"/>
      <c r="Q741" s="35"/>
      <c r="R741" s="35"/>
      <c r="S741" s="35"/>
      <c r="T741" s="35"/>
      <c r="U741" s="35"/>
      <c r="V741" s="35"/>
      <c r="W741" s="35"/>
      <c r="X741" s="35"/>
      <c r="Y741" s="35"/>
      <c r="Z741" s="35"/>
    </row>
    <row r="742" ht="12.75" customHeight="1">
      <c r="A742" s="35"/>
      <c r="B742" s="35"/>
      <c r="C742" s="35"/>
      <c r="D742" s="35"/>
      <c r="E742" s="35"/>
      <c r="F742" s="35"/>
      <c r="G742" s="35"/>
      <c r="H742" s="35"/>
      <c r="I742" s="35"/>
      <c r="J742" s="35"/>
      <c r="K742" s="35"/>
      <c r="L742" s="35"/>
      <c r="M742" s="35"/>
      <c r="N742" s="35"/>
      <c r="O742" s="35"/>
      <c r="P742" s="35"/>
      <c r="Q742" s="35"/>
      <c r="R742" s="35"/>
      <c r="S742" s="35"/>
      <c r="T742" s="35"/>
      <c r="U742" s="35"/>
      <c r="V742" s="35"/>
      <c r="W742" s="35"/>
      <c r="X742" s="35"/>
      <c r="Y742" s="35"/>
      <c r="Z742" s="35"/>
    </row>
    <row r="743" ht="12.75" customHeight="1">
      <c r="A743" s="35"/>
      <c r="B743" s="35"/>
      <c r="C743" s="35"/>
      <c r="D743" s="35"/>
      <c r="E743" s="35"/>
      <c r="F743" s="35"/>
      <c r="G743" s="35"/>
      <c r="H743" s="35"/>
      <c r="I743" s="35"/>
      <c r="J743" s="35"/>
      <c r="K743" s="35"/>
      <c r="L743" s="35"/>
      <c r="M743" s="35"/>
      <c r="N743" s="35"/>
      <c r="O743" s="35"/>
      <c r="P743" s="35"/>
      <c r="Q743" s="35"/>
      <c r="R743" s="35"/>
      <c r="S743" s="35"/>
      <c r="T743" s="35"/>
      <c r="U743" s="35"/>
      <c r="V743" s="35"/>
      <c r="W743" s="35"/>
      <c r="X743" s="35"/>
      <c r="Y743" s="35"/>
      <c r="Z743" s="35"/>
    </row>
    <row r="744" ht="12.75" customHeight="1">
      <c r="A744" s="35"/>
      <c r="B744" s="35"/>
      <c r="C744" s="35"/>
      <c r="D744" s="35"/>
      <c r="E744" s="35"/>
      <c r="F744" s="35"/>
      <c r="G744" s="35"/>
      <c r="H744" s="35"/>
      <c r="I744" s="35"/>
      <c r="J744" s="35"/>
      <c r="K744" s="35"/>
      <c r="L744" s="35"/>
      <c r="M744" s="35"/>
      <c r="N744" s="35"/>
      <c r="O744" s="35"/>
      <c r="P744" s="35"/>
      <c r="Q744" s="35"/>
      <c r="R744" s="35"/>
      <c r="S744" s="35"/>
      <c r="T744" s="35"/>
      <c r="U744" s="35"/>
      <c r="V744" s="35"/>
      <c r="W744" s="35"/>
      <c r="X744" s="35"/>
      <c r="Y744" s="35"/>
      <c r="Z744" s="35"/>
    </row>
    <row r="745" ht="12.75" customHeight="1">
      <c r="A745" s="35"/>
      <c r="B745" s="35"/>
      <c r="C745" s="35"/>
      <c r="D745" s="35"/>
      <c r="E745" s="35"/>
      <c r="F745" s="35"/>
      <c r="G745" s="35"/>
      <c r="H745" s="35"/>
      <c r="I745" s="35"/>
      <c r="J745" s="35"/>
      <c r="K745" s="35"/>
      <c r="L745" s="35"/>
      <c r="M745" s="35"/>
      <c r="N745" s="35"/>
      <c r="O745" s="35"/>
      <c r="P745" s="35"/>
      <c r="Q745" s="35"/>
      <c r="R745" s="35"/>
      <c r="S745" s="35"/>
      <c r="T745" s="35"/>
      <c r="U745" s="35"/>
      <c r="V745" s="35"/>
      <c r="W745" s="35"/>
      <c r="X745" s="35"/>
      <c r="Y745" s="35"/>
      <c r="Z745" s="35"/>
    </row>
    <row r="746" ht="12.75" customHeight="1">
      <c r="A746" s="35"/>
      <c r="B746" s="35"/>
      <c r="C746" s="35"/>
      <c r="D746" s="35"/>
      <c r="E746" s="35"/>
      <c r="F746" s="35"/>
      <c r="G746" s="35"/>
      <c r="H746" s="35"/>
      <c r="I746" s="35"/>
      <c r="J746" s="35"/>
      <c r="K746" s="35"/>
      <c r="L746" s="35"/>
      <c r="M746" s="35"/>
      <c r="N746" s="35"/>
      <c r="O746" s="35"/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5"/>
    </row>
    <row r="747" ht="12.75" customHeight="1">
      <c r="A747" s="35"/>
      <c r="B747" s="35"/>
      <c r="C747" s="35"/>
      <c r="D747" s="35"/>
      <c r="E747" s="35"/>
      <c r="F747" s="35"/>
      <c r="G747" s="35"/>
      <c r="H747" s="35"/>
      <c r="I747" s="35"/>
      <c r="J747" s="35"/>
      <c r="K747" s="35"/>
      <c r="L747" s="35"/>
      <c r="M747" s="35"/>
      <c r="N747" s="35"/>
      <c r="O747" s="35"/>
      <c r="P747" s="35"/>
      <c r="Q747" s="35"/>
      <c r="R747" s="35"/>
      <c r="S747" s="35"/>
      <c r="T747" s="35"/>
      <c r="U747" s="35"/>
      <c r="V747" s="35"/>
      <c r="W747" s="35"/>
      <c r="X747" s="35"/>
      <c r="Y747" s="35"/>
      <c r="Z747" s="35"/>
    </row>
    <row r="748" ht="12.75" customHeight="1">
      <c r="A748" s="35"/>
      <c r="B748" s="35"/>
      <c r="C748" s="35"/>
      <c r="D748" s="35"/>
      <c r="E748" s="35"/>
      <c r="F748" s="35"/>
      <c r="G748" s="35"/>
      <c r="H748" s="35"/>
      <c r="I748" s="35"/>
      <c r="J748" s="35"/>
      <c r="K748" s="35"/>
      <c r="L748" s="35"/>
      <c r="M748" s="35"/>
      <c r="N748" s="35"/>
      <c r="O748" s="35"/>
      <c r="P748" s="35"/>
      <c r="Q748" s="35"/>
      <c r="R748" s="35"/>
      <c r="S748" s="35"/>
      <c r="T748" s="35"/>
      <c r="U748" s="35"/>
      <c r="V748" s="35"/>
      <c r="W748" s="35"/>
      <c r="X748" s="35"/>
      <c r="Y748" s="35"/>
      <c r="Z748" s="35"/>
    </row>
    <row r="749" ht="12.75" customHeight="1">
      <c r="A749" s="35"/>
      <c r="B749" s="35"/>
      <c r="C749" s="35"/>
      <c r="D749" s="35"/>
      <c r="E749" s="35"/>
      <c r="F749" s="35"/>
      <c r="G749" s="35"/>
      <c r="H749" s="35"/>
      <c r="I749" s="35"/>
      <c r="J749" s="35"/>
      <c r="K749" s="35"/>
      <c r="L749" s="35"/>
      <c r="M749" s="35"/>
      <c r="N749" s="35"/>
      <c r="O749" s="35"/>
      <c r="P749" s="35"/>
      <c r="Q749" s="35"/>
      <c r="R749" s="35"/>
      <c r="S749" s="35"/>
      <c r="T749" s="35"/>
      <c r="U749" s="35"/>
      <c r="V749" s="35"/>
      <c r="W749" s="35"/>
      <c r="X749" s="35"/>
      <c r="Y749" s="35"/>
      <c r="Z749" s="35"/>
    </row>
    <row r="750" ht="12.75" customHeight="1">
      <c r="A750" s="35"/>
      <c r="B750" s="35"/>
      <c r="C750" s="35"/>
      <c r="D750" s="35"/>
      <c r="E750" s="35"/>
      <c r="F750" s="35"/>
      <c r="G750" s="35"/>
      <c r="H750" s="35"/>
      <c r="I750" s="35"/>
      <c r="J750" s="35"/>
      <c r="K750" s="35"/>
      <c r="L750" s="35"/>
      <c r="M750" s="35"/>
      <c r="N750" s="35"/>
      <c r="O750" s="35"/>
      <c r="P750" s="35"/>
      <c r="Q750" s="35"/>
      <c r="R750" s="35"/>
      <c r="S750" s="35"/>
      <c r="T750" s="35"/>
      <c r="U750" s="35"/>
      <c r="V750" s="35"/>
      <c r="W750" s="35"/>
      <c r="X750" s="35"/>
      <c r="Y750" s="35"/>
      <c r="Z750" s="35"/>
    </row>
    <row r="751" ht="12.75" customHeight="1">
      <c r="A751" s="35"/>
      <c r="B751" s="35"/>
      <c r="C751" s="35"/>
      <c r="D751" s="35"/>
      <c r="E751" s="35"/>
      <c r="F751" s="35"/>
      <c r="G751" s="35"/>
      <c r="H751" s="35"/>
      <c r="I751" s="35"/>
      <c r="J751" s="35"/>
      <c r="K751" s="35"/>
      <c r="L751" s="35"/>
      <c r="M751" s="35"/>
      <c r="N751" s="35"/>
      <c r="O751" s="35"/>
      <c r="P751" s="35"/>
      <c r="Q751" s="35"/>
      <c r="R751" s="35"/>
      <c r="S751" s="35"/>
      <c r="T751" s="35"/>
      <c r="U751" s="35"/>
      <c r="V751" s="35"/>
      <c r="W751" s="35"/>
      <c r="X751" s="35"/>
      <c r="Y751" s="35"/>
      <c r="Z751" s="35"/>
    </row>
    <row r="752" ht="12.75" customHeight="1">
      <c r="A752" s="35"/>
      <c r="B752" s="35"/>
      <c r="C752" s="35"/>
      <c r="D752" s="35"/>
      <c r="E752" s="35"/>
      <c r="F752" s="35"/>
      <c r="G752" s="35"/>
      <c r="H752" s="35"/>
      <c r="I752" s="35"/>
      <c r="J752" s="35"/>
      <c r="K752" s="35"/>
      <c r="L752" s="35"/>
      <c r="M752" s="35"/>
      <c r="N752" s="35"/>
      <c r="O752" s="35"/>
      <c r="P752" s="35"/>
      <c r="Q752" s="35"/>
      <c r="R752" s="35"/>
      <c r="S752" s="35"/>
      <c r="T752" s="35"/>
      <c r="U752" s="35"/>
      <c r="V752" s="35"/>
      <c r="W752" s="35"/>
      <c r="X752" s="35"/>
      <c r="Y752" s="35"/>
      <c r="Z752" s="35"/>
    </row>
    <row r="753" ht="12.75" customHeight="1">
      <c r="A753" s="35"/>
      <c r="B753" s="35"/>
      <c r="C753" s="35"/>
      <c r="D753" s="35"/>
      <c r="E753" s="35"/>
      <c r="F753" s="35"/>
      <c r="G753" s="35"/>
      <c r="H753" s="35"/>
      <c r="I753" s="35"/>
      <c r="J753" s="35"/>
      <c r="K753" s="35"/>
      <c r="L753" s="35"/>
      <c r="M753" s="35"/>
      <c r="N753" s="35"/>
      <c r="O753" s="35"/>
      <c r="P753" s="35"/>
      <c r="Q753" s="35"/>
      <c r="R753" s="35"/>
      <c r="S753" s="35"/>
      <c r="T753" s="35"/>
      <c r="U753" s="35"/>
      <c r="V753" s="35"/>
      <c r="W753" s="35"/>
      <c r="X753" s="35"/>
      <c r="Y753" s="35"/>
      <c r="Z753" s="35"/>
    </row>
    <row r="754" ht="12.75" customHeight="1">
      <c r="A754" s="35"/>
      <c r="B754" s="35"/>
      <c r="C754" s="35"/>
      <c r="D754" s="35"/>
      <c r="E754" s="35"/>
      <c r="F754" s="35"/>
      <c r="G754" s="35"/>
      <c r="H754" s="35"/>
      <c r="I754" s="35"/>
      <c r="J754" s="35"/>
      <c r="K754" s="35"/>
      <c r="L754" s="35"/>
      <c r="M754" s="35"/>
      <c r="N754" s="35"/>
      <c r="O754" s="35"/>
      <c r="P754" s="35"/>
      <c r="Q754" s="35"/>
      <c r="R754" s="35"/>
      <c r="S754" s="35"/>
      <c r="T754" s="35"/>
      <c r="U754" s="35"/>
      <c r="V754" s="35"/>
      <c r="W754" s="35"/>
      <c r="X754" s="35"/>
      <c r="Y754" s="35"/>
      <c r="Z754" s="35"/>
    </row>
    <row r="755" ht="12.75" customHeight="1">
      <c r="A755" s="35"/>
      <c r="B755" s="35"/>
      <c r="C755" s="35"/>
      <c r="D755" s="35"/>
      <c r="E755" s="35"/>
      <c r="F755" s="35"/>
      <c r="G755" s="35"/>
      <c r="H755" s="35"/>
      <c r="I755" s="35"/>
      <c r="J755" s="35"/>
      <c r="K755" s="35"/>
      <c r="L755" s="35"/>
      <c r="M755" s="35"/>
      <c r="N755" s="35"/>
      <c r="O755" s="35"/>
      <c r="P755" s="35"/>
      <c r="Q755" s="35"/>
      <c r="R755" s="35"/>
      <c r="S755" s="35"/>
      <c r="T755" s="35"/>
      <c r="U755" s="35"/>
      <c r="V755" s="35"/>
      <c r="W755" s="35"/>
      <c r="X755" s="35"/>
      <c r="Y755" s="35"/>
      <c r="Z755" s="35"/>
    </row>
    <row r="756" ht="12.75" customHeight="1">
      <c r="A756" s="35"/>
      <c r="B756" s="35"/>
      <c r="C756" s="35"/>
      <c r="D756" s="35"/>
      <c r="E756" s="35"/>
      <c r="F756" s="35"/>
      <c r="G756" s="35"/>
      <c r="H756" s="35"/>
      <c r="I756" s="35"/>
      <c r="J756" s="35"/>
      <c r="K756" s="35"/>
      <c r="L756" s="35"/>
      <c r="M756" s="35"/>
      <c r="N756" s="35"/>
      <c r="O756" s="35"/>
      <c r="P756" s="35"/>
      <c r="Q756" s="35"/>
      <c r="R756" s="35"/>
      <c r="S756" s="35"/>
      <c r="T756" s="35"/>
      <c r="U756" s="35"/>
      <c r="V756" s="35"/>
      <c r="W756" s="35"/>
      <c r="X756" s="35"/>
      <c r="Y756" s="35"/>
      <c r="Z756" s="35"/>
    </row>
    <row r="757" ht="12.75" customHeight="1">
      <c r="A757" s="35"/>
      <c r="B757" s="35"/>
      <c r="C757" s="35"/>
      <c r="D757" s="35"/>
      <c r="E757" s="35"/>
      <c r="F757" s="35"/>
      <c r="G757" s="35"/>
      <c r="H757" s="35"/>
      <c r="I757" s="35"/>
      <c r="J757" s="35"/>
      <c r="K757" s="35"/>
      <c r="L757" s="35"/>
      <c r="M757" s="35"/>
      <c r="N757" s="35"/>
      <c r="O757" s="35"/>
      <c r="P757" s="35"/>
      <c r="Q757" s="35"/>
      <c r="R757" s="35"/>
      <c r="S757" s="35"/>
      <c r="T757" s="35"/>
      <c r="U757" s="35"/>
      <c r="V757" s="35"/>
      <c r="W757" s="35"/>
      <c r="X757" s="35"/>
      <c r="Y757" s="35"/>
      <c r="Z757" s="35"/>
    </row>
    <row r="758" ht="12.75" customHeight="1">
      <c r="A758" s="35"/>
      <c r="B758" s="35"/>
      <c r="C758" s="35"/>
      <c r="D758" s="35"/>
      <c r="E758" s="35"/>
      <c r="F758" s="35"/>
      <c r="G758" s="35"/>
      <c r="H758" s="35"/>
      <c r="I758" s="35"/>
      <c r="J758" s="35"/>
      <c r="K758" s="35"/>
      <c r="L758" s="35"/>
      <c r="M758" s="35"/>
      <c r="N758" s="35"/>
      <c r="O758" s="35"/>
      <c r="P758" s="35"/>
      <c r="Q758" s="35"/>
      <c r="R758" s="35"/>
      <c r="S758" s="35"/>
      <c r="T758" s="35"/>
      <c r="U758" s="35"/>
      <c r="V758" s="35"/>
      <c r="W758" s="35"/>
      <c r="X758" s="35"/>
      <c r="Y758" s="35"/>
      <c r="Z758" s="35"/>
    </row>
    <row r="759" ht="12.75" customHeight="1">
      <c r="A759" s="35"/>
      <c r="B759" s="35"/>
      <c r="C759" s="35"/>
      <c r="D759" s="35"/>
      <c r="E759" s="35"/>
      <c r="F759" s="35"/>
      <c r="G759" s="35"/>
      <c r="H759" s="35"/>
      <c r="I759" s="35"/>
      <c r="J759" s="35"/>
      <c r="K759" s="35"/>
      <c r="L759" s="35"/>
      <c r="M759" s="35"/>
      <c r="N759" s="35"/>
      <c r="O759" s="35"/>
      <c r="P759" s="35"/>
      <c r="Q759" s="35"/>
      <c r="R759" s="35"/>
      <c r="S759" s="35"/>
      <c r="T759" s="35"/>
      <c r="U759" s="35"/>
      <c r="V759" s="35"/>
      <c r="W759" s="35"/>
      <c r="X759" s="35"/>
      <c r="Y759" s="35"/>
      <c r="Z759" s="35"/>
    </row>
    <row r="760" ht="12.75" customHeight="1">
      <c r="A760" s="35"/>
      <c r="B760" s="35"/>
      <c r="C760" s="35"/>
      <c r="D760" s="35"/>
      <c r="E760" s="35"/>
      <c r="F760" s="35"/>
      <c r="G760" s="35"/>
      <c r="H760" s="35"/>
      <c r="I760" s="35"/>
      <c r="J760" s="35"/>
      <c r="K760" s="35"/>
      <c r="L760" s="35"/>
      <c r="M760" s="35"/>
      <c r="N760" s="35"/>
      <c r="O760" s="35"/>
      <c r="P760" s="35"/>
      <c r="Q760" s="35"/>
      <c r="R760" s="35"/>
      <c r="S760" s="35"/>
      <c r="T760" s="35"/>
      <c r="U760" s="35"/>
      <c r="V760" s="35"/>
      <c r="W760" s="35"/>
      <c r="X760" s="35"/>
      <c r="Y760" s="35"/>
      <c r="Z760" s="35"/>
    </row>
    <row r="761" ht="12.75" customHeight="1">
      <c r="A761" s="35"/>
      <c r="B761" s="35"/>
      <c r="C761" s="35"/>
      <c r="D761" s="35"/>
      <c r="E761" s="35"/>
      <c r="F761" s="35"/>
      <c r="G761" s="35"/>
      <c r="H761" s="35"/>
      <c r="I761" s="35"/>
      <c r="J761" s="35"/>
      <c r="K761" s="35"/>
      <c r="L761" s="35"/>
      <c r="M761" s="35"/>
      <c r="N761" s="35"/>
      <c r="O761" s="35"/>
      <c r="P761" s="35"/>
      <c r="Q761" s="35"/>
      <c r="R761" s="35"/>
      <c r="S761" s="35"/>
      <c r="T761" s="35"/>
      <c r="U761" s="35"/>
      <c r="V761" s="35"/>
      <c r="W761" s="35"/>
      <c r="X761" s="35"/>
      <c r="Y761" s="35"/>
      <c r="Z761" s="35"/>
    </row>
    <row r="762" ht="12.75" customHeight="1">
      <c r="A762" s="35"/>
      <c r="B762" s="35"/>
      <c r="C762" s="35"/>
      <c r="D762" s="35"/>
      <c r="E762" s="35"/>
      <c r="F762" s="35"/>
      <c r="G762" s="35"/>
      <c r="H762" s="35"/>
      <c r="I762" s="35"/>
      <c r="J762" s="35"/>
      <c r="K762" s="35"/>
      <c r="L762" s="35"/>
      <c r="M762" s="35"/>
      <c r="N762" s="35"/>
      <c r="O762" s="35"/>
      <c r="P762" s="35"/>
      <c r="Q762" s="35"/>
      <c r="R762" s="35"/>
      <c r="S762" s="35"/>
      <c r="T762" s="35"/>
      <c r="U762" s="35"/>
      <c r="V762" s="35"/>
      <c r="W762" s="35"/>
      <c r="X762" s="35"/>
      <c r="Y762" s="35"/>
      <c r="Z762" s="35"/>
    </row>
    <row r="763" ht="12.75" customHeight="1">
      <c r="A763" s="35"/>
      <c r="B763" s="35"/>
      <c r="C763" s="35"/>
      <c r="D763" s="35"/>
      <c r="E763" s="35"/>
      <c r="F763" s="35"/>
      <c r="G763" s="35"/>
      <c r="H763" s="35"/>
      <c r="I763" s="35"/>
      <c r="J763" s="35"/>
      <c r="K763" s="35"/>
      <c r="L763" s="35"/>
      <c r="M763" s="35"/>
      <c r="N763" s="35"/>
      <c r="O763" s="35"/>
      <c r="P763" s="35"/>
      <c r="Q763" s="35"/>
      <c r="R763" s="35"/>
      <c r="S763" s="35"/>
      <c r="T763" s="35"/>
      <c r="U763" s="35"/>
      <c r="V763" s="35"/>
      <c r="W763" s="35"/>
      <c r="X763" s="35"/>
      <c r="Y763" s="35"/>
      <c r="Z763" s="35"/>
    </row>
    <row r="764" ht="12.75" customHeight="1">
      <c r="A764" s="35"/>
      <c r="B764" s="35"/>
      <c r="C764" s="35"/>
      <c r="D764" s="35"/>
      <c r="E764" s="35"/>
      <c r="F764" s="35"/>
      <c r="G764" s="35"/>
      <c r="H764" s="35"/>
      <c r="I764" s="35"/>
      <c r="J764" s="35"/>
      <c r="K764" s="35"/>
      <c r="L764" s="35"/>
      <c r="M764" s="35"/>
      <c r="N764" s="35"/>
      <c r="O764" s="35"/>
      <c r="P764" s="35"/>
      <c r="Q764" s="35"/>
      <c r="R764" s="35"/>
      <c r="S764" s="35"/>
      <c r="T764" s="35"/>
      <c r="U764" s="35"/>
      <c r="V764" s="35"/>
      <c r="W764" s="35"/>
      <c r="X764" s="35"/>
      <c r="Y764" s="35"/>
      <c r="Z764" s="35"/>
    </row>
    <row r="765" ht="12.75" customHeight="1">
      <c r="A765" s="35"/>
      <c r="B765" s="35"/>
      <c r="C765" s="35"/>
      <c r="D765" s="35"/>
      <c r="E765" s="35"/>
      <c r="F765" s="35"/>
      <c r="G765" s="35"/>
      <c r="H765" s="35"/>
      <c r="I765" s="35"/>
      <c r="J765" s="35"/>
      <c r="K765" s="35"/>
      <c r="L765" s="35"/>
      <c r="M765" s="35"/>
      <c r="N765" s="35"/>
      <c r="O765" s="35"/>
      <c r="P765" s="35"/>
      <c r="Q765" s="35"/>
      <c r="R765" s="35"/>
      <c r="S765" s="35"/>
      <c r="T765" s="35"/>
      <c r="U765" s="35"/>
      <c r="V765" s="35"/>
      <c r="W765" s="35"/>
      <c r="X765" s="35"/>
      <c r="Y765" s="35"/>
      <c r="Z765" s="35"/>
    </row>
    <row r="766" ht="12.75" customHeight="1">
      <c r="A766" s="35"/>
      <c r="B766" s="35"/>
      <c r="C766" s="35"/>
      <c r="D766" s="35"/>
      <c r="E766" s="35"/>
      <c r="F766" s="35"/>
      <c r="G766" s="35"/>
      <c r="H766" s="35"/>
      <c r="I766" s="35"/>
      <c r="J766" s="35"/>
      <c r="K766" s="35"/>
      <c r="L766" s="35"/>
      <c r="M766" s="35"/>
      <c r="N766" s="35"/>
      <c r="O766" s="35"/>
      <c r="P766" s="35"/>
      <c r="Q766" s="35"/>
      <c r="R766" s="35"/>
      <c r="S766" s="35"/>
      <c r="T766" s="35"/>
      <c r="U766" s="35"/>
      <c r="V766" s="35"/>
      <c r="W766" s="35"/>
      <c r="X766" s="35"/>
      <c r="Y766" s="35"/>
      <c r="Z766" s="35"/>
    </row>
    <row r="767" ht="12.75" customHeight="1">
      <c r="A767" s="35"/>
      <c r="B767" s="35"/>
      <c r="C767" s="35"/>
      <c r="D767" s="35"/>
      <c r="E767" s="35"/>
      <c r="F767" s="35"/>
      <c r="G767" s="35"/>
      <c r="H767" s="35"/>
      <c r="I767" s="35"/>
      <c r="J767" s="35"/>
      <c r="K767" s="35"/>
      <c r="L767" s="35"/>
      <c r="M767" s="35"/>
      <c r="N767" s="35"/>
      <c r="O767" s="35"/>
      <c r="P767" s="35"/>
      <c r="Q767" s="35"/>
      <c r="R767" s="35"/>
      <c r="S767" s="35"/>
      <c r="T767" s="35"/>
      <c r="U767" s="35"/>
      <c r="V767" s="35"/>
      <c r="W767" s="35"/>
      <c r="X767" s="35"/>
      <c r="Y767" s="35"/>
      <c r="Z767" s="35"/>
    </row>
    <row r="768" ht="12.75" customHeight="1">
      <c r="A768" s="35"/>
      <c r="B768" s="35"/>
      <c r="C768" s="35"/>
      <c r="D768" s="35"/>
      <c r="E768" s="35"/>
      <c r="F768" s="35"/>
      <c r="G768" s="35"/>
      <c r="H768" s="35"/>
      <c r="I768" s="35"/>
      <c r="J768" s="35"/>
      <c r="K768" s="35"/>
      <c r="L768" s="35"/>
      <c r="M768" s="35"/>
      <c r="N768" s="35"/>
      <c r="O768" s="35"/>
      <c r="P768" s="35"/>
      <c r="Q768" s="35"/>
      <c r="R768" s="35"/>
      <c r="S768" s="35"/>
      <c r="T768" s="35"/>
      <c r="U768" s="35"/>
      <c r="V768" s="35"/>
      <c r="W768" s="35"/>
      <c r="X768" s="35"/>
      <c r="Y768" s="35"/>
      <c r="Z768" s="35"/>
    </row>
    <row r="769" ht="12.75" customHeight="1">
      <c r="A769" s="35"/>
      <c r="B769" s="35"/>
      <c r="C769" s="35"/>
      <c r="D769" s="35"/>
      <c r="E769" s="35"/>
      <c r="F769" s="35"/>
      <c r="G769" s="35"/>
      <c r="H769" s="35"/>
      <c r="I769" s="35"/>
      <c r="J769" s="35"/>
      <c r="K769" s="35"/>
      <c r="L769" s="35"/>
      <c r="M769" s="35"/>
      <c r="N769" s="35"/>
      <c r="O769" s="35"/>
      <c r="P769" s="35"/>
      <c r="Q769" s="35"/>
      <c r="R769" s="35"/>
      <c r="S769" s="35"/>
      <c r="T769" s="35"/>
      <c r="U769" s="35"/>
      <c r="V769" s="35"/>
      <c r="W769" s="35"/>
      <c r="X769" s="35"/>
      <c r="Y769" s="35"/>
      <c r="Z769" s="35"/>
    </row>
    <row r="770" ht="12.75" customHeight="1">
      <c r="A770" s="35"/>
      <c r="B770" s="35"/>
      <c r="C770" s="35"/>
      <c r="D770" s="35"/>
      <c r="E770" s="35"/>
      <c r="F770" s="35"/>
      <c r="G770" s="35"/>
      <c r="H770" s="35"/>
      <c r="I770" s="35"/>
      <c r="J770" s="35"/>
      <c r="K770" s="35"/>
      <c r="L770" s="35"/>
      <c r="M770" s="35"/>
      <c r="N770" s="35"/>
      <c r="O770" s="35"/>
      <c r="P770" s="35"/>
      <c r="Q770" s="35"/>
      <c r="R770" s="35"/>
      <c r="S770" s="35"/>
      <c r="T770" s="35"/>
      <c r="U770" s="35"/>
      <c r="V770" s="35"/>
      <c r="W770" s="35"/>
      <c r="X770" s="35"/>
      <c r="Y770" s="35"/>
      <c r="Z770" s="35"/>
    </row>
    <row r="771" ht="12.75" customHeight="1">
      <c r="A771" s="35"/>
      <c r="B771" s="35"/>
      <c r="C771" s="35"/>
      <c r="D771" s="35"/>
      <c r="E771" s="35"/>
      <c r="F771" s="35"/>
      <c r="G771" s="35"/>
      <c r="H771" s="35"/>
      <c r="I771" s="35"/>
      <c r="J771" s="35"/>
      <c r="K771" s="35"/>
      <c r="L771" s="35"/>
      <c r="M771" s="35"/>
      <c r="N771" s="35"/>
      <c r="O771" s="35"/>
      <c r="P771" s="35"/>
      <c r="Q771" s="35"/>
      <c r="R771" s="35"/>
      <c r="S771" s="35"/>
      <c r="T771" s="35"/>
      <c r="U771" s="35"/>
      <c r="V771" s="35"/>
      <c r="W771" s="35"/>
      <c r="X771" s="35"/>
      <c r="Y771" s="35"/>
      <c r="Z771" s="35"/>
    </row>
    <row r="772" ht="12.75" customHeight="1">
      <c r="A772" s="35"/>
      <c r="B772" s="35"/>
      <c r="C772" s="35"/>
      <c r="D772" s="35"/>
      <c r="E772" s="35"/>
      <c r="F772" s="35"/>
      <c r="G772" s="35"/>
      <c r="H772" s="35"/>
      <c r="I772" s="35"/>
      <c r="J772" s="35"/>
      <c r="K772" s="35"/>
      <c r="L772" s="35"/>
      <c r="M772" s="35"/>
      <c r="N772" s="35"/>
      <c r="O772" s="35"/>
      <c r="P772" s="35"/>
      <c r="Q772" s="35"/>
      <c r="R772" s="35"/>
      <c r="S772" s="35"/>
      <c r="T772" s="35"/>
      <c r="U772" s="35"/>
      <c r="V772" s="35"/>
      <c r="W772" s="35"/>
      <c r="X772" s="35"/>
      <c r="Y772" s="35"/>
      <c r="Z772" s="35"/>
    </row>
    <row r="773" ht="12.75" customHeight="1">
      <c r="A773" s="35"/>
      <c r="B773" s="35"/>
      <c r="C773" s="35"/>
      <c r="D773" s="35"/>
      <c r="E773" s="35"/>
      <c r="F773" s="35"/>
      <c r="G773" s="35"/>
      <c r="H773" s="35"/>
      <c r="I773" s="35"/>
      <c r="J773" s="35"/>
      <c r="K773" s="35"/>
      <c r="L773" s="35"/>
      <c r="M773" s="35"/>
      <c r="N773" s="35"/>
      <c r="O773" s="35"/>
      <c r="P773" s="35"/>
      <c r="Q773" s="35"/>
      <c r="R773" s="35"/>
      <c r="S773" s="35"/>
      <c r="T773" s="35"/>
      <c r="U773" s="35"/>
      <c r="V773" s="35"/>
      <c r="W773" s="35"/>
      <c r="X773" s="35"/>
      <c r="Y773" s="35"/>
      <c r="Z773" s="35"/>
    </row>
    <row r="774" ht="12.75" customHeight="1">
      <c r="A774" s="35"/>
      <c r="B774" s="35"/>
      <c r="C774" s="35"/>
      <c r="D774" s="35"/>
      <c r="E774" s="35"/>
      <c r="F774" s="35"/>
      <c r="G774" s="35"/>
      <c r="H774" s="35"/>
      <c r="I774" s="35"/>
      <c r="J774" s="35"/>
      <c r="K774" s="35"/>
      <c r="L774" s="35"/>
      <c r="M774" s="35"/>
      <c r="N774" s="35"/>
      <c r="O774" s="35"/>
      <c r="P774" s="35"/>
      <c r="Q774" s="35"/>
      <c r="R774" s="35"/>
      <c r="S774" s="35"/>
      <c r="T774" s="35"/>
      <c r="U774" s="35"/>
      <c r="V774" s="35"/>
      <c r="W774" s="35"/>
      <c r="X774" s="35"/>
      <c r="Y774" s="35"/>
      <c r="Z774" s="35"/>
    </row>
    <row r="775" ht="12.75" customHeight="1">
      <c r="A775" s="35"/>
      <c r="B775" s="35"/>
      <c r="C775" s="35"/>
      <c r="D775" s="35"/>
      <c r="E775" s="35"/>
      <c r="F775" s="35"/>
      <c r="G775" s="35"/>
      <c r="H775" s="35"/>
      <c r="I775" s="35"/>
      <c r="J775" s="35"/>
      <c r="K775" s="35"/>
      <c r="L775" s="35"/>
      <c r="M775" s="35"/>
      <c r="N775" s="35"/>
      <c r="O775" s="35"/>
      <c r="P775" s="35"/>
      <c r="Q775" s="35"/>
      <c r="R775" s="35"/>
      <c r="S775" s="35"/>
      <c r="T775" s="35"/>
      <c r="U775" s="35"/>
      <c r="V775" s="35"/>
      <c r="W775" s="35"/>
      <c r="X775" s="35"/>
      <c r="Y775" s="35"/>
      <c r="Z775" s="35"/>
    </row>
    <row r="776" ht="12.75" customHeight="1">
      <c r="A776" s="35"/>
      <c r="B776" s="35"/>
      <c r="C776" s="35"/>
      <c r="D776" s="35"/>
      <c r="E776" s="35"/>
      <c r="F776" s="35"/>
      <c r="G776" s="35"/>
      <c r="H776" s="35"/>
      <c r="I776" s="35"/>
      <c r="J776" s="35"/>
      <c r="K776" s="35"/>
      <c r="L776" s="35"/>
      <c r="M776" s="35"/>
      <c r="N776" s="35"/>
      <c r="O776" s="35"/>
      <c r="P776" s="35"/>
      <c r="Q776" s="35"/>
      <c r="R776" s="35"/>
      <c r="S776" s="35"/>
      <c r="T776" s="35"/>
      <c r="U776" s="35"/>
      <c r="V776" s="35"/>
      <c r="W776" s="35"/>
      <c r="X776" s="35"/>
      <c r="Y776" s="35"/>
      <c r="Z776" s="35"/>
    </row>
    <row r="777" ht="12.75" customHeight="1">
      <c r="A777" s="35"/>
      <c r="B777" s="35"/>
      <c r="C777" s="35"/>
      <c r="D777" s="35"/>
      <c r="E777" s="35"/>
      <c r="F777" s="35"/>
      <c r="G777" s="35"/>
      <c r="H777" s="35"/>
      <c r="I777" s="35"/>
      <c r="J777" s="35"/>
      <c r="K777" s="35"/>
      <c r="L777" s="35"/>
      <c r="M777" s="35"/>
      <c r="N777" s="35"/>
      <c r="O777" s="35"/>
      <c r="P777" s="35"/>
      <c r="Q777" s="35"/>
      <c r="R777" s="35"/>
      <c r="S777" s="35"/>
      <c r="T777" s="35"/>
      <c r="U777" s="35"/>
      <c r="V777" s="35"/>
      <c r="W777" s="35"/>
      <c r="X777" s="35"/>
      <c r="Y777" s="35"/>
      <c r="Z777" s="35"/>
    </row>
    <row r="778" ht="12.75" customHeight="1">
      <c r="A778" s="35"/>
      <c r="B778" s="35"/>
      <c r="C778" s="35"/>
      <c r="D778" s="35"/>
      <c r="E778" s="35"/>
      <c r="F778" s="35"/>
      <c r="G778" s="35"/>
      <c r="H778" s="35"/>
      <c r="I778" s="35"/>
      <c r="J778" s="35"/>
      <c r="K778" s="35"/>
      <c r="L778" s="35"/>
      <c r="M778" s="35"/>
      <c r="N778" s="35"/>
      <c r="O778" s="35"/>
      <c r="P778" s="35"/>
      <c r="Q778" s="35"/>
      <c r="R778" s="35"/>
      <c r="S778" s="35"/>
      <c r="T778" s="35"/>
      <c r="U778" s="35"/>
      <c r="V778" s="35"/>
      <c r="W778" s="35"/>
      <c r="X778" s="35"/>
      <c r="Y778" s="35"/>
      <c r="Z778" s="35"/>
    </row>
    <row r="779" ht="12.75" customHeight="1">
      <c r="A779" s="35"/>
      <c r="B779" s="35"/>
      <c r="C779" s="35"/>
      <c r="D779" s="35"/>
      <c r="E779" s="35"/>
      <c r="F779" s="35"/>
      <c r="G779" s="35"/>
      <c r="H779" s="35"/>
      <c r="I779" s="35"/>
      <c r="J779" s="35"/>
      <c r="K779" s="35"/>
      <c r="L779" s="35"/>
      <c r="M779" s="35"/>
      <c r="N779" s="35"/>
      <c r="O779" s="35"/>
      <c r="P779" s="35"/>
      <c r="Q779" s="35"/>
      <c r="R779" s="35"/>
      <c r="S779" s="35"/>
      <c r="T779" s="35"/>
      <c r="U779" s="35"/>
      <c r="V779" s="35"/>
      <c r="W779" s="35"/>
      <c r="X779" s="35"/>
      <c r="Y779" s="35"/>
      <c r="Z779" s="35"/>
    </row>
    <row r="780" ht="12.75" customHeight="1">
      <c r="A780" s="35"/>
      <c r="B780" s="35"/>
      <c r="C780" s="35"/>
      <c r="D780" s="35"/>
      <c r="E780" s="35"/>
      <c r="F780" s="35"/>
      <c r="G780" s="35"/>
      <c r="H780" s="35"/>
      <c r="I780" s="35"/>
      <c r="J780" s="35"/>
      <c r="K780" s="35"/>
      <c r="L780" s="35"/>
      <c r="M780" s="35"/>
      <c r="N780" s="35"/>
      <c r="O780" s="35"/>
      <c r="P780" s="35"/>
      <c r="Q780" s="35"/>
      <c r="R780" s="35"/>
      <c r="S780" s="35"/>
      <c r="T780" s="35"/>
      <c r="U780" s="35"/>
      <c r="V780" s="35"/>
      <c r="W780" s="35"/>
      <c r="X780" s="35"/>
      <c r="Y780" s="35"/>
      <c r="Z780" s="35"/>
    </row>
    <row r="781" ht="12.75" customHeight="1">
      <c r="A781" s="35"/>
      <c r="B781" s="35"/>
      <c r="C781" s="35"/>
      <c r="D781" s="35"/>
      <c r="E781" s="35"/>
      <c r="F781" s="35"/>
      <c r="G781" s="35"/>
      <c r="H781" s="35"/>
      <c r="I781" s="35"/>
      <c r="J781" s="35"/>
      <c r="K781" s="35"/>
      <c r="L781" s="35"/>
      <c r="M781" s="35"/>
      <c r="N781" s="35"/>
      <c r="O781" s="35"/>
      <c r="P781" s="35"/>
      <c r="Q781" s="35"/>
      <c r="R781" s="35"/>
      <c r="S781" s="35"/>
      <c r="T781" s="35"/>
      <c r="U781" s="35"/>
      <c r="V781" s="35"/>
      <c r="W781" s="35"/>
      <c r="X781" s="35"/>
      <c r="Y781" s="35"/>
      <c r="Z781" s="35"/>
    </row>
    <row r="782" ht="12.75" customHeight="1">
      <c r="A782" s="35"/>
      <c r="B782" s="35"/>
      <c r="C782" s="35"/>
      <c r="D782" s="35"/>
      <c r="E782" s="35"/>
      <c r="F782" s="35"/>
      <c r="G782" s="35"/>
      <c r="H782" s="35"/>
      <c r="I782" s="35"/>
      <c r="J782" s="35"/>
      <c r="K782" s="35"/>
      <c r="L782" s="35"/>
      <c r="M782" s="35"/>
      <c r="N782" s="35"/>
      <c r="O782" s="35"/>
      <c r="P782" s="35"/>
      <c r="Q782" s="35"/>
      <c r="R782" s="35"/>
      <c r="S782" s="35"/>
      <c r="T782" s="35"/>
      <c r="U782" s="35"/>
      <c r="V782" s="35"/>
      <c r="W782" s="35"/>
      <c r="X782" s="35"/>
      <c r="Y782" s="35"/>
      <c r="Z782" s="35"/>
    </row>
    <row r="783" ht="12.75" customHeight="1">
      <c r="A783" s="35"/>
      <c r="B783" s="35"/>
      <c r="C783" s="35"/>
      <c r="D783" s="35"/>
      <c r="E783" s="35"/>
      <c r="F783" s="35"/>
      <c r="G783" s="35"/>
      <c r="H783" s="35"/>
      <c r="I783" s="35"/>
      <c r="J783" s="35"/>
      <c r="K783" s="35"/>
      <c r="L783" s="35"/>
      <c r="M783" s="35"/>
      <c r="N783" s="35"/>
      <c r="O783" s="35"/>
      <c r="P783" s="35"/>
      <c r="Q783" s="35"/>
      <c r="R783" s="35"/>
      <c r="S783" s="35"/>
      <c r="T783" s="35"/>
      <c r="U783" s="35"/>
      <c r="V783" s="35"/>
      <c r="W783" s="35"/>
      <c r="X783" s="35"/>
      <c r="Y783" s="35"/>
      <c r="Z783" s="35"/>
    </row>
    <row r="784" ht="12.75" customHeight="1">
      <c r="A784" s="35"/>
      <c r="B784" s="35"/>
      <c r="C784" s="35"/>
      <c r="D784" s="35"/>
      <c r="E784" s="35"/>
      <c r="F784" s="35"/>
      <c r="G784" s="35"/>
      <c r="H784" s="35"/>
      <c r="I784" s="35"/>
      <c r="J784" s="35"/>
      <c r="K784" s="35"/>
      <c r="L784" s="35"/>
      <c r="M784" s="35"/>
      <c r="N784" s="35"/>
      <c r="O784" s="35"/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5"/>
    </row>
    <row r="785" ht="12.75" customHeight="1">
      <c r="A785" s="35"/>
      <c r="B785" s="35"/>
      <c r="C785" s="35"/>
      <c r="D785" s="35"/>
      <c r="E785" s="35"/>
      <c r="F785" s="35"/>
      <c r="G785" s="35"/>
      <c r="H785" s="35"/>
      <c r="I785" s="35"/>
      <c r="J785" s="35"/>
      <c r="K785" s="35"/>
      <c r="L785" s="35"/>
      <c r="M785" s="35"/>
      <c r="N785" s="35"/>
      <c r="O785" s="35"/>
      <c r="P785" s="35"/>
      <c r="Q785" s="35"/>
      <c r="R785" s="35"/>
      <c r="S785" s="35"/>
      <c r="T785" s="35"/>
      <c r="U785" s="35"/>
      <c r="V785" s="35"/>
      <c r="W785" s="35"/>
      <c r="X785" s="35"/>
      <c r="Y785" s="35"/>
      <c r="Z785" s="35"/>
    </row>
    <row r="786" ht="12.75" customHeight="1">
      <c r="A786" s="35"/>
      <c r="B786" s="35"/>
      <c r="C786" s="35"/>
      <c r="D786" s="35"/>
      <c r="E786" s="35"/>
      <c r="F786" s="35"/>
      <c r="G786" s="35"/>
      <c r="H786" s="35"/>
      <c r="I786" s="35"/>
      <c r="J786" s="35"/>
      <c r="K786" s="35"/>
      <c r="L786" s="35"/>
      <c r="M786" s="35"/>
      <c r="N786" s="35"/>
      <c r="O786" s="35"/>
      <c r="P786" s="35"/>
      <c r="Q786" s="35"/>
      <c r="R786" s="35"/>
      <c r="S786" s="35"/>
      <c r="T786" s="35"/>
      <c r="U786" s="35"/>
      <c r="V786" s="35"/>
      <c r="W786" s="35"/>
      <c r="X786" s="35"/>
      <c r="Y786" s="35"/>
      <c r="Z786" s="35"/>
    </row>
    <row r="787" ht="12.75" customHeight="1">
      <c r="A787" s="35"/>
      <c r="B787" s="35"/>
      <c r="C787" s="35"/>
      <c r="D787" s="35"/>
      <c r="E787" s="35"/>
      <c r="F787" s="35"/>
      <c r="G787" s="35"/>
      <c r="H787" s="35"/>
      <c r="I787" s="35"/>
      <c r="J787" s="35"/>
      <c r="K787" s="35"/>
      <c r="L787" s="35"/>
      <c r="M787" s="35"/>
      <c r="N787" s="35"/>
      <c r="O787" s="35"/>
      <c r="P787" s="35"/>
      <c r="Q787" s="35"/>
      <c r="R787" s="35"/>
      <c r="S787" s="35"/>
      <c r="T787" s="35"/>
      <c r="U787" s="35"/>
      <c r="V787" s="35"/>
      <c r="W787" s="35"/>
      <c r="X787" s="35"/>
      <c r="Y787" s="35"/>
      <c r="Z787" s="35"/>
    </row>
    <row r="788" ht="12.75" customHeight="1">
      <c r="A788" s="35"/>
      <c r="B788" s="35"/>
      <c r="C788" s="35"/>
      <c r="D788" s="35"/>
      <c r="E788" s="35"/>
      <c r="F788" s="35"/>
      <c r="G788" s="35"/>
      <c r="H788" s="35"/>
      <c r="I788" s="35"/>
      <c r="J788" s="35"/>
      <c r="K788" s="35"/>
      <c r="L788" s="35"/>
      <c r="M788" s="35"/>
      <c r="N788" s="35"/>
      <c r="O788" s="35"/>
      <c r="P788" s="35"/>
      <c r="Q788" s="35"/>
      <c r="R788" s="35"/>
      <c r="S788" s="35"/>
      <c r="T788" s="35"/>
      <c r="U788" s="35"/>
      <c r="V788" s="35"/>
      <c r="W788" s="35"/>
      <c r="X788" s="35"/>
      <c r="Y788" s="35"/>
      <c r="Z788" s="35"/>
    </row>
    <row r="789" ht="12.75" customHeight="1">
      <c r="A789" s="35"/>
      <c r="B789" s="35"/>
      <c r="C789" s="35"/>
      <c r="D789" s="35"/>
      <c r="E789" s="35"/>
      <c r="F789" s="35"/>
      <c r="G789" s="35"/>
      <c r="H789" s="35"/>
      <c r="I789" s="35"/>
      <c r="J789" s="35"/>
      <c r="K789" s="35"/>
      <c r="L789" s="35"/>
      <c r="M789" s="35"/>
      <c r="N789" s="35"/>
      <c r="O789" s="35"/>
      <c r="P789" s="35"/>
      <c r="Q789" s="35"/>
      <c r="R789" s="35"/>
      <c r="S789" s="35"/>
      <c r="T789" s="35"/>
      <c r="U789" s="35"/>
      <c r="V789" s="35"/>
      <c r="W789" s="35"/>
      <c r="X789" s="35"/>
      <c r="Y789" s="35"/>
      <c r="Z789" s="35"/>
    </row>
    <row r="790" ht="12.75" customHeight="1">
      <c r="A790" s="35"/>
      <c r="B790" s="35"/>
      <c r="C790" s="35"/>
      <c r="D790" s="35"/>
      <c r="E790" s="35"/>
      <c r="F790" s="35"/>
      <c r="G790" s="35"/>
      <c r="H790" s="35"/>
      <c r="I790" s="35"/>
      <c r="J790" s="35"/>
      <c r="K790" s="35"/>
      <c r="L790" s="35"/>
      <c r="M790" s="35"/>
      <c r="N790" s="35"/>
      <c r="O790" s="35"/>
      <c r="P790" s="35"/>
      <c r="Q790" s="35"/>
      <c r="R790" s="35"/>
      <c r="S790" s="35"/>
      <c r="T790" s="35"/>
      <c r="U790" s="35"/>
      <c r="V790" s="35"/>
      <c r="W790" s="35"/>
      <c r="X790" s="35"/>
      <c r="Y790" s="35"/>
      <c r="Z790" s="35"/>
    </row>
    <row r="791" ht="12.75" customHeight="1">
      <c r="A791" s="35"/>
      <c r="B791" s="35"/>
      <c r="C791" s="35"/>
      <c r="D791" s="35"/>
      <c r="E791" s="35"/>
      <c r="F791" s="35"/>
      <c r="G791" s="35"/>
      <c r="H791" s="35"/>
      <c r="I791" s="35"/>
      <c r="J791" s="35"/>
      <c r="K791" s="35"/>
      <c r="L791" s="35"/>
      <c r="M791" s="35"/>
      <c r="N791" s="35"/>
      <c r="O791" s="35"/>
      <c r="P791" s="35"/>
      <c r="Q791" s="35"/>
      <c r="R791" s="35"/>
      <c r="S791" s="35"/>
      <c r="T791" s="35"/>
      <c r="U791" s="35"/>
      <c r="V791" s="35"/>
      <c r="W791" s="35"/>
      <c r="X791" s="35"/>
      <c r="Y791" s="35"/>
      <c r="Z791" s="35"/>
    </row>
    <row r="792" ht="12.75" customHeight="1">
      <c r="A792" s="35"/>
      <c r="B792" s="35"/>
      <c r="C792" s="35"/>
      <c r="D792" s="35"/>
      <c r="E792" s="35"/>
      <c r="F792" s="35"/>
      <c r="G792" s="35"/>
      <c r="H792" s="35"/>
      <c r="I792" s="35"/>
      <c r="J792" s="35"/>
      <c r="K792" s="35"/>
      <c r="L792" s="35"/>
      <c r="M792" s="35"/>
      <c r="N792" s="35"/>
      <c r="O792" s="35"/>
      <c r="P792" s="35"/>
      <c r="Q792" s="35"/>
      <c r="R792" s="35"/>
      <c r="S792" s="35"/>
      <c r="T792" s="35"/>
      <c r="U792" s="35"/>
      <c r="V792" s="35"/>
      <c r="W792" s="35"/>
      <c r="X792" s="35"/>
      <c r="Y792" s="35"/>
      <c r="Z792" s="35"/>
    </row>
    <row r="793" ht="12.75" customHeight="1">
      <c r="A793" s="35"/>
      <c r="B793" s="35"/>
      <c r="C793" s="35"/>
      <c r="D793" s="35"/>
      <c r="E793" s="35"/>
      <c r="F793" s="35"/>
      <c r="G793" s="35"/>
      <c r="H793" s="35"/>
      <c r="I793" s="35"/>
      <c r="J793" s="35"/>
      <c r="K793" s="35"/>
      <c r="L793" s="35"/>
      <c r="M793" s="35"/>
      <c r="N793" s="35"/>
      <c r="O793" s="35"/>
      <c r="P793" s="35"/>
      <c r="Q793" s="35"/>
      <c r="R793" s="35"/>
      <c r="S793" s="35"/>
      <c r="T793" s="35"/>
      <c r="U793" s="35"/>
      <c r="V793" s="35"/>
      <c r="W793" s="35"/>
      <c r="X793" s="35"/>
      <c r="Y793" s="35"/>
      <c r="Z793" s="35"/>
    </row>
    <row r="794" ht="12.75" customHeight="1">
      <c r="A794" s="35"/>
      <c r="B794" s="35"/>
      <c r="C794" s="35"/>
      <c r="D794" s="35"/>
      <c r="E794" s="35"/>
      <c r="F794" s="35"/>
      <c r="G794" s="35"/>
      <c r="H794" s="35"/>
      <c r="I794" s="35"/>
      <c r="J794" s="35"/>
      <c r="K794" s="35"/>
      <c r="L794" s="35"/>
      <c r="M794" s="35"/>
      <c r="N794" s="35"/>
      <c r="O794" s="35"/>
      <c r="P794" s="35"/>
      <c r="Q794" s="35"/>
      <c r="R794" s="35"/>
      <c r="S794" s="35"/>
      <c r="T794" s="35"/>
      <c r="U794" s="35"/>
      <c r="V794" s="35"/>
      <c r="W794" s="35"/>
      <c r="X794" s="35"/>
      <c r="Y794" s="35"/>
      <c r="Z794" s="35"/>
    </row>
    <row r="795" ht="12.75" customHeight="1">
      <c r="A795" s="35"/>
      <c r="B795" s="35"/>
      <c r="C795" s="35"/>
      <c r="D795" s="35"/>
      <c r="E795" s="35"/>
      <c r="F795" s="35"/>
      <c r="G795" s="35"/>
      <c r="H795" s="35"/>
      <c r="I795" s="35"/>
      <c r="J795" s="35"/>
      <c r="K795" s="35"/>
      <c r="L795" s="35"/>
      <c r="M795" s="35"/>
      <c r="N795" s="35"/>
      <c r="O795" s="35"/>
      <c r="P795" s="35"/>
      <c r="Q795" s="35"/>
      <c r="R795" s="35"/>
      <c r="S795" s="35"/>
      <c r="T795" s="35"/>
      <c r="U795" s="35"/>
      <c r="V795" s="35"/>
      <c r="W795" s="35"/>
      <c r="X795" s="35"/>
      <c r="Y795" s="35"/>
      <c r="Z795" s="35"/>
    </row>
    <row r="796" ht="12.75" customHeight="1">
      <c r="A796" s="35"/>
      <c r="B796" s="35"/>
      <c r="C796" s="35"/>
      <c r="D796" s="35"/>
      <c r="E796" s="35"/>
      <c r="F796" s="35"/>
      <c r="G796" s="35"/>
      <c r="H796" s="35"/>
      <c r="I796" s="35"/>
      <c r="J796" s="35"/>
      <c r="K796" s="35"/>
      <c r="L796" s="35"/>
      <c r="M796" s="35"/>
      <c r="N796" s="35"/>
      <c r="O796" s="35"/>
      <c r="P796" s="35"/>
      <c r="Q796" s="35"/>
      <c r="R796" s="35"/>
      <c r="S796" s="35"/>
      <c r="T796" s="35"/>
      <c r="U796" s="35"/>
      <c r="V796" s="35"/>
      <c r="W796" s="35"/>
      <c r="X796" s="35"/>
      <c r="Y796" s="35"/>
      <c r="Z796" s="35"/>
    </row>
    <row r="797" ht="12.75" customHeight="1">
      <c r="A797" s="35"/>
      <c r="B797" s="35"/>
      <c r="C797" s="35"/>
      <c r="D797" s="35"/>
      <c r="E797" s="35"/>
      <c r="F797" s="35"/>
      <c r="G797" s="35"/>
      <c r="H797" s="35"/>
      <c r="I797" s="35"/>
      <c r="J797" s="35"/>
      <c r="K797" s="35"/>
      <c r="L797" s="35"/>
      <c r="M797" s="35"/>
      <c r="N797" s="35"/>
      <c r="O797" s="35"/>
      <c r="P797" s="35"/>
      <c r="Q797" s="35"/>
      <c r="R797" s="35"/>
      <c r="S797" s="35"/>
      <c r="T797" s="35"/>
      <c r="U797" s="35"/>
      <c r="V797" s="35"/>
      <c r="W797" s="35"/>
      <c r="X797" s="35"/>
      <c r="Y797" s="35"/>
      <c r="Z797" s="35"/>
    </row>
    <row r="798" ht="12.75" customHeight="1">
      <c r="A798" s="35"/>
      <c r="B798" s="35"/>
      <c r="C798" s="35"/>
      <c r="D798" s="35"/>
      <c r="E798" s="35"/>
      <c r="F798" s="35"/>
      <c r="G798" s="35"/>
      <c r="H798" s="35"/>
      <c r="I798" s="35"/>
      <c r="J798" s="35"/>
      <c r="K798" s="35"/>
      <c r="L798" s="35"/>
      <c r="M798" s="35"/>
      <c r="N798" s="35"/>
      <c r="O798" s="35"/>
      <c r="P798" s="35"/>
      <c r="Q798" s="35"/>
      <c r="R798" s="35"/>
      <c r="S798" s="35"/>
      <c r="T798" s="35"/>
      <c r="U798" s="35"/>
      <c r="V798" s="35"/>
      <c r="W798" s="35"/>
      <c r="X798" s="35"/>
      <c r="Y798" s="35"/>
      <c r="Z798" s="35"/>
    </row>
    <row r="799" ht="12.75" customHeight="1">
      <c r="A799" s="35"/>
      <c r="B799" s="35"/>
      <c r="C799" s="35"/>
      <c r="D799" s="35"/>
      <c r="E799" s="35"/>
      <c r="F799" s="35"/>
      <c r="G799" s="35"/>
      <c r="H799" s="35"/>
      <c r="I799" s="35"/>
      <c r="J799" s="35"/>
      <c r="K799" s="35"/>
      <c r="L799" s="35"/>
      <c r="M799" s="35"/>
      <c r="N799" s="35"/>
      <c r="O799" s="35"/>
      <c r="P799" s="35"/>
      <c r="Q799" s="35"/>
      <c r="R799" s="35"/>
      <c r="S799" s="35"/>
      <c r="T799" s="35"/>
      <c r="U799" s="35"/>
      <c r="V799" s="35"/>
      <c r="W799" s="35"/>
      <c r="X799" s="35"/>
      <c r="Y799" s="35"/>
      <c r="Z799" s="35"/>
    </row>
    <row r="800" ht="12.75" customHeight="1">
      <c r="A800" s="35"/>
      <c r="B800" s="35"/>
      <c r="C800" s="35"/>
      <c r="D800" s="35"/>
      <c r="E800" s="35"/>
      <c r="F800" s="35"/>
      <c r="G800" s="35"/>
      <c r="H800" s="35"/>
      <c r="I800" s="35"/>
      <c r="J800" s="35"/>
      <c r="K800" s="35"/>
      <c r="L800" s="35"/>
      <c r="M800" s="35"/>
      <c r="N800" s="35"/>
      <c r="O800" s="35"/>
      <c r="P800" s="35"/>
      <c r="Q800" s="35"/>
      <c r="R800" s="35"/>
      <c r="S800" s="35"/>
      <c r="T800" s="35"/>
      <c r="U800" s="35"/>
      <c r="V800" s="35"/>
      <c r="W800" s="35"/>
      <c r="X800" s="35"/>
      <c r="Y800" s="35"/>
      <c r="Z800" s="35"/>
    </row>
    <row r="801" ht="12.75" customHeight="1">
      <c r="A801" s="35"/>
      <c r="B801" s="35"/>
      <c r="C801" s="35"/>
      <c r="D801" s="35"/>
      <c r="E801" s="35"/>
      <c r="F801" s="35"/>
      <c r="G801" s="35"/>
      <c r="H801" s="35"/>
      <c r="I801" s="35"/>
      <c r="J801" s="35"/>
      <c r="K801" s="35"/>
      <c r="L801" s="35"/>
      <c r="M801" s="35"/>
      <c r="N801" s="35"/>
      <c r="O801" s="35"/>
      <c r="P801" s="35"/>
      <c r="Q801" s="35"/>
      <c r="R801" s="35"/>
      <c r="S801" s="35"/>
      <c r="T801" s="35"/>
      <c r="U801" s="35"/>
      <c r="V801" s="35"/>
      <c r="W801" s="35"/>
      <c r="X801" s="35"/>
      <c r="Y801" s="35"/>
      <c r="Z801" s="35"/>
    </row>
    <row r="802" ht="12.75" customHeight="1">
      <c r="A802" s="35"/>
      <c r="B802" s="35"/>
      <c r="C802" s="35"/>
      <c r="D802" s="35"/>
      <c r="E802" s="35"/>
      <c r="F802" s="35"/>
      <c r="G802" s="35"/>
      <c r="H802" s="35"/>
      <c r="I802" s="35"/>
      <c r="J802" s="35"/>
      <c r="K802" s="35"/>
      <c r="L802" s="35"/>
      <c r="M802" s="35"/>
      <c r="N802" s="35"/>
      <c r="O802" s="35"/>
      <c r="P802" s="35"/>
      <c r="Q802" s="35"/>
      <c r="R802" s="35"/>
      <c r="S802" s="35"/>
      <c r="T802" s="35"/>
      <c r="U802" s="35"/>
      <c r="V802" s="35"/>
      <c r="W802" s="35"/>
      <c r="X802" s="35"/>
      <c r="Y802" s="35"/>
      <c r="Z802" s="35"/>
    </row>
    <row r="803" ht="12.75" customHeight="1">
      <c r="A803" s="35"/>
      <c r="B803" s="35"/>
      <c r="C803" s="35"/>
      <c r="D803" s="35"/>
      <c r="E803" s="35"/>
      <c r="F803" s="35"/>
      <c r="G803" s="35"/>
      <c r="H803" s="35"/>
      <c r="I803" s="35"/>
      <c r="J803" s="35"/>
      <c r="K803" s="35"/>
      <c r="L803" s="35"/>
      <c r="M803" s="35"/>
      <c r="N803" s="35"/>
      <c r="O803" s="35"/>
      <c r="P803" s="35"/>
      <c r="Q803" s="35"/>
      <c r="R803" s="35"/>
      <c r="S803" s="35"/>
      <c r="T803" s="35"/>
      <c r="U803" s="35"/>
      <c r="V803" s="35"/>
      <c r="W803" s="35"/>
      <c r="X803" s="35"/>
      <c r="Y803" s="35"/>
      <c r="Z803" s="35"/>
    </row>
    <row r="804" ht="12.75" customHeight="1">
      <c r="A804" s="35"/>
      <c r="B804" s="35"/>
      <c r="C804" s="35"/>
      <c r="D804" s="35"/>
      <c r="E804" s="35"/>
      <c r="F804" s="35"/>
      <c r="G804" s="35"/>
      <c r="H804" s="35"/>
      <c r="I804" s="35"/>
      <c r="J804" s="35"/>
      <c r="K804" s="35"/>
      <c r="L804" s="35"/>
      <c r="M804" s="35"/>
      <c r="N804" s="35"/>
      <c r="O804" s="35"/>
      <c r="P804" s="35"/>
      <c r="Q804" s="35"/>
      <c r="R804" s="35"/>
      <c r="S804" s="35"/>
      <c r="T804" s="35"/>
      <c r="U804" s="35"/>
      <c r="V804" s="35"/>
      <c r="W804" s="35"/>
      <c r="X804" s="35"/>
      <c r="Y804" s="35"/>
      <c r="Z804" s="35"/>
    </row>
    <row r="805" ht="12.75" customHeight="1">
      <c r="A805" s="35"/>
      <c r="B805" s="35"/>
      <c r="C805" s="35"/>
      <c r="D805" s="35"/>
      <c r="E805" s="35"/>
      <c r="F805" s="35"/>
      <c r="G805" s="35"/>
      <c r="H805" s="35"/>
      <c r="I805" s="35"/>
      <c r="J805" s="35"/>
      <c r="K805" s="35"/>
      <c r="L805" s="35"/>
      <c r="M805" s="35"/>
      <c r="N805" s="35"/>
      <c r="O805" s="35"/>
      <c r="P805" s="35"/>
      <c r="Q805" s="35"/>
      <c r="R805" s="35"/>
      <c r="S805" s="35"/>
      <c r="T805" s="35"/>
      <c r="U805" s="35"/>
      <c r="V805" s="35"/>
      <c r="W805" s="35"/>
      <c r="X805" s="35"/>
      <c r="Y805" s="35"/>
      <c r="Z805" s="35"/>
    </row>
    <row r="806" ht="12.75" customHeight="1">
      <c r="A806" s="35"/>
      <c r="B806" s="35"/>
      <c r="C806" s="35"/>
      <c r="D806" s="35"/>
      <c r="E806" s="35"/>
      <c r="F806" s="35"/>
      <c r="G806" s="35"/>
      <c r="H806" s="35"/>
      <c r="I806" s="35"/>
      <c r="J806" s="35"/>
      <c r="K806" s="35"/>
      <c r="L806" s="35"/>
      <c r="M806" s="35"/>
      <c r="N806" s="35"/>
      <c r="O806" s="35"/>
      <c r="P806" s="35"/>
      <c r="Q806" s="35"/>
      <c r="R806" s="35"/>
      <c r="S806" s="35"/>
      <c r="T806" s="35"/>
      <c r="U806" s="35"/>
      <c r="V806" s="35"/>
      <c r="W806" s="35"/>
      <c r="X806" s="35"/>
      <c r="Y806" s="35"/>
      <c r="Z806" s="35"/>
    </row>
    <row r="807" ht="12.75" customHeight="1">
      <c r="A807" s="35"/>
      <c r="B807" s="35"/>
      <c r="C807" s="35"/>
      <c r="D807" s="35"/>
      <c r="E807" s="35"/>
      <c r="F807" s="35"/>
      <c r="G807" s="35"/>
      <c r="H807" s="35"/>
      <c r="I807" s="35"/>
      <c r="J807" s="35"/>
      <c r="K807" s="35"/>
      <c r="L807" s="35"/>
      <c r="M807" s="35"/>
      <c r="N807" s="35"/>
      <c r="O807" s="35"/>
      <c r="P807" s="35"/>
      <c r="Q807" s="35"/>
      <c r="R807" s="35"/>
      <c r="S807" s="35"/>
      <c r="T807" s="35"/>
      <c r="U807" s="35"/>
      <c r="V807" s="35"/>
      <c r="W807" s="35"/>
      <c r="X807" s="35"/>
      <c r="Y807" s="35"/>
      <c r="Z807" s="35"/>
    </row>
    <row r="808" ht="12.75" customHeight="1">
      <c r="A808" s="35"/>
      <c r="B808" s="35"/>
      <c r="C808" s="35"/>
      <c r="D808" s="35"/>
      <c r="E808" s="35"/>
      <c r="F808" s="35"/>
      <c r="G808" s="35"/>
      <c r="H808" s="35"/>
      <c r="I808" s="35"/>
      <c r="J808" s="35"/>
      <c r="K808" s="35"/>
      <c r="L808" s="35"/>
      <c r="M808" s="35"/>
      <c r="N808" s="35"/>
      <c r="O808" s="35"/>
      <c r="P808" s="35"/>
      <c r="Q808" s="35"/>
      <c r="R808" s="35"/>
      <c r="S808" s="35"/>
      <c r="T808" s="35"/>
      <c r="U808" s="35"/>
      <c r="V808" s="35"/>
      <c r="W808" s="35"/>
      <c r="X808" s="35"/>
      <c r="Y808" s="35"/>
      <c r="Z808" s="35"/>
    </row>
    <row r="809" ht="12.75" customHeight="1">
      <c r="A809" s="35"/>
      <c r="B809" s="35"/>
      <c r="C809" s="35"/>
      <c r="D809" s="35"/>
      <c r="E809" s="35"/>
      <c r="F809" s="35"/>
      <c r="G809" s="35"/>
      <c r="H809" s="35"/>
      <c r="I809" s="35"/>
      <c r="J809" s="35"/>
      <c r="K809" s="35"/>
      <c r="L809" s="35"/>
      <c r="M809" s="35"/>
      <c r="N809" s="35"/>
      <c r="O809" s="35"/>
      <c r="P809" s="35"/>
      <c r="Q809" s="35"/>
      <c r="R809" s="35"/>
      <c r="S809" s="35"/>
      <c r="T809" s="35"/>
      <c r="U809" s="35"/>
      <c r="V809" s="35"/>
      <c r="W809" s="35"/>
      <c r="X809" s="35"/>
      <c r="Y809" s="35"/>
      <c r="Z809" s="35"/>
    </row>
    <row r="810" ht="12.75" customHeight="1">
      <c r="A810" s="35"/>
      <c r="B810" s="35"/>
      <c r="C810" s="35"/>
      <c r="D810" s="35"/>
      <c r="E810" s="35"/>
      <c r="F810" s="35"/>
      <c r="G810" s="35"/>
      <c r="H810" s="35"/>
      <c r="I810" s="35"/>
      <c r="J810" s="35"/>
      <c r="K810" s="35"/>
      <c r="L810" s="35"/>
      <c r="M810" s="35"/>
      <c r="N810" s="35"/>
      <c r="O810" s="35"/>
      <c r="P810" s="35"/>
      <c r="Q810" s="35"/>
      <c r="R810" s="35"/>
      <c r="S810" s="35"/>
      <c r="T810" s="35"/>
      <c r="U810" s="35"/>
      <c r="V810" s="35"/>
      <c r="W810" s="35"/>
      <c r="X810" s="35"/>
      <c r="Y810" s="35"/>
      <c r="Z810" s="35"/>
    </row>
    <row r="811" ht="12.75" customHeight="1">
      <c r="A811" s="35"/>
      <c r="B811" s="35"/>
      <c r="C811" s="35"/>
      <c r="D811" s="35"/>
      <c r="E811" s="35"/>
      <c r="F811" s="35"/>
      <c r="G811" s="35"/>
      <c r="H811" s="35"/>
      <c r="I811" s="35"/>
      <c r="J811" s="35"/>
      <c r="K811" s="35"/>
      <c r="L811" s="35"/>
      <c r="M811" s="35"/>
      <c r="N811" s="35"/>
      <c r="O811" s="35"/>
      <c r="P811" s="35"/>
      <c r="Q811" s="35"/>
      <c r="R811" s="35"/>
      <c r="S811" s="35"/>
      <c r="T811" s="35"/>
      <c r="U811" s="35"/>
      <c r="V811" s="35"/>
      <c r="W811" s="35"/>
      <c r="X811" s="35"/>
      <c r="Y811" s="35"/>
      <c r="Z811" s="35"/>
    </row>
    <row r="812" ht="12.75" customHeight="1">
      <c r="A812" s="35"/>
      <c r="B812" s="35"/>
      <c r="C812" s="35"/>
      <c r="D812" s="35"/>
      <c r="E812" s="35"/>
      <c r="F812" s="35"/>
      <c r="G812" s="35"/>
      <c r="H812" s="35"/>
      <c r="I812" s="35"/>
      <c r="J812" s="35"/>
      <c r="K812" s="35"/>
      <c r="L812" s="35"/>
      <c r="M812" s="35"/>
      <c r="N812" s="35"/>
      <c r="O812" s="35"/>
      <c r="P812" s="35"/>
      <c r="Q812" s="35"/>
      <c r="R812" s="35"/>
      <c r="S812" s="35"/>
      <c r="T812" s="35"/>
      <c r="U812" s="35"/>
      <c r="V812" s="35"/>
      <c r="W812" s="35"/>
      <c r="X812" s="35"/>
      <c r="Y812" s="35"/>
      <c r="Z812" s="35"/>
    </row>
    <row r="813" ht="12.75" customHeight="1">
      <c r="A813" s="35"/>
      <c r="B813" s="35"/>
      <c r="C813" s="35"/>
      <c r="D813" s="35"/>
      <c r="E813" s="35"/>
      <c r="F813" s="35"/>
      <c r="G813" s="35"/>
      <c r="H813" s="35"/>
      <c r="I813" s="35"/>
      <c r="J813" s="35"/>
      <c r="K813" s="35"/>
      <c r="L813" s="35"/>
      <c r="M813" s="35"/>
      <c r="N813" s="35"/>
      <c r="O813" s="35"/>
      <c r="P813" s="35"/>
      <c r="Q813" s="35"/>
      <c r="R813" s="35"/>
      <c r="S813" s="35"/>
      <c r="T813" s="35"/>
      <c r="U813" s="35"/>
      <c r="V813" s="35"/>
      <c r="W813" s="35"/>
      <c r="X813" s="35"/>
      <c r="Y813" s="35"/>
      <c r="Z813" s="35"/>
    </row>
    <row r="814" ht="12.75" customHeight="1">
      <c r="A814" s="35"/>
      <c r="B814" s="35"/>
      <c r="C814" s="35"/>
      <c r="D814" s="35"/>
      <c r="E814" s="35"/>
      <c r="F814" s="35"/>
      <c r="G814" s="35"/>
      <c r="H814" s="35"/>
      <c r="I814" s="35"/>
      <c r="J814" s="35"/>
      <c r="K814" s="35"/>
      <c r="L814" s="35"/>
      <c r="M814" s="35"/>
      <c r="N814" s="35"/>
      <c r="O814" s="35"/>
      <c r="P814" s="35"/>
      <c r="Q814" s="35"/>
      <c r="R814" s="35"/>
      <c r="S814" s="35"/>
      <c r="T814" s="35"/>
      <c r="U814" s="35"/>
      <c r="V814" s="35"/>
      <c r="W814" s="35"/>
      <c r="X814" s="35"/>
      <c r="Y814" s="35"/>
      <c r="Z814" s="35"/>
    </row>
    <row r="815" ht="12.75" customHeight="1">
      <c r="A815" s="35"/>
      <c r="B815" s="35"/>
      <c r="C815" s="35"/>
      <c r="D815" s="35"/>
      <c r="E815" s="35"/>
      <c r="F815" s="35"/>
      <c r="G815" s="35"/>
      <c r="H815" s="35"/>
      <c r="I815" s="35"/>
      <c r="J815" s="35"/>
      <c r="K815" s="35"/>
      <c r="L815" s="35"/>
      <c r="M815" s="35"/>
      <c r="N815" s="35"/>
      <c r="O815" s="35"/>
      <c r="P815" s="35"/>
      <c r="Q815" s="35"/>
      <c r="R815" s="35"/>
      <c r="S815" s="35"/>
      <c r="T815" s="35"/>
      <c r="U815" s="35"/>
      <c r="V815" s="35"/>
      <c r="W815" s="35"/>
      <c r="X815" s="35"/>
      <c r="Y815" s="35"/>
      <c r="Z815" s="35"/>
    </row>
    <row r="816" ht="12.75" customHeight="1">
      <c r="A816" s="35"/>
      <c r="B816" s="35"/>
      <c r="C816" s="35"/>
      <c r="D816" s="35"/>
      <c r="E816" s="35"/>
      <c r="F816" s="35"/>
      <c r="G816" s="35"/>
      <c r="H816" s="35"/>
      <c r="I816" s="35"/>
      <c r="J816" s="35"/>
      <c r="K816" s="35"/>
      <c r="L816" s="35"/>
      <c r="M816" s="35"/>
      <c r="N816" s="35"/>
      <c r="O816" s="35"/>
      <c r="P816" s="35"/>
      <c r="Q816" s="35"/>
      <c r="R816" s="35"/>
      <c r="S816" s="35"/>
      <c r="T816" s="35"/>
      <c r="U816" s="35"/>
      <c r="V816" s="35"/>
      <c r="W816" s="35"/>
      <c r="X816" s="35"/>
      <c r="Y816" s="35"/>
      <c r="Z816" s="35"/>
    </row>
    <row r="817" ht="12.75" customHeight="1">
      <c r="A817" s="35"/>
      <c r="B817" s="35"/>
      <c r="C817" s="35"/>
      <c r="D817" s="35"/>
      <c r="E817" s="35"/>
      <c r="F817" s="35"/>
      <c r="G817" s="35"/>
      <c r="H817" s="35"/>
      <c r="I817" s="35"/>
      <c r="J817" s="35"/>
      <c r="K817" s="35"/>
      <c r="L817" s="35"/>
      <c r="M817" s="35"/>
      <c r="N817" s="35"/>
      <c r="O817" s="35"/>
      <c r="P817" s="35"/>
      <c r="Q817" s="35"/>
      <c r="R817" s="35"/>
      <c r="S817" s="35"/>
      <c r="T817" s="35"/>
      <c r="U817" s="35"/>
      <c r="V817" s="35"/>
      <c r="W817" s="35"/>
      <c r="X817" s="35"/>
      <c r="Y817" s="35"/>
      <c r="Z817" s="35"/>
    </row>
    <row r="818" ht="12.75" customHeight="1">
      <c r="A818" s="35"/>
      <c r="B818" s="35"/>
      <c r="C818" s="35"/>
      <c r="D818" s="35"/>
      <c r="E818" s="35"/>
      <c r="F818" s="35"/>
      <c r="G818" s="35"/>
      <c r="H818" s="35"/>
      <c r="I818" s="35"/>
      <c r="J818" s="35"/>
      <c r="K818" s="35"/>
      <c r="L818" s="35"/>
      <c r="M818" s="35"/>
      <c r="N818" s="35"/>
      <c r="O818" s="35"/>
      <c r="P818" s="35"/>
      <c r="Q818" s="35"/>
      <c r="R818" s="35"/>
      <c r="S818" s="35"/>
      <c r="T818" s="35"/>
      <c r="U818" s="35"/>
      <c r="V818" s="35"/>
      <c r="W818" s="35"/>
      <c r="X818" s="35"/>
      <c r="Y818" s="35"/>
      <c r="Z818" s="35"/>
    </row>
    <row r="819" ht="12.75" customHeight="1">
      <c r="A819" s="35"/>
      <c r="B819" s="35"/>
      <c r="C819" s="35"/>
      <c r="D819" s="35"/>
      <c r="E819" s="35"/>
      <c r="F819" s="35"/>
      <c r="G819" s="35"/>
      <c r="H819" s="35"/>
      <c r="I819" s="35"/>
      <c r="J819" s="35"/>
      <c r="K819" s="35"/>
      <c r="L819" s="35"/>
      <c r="M819" s="35"/>
      <c r="N819" s="35"/>
      <c r="O819" s="35"/>
      <c r="P819" s="35"/>
      <c r="Q819" s="35"/>
      <c r="R819" s="35"/>
      <c r="S819" s="35"/>
      <c r="T819" s="35"/>
      <c r="U819" s="35"/>
      <c r="V819" s="35"/>
      <c r="W819" s="35"/>
      <c r="X819" s="35"/>
      <c r="Y819" s="35"/>
      <c r="Z819" s="35"/>
    </row>
    <row r="820" ht="12.75" customHeight="1">
      <c r="A820" s="35"/>
      <c r="B820" s="35"/>
      <c r="C820" s="35"/>
      <c r="D820" s="35"/>
      <c r="E820" s="35"/>
      <c r="F820" s="35"/>
      <c r="G820" s="35"/>
      <c r="H820" s="35"/>
      <c r="I820" s="35"/>
      <c r="J820" s="35"/>
      <c r="K820" s="35"/>
      <c r="L820" s="35"/>
      <c r="M820" s="35"/>
      <c r="N820" s="35"/>
      <c r="O820" s="35"/>
      <c r="P820" s="35"/>
      <c r="Q820" s="35"/>
      <c r="R820" s="35"/>
      <c r="S820" s="35"/>
      <c r="T820" s="35"/>
      <c r="U820" s="35"/>
      <c r="V820" s="35"/>
      <c r="W820" s="35"/>
      <c r="X820" s="35"/>
      <c r="Y820" s="35"/>
      <c r="Z820" s="35"/>
    </row>
    <row r="821" ht="12.75" customHeight="1">
      <c r="A821" s="35"/>
      <c r="B821" s="35"/>
      <c r="C821" s="35"/>
      <c r="D821" s="35"/>
      <c r="E821" s="35"/>
      <c r="F821" s="35"/>
      <c r="G821" s="35"/>
      <c r="H821" s="35"/>
      <c r="I821" s="35"/>
      <c r="J821" s="35"/>
      <c r="K821" s="35"/>
      <c r="L821" s="35"/>
      <c r="M821" s="35"/>
      <c r="N821" s="35"/>
      <c r="O821" s="35"/>
      <c r="P821" s="35"/>
      <c r="Q821" s="35"/>
      <c r="R821" s="35"/>
      <c r="S821" s="35"/>
      <c r="T821" s="35"/>
      <c r="U821" s="35"/>
      <c r="V821" s="35"/>
      <c r="W821" s="35"/>
      <c r="X821" s="35"/>
      <c r="Y821" s="35"/>
      <c r="Z821" s="35"/>
    </row>
    <row r="822" ht="12.75" customHeight="1">
      <c r="A822" s="35"/>
      <c r="B822" s="35"/>
      <c r="C822" s="35"/>
      <c r="D822" s="35"/>
      <c r="E822" s="35"/>
      <c r="F822" s="35"/>
      <c r="G822" s="35"/>
      <c r="H822" s="35"/>
      <c r="I822" s="35"/>
      <c r="J822" s="35"/>
      <c r="K822" s="35"/>
      <c r="L822" s="35"/>
      <c r="M822" s="35"/>
      <c r="N822" s="35"/>
      <c r="O822" s="35"/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5"/>
    </row>
    <row r="823" ht="12.75" customHeight="1">
      <c r="A823" s="35"/>
      <c r="B823" s="35"/>
      <c r="C823" s="35"/>
      <c r="D823" s="35"/>
      <c r="E823" s="35"/>
      <c r="F823" s="35"/>
      <c r="G823" s="35"/>
      <c r="H823" s="35"/>
      <c r="I823" s="35"/>
      <c r="J823" s="35"/>
      <c r="K823" s="35"/>
      <c r="L823" s="35"/>
      <c r="M823" s="35"/>
      <c r="N823" s="35"/>
      <c r="O823" s="35"/>
      <c r="P823" s="35"/>
      <c r="Q823" s="35"/>
      <c r="R823" s="35"/>
      <c r="S823" s="35"/>
      <c r="T823" s="35"/>
      <c r="U823" s="35"/>
      <c r="V823" s="35"/>
      <c r="W823" s="35"/>
      <c r="X823" s="35"/>
      <c r="Y823" s="35"/>
      <c r="Z823" s="35"/>
    </row>
    <row r="824" ht="12.75" customHeight="1">
      <c r="A824" s="35"/>
      <c r="B824" s="35"/>
      <c r="C824" s="35"/>
      <c r="D824" s="35"/>
      <c r="E824" s="35"/>
      <c r="F824" s="35"/>
      <c r="G824" s="35"/>
      <c r="H824" s="35"/>
      <c r="I824" s="35"/>
      <c r="J824" s="35"/>
      <c r="K824" s="35"/>
      <c r="L824" s="35"/>
      <c r="M824" s="35"/>
      <c r="N824" s="35"/>
      <c r="O824" s="35"/>
      <c r="P824" s="35"/>
      <c r="Q824" s="35"/>
      <c r="R824" s="35"/>
      <c r="S824" s="35"/>
      <c r="T824" s="35"/>
      <c r="U824" s="35"/>
      <c r="V824" s="35"/>
      <c r="W824" s="35"/>
      <c r="X824" s="35"/>
      <c r="Y824" s="35"/>
      <c r="Z824" s="35"/>
    </row>
    <row r="825" ht="12.75" customHeight="1">
      <c r="A825" s="35"/>
      <c r="B825" s="35"/>
      <c r="C825" s="35"/>
      <c r="D825" s="35"/>
      <c r="E825" s="35"/>
      <c r="F825" s="35"/>
      <c r="G825" s="35"/>
      <c r="H825" s="35"/>
      <c r="I825" s="35"/>
      <c r="J825" s="35"/>
      <c r="K825" s="35"/>
      <c r="L825" s="35"/>
      <c r="M825" s="35"/>
      <c r="N825" s="35"/>
      <c r="O825" s="35"/>
      <c r="P825" s="35"/>
      <c r="Q825" s="35"/>
      <c r="R825" s="35"/>
      <c r="S825" s="35"/>
      <c r="T825" s="35"/>
      <c r="U825" s="35"/>
      <c r="V825" s="35"/>
      <c r="W825" s="35"/>
      <c r="X825" s="35"/>
      <c r="Y825" s="35"/>
      <c r="Z825" s="35"/>
    </row>
    <row r="826" ht="12.75" customHeight="1">
      <c r="A826" s="35"/>
      <c r="B826" s="35"/>
      <c r="C826" s="35"/>
      <c r="D826" s="35"/>
      <c r="E826" s="35"/>
      <c r="F826" s="35"/>
      <c r="G826" s="35"/>
      <c r="H826" s="35"/>
      <c r="I826" s="35"/>
      <c r="J826" s="35"/>
      <c r="K826" s="35"/>
      <c r="L826" s="35"/>
      <c r="M826" s="35"/>
      <c r="N826" s="35"/>
      <c r="O826" s="35"/>
      <c r="P826" s="35"/>
      <c r="Q826" s="35"/>
      <c r="R826" s="35"/>
      <c r="S826" s="35"/>
      <c r="T826" s="35"/>
      <c r="U826" s="35"/>
      <c r="V826" s="35"/>
      <c r="W826" s="35"/>
      <c r="X826" s="35"/>
      <c r="Y826" s="35"/>
      <c r="Z826" s="35"/>
    </row>
    <row r="827" ht="12.75" customHeight="1">
      <c r="A827" s="35"/>
      <c r="B827" s="35"/>
      <c r="C827" s="35"/>
      <c r="D827" s="35"/>
      <c r="E827" s="35"/>
      <c r="F827" s="35"/>
      <c r="G827" s="35"/>
      <c r="H827" s="35"/>
      <c r="I827" s="35"/>
      <c r="J827" s="35"/>
      <c r="K827" s="35"/>
      <c r="L827" s="35"/>
      <c r="M827" s="35"/>
      <c r="N827" s="35"/>
      <c r="O827" s="35"/>
      <c r="P827" s="35"/>
      <c r="Q827" s="35"/>
      <c r="R827" s="35"/>
      <c r="S827" s="35"/>
      <c r="T827" s="35"/>
      <c r="U827" s="35"/>
      <c r="V827" s="35"/>
      <c r="W827" s="35"/>
      <c r="X827" s="35"/>
      <c r="Y827" s="35"/>
      <c r="Z827" s="35"/>
    </row>
    <row r="828" ht="12.75" customHeight="1">
      <c r="A828" s="35"/>
      <c r="B828" s="35"/>
      <c r="C828" s="35"/>
      <c r="D828" s="35"/>
      <c r="E828" s="35"/>
      <c r="F828" s="35"/>
      <c r="G828" s="35"/>
      <c r="H828" s="35"/>
      <c r="I828" s="35"/>
      <c r="J828" s="35"/>
      <c r="K828" s="35"/>
      <c r="L828" s="35"/>
      <c r="M828" s="35"/>
      <c r="N828" s="35"/>
      <c r="O828" s="35"/>
      <c r="P828" s="35"/>
      <c r="Q828" s="35"/>
      <c r="R828" s="35"/>
      <c r="S828" s="35"/>
      <c r="T828" s="35"/>
      <c r="U828" s="35"/>
      <c r="V828" s="35"/>
      <c r="W828" s="35"/>
      <c r="X828" s="35"/>
      <c r="Y828" s="35"/>
      <c r="Z828" s="35"/>
    </row>
    <row r="829" ht="12.75" customHeight="1">
      <c r="A829" s="35"/>
      <c r="B829" s="35"/>
      <c r="C829" s="35"/>
      <c r="D829" s="35"/>
      <c r="E829" s="35"/>
      <c r="F829" s="35"/>
      <c r="G829" s="35"/>
      <c r="H829" s="35"/>
      <c r="I829" s="35"/>
      <c r="J829" s="35"/>
      <c r="K829" s="35"/>
      <c r="L829" s="35"/>
      <c r="M829" s="35"/>
      <c r="N829" s="35"/>
      <c r="O829" s="35"/>
      <c r="P829" s="35"/>
      <c r="Q829" s="35"/>
      <c r="R829" s="35"/>
      <c r="S829" s="35"/>
      <c r="T829" s="35"/>
      <c r="U829" s="35"/>
      <c r="V829" s="35"/>
      <c r="W829" s="35"/>
      <c r="X829" s="35"/>
      <c r="Y829" s="35"/>
      <c r="Z829" s="35"/>
    </row>
    <row r="830" ht="12.75" customHeight="1">
      <c r="A830" s="35"/>
      <c r="B830" s="35"/>
      <c r="C830" s="35"/>
      <c r="D830" s="35"/>
      <c r="E830" s="35"/>
      <c r="F830" s="35"/>
      <c r="G830" s="35"/>
      <c r="H830" s="35"/>
      <c r="I830" s="35"/>
      <c r="J830" s="35"/>
      <c r="K830" s="35"/>
      <c r="L830" s="35"/>
      <c r="M830" s="35"/>
      <c r="N830" s="35"/>
      <c r="O830" s="35"/>
      <c r="P830" s="35"/>
      <c r="Q830" s="35"/>
      <c r="R830" s="35"/>
      <c r="S830" s="35"/>
      <c r="T830" s="35"/>
      <c r="U830" s="35"/>
      <c r="V830" s="35"/>
      <c r="W830" s="35"/>
      <c r="X830" s="35"/>
      <c r="Y830" s="35"/>
      <c r="Z830" s="35"/>
    </row>
    <row r="831" ht="12.75" customHeight="1">
      <c r="A831" s="35"/>
      <c r="B831" s="35"/>
      <c r="C831" s="35"/>
      <c r="D831" s="35"/>
      <c r="E831" s="35"/>
      <c r="F831" s="35"/>
      <c r="G831" s="35"/>
      <c r="H831" s="35"/>
      <c r="I831" s="35"/>
      <c r="J831" s="35"/>
      <c r="K831" s="35"/>
      <c r="L831" s="35"/>
      <c r="M831" s="35"/>
      <c r="N831" s="35"/>
      <c r="O831" s="35"/>
      <c r="P831" s="35"/>
      <c r="Q831" s="35"/>
      <c r="R831" s="35"/>
      <c r="S831" s="35"/>
      <c r="T831" s="35"/>
      <c r="U831" s="35"/>
      <c r="V831" s="35"/>
      <c r="W831" s="35"/>
      <c r="X831" s="35"/>
      <c r="Y831" s="35"/>
      <c r="Z831" s="35"/>
    </row>
    <row r="832" ht="12.75" customHeight="1">
      <c r="A832" s="35"/>
      <c r="B832" s="35"/>
      <c r="C832" s="35"/>
      <c r="D832" s="35"/>
      <c r="E832" s="35"/>
      <c r="F832" s="35"/>
      <c r="G832" s="35"/>
      <c r="H832" s="35"/>
      <c r="I832" s="35"/>
      <c r="J832" s="35"/>
      <c r="K832" s="35"/>
      <c r="L832" s="35"/>
      <c r="M832" s="35"/>
      <c r="N832" s="35"/>
      <c r="O832" s="35"/>
      <c r="P832" s="35"/>
      <c r="Q832" s="35"/>
      <c r="R832" s="35"/>
      <c r="S832" s="35"/>
      <c r="T832" s="35"/>
      <c r="U832" s="35"/>
      <c r="V832" s="35"/>
      <c r="W832" s="35"/>
      <c r="X832" s="35"/>
      <c r="Y832" s="35"/>
      <c r="Z832" s="35"/>
    </row>
    <row r="833" ht="12.75" customHeight="1">
      <c r="A833" s="35"/>
      <c r="B833" s="35"/>
      <c r="C833" s="35"/>
      <c r="D833" s="35"/>
      <c r="E833" s="35"/>
      <c r="F833" s="35"/>
      <c r="G833" s="35"/>
      <c r="H833" s="35"/>
      <c r="I833" s="35"/>
      <c r="J833" s="35"/>
      <c r="K833" s="35"/>
      <c r="L833" s="35"/>
      <c r="M833" s="35"/>
      <c r="N833" s="35"/>
      <c r="O833" s="35"/>
      <c r="P833" s="35"/>
      <c r="Q833" s="35"/>
      <c r="R833" s="35"/>
      <c r="S833" s="35"/>
      <c r="T833" s="35"/>
      <c r="U833" s="35"/>
      <c r="V833" s="35"/>
      <c r="W833" s="35"/>
      <c r="X833" s="35"/>
      <c r="Y833" s="35"/>
      <c r="Z833" s="35"/>
    </row>
    <row r="834" ht="12.75" customHeight="1">
      <c r="A834" s="35"/>
      <c r="B834" s="35"/>
      <c r="C834" s="35"/>
      <c r="D834" s="35"/>
      <c r="E834" s="35"/>
      <c r="F834" s="35"/>
      <c r="G834" s="35"/>
      <c r="H834" s="35"/>
      <c r="I834" s="35"/>
      <c r="J834" s="35"/>
      <c r="K834" s="35"/>
      <c r="L834" s="35"/>
      <c r="M834" s="35"/>
      <c r="N834" s="35"/>
      <c r="O834" s="35"/>
      <c r="P834" s="35"/>
      <c r="Q834" s="35"/>
      <c r="R834" s="35"/>
      <c r="S834" s="35"/>
      <c r="T834" s="35"/>
      <c r="U834" s="35"/>
      <c r="V834" s="35"/>
      <c r="W834" s="35"/>
      <c r="X834" s="35"/>
      <c r="Y834" s="35"/>
      <c r="Z834" s="35"/>
    </row>
    <row r="835" ht="12.75" customHeight="1">
      <c r="A835" s="35"/>
      <c r="B835" s="35"/>
      <c r="C835" s="35"/>
      <c r="D835" s="35"/>
      <c r="E835" s="35"/>
      <c r="F835" s="35"/>
      <c r="G835" s="35"/>
      <c r="H835" s="35"/>
      <c r="I835" s="35"/>
      <c r="J835" s="35"/>
      <c r="K835" s="35"/>
      <c r="L835" s="35"/>
      <c r="M835" s="35"/>
      <c r="N835" s="35"/>
      <c r="O835" s="35"/>
      <c r="P835" s="35"/>
      <c r="Q835" s="35"/>
      <c r="R835" s="35"/>
      <c r="S835" s="35"/>
      <c r="T835" s="35"/>
      <c r="U835" s="35"/>
      <c r="V835" s="35"/>
      <c r="W835" s="35"/>
      <c r="X835" s="35"/>
      <c r="Y835" s="35"/>
      <c r="Z835" s="35"/>
    </row>
    <row r="836" ht="12.75" customHeight="1">
      <c r="A836" s="35"/>
      <c r="B836" s="35"/>
      <c r="C836" s="35"/>
      <c r="D836" s="35"/>
      <c r="E836" s="35"/>
      <c r="F836" s="35"/>
      <c r="G836" s="35"/>
      <c r="H836" s="35"/>
      <c r="I836" s="35"/>
      <c r="J836" s="35"/>
      <c r="K836" s="35"/>
      <c r="L836" s="35"/>
      <c r="M836" s="35"/>
      <c r="N836" s="35"/>
      <c r="O836" s="35"/>
      <c r="P836" s="35"/>
      <c r="Q836" s="35"/>
      <c r="R836" s="35"/>
      <c r="S836" s="35"/>
      <c r="T836" s="35"/>
      <c r="U836" s="35"/>
      <c r="V836" s="35"/>
      <c r="W836" s="35"/>
      <c r="X836" s="35"/>
      <c r="Y836" s="35"/>
      <c r="Z836" s="35"/>
    </row>
    <row r="837" ht="12.75" customHeight="1">
      <c r="A837" s="35"/>
      <c r="B837" s="35"/>
      <c r="C837" s="35"/>
      <c r="D837" s="35"/>
      <c r="E837" s="35"/>
      <c r="F837" s="35"/>
      <c r="G837" s="35"/>
      <c r="H837" s="35"/>
      <c r="I837" s="35"/>
      <c r="J837" s="35"/>
      <c r="K837" s="35"/>
      <c r="L837" s="35"/>
      <c r="M837" s="35"/>
      <c r="N837" s="35"/>
      <c r="O837" s="35"/>
      <c r="P837" s="35"/>
      <c r="Q837" s="35"/>
      <c r="R837" s="35"/>
      <c r="S837" s="35"/>
      <c r="T837" s="35"/>
      <c r="U837" s="35"/>
      <c r="V837" s="35"/>
      <c r="W837" s="35"/>
      <c r="X837" s="35"/>
      <c r="Y837" s="35"/>
      <c r="Z837" s="35"/>
    </row>
    <row r="838" ht="12.75" customHeight="1">
      <c r="A838" s="35"/>
      <c r="B838" s="35"/>
      <c r="C838" s="35"/>
      <c r="D838" s="35"/>
      <c r="E838" s="35"/>
      <c r="F838" s="35"/>
      <c r="G838" s="35"/>
      <c r="H838" s="35"/>
      <c r="I838" s="35"/>
      <c r="J838" s="35"/>
      <c r="K838" s="35"/>
      <c r="L838" s="35"/>
      <c r="M838" s="35"/>
      <c r="N838" s="35"/>
      <c r="O838" s="35"/>
      <c r="P838" s="35"/>
      <c r="Q838" s="35"/>
      <c r="R838" s="35"/>
      <c r="S838" s="35"/>
      <c r="T838" s="35"/>
      <c r="U838" s="35"/>
      <c r="V838" s="35"/>
      <c r="W838" s="35"/>
      <c r="X838" s="35"/>
      <c r="Y838" s="35"/>
      <c r="Z838" s="35"/>
    </row>
    <row r="839" ht="12.75" customHeight="1">
      <c r="A839" s="35"/>
      <c r="B839" s="35"/>
      <c r="C839" s="35"/>
      <c r="D839" s="35"/>
      <c r="E839" s="35"/>
      <c r="F839" s="35"/>
      <c r="G839" s="35"/>
      <c r="H839" s="35"/>
      <c r="I839" s="35"/>
      <c r="J839" s="35"/>
      <c r="K839" s="35"/>
      <c r="L839" s="35"/>
      <c r="M839" s="35"/>
      <c r="N839" s="35"/>
      <c r="O839" s="35"/>
      <c r="P839" s="35"/>
      <c r="Q839" s="35"/>
      <c r="R839" s="35"/>
      <c r="S839" s="35"/>
      <c r="T839" s="35"/>
      <c r="U839" s="35"/>
      <c r="V839" s="35"/>
      <c r="W839" s="35"/>
      <c r="X839" s="35"/>
      <c r="Y839" s="35"/>
      <c r="Z839" s="35"/>
    </row>
    <row r="840" ht="12.75" customHeight="1">
      <c r="A840" s="35"/>
      <c r="B840" s="35"/>
      <c r="C840" s="35"/>
      <c r="D840" s="35"/>
      <c r="E840" s="35"/>
      <c r="F840" s="35"/>
      <c r="G840" s="35"/>
      <c r="H840" s="35"/>
      <c r="I840" s="35"/>
      <c r="J840" s="35"/>
      <c r="K840" s="35"/>
      <c r="L840" s="35"/>
      <c r="M840" s="35"/>
      <c r="N840" s="35"/>
      <c r="O840" s="35"/>
      <c r="P840" s="35"/>
      <c r="Q840" s="35"/>
      <c r="R840" s="35"/>
      <c r="S840" s="35"/>
      <c r="T840" s="35"/>
      <c r="U840" s="35"/>
      <c r="V840" s="35"/>
      <c r="W840" s="35"/>
      <c r="X840" s="35"/>
      <c r="Y840" s="35"/>
      <c r="Z840" s="35"/>
    </row>
    <row r="841" ht="12.75" customHeight="1">
      <c r="A841" s="35"/>
      <c r="B841" s="35"/>
      <c r="C841" s="35"/>
      <c r="D841" s="35"/>
      <c r="E841" s="35"/>
      <c r="F841" s="35"/>
      <c r="G841" s="35"/>
      <c r="H841" s="35"/>
      <c r="I841" s="35"/>
      <c r="J841" s="35"/>
      <c r="K841" s="35"/>
      <c r="L841" s="35"/>
      <c r="M841" s="35"/>
      <c r="N841" s="35"/>
      <c r="O841" s="35"/>
      <c r="P841" s="35"/>
      <c r="Q841" s="35"/>
      <c r="R841" s="35"/>
      <c r="S841" s="35"/>
      <c r="T841" s="35"/>
      <c r="U841" s="35"/>
      <c r="V841" s="35"/>
      <c r="W841" s="35"/>
      <c r="X841" s="35"/>
      <c r="Y841" s="35"/>
      <c r="Z841" s="35"/>
    </row>
    <row r="842" ht="12.75" customHeight="1">
      <c r="A842" s="35"/>
      <c r="B842" s="35"/>
      <c r="C842" s="35"/>
      <c r="D842" s="35"/>
      <c r="E842" s="35"/>
      <c r="F842" s="35"/>
      <c r="G842" s="35"/>
      <c r="H842" s="35"/>
      <c r="I842" s="35"/>
      <c r="J842" s="35"/>
      <c r="K842" s="35"/>
      <c r="L842" s="35"/>
      <c r="M842" s="35"/>
      <c r="N842" s="35"/>
      <c r="O842" s="35"/>
      <c r="P842" s="35"/>
      <c r="Q842" s="35"/>
      <c r="R842" s="35"/>
      <c r="S842" s="35"/>
      <c r="T842" s="35"/>
      <c r="U842" s="35"/>
      <c r="V842" s="35"/>
      <c r="W842" s="35"/>
      <c r="X842" s="35"/>
      <c r="Y842" s="35"/>
      <c r="Z842" s="35"/>
    </row>
    <row r="843" ht="12.75" customHeight="1">
      <c r="A843" s="35"/>
      <c r="B843" s="35"/>
      <c r="C843" s="35"/>
      <c r="D843" s="35"/>
      <c r="E843" s="35"/>
      <c r="F843" s="35"/>
      <c r="G843" s="35"/>
      <c r="H843" s="35"/>
      <c r="I843" s="35"/>
      <c r="J843" s="35"/>
      <c r="K843" s="35"/>
      <c r="L843" s="35"/>
      <c r="M843" s="35"/>
      <c r="N843" s="35"/>
      <c r="O843" s="35"/>
      <c r="P843" s="35"/>
      <c r="Q843" s="35"/>
      <c r="R843" s="35"/>
      <c r="S843" s="35"/>
      <c r="T843" s="35"/>
      <c r="U843" s="35"/>
      <c r="V843" s="35"/>
      <c r="W843" s="35"/>
      <c r="X843" s="35"/>
      <c r="Y843" s="35"/>
      <c r="Z843" s="35"/>
    </row>
    <row r="844" ht="12.75" customHeight="1">
      <c r="A844" s="35"/>
      <c r="B844" s="35"/>
      <c r="C844" s="35"/>
      <c r="D844" s="35"/>
      <c r="E844" s="35"/>
      <c r="F844" s="35"/>
      <c r="G844" s="35"/>
      <c r="H844" s="35"/>
      <c r="I844" s="35"/>
      <c r="J844" s="35"/>
      <c r="K844" s="35"/>
      <c r="L844" s="35"/>
      <c r="M844" s="35"/>
      <c r="N844" s="35"/>
      <c r="O844" s="35"/>
      <c r="P844" s="35"/>
      <c r="Q844" s="35"/>
      <c r="R844" s="35"/>
      <c r="S844" s="35"/>
      <c r="T844" s="35"/>
      <c r="U844" s="35"/>
      <c r="V844" s="35"/>
      <c r="W844" s="35"/>
      <c r="X844" s="35"/>
      <c r="Y844" s="35"/>
      <c r="Z844" s="35"/>
    </row>
    <row r="845" ht="12.75" customHeight="1">
      <c r="A845" s="35"/>
      <c r="B845" s="35"/>
      <c r="C845" s="35"/>
      <c r="D845" s="35"/>
      <c r="E845" s="35"/>
      <c r="F845" s="35"/>
      <c r="G845" s="35"/>
      <c r="H845" s="35"/>
      <c r="I845" s="35"/>
      <c r="J845" s="35"/>
      <c r="K845" s="35"/>
      <c r="L845" s="35"/>
      <c r="M845" s="35"/>
      <c r="N845" s="35"/>
      <c r="O845" s="35"/>
      <c r="P845" s="35"/>
      <c r="Q845" s="35"/>
      <c r="R845" s="35"/>
      <c r="S845" s="35"/>
      <c r="T845" s="35"/>
      <c r="U845" s="35"/>
      <c r="V845" s="35"/>
      <c r="W845" s="35"/>
      <c r="X845" s="35"/>
      <c r="Y845" s="35"/>
      <c r="Z845" s="35"/>
    </row>
    <row r="846" ht="12.75" customHeight="1">
      <c r="A846" s="35"/>
      <c r="B846" s="35"/>
      <c r="C846" s="35"/>
      <c r="D846" s="35"/>
      <c r="E846" s="35"/>
      <c r="F846" s="35"/>
      <c r="G846" s="35"/>
      <c r="H846" s="35"/>
      <c r="I846" s="35"/>
      <c r="J846" s="35"/>
      <c r="K846" s="35"/>
      <c r="L846" s="35"/>
      <c r="M846" s="35"/>
      <c r="N846" s="35"/>
      <c r="O846" s="35"/>
      <c r="P846" s="35"/>
      <c r="Q846" s="35"/>
      <c r="R846" s="35"/>
      <c r="S846" s="35"/>
      <c r="T846" s="35"/>
      <c r="U846" s="35"/>
      <c r="V846" s="35"/>
      <c r="W846" s="35"/>
      <c r="X846" s="35"/>
      <c r="Y846" s="35"/>
      <c r="Z846" s="35"/>
    </row>
    <row r="847" ht="12.75" customHeight="1">
      <c r="A847" s="35"/>
      <c r="B847" s="35"/>
      <c r="C847" s="35"/>
      <c r="D847" s="35"/>
      <c r="E847" s="35"/>
      <c r="F847" s="35"/>
      <c r="G847" s="35"/>
      <c r="H847" s="35"/>
      <c r="I847" s="35"/>
      <c r="J847" s="35"/>
      <c r="K847" s="35"/>
      <c r="L847" s="35"/>
      <c r="M847" s="35"/>
      <c r="N847" s="35"/>
      <c r="O847" s="35"/>
      <c r="P847" s="35"/>
      <c r="Q847" s="35"/>
      <c r="R847" s="35"/>
      <c r="S847" s="35"/>
      <c r="T847" s="35"/>
      <c r="U847" s="35"/>
      <c r="V847" s="35"/>
      <c r="W847" s="35"/>
      <c r="X847" s="35"/>
      <c r="Y847" s="35"/>
      <c r="Z847" s="35"/>
    </row>
    <row r="848" ht="12.75" customHeight="1">
      <c r="A848" s="35"/>
      <c r="B848" s="35"/>
      <c r="C848" s="35"/>
      <c r="D848" s="35"/>
      <c r="E848" s="35"/>
      <c r="F848" s="35"/>
      <c r="G848" s="35"/>
      <c r="H848" s="35"/>
      <c r="I848" s="35"/>
      <c r="J848" s="35"/>
      <c r="K848" s="35"/>
      <c r="L848" s="35"/>
      <c r="M848" s="35"/>
      <c r="N848" s="35"/>
      <c r="O848" s="35"/>
      <c r="P848" s="35"/>
      <c r="Q848" s="35"/>
      <c r="R848" s="35"/>
      <c r="S848" s="35"/>
      <c r="T848" s="35"/>
      <c r="U848" s="35"/>
      <c r="V848" s="35"/>
      <c r="W848" s="35"/>
      <c r="X848" s="35"/>
      <c r="Y848" s="35"/>
      <c r="Z848" s="35"/>
    </row>
    <row r="849" ht="12.75" customHeight="1">
      <c r="A849" s="35"/>
      <c r="B849" s="35"/>
      <c r="C849" s="35"/>
      <c r="D849" s="35"/>
      <c r="E849" s="35"/>
      <c r="F849" s="35"/>
      <c r="G849" s="35"/>
      <c r="H849" s="35"/>
      <c r="I849" s="35"/>
      <c r="J849" s="35"/>
      <c r="K849" s="35"/>
      <c r="L849" s="35"/>
      <c r="M849" s="35"/>
      <c r="N849" s="35"/>
      <c r="O849" s="35"/>
      <c r="P849" s="35"/>
      <c r="Q849" s="35"/>
      <c r="R849" s="35"/>
      <c r="S849" s="35"/>
      <c r="T849" s="35"/>
      <c r="U849" s="35"/>
      <c r="V849" s="35"/>
      <c r="W849" s="35"/>
      <c r="X849" s="35"/>
      <c r="Y849" s="35"/>
      <c r="Z849" s="35"/>
    </row>
    <row r="850" ht="12.75" customHeight="1">
      <c r="A850" s="35"/>
      <c r="B850" s="35"/>
      <c r="C850" s="35"/>
      <c r="D850" s="35"/>
      <c r="E850" s="35"/>
      <c r="F850" s="35"/>
      <c r="G850" s="35"/>
      <c r="H850" s="35"/>
      <c r="I850" s="35"/>
      <c r="J850" s="35"/>
      <c r="K850" s="35"/>
      <c r="L850" s="35"/>
      <c r="M850" s="35"/>
      <c r="N850" s="35"/>
      <c r="O850" s="35"/>
      <c r="P850" s="35"/>
      <c r="Q850" s="35"/>
      <c r="R850" s="35"/>
      <c r="S850" s="35"/>
      <c r="T850" s="35"/>
      <c r="U850" s="35"/>
      <c r="V850" s="35"/>
      <c r="W850" s="35"/>
      <c r="X850" s="35"/>
      <c r="Y850" s="35"/>
      <c r="Z850" s="35"/>
    </row>
    <row r="851" ht="12.75" customHeight="1">
      <c r="A851" s="35"/>
      <c r="B851" s="35"/>
      <c r="C851" s="35"/>
      <c r="D851" s="35"/>
      <c r="E851" s="35"/>
      <c r="F851" s="35"/>
      <c r="G851" s="35"/>
      <c r="H851" s="35"/>
      <c r="I851" s="35"/>
      <c r="J851" s="35"/>
      <c r="K851" s="35"/>
      <c r="L851" s="35"/>
      <c r="M851" s="35"/>
      <c r="N851" s="35"/>
      <c r="O851" s="35"/>
      <c r="P851" s="35"/>
      <c r="Q851" s="35"/>
      <c r="R851" s="35"/>
      <c r="S851" s="35"/>
      <c r="T851" s="35"/>
      <c r="U851" s="35"/>
      <c r="V851" s="35"/>
      <c r="W851" s="35"/>
      <c r="X851" s="35"/>
      <c r="Y851" s="35"/>
      <c r="Z851" s="35"/>
    </row>
    <row r="852" ht="12.75" customHeight="1">
      <c r="A852" s="35"/>
      <c r="B852" s="35"/>
      <c r="C852" s="35"/>
      <c r="D852" s="35"/>
      <c r="E852" s="35"/>
      <c r="F852" s="35"/>
      <c r="G852" s="35"/>
      <c r="H852" s="35"/>
      <c r="I852" s="35"/>
      <c r="J852" s="35"/>
      <c r="K852" s="35"/>
      <c r="L852" s="35"/>
      <c r="M852" s="35"/>
      <c r="N852" s="35"/>
      <c r="O852" s="35"/>
      <c r="P852" s="35"/>
      <c r="Q852" s="35"/>
      <c r="R852" s="35"/>
      <c r="S852" s="35"/>
      <c r="T852" s="35"/>
      <c r="U852" s="35"/>
      <c r="V852" s="35"/>
      <c r="W852" s="35"/>
      <c r="X852" s="35"/>
      <c r="Y852" s="35"/>
      <c r="Z852" s="35"/>
    </row>
    <row r="853" ht="12.75" customHeight="1">
      <c r="A853" s="35"/>
      <c r="B853" s="35"/>
      <c r="C853" s="35"/>
      <c r="D853" s="35"/>
      <c r="E853" s="35"/>
      <c r="F853" s="35"/>
      <c r="G853" s="35"/>
      <c r="H853" s="35"/>
      <c r="I853" s="35"/>
      <c r="J853" s="35"/>
      <c r="K853" s="35"/>
      <c r="L853" s="35"/>
      <c r="M853" s="35"/>
      <c r="N853" s="35"/>
      <c r="O853" s="35"/>
      <c r="P853" s="35"/>
      <c r="Q853" s="35"/>
      <c r="R853" s="35"/>
      <c r="S853" s="35"/>
      <c r="T853" s="35"/>
      <c r="U853" s="35"/>
      <c r="V853" s="35"/>
      <c r="W853" s="35"/>
      <c r="X853" s="35"/>
      <c r="Y853" s="35"/>
      <c r="Z853" s="35"/>
    </row>
    <row r="854" ht="12.75" customHeight="1">
      <c r="A854" s="35"/>
      <c r="B854" s="35"/>
      <c r="C854" s="35"/>
      <c r="D854" s="35"/>
      <c r="E854" s="35"/>
      <c r="F854" s="35"/>
      <c r="G854" s="35"/>
      <c r="H854" s="35"/>
      <c r="I854" s="35"/>
      <c r="J854" s="35"/>
      <c r="K854" s="35"/>
      <c r="L854" s="35"/>
      <c r="M854" s="35"/>
      <c r="N854" s="35"/>
      <c r="O854" s="35"/>
      <c r="P854" s="35"/>
      <c r="Q854" s="35"/>
      <c r="R854" s="35"/>
      <c r="S854" s="35"/>
      <c r="T854" s="35"/>
      <c r="U854" s="35"/>
      <c r="V854" s="35"/>
      <c r="W854" s="35"/>
      <c r="X854" s="35"/>
      <c r="Y854" s="35"/>
      <c r="Z854" s="35"/>
    </row>
    <row r="855" ht="12.75" customHeight="1">
      <c r="A855" s="35"/>
      <c r="B855" s="35"/>
      <c r="C855" s="35"/>
      <c r="D855" s="35"/>
      <c r="E855" s="35"/>
      <c r="F855" s="35"/>
      <c r="G855" s="35"/>
      <c r="H855" s="35"/>
      <c r="I855" s="35"/>
      <c r="J855" s="35"/>
      <c r="K855" s="35"/>
      <c r="L855" s="35"/>
      <c r="M855" s="35"/>
      <c r="N855" s="35"/>
      <c r="O855" s="35"/>
      <c r="P855" s="35"/>
      <c r="Q855" s="35"/>
      <c r="R855" s="35"/>
      <c r="S855" s="35"/>
      <c r="T855" s="35"/>
      <c r="U855" s="35"/>
      <c r="V855" s="35"/>
      <c r="W855" s="35"/>
      <c r="X855" s="35"/>
      <c r="Y855" s="35"/>
      <c r="Z855" s="35"/>
    </row>
    <row r="856" ht="12.75" customHeight="1">
      <c r="A856" s="35"/>
      <c r="B856" s="35"/>
      <c r="C856" s="35"/>
      <c r="D856" s="35"/>
      <c r="E856" s="35"/>
      <c r="F856" s="35"/>
      <c r="G856" s="35"/>
      <c r="H856" s="35"/>
      <c r="I856" s="35"/>
      <c r="J856" s="35"/>
      <c r="K856" s="35"/>
      <c r="L856" s="35"/>
      <c r="M856" s="35"/>
      <c r="N856" s="35"/>
      <c r="O856" s="35"/>
      <c r="P856" s="35"/>
      <c r="Q856" s="35"/>
      <c r="R856" s="35"/>
      <c r="S856" s="35"/>
      <c r="T856" s="35"/>
      <c r="U856" s="35"/>
      <c r="V856" s="35"/>
      <c r="W856" s="35"/>
      <c r="X856" s="35"/>
      <c r="Y856" s="35"/>
      <c r="Z856" s="35"/>
    </row>
    <row r="857" ht="12.75" customHeight="1">
      <c r="A857" s="35"/>
      <c r="B857" s="35"/>
      <c r="C857" s="35"/>
      <c r="D857" s="35"/>
      <c r="E857" s="35"/>
      <c r="F857" s="35"/>
      <c r="G857" s="35"/>
      <c r="H857" s="35"/>
      <c r="I857" s="35"/>
      <c r="J857" s="35"/>
      <c r="K857" s="35"/>
      <c r="L857" s="35"/>
      <c r="M857" s="35"/>
      <c r="N857" s="35"/>
      <c r="O857" s="35"/>
      <c r="P857" s="35"/>
      <c r="Q857" s="35"/>
      <c r="R857" s="35"/>
      <c r="S857" s="35"/>
      <c r="T857" s="35"/>
      <c r="U857" s="35"/>
      <c r="V857" s="35"/>
      <c r="W857" s="35"/>
      <c r="X857" s="35"/>
      <c r="Y857" s="35"/>
      <c r="Z857" s="35"/>
    </row>
    <row r="858" ht="12.75" customHeight="1">
      <c r="A858" s="35"/>
      <c r="B858" s="35"/>
      <c r="C858" s="35"/>
      <c r="D858" s="35"/>
      <c r="E858" s="35"/>
      <c r="F858" s="35"/>
      <c r="G858" s="35"/>
      <c r="H858" s="35"/>
      <c r="I858" s="35"/>
      <c r="J858" s="35"/>
      <c r="K858" s="35"/>
      <c r="L858" s="35"/>
      <c r="M858" s="35"/>
      <c r="N858" s="35"/>
      <c r="O858" s="35"/>
      <c r="P858" s="35"/>
      <c r="Q858" s="35"/>
      <c r="R858" s="35"/>
      <c r="S858" s="35"/>
      <c r="T858" s="35"/>
      <c r="U858" s="35"/>
      <c r="V858" s="35"/>
      <c r="W858" s="35"/>
      <c r="X858" s="35"/>
      <c r="Y858" s="35"/>
      <c r="Z858" s="35"/>
    </row>
    <row r="859" ht="12.75" customHeight="1">
      <c r="A859" s="35"/>
      <c r="B859" s="35"/>
      <c r="C859" s="35"/>
      <c r="D859" s="35"/>
      <c r="E859" s="35"/>
      <c r="F859" s="35"/>
      <c r="G859" s="35"/>
      <c r="H859" s="35"/>
      <c r="I859" s="35"/>
      <c r="J859" s="35"/>
      <c r="K859" s="35"/>
      <c r="L859" s="35"/>
      <c r="M859" s="35"/>
      <c r="N859" s="35"/>
      <c r="O859" s="35"/>
      <c r="P859" s="35"/>
      <c r="Q859" s="35"/>
      <c r="R859" s="35"/>
      <c r="S859" s="35"/>
      <c r="T859" s="35"/>
      <c r="U859" s="35"/>
      <c r="V859" s="35"/>
      <c r="W859" s="35"/>
      <c r="X859" s="35"/>
      <c r="Y859" s="35"/>
      <c r="Z859" s="35"/>
    </row>
    <row r="860" ht="12.75" customHeight="1">
      <c r="A860" s="35"/>
      <c r="B860" s="35"/>
      <c r="C860" s="35"/>
      <c r="D860" s="35"/>
      <c r="E860" s="35"/>
      <c r="F860" s="35"/>
      <c r="G860" s="35"/>
      <c r="H860" s="35"/>
      <c r="I860" s="35"/>
      <c r="J860" s="35"/>
      <c r="K860" s="35"/>
      <c r="L860" s="35"/>
      <c r="M860" s="35"/>
      <c r="N860" s="35"/>
      <c r="O860" s="35"/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5"/>
    </row>
    <row r="861" ht="12.75" customHeight="1">
      <c r="A861" s="35"/>
      <c r="B861" s="35"/>
      <c r="C861" s="35"/>
      <c r="D861" s="35"/>
      <c r="E861" s="35"/>
      <c r="F861" s="35"/>
      <c r="G861" s="35"/>
      <c r="H861" s="35"/>
      <c r="I861" s="35"/>
      <c r="J861" s="35"/>
      <c r="K861" s="35"/>
      <c r="L861" s="35"/>
      <c r="M861" s="35"/>
      <c r="N861" s="35"/>
      <c r="O861" s="35"/>
      <c r="P861" s="35"/>
      <c r="Q861" s="35"/>
      <c r="R861" s="35"/>
      <c r="S861" s="35"/>
      <c r="T861" s="35"/>
      <c r="U861" s="35"/>
      <c r="V861" s="35"/>
      <c r="W861" s="35"/>
      <c r="X861" s="35"/>
      <c r="Y861" s="35"/>
      <c r="Z861" s="35"/>
    </row>
    <row r="862" ht="12.75" customHeight="1">
      <c r="A862" s="35"/>
      <c r="B862" s="35"/>
      <c r="C862" s="35"/>
      <c r="D862" s="35"/>
      <c r="E862" s="35"/>
      <c r="F862" s="35"/>
      <c r="G862" s="35"/>
      <c r="H862" s="35"/>
      <c r="I862" s="35"/>
      <c r="J862" s="35"/>
      <c r="K862" s="35"/>
      <c r="L862" s="35"/>
      <c r="M862" s="35"/>
      <c r="N862" s="35"/>
      <c r="O862" s="35"/>
      <c r="P862" s="35"/>
      <c r="Q862" s="35"/>
      <c r="R862" s="35"/>
      <c r="S862" s="35"/>
      <c r="T862" s="35"/>
      <c r="U862" s="35"/>
      <c r="V862" s="35"/>
      <c r="W862" s="35"/>
      <c r="X862" s="35"/>
      <c r="Y862" s="35"/>
      <c r="Z862" s="35"/>
    </row>
    <row r="863" ht="12.75" customHeight="1">
      <c r="A863" s="35"/>
      <c r="B863" s="35"/>
      <c r="C863" s="35"/>
      <c r="D863" s="35"/>
      <c r="E863" s="35"/>
      <c r="F863" s="35"/>
      <c r="G863" s="35"/>
      <c r="H863" s="35"/>
      <c r="I863" s="35"/>
      <c r="J863" s="35"/>
      <c r="K863" s="35"/>
      <c r="L863" s="35"/>
      <c r="M863" s="35"/>
      <c r="N863" s="35"/>
      <c r="O863" s="35"/>
      <c r="P863" s="35"/>
      <c r="Q863" s="35"/>
      <c r="R863" s="35"/>
      <c r="S863" s="35"/>
      <c r="T863" s="35"/>
      <c r="U863" s="35"/>
      <c r="V863" s="35"/>
      <c r="W863" s="35"/>
      <c r="X863" s="35"/>
      <c r="Y863" s="35"/>
      <c r="Z863" s="35"/>
    </row>
    <row r="864" ht="12.75" customHeight="1">
      <c r="A864" s="35"/>
      <c r="B864" s="35"/>
      <c r="C864" s="35"/>
      <c r="D864" s="35"/>
      <c r="E864" s="35"/>
      <c r="F864" s="35"/>
      <c r="G864" s="35"/>
      <c r="H864" s="35"/>
      <c r="I864" s="35"/>
      <c r="J864" s="35"/>
      <c r="K864" s="35"/>
      <c r="L864" s="35"/>
      <c r="M864" s="35"/>
      <c r="N864" s="35"/>
      <c r="O864" s="35"/>
      <c r="P864" s="35"/>
      <c r="Q864" s="35"/>
      <c r="R864" s="35"/>
      <c r="S864" s="35"/>
      <c r="T864" s="35"/>
      <c r="U864" s="35"/>
      <c r="V864" s="35"/>
      <c r="W864" s="35"/>
      <c r="X864" s="35"/>
      <c r="Y864" s="35"/>
      <c r="Z864" s="35"/>
    </row>
    <row r="865" ht="12.75" customHeight="1">
      <c r="A865" s="35"/>
      <c r="B865" s="35"/>
      <c r="C865" s="35"/>
      <c r="D865" s="35"/>
      <c r="E865" s="35"/>
      <c r="F865" s="35"/>
      <c r="G865" s="35"/>
      <c r="H865" s="35"/>
      <c r="I865" s="35"/>
      <c r="J865" s="35"/>
      <c r="K865" s="35"/>
      <c r="L865" s="35"/>
      <c r="M865" s="35"/>
      <c r="N865" s="35"/>
      <c r="O865" s="35"/>
      <c r="P865" s="35"/>
      <c r="Q865" s="35"/>
      <c r="R865" s="35"/>
      <c r="S865" s="35"/>
      <c r="T865" s="35"/>
      <c r="U865" s="35"/>
      <c r="V865" s="35"/>
      <c r="W865" s="35"/>
      <c r="X865" s="35"/>
      <c r="Y865" s="35"/>
      <c r="Z865" s="35"/>
    </row>
    <row r="866" ht="12.75" customHeight="1">
      <c r="A866" s="35"/>
      <c r="B866" s="35"/>
      <c r="C866" s="35"/>
      <c r="D866" s="35"/>
      <c r="E866" s="35"/>
      <c r="F866" s="35"/>
      <c r="G866" s="35"/>
      <c r="H866" s="35"/>
      <c r="I866" s="35"/>
      <c r="J866" s="35"/>
      <c r="K866" s="35"/>
      <c r="L866" s="35"/>
      <c r="M866" s="35"/>
      <c r="N866" s="35"/>
      <c r="O866" s="35"/>
      <c r="P866" s="35"/>
      <c r="Q866" s="35"/>
      <c r="R866" s="35"/>
      <c r="S866" s="35"/>
      <c r="T866" s="35"/>
      <c r="U866" s="35"/>
      <c r="V866" s="35"/>
      <c r="W866" s="35"/>
      <c r="X866" s="35"/>
      <c r="Y866" s="35"/>
      <c r="Z866" s="35"/>
    </row>
    <row r="867" ht="12.75" customHeight="1">
      <c r="A867" s="35"/>
      <c r="B867" s="35"/>
      <c r="C867" s="35"/>
      <c r="D867" s="35"/>
      <c r="E867" s="35"/>
      <c r="F867" s="35"/>
      <c r="G867" s="35"/>
      <c r="H867" s="35"/>
      <c r="I867" s="35"/>
      <c r="J867" s="35"/>
      <c r="K867" s="35"/>
      <c r="L867" s="35"/>
      <c r="M867" s="35"/>
      <c r="N867" s="35"/>
      <c r="O867" s="35"/>
      <c r="P867" s="35"/>
      <c r="Q867" s="35"/>
      <c r="R867" s="35"/>
      <c r="S867" s="35"/>
      <c r="T867" s="35"/>
      <c r="U867" s="35"/>
      <c r="V867" s="35"/>
      <c r="W867" s="35"/>
      <c r="X867" s="35"/>
      <c r="Y867" s="35"/>
      <c r="Z867" s="35"/>
    </row>
    <row r="868" ht="12.75" customHeight="1">
      <c r="A868" s="35"/>
      <c r="B868" s="35"/>
      <c r="C868" s="35"/>
      <c r="D868" s="35"/>
      <c r="E868" s="35"/>
      <c r="F868" s="35"/>
      <c r="G868" s="35"/>
      <c r="H868" s="35"/>
      <c r="I868" s="35"/>
      <c r="J868" s="35"/>
      <c r="K868" s="35"/>
      <c r="L868" s="35"/>
      <c r="M868" s="35"/>
      <c r="N868" s="35"/>
      <c r="O868" s="35"/>
      <c r="P868" s="35"/>
      <c r="Q868" s="35"/>
      <c r="R868" s="35"/>
      <c r="S868" s="35"/>
      <c r="T868" s="35"/>
      <c r="U868" s="35"/>
      <c r="V868" s="35"/>
      <c r="W868" s="35"/>
      <c r="X868" s="35"/>
      <c r="Y868" s="35"/>
      <c r="Z868" s="35"/>
    </row>
    <row r="869" ht="12.75" customHeight="1">
      <c r="A869" s="35"/>
      <c r="B869" s="35"/>
      <c r="C869" s="35"/>
      <c r="D869" s="35"/>
      <c r="E869" s="35"/>
      <c r="F869" s="35"/>
      <c r="G869" s="35"/>
      <c r="H869" s="35"/>
      <c r="I869" s="35"/>
      <c r="J869" s="35"/>
      <c r="K869" s="35"/>
      <c r="L869" s="35"/>
      <c r="M869" s="35"/>
      <c r="N869" s="35"/>
      <c r="O869" s="35"/>
      <c r="P869" s="35"/>
      <c r="Q869" s="35"/>
      <c r="R869" s="35"/>
      <c r="S869" s="35"/>
      <c r="T869" s="35"/>
      <c r="U869" s="35"/>
      <c r="V869" s="35"/>
      <c r="W869" s="35"/>
      <c r="X869" s="35"/>
      <c r="Y869" s="35"/>
      <c r="Z869" s="35"/>
    </row>
    <row r="870" ht="12.75" customHeight="1">
      <c r="A870" s="35"/>
      <c r="B870" s="35"/>
      <c r="C870" s="35"/>
      <c r="D870" s="35"/>
      <c r="E870" s="35"/>
      <c r="F870" s="35"/>
      <c r="G870" s="35"/>
      <c r="H870" s="35"/>
      <c r="I870" s="35"/>
      <c r="J870" s="35"/>
      <c r="K870" s="35"/>
      <c r="L870" s="35"/>
      <c r="M870" s="35"/>
      <c r="N870" s="35"/>
      <c r="O870" s="35"/>
      <c r="P870" s="35"/>
      <c r="Q870" s="35"/>
      <c r="R870" s="35"/>
      <c r="S870" s="35"/>
      <c r="T870" s="35"/>
      <c r="U870" s="35"/>
      <c r="V870" s="35"/>
      <c r="W870" s="35"/>
      <c r="X870" s="35"/>
      <c r="Y870" s="35"/>
      <c r="Z870" s="35"/>
    </row>
    <row r="871" ht="12.75" customHeight="1">
      <c r="A871" s="35"/>
      <c r="B871" s="35"/>
      <c r="C871" s="35"/>
      <c r="D871" s="35"/>
      <c r="E871" s="35"/>
      <c r="F871" s="35"/>
      <c r="G871" s="35"/>
      <c r="H871" s="35"/>
      <c r="I871" s="35"/>
      <c r="J871" s="35"/>
      <c r="K871" s="35"/>
      <c r="L871" s="35"/>
      <c r="M871" s="35"/>
      <c r="N871" s="35"/>
      <c r="O871" s="35"/>
      <c r="P871" s="35"/>
      <c r="Q871" s="35"/>
      <c r="R871" s="35"/>
      <c r="S871" s="35"/>
      <c r="T871" s="35"/>
      <c r="U871" s="35"/>
      <c r="V871" s="35"/>
      <c r="W871" s="35"/>
      <c r="X871" s="35"/>
      <c r="Y871" s="35"/>
      <c r="Z871" s="35"/>
    </row>
    <row r="872" ht="12.75" customHeight="1">
      <c r="A872" s="35"/>
      <c r="B872" s="35"/>
      <c r="C872" s="35"/>
      <c r="D872" s="35"/>
      <c r="E872" s="35"/>
      <c r="F872" s="35"/>
      <c r="G872" s="35"/>
      <c r="H872" s="35"/>
      <c r="I872" s="35"/>
      <c r="J872" s="35"/>
      <c r="K872" s="35"/>
      <c r="L872" s="35"/>
      <c r="M872" s="35"/>
      <c r="N872" s="35"/>
      <c r="O872" s="35"/>
      <c r="P872" s="35"/>
      <c r="Q872" s="35"/>
      <c r="R872" s="35"/>
      <c r="S872" s="35"/>
      <c r="T872" s="35"/>
      <c r="U872" s="35"/>
      <c r="V872" s="35"/>
      <c r="W872" s="35"/>
      <c r="X872" s="35"/>
      <c r="Y872" s="35"/>
      <c r="Z872" s="35"/>
    </row>
    <row r="873" ht="12.75" customHeight="1">
      <c r="A873" s="35"/>
      <c r="B873" s="35"/>
      <c r="C873" s="35"/>
      <c r="D873" s="35"/>
      <c r="E873" s="35"/>
      <c r="F873" s="35"/>
      <c r="G873" s="35"/>
      <c r="H873" s="35"/>
      <c r="I873" s="35"/>
      <c r="J873" s="35"/>
      <c r="K873" s="35"/>
      <c r="L873" s="35"/>
      <c r="M873" s="35"/>
      <c r="N873" s="35"/>
      <c r="O873" s="35"/>
      <c r="P873" s="35"/>
      <c r="Q873" s="35"/>
      <c r="R873" s="35"/>
      <c r="S873" s="35"/>
      <c r="T873" s="35"/>
      <c r="U873" s="35"/>
      <c r="V873" s="35"/>
      <c r="W873" s="35"/>
      <c r="X873" s="35"/>
      <c r="Y873" s="35"/>
      <c r="Z873" s="35"/>
    </row>
    <row r="874" ht="12.75" customHeight="1">
      <c r="A874" s="35"/>
      <c r="B874" s="35"/>
      <c r="C874" s="35"/>
      <c r="D874" s="35"/>
      <c r="E874" s="35"/>
      <c r="F874" s="35"/>
      <c r="G874" s="35"/>
      <c r="H874" s="35"/>
      <c r="I874" s="35"/>
      <c r="J874" s="35"/>
      <c r="K874" s="35"/>
      <c r="L874" s="35"/>
      <c r="M874" s="35"/>
      <c r="N874" s="35"/>
      <c r="O874" s="35"/>
      <c r="P874" s="35"/>
      <c r="Q874" s="35"/>
      <c r="R874" s="35"/>
      <c r="S874" s="35"/>
      <c r="T874" s="35"/>
      <c r="U874" s="35"/>
      <c r="V874" s="35"/>
      <c r="W874" s="35"/>
      <c r="X874" s="35"/>
      <c r="Y874" s="35"/>
      <c r="Z874" s="35"/>
    </row>
    <row r="875" ht="12.75" customHeight="1">
      <c r="A875" s="35"/>
      <c r="B875" s="35"/>
      <c r="C875" s="35"/>
      <c r="D875" s="35"/>
      <c r="E875" s="35"/>
      <c r="F875" s="35"/>
      <c r="G875" s="35"/>
      <c r="H875" s="35"/>
      <c r="I875" s="35"/>
      <c r="J875" s="35"/>
      <c r="K875" s="35"/>
      <c r="L875" s="35"/>
      <c r="M875" s="35"/>
      <c r="N875" s="35"/>
      <c r="O875" s="35"/>
      <c r="P875" s="35"/>
      <c r="Q875" s="35"/>
      <c r="R875" s="35"/>
      <c r="S875" s="35"/>
      <c r="T875" s="35"/>
      <c r="U875" s="35"/>
      <c r="V875" s="35"/>
      <c r="W875" s="35"/>
      <c r="X875" s="35"/>
      <c r="Y875" s="35"/>
      <c r="Z875" s="35"/>
    </row>
    <row r="876" ht="12.75" customHeight="1">
      <c r="A876" s="35"/>
      <c r="B876" s="35"/>
      <c r="C876" s="35"/>
      <c r="D876" s="35"/>
      <c r="E876" s="35"/>
      <c r="F876" s="35"/>
      <c r="G876" s="35"/>
      <c r="H876" s="35"/>
      <c r="I876" s="35"/>
      <c r="J876" s="35"/>
      <c r="K876" s="35"/>
      <c r="L876" s="35"/>
      <c r="M876" s="35"/>
      <c r="N876" s="35"/>
      <c r="O876" s="35"/>
      <c r="P876" s="35"/>
      <c r="Q876" s="35"/>
      <c r="R876" s="35"/>
      <c r="S876" s="35"/>
      <c r="T876" s="35"/>
      <c r="U876" s="35"/>
      <c r="V876" s="35"/>
      <c r="W876" s="35"/>
      <c r="X876" s="35"/>
      <c r="Y876" s="35"/>
      <c r="Z876" s="35"/>
    </row>
    <row r="877" ht="12.75" customHeight="1">
      <c r="A877" s="35"/>
      <c r="B877" s="35"/>
      <c r="C877" s="35"/>
      <c r="D877" s="35"/>
      <c r="E877" s="35"/>
      <c r="F877" s="35"/>
      <c r="G877" s="35"/>
      <c r="H877" s="35"/>
      <c r="I877" s="35"/>
      <c r="J877" s="35"/>
      <c r="K877" s="35"/>
      <c r="L877" s="35"/>
      <c r="M877" s="35"/>
      <c r="N877" s="35"/>
      <c r="O877" s="35"/>
      <c r="P877" s="35"/>
      <c r="Q877" s="35"/>
      <c r="R877" s="35"/>
      <c r="S877" s="35"/>
      <c r="T877" s="35"/>
      <c r="U877" s="35"/>
      <c r="V877" s="35"/>
      <c r="W877" s="35"/>
      <c r="X877" s="35"/>
      <c r="Y877" s="35"/>
      <c r="Z877" s="35"/>
    </row>
    <row r="878" ht="12.75" customHeight="1">
      <c r="A878" s="35"/>
      <c r="B878" s="35"/>
      <c r="C878" s="35"/>
      <c r="D878" s="35"/>
      <c r="E878" s="35"/>
      <c r="F878" s="35"/>
      <c r="G878" s="35"/>
      <c r="H878" s="35"/>
      <c r="I878" s="35"/>
      <c r="J878" s="35"/>
      <c r="K878" s="35"/>
      <c r="L878" s="35"/>
      <c r="M878" s="35"/>
      <c r="N878" s="35"/>
      <c r="O878" s="35"/>
      <c r="P878" s="35"/>
      <c r="Q878" s="35"/>
      <c r="R878" s="35"/>
      <c r="S878" s="35"/>
      <c r="T878" s="35"/>
      <c r="U878" s="35"/>
      <c r="V878" s="35"/>
      <c r="W878" s="35"/>
      <c r="X878" s="35"/>
      <c r="Y878" s="35"/>
      <c r="Z878" s="35"/>
    </row>
    <row r="879" ht="12.75" customHeight="1">
      <c r="A879" s="35"/>
      <c r="B879" s="35"/>
      <c r="C879" s="35"/>
      <c r="D879" s="35"/>
      <c r="E879" s="35"/>
      <c r="F879" s="35"/>
      <c r="G879" s="35"/>
      <c r="H879" s="35"/>
      <c r="I879" s="35"/>
      <c r="J879" s="35"/>
      <c r="K879" s="35"/>
      <c r="L879" s="35"/>
      <c r="M879" s="35"/>
      <c r="N879" s="35"/>
      <c r="O879" s="35"/>
      <c r="P879" s="35"/>
      <c r="Q879" s="35"/>
      <c r="R879" s="35"/>
      <c r="S879" s="35"/>
      <c r="T879" s="35"/>
      <c r="U879" s="35"/>
      <c r="V879" s="35"/>
      <c r="W879" s="35"/>
      <c r="X879" s="35"/>
      <c r="Y879" s="35"/>
      <c r="Z879" s="35"/>
    </row>
    <row r="880" ht="12.75" customHeight="1">
      <c r="A880" s="35"/>
      <c r="B880" s="35"/>
      <c r="C880" s="35"/>
      <c r="D880" s="35"/>
      <c r="E880" s="35"/>
      <c r="F880" s="35"/>
      <c r="G880" s="35"/>
      <c r="H880" s="35"/>
      <c r="I880" s="35"/>
      <c r="J880" s="35"/>
      <c r="K880" s="35"/>
      <c r="L880" s="35"/>
      <c r="M880" s="35"/>
      <c r="N880" s="35"/>
      <c r="O880" s="35"/>
      <c r="P880" s="35"/>
      <c r="Q880" s="35"/>
      <c r="R880" s="35"/>
      <c r="S880" s="35"/>
      <c r="T880" s="35"/>
      <c r="U880" s="35"/>
      <c r="V880" s="35"/>
      <c r="W880" s="35"/>
      <c r="X880" s="35"/>
      <c r="Y880" s="35"/>
      <c r="Z880" s="35"/>
    </row>
    <row r="881" ht="12.75" customHeight="1">
      <c r="A881" s="35"/>
      <c r="B881" s="35"/>
      <c r="C881" s="35"/>
      <c r="D881" s="35"/>
      <c r="E881" s="35"/>
      <c r="F881" s="35"/>
      <c r="G881" s="35"/>
      <c r="H881" s="35"/>
      <c r="I881" s="35"/>
      <c r="J881" s="35"/>
      <c r="K881" s="35"/>
      <c r="L881" s="35"/>
      <c r="M881" s="35"/>
      <c r="N881" s="35"/>
      <c r="O881" s="35"/>
      <c r="P881" s="35"/>
      <c r="Q881" s="35"/>
      <c r="R881" s="35"/>
      <c r="S881" s="35"/>
      <c r="T881" s="35"/>
      <c r="U881" s="35"/>
      <c r="V881" s="35"/>
      <c r="W881" s="35"/>
      <c r="X881" s="35"/>
      <c r="Y881" s="35"/>
      <c r="Z881" s="35"/>
    </row>
    <row r="882" ht="12.75" customHeight="1">
      <c r="A882" s="35"/>
      <c r="B882" s="35"/>
      <c r="C882" s="35"/>
      <c r="D882" s="35"/>
      <c r="E882" s="35"/>
      <c r="F882" s="35"/>
      <c r="G882" s="35"/>
      <c r="H882" s="35"/>
      <c r="I882" s="35"/>
      <c r="J882" s="35"/>
      <c r="K882" s="35"/>
      <c r="L882" s="35"/>
      <c r="M882" s="35"/>
      <c r="N882" s="35"/>
      <c r="O882" s="35"/>
      <c r="P882" s="35"/>
      <c r="Q882" s="35"/>
      <c r="R882" s="35"/>
      <c r="S882" s="35"/>
      <c r="T882" s="35"/>
      <c r="U882" s="35"/>
      <c r="V882" s="35"/>
      <c r="W882" s="35"/>
      <c r="X882" s="35"/>
      <c r="Y882" s="35"/>
      <c r="Z882" s="35"/>
    </row>
    <row r="883" ht="12.75" customHeight="1">
      <c r="A883" s="35"/>
      <c r="B883" s="35"/>
      <c r="C883" s="35"/>
      <c r="D883" s="35"/>
      <c r="E883" s="35"/>
      <c r="F883" s="35"/>
      <c r="G883" s="35"/>
      <c r="H883" s="35"/>
      <c r="I883" s="35"/>
      <c r="J883" s="35"/>
      <c r="K883" s="35"/>
      <c r="L883" s="35"/>
      <c r="M883" s="35"/>
      <c r="N883" s="35"/>
      <c r="O883" s="35"/>
      <c r="P883" s="35"/>
      <c r="Q883" s="35"/>
      <c r="R883" s="35"/>
      <c r="S883" s="35"/>
      <c r="T883" s="35"/>
      <c r="U883" s="35"/>
      <c r="V883" s="35"/>
      <c r="W883" s="35"/>
      <c r="X883" s="35"/>
      <c r="Y883" s="35"/>
      <c r="Z883" s="35"/>
    </row>
    <row r="884" ht="12.75" customHeight="1">
      <c r="A884" s="35"/>
      <c r="B884" s="35"/>
      <c r="C884" s="35"/>
      <c r="D884" s="35"/>
      <c r="E884" s="35"/>
      <c r="F884" s="35"/>
      <c r="G884" s="35"/>
      <c r="H884" s="35"/>
      <c r="I884" s="35"/>
      <c r="J884" s="35"/>
      <c r="K884" s="35"/>
      <c r="L884" s="35"/>
      <c r="M884" s="35"/>
      <c r="N884" s="35"/>
      <c r="O884" s="35"/>
      <c r="P884" s="35"/>
      <c r="Q884" s="35"/>
      <c r="R884" s="35"/>
      <c r="S884" s="35"/>
      <c r="T884" s="35"/>
      <c r="U884" s="35"/>
      <c r="V884" s="35"/>
      <c r="W884" s="35"/>
      <c r="X884" s="35"/>
      <c r="Y884" s="35"/>
      <c r="Z884" s="35"/>
    </row>
    <row r="885" ht="12.75" customHeight="1">
      <c r="A885" s="35"/>
      <c r="B885" s="35"/>
      <c r="C885" s="35"/>
      <c r="D885" s="35"/>
      <c r="E885" s="35"/>
      <c r="F885" s="35"/>
      <c r="G885" s="35"/>
      <c r="H885" s="35"/>
      <c r="I885" s="35"/>
      <c r="J885" s="35"/>
      <c r="K885" s="35"/>
      <c r="L885" s="35"/>
      <c r="M885" s="35"/>
      <c r="N885" s="35"/>
      <c r="O885" s="35"/>
      <c r="P885" s="35"/>
      <c r="Q885" s="35"/>
      <c r="R885" s="35"/>
      <c r="S885" s="35"/>
      <c r="T885" s="35"/>
      <c r="U885" s="35"/>
      <c r="V885" s="35"/>
      <c r="W885" s="35"/>
      <c r="X885" s="35"/>
      <c r="Y885" s="35"/>
      <c r="Z885" s="35"/>
    </row>
    <row r="886" ht="12.75" customHeight="1">
      <c r="A886" s="35"/>
      <c r="B886" s="35"/>
      <c r="C886" s="35"/>
      <c r="D886" s="35"/>
      <c r="E886" s="35"/>
      <c r="F886" s="35"/>
      <c r="G886" s="35"/>
      <c r="H886" s="35"/>
      <c r="I886" s="35"/>
      <c r="J886" s="35"/>
      <c r="K886" s="35"/>
      <c r="L886" s="35"/>
      <c r="M886" s="35"/>
      <c r="N886" s="35"/>
      <c r="O886" s="35"/>
      <c r="P886" s="35"/>
      <c r="Q886" s="35"/>
      <c r="R886" s="35"/>
      <c r="S886" s="35"/>
      <c r="T886" s="35"/>
      <c r="U886" s="35"/>
      <c r="V886" s="35"/>
      <c r="W886" s="35"/>
      <c r="X886" s="35"/>
      <c r="Y886" s="35"/>
      <c r="Z886" s="35"/>
    </row>
    <row r="887" ht="12.75" customHeight="1">
      <c r="A887" s="35"/>
      <c r="B887" s="35"/>
      <c r="C887" s="35"/>
      <c r="D887" s="35"/>
      <c r="E887" s="35"/>
      <c r="F887" s="35"/>
      <c r="G887" s="35"/>
      <c r="H887" s="35"/>
      <c r="I887" s="35"/>
      <c r="J887" s="35"/>
      <c r="K887" s="35"/>
      <c r="L887" s="35"/>
      <c r="M887" s="35"/>
      <c r="N887" s="35"/>
      <c r="O887" s="35"/>
      <c r="P887" s="35"/>
      <c r="Q887" s="35"/>
      <c r="R887" s="35"/>
      <c r="S887" s="35"/>
      <c r="T887" s="35"/>
      <c r="U887" s="35"/>
      <c r="V887" s="35"/>
      <c r="W887" s="35"/>
      <c r="X887" s="35"/>
      <c r="Y887" s="35"/>
      <c r="Z887" s="35"/>
    </row>
    <row r="888" ht="12.75" customHeight="1">
      <c r="A888" s="35"/>
      <c r="B888" s="35"/>
      <c r="C888" s="35"/>
      <c r="D888" s="35"/>
      <c r="E888" s="35"/>
      <c r="F888" s="35"/>
      <c r="G888" s="35"/>
      <c r="H888" s="35"/>
      <c r="I888" s="35"/>
      <c r="J888" s="35"/>
      <c r="K888" s="35"/>
      <c r="L888" s="35"/>
      <c r="M888" s="35"/>
      <c r="N888" s="35"/>
      <c r="O888" s="35"/>
      <c r="P888" s="35"/>
      <c r="Q888" s="35"/>
      <c r="R888" s="35"/>
      <c r="S888" s="35"/>
      <c r="T888" s="35"/>
      <c r="U888" s="35"/>
      <c r="V888" s="35"/>
      <c r="W888" s="35"/>
      <c r="X888" s="35"/>
      <c r="Y888" s="35"/>
      <c r="Z888" s="35"/>
    </row>
    <row r="889" ht="12.75" customHeight="1">
      <c r="A889" s="35"/>
      <c r="B889" s="35"/>
      <c r="C889" s="35"/>
      <c r="D889" s="35"/>
      <c r="E889" s="35"/>
      <c r="F889" s="35"/>
      <c r="G889" s="35"/>
      <c r="H889" s="35"/>
      <c r="I889" s="35"/>
      <c r="J889" s="35"/>
      <c r="K889" s="35"/>
      <c r="L889" s="35"/>
      <c r="M889" s="35"/>
      <c r="N889" s="35"/>
      <c r="O889" s="35"/>
      <c r="P889" s="35"/>
      <c r="Q889" s="35"/>
      <c r="R889" s="35"/>
      <c r="S889" s="35"/>
      <c r="T889" s="35"/>
      <c r="U889" s="35"/>
      <c r="V889" s="35"/>
      <c r="W889" s="35"/>
      <c r="X889" s="35"/>
      <c r="Y889" s="35"/>
      <c r="Z889" s="35"/>
    </row>
    <row r="890" ht="12.75" customHeight="1">
      <c r="A890" s="35"/>
      <c r="B890" s="35"/>
      <c r="C890" s="35"/>
      <c r="D890" s="35"/>
      <c r="E890" s="35"/>
      <c r="F890" s="35"/>
      <c r="G890" s="35"/>
      <c r="H890" s="35"/>
      <c r="I890" s="35"/>
      <c r="J890" s="35"/>
      <c r="K890" s="35"/>
      <c r="L890" s="35"/>
      <c r="M890" s="35"/>
      <c r="N890" s="35"/>
      <c r="O890" s="35"/>
      <c r="P890" s="35"/>
      <c r="Q890" s="35"/>
      <c r="R890" s="35"/>
      <c r="S890" s="35"/>
      <c r="T890" s="35"/>
      <c r="U890" s="35"/>
      <c r="V890" s="35"/>
      <c r="W890" s="35"/>
      <c r="X890" s="35"/>
      <c r="Y890" s="35"/>
      <c r="Z890" s="35"/>
    </row>
    <row r="891" ht="12.75" customHeight="1">
      <c r="A891" s="35"/>
      <c r="B891" s="35"/>
      <c r="C891" s="35"/>
      <c r="D891" s="35"/>
      <c r="E891" s="35"/>
      <c r="F891" s="35"/>
      <c r="G891" s="35"/>
      <c r="H891" s="35"/>
      <c r="I891" s="35"/>
      <c r="J891" s="35"/>
      <c r="K891" s="35"/>
      <c r="L891" s="35"/>
      <c r="M891" s="35"/>
      <c r="N891" s="35"/>
      <c r="O891" s="35"/>
      <c r="P891" s="35"/>
      <c r="Q891" s="35"/>
      <c r="R891" s="35"/>
      <c r="S891" s="35"/>
      <c r="T891" s="35"/>
      <c r="U891" s="35"/>
      <c r="V891" s="35"/>
      <c r="W891" s="35"/>
      <c r="X891" s="35"/>
      <c r="Y891" s="35"/>
      <c r="Z891" s="35"/>
    </row>
    <row r="892" ht="12.75" customHeight="1">
      <c r="A892" s="35"/>
      <c r="B892" s="35"/>
      <c r="C892" s="35"/>
      <c r="D892" s="35"/>
      <c r="E892" s="35"/>
      <c r="F892" s="35"/>
      <c r="G892" s="35"/>
      <c r="H892" s="35"/>
      <c r="I892" s="35"/>
      <c r="J892" s="35"/>
      <c r="K892" s="35"/>
      <c r="L892" s="35"/>
      <c r="M892" s="35"/>
      <c r="N892" s="35"/>
      <c r="O892" s="35"/>
      <c r="P892" s="35"/>
      <c r="Q892" s="35"/>
      <c r="R892" s="35"/>
      <c r="S892" s="35"/>
      <c r="T892" s="35"/>
      <c r="U892" s="35"/>
      <c r="V892" s="35"/>
      <c r="W892" s="35"/>
      <c r="X892" s="35"/>
      <c r="Y892" s="35"/>
      <c r="Z892" s="35"/>
    </row>
    <row r="893" ht="12.75" customHeight="1">
      <c r="A893" s="35"/>
      <c r="B893" s="35"/>
      <c r="C893" s="35"/>
      <c r="D893" s="35"/>
      <c r="E893" s="35"/>
      <c r="F893" s="35"/>
      <c r="G893" s="35"/>
      <c r="H893" s="35"/>
      <c r="I893" s="35"/>
      <c r="J893" s="35"/>
      <c r="K893" s="35"/>
      <c r="L893" s="35"/>
      <c r="M893" s="35"/>
      <c r="N893" s="35"/>
      <c r="O893" s="35"/>
      <c r="P893" s="35"/>
      <c r="Q893" s="35"/>
      <c r="R893" s="35"/>
      <c r="S893" s="35"/>
      <c r="T893" s="35"/>
      <c r="U893" s="35"/>
      <c r="V893" s="35"/>
      <c r="W893" s="35"/>
      <c r="X893" s="35"/>
      <c r="Y893" s="35"/>
      <c r="Z893" s="35"/>
    </row>
    <row r="894" ht="12.75" customHeight="1">
      <c r="A894" s="35"/>
      <c r="B894" s="35"/>
      <c r="C894" s="35"/>
      <c r="D894" s="35"/>
      <c r="E894" s="35"/>
      <c r="F894" s="35"/>
      <c r="G894" s="35"/>
      <c r="H894" s="35"/>
      <c r="I894" s="35"/>
      <c r="J894" s="35"/>
      <c r="K894" s="35"/>
      <c r="L894" s="35"/>
      <c r="M894" s="35"/>
      <c r="N894" s="35"/>
      <c r="O894" s="35"/>
      <c r="P894" s="35"/>
      <c r="Q894" s="35"/>
      <c r="R894" s="35"/>
      <c r="S894" s="35"/>
      <c r="T894" s="35"/>
      <c r="U894" s="35"/>
      <c r="V894" s="35"/>
      <c r="W894" s="35"/>
      <c r="X894" s="35"/>
      <c r="Y894" s="35"/>
      <c r="Z894" s="35"/>
    </row>
    <row r="895" ht="12.75" customHeight="1">
      <c r="A895" s="35"/>
      <c r="B895" s="35"/>
      <c r="C895" s="35"/>
      <c r="D895" s="35"/>
      <c r="E895" s="35"/>
      <c r="F895" s="35"/>
      <c r="G895" s="35"/>
      <c r="H895" s="35"/>
      <c r="I895" s="35"/>
      <c r="J895" s="35"/>
      <c r="K895" s="35"/>
      <c r="L895" s="35"/>
      <c r="M895" s="35"/>
      <c r="N895" s="35"/>
      <c r="O895" s="35"/>
      <c r="P895" s="35"/>
      <c r="Q895" s="35"/>
      <c r="R895" s="35"/>
      <c r="S895" s="35"/>
      <c r="T895" s="35"/>
      <c r="U895" s="35"/>
      <c r="V895" s="35"/>
      <c r="W895" s="35"/>
      <c r="X895" s="35"/>
      <c r="Y895" s="35"/>
      <c r="Z895" s="35"/>
    </row>
    <row r="896" ht="12.75" customHeight="1">
      <c r="A896" s="35"/>
      <c r="B896" s="35"/>
      <c r="C896" s="35"/>
      <c r="D896" s="35"/>
      <c r="E896" s="35"/>
      <c r="F896" s="35"/>
      <c r="G896" s="35"/>
      <c r="H896" s="35"/>
      <c r="I896" s="35"/>
      <c r="J896" s="35"/>
      <c r="K896" s="35"/>
      <c r="L896" s="35"/>
      <c r="M896" s="35"/>
      <c r="N896" s="35"/>
      <c r="O896" s="35"/>
      <c r="P896" s="35"/>
      <c r="Q896" s="35"/>
      <c r="R896" s="35"/>
      <c r="S896" s="35"/>
      <c r="T896" s="35"/>
      <c r="U896" s="35"/>
      <c r="V896" s="35"/>
      <c r="W896" s="35"/>
      <c r="X896" s="35"/>
      <c r="Y896" s="35"/>
      <c r="Z896" s="35"/>
    </row>
    <row r="897" ht="12.75" customHeight="1">
      <c r="A897" s="35"/>
      <c r="B897" s="35"/>
      <c r="C897" s="35"/>
      <c r="D897" s="35"/>
      <c r="E897" s="35"/>
      <c r="F897" s="35"/>
      <c r="G897" s="35"/>
      <c r="H897" s="35"/>
      <c r="I897" s="35"/>
      <c r="J897" s="35"/>
      <c r="K897" s="35"/>
      <c r="L897" s="35"/>
      <c r="M897" s="35"/>
      <c r="N897" s="35"/>
      <c r="O897" s="35"/>
      <c r="P897" s="35"/>
      <c r="Q897" s="35"/>
      <c r="R897" s="35"/>
      <c r="S897" s="35"/>
      <c r="T897" s="35"/>
      <c r="U897" s="35"/>
      <c r="V897" s="35"/>
      <c r="W897" s="35"/>
      <c r="X897" s="35"/>
      <c r="Y897" s="35"/>
      <c r="Z897" s="35"/>
    </row>
    <row r="898" ht="12.75" customHeight="1">
      <c r="A898" s="35"/>
      <c r="B898" s="35"/>
      <c r="C898" s="35"/>
      <c r="D898" s="35"/>
      <c r="E898" s="35"/>
      <c r="F898" s="35"/>
      <c r="G898" s="35"/>
      <c r="H898" s="35"/>
      <c r="I898" s="35"/>
      <c r="J898" s="35"/>
      <c r="K898" s="35"/>
      <c r="L898" s="35"/>
      <c r="M898" s="35"/>
      <c r="N898" s="35"/>
      <c r="O898" s="35"/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5"/>
    </row>
    <row r="899" ht="12.75" customHeight="1">
      <c r="A899" s="35"/>
      <c r="B899" s="35"/>
      <c r="C899" s="35"/>
      <c r="D899" s="35"/>
      <c r="E899" s="35"/>
      <c r="F899" s="35"/>
      <c r="G899" s="35"/>
      <c r="H899" s="35"/>
      <c r="I899" s="35"/>
      <c r="J899" s="35"/>
      <c r="K899" s="35"/>
      <c r="L899" s="35"/>
      <c r="M899" s="35"/>
      <c r="N899" s="35"/>
      <c r="O899" s="35"/>
      <c r="P899" s="35"/>
      <c r="Q899" s="35"/>
      <c r="R899" s="35"/>
      <c r="S899" s="35"/>
      <c r="T899" s="35"/>
      <c r="U899" s="35"/>
      <c r="V899" s="35"/>
      <c r="W899" s="35"/>
      <c r="X899" s="35"/>
      <c r="Y899" s="35"/>
      <c r="Z899" s="35"/>
    </row>
    <row r="900" ht="12.75" customHeight="1">
      <c r="A900" s="35"/>
      <c r="B900" s="35"/>
      <c r="C900" s="35"/>
      <c r="D900" s="35"/>
      <c r="E900" s="35"/>
      <c r="F900" s="35"/>
      <c r="G900" s="35"/>
      <c r="H900" s="35"/>
      <c r="I900" s="35"/>
      <c r="J900" s="35"/>
      <c r="K900" s="35"/>
      <c r="L900" s="35"/>
      <c r="M900" s="35"/>
      <c r="N900" s="35"/>
      <c r="O900" s="35"/>
      <c r="P900" s="35"/>
      <c r="Q900" s="35"/>
      <c r="R900" s="35"/>
      <c r="S900" s="35"/>
      <c r="T900" s="35"/>
      <c r="U900" s="35"/>
      <c r="V900" s="35"/>
      <c r="W900" s="35"/>
      <c r="X900" s="35"/>
      <c r="Y900" s="35"/>
      <c r="Z900" s="35"/>
    </row>
    <row r="901" ht="12.75" customHeight="1">
      <c r="A901" s="35"/>
      <c r="B901" s="35"/>
      <c r="C901" s="35"/>
      <c r="D901" s="35"/>
      <c r="E901" s="35"/>
      <c r="F901" s="35"/>
      <c r="G901" s="35"/>
      <c r="H901" s="35"/>
      <c r="I901" s="35"/>
      <c r="J901" s="35"/>
      <c r="K901" s="35"/>
      <c r="L901" s="35"/>
      <c r="M901" s="35"/>
      <c r="N901" s="35"/>
      <c r="O901" s="35"/>
      <c r="P901" s="35"/>
      <c r="Q901" s="35"/>
      <c r="R901" s="35"/>
      <c r="S901" s="35"/>
      <c r="T901" s="35"/>
      <c r="U901" s="35"/>
      <c r="V901" s="35"/>
      <c r="W901" s="35"/>
      <c r="X901" s="35"/>
      <c r="Y901" s="35"/>
      <c r="Z901" s="35"/>
    </row>
    <row r="902" ht="12.75" customHeight="1">
      <c r="A902" s="35"/>
      <c r="B902" s="35"/>
      <c r="C902" s="35"/>
      <c r="D902" s="35"/>
      <c r="E902" s="35"/>
      <c r="F902" s="35"/>
      <c r="G902" s="35"/>
      <c r="H902" s="35"/>
      <c r="I902" s="35"/>
      <c r="J902" s="35"/>
      <c r="K902" s="35"/>
      <c r="L902" s="35"/>
      <c r="M902" s="35"/>
      <c r="N902" s="35"/>
      <c r="O902" s="35"/>
      <c r="P902" s="35"/>
      <c r="Q902" s="35"/>
      <c r="R902" s="35"/>
      <c r="S902" s="35"/>
      <c r="T902" s="35"/>
      <c r="U902" s="35"/>
      <c r="V902" s="35"/>
      <c r="W902" s="35"/>
      <c r="X902" s="35"/>
      <c r="Y902" s="35"/>
      <c r="Z902" s="35"/>
    </row>
    <row r="903" ht="12.75" customHeight="1">
      <c r="A903" s="35"/>
      <c r="B903" s="35"/>
      <c r="C903" s="35"/>
      <c r="D903" s="35"/>
      <c r="E903" s="35"/>
      <c r="F903" s="35"/>
      <c r="G903" s="35"/>
      <c r="H903" s="35"/>
      <c r="I903" s="35"/>
      <c r="J903" s="35"/>
      <c r="K903" s="35"/>
      <c r="L903" s="35"/>
      <c r="M903" s="35"/>
      <c r="N903" s="35"/>
      <c r="O903" s="35"/>
      <c r="P903" s="35"/>
      <c r="Q903" s="35"/>
      <c r="R903" s="35"/>
      <c r="S903" s="35"/>
      <c r="T903" s="35"/>
      <c r="U903" s="35"/>
      <c r="V903" s="35"/>
      <c r="W903" s="35"/>
      <c r="X903" s="35"/>
      <c r="Y903" s="35"/>
      <c r="Z903" s="35"/>
    </row>
    <row r="904" ht="12.75" customHeight="1">
      <c r="A904" s="35"/>
      <c r="B904" s="35"/>
      <c r="C904" s="35"/>
      <c r="D904" s="35"/>
      <c r="E904" s="35"/>
      <c r="F904" s="35"/>
      <c r="G904" s="35"/>
      <c r="H904" s="35"/>
      <c r="I904" s="35"/>
      <c r="J904" s="35"/>
      <c r="K904" s="35"/>
      <c r="L904" s="35"/>
      <c r="M904" s="35"/>
      <c r="N904" s="35"/>
      <c r="O904" s="35"/>
      <c r="P904" s="35"/>
      <c r="Q904" s="35"/>
      <c r="R904" s="35"/>
      <c r="S904" s="35"/>
      <c r="T904" s="35"/>
      <c r="U904" s="35"/>
      <c r="V904" s="35"/>
      <c r="W904" s="35"/>
      <c r="X904" s="35"/>
      <c r="Y904" s="35"/>
      <c r="Z904" s="35"/>
    </row>
    <row r="905" ht="12.75" customHeight="1">
      <c r="A905" s="35"/>
      <c r="B905" s="35"/>
      <c r="C905" s="35"/>
      <c r="D905" s="35"/>
      <c r="E905" s="35"/>
      <c r="F905" s="35"/>
      <c r="G905" s="35"/>
      <c r="H905" s="35"/>
      <c r="I905" s="35"/>
      <c r="J905" s="35"/>
      <c r="K905" s="35"/>
      <c r="L905" s="35"/>
      <c r="M905" s="35"/>
      <c r="N905" s="35"/>
      <c r="O905" s="35"/>
      <c r="P905" s="35"/>
      <c r="Q905" s="35"/>
      <c r="R905" s="35"/>
      <c r="S905" s="35"/>
      <c r="T905" s="35"/>
      <c r="U905" s="35"/>
      <c r="V905" s="35"/>
      <c r="W905" s="35"/>
      <c r="X905" s="35"/>
      <c r="Y905" s="35"/>
      <c r="Z905" s="35"/>
    </row>
    <row r="906" ht="12.75" customHeight="1">
      <c r="A906" s="35"/>
      <c r="B906" s="35"/>
      <c r="C906" s="35"/>
      <c r="D906" s="35"/>
      <c r="E906" s="35"/>
      <c r="F906" s="35"/>
      <c r="G906" s="35"/>
      <c r="H906" s="35"/>
      <c r="I906" s="35"/>
      <c r="J906" s="35"/>
      <c r="K906" s="35"/>
      <c r="L906" s="35"/>
      <c r="M906" s="35"/>
      <c r="N906" s="35"/>
      <c r="O906" s="35"/>
      <c r="P906" s="35"/>
      <c r="Q906" s="35"/>
      <c r="R906" s="35"/>
      <c r="S906" s="35"/>
      <c r="T906" s="35"/>
      <c r="U906" s="35"/>
      <c r="V906" s="35"/>
      <c r="W906" s="35"/>
      <c r="X906" s="35"/>
      <c r="Y906" s="35"/>
      <c r="Z906" s="35"/>
    </row>
    <row r="907" ht="12.75" customHeight="1">
      <c r="A907" s="35"/>
      <c r="B907" s="35"/>
      <c r="C907" s="35"/>
      <c r="D907" s="35"/>
      <c r="E907" s="35"/>
      <c r="F907" s="35"/>
      <c r="G907" s="35"/>
      <c r="H907" s="35"/>
      <c r="I907" s="35"/>
      <c r="J907" s="35"/>
      <c r="K907" s="35"/>
      <c r="L907" s="35"/>
      <c r="M907" s="35"/>
      <c r="N907" s="35"/>
      <c r="O907" s="35"/>
      <c r="P907" s="35"/>
      <c r="Q907" s="35"/>
      <c r="R907" s="35"/>
      <c r="S907" s="35"/>
      <c r="T907" s="35"/>
      <c r="U907" s="35"/>
      <c r="V907" s="35"/>
      <c r="W907" s="35"/>
      <c r="X907" s="35"/>
      <c r="Y907" s="35"/>
      <c r="Z907" s="35"/>
    </row>
    <row r="908" ht="12.75" customHeight="1">
      <c r="A908" s="35"/>
      <c r="B908" s="35"/>
      <c r="C908" s="35"/>
      <c r="D908" s="35"/>
      <c r="E908" s="35"/>
      <c r="F908" s="35"/>
      <c r="G908" s="35"/>
      <c r="H908" s="35"/>
      <c r="I908" s="35"/>
      <c r="J908" s="35"/>
      <c r="K908" s="35"/>
      <c r="L908" s="35"/>
      <c r="M908" s="35"/>
      <c r="N908" s="35"/>
      <c r="O908" s="35"/>
      <c r="P908" s="35"/>
      <c r="Q908" s="35"/>
      <c r="R908" s="35"/>
      <c r="S908" s="35"/>
      <c r="T908" s="35"/>
      <c r="U908" s="35"/>
      <c r="V908" s="35"/>
      <c r="W908" s="35"/>
      <c r="X908" s="35"/>
      <c r="Y908" s="35"/>
      <c r="Z908" s="35"/>
    </row>
    <row r="909" ht="12.75" customHeight="1">
      <c r="A909" s="35"/>
      <c r="B909" s="35"/>
      <c r="C909" s="35"/>
      <c r="D909" s="35"/>
      <c r="E909" s="35"/>
      <c r="F909" s="35"/>
      <c r="G909" s="35"/>
      <c r="H909" s="35"/>
      <c r="I909" s="35"/>
      <c r="J909" s="35"/>
      <c r="K909" s="35"/>
      <c r="L909" s="35"/>
      <c r="M909" s="35"/>
      <c r="N909" s="35"/>
      <c r="O909" s="35"/>
      <c r="P909" s="35"/>
      <c r="Q909" s="35"/>
      <c r="R909" s="35"/>
      <c r="S909" s="35"/>
      <c r="T909" s="35"/>
      <c r="U909" s="35"/>
      <c r="V909" s="35"/>
      <c r="W909" s="35"/>
      <c r="X909" s="35"/>
      <c r="Y909" s="35"/>
      <c r="Z909" s="35"/>
    </row>
    <row r="910" ht="12.75" customHeight="1">
      <c r="A910" s="35"/>
      <c r="B910" s="35"/>
      <c r="C910" s="35"/>
      <c r="D910" s="35"/>
      <c r="E910" s="35"/>
      <c r="F910" s="35"/>
      <c r="G910" s="35"/>
      <c r="H910" s="35"/>
      <c r="I910" s="35"/>
      <c r="J910" s="35"/>
      <c r="K910" s="35"/>
      <c r="L910" s="35"/>
      <c r="M910" s="35"/>
      <c r="N910" s="35"/>
      <c r="O910" s="35"/>
      <c r="P910" s="35"/>
      <c r="Q910" s="35"/>
      <c r="R910" s="35"/>
      <c r="S910" s="35"/>
      <c r="T910" s="35"/>
      <c r="U910" s="35"/>
      <c r="V910" s="35"/>
      <c r="W910" s="35"/>
      <c r="X910" s="35"/>
      <c r="Y910" s="35"/>
      <c r="Z910" s="35"/>
    </row>
    <row r="911" ht="12.75" customHeight="1">
      <c r="A911" s="35"/>
      <c r="B911" s="35"/>
      <c r="C911" s="35"/>
      <c r="D911" s="35"/>
      <c r="E911" s="35"/>
      <c r="F911" s="35"/>
      <c r="G911" s="35"/>
      <c r="H911" s="35"/>
      <c r="I911" s="35"/>
      <c r="J911" s="35"/>
      <c r="K911" s="35"/>
      <c r="L911" s="35"/>
      <c r="M911" s="35"/>
      <c r="N911" s="35"/>
      <c r="O911" s="35"/>
      <c r="P911" s="35"/>
      <c r="Q911" s="35"/>
      <c r="R911" s="35"/>
      <c r="S911" s="35"/>
      <c r="T911" s="35"/>
      <c r="U911" s="35"/>
      <c r="V911" s="35"/>
      <c r="W911" s="35"/>
      <c r="X911" s="35"/>
      <c r="Y911" s="35"/>
      <c r="Z911" s="35"/>
    </row>
    <row r="912" ht="12.75" customHeight="1">
      <c r="A912" s="35"/>
      <c r="B912" s="35"/>
      <c r="C912" s="35"/>
      <c r="D912" s="35"/>
      <c r="E912" s="35"/>
      <c r="F912" s="35"/>
      <c r="G912" s="35"/>
      <c r="H912" s="35"/>
      <c r="I912" s="35"/>
      <c r="J912" s="35"/>
      <c r="K912" s="35"/>
      <c r="L912" s="35"/>
      <c r="M912" s="35"/>
      <c r="N912" s="35"/>
      <c r="O912" s="35"/>
      <c r="P912" s="35"/>
      <c r="Q912" s="35"/>
      <c r="R912" s="35"/>
      <c r="S912" s="35"/>
      <c r="T912" s="35"/>
      <c r="U912" s="35"/>
      <c r="V912" s="35"/>
      <c r="W912" s="35"/>
      <c r="X912" s="35"/>
      <c r="Y912" s="35"/>
      <c r="Z912" s="35"/>
    </row>
    <row r="913" ht="12.75" customHeight="1">
      <c r="A913" s="35"/>
      <c r="B913" s="35"/>
      <c r="C913" s="35"/>
      <c r="D913" s="35"/>
      <c r="E913" s="35"/>
      <c r="F913" s="35"/>
      <c r="G913" s="35"/>
      <c r="H913" s="35"/>
      <c r="I913" s="35"/>
      <c r="J913" s="35"/>
      <c r="K913" s="35"/>
      <c r="L913" s="35"/>
      <c r="M913" s="35"/>
      <c r="N913" s="35"/>
      <c r="O913" s="35"/>
      <c r="P913" s="35"/>
      <c r="Q913" s="35"/>
      <c r="R913" s="35"/>
      <c r="S913" s="35"/>
      <c r="T913" s="35"/>
      <c r="U913" s="35"/>
      <c r="V913" s="35"/>
      <c r="W913" s="35"/>
      <c r="X913" s="35"/>
      <c r="Y913" s="35"/>
      <c r="Z913" s="35"/>
    </row>
    <row r="914" ht="12.75" customHeight="1">
      <c r="A914" s="35"/>
      <c r="B914" s="35"/>
      <c r="C914" s="35"/>
      <c r="D914" s="35"/>
      <c r="E914" s="35"/>
      <c r="F914" s="35"/>
      <c r="G914" s="35"/>
      <c r="H914" s="35"/>
      <c r="I914" s="35"/>
      <c r="J914" s="35"/>
      <c r="K914" s="35"/>
      <c r="L914" s="35"/>
      <c r="M914" s="35"/>
      <c r="N914" s="35"/>
      <c r="O914" s="35"/>
      <c r="P914" s="35"/>
      <c r="Q914" s="35"/>
      <c r="R914" s="35"/>
      <c r="S914" s="35"/>
      <c r="T914" s="35"/>
      <c r="U914" s="35"/>
      <c r="V914" s="35"/>
      <c r="W914" s="35"/>
      <c r="X914" s="35"/>
      <c r="Y914" s="35"/>
      <c r="Z914" s="35"/>
    </row>
    <row r="915" ht="12.75" customHeight="1">
      <c r="A915" s="35"/>
      <c r="B915" s="35"/>
      <c r="C915" s="35"/>
      <c r="D915" s="35"/>
      <c r="E915" s="35"/>
      <c r="F915" s="35"/>
      <c r="G915" s="35"/>
      <c r="H915" s="35"/>
      <c r="I915" s="35"/>
      <c r="J915" s="35"/>
      <c r="K915" s="35"/>
      <c r="L915" s="35"/>
      <c r="M915" s="35"/>
      <c r="N915" s="35"/>
      <c r="O915" s="35"/>
      <c r="P915" s="35"/>
      <c r="Q915" s="35"/>
      <c r="R915" s="35"/>
      <c r="S915" s="35"/>
      <c r="T915" s="35"/>
      <c r="U915" s="35"/>
      <c r="V915" s="35"/>
      <c r="W915" s="35"/>
      <c r="X915" s="35"/>
      <c r="Y915" s="35"/>
      <c r="Z915" s="35"/>
    </row>
    <row r="916" ht="12.75" customHeight="1">
      <c r="A916" s="35"/>
      <c r="B916" s="35"/>
      <c r="C916" s="35"/>
      <c r="D916" s="35"/>
      <c r="E916" s="35"/>
      <c r="F916" s="35"/>
      <c r="G916" s="35"/>
      <c r="H916" s="35"/>
      <c r="I916" s="35"/>
      <c r="J916" s="35"/>
      <c r="K916" s="35"/>
      <c r="L916" s="35"/>
      <c r="M916" s="35"/>
      <c r="N916" s="35"/>
      <c r="O916" s="35"/>
      <c r="P916" s="35"/>
      <c r="Q916" s="35"/>
      <c r="R916" s="35"/>
      <c r="S916" s="35"/>
      <c r="T916" s="35"/>
      <c r="U916" s="35"/>
      <c r="V916" s="35"/>
      <c r="W916" s="35"/>
      <c r="X916" s="35"/>
      <c r="Y916" s="35"/>
      <c r="Z916" s="35"/>
    </row>
    <row r="917" ht="12.75" customHeight="1">
      <c r="A917" s="35"/>
      <c r="B917" s="35"/>
      <c r="C917" s="35"/>
      <c r="D917" s="35"/>
      <c r="E917" s="35"/>
      <c r="F917" s="35"/>
      <c r="G917" s="35"/>
      <c r="H917" s="35"/>
      <c r="I917" s="35"/>
      <c r="J917" s="35"/>
      <c r="K917" s="35"/>
      <c r="L917" s="35"/>
      <c r="M917" s="35"/>
      <c r="N917" s="35"/>
      <c r="O917" s="35"/>
      <c r="P917" s="35"/>
      <c r="Q917" s="35"/>
      <c r="R917" s="35"/>
      <c r="S917" s="35"/>
      <c r="T917" s="35"/>
      <c r="U917" s="35"/>
      <c r="V917" s="35"/>
      <c r="W917" s="35"/>
      <c r="X917" s="35"/>
      <c r="Y917" s="35"/>
      <c r="Z917" s="35"/>
    </row>
    <row r="918" ht="12.75" customHeight="1">
      <c r="A918" s="35"/>
      <c r="B918" s="35"/>
      <c r="C918" s="35"/>
      <c r="D918" s="35"/>
      <c r="E918" s="35"/>
      <c r="F918" s="35"/>
      <c r="G918" s="35"/>
      <c r="H918" s="35"/>
      <c r="I918" s="35"/>
      <c r="J918" s="35"/>
      <c r="K918" s="35"/>
      <c r="L918" s="35"/>
      <c r="M918" s="35"/>
      <c r="N918" s="35"/>
      <c r="O918" s="35"/>
      <c r="P918" s="35"/>
      <c r="Q918" s="35"/>
      <c r="R918" s="35"/>
      <c r="S918" s="35"/>
      <c r="T918" s="35"/>
      <c r="U918" s="35"/>
      <c r="V918" s="35"/>
      <c r="W918" s="35"/>
      <c r="X918" s="35"/>
      <c r="Y918" s="35"/>
      <c r="Z918" s="35"/>
    </row>
    <row r="919" ht="12.75" customHeight="1">
      <c r="A919" s="35"/>
      <c r="B919" s="35"/>
      <c r="C919" s="35"/>
      <c r="D919" s="35"/>
      <c r="E919" s="35"/>
      <c r="F919" s="35"/>
      <c r="G919" s="35"/>
      <c r="H919" s="35"/>
      <c r="I919" s="35"/>
      <c r="J919" s="35"/>
      <c r="K919" s="35"/>
      <c r="L919" s="35"/>
      <c r="M919" s="35"/>
      <c r="N919" s="35"/>
      <c r="O919" s="35"/>
      <c r="P919" s="35"/>
      <c r="Q919" s="35"/>
      <c r="R919" s="35"/>
      <c r="S919" s="35"/>
      <c r="T919" s="35"/>
      <c r="U919" s="35"/>
      <c r="V919" s="35"/>
      <c r="W919" s="35"/>
      <c r="X919" s="35"/>
      <c r="Y919" s="35"/>
      <c r="Z919" s="35"/>
    </row>
    <row r="920" ht="12.75" customHeight="1">
      <c r="A920" s="35"/>
      <c r="B920" s="35"/>
      <c r="C920" s="35"/>
      <c r="D920" s="35"/>
      <c r="E920" s="35"/>
      <c r="F920" s="35"/>
      <c r="G920" s="35"/>
      <c r="H920" s="35"/>
      <c r="I920" s="35"/>
      <c r="J920" s="35"/>
      <c r="K920" s="35"/>
      <c r="L920" s="35"/>
      <c r="M920" s="35"/>
      <c r="N920" s="35"/>
      <c r="O920" s="35"/>
      <c r="P920" s="35"/>
      <c r="Q920" s="35"/>
      <c r="R920" s="35"/>
      <c r="S920" s="35"/>
      <c r="T920" s="35"/>
      <c r="U920" s="35"/>
      <c r="V920" s="35"/>
      <c r="W920" s="35"/>
      <c r="X920" s="35"/>
      <c r="Y920" s="35"/>
      <c r="Z920" s="35"/>
    </row>
    <row r="921" ht="12.75" customHeight="1">
      <c r="A921" s="35"/>
      <c r="B921" s="35"/>
      <c r="C921" s="35"/>
      <c r="D921" s="35"/>
      <c r="E921" s="35"/>
      <c r="F921" s="35"/>
      <c r="G921" s="35"/>
      <c r="H921" s="35"/>
      <c r="I921" s="35"/>
      <c r="J921" s="35"/>
      <c r="K921" s="35"/>
      <c r="L921" s="35"/>
      <c r="M921" s="35"/>
      <c r="N921" s="35"/>
      <c r="O921" s="35"/>
      <c r="P921" s="35"/>
      <c r="Q921" s="35"/>
      <c r="R921" s="35"/>
      <c r="S921" s="35"/>
      <c r="T921" s="35"/>
      <c r="U921" s="35"/>
      <c r="V921" s="35"/>
      <c r="W921" s="35"/>
      <c r="X921" s="35"/>
      <c r="Y921" s="35"/>
      <c r="Z921" s="35"/>
    </row>
    <row r="922" ht="12.75" customHeight="1">
      <c r="A922" s="35"/>
      <c r="B922" s="35"/>
      <c r="C922" s="35"/>
      <c r="D922" s="35"/>
      <c r="E922" s="35"/>
      <c r="F922" s="35"/>
      <c r="G922" s="35"/>
      <c r="H922" s="35"/>
      <c r="I922" s="35"/>
      <c r="J922" s="35"/>
      <c r="K922" s="35"/>
      <c r="L922" s="35"/>
      <c r="M922" s="35"/>
      <c r="N922" s="35"/>
      <c r="O922" s="35"/>
      <c r="P922" s="35"/>
      <c r="Q922" s="35"/>
      <c r="R922" s="35"/>
      <c r="S922" s="35"/>
      <c r="T922" s="35"/>
      <c r="U922" s="35"/>
      <c r="V922" s="35"/>
      <c r="W922" s="35"/>
      <c r="X922" s="35"/>
      <c r="Y922" s="35"/>
      <c r="Z922" s="35"/>
    </row>
    <row r="923" ht="12.75" customHeight="1">
      <c r="A923" s="35"/>
      <c r="B923" s="35"/>
      <c r="C923" s="35"/>
      <c r="D923" s="35"/>
      <c r="E923" s="35"/>
      <c r="F923" s="35"/>
      <c r="G923" s="35"/>
      <c r="H923" s="35"/>
      <c r="I923" s="35"/>
      <c r="J923" s="35"/>
      <c r="K923" s="35"/>
      <c r="L923" s="35"/>
      <c r="M923" s="35"/>
      <c r="N923" s="35"/>
      <c r="O923" s="35"/>
      <c r="P923" s="35"/>
      <c r="Q923" s="35"/>
      <c r="R923" s="35"/>
      <c r="S923" s="35"/>
      <c r="T923" s="35"/>
      <c r="U923" s="35"/>
      <c r="V923" s="35"/>
      <c r="W923" s="35"/>
      <c r="X923" s="35"/>
      <c r="Y923" s="35"/>
      <c r="Z923" s="35"/>
    </row>
    <row r="924" ht="12.75" customHeight="1">
      <c r="A924" s="35"/>
      <c r="B924" s="35"/>
      <c r="C924" s="35"/>
      <c r="D924" s="35"/>
      <c r="E924" s="35"/>
      <c r="F924" s="35"/>
      <c r="G924" s="35"/>
      <c r="H924" s="35"/>
      <c r="I924" s="35"/>
      <c r="J924" s="35"/>
      <c r="K924" s="35"/>
      <c r="L924" s="35"/>
      <c r="M924" s="35"/>
      <c r="N924" s="35"/>
      <c r="O924" s="35"/>
      <c r="P924" s="35"/>
      <c r="Q924" s="35"/>
      <c r="R924" s="35"/>
      <c r="S924" s="35"/>
      <c r="T924" s="35"/>
      <c r="U924" s="35"/>
      <c r="V924" s="35"/>
      <c r="W924" s="35"/>
      <c r="X924" s="35"/>
      <c r="Y924" s="35"/>
      <c r="Z924" s="35"/>
    </row>
    <row r="925" ht="12.75" customHeight="1">
      <c r="A925" s="35"/>
      <c r="B925" s="35"/>
      <c r="C925" s="35"/>
      <c r="D925" s="35"/>
      <c r="E925" s="35"/>
      <c r="F925" s="35"/>
      <c r="G925" s="35"/>
      <c r="H925" s="35"/>
      <c r="I925" s="35"/>
      <c r="J925" s="35"/>
      <c r="K925" s="35"/>
      <c r="L925" s="35"/>
      <c r="M925" s="35"/>
      <c r="N925" s="35"/>
      <c r="O925" s="35"/>
      <c r="P925" s="35"/>
      <c r="Q925" s="35"/>
      <c r="R925" s="35"/>
      <c r="S925" s="35"/>
      <c r="T925" s="35"/>
      <c r="U925" s="35"/>
      <c r="V925" s="35"/>
      <c r="W925" s="35"/>
      <c r="X925" s="35"/>
      <c r="Y925" s="35"/>
      <c r="Z925" s="35"/>
    </row>
    <row r="926" ht="12.75" customHeight="1">
      <c r="A926" s="35"/>
      <c r="B926" s="35"/>
      <c r="C926" s="35"/>
      <c r="D926" s="35"/>
      <c r="E926" s="35"/>
      <c r="F926" s="35"/>
      <c r="G926" s="35"/>
      <c r="H926" s="35"/>
      <c r="I926" s="35"/>
      <c r="J926" s="35"/>
      <c r="K926" s="35"/>
      <c r="L926" s="35"/>
      <c r="M926" s="35"/>
      <c r="N926" s="35"/>
      <c r="O926" s="35"/>
      <c r="P926" s="35"/>
      <c r="Q926" s="35"/>
      <c r="R926" s="35"/>
      <c r="S926" s="35"/>
      <c r="T926" s="35"/>
      <c r="U926" s="35"/>
      <c r="V926" s="35"/>
      <c r="W926" s="35"/>
      <c r="X926" s="35"/>
      <c r="Y926" s="35"/>
      <c r="Z926" s="35"/>
    </row>
    <row r="927" ht="12.75" customHeight="1">
      <c r="A927" s="35"/>
      <c r="B927" s="35"/>
      <c r="C927" s="35"/>
      <c r="D927" s="35"/>
      <c r="E927" s="35"/>
      <c r="F927" s="35"/>
      <c r="G927" s="35"/>
      <c r="H927" s="35"/>
      <c r="I927" s="35"/>
      <c r="J927" s="35"/>
      <c r="K927" s="35"/>
      <c r="L927" s="35"/>
      <c r="M927" s="35"/>
      <c r="N927" s="35"/>
      <c r="O927" s="35"/>
      <c r="P927" s="35"/>
      <c r="Q927" s="35"/>
      <c r="R927" s="35"/>
      <c r="S927" s="35"/>
      <c r="T927" s="35"/>
      <c r="U927" s="35"/>
      <c r="V927" s="35"/>
      <c r="W927" s="35"/>
      <c r="X927" s="35"/>
      <c r="Y927" s="35"/>
      <c r="Z927" s="35"/>
    </row>
    <row r="928" ht="12.75" customHeight="1">
      <c r="A928" s="35"/>
      <c r="B928" s="35"/>
      <c r="C928" s="35"/>
      <c r="D928" s="35"/>
      <c r="E928" s="35"/>
      <c r="F928" s="35"/>
      <c r="G928" s="35"/>
      <c r="H928" s="35"/>
      <c r="I928" s="35"/>
      <c r="J928" s="35"/>
      <c r="K928" s="35"/>
      <c r="L928" s="35"/>
      <c r="M928" s="35"/>
      <c r="N928" s="35"/>
      <c r="O928" s="35"/>
      <c r="P928" s="35"/>
      <c r="Q928" s="35"/>
      <c r="R928" s="35"/>
      <c r="S928" s="35"/>
      <c r="T928" s="35"/>
      <c r="U928" s="35"/>
      <c r="V928" s="35"/>
      <c r="W928" s="35"/>
      <c r="X928" s="35"/>
      <c r="Y928" s="35"/>
      <c r="Z928" s="35"/>
    </row>
    <row r="929" ht="12.75" customHeight="1">
      <c r="A929" s="35"/>
      <c r="B929" s="35"/>
      <c r="C929" s="35"/>
      <c r="D929" s="35"/>
      <c r="E929" s="35"/>
      <c r="F929" s="35"/>
      <c r="G929" s="35"/>
      <c r="H929" s="35"/>
      <c r="I929" s="35"/>
      <c r="J929" s="35"/>
      <c r="K929" s="35"/>
      <c r="L929" s="35"/>
      <c r="M929" s="35"/>
      <c r="N929" s="35"/>
      <c r="O929" s="35"/>
      <c r="P929" s="35"/>
      <c r="Q929" s="35"/>
      <c r="R929" s="35"/>
      <c r="S929" s="35"/>
      <c r="T929" s="35"/>
      <c r="U929" s="35"/>
      <c r="V929" s="35"/>
      <c r="W929" s="35"/>
      <c r="X929" s="35"/>
      <c r="Y929" s="35"/>
      <c r="Z929" s="35"/>
    </row>
    <row r="930" ht="12.75" customHeight="1">
      <c r="A930" s="35"/>
      <c r="B930" s="35"/>
      <c r="C930" s="35"/>
      <c r="D930" s="35"/>
      <c r="E930" s="35"/>
      <c r="F930" s="35"/>
      <c r="G930" s="35"/>
      <c r="H930" s="35"/>
      <c r="I930" s="35"/>
      <c r="J930" s="35"/>
      <c r="K930" s="35"/>
      <c r="L930" s="35"/>
      <c r="M930" s="35"/>
      <c r="N930" s="35"/>
      <c r="O930" s="35"/>
      <c r="P930" s="35"/>
      <c r="Q930" s="35"/>
      <c r="R930" s="35"/>
      <c r="S930" s="35"/>
      <c r="T930" s="35"/>
      <c r="U930" s="35"/>
      <c r="V930" s="35"/>
      <c r="W930" s="35"/>
      <c r="X930" s="35"/>
      <c r="Y930" s="35"/>
      <c r="Z930" s="35"/>
    </row>
    <row r="931" ht="12.75" customHeight="1">
      <c r="A931" s="35"/>
      <c r="B931" s="35"/>
      <c r="C931" s="35"/>
      <c r="D931" s="35"/>
      <c r="E931" s="35"/>
      <c r="F931" s="35"/>
      <c r="G931" s="35"/>
      <c r="H931" s="35"/>
      <c r="I931" s="35"/>
      <c r="J931" s="35"/>
      <c r="K931" s="35"/>
      <c r="L931" s="35"/>
      <c r="M931" s="35"/>
      <c r="N931" s="35"/>
      <c r="O931" s="35"/>
      <c r="P931" s="35"/>
      <c r="Q931" s="35"/>
      <c r="R931" s="35"/>
      <c r="S931" s="35"/>
      <c r="T931" s="35"/>
      <c r="U931" s="35"/>
      <c r="V931" s="35"/>
      <c r="W931" s="35"/>
      <c r="X931" s="35"/>
      <c r="Y931" s="35"/>
      <c r="Z931" s="35"/>
    </row>
    <row r="932" ht="12.75" customHeight="1">
      <c r="A932" s="35"/>
      <c r="B932" s="35"/>
      <c r="C932" s="35"/>
      <c r="D932" s="35"/>
      <c r="E932" s="35"/>
      <c r="F932" s="35"/>
      <c r="G932" s="35"/>
      <c r="H932" s="35"/>
      <c r="I932" s="35"/>
      <c r="J932" s="35"/>
      <c r="K932" s="35"/>
      <c r="L932" s="35"/>
      <c r="M932" s="35"/>
      <c r="N932" s="35"/>
      <c r="O932" s="35"/>
      <c r="P932" s="35"/>
      <c r="Q932" s="35"/>
      <c r="R932" s="35"/>
      <c r="S932" s="35"/>
      <c r="T932" s="35"/>
      <c r="U932" s="35"/>
      <c r="V932" s="35"/>
      <c r="W932" s="35"/>
      <c r="X932" s="35"/>
      <c r="Y932" s="35"/>
      <c r="Z932" s="35"/>
    </row>
    <row r="933" ht="12.75" customHeight="1">
      <c r="A933" s="35"/>
      <c r="B933" s="35"/>
      <c r="C933" s="35"/>
      <c r="D933" s="35"/>
      <c r="E933" s="35"/>
      <c r="F933" s="35"/>
      <c r="G933" s="35"/>
      <c r="H933" s="35"/>
      <c r="I933" s="35"/>
      <c r="J933" s="35"/>
      <c r="K933" s="35"/>
      <c r="L933" s="35"/>
      <c r="M933" s="35"/>
      <c r="N933" s="35"/>
      <c r="O933" s="35"/>
      <c r="P933" s="35"/>
      <c r="Q933" s="35"/>
      <c r="R933" s="35"/>
      <c r="S933" s="35"/>
      <c r="T933" s="35"/>
      <c r="U933" s="35"/>
      <c r="V933" s="35"/>
      <c r="W933" s="35"/>
      <c r="X933" s="35"/>
      <c r="Y933" s="35"/>
      <c r="Z933" s="35"/>
    </row>
    <row r="934" ht="12.75" customHeight="1">
      <c r="A934" s="35"/>
      <c r="B934" s="35"/>
      <c r="C934" s="35"/>
      <c r="D934" s="35"/>
      <c r="E934" s="35"/>
      <c r="F934" s="35"/>
      <c r="G934" s="35"/>
      <c r="H934" s="35"/>
      <c r="I934" s="35"/>
      <c r="J934" s="35"/>
      <c r="K934" s="35"/>
      <c r="L934" s="35"/>
      <c r="M934" s="35"/>
      <c r="N934" s="35"/>
      <c r="O934" s="35"/>
      <c r="P934" s="35"/>
      <c r="Q934" s="35"/>
      <c r="R934" s="35"/>
      <c r="S934" s="35"/>
      <c r="T934" s="35"/>
      <c r="U934" s="35"/>
      <c r="V934" s="35"/>
      <c r="W934" s="35"/>
      <c r="X934" s="35"/>
      <c r="Y934" s="35"/>
      <c r="Z934" s="35"/>
    </row>
    <row r="935" ht="12.75" customHeight="1">
      <c r="A935" s="35"/>
      <c r="B935" s="35"/>
      <c r="C935" s="35"/>
      <c r="D935" s="35"/>
      <c r="E935" s="35"/>
      <c r="F935" s="35"/>
      <c r="G935" s="35"/>
      <c r="H935" s="35"/>
      <c r="I935" s="35"/>
      <c r="J935" s="35"/>
      <c r="K935" s="35"/>
      <c r="L935" s="35"/>
      <c r="M935" s="35"/>
      <c r="N935" s="35"/>
      <c r="O935" s="35"/>
      <c r="P935" s="35"/>
      <c r="Q935" s="35"/>
      <c r="R935" s="35"/>
      <c r="S935" s="35"/>
      <c r="T935" s="35"/>
      <c r="U935" s="35"/>
      <c r="V935" s="35"/>
      <c r="W935" s="35"/>
      <c r="X935" s="35"/>
      <c r="Y935" s="35"/>
      <c r="Z935" s="35"/>
    </row>
    <row r="936" ht="12.75" customHeight="1">
      <c r="A936" s="35"/>
      <c r="B936" s="35"/>
      <c r="C936" s="35"/>
      <c r="D936" s="35"/>
      <c r="E936" s="35"/>
      <c r="F936" s="35"/>
      <c r="G936" s="35"/>
      <c r="H936" s="35"/>
      <c r="I936" s="35"/>
      <c r="J936" s="35"/>
      <c r="K936" s="35"/>
      <c r="L936" s="35"/>
      <c r="M936" s="35"/>
      <c r="N936" s="35"/>
      <c r="O936" s="35"/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5"/>
    </row>
    <row r="937" ht="12.75" customHeight="1">
      <c r="A937" s="35"/>
      <c r="B937" s="35"/>
      <c r="C937" s="35"/>
      <c r="D937" s="35"/>
      <c r="E937" s="35"/>
      <c r="F937" s="35"/>
      <c r="G937" s="35"/>
      <c r="H937" s="35"/>
      <c r="I937" s="35"/>
      <c r="J937" s="35"/>
      <c r="K937" s="35"/>
      <c r="L937" s="35"/>
      <c r="M937" s="35"/>
      <c r="N937" s="35"/>
      <c r="O937" s="35"/>
      <c r="P937" s="35"/>
      <c r="Q937" s="35"/>
      <c r="R937" s="35"/>
      <c r="S937" s="35"/>
      <c r="T937" s="35"/>
      <c r="U937" s="35"/>
      <c r="V937" s="35"/>
      <c r="W937" s="35"/>
      <c r="X937" s="35"/>
      <c r="Y937" s="35"/>
      <c r="Z937" s="35"/>
    </row>
    <row r="938" ht="12.75" customHeight="1">
      <c r="A938" s="35"/>
      <c r="B938" s="35"/>
      <c r="C938" s="35"/>
      <c r="D938" s="35"/>
      <c r="E938" s="35"/>
      <c r="F938" s="35"/>
      <c r="G938" s="35"/>
      <c r="H938" s="35"/>
      <c r="I938" s="35"/>
      <c r="J938" s="35"/>
      <c r="K938" s="35"/>
      <c r="L938" s="35"/>
      <c r="M938" s="35"/>
      <c r="N938" s="35"/>
      <c r="O938" s="35"/>
      <c r="P938" s="35"/>
      <c r="Q938" s="35"/>
      <c r="R938" s="35"/>
      <c r="S938" s="35"/>
      <c r="T938" s="35"/>
      <c r="U938" s="35"/>
      <c r="V938" s="35"/>
      <c r="W938" s="35"/>
      <c r="X938" s="35"/>
      <c r="Y938" s="35"/>
      <c r="Z938" s="35"/>
    </row>
    <row r="939" ht="12.75" customHeight="1">
      <c r="A939" s="35"/>
      <c r="B939" s="35"/>
      <c r="C939" s="35"/>
      <c r="D939" s="35"/>
      <c r="E939" s="35"/>
      <c r="F939" s="35"/>
      <c r="G939" s="35"/>
      <c r="H939" s="35"/>
      <c r="I939" s="35"/>
      <c r="J939" s="35"/>
      <c r="K939" s="35"/>
      <c r="L939" s="35"/>
      <c r="M939" s="35"/>
      <c r="N939" s="35"/>
      <c r="O939" s="35"/>
      <c r="P939" s="35"/>
      <c r="Q939" s="35"/>
      <c r="R939" s="35"/>
      <c r="S939" s="35"/>
      <c r="T939" s="35"/>
      <c r="U939" s="35"/>
      <c r="V939" s="35"/>
      <c r="W939" s="35"/>
      <c r="X939" s="35"/>
      <c r="Y939" s="35"/>
      <c r="Z939" s="35"/>
    </row>
    <row r="940" ht="12.75" customHeight="1">
      <c r="A940" s="35"/>
      <c r="B940" s="35"/>
      <c r="C940" s="35"/>
      <c r="D940" s="35"/>
      <c r="E940" s="35"/>
      <c r="F940" s="35"/>
      <c r="G940" s="35"/>
      <c r="H940" s="35"/>
      <c r="I940" s="35"/>
      <c r="J940" s="35"/>
      <c r="K940" s="35"/>
      <c r="L940" s="35"/>
      <c r="M940" s="35"/>
      <c r="N940" s="35"/>
      <c r="O940" s="35"/>
      <c r="P940" s="35"/>
      <c r="Q940" s="35"/>
      <c r="R940" s="35"/>
      <c r="S940" s="35"/>
      <c r="T940" s="35"/>
      <c r="U940" s="35"/>
      <c r="V940" s="35"/>
      <c r="W940" s="35"/>
      <c r="X940" s="35"/>
      <c r="Y940" s="35"/>
      <c r="Z940" s="35"/>
    </row>
    <row r="941" ht="12.75" customHeight="1">
      <c r="A941" s="35"/>
      <c r="B941" s="35"/>
      <c r="C941" s="35"/>
      <c r="D941" s="35"/>
      <c r="E941" s="35"/>
      <c r="F941" s="35"/>
      <c r="G941" s="35"/>
      <c r="H941" s="35"/>
      <c r="I941" s="35"/>
      <c r="J941" s="35"/>
      <c r="K941" s="35"/>
      <c r="L941" s="35"/>
      <c r="M941" s="35"/>
      <c r="N941" s="35"/>
      <c r="O941" s="35"/>
      <c r="P941" s="35"/>
      <c r="Q941" s="35"/>
      <c r="R941" s="35"/>
      <c r="S941" s="35"/>
      <c r="T941" s="35"/>
      <c r="U941" s="35"/>
      <c r="V941" s="35"/>
      <c r="W941" s="35"/>
      <c r="X941" s="35"/>
      <c r="Y941" s="35"/>
      <c r="Z941" s="35"/>
    </row>
    <row r="942" ht="12.75" customHeight="1">
      <c r="A942" s="35"/>
      <c r="B942" s="35"/>
      <c r="C942" s="35"/>
      <c r="D942" s="35"/>
      <c r="E942" s="35"/>
      <c r="F942" s="35"/>
      <c r="G942" s="35"/>
      <c r="H942" s="35"/>
      <c r="I942" s="35"/>
      <c r="J942" s="35"/>
      <c r="K942" s="35"/>
      <c r="L942" s="35"/>
      <c r="M942" s="35"/>
      <c r="N942" s="35"/>
      <c r="O942" s="35"/>
      <c r="P942" s="35"/>
      <c r="Q942" s="35"/>
      <c r="R942" s="35"/>
      <c r="S942" s="35"/>
      <c r="T942" s="35"/>
      <c r="U942" s="35"/>
      <c r="V942" s="35"/>
      <c r="W942" s="35"/>
      <c r="X942" s="35"/>
      <c r="Y942" s="35"/>
      <c r="Z942" s="35"/>
    </row>
    <row r="943" ht="12.75" customHeight="1">
      <c r="A943" s="35"/>
      <c r="B943" s="35"/>
      <c r="C943" s="35"/>
      <c r="D943" s="35"/>
      <c r="E943" s="35"/>
      <c r="F943" s="35"/>
      <c r="G943" s="35"/>
      <c r="H943" s="35"/>
      <c r="I943" s="35"/>
      <c r="J943" s="35"/>
      <c r="K943" s="35"/>
      <c r="L943" s="35"/>
      <c r="M943" s="35"/>
      <c r="N943" s="35"/>
      <c r="O943" s="35"/>
      <c r="P943" s="35"/>
      <c r="Q943" s="35"/>
      <c r="R943" s="35"/>
      <c r="S943" s="35"/>
      <c r="T943" s="35"/>
      <c r="U943" s="35"/>
      <c r="V943" s="35"/>
      <c r="W943" s="35"/>
      <c r="X943" s="35"/>
      <c r="Y943" s="35"/>
      <c r="Z943" s="35"/>
    </row>
    <row r="944" ht="12.75" customHeight="1">
      <c r="A944" s="35"/>
      <c r="B944" s="35"/>
      <c r="C944" s="35"/>
      <c r="D944" s="35"/>
      <c r="E944" s="35"/>
      <c r="F944" s="35"/>
      <c r="G944" s="35"/>
      <c r="H944" s="35"/>
      <c r="I944" s="35"/>
      <c r="J944" s="35"/>
      <c r="K944" s="35"/>
      <c r="L944" s="35"/>
      <c r="M944" s="35"/>
      <c r="N944" s="35"/>
      <c r="O944" s="35"/>
      <c r="P944" s="35"/>
      <c r="Q944" s="35"/>
      <c r="R944" s="35"/>
      <c r="S944" s="35"/>
      <c r="T944" s="35"/>
      <c r="U944" s="35"/>
      <c r="V944" s="35"/>
      <c r="W944" s="35"/>
      <c r="X944" s="35"/>
      <c r="Y944" s="35"/>
      <c r="Z944" s="35"/>
    </row>
    <row r="945" ht="12.75" customHeight="1">
      <c r="A945" s="35"/>
      <c r="B945" s="35"/>
      <c r="C945" s="35"/>
      <c r="D945" s="35"/>
      <c r="E945" s="35"/>
      <c r="F945" s="35"/>
      <c r="G945" s="35"/>
      <c r="H945" s="35"/>
      <c r="I945" s="35"/>
      <c r="J945" s="35"/>
      <c r="K945" s="35"/>
      <c r="L945" s="35"/>
      <c r="M945" s="35"/>
      <c r="N945" s="35"/>
      <c r="O945" s="35"/>
      <c r="P945" s="35"/>
      <c r="Q945" s="35"/>
      <c r="R945" s="35"/>
      <c r="S945" s="35"/>
      <c r="T945" s="35"/>
      <c r="U945" s="35"/>
      <c r="V945" s="35"/>
      <c r="W945" s="35"/>
      <c r="X945" s="35"/>
      <c r="Y945" s="35"/>
      <c r="Z945" s="35"/>
    </row>
    <row r="946" ht="12.75" customHeight="1">
      <c r="A946" s="35"/>
      <c r="B946" s="35"/>
      <c r="C946" s="35"/>
      <c r="D946" s="35"/>
      <c r="E946" s="35"/>
      <c r="F946" s="35"/>
      <c r="G946" s="35"/>
      <c r="H946" s="35"/>
      <c r="I946" s="35"/>
      <c r="J946" s="35"/>
      <c r="K946" s="35"/>
      <c r="L946" s="35"/>
      <c r="M946" s="35"/>
      <c r="N946" s="35"/>
      <c r="O946" s="35"/>
      <c r="P946" s="35"/>
      <c r="Q946" s="35"/>
      <c r="R946" s="35"/>
      <c r="S946" s="35"/>
      <c r="T946" s="35"/>
      <c r="U946" s="35"/>
      <c r="V946" s="35"/>
      <c r="W946" s="35"/>
      <c r="X946" s="35"/>
      <c r="Y946" s="35"/>
      <c r="Z946" s="35"/>
    </row>
    <row r="947" ht="12.75" customHeight="1">
      <c r="A947" s="35"/>
      <c r="B947" s="35"/>
      <c r="C947" s="35"/>
      <c r="D947" s="35"/>
      <c r="E947" s="35"/>
      <c r="F947" s="35"/>
      <c r="G947" s="35"/>
      <c r="H947" s="35"/>
      <c r="I947" s="35"/>
      <c r="J947" s="35"/>
      <c r="K947" s="35"/>
      <c r="L947" s="35"/>
      <c r="M947" s="35"/>
      <c r="N947" s="35"/>
      <c r="O947" s="35"/>
      <c r="P947" s="35"/>
      <c r="Q947" s="35"/>
      <c r="R947" s="35"/>
      <c r="S947" s="35"/>
      <c r="T947" s="35"/>
      <c r="U947" s="35"/>
      <c r="V947" s="35"/>
      <c r="W947" s="35"/>
      <c r="X947" s="35"/>
      <c r="Y947" s="35"/>
      <c r="Z947" s="35"/>
    </row>
    <row r="948" ht="12.75" customHeight="1">
      <c r="A948" s="35"/>
      <c r="B948" s="35"/>
      <c r="C948" s="35"/>
      <c r="D948" s="35"/>
      <c r="E948" s="35"/>
      <c r="F948" s="35"/>
      <c r="G948" s="35"/>
      <c r="H948" s="35"/>
      <c r="I948" s="35"/>
      <c r="J948" s="35"/>
      <c r="K948" s="35"/>
      <c r="L948" s="35"/>
      <c r="M948" s="35"/>
      <c r="N948" s="35"/>
      <c r="O948" s="35"/>
      <c r="P948" s="35"/>
      <c r="Q948" s="35"/>
      <c r="R948" s="35"/>
      <c r="S948" s="35"/>
      <c r="T948" s="35"/>
      <c r="U948" s="35"/>
      <c r="V948" s="35"/>
      <c r="W948" s="35"/>
      <c r="X948" s="35"/>
      <c r="Y948" s="35"/>
      <c r="Z948" s="35"/>
    </row>
    <row r="949" ht="12.75" customHeight="1">
      <c r="A949" s="35"/>
      <c r="B949" s="35"/>
      <c r="C949" s="35"/>
      <c r="D949" s="35"/>
      <c r="E949" s="35"/>
      <c r="F949" s="35"/>
      <c r="G949" s="35"/>
      <c r="H949" s="35"/>
      <c r="I949" s="35"/>
      <c r="J949" s="35"/>
      <c r="K949" s="35"/>
      <c r="L949" s="35"/>
      <c r="M949" s="35"/>
      <c r="N949" s="35"/>
      <c r="O949" s="35"/>
      <c r="P949" s="35"/>
      <c r="Q949" s="35"/>
      <c r="R949" s="35"/>
      <c r="S949" s="35"/>
      <c r="T949" s="35"/>
      <c r="U949" s="35"/>
      <c r="V949" s="35"/>
      <c r="W949" s="35"/>
      <c r="X949" s="35"/>
      <c r="Y949" s="35"/>
      <c r="Z949" s="35"/>
    </row>
    <row r="950" ht="12.75" customHeight="1">
      <c r="A950" s="35"/>
      <c r="B950" s="35"/>
      <c r="C950" s="35"/>
      <c r="D950" s="35"/>
      <c r="E950" s="35"/>
      <c r="F950" s="35"/>
      <c r="G950" s="35"/>
      <c r="H950" s="35"/>
      <c r="I950" s="35"/>
      <c r="J950" s="35"/>
      <c r="K950" s="35"/>
      <c r="L950" s="35"/>
      <c r="M950" s="35"/>
      <c r="N950" s="35"/>
      <c r="O950" s="35"/>
      <c r="P950" s="35"/>
      <c r="Q950" s="35"/>
      <c r="R950" s="35"/>
      <c r="S950" s="35"/>
      <c r="T950" s="35"/>
      <c r="U950" s="35"/>
      <c r="V950" s="35"/>
      <c r="W950" s="35"/>
      <c r="X950" s="35"/>
      <c r="Y950" s="35"/>
      <c r="Z950" s="35"/>
    </row>
    <row r="951" ht="12.75" customHeight="1">
      <c r="A951" s="35"/>
      <c r="B951" s="35"/>
      <c r="C951" s="35"/>
      <c r="D951" s="35"/>
      <c r="E951" s="35"/>
      <c r="F951" s="35"/>
      <c r="G951" s="35"/>
      <c r="H951" s="35"/>
      <c r="I951" s="35"/>
      <c r="J951" s="35"/>
      <c r="K951" s="35"/>
      <c r="L951" s="35"/>
      <c r="M951" s="35"/>
      <c r="N951" s="35"/>
      <c r="O951" s="35"/>
      <c r="P951" s="35"/>
      <c r="Q951" s="35"/>
      <c r="R951" s="35"/>
      <c r="S951" s="35"/>
      <c r="T951" s="35"/>
      <c r="U951" s="35"/>
      <c r="V951" s="35"/>
      <c r="W951" s="35"/>
      <c r="X951" s="35"/>
      <c r="Y951" s="35"/>
      <c r="Z951" s="35"/>
    </row>
    <row r="952" ht="12.75" customHeight="1">
      <c r="A952" s="35"/>
      <c r="B952" s="35"/>
      <c r="C952" s="35"/>
      <c r="D952" s="35"/>
      <c r="E952" s="35"/>
      <c r="F952" s="35"/>
      <c r="G952" s="35"/>
      <c r="H952" s="35"/>
      <c r="I952" s="35"/>
      <c r="J952" s="35"/>
      <c r="K952" s="35"/>
      <c r="L952" s="35"/>
      <c r="M952" s="35"/>
      <c r="N952" s="35"/>
      <c r="O952" s="35"/>
      <c r="P952" s="35"/>
      <c r="Q952" s="35"/>
      <c r="R952" s="35"/>
      <c r="S952" s="35"/>
      <c r="T952" s="35"/>
      <c r="U952" s="35"/>
      <c r="V952" s="35"/>
      <c r="W952" s="35"/>
      <c r="X952" s="35"/>
      <c r="Y952" s="35"/>
      <c r="Z952" s="35"/>
    </row>
    <row r="953" ht="12.75" customHeight="1">
      <c r="A953" s="35"/>
      <c r="B953" s="35"/>
      <c r="C953" s="35"/>
      <c r="D953" s="35"/>
      <c r="E953" s="35"/>
      <c r="F953" s="35"/>
      <c r="G953" s="35"/>
      <c r="H953" s="35"/>
      <c r="I953" s="35"/>
      <c r="J953" s="35"/>
      <c r="K953" s="35"/>
      <c r="L953" s="35"/>
      <c r="M953" s="35"/>
      <c r="N953" s="35"/>
      <c r="O953" s="35"/>
      <c r="P953" s="35"/>
      <c r="Q953" s="35"/>
      <c r="R953" s="35"/>
      <c r="S953" s="35"/>
      <c r="T953" s="35"/>
      <c r="U953" s="35"/>
      <c r="V953" s="35"/>
      <c r="W953" s="35"/>
      <c r="X953" s="35"/>
      <c r="Y953" s="35"/>
      <c r="Z953" s="35"/>
    </row>
    <row r="954" ht="12.75" customHeight="1">
      <c r="A954" s="35"/>
      <c r="B954" s="35"/>
      <c r="C954" s="35"/>
      <c r="D954" s="35"/>
      <c r="E954" s="35"/>
      <c r="F954" s="35"/>
      <c r="G954" s="35"/>
      <c r="H954" s="35"/>
      <c r="I954" s="35"/>
      <c r="J954" s="35"/>
      <c r="K954" s="35"/>
      <c r="L954" s="35"/>
      <c r="M954" s="35"/>
      <c r="N954" s="35"/>
      <c r="O954" s="35"/>
      <c r="P954" s="35"/>
      <c r="Q954" s="35"/>
      <c r="R954" s="35"/>
      <c r="S954" s="35"/>
      <c r="T954" s="35"/>
      <c r="U954" s="35"/>
      <c r="V954" s="35"/>
      <c r="W954" s="35"/>
      <c r="X954" s="35"/>
      <c r="Y954" s="35"/>
      <c r="Z954" s="35"/>
    </row>
    <row r="955" ht="12.75" customHeight="1">
      <c r="A955" s="35"/>
      <c r="B955" s="35"/>
      <c r="C955" s="35"/>
      <c r="D955" s="35"/>
      <c r="E955" s="35"/>
      <c r="F955" s="35"/>
      <c r="G955" s="35"/>
      <c r="H955" s="35"/>
      <c r="I955" s="35"/>
      <c r="J955" s="35"/>
      <c r="K955" s="35"/>
      <c r="L955" s="35"/>
      <c r="M955" s="35"/>
      <c r="N955" s="35"/>
      <c r="O955" s="35"/>
      <c r="P955" s="35"/>
      <c r="Q955" s="35"/>
      <c r="R955" s="35"/>
      <c r="S955" s="35"/>
      <c r="T955" s="35"/>
      <c r="U955" s="35"/>
      <c r="V955" s="35"/>
      <c r="W955" s="35"/>
      <c r="X955" s="35"/>
      <c r="Y955" s="35"/>
      <c r="Z955" s="35"/>
    </row>
    <row r="956" ht="12.75" customHeight="1">
      <c r="A956" s="35"/>
      <c r="B956" s="35"/>
      <c r="C956" s="35"/>
      <c r="D956" s="35"/>
      <c r="E956" s="35"/>
      <c r="F956" s="35"/>
      <c r="G956" s="35"/>
      <c r="H956" s="35"/>
      <c r="I956" s="35"/>
      <c r="J956" s="35"/>
      <c r="K956" s="35"/>
      <c r="L956" s="35"/>
      <c r="M956" s="35"/>
      <c r="N956" s="35"/>
      <c r="O956" s="35"/>
      <c r="P956" s="35"/>
      <c r="Q956" s="35"/>
      <c r="R956" s="35"/>
      <c r="S956" s="35"/>
      <c r="T956" s="35"/>
      <c r="U956" s="35"/>
      <c r="V956" s="35"/>
      <c r="W956" s="35"/>
      <c r="X956" s="35"/>
      <c r="Y956" s="35"/>
      <c r="Z956" s="35"/>
    </row>
    <row r="957" ht="12.75" customHeight="1">
      <c r="A957" s="35"/>
      <c r="B957" s="35"/>
      <c r="C957" s="35"/>
      <c r="D957" s="35"/>
      <c r="E957" s="35"/>
      <c r="F957" s="35"/>
      <c r="G957" s="35"/>
      <c r="H957" s="35"/>
      <c r="I957" s="35"/>
      <c r="J957" s="35"/>
      <c r="K957" s="35"/>
      <c r="L957" s="35"/>
      <c r="M957" s="35"/>
      <c r="N957" s="35"/>
      <c r="O957" s="35"/>
      <c r="P957" s="35"/>
      <c r="Q957" s="35"/>
      <c r="R957" s="35"/>
      <c r="S957" s="35"/>
      <c r="T957" s="35"/>
      <c r="U957" s="35"/>
      <c r="V957" s="35"/>
      <c r="W957" s="35"/>
      <c r="X957" s="35"/>
      <c r="Y957" s="35"/>
      <c r="Z957" s="35"/>
    </row>
    <row r="958" ht="12.75" customHeight="1">
      <c r="A958" s="35"/>
      <c r="B958" s="35"/>
      <c r="C958" s="35"/>
      <c r="D958" s="35"/>
      <c r="E958" s="35"/>
      <c r="F958" s="35"/>
      <c r="G958" s="35"/>
      <c r="H958" s="35"/>
      <c r="I958" s="35"/>
      <c r="J958" s="35"/>
      <c r="K958" s="35"/>
      <c r="L958" s="35"/>
      <c r="M958" s="35"/>
      <c r="N958" s="35"/>
      <c r="O958" s="35"/>
      <c r="P958" s="35"/>
      <c r="Q958" s="35"/>
      <c r="R958" s="35"/>
      <c r="S958" s="35"/>
      <c r="T958" s="35"/>
      <c r="U958" s="35"/>
      <c r="V958" s="35"/>
      <c r="W958" s="35"/>
      <c r="X958" s="35"/>
      <c r="Y958" s="35"/>
      <c r="Z958" s="35"/>
    </row>
    <row r="959" ht="12.75" customHeight="1">
      <c r="A959" s="35"/>
      <c r="B959" s="35"/>
      <c r="C959" s="35"/>
      <c r="D959" s="35"/>
      <c r="E959" s="35"/>
      <c r="F959" s="35"/>
      <c r="G959" s="35"/>
      <c r="H959" s="35"/>
      <c r="I959" s="35"/>
      <c r="J959" s="35"/>
      <c r="K959" s="35"/>
      <c r="L959" s="35"/>
      <c r="M959" s="35"/>
      <c r="N959" s="35"/>
      <c r="O959" s="35"/>
      <c r="P959" s="35"/>
      <c r="Q959" s="35"/>
      <c r="R959" s="35"/>
      <c r="S959" s="35"/>
      <c r="T959" s="35"/>
      <c r="U959" s="35"/>
      <c r="V959" s="35"/>
      <c r="W959" s="35"/>
      <c r="X959" s="35"/>
      <c r="Y959" s="35"/>
      <c r="Z959" s="35"/>
    </row>
    <row r="960" ht="12.75" customHeight="1">
      <c r="A960" s="35"/>
      <c r="B960" s="35"/>
      <c r="C960" s="35"/>
      <c r="D960" s="35"/>
      <c r="E960" s="35"/>
      <c r="F960" s="35"/>
      <c r="G960" s="35"/>
      <c r="H960" s="35"/>
      <c r="I960" s="35"/>
      <c r="J960" s="35"/>
      <c r="K960" s="35"/>
      <c r="L960" s="35"/>
      <c r="M960" s="35"/>
      <c r="N960" s="35"/>
      <c r="O960" s="35"/>
      <c r="P960" s="35"/>
      <c r="Q960" s="35"/>
      <c r="R960" s="35"/>
      <c r="S960" s="35"/>
      <c r="T960" s="35"/>
      <c r="U960" s="35"/>
      <c r="V960" s="35"/>
      <c r="W960" s="35"/>
      <c r="X960" s="35"/>
      <c r="Y960" s="35"/>
      <c r="Z960" s="35"/>
    </row>
    <row r="961" ht="12.75" customHeight="1">
      <c r="A961" s="35"/>
      <c r="B961" s="35"/>
      <c r="C961" s="35"/>
      <c r="D961" s="35"/>
      <c r="E961" s="35"/>
      <c r="F961" s="35"/>
      <c r="G961" s="35"/>
      <c r="H961" s="35"/>
      <c r="I961" s="35"/>
      <c r="J961" s="35"/>
      <c r="K961" s="35"/>
      <c r="L961" s="35"/>
      <c r="M961" s="35"/>
      <c r="N961" s="35"/>
      <c r="O961" s="35"/>
      <c r="P961" s="35"/>
      <c r="Q961" s="35"/>
      <c r="R961" s="35"/>
      <c r="S961" s="35"/>
      <c r="T961" s="35"/>
      <c r="U961" s="35"/>
      <c r="V961" s="35"/>
      <c r="W961" s="35"/>
      <c r="X961" s="35"/>
      <c r="Y961" s="35"/>
      <c r="Z961" s="35"/>
    </row>
    <row r="962" ht="12.75" customHeight="1">
      <c r="A962" s="35"/>
      <c r="B962" s="35"/>
      <c r="C962" s="35"/>
      <c r="D962" s="35"/>
      <c r="E962" s="35"/>
      <c r="F962" s="35"/>
      <c r="G962" s="35"/>
      <c r="H962" s="35"/>
      <c r="I962" s="35"/>
      <c r="J962" s="35"/>
      <c r="K962" s="35"/>
      <c r="L962" s="35"/>
      <c r="M962" s="35"/>
      <c r="N962" s="35"/>
      <c r="O962" s="35"/>
      <c r="P962" s="35"/>
      <c r="Q962" s="35"/>
      <c r="R962" s="35"/>
      <c r="S962" s="35"/>
      <c r="T962" s="35"/>
      <c r="U962" s="35"/>
      <c r="V962" s="35"/>
      <c r="W962" s="35"/>
      <c r="X962" s="35"/>
      <c r="Y962" s="35"/>
      <c r="Z962" s="35"/>
    </row>
    <row r="963" ht="12.75" customHeight="1">
      <c r="A963" s="35"/>
      <c r="B963" s="35"/>
      <c r="C963" s="35"/>
      <c r="D963" s="35"/>
      <c r="E963" s="35"/>
      <c r="F963" s="35"/>
      <c r="G963" s="35"/>
      <c r="H963" s="35"/>
      <c r="I963" s="35"/>
      <c r="J963" s="35"/>
      <c r="K963" s="35"/>
      <c r="L963" s="35"/>
      <c r="M963" s="35"/>
      <c r="N963" s="35"/>
      <c r="O963" s="35"/>
      <c r="P963" s="35"/>
      <c r="Q963" s="35"/>
      <c r="R963" s="35"/>
      <c r="S963" s="35"/>
      <c r="T963" s="35"/>
      <c r="U963" s="35"/>
      <c r="V963" s="35"/>
      <c r="W963" s="35"/>
      <c r="X963" s="35"/>
      <c r="Y963" s="35"/>
      <c r="Z963" s="35"/>
    </row>
    <row r="964" ht="12.75" customHeight="1">
      <c r="A964" s="35"/>
      <c r="B964" s="35"/>
      <c r="C964" s="35"/>
      <c r="D964" s="35"/>
      <c r="E964" s="35"/>
      <c r="F964" s="35"/>
      <c r="G964" s="35"/>
      <c r="H964" s="35"/>
      <c r="I964" s="35"/>
      <c r="J964" s="35"/>
      <c r="K964" s="35"/>
      <c r="L964" s="35"/>
      <c r="M964" s="35"/>
      <c r="N964" s="35"/>
      <c r="O964" s="35"/>
      <c r="P964" s="35"/>
      <c r="Q964" s="35"/>
      <c r="R964" s="35"/>
      <c r="S964" s="35"/>
      <c r="T964" s="35"/>
      <c r="U964" s="35"/>
      <c r="V964" s="35"/>
      <c r="W964" s="35"/>
      <c r="X964" s="35"/>
      <c r="Y964" s="35"/>
      <c r="Z964" s="35"/>
    </row>
    <row r="965" ht="12.75" customHeight="1">
      <c r="A965" s="35"/>
      <c r="B965" s="35"/>
      <c r="C965" s="35"/>
      <c r="D965" s="35"/>
      <c r="E965" s="35"/>
      <c r="F965" s="35"/>
      <c r="G965" s="35"/>
      <c r="H965" s="35"/>
      <c r="I965" s="35"/>
      <c r="J965" s="35"/>
      <c r="K965" s="35"/>
      <c r="L965" s="35"/>
      <c r="M965" s="35"/>
      <c r="N965" s="35"/>
      <c r="O965" s="35"/>
      <c r="P965" s="35"/>
      <c r="Q965" s="35"/>
      <c r="R965" s="35"/>
      <c r="S965" s="35"/>
      <c r="T965" s="35"/>
      <c r="U965" s="35"/>
      <c r="V965" s="35"/>
      <c r="W965" s="35"/>
      <c r="X965" s="35"/>
      <c r="Y965" s="35"/>
      <c r="Z965" s="35"/>
    </row>
    <row r="966" ht="12.75" customHeight="1">
      <c r="A966" s="35"/>
      <c r="B966" s="35"/>
      <c r="C966" s="35"/>
      <c r="D966" s="35"/>
      <c r="E966" s="35"/>
      <c r="F966" s="35"/>
      <c r="G966" s="35"/>
      <c r="H966" s="35"/>
      <c r="I966" s="35"/>
      <c r="J966" s="35"/>
      <c r="K966" s="35"/>
      <c r="L966" s="35"/>
      <c r="M966" s="35"/>
      <c r="N966" s="35"/>
      <c r="O966" s="35"/>
      <c r="P966" s="35"/>
      <c r="Q966" s="35"/>
      <c r="R966" s="35"/>
      <c r="S966" s="35"/>
      <c r="T966" s="35"/>
      <c r="U966" s="35"/>
      <c r="V966" s="35"/>
      <c r="W966" s="35"/>
      <c r="X966" s="35"/>
      <c r="Y966" s="35"/>
      <c r="Z966" s="35"/>
    </row>
    <row r="967" ht="12.75" customHeight="1">
      <c r="A967" s="35"/>
      <c r="B967" s="35"/>
      <c r="C967" s="35"/>
      <c r="D967" s="35"/>
      <c r="E967" s="35"/>
      <c r="F967" s="35"/>
      <c r="G967" s="35"/>
      <c r="H967" s="35"/>
      <c r="I967" s="35"/>
      <c r="J967" s="35"/>
      <c r="K967" s="35"/>
      <c r="L967" s="35"/>
      <c r="M967" s="35"/>
      <c r="N967" s="35"/>
      <c r="O967" s="35"/>
      <c r="P967" s="35"/>
      <c r="Q967" s="35"/>
      <c r="R967" s="35"/>
      <c r="S967" s="35"/>
      <c r="T967" s="35"/>
      <c r="U967" s="35"/>
      <c r="V967" s="35"/>
      <c r="W967" s="35"/>
      <c r="X967" s="35"/>
      <c r="Y967" s="35"/>
      <c r="Z967" s="35"/>
    </row>
    <row r="968" ht="12.75" customHeight="1">
      <c r="A968" s="35"/>
      <c r="B968" s="35"/>
      <c r="C968" s="35"/>
      <c r="D968" s="35"/>
      <c r="E968" s="35"/>
      <c r="F968" s="35"/>
      <c r="G968" s="35"/>
      <c r="H968" s="35"/>
      <c r="I968" s="35"/>
      <c r="J968" s="35"/>
      <c r="K968" s="35"/>
      <c r="L968" s="35"/>
      <c r="M968" s="35"/>
      <c r="N968" s="35"/>
      <c r="O968" s="35"/>
      <c r="P968" s="35"/>
      <c r="Q968" s="35"/>
      <c r="R968" s="35"/>
      <c r="S968" s="35"/>
      <c r="T968" s="35"/>
      <c r="U968" s="35"/>
      <c r="V968" s="35"/>
      <c r="W968" s="35"/>
      <c r="X968" s="35"/>
      <c r="Y968" s="35"/>
      <c r="Z968" s="35"/>
    </row>
    <row r="969" ht="12.75" customHeight="1">
      <c r="A969" s="35"/>
      <c r="B969" s="35"/>
      <c r="C969" s="35"/>
      <c r="D969" s="35"/>
      <c r="E969" s="35"/>
      <c r="F969" s="35"/>
      <c r="G969" s="35"/>
      <c r="H969" s="35"/>
      <c r="I969" s="35"/>
      <c r="J969" s="35"/>
      <c r="K969" s="35"/>
      <c r="L969" s="35"/>
      <c r="M969" s="35"/>
      <c r="N969" s="35"/>
      <c r="O969" s="35"/>
      <c r="P969" s="35"/>
      <c r="Q969" s="35"/>
      <c r="R969" s="35"/>
      <c r="S969" s="35"/>
      <c r="T969" s="35"/>
      <c r="U969" s="35"/>
      <c r="V969" s="35"/>
      <c r="W969" s="35"/>
      <c r="X969" s="35"/>
      <c r="Y969" s="35"/>
      <c r="Z969" s="35"/>
    </row>
    <row r="970" ht="12.75" customHeight="1">
      <c r="A970" s="35"/>
      <c r="B970" s="35"/>
      <c r="C970" s="35"/>
      <c r="D970" s="35"/>
      <c r="E970" s="35"/>
      <c r="F970" s="35"/>
      <c r="G970" s="35"/>
      <c r="H970" s="35"/>
      <c r="I970" s="35"/>
      <c r="J970" s="35"/>
      <c r="K970" s="35"/>
      <c r="L970" s="35"/>
      <c r="M970" s="35"/>
      <c r="N970" s="35"/>
      <c r="O970" s="35"/>
      <c r="P970" s="35"/>
      <c r="Q970" s="35"/>
      <c r="R970" s="35"/>
      <c r="S970" s="35"/>
      <c r="T970" s="35"/>
      <c r="U970" s="35"/>
      <c r="V970" s="35"/>
      <c r="W970" s="35"/>
      <c r="X970" s="35"/>
      <c r="Y970" s="35"/>
      <c r="Z970" s="35"/>
    </row>
    <row r="971" ht="12.75" customHeight="1">
      <c r="A971" s="35"/>
      <c r="B971" s="35"/>
      <c r="C971" s="35"/>
      <c r="D971" s="35"/>
      <c r="E971" s="35"/>
      <c r="F971" s="35"/>
      <c r="G971" s="35"/>
      <c r="H971" s="35"/>
      <c r="I971" s="35"/>
      <c r="J971" s="35"/>
      <c r="K971" s="35"/>
      <c r="L971" s="35"/>
      <c r="M971" s="35"/>
      <c r="N971" s="35"/>
      <c r="O971" s="35"/>
      <c r="P971" s="35"/>
      <c r="Q971" s="35"/>
      <c r="R971" s="35"/>
      <c r="S971" s="35"/>
      <c r="T971" s="35"/>
      <c r="U971" s="35"/>
      <c r="V971" s="35"/>
      <c r="W971" s="35"/>
      <c r="X971" s="35"/>
      <c r="Y971" s="35"/>
      <c r="Z971" s="35"/>
    </row>
    <row r="972" ht="12.75" customHeight="1">
      <c r="A972" s="35"/>
      <c r="B972" s="35"/>
      <c r="C972" s="35"/>
      <c r="D972" s="35"/>
      <c r="E972" s="35"/>
      <c r="F972" s="35"/>
      <c r="G972" s="35"/>
      <c r="H972" s="35"/>
      <c r="I972" s="35"/>
      <c r="J972" s="35"/>
      <c r="K972" s="35"/>
      <c r="L972" s="35"/>
      <c r="M972" s="35"/>
      <c r="N972" s="35"/>
      <c r="O972" s="35"/>
      <c r="P972" s="35"/>
      <c r="Q972" s="35"/>
      <c r="R972" s="35"/>
      <c r="S972" s="35"/>
      <c r="T972" s="35"/>
      <c r="U972" s="35"/>
      <c r="V972" s="35"/>
      <c r="W972" s="35"/>
      <c r="X972" s="35"/>
      <c r="Y972" s="35"/>
      <c r="Z972" s="35"/>
    </row>
    <row r="973" ht="12.75" customHeight="1">
      <c r="A973" s="35"/>
      <c r="B973" s="35"/>
      <c r="C973" s="35"/>
      <c r="D973" s="35"/>
      <c r="E973" s="35"/>
      <c r="F973" s="35"/>
      <c r="G973" s="35"/>
      <c r="H973" s="35"/>
      <c r="I973" s="35"/>
      <c r="J973" s="35"/>
      <c r="K973" s="35"/>
      <c r="L973" s="35"/>
      <c r="M973" s="35"/>
      <c r="N973" s="35"/>
      <c r="O973" s="35"/>
      <c r="P973" s="35"/>
      <c r="Q973" s="35"/>
      <c r="R973" s="35"/>
      <c r="S973" s="35"/>
      <c r="T973" s="35"/>
      <c r="U973" s="35"/>
      <c r="V973" s="35"/>
      <c r="W973" s="35"/>
      <c r="X973" s="35"/>
      <c r="Y973" s="35"/>
      <c r="Z973" s="35"/>
    </row>
    <row r="974" ht="12.75" customHeight="1">
      <c r="A974" s="35"/>
      <c r="B974" s="35"/>
      <c r="C974" s="35"/>
      <c r="D974" s="35"/>
      <c r="E974" s="35"/>
      <c r="F974" s="35"/>
      <c r="G974" s="35"/>
      <c r="H974" s="35"/>
      <c r="I974" s="35"/>
      <c r="J974" s="35"/>
      <c r="K974" s="35"/>
      <c r="L974" s="35"/>
      <c r="M974" s="35"/>
      <c r="N974" s="35"/>
      <c r="O974" s="35"/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5"/>
    </row>
    <row r="975" ht="12.75" customHeight="1">
      <c r="A975" s="35"/>
      <c r="B975" s="35"/>
      <c r="C975" s="35"/>
      <c r="D975" s="35"/>
      <c r="E975" s="35"/>
      <c r="F975" s="35"/>
      <c r="G975" s="35"/>
      <c r="H975" s="35"/>
      <c r="I975" s="35"/>
      <c r="J975" s="35"/>
      <c r="K975" s="35"/>
      <c r="L975" s="35"/>
      <c r="M975" s="35"/>
      <c r="N975" s="35"/>
      <c r="O975" s="35"/>
      <c r="P975" s="35"/>
      <c r="Q975" s="35"/>
      <c r="R975" s="35"/>
      <c r="S975" s="35"/>
      <c r="T975" s="35"/>
      <c r="U975" s="35"/>
      <c r="V975" s="35"/>
      <c r="W975" s="35"/>
      <c r="X975" s="35"/>
      <c r="Y975" s="35"/>
      <c r="Z975" s="35"/>
    </row>
    <row r="976" ht="12.75" customHeight="1">
      <c r="A976" s="35"/>
      <c r="B976" s="35"/>
      <c r="C976" s="35"/>
      <c r="D976" s="35"/>
      <c r="E976" s="35"/>
      <c r="F976" s="35"/>
      <c r="G976" s="35"/>
      <c r="H976" s="35"/>
      <c r="I976" s="35"/>
      <c r="J976" s="35"/>
      <c r="K976" s="35"/>
      <c r="L976" s="35"/>
      <c r="M976" s="35"/>
      <c r="N976" s="35"/>
      <c r="O976" s="35"/>
      <c r="P976" s="35"/>
      <c r="Q976" s="35"/>
      <c r="R976" s="35"/>
      <c r="S976" s="35"/>
      <c r="T976" s="35"/>
      <c r="U976" s="35"/>
      <c r="V976" s="35"/>
      <c r="W976" s="35"/>
      <c r="X976" s="35"/>
      <c r="Y976" s="35"/>
      <c r="Z976" s="35"/>
    </row>
    <row r="977" ht="12.75" customHeight="1">
      <c r="A977" s="35"/>
      <c r="B977" s="35"/>
      <c r="C977" s="35"/>
      <c r="D977" s="35"/>
      <c r="E977" s="35"/>
      <c r="F977" s="35"/>
      <c r="G977" s="35"/>
      <c r="H977" s="35"/>
      <c r="I977" s="35"/>
      <c r="J977" s="35"/>
      <c r="K977" s="35"/>
      <c r="L977" s="35"/>
      <c r="M977" s="35"/>
      <c r="N977" s="35"/>
      <c r="O977" s="35"/>
      <c r="P977" s="35"/>
      <c r="Q977" s="35"/>
      <c r="R977" s="35"/>
      <c r="S977" s="35"/>
      <c r="T977" s="35"/>
      <c r="U977" s="35"/>
      <c r="V977" s="35"/>
      <c r="W977" s="35"/>
      <c r="X977" s="35"/>
      <c r="Y977" s="35"/>
      <c r="Z977" s="35"/>
    </row>
    <row r="978" ht="12.75" customHeight="1">
      <c r="A978" s="35"/>
      <c r="B978" s="35"/>
      <c r="C978" s="35"/>
      <c r="D978" s="35"/>
      <c r="E978" s="35"/>
      <c r="F978" s="35"/>
      <c r="G978" s="35"/>
      <c r="H978" s="35"/>
      <c r="I978" s="35"/>
      <c r="J978" s="35"/>
      <c r="K978" s="35"/>
      <c r="L978" s="35"/>
      <c r="M978" s="35"/>
      <c r="N978" s="35"/>
      <c r="O978" s="35"/>
      <c r="P978" s="35"/>
      <c r="Q978" s="35"/>
      <c r="R978" s="35"/>
      <c r="S978" s="35"/>
      <c r="T978" s="35"/>
      <c r="U978" s="35"/>
      <c r="V978" s="35"/>
      <c r="W978" s="35"/>
      <c r="X978" s="35"/>
      <c r="Y978" s="35"/>
      <c r="Z978" s="35"/>
    </row>
    <row r="979" ht="12.75" customHeight="1">
      <c r="A979" s="35"/>
      <c r="B979" s="35"/>
      <c r="C979" s="35"/>
      <c r="D979" s="35"/>
      <c r="E979" s="35"/>
      <c r="F979" s="35"/>
      <c r="G979" s="35"/>
      <c r="H979" s="35"/>
      <c r="I979" s="35"/>
      <c r="J979" s="35"/>
      <c r="K979" s="35"/>
      <c r="L979" s="35"/>
      <c r="M979" s="35"/>
      <c r="N979" s="35"/>
      <c r="O979" s="35"/>
      <c r="P979" s="35"/>
      <c r="Q979" s="35"/>
      <c r="R979" s="35"/>
      <c r="S979" s="35"/>
      <c r="T979" s="35"/>
      <c r="U979" s="35"/>
      <c r="V979" s="35"/>
      <c r="W979" s="35"/>
      <c r="X979" s="35"/>
      <c r="Y979" s="35"/>
      <c r="Z979" s="35"/>
    </row>
    <row r="980" ht="12.75" customHeight="1">
      <c r="A980" s="35"/>
      <c r="B980" s="35"/>
      <c r="C980" s="35"/>
      <c r="D980" s="35"/>
      <c r="E980" s="35"/>
      <c r="F980" s="35"/>
      <c r="G980" s="35"/>
      <c r="H980" s="35"/>
      <c r="I980" s="35"/>
      <c r="J980" s="35"/>
      <c r="K980" s="35"/>
      <c r="L980" s="35"/>
      <c r="M980" s="35"/>
      <c r="N980" s="35"/>
      <c r="O980" s="35"/>
      <c r="P980" s="35"/>
      <c r="Q980" s="35"/>
      <c r="R980" s="35"/>
      <c r="S980" s="35"/>
      <c r="T980" s="35"/>
      <c r="U980" s="35"/>
      <c r="V980" s="35"/>
      <c r="W980" s="35"/>
      <c r="X980" s="35"/>
      <c r="Y980" s="35"/>
      <c r="Z980" s="35"/>
    </row>
    <row r="981" ht="12.75" customHeight="1">
      <c r="A981" s="35"/>
      <c r="B981" s="35"/>
      <c r="C981" s="35"/>
      <c r="D981" s="35"/>
      <c r="E981" s="35"/>
      <c r="F981" s="35"/>
      <c r="G981" s="35"/>
      <c r="H981" s="35"/>
      <c r="I981" s="35"/>
      <c r="J981" s="35"/>
      <c r="K981" s="35"/>
      <c r="L981" s="35"/>
      <c r="M981" s="35"/>
      <c r="N981" s="35"/>
      <c r="O981" s="35"/>
      <c r="P981" s="35"/>
      <c r="Q981" s="35"/>
      <c r="R981" s="35"/>
      <c r="S981" s="35"/>
      <c r="T981" s="35"/>
      <c r="U981" s="35"/>
      <c r="V981" s="35"/>
      <c r="W981" s="35"/>
      <c r="X981" s="35"/>
      <c r="Y981" s="35"/>
      <c r="Z981" s="35"/>
    </row>
    <row r="982" ht="12.75" customHeight="1">
      <c r="A982" s="35"/>
      <c r="B982" s="35"/>
      <c r="C982" s="35"/>
      <c r="D982" s="35"/>
      <c r="E982" s="35"/>
      <c r="F982" s="35"/>
      <c r="G982" s="35"/>
      <c r="H982" s="35"/>
      <c r="I982" s="35"/>
      <c r="J982" s="35"/>
      <c r="K982" s="35"/>
      <c r="L982" s="35"/>
      <c r="M982" s="35"/>
      <c r="N982" s="35"/>
      <c r="O982" s="35"/>
      <c r="P982" s="35"/>
      <c r="Q982" s="35"/>
      <c r="R982" s="35"/>
      <c r="S982" s="35"/>
      <c r="T982" s="35"/>
      <c r="U982" s="35"/>
      <c r="V982" s="35"/>
      <c r="W982" s="35"/>
      <c r="X982" s="35"/>
      <c r="Y982" s="35"/>
      <c r="Z982" s="35"/>
    </row>
    <row r="983" ht="12.75" customHeight="1">
      <c r="A983" s="35"/>
      <c r="B983" s="35"/>
      <c r="C983" s="35"/>
      <c r="D983" s="35"/>
      <c r="E983" s="35"/>
      <c r="F983" s="35"/>
      <c r="G983" s="35"/>
      <c r="H983" s="35"/>
      <c r="I983" s="35"/>
      <c r="J983" s="35"/>
      <c r="K983" s="35"/>
      <c r="L983" s="35"/>
      <c r="M983" s="35"/>
      <c r="N983" s="35"/>
      <c r="O983" s="35"/>
      <c r="P983" s="35"/>
      <c r="Q983" s="35"/>
      <c r="R983" s="35"/>
      <c r="S983" s="35"/>
      <c r="T983" s="35"/>
      <c r="U983" s="35"/>
      <c r="V983" s="35"/>
      <c r="W983" s="35"/>
      <c r="X983" s="35"/>
      <c r="Y983" s="35"/>
      <c r="Z983" s="35"/>
    </row>
    <row r="984" ht="12.75" customHeight="1">
      <c r="A984" s="35"/>
      <c r="B984" s="35"/>
      <c r="C984" s="35"/>
      <c r="D984" s="35"/>
      <c r="E984" s="35"/>
      <c r="F984" s="35"/>
      <c r="G984" s="35"/>
      <c r="H984" s="35"/>
      <c r="I984" s="35"/>
      <c r="J984" s="35"/>
      <c r="K984" s="35"/>
      <c r="L984" s="35"/>
      <c r="M984" s="35"/>
      <c r="N984" s="35"/>
      <c r="O984" s="35"/>
      <c r="P984" s="35"/>
      <c r="Q984" s="35"/>
      <c r="R984" s="35"/>
      <c r="S984" s="35"/>
      <c r="T984" s="35"/>
      <c r="U984" s="35"/>
      <c r="V984" s="35"/>
      <c r="W984" s="35"/>
      <c r="X984" s="35"/>
      <c r="Y984" s="35"/>
      <c r="Z984" s="35"/>
    </row>
    <row r="985" ht="12.75" customHeight="1">
      <c r="A985" s="35"/>
      <c r="B985" s="35"/>
      <c r="C985" s="35"/>
      <c r="D985" s="35"/>
      <c r="E985" s="35"/>
      <c r="F985" s="35"/>
      <c r="G985" s="35"/>
      <c r="H985" s="35"/>
      <c r="I985" s="35"/>
      <c r="J985" s="35"/>
      <c r="K985" s="35"/>
      <c r="L985" s="35"/>
      <c r="M985" s="35"/>
      <c r="N985" s="35"/>
      <c r="O985" s="35"/>
      <c r="P985" s="35"/>
      <c r="Q985" s="35"/>
      <c r="R985" s="35"/>
      <c r="S985" s="35"/>
      <c r="T985" s="35"/>
      <c r="U985" s="35"/>
      <c r="V985" s="35"/>
      <c r="W985" s="35"/>
      <c r="X985" s="35"/>
      <c r="Y985" s="35"/>
      <c r="Z985" s="35"/>
    </row>
    <row r="986" ht="12.75" customHeight="1">
      <c r="A986" s="35"/>
      <c r="B986" s="35"/>
      <c r="C986" s="35"/>
      <c r="D986" s="35"/>
      <c r="E986" s="35"/>
      <c r="F986" s="35"/>
      <c r="G986" s="35"/>
      <c r="H986" s="35"/>
      <c r="I986" s="35"/>
      <c r="J986" s="35"/>
      <c r="K986" s="35"/>
      <c r="L986" s="35"/>
      <c r="M986" s="35"/>
      <c r="N986" s="35"/>
      <c r="O986" s="35"/>
      <c r="P986" s="35"/>
      <c r="Q986" s="35"/>
      <c r="R986" s="35"/>
      <c r="S986" s="35"/>
      <c r="T986" s="35"/>
      <c r="U986" s="35"/>
      <c r="V986" s="35"/>
      <c r="W986" s="35"/>
      <c r="X986" s="35"/>
      <c r="Y986" s="35"/>
      <c r="Z986" s="35"/>
    </row>
    <row r="987" ht="12.75" customHeight="1">
      <c r="A987" s="35"/>
      <c r="B987" s="35"/>
      <c r="C987" s="35"/>
      <c r="D987" s="35"/>
      <c r="E987" s="35"/>
      <c r="F987" s="35"/>
      <c r="G987" s="35"/>
      <c r="H987" s="35"/>
      <c r="I987" s="35"/>
      <c r="J987" s="35"/>
      <c r="K987" s="35"/>
      <c r="L987" s="35"/>
      <c r="M987" s="35"/>
      <c r="N987" s="35"/>
      <c r="O987" s="35"/>
      <c r="P987" s="35"/>
      <c r="Q987" s="35"/>
      <c r="R987" s="35"/>
      <c r="S987" s="35"/>
      <c r="T987" s="35"/>
      <c r="U987" s="35"/>
      <c r="V987" s="35"/>
      <c r="W987" s="35"/>
      <c r="X987" s="35"/>
      <c r="Y987" s="35"/>
      <c r="Z987" s="35"/>
    </row>
    <row r="988" ht="12.75" customHeight="1">
      <c r="A988" s="35"/>
      <c r="B988" s="35"/>
      <c r="C988" s="35"/>
      <c r="D988" s="35"/>
      <c r="E988" s="35"/>
      <c r="F988" s="35"/>
      <c r="G988" s="35"/>
      <c r="H988" s="35"/>
      <c r="I988" s="35"/>
      <c r="J988" s="35"/>
      <c r="K988" s="35"/>
      <c r="L988" s="35"/>
      <c r="M988" s="35"/>
      <c r="N988" s="35"/>
      <c r="O988" s="35"/>
      <c r="P988" s="35"/>
      <c r="Q988" s="35"/>
      <c r="R988" s="35"/>
      <c r="S988" s="35"/>
      <c r="T988" s="35"/>
      <c r="U988" s="35"/>
      <c r="V988" s="35"/>
      <c r="W988" s="35"/>
      <c r="X988" s="35"/>
      <c r="Y988" s="35"/>
      <c r="Z988" s="35"/>
    </row>
    <row r="989" ht="12.75" customHeight="1">
      <c r="A989" s="35"/>
      <c r="B989" s="35"/>
      <c r="C989" s="35"/>
      <c r="D989" s="35"/>
      <c r="E989" s="35"/>
      <c r="F989" s="35"/>
      <c r="G989" s="35"/>
      <c r="H989" s="35"/>
      <c r="I989" s="35"/>
      <c r="J989" s="35"/>
      <c r="K989" s="35"/>
      <c r="L989" s="35"/>
      <c r="M989" s="35"/>
      <c r="N989" s="35"/>
      <c r="O989" s="35"/>
      <c r="P989" s="35"/>
      <c r="Q989" s="35"/>
      <c r="R989" s="35"/>
      <c r="S989" s="35"/>
      <c r="T989" s="35"/>
      <c r="U989" s="35"/>
      <c r="V989" s="35"/>
      <c r="W989" s="35"/>
      <c r="X989" s="35"/>
      <c r="Y989" s="35"/>
      <c r="Z989" s="35"/>
    </row>
    <row r="990" ht="12.75" customHeight="1">
      <c r="A990" s="35"/>
      <c r="B990" s="35"/>
      <c r="C990" s="35"/>
      <c r="D990" s="35"/>
      <c r="E990" s="35"/>
      <c r="F990" s="35"/>
      <c r="G990" s="35"/>
      <c r="H990" s="35"/>
      <c r="I990" s="35"/>
      <c r="J990" s="35"/>
      <c r="K990" s="35"/>
      <c r="L990" s="35"/>
      <c r="M990" s="35"/>
      <c r="N990" s="35"/>
      <c r="O990" s="35"/>
      <c r="P990" s="35"/>
      <c r="Q990" s="35"/>
      <c r="R990" s="35"/>
      <c r="S990" s="35"/>
      <c r="T990" s="35"/>
      <c r="U990" s="35"/>
      <c r="V990" s="35"/>
      <c r="W990" s="35"/>
      <c r="X990" s="35"/>
      <c r="Y990" s="35"/>
      <c r="Z990" s="35"/>
    </row>
    <row r="991" ht="12.75" customHeight="1">
      <c r="A991" s="35"/>
      <c r="B991" s="35"/>
      <c r="C991" s="35"/>
      <c r="D991" s="35"/>
      <c r="E991" s="35"/>
      <c r="F991" s="35"/>
      <c r="G991" s="35"/>
      <c r="H991" s="35"/>
      <c r="I991" s="35"/>
      <c r="J991" s="35"/>
      <c r="K991" s="35"/>
      <c r="L991" s="35"/>
      <c r="M991" s="35"/>
      <c r="N991" s="35"/>
      <c r="O991" s="35"/>
      <c r="P991" s="35"/>
      <c r="Q991" s="35"/>
      <c r="R991" s="35"/>
      <c r="S991" s="35"/>
      <c r="T991" s="35"/>
      <c r="U991" s="35"/>
      <c r="V991" s="35"/>
      <c r="W991" s="35"/>
      <c r="X991" s="35"/>
      <c r="Y991" s="35"/>
      <c r="Z991" s="35"/>
    </row>
    <row r="992" ht="12.75" customHeight="1">
      <c r="A992" s="35"/>
      <c r="B992" s="35"/>
      <c r="C992" s="35"/>
      <c r="D992" s="35"/>
      <c r="E992" s="35"/>
      <c r="F992" s="35"/>
      <c r="G992" s="35"/>
      <c r="H992" s="35"/>
      <c r="I992" s="35"/>
      <c r="J992" s="35"/>
      <c r="K992" s="35"/>
      <c r="L992" s="35"/>
      <c r="M992" s="35"/>
      <c r="N992" s="35"/>
      <c r="O992" s="35"/>
      <c r="P992" s="35"/>
      <c r="Q992" s="35"/>
      <c r="R992" s="35"/>
      <c r="S992" s="35"/>
      <c r="T992" s="35"/>
      <c r="U992" s="35"/>
      <c r="V992" s="35"/>
      <c r="W992" s="35"/>
      <c r="X992" s="35"/>
      <c r="Y992" s="35"/>
      <c r="Z992" s="35"/>
    </row>
    <row r="993" ht="12.75" customHeight="1">
      <c r="A993" s="35"/>
      <c r="B993" s="35"/>
      <c r="C993" s="35"/>
      <c r="D993" s="35"/>
      <c r="E993" s="35"/>
      <c r="F993" s="35"/>
      <c r="G993" s="35"/>
      <c r="H993" s="35"/>
      <c r="I993" s="35"/>
      <c r="J993" s="35"/>
      <c r="K993" s="35"/>
      <c r="L993" s="35"/>
      <c r="M993" s="35"/>
      <c r="N993" s="35"/>
      <c r="O993" s="35"/>
      <c r="P993" s="35"/>
      <c r="Q993" s="35"/>
      <c r="R993" s="35"/>
      <c r="S993" s="35"/>
      <c r="T993" s="35"/>
      <c r="U993" s="35"/>
      <c r="V993" s="35"/>
      <c r="W993" s="35"/>
      <c r="X993" s="35"/>
      <c r="Y993" s="35"/>
      <c r="Z993" s="35"/>
    </row>
    <row r="994" ht="12.75" customHeight="1">
      <c r="A994" s="35"/>
      <c r="B994" s="35"/>
      <c r="C994" s="35"/>
      <c r="D994" s="35"/>
      <c r="E994" s="35"/>
      <c r="F994" s="35"/>
      <c r="G994" s="35"/>
      <c r="H994" s="35"/>
      <c r="I994" s="35"/>
      <c r="J994" s="35"/>
      <c r="K994" s="35"/>
      <c r="L994" s="35"/>
      <c r="M994" s="35"/>
      <c r="N994" s="35"/>
      <c r="O994" s="35"/>
      <c r="P994" s="35"/>
      <c r="Q994" s="35"/>
      <c r="R994" s="35"/>
      <c r="S994" s="35"/>
      <c r="T994" s="35"/>
      <c r="U994" s="35"/>
      <c r="V994" s="35"/>
      <c r="W994" s="35"/>
      <c r="X994" s="35"/>
      <c r="Y994" s="35"/>
      <c r="Z994" s="35"/>
    </row>
    <row r="995" ht="12.75" customHeight="1">
      <c r="A995" s="35"/>
      <c r="B995" s="35"/>
      <c r="C995" s="35"/>
      <c r="D995" s="35"/>
      <c r="E995" s="35"/>
      <c r="F995" s="35"/>
      <c r="G995" s="35"/>
      <c r="H995" s="35"/>
      <c r="I995" s="35"/>
      <c r="J995" s="35"/>
      <c r="K995" s="35"/>
      <c r="L995" s="35"/>
      <c r="M995" s="35"/>
      <c r="N995" s="35"/>
      <c r="O995" s="35"/>
      <c r="P995" s="35"/>
      <c r="Q995" s="35"/>
      <c r="R995" s="35"/>
      <c r="S995" s="35"/>
      <c r="T995" s="35"/>
      <c r="U995" s="35"/>
      <c r="V995" s="35"/>
      <c r="W995" s="35"/>
      <c r="X995" s="35"/>
      <c r="Y995" s="35"/>
      <c r="Z995" s="35"/>
    </row>
    <row r="996" ht="12.75" customHeight="1">
      <c r="A996" s="35"/>
      <c r="B996" s="35"/>
      <c r="C996" s="35"/>
      <c r="D996" s="35"/>
      <c r="E996" s="35"/>
      <c r="F996" s="35"/>
      <c r="G996" s="35"/>
      <c r="H996" s="35"/>
      <c r="I996" s="35"/>
      <c r="J996" s="35"/>
      <c r="K996" s="35"/>
      <c r="L996" s="35"/>
      <c r="M996" s="35"/>
      <c r="N996" s="35"/>
      <c r="O996" s="35"/>
      <c r="P996" s="35"/>
      <c r="Q996" s="35"/>
      <c r="R996" s="35"/>
      <c r="S996" s="35"/>
      <c r="T996" s="35"/>
      <c r="U996" s="35"/>
      <c r="V996" s="35"/>
      <c r="W996" s="35"/>
      <c r="X996" s="35"/>
      <c r="Y996" s="35"/>
      <c r="Z996" s="35"/>
    </row>
    <row r="997" ht="12.75" customHeight="1">
      <c r="A997" s="35"/>
      <c r="B997" s="35"/>
      <c r="C997" s="35"/>
      <c r="D997" s="35"/>
      <c r="E997" s="35"/>
      <c r="F997" s="35"/>
      <c r="G997" s="35"/>
      <c r="H997" s="35"/>
      <c r="I997" s="35"/>
      <c r="J997" s="35"/>
      <c r="K997" s="35"/>
      <c r="L997" s="35"/>
      <c r="M997" s="35"/>
      <c r="N997" s="35"/>
      <c r="O997" s="35"/>
      <c r="P997" s="35"/>
      <c r="Q997" s="35"/>
      <c r="R997" s="35"/>
      <c r="S997" s="35"/>
      <c r="T997" s="35"/>
      <c r="U997" s="35"/>
      <c r="V997" s="35"/>
      <c r="W997" s="35"/>
      <c r="X997" s="35"/>
      <c r="Y997" s="35"/>
      <c r="Z997" s="35"/>
    </row>
    <row r="998" ht="12.75" customHeight="1">
      <c r="A998" s="35"/>
      <c r="B998" s="35"/>
      <c r="C998" s="35"/>
      <c r="D998" s="35"/>
      <c r="E998" s="35"/>
      <c r="F998" s="35"/>
      <c r="G998" s="35"/>
      <c r="H998" s="35"/>
      <c r="I998" s="35"/>
      <c r="J998" s="35"/>
      <c r="K998" s="35"/>
      <c r="L998" s="35"/>
      <c r="M998" s="35"/>
      <c r="N998" s="35"/>
      <c r="O998" s="35"/>
      <c r="P998" s="35"/>
      <c r="Q998" s="35"/>
      <c r="R998" s="35"/>
      <c r="S998" s="35"/>
      <c r="T998" s="35"/>
      <c r="U998" s="35"/>
      <c r="V998" s="35"/>
      <c r="W998" s="35"/>
      <c r="X998" s="35"/>
      <c r="Y998" s="35"/>
      <c r="Z998" s="35"/>
    </row>
    <row r="999" ht="12.75" customHeight="1">
      <c r="A999" s="35"/>
      <c r="B999" s="35"/>
      <c r="C999" s="35"/>
      <c r="D999" s="35"/>
      <c r="E999" s="35"/>
      <c r="F999" s="35"/>
      <c r="G999" s="35"/>
      <c r="H999" s="35"/>
      <c r="I999" s="35"/>
      <c r="J999" s="35"/>
      <c r="K999" s="35"/>
      <c r="L999" s="35"/>
      <c r="M999" s="35"/>
      <c r="N999" s="35"/>
      <c r="O999" s="35"/>
      <c r="P999" s="35"/>
      <c r="Q999" s="35"/>
      <c r="R999" s="35"/>
      <c r="S999" s="35"/>
      <c r="T999" s="35"/>
      <c r="U999" s="35"/>
      <c r="V999" s="35"/>
      <c r="W999" s="35"/>
      <c r="X999" s="35"/>
      <c r="Y999" s="35"/>
      <c r="Z999" s="35"/>
    </row>
    <row r="1000" ht="12.75" customHeight="1">
      <c r="A1000" s="35"/>
      <c r="B1000" s="35"/>
      <c r="C1000" s="35"/>
      <c r="D1000" s="35"/>
      <c r="E1000" s="35"/>
      <c r="F1000" s="35"/>
      <c r="G1000" s="35"/>
      <c r="H1000" s="35"/>
      <c r="I1000" s="35"/>
      <c r="J1000" s="35"/>
      <c r="K1000" s="35"/>
      <c r="L1000" s="35"/>
      <c r="M1000" s="35"/>
      <c r="N1000" s="35"/>
      <c r="O1000" s="35"/>
      <c r="P1000" s="35"/>
      <c r="Q1000" s="35"/>
      <c r="R1000" s="35"/>
      <c r="S1000" s="35"/>
      <c r="T1000" s="35"/>
      <c r="U1000" s="35"/>
      <c r="V1000" s="35"/>
      <c r="W1000" s="35"/>
      <c r="X1000" s="35"/>
      <c r="Y1000" s="35"/>
      <c r="Z1000" s="35"/>
    </row>
  </sheetData>
  <autoFilter ref="$A$16:$N$38"/>
  <mergeCells count="3">
    <mergeCell ref="A2:N2"/>
    <mergeCell ref="A3:N3"/>
    <mergeCell ref="A4:N4"/>
  </mergeCells>
  <printOptions/>
  <pageMargins bottom="0.75" footer="0.0" header="0.0" left="0.7" right="0.7" top="0.75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4.43" defaultRowHeight="15.0"/>
  <cols>
    <col customWidth="1" min="1" max="1" width="5.29"/>
    <col customWidth="1" min="2" max="2" width="39.43"/>
    <col customWidth="1" min="3" max="3" width="18.71"/>
    <col customWidth="1" min="4" max="4" width="31.71"/>
    <col customWidth="1" min="5" max="5" width="10.29"/>
    <col customWidth="1" min="6" max="6" width="18.14"/>
    <col customWidth="1" min="7" max="7" width="22.0"/>
    <col customWidth="1" min="8" max="8" width="8.71"/>
    <col customWidth="1" min="9" max="9" width="23.86"/>
    <col customWidth="1" min="10" max="10" width="22.14"/>
    <col customWidth="1" min="11" max="11" width="15.29"/>
    <col customWidth="1" min="12" max="12" width="13.0"/>
    <col customWidth="1" min="13" max="13" width="24.43"/>
    <col customWidth="1" min="14" max="27" width="8.71"/>
  </cols>
  <sheetData>
    <row r="1" ht="14.25" customHeight="1"/>
    <row r="2" ht="14.25" customHeight="1">
      <c r="A2" s="1" t="s">
        <v>0</v>
      </c>
    </row>
    <row r="3" ht="14.25" customHeight="1">
      <c r="A3" s="1" t="s">
        <v>1</v>
      </c>
    </row>
    <row r="4" ht="14.25" customHeight="1"/>
    <row r="5" ht="14.25" customHeight="1"/>
    <row r="6" ht="14.25" customHeight="1">
      <c r="A6" s="2" t="s">
        <v>2</v>
      </c>
      <c r="C6" s="2" t="s">
        <v>3</v>
      </c>
    </row>
    <row r="7" ht="14.25" customHeight="1">
      <c r="A7" s="2" t="s">
        <v>4</v>
      </c>
      <c r="C7" s="2" t="s">
        <v>5</v>
      </c>
    </row>
    <row r="8" ht="14.25" customHeight="1">
      <c r="A8" s="2" t="s">
        <v>6</v>
      </c>
      <c r="C8" s="2" t="s">
        <v>2822</v>
      </c>
    </row>
    <row r="9" ht="14.25" customHeight="1">
      <c r="A9" s="169" t="s">
        <v>8</v>
      </c>
      <c r="B9" s="170" t="s">
        <v>9</v>
      </c>
      <c r="C9" s="170" t="s">
        <v>10</v>
      </c>
      <c r="D9" s="170" t="s">
        <v>11</v>
      </c>
      <c r="E9" s="170" t="s">
        <v>12</v>
      </c>
      <c r="F9" s="170" t="s">
        <v>13</v>
      </c>
      <c r="G9" s="170" t="s">
        <v>14</v>
      </c>
      <c r="H9" s="170" t="s">
        <v>15</v>
      </c>
      <c r="I9" s="170" t="s">
        <v>16</v>
      </c>
      <c r="J9" s="170" t="s">
        <v>17</v>
      </c>
      <c r="K9" s="246" t="s">
        <v>1881</v>
      </c>
      <c r="L9" s="170" t="s">
        <v>1882</v>
      </c>
      <c r="M9" s="315" t="s">
        <v>21</v>
      </c>
      <c r="N9" s="316"/>
    </row>
    <row r="10" ht="14.25" customHeight="1">
      <c r="A10" s="317"/>
      <c r="B10" s="317" t="s">
        <v>23</v>
      </c>
      <c r="C10" s="317"/>
      <c r="D10" s="317"/>
      <c r="E10" s="317"/>
      <c r="F10" s="174">
        <v>5.83965E8</v>
      </c>
      <c r="G10" s="317"/>
      <c r="H10" s="317"/>
      <c r="I10" s="317"/>
      <c r="J10" s="317"/>
      <c r="K10" s="317"/>
      <c r="L10" s="317"/>
      <c r="M10" s="317"/>
      <c r="N10" s="318"/>
    </row>
    <row r="11" ht="14.25" customHeight="1">
      <c r="A11" s="319">
        <v>1.0</v>
      </c>
      <c r="B11" s="175" t="s">
        <v>780</v>
      </c>
      <c r="C11" s="175"/>
      <c r="D11" s="175" t="s">
        <v>2823</v>
      </c>
      <c r="E11" s="175" t="s">
        <v>70</v>
      </c>
      <c r="F11" s="177">
        <v>1.1E8</v>
      </c>
      <c r="G11" s="175" t="s">
        <v>2824</v>
      </c>
      <c r="H11" s="175" t="s">
        <v>788</v>
      </c>
      <c r="I11" s="13" t="s">
        <v>2825</v>
      </c>
      <c r="J11" s="178" t="s">
        <v>2826</v>
      </c>
      <c r="K11" s="178" t="s">
        <v>2827</v>
      </c>
      <c r="L11" s="17" t="s">
        <v>2828</v>
      </c>
      <c r="M11" s="175" t="s">
        <v>2829</v>
      </c>
      <c r="N11" s="320" t="s">
        <v>2830</v>
      </c>
    </row>
    <row r="12" ht="14.25" customHeight="1">
      <c r="A12" s="319">
        <v>2.0</v>
      </c>
      <c r="B12" s="175" t="s">
        <v>2831</v>
      </c>
      <c r="C12" s="175"/>
      <c r="D12" s="175" t="s">
        <v>2823</v>
      </c>
      <c r="E12" s="175" t="s">
        <v>70</v>
      </c>
      <c r="F12" s="177">
        <v>2.58965E8</v>
      </c>
      <c r="G12" s="175" t="s">
        <v>2832</v>
      </c>
      <c r="H12" s="175" t="s">
        <v>910</v>
      </c>
      <c r="I12" s="16" t="s">
        <v>2833</v>
      </c>
      <c r="J12" s="178" t="s">
        <v>2834</v>
      </c>
      <c r="K12" s="178" t="s">
        <v>2835</v>
      </c>
      <c r="L12" s="17" t="s">
        <v>2836</v>
      </c>
      <c r="M12" s="175" t="s">
        <v>2837</v>
      </c>
      <c r="N12" s="321"/>
    </row>
    <row r="13" ht="14.25" customHeight="1">
      <c r="A13" s="319">
        <v>3.0</v>
      </c>
      <c r="B13" s="175" t="s">
        <v>2831</v>
      </c>
      <c r="C13" s="175"/>
      <c r="D13" s="175" t="s">
        <v>2823</v>
      </c>
      <c r="E13" s="175" t="s">
        <v>70</v>
      </c>
      <c r="F13" s="177">
        <v>2.15E8</v>
      </c>
      <c r="G13" s="175" t="s">
        <v>2838</v>
      </c>
      <c r="H13" s="175" t="s">
        <v>1076</v>
      </c>
      <c r="I13" s="13" t="s">
        <v>2839</v>
      </c>
      <c r="J13" s="178" t="s">
        <v>2840</v>
      </c>
      <c r="K13" s="178" t="s">
        <v>2841</v>
      </c>
      <c r="L13" s="17" t="s">
        <v>2842</v>
      </c>
      <c r="M13" s="175" t="s">
        <v>2843</v>
      </c>
      <c r="N13" s="321"/>
    </row>
    <row r="14" ht="14.25" customHeight="1">
      <c r="A14" s="322"/>
      <c r="B14" s="317" t="s">
        <v>1933</v>
      </c>
      <c r="C14" s="317"/>
      <c r="D14" s="317"/>
      <c r="E14" s="317"/>
      <c r="F14" s="174">
        <v>3.189E8</v>
      </c>
      <c r="G14" s="317"/>
      <c r="H14" s="317"/>
      <c r="I14" s="13"/>
      <c r="J14" s="317"/>
      <c r="K14" s="317"/>
      <c r="L14" s="317"/>
      <c r="M14" s="317"/>
      <c r="N14" s="318"/>
    </row>
    <row r="15" ht="14.25" customHeight="1">
      <c r="A15" s="319">
        <v>4.0</v>
      </c>
      <c r="B15" s="175" t="s">
        <v>908</v>
      </c>
      <c r="C15" s="175"/>
      <c r="D15" s="175" t="s">
        <v>2823</v>
      </c>
      <c r="E15" s="175" t="s">
        <v>70</v>
      </c>
      <c r="F15" s="177">
        <v>3.189E8</v>
      </c>
      <c r="G15" s="175" t="s">
        <v>2844</v>
      </c>
      <c r="H15" s="175" t="s">
        <v>474</v>
      </c>
      <c r="I15" s="16" t="s">
        <v>2845</v>
      </c>
      <c r="J15" s="178" t="s">
        <v>2846</v>
      </c>
      <c r="K15" s="178" t="s">
        <v>2847</v>
      </c>
      <c r="L15" s="17" t="s">
        <v>2848</v>
      </c>
      <c r="M15" s="175" t="s">
        <v>2849</v>
      </c>
      <c r="N15" s="320" t="s">
        <v>2850</v>
      </c>
    </row>
    <row r="16" ht="14.25" customHeight="1">
      <c r="A16" s="322"/>
      <c r="B16" s="317" t="s">
        <v>99</v>
      </c>
      <c r="C16" s="317"/>
      <c r="D16" s="317"/>
      <c r="E16" s="317"/>
      <c r="F16" s="174">
        <v>1.037057E8</v>
      </c>
      <c r="G16" s="317"/>
      <c r="H16" s="317"/>
      <c r="I16" s="13"/>
      <c r="J16" s="317"/>
      <c r="K16" s="317"/>
      <c r="L16" s="317"/>
      <c r="M16" s="317"/>
      <c r="N16" s="318"/>
    </row>
    <row r="17" ht="14.25" customHeight="1">
      <c r="A17" s="319">
        <v>5.0</v>
      </c>
      <c r="B17" s="175" t="s">
        <v>100</v>
      </c>
      <c r="C17" s="175"/>
      <c r="D17" s="175" t="s">
        <v>2823</v>
      </c>
      <c r="E17" s="175" t="s">
        <v>70</v>
      </c>
      <c r="F17" s="177">
        <v>5500000.0</v>
      </c>
      <c r="G17" s="175" t="s">
        <v>144</v>
      </c>
      <c r="H17" s="175" t="s">
        <v>924</v>
      </c>
      <c r="I17" s="13" t="s">
        <v>2851</v>
      </c>
      <c r="J17" s="175" t="s">
        <v>2852</v>
      </c>
      <c r="K17" s="175"/>
      <c r="L17" s="175" t="s">
        <v>2853</v>
      </c>
      <c r="M17" s="175" t="s">
        <v>2854</v>
      </c>
      <c r="N17" s="321"/>
    </row>
    <row r="18" ht="14.25" customHeight="1">
      <c r="A18" s="319">
        <v>6.0</v>
      </c>
      <c r="B18" s="175" t="s">
        <v>100</v>
      </c>
      <c r="C18" s="175"/>
      <c r="D18" s="175" t="s">
        <v>2823</v>
      </c>
      <c r="E18" s="175" t="s">
        <v>27</v>
      </c>
      <c r="F18" s="177">
        <v>1.05E7</v>
      </c>
      <c r="G18" s="175" t="s">
        <v>1355</v>
      </c>
      <c r="H18" s="175" t="s">
        <v>948</v>
      </c>
      <c r="I18" s="13" t="s">
        <v>2855</v>
      </c>
      <c r="J18" s="178" t="s">
        <v>2856</v>
      </c>
      <c r="K18" s="178" t="s">
        <v>2857</v>
      </c>
      <c r="L18" s="17" t="s">
        <v>2858</v>
      </c>
      <c r="M18" s="175" t="s">
        <v>2859</v>
      </c>
      <c r="N18" s="321"/>
    </row>
    <row r="19" ht="14.25" customHeight="1">
      <c r="A19" s="319">
        <v>7.0</v>
      </c>
      <c r="B19" s="175" t="s">
        <v>100</v>
      </c>
      <c r="C19" s="175"/>
      <c r="D19" s="175" t="s">
        <v>2823</v>
      </c>
      <c r="E19" s="175" t="s">
        <v>70</v>
      </c>
      <c r="F19" s="177">
        <v>1.05E7</v>
      </c>
      <c r="G19" s="175" t="s">
        <v>1355</v>
      </c>
      <c r="H19" s="175" t="s">
        <v>948</v>
      </c>
      <c r="I19" s="16" t="s">
        <v>2860</v>
      </c>
      <c r="J19" s="178" t="s">
        <v>2861</v>
      </c>
      <c r="K19" s="178" t="s">
        <v>2862</v>
      </c>
      <c r="L19" s="17" t="s">
        <v>2863</v>
      </c>
      <c r="M19" s="175" t="s">
        <v>2864</v>
      </c>
      <c r="N19" s="321"/>
    </row>
    <row r="20" ht="14.25" customHeight="1">
      <c r="A20" s="319">
        <v>8.0</v>
      </c>
      <c r="B20" s="175" t="s">
        <v>100</v>
      </c>
      <c r="C20" s="175"/>
      <c r="D20" s="175" t="s">
        <v>2823</v>
      </c>
      <c r="E20" s="175" t="s">
        <v>70</v>
      </c>
      <c r="F20" s="177">
        <v>1.05E7</v>
      </c>
      <c r="G20" s="175" t="s">
        <v>1355</v>
      </c>
      <c r="H20" s="175" t="s">
        <v>948</v>
      </c>
      <c r="I20" s="16" t="s">
        <v>2865</v>
      </c>
      <c r="J20" s="178" t="s">
        <v>2866</v>
      </c>
      <c r="K20" s="178" t="s">
        <v>2867</v>
      </c>
      <c r="L20" s="17" t="s">
        <v>2868</v>
      </c>
      <c r="M20" s="175" t="s">
        <v>2869</v>
      </c>
      <c r="N20" s="321"/>
    </row>
    <row r="21" ht="14.25" customHeight="1">
      <c r="A21" s="319">
        <v>9.0</v>
      </c>
      <c r="B21" s="175" t="s">
        <v>100</v>
      </c>
      <c r="C21" s="175"/>
      <c r="D21" s="175" t="s">
        <v>2823</v>
      </c>
      <c r="E21" s="175" t="s">
        <v>70</v>
      </c>
      <c r="F21" s="177">
        <v>1.05E7</v>
      </c>
      <c r="G21" s="175" t="s">
        <v>1355</v>
      </c>
      <c r="H21" s="175" t="s">
        <v>948</v>
      </c>
      <c r="I21" s="16" t="s">
        <v>2870</v>
      </c>
      <c r="J21" s="178" t="s">
        <v>2871</v>
      </c>
      <c r="K21" s="178" t="s">
        <v>2872</v>
      </c>
      <c r="L21" s="17" t="s">
        <v>2873</v>
      </c>
      <c r="M21" s="175" t="s">
        <v>2874</v>
      </c>
      <c r="N21" s="321"/>
    </row>
    <row r="22" ht="14.25" customHeight="1">
      <c r="A22" s="319">
        <v>10.0</v>
      </c>
      <c r="B22" s="175" t="s">
        <v>100</v>
      </c>
      <c r="C22" s="175"/>
      <c r="D22" s="175" t="s">
        <v>2823</v>
      </c>
      <c r="E22" s="175" t="s">
        <v>70</v>
      </c>
      <c r="F22" s="177">
        <v>1.05E7</v>
      </c>
      <c r="G22" s="175" t="s">
        <v>1355</v>
      </c>
      <c r="H22" s="175" t="s">
        <v>948</v>
      </c>
      <c r="I22" s="16" t="s">
        <v>2875</v>
      </c>
      <c r="J22" s="178" t="s">
        <v>2876</v>
      </c>
      <c r="K22" s="178" t="s">
        <v>2877</v>
      </c>
      <c r="L22" s="17" t="s">
        <v>2878</v>
      </c>
      <c r="M22" s="175" t="s">
        <v>2879</v>
      </c>
      <c r="N22" s="321"/>
    </row>
    <row r="23" ht="14.25" customHeight="1">
      <c r="A23" s="319">
        <v>11.0</v>
      </c>
      <c r="B23" s="175" t="s">
        <v>100</v>
      </c>
      <c r="C23" s="175"/>
      <c r="D23" s="175" t="s">
        <v>2823</v>
      </c>
      <c r="E23" s="175" t="s">
        <v>70</v>
      </c>
      <c r="F23" s="177">
        <v>1.6905E7</v>
      </c>
      <c r="G23" s="175" t="s">
        <v>2880</v>
      </c>
      <c r="H23" s="175" t="s">
        <v>84</v>
      </c>
      <c r="I23" s="16" t="s">
        <v>2881</v>
      </c>
      <c r="J23" s="178" t="s">
        <v>2882</v>
      </c>
      <c r="K23" s="178" t="s">
        <v>2883</v>
      </c>
      <c r="L23" s="17" t="s">
        <v>2884</v>
      </c>
      <c r="M23" s="175" t="s">
        <v>2885</v>
      </c>
      <c r="N23" s="321"/>
    </row>
    <row r="24" ht="14.25" customHeight="1">
      <c r="A24" s="319">
        <v>12.0</v>
      </c>
      <c r="B24" s="175" t="s">
        <v>100</v>
      </c>
      <c r="C24" s="175"/>
      <c r="D24" s="175" t="s">
        <v>2823</v>
      </c>
      <c r="E24" s="175" t="s">
        <v>70</v>
      </c>
      <c r="F24" s="177">
        <v>1.45E7</v>
      </c>
      <c r="G24" s="175" t="s">
        <v>2886</v>
      </c>
      <c r="H24" s="175" t="s">
        <v>979</v>
      </c>
      <c r="I24" s="16" t="s">
        <v>2887</v>
      </c>
      <c r="J24" s="178" t="s">
        <v>2888</v>
      </c>
      <c r="K24" s="178" t="s">
        <v>2889</v>
      </c>
      <c r="L24" s="17" t="s">
        <v>2890</v>
      </c>
      <c r="M24" s="175" t="s">
        <v>2891</v>
      </c>
      <c r="N24" s="321"/>
    </row>
    <row r="25" ht="14.25" customHeight="1">
      <c r="A25" s="319">
        <v>13.0</v>
      </c>
      <c r="B25" s="175" t="s">
        <v>100</v>
      </c>
      <c r="C25" s="175"/>
      <c r="D25" s="175" t="s">
        <v>2823</v>
      </c>
      <c r="E25" s="175" t="s">
        <v>70</v>
      </c>
      <c r="F25" s="177">
        <v>1.43007E7</v>
      </c>
      <c r="G25" s="175" t="s">
        <v>2886</v>
      </c>
      <c r="H25" s="175" t="s">
        <v>44</v>
      </c>
      <c r="I25" s="16" t="s">
        <v>2892</v>
      </c>
      <c r="J25" s="178" t="s">
        <v>2893</v>
      </c>
      <c r="K25" s="178" t="s">
        <v>2894</v>
      </c>
      <c r="L25" s="17" t="s">
        <v>2895</v>
      </c>
      <c r="M25" s="175" t="s">
        <v>2896</v>
      </c>
      <c r="N25" s="321"/>
    </row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2:M2"/>
    <mergeCell ref="A3:M3"/>
  </mergeCells>
  <printOptions/>
  <pageMargins bottom="0.7480314960629921" footer="0.0" header="0.0" left="0.7086614173228347" right="0.7086614173228347" top="0.7480314960629921"/>
  <pageSetup paperSize="5" scale="70" orientation="landscape"/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4.43" defaultRowHeight="15.0"/>
  <cols>
    <col customWidth="1" min="1" max="1" width="5.29"/>
    <col customWidth="1" min="2" max="2" width="41.86"/>
    <col customWidth="1" min="3" max="3" width="20.43"/>
    <col customWidth="1" min="4" max="4" width="24.43"/>
    <col customWidth="1" min="5" max="5" width="9.14"/>
    <col customWidth="1" min="6" max="6" width="17.29"/>
    <col customWidth="1" min="7" max="7" width="20.43"/>
    <col customWidth="1" min="8" max="8" width="8.14"/>
    <col customWidth="1" min="9" max="9" width="23.86"/>
    <col customWidth="1" min="10" max="10" width="21.0"/>
    <col customWidth="1" min="11" max="11" width="15.0"/>
    <col customWidth="1" min="12" max="12" width="11.29"/>
    <col customWidth="1" min="13" max="13" width="15.29"/>
    <col customWidth="1" min="14" max="14" width="42.14"/>
    <col customWidth="1" min="15" max="15" width="12.57"/>
    <col customWidth="1" min="16" max="26" width="8.71"/>
  </cols>
  <sheetData>
    <row r="1" ht="14.25" customHeight="1"/>
    <row r="2" ht="14.25" customHeight="1">
      <c r="A2" s="1" t="s">
        <v>0</v>
      </c>
    </row>
    <row r="3" ht="14.25" customHeight="1">
      <c r="A3" s="1" t="s">
        <v>1</v>
      </c>
    </row>
    <row r="4" ht="14.25" customHeight="1"/>
    <row r="5" ht="14.25" customHeight="1"/>
    <row r="6" ht="14.25" customHeight="1">
      <c r="A6" s="2" t="s">
        <v>2</v>
      </c>
      <c r="C6" s="2" t="s">
        <v>3</v>
      </c>
    </row>
    <row r="7" ht="14.25" customHeight="1">
      <c r="A7" s="2" t="s">
        <v>4</v>
      </c>
      <c r="C7" s="2" t="s">
        <v>5</v>
      </c>
    </row>
    <row r="8" ht="14.25" customHeight="1">
      <c r="A8" s="2" t="s">
        <v>6</v>
      </c>
      <c r="C8" s="2" t="s">
        <v>2897</v>
      </c>
    </row>
    <row r="9" ht="14.25" customHeight="1">
      <c r="A9" s="323" t="s">
        <v>8</v>
      </c>
      <c r="B9" s="324" t="s">
        <v>9</v>
      </c>
      <c r="C9" s="324" t="s">
        <v>10</v>
      </c>
      <c r="D9" s="324" t="s">
        <v>11</v>
      </c>
      <c r="E9" s="324" t="s">
        <v>12</v>
      </c>
      <c r="F9" s="324" t="s">
        <v>13</v>
      </c>
      <c r="G9" s="324" t="s">
        <v>14</v>
      </c>
      <c r="H9" s="324" t="s">
        <v>15</v>
      </c>
      <c r="I9" s="324" t="s">
        <v>16</v>
      </c>
      <c r="J9" s="324" t="s">
        <v>17</v>
      </c>
      <c r="K9" s="324" t="s">
        <v>1881</v>
      </c>
      <c r="L9" s="324" t="s">
        <v>1882</v>
      </c>
      <c r="M9" s="324" t="s">
        <v>2898</v>
      </c>
      <c r="N9" s="324" t="s">
        <v>2899</v>
      </c>
      <c r="O9" s="324" t="s">
        <v>20</v>
      </c>
      <c r="P9" s="187"/>
      <c r="Q9" s="187"/>
      <c r="R9" s="187"/>
      <c r="S9" s="187"/>
      <c r="T9" s="187"/>
      <c r="U9" s="187"/>
      <c r="V9" s="187"/>
      <c r="W9" s="187"/>
      <c r="X9" s="187"/>
      <c r="Y9" s="187"/>
      <c r="Z9" s="187"/>
    </row>
    <row r="10" ht="14.25" customHeight="1">
      <c r="A10" s="325"/>
      <c r="B10" s="127" t="s">
        <v>1884</v>
      </c>
      <c r="C10" s="128"/>
      <c r="D10" s="128"/>
      <c r="E10" s="128"/>
      <c r="F10" s="129">
        <v>3.59992825E8</v>
      </c>
      <c r="G10" s="326"/>
      <c r="H10" s="326"/>
      <c r="I10" s="326"/>
      <c r="J10" s="326"/>
      <c r="K10" s="326"/>
      <c r="L10" s="326"/>
      <c r="M10" s="326"/>
      <c r="N10" s="326"/>
      <c r="O10" s="326"/>
      <c r="P10" s="187"/>
      <c r="Q10" s="187"/>
      <c r="R10" s="187"/>
      <c r="S10" s="187"/>
      <c r="T10" s="187"/>
      <c r="U10" s="187"/>
      <c r="V10" s="187"/>
      <c r="W10" s="187"/>
      <c r="X10" s="187"/>
      <c r="Y10" s="187"/>
      <c r="Z10" s="187"/>
    </row>
    <row r="11" ht="14.25" customHeight="1">
      <c r="A11" s="327">
        <v>1.0</v>
      </c>
      <c r="B11" s="159" t="s">
        <v>2900</v>
      </c>
      <c r="C11" s="328" t="s">
        <v>2901</v>
      </c>
      <c r="D11" s="159" t="s">
        <v>2902</v>
      </c>
      <c r="E11" s="159" t="s">
        <v>70</v>
      </c>
      <c r="F11" s="160">
        <v>3.59992825E8</v>
      </c>
      <c r="G11" s="159" t="s">
        <v>2903</v>
      </c>
      <c r="H11" s="159">
        <v>2012.0</v>
      </c>
      <c r="I11" s="159" t="s">
        <v>2904</v>
      </c>
      <c r="J11" s="159" t="s">
        <v>2905</v>
      </c>
      <c r="K11" s="159" t="s">
        <v>2906</v>
      </c>
      <c r="L11" s="329" t="s">
        <v>2907</v>
      </c>
      <c r="M11" s="159" t="s">
        <v>2908</v>
      </c>
      <c r="N11" s="328" t="s">
        <v>80</v>
      </c>
      <c r="O11" s="330"/>
      <c r="P11" s="331"/>
      <c r="Q11" s="331"/>
      <c r="R11" s="331"/>
      <c r="S11" s="331"/>
      <c r="T11" s="331"/>
      <c r="U11" s="331"/>
      <c r="V11" s="331"/>
      <c r="W11" s="331"/>
      <c r="X11" s="331"/>
      <c r="Y11" s="331"/>
      <c r="Z11" s="331"/>
    </row>
    <row r="12" ht="14.25" customHeight="1">
      <c r="A12" s="325"/>
      <c r="B12" s="127" t="s">
        <v>23</v>
      </c>
      <c r="C12" s="128"/>
      <c r="D12" s="128"/>
      <c r="E12" s="128"/>
      <c r="F12" s="129">
        <v>2.7985E8</v>
      </c>
      <c r="G12" s="326"/>
      <c r="H12" s="326"/>
      <c r="I12" s="326"/>
      <c r="J12" s="326"/>
      <c r="K12" s="128"/>
      <c r="L12" s="326"/>
      <c r="M12" s="326"/>
      <c r="N12" s="326"/>
      <c r="O12" s="326"/>
      <c r="P12" s="332"/>
      <c r="Q12" s="332"/>
      <c r="R12" s="332"/>
      <c r="S12" s="332"/>
      <c r="T12" s="332"/>
      <c r="U12" s="332"/>
      <c r="V12" s="332"/>
      <c r="W12" s="332"/>
      <c r="X12" s="332"/>
      <c r="Y12" s="332"/>
      <c r="Z12" s="332"/>
    </row>
    <row r="13" ht="14.25" customHeight="1">
      <c r="A13" s="327">
        <v>2.0</v>
      </c>
      <c r="B13" s="159" t="s">
        <v>779</v>
      </c>
      <c r="C13" s="159" t="s">
        <v>2909</v>
      </c>
      <c r="D13" s="159" t="s">
        <v>2902</v>
      </c>
      <c r="E13" s="159" t="s">
        <v>70</v>
      </c>
      <c r="F13" s="160">
        <v>1.7985E8</v>
      </c>
      <c r="G13" s="159" t="s">
        <v>2910</v>
      </c>
      <c r="H13" s="159">
        <v>2009.0</v>
      </c>
      <c r="I13" s="162" t="s">
        <v>2911</v>
      </c>
      <c r="J13" s="159" t="s">
        <v>2912</v>
      </c>
      <c r="K13" s="159" t="s">
        <v>2909</v>
      </c>
      <c r="L13" s="329" t="s">
        <v>2913</v>
      </c>
      <c r="M13" s="159" t="s">
        <v>2914</v>
      </c>
      <c r="N13" s="328" t="s">
        <v>2915</v>
      </c>
      <c r="O13" s="330"/>
      <c r="P13" s="331"/>
      <c r="Q13" s="331"/>
      <c r="R13" s="331"/>
      <c r="S13" s="331"/>
      <c r="T13" s="331"/>
      <c r="U13" s="331"/>
      <c r="V13" s="331"/>
      <c r="W13" s="331"/>
      <c r="X13" s="331"/>
      <c r="Y13" s="331"/>
      <c r="Z13" s="331"/>
    </row>
    <row r="14" ht="14.25" customHeight="1">
      <c r="A14" s="333">
        <v>3.0</v>
      </c>
      <c r="B14" s="334" t="s">
        <v>779</v>
      </c>
      <c r="C14" s="334" t="s">
        <v>2916</v>
      </c>
      <c r="D14" s="334" t="s">
        <v>2902</v>
      </c>
      <c r="E14" s="334" t="s">
        <v>70</v>
      </c>
      <c r="F14" s="335">
        <v>1.0E8</v>
      </c>
      <c r="G14" s="334" t="s">
        <v>2917</v>
      </c>
      <c r="H14" s="334">
        <v>2009.0</v>
      </c>
      <c r="I14" s="334" t="s">
        <v>2918</v>
      </c>
      <c r="J14" s="334" t="s">
        <v>2919</v>
      </c>
      <c r="K14" s="334" t="s">
        <v>2916</v>
      </c>
      <c r="L14" s="329" t="s">
        <v>2920</v>
      </c>
      <c r="M14" s="334" t="s">
        <v>2921</v>
      </c>
      <c r="N14" s="328" t="s">
        <v>2922</v>
      </c>
      <c r="O14" s="336"/>
      <c r="P14" s="331"/>
      <c r="Q14" s="331"/>
      <c r="R14" s="331"/>
      <c r="S14" s="331"/>
      <c r="T14" s="331"/>
      <c r="U14" s="331"/>
      <c r="V14" s="331"/>
      <c r="W14" s="331"/>
      <c r="X14" s="331"/>
      <c r="Y14" s="331"/>
      <c r="Z14" s="331"/>
    </row>
    <row r="15" ht="14.25" customHeight="1">
      <c r="A15" s="325"/>
      <c r="B15" s="127" t="s">
        <v>99</v>
      </c>
      <c r="C15" s="128"/>
      <c r="D15" s="128"/>
      <c r="E15" s="128"/>
      <c r="F15" s="129">
        <v>1.498543E8</v>
      </c>
      <c r="G15" s="326"/>
      <c r="H15" s="326"/>
      <c r="I15" s="326"/>
      <c r="J15" s="326"/>
      <c r="K15" s="128"/>
      <c r="L15" s="326"/>
      <c r="M15" s="326"/>
      <c r="N15" s="326"/>
      <c r="O15" s="326"/>
      <c r="P15" s="332"/>
      <c r="Q15" s="332"/>
      <c r="R15" s="332"/>
      <c r="S15" s="332"/>
      <c r="T15" s="332"/>
      <c r="U15" s="332"/>
      <c r="V15" s="332"/>
      <c r="W15" s="332"/>
      <c r="X15" s="332"/>
      <c r="Y15" s="332"/>
      <c r="Z15" s="332"/>
    </row>
    <row r="16" ht="14.25" customHeight="1">
      <c r="A16" s="337">
        <v>1.0</v>
      </c>
      <c r="B16" s="212" t="s">
        <v>100</v>
      </c>
      <c r="C16" s="212" t="s">
        <v>2923</v>
      </c>
      <c r="D16" s="212" t="s">
        <v>2902</v>
      </c>
      <c r="E16" s="212" t="s">
        <v>27</v>
      </c>
      <c r="F16" s="214">
        <v>4000000.0</v>
      </c>
      <c r="G16" s="212" t="s">
        <v>2924</v>
      </c>
      <c r="H16" s="212">
        <v>1996.0</v>
      </c>
      <c r="I16" s="212" t="s">
        <v>2925</v>
      </c>
      <c r="J16" s="213"/>
      <c r="K16" s="212" t="s">
        <v>2923</v>
      </c>
      <c r="L16" s="213"/>
      <c r="M16" s="213"/>
      <c r="N16" s="338"/>
      <c r="O16" s="147"/>
      <c r="P16" s="332"/>
      <c r="Q16" s="332"/>
      <c r="R16" s="332"/>
      <c r="S16" s="332"/>
      <c r="T16" s="332"/>
      <c r="U16" s="332"/>
      <c r="V16" s="332"/>
      <c r="W16" s="332"/>
      <c r="X16" s="332"/>
      <c r="Y16" s="332"/>
      <c r="Z16" s="332"/>
    </row>
    <row r="17" ht="14.25" customHeight="1">
      <c r="A17" s="339">
        <v>2.0</v>
      </c>
      <c r="B17" s="192" t="s">
        <v>100</v>
      </c>
      <c r="C17" s="192" t="s">
        <v>2926</v>
      </c>
      <c r="D17" s="192" t="s">
        <v>2902</v>
      </c>
      <c r="E17" s="192" t="s">
        <v>27</v>
      </c>
      <c r="F17" s="194">
        <v>4000000.0</v>
      </c>
      <c r="G17" s="192" t="s">
        <v>144</v>
      </c>
      <c r="H17" s="192">
        <v>1999.0</v>
      </c>
      <c r="I17" s="192" t="s">
        <v>2927</v>
      </c>
      <c r="J17" s="192" t="s">
        <v>2928</v>
      </c>
      <c r="K17" s="192" t="s">
        <v>2926</v>
      </c>
      <c r="L17" s="267" t="s">
        <v>2929</v>
      </c>
      <c r="M17" s="193"/>
      <c r="N17" s="193"/>
      <c r="O17" s="145"/>
      <c r="P17" s="332"/>
      <c r="Q17" s="332"/>
      <c r="R17" s="332"/>
      <c r="S17" s="332"/>
      <c r="T17" s="332"/>
      <c r="U17" s="332"/>
      <c r="V17" s="332"/>
      <c r="W17" s="332"/>
      <c r="X17" s="332"/>
      <c r="Y17" s="332"/>
      <c r="Z17" s="332"/>
    </row>
    <row r="18" ht="14.25" customHeight="1">
      <c r="A18" s="337">
        <v>3.0</v>
      </c>
      <c r="B18" s="212" t="s">
        <v>100</v>
      </c>
      <c r="C18" s="212" t="s">
        <v>2923</v>
      </c>
      <c r="D18" s="212" t="s">
        <v>2902</v>
      </c>
      <c r="E18" s="212" t="s">
        <v>27</v>
      </c>
      <c r="F18" s="214">
        <v>3000000.0</v>
      </c>
      <c r="G18" s="212" t="s">
        <v>2924</v>
      </c>
      <c r="H18" s="212">
        <v>1999.0</v>
      </c>
      <c r="I18" s="212" t="s">
        <v>2930</v>
      </c>
      <c r="J18" s="213"/>
      <c r="K18" s="212" t="s">
        <v>2923</v>
      </c>
      <c r="L18" s="213"/>
      <c r="M18" s="213"/>
      <c r="N18" s="213"/>
      <c r="O18" s="147"/>
      <c r="P18" s="332"/>
      <c r="Q18" s="332"/>
      <c r="R18" s="332"/>
      <c r="S18" s="332"/>
      <c r="T18" s="332"/>
      <c r="U18" s="332"/>
      <c r="V18" s="332"/>
      <c r="W18" s="332"/>
      <c r="X18" s="332"/>
      <c r="Y18" s="332"/>
      <c r="Z18" s="332"/>
    </row>
    <row r="19" ht="14.25" customHeight="1">
      <c r="A19" s="339">
        <v>4.0</v>
      </c>
      <c r="B19" s="192" t="s">
        <v>100</v>
      </c>
      <c r="C19" s="192" t="s">
        <v>2931</v>
      </c>
      <c r="D19" s="192" t="s">
        <v>2902</v>
      </c>
      <c r="E19" s="192" t="s">
        <v>27</v>
      </c>
      <c r="F19" s="194">
        <v>1.02E7</v>
      </c>
      <c r="G19" s="192" t="s">
        <v>144</v>
      </c>
      <c r="H19" s="192">
        <v>2001.0</v>
      </c>
      <c r="I19" s="192" t="s">
        <v>2932</v>
      </c>
      <c r="J19" s="192" t="s">
        <v>2933</v>
      </c>
      <c r="K19" s="192" t="s">
        <v>2931</v>
      </c>
      <c r="L19" s="193"/>
      <c r="M19" s="193"/>
      <c r="N19" s="193"/>
      <c r="O19" s="145"/>
      <c r="P19" s="332"/>
      <c r="Q19" s="332"/>
      <c r="R19" s="332"/>
      <c r="S19" s="332"/>
      <c r="T19" s="332"/>
      <c r="U19" s="332"/>
      <c r="V19" s="332"/>
      <c r="W19" s="332"/>
      <c r="X19" s="332"/>
      <c r="Y19" s="332"/>
      <c r="Z19" s="332"/>
    </row>
    <row r="20" ht="14.25" customHeight="1">
      <c r="A20" s="340">
        <v>5.0</v>
      </c>
      <c r="B20" s="137" t="s">
        <v>100</v>
      </c>
      <c r="C20" s="137" t="s">
        <v>2934</v>
      </c>
      <c r="D20" s="137" t="s">
        <v>2902</v>
      </c>
      <c r="E20" s="137" t="s">
        <v>70</v>
      </c>
      <c r="F20" s="138">
        <v>2.15465E7</v>
      </c>
      <c r="G20" s="137" t="s">
        <v>2935</v>
      </c>
      <c r="H20" s="137">
        <v>2013.0</v>
      </c>
      <c r="I20" s="137" t="s">
        <v>2936</v>
      </c>
      <c r="J20" s="137" t="s">
        <v>2937</v>
      </c>
      <c r="K20" s="137" t="s">
        <v>2938</v>
      </c>
      <c r="L20" s="140" t="s">
        <v>2939</v>
      </c>
      <c r="M20" s="137" t="s">
        <v>2940</v>
      </c>
      <c r="N20" s="202" t="s">
        <v>2941</v>
      </c>
      <c r="O20" s="341"/>
      <c r="P20" s="332"/>
      <c r="Q20" s="342"/>
      <c r="R20" s="342"/>
      <c r="S20" s="342"/>
      <c r="T20" s="342"/>
      <c r="U20" s="342"/>
      <c r="V20" s="342"/>
      <c r="W20" s="342"/>
      <c r="X20" s="342"/>
      <c r="Y20" s="342"/>
      <c r="Z20" s="342"/>
    </row>
    <row r="21" ht="14.25" customHeight="1">
      <c r="A21" s="343">
        <v>6.0</v>
      </c>
      <c r="B21" s="143" t="s">
        <v>100</v>
      </c>
      <c r="C21" s="143" t="s">
        <v>2942</v>
      </c>
      <c r="D21" s="143" t="s">
        <v>2902</v>
      </c>
      <c r="E21" s="143" t="s">
        <v>70</v>
      </c>
      <c r="F21" s="144">
        <v>2.15465E7</v>
      </c>
      <c r="G21" s="143" t="s">
        <v>2667</v>
      </c>
      <c r="H21" s="143">
        <v>2013.0</v>
      </c>
      <c r="I21" s="143" t="s">
        <v>2943</v>
      </c>
      <c r="J21" s="143" t="s">
        <v>2944</v>
      </c>
      <c r="K21" s="143" t="s">
        <v>2942</v>
      </c>
      <c r="L21" s="140" t="s">
        <v>2945</v>
      </c>
      <c r="M21" s="143" t="s">
        <v>2946</v>
      </c>
      <c r="N21" s="202" t="s">
        <v>2947</v>
      </c>
      <c r="O21" s="344"/>
      <c r="P21" s="332"/>
      <c r="Q21" s="342"/>
      <c r="R21" s="342"/>
      <c r="S21" s="342"/>
      <c r="T21" s="342"/>
      <c r="U21" s="342"/>
      <c r="V21" s="342"/>
      <c r="W21" s="342"/>
      <c r="X21" s="342"/>
      <c r="Y21" s="342"/>
      <c r="Z21" s="342"/>
    </row>
    <row r="22" ht="14.25" customHeight="1">
      <c r="A22" s="340">
        <v>7.0</v>
      </c>
      <c r="B22" s="137" t="s">
        <v>100</v>
      </c>
      <c r="C22" s="137" t="s">
        <v>2948</v>
      </c>
      <c r="D22" s="137" t="s">
        <v>2902</v>
      </c>
      <c r="E22" s="137" t="s">
        <v>70</v>
      </c>
      <c r="F22" s="138">
        <v>2.15465E7</v>
      </c>
      <c r="G22" s="137" t="s">
        <v>2667</v>
      </c>
      <c r="H22" s="137">
        <v>2013.0</v>
      </c>
      <c r="I22" s="137" t="s">
        <v>2949</v>
      </c>
      <c r="J22" s="137" t="s">
        <v>2950</v>
      </c>
      <c r="K22" s="137" t="s">
        <v>2951</v>
      </c>
      <c r="L22" s="137" t="s">
        <v>2952</v>
      </c>
      <c r="M22" s="137" t="s">
        <v>2953</v>
      </c>
      <c r="N22" s="202" t="s">
        <v>2954</v>
      </c>
      <c r="O22" s="341"/>
      <c r="P22" s="332"/>
      <c r="Q22" s="342"/>
      <c r="R22" s="342"/>
      <c r="S22" s="342"/>
      <c r="T22" s="342"/>
      <c r="U22" s="342"/>
      <c r="V22" s="342"/>
      <c r="W22" s="342"/>
      <c r="X22" s="342"/>
      <c r="Y22" s="342"/>
      <c r="Z22" s="342"/>
    </row>
    <row r="23" ht="14.25" customHeight="1">
      <c r="A23" s="343">
        <v>8.0</v>
      </c>
      <c r="B23" s="143" t="s">
        <v>100</v>
      </c>
      <c r="C23" s="143" t="s">
        <v>2955</v>
      </c>
      <c r="D23" s="143" t="s">
        <v>2902</v>
      </c>
      <c r="E23" s="143" t="s">
        <v>70</v>
      </c>
      <c r="F23" s="144">
        <v>1.44074E7</v>
      </c>
      <c r="G23" s="143" t="s">
        <v>2956</v>
      </c>
      <c r="H23" s="143">
        <v>2013.0</v>
      </c>
      <c r="I23" s="143" t="s">
        <v>2957</v>
      </c>
      <c r="J23" s="143" t="s">
        <v>2958</v>
      </c>
      <c r="K23" s="143" t="s">
        <v>2955</v>
      </c>
      <c r="L23" s="140" t="s">
        <v>2959</v>
      </c>
      <c r="M23" s="143" t="s">
        <v>2960</v>
      </c>
      <c r="N23" s="202" t="s">
        <v>2954</v>
      </c>
      <c r="O23" s="344"/>
      <c r="P23" s="332"/>
      <c r="Q23" s="342"/>
      <c r="R23" s="342"/>
      <c r="S23" s="342"/>
      <c r="T23" s="342"/>
      <c r="U23" s="342"/>
      <c r="V23" s="342"/>
      <c r="W23" s="342"/>
      <c r="X23" s="342"/>
      <c r="Y23" s="342"/>
      <c r="Z23" s="342"/>
    </row>
    <row r="24" ht="14.25" customHeight="1">
      <c r="A24" s="340">
        <v>9.0</v>
      </c>
      <c r="B24" s="137" t="s">
        <v>100</v>
      </c>
      <c r="C24" s="137" t="s">
        <v>2961</v>
      </c>
      <c r="D24" s="137" t="s">
        <v>2902</v>
      </c>
      <c r="E24" s="137" t="s">
        <v>70</v>
      </c>
      <c r="F24" s="138">
        <v>1.44074E7</v>
      </c>
      <c r="G24" s="137" t="s">
        <v>2956</v>
      </c>
      <c r="H24" s="137">
        <v>2013.0</v>
      </c>
      <c r="I24" s="137" t="s">
        <v>2962</v>
      </c>
      <c r="J24" s="137" t="s">
        <v>2963</v>
      </c>
      <c r="K24" s="137" t="s">
        <v>2961</v>
      </c>
      <c r="L24" s="140" t="s">
        <v>2964</v>
      </c>
      <c r="M24" s="137" t="s">
        <v>2965</v>
      </c>
      <c r="N24" s="202" t="s">
        <v>2966</v>
      </c>
      <c r="O24" s="341"/>
      <c r="P24" s="332"/>
      <c r="Q24" s="342"/>
      <c r="R24" s="342"/>
      <c r="S24" s="342"/>
      <c r="T24" s="342"/>
      <c r="U24" s="342"/>
      <c r="V24" s="342"/>
      <c r="W24" s="342"/>
      <c r="X24" s="342"/>
      <c r="Y24" s="342"/>
      <c r="Z24" s="342"/>
    </row>
    <row r="25" ht="14.25" customHeight="1">
      <c r="A25" s="345">
        <v>10.0</v>
      </c>
      <c r="B25" s="346" t="s">
        <v>100</v>
      </c>
      <c r="C25" s="346" t="s">
        <v>2967</v>
      </c>
      <c r="D25" s="346" t="s">
        <v>2902</v>
      </c>
      <c r="E25" s="346" t="s">
        <v>70</v>
      </c>
      <c r="F25" s="347">
        <v>1.76E7</v>
      </c>
      <c r="G25" s="346" t="s">
        <v>2968</v>
      </c>
      <c r="H25" s="346">
        <v>2015.0</v>
      </c>
      <c r="I25" s="348" t="s">
        <v>2969</v>
      </c>
      <c r="J25" s="346" t="s">
        <v>2970</v>
      </c>
      <c r="K25" s="346" t="s">
        <v>2971</v>
      </c>
      <c r="L25" s="349" t="s">
        <v>2972</v>
      </c>
      <c r="M25" s="159" t="s">
        <v>2973</v>
      </c>
      <c r="N25" s="202" t="s">
        <v>2954</v>
      </c>
      <c r="O25" s="350"/>
      <c r="P25" s="332"/>
      <c r="Q25" s="351"/>
      <c r="R25" s="351"/>
      <c r="S25" s="351"/>
      <c r="T25" s="351"/>
      <c r="U25" s="351"/>
      <c r="V25" s="351"/>
      <c r="W25" s="351"/>
      <c r="X25" s="351"/>
      <c r="Y25" s="351"/>
      <c r="Z25" s="351"/>
    </row>
    <row r="26" ht="14.25" customHeight="1">
      <c r="A26" s="333">
        <v>11.0</v>
      </c>
      <c r="B26" s="334" t="s">
        <v>100</v>
      </c>
      <c r="C26" s="334" t="s">
        <v>2974</v>
      </c>
      <c r="D26" s="334" t="s">
        <v>2902</v>
      </c>
      <c r="E26" s="334" t="s">
        <v>70</v>
      </c>
      <c r="F26" s="335">
        <v>1.76E7</v>
      </c>
      <c r="G26" s="334" t="s">
        <v>2968</v>
      </c>
      <c r="H26" s="334">
        <v>2015.0</v>
      </c>
      <c r="I26" s="352" t="s">
        <v>2975</v>
      </c>
      <c r="J26" s="334" t="s">
        <v>2976</v>
      </c>
      <c r="K26" s="334" t="s">
        <v>2977</v>
      </c>
      <c r="L26" s="329" t="s">
        <v>2978</v>
      </c>
      <c r="M26" s="137" t="s">
        <v>2979</v>
      </c>
      <c r="N26" s="202" t="s">
        <v>2954</v>
      </c>
      <c r="O26" s="336"/>
      <c r="P26" s="331"/>
      <c r="Q26" s="331"/>
      <c r="R26" s="331"/>
      <c r="S26" s="331"/>
      <c r="T26" s="331"/>
      <c r="U26" s="331"/>
      <c r="V26" s="331"/>
      <c r="W26" s="331"/>
      <c r="X26" s="331"/>
      <c r="Y26" s="331"/>
      <c r="Z26" s="331"/>
    </row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2:O2"/>
    <mergeCell ref="A3:O3"/>
  </mergeCells>
  <printOptions/>
  <pageMargins bottom="0.7480314960629921" footer="0.0" header="0.0" left="0.7086614173228347" right="0.7086614173228347" top="0.7480314960629921"/>
  <pageSetup paperSize="5" scale="60" orientation="landscape"/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29"/>
    <col customWidth="1" min="2" max="2" width="37.0"/>
    <col customWidth="1" min="3" max="3" width="16.71"/>
    <col customWidth="1" min="4" max="4" width="21.0"/>
    <col customWidth="1" min="5" max="5" width="9.14"/>
    <col customWidth="1" min="6" max="6" width="15.29"/>
    <col customWidth="1" min="7" max="7" width="20.29"/>
    <col customWidth="1" min="8" max="8" width="8.14"/>
    <col customWidth="1" min="9" max="9" width="12.0"/>
    <col customWidth="1" min="10" max="10" width="18.14"/>
    <col customWidth="1" min="11" max="11" width="13.29"/>
    <col customWidth="1" min="12" max="12" width="10.57"/>
    <col customWidth="1" min="13" max="13" width="15.29"/>
    <col customWidth="1" min="14" max="14" width="37.29"/>
    <col customWidth="1" min="15" max="15" width="12.71"/>
    <col customWidth="1" min="16" max="26" width="8.71"/>
  </cols>
  <sheetData>
    <row r="1" ht="14.25" customHeight="1"/>
    <row r="2" ht="14.25" customHeight="1">
      <c r="A2" s="1" t="s">
        <v>0</v>
      </c>
    </row>
    <row r="3" ht="14.25" customHeight="1">
      <c r="A3" s="1" t="s">
        <v>1</v>
      </c>
    </row>
    <row r="4" ht="14.25" customHeight="1"/>
    <row r="5" ht="14.25" customHeight="1"/>
    <row r="6" ht="14.25" customHeight="1">
      <c r="A6" s="2" t="s">
        <v>2</v>
      </c>
      <c r="C6" s="2" t="s">
        <v>3</v>
      </c>
    </row>
    <row r="7" ht="14.25" customHeight="1">
      <c r="A7" s="2" t="s">
        <v>4</v>
      </c>
      <c r="C7" s="2" t="s">
        <v>5</v>
      </c>
    </row>
    <row r="8" ht="14.25" customHeight="1">
      <c r="A8" s="2" t="s">
        <v>6</v>
      </c>
      <c r="C8" s="2" t="s">
        <v>2897</v>
      </c>
    </row>
    <row r="9" ht="14.25" customHeight="1">
      <c r="A9" s="169" t="s">
        <v>8</v>
      </c>
      <c r="B9" s="170" t="s">
        <v>9</v>
      </c>
      <c r="C9" s="170" t="s">
        <v>10</v>
      </c>
      <c r="D9" s="170" t="s">
        <v>11</v>
      </c>
      <c r="E9" s="170" t="s">
        <v>12</v>
      </c>
      <c r="F9" s="170" t="s">
        <v>13</v>
      </c>
      <c r="G9" s="170" t="s">
        <v>14</v>
      </c>
      <c r="H9" s="170" t="s">
        <v>15</v>
      </c>
      <c r="I9" s="170" t="s">
        <v>16</v>
      </c>
      <c r="J9" s="170" t="s">
        <v>17</v>
      </c>
      <c r="K9" s="170" t="s">
        <v>1881</v>
      </c>
      <c r="L9" s="170" t="s">
        <v>1882</v>
      </c>
      <c r="M9" s="170" t="s">
        <v>2898</v>
      </c>
      <c r="N9" s="170" t="s">
        <v>2899</v>
      </c>
      <c r="O9" s="171" t="s">
        <v>20</v>
      </c>
    </row>
    <row r="10" ht="14.25" customHeight="1">
      <c r="A10" s="353"/>
      <c r="B10" s="354" t="s">
        <v>1884</v>
      </c>
      <c r="C10" s="354"/>
      <c r="D10" s="354"/>
      <c r="E10" s="354"/>
      <c r="F10" s="355">
        <f>F11</f>
        <v>359992825</v>
      </c>
      <c r="G10" s="355"/>
      <c r="H10" s="355"/>
      <c r="I10" s="355"/>
      <c r="J10" s="355"/>
      <c r="K10" s="355"/>
      <c r="L10" s="355"/>
      <c r="M10" s="355"/>
      <c r="N10" s="355"/>
      <c r="O10" s="356"/>
    </row>
    <row r="11" ht="14.25" customHeight="1">
      <c r="A11" s="357">
        <v>1.0</v>
      </c>
      <c r="B11" s="358" t="s">
        <v>2900</v>
      </c>
      <c r="C11" s="358" t="s">
        <v>2901</v>
      </c>
      <c r="D11" s="358" t="s">
        <v>2902</v>
      </c>
      <c r="E11" s="358" t="s">
        <v>70</v>
      </c>
      <c r="F11" s="359">
        <v>3.59992825E8</v>
      </c>
      <c r="G11" s="358" t="s">
        <v>2903</v>
      </c>
      <c r="H11" s="358" t="s">
        <v>44</v>
      </c>
      <c r="I11" s="358" t="s">
        <v>2980</v>
      </c>
      <c r="J11" s="358"/>
      <c r="K11" s="358"/>
      <c r="L11" s="358"/>
      <c r="M11" s="360" t="s">
        <v>2921</v>
      </c>
      <c r="N11" s="360" t="s">
        <v>2981</v>
      </c>
      <c r="O11" s="361"/>
      <c r="P11" s="362" t="s">
        <v>2982</v>
      </c>
      <c r="Q11" s="362"/>
      <c r="R11" s="362"/>
      <c r="S11" s="362"/>
      <c r="T11" s="362"/>
      <c r="U11" s="362"/>
      <c r="V11" s="362"/>
      <c r="W11" s="362"/>
      <c r="X11" s="362"/>
      <c r="Y11" s="362"/>
      <c r="Z11" s="362"/>
    </row>
    <row r="12" ht="14.25" customHeight="1">
      <c r="A12" s="353"/>
      <c r="B12" s="354" t="s">
        <v>23</v>
      </c>
      <c r="C12" s="354"/>
      <c r="D12" s="354"/>
      <c r="E12" s="354"/>
      <c r="F12" s="174">
        <f>SUM(F13:F14)</f>
        <v>279850000</v>
      </c>
      <c r="G12" s="174"/>
      <c r="H12" s="174"/>
      <c r="I12" s="174"/>
      <c r="J12" s="174"/>
      <c r="K12" s="174"/>
      <c r="L12" s="174"/>
      <c r="M12" s="174"/>
      <c r="N12" s="174"/>
      <c r="O12" s="363"/>
      <c r="P12" s="179"/>
      <c r="Q12" s="179"/>
      <c r="R12" s="179"/>
      <c r="S12" s="179"/>
      <c r="T12" s="179"/>
      <c r="U12" s="179"/>
      <c r="V12" s="179"/>
      <c r="W12" s="179"/>
      <c r="X12" s="179"/>
      <c r="Y12" s="179"/>
      <c r="Z12" s="179"/>
    </row>
    <row r="13" ht="14.25" customHeight="1">
      <c r="A13" s="364">
        <v>2.0</v>
      </c>
      <c r="B13" s="233" t="s">
        <v>779</v>
      </c>
      <c r="C13" s="233" t="s">
        <v>2909</v>
      </c>
      <c r="D13" s="233" t="s">
        <v>2902</v>
      </c>
      <c r="E13" s="233" t="s">
        <v>70</v>
      </c>
      <c r="F13" s="365">
        <v>1.7985E8</v>
      </c>
      <c r="G13" s="233" t="s">
        <v>2910</v>
      </c>
      <c r="H13" s="233" t="s">
        <v>84</v>
      </c>
      <c r="I13" s="366" t="s">
        <v>2983</v>
      </c>
      <c r="J13" s="233" t="s">
        <v>2912</v>
      </c>
      <c r="K13" s="233" t="s">
        <v>2909</v>
      </c>
      <c r="L13" s="233" t="s">
        <v>2913</v>
      </c>
      <c r="M13" s="360" t="s">
        <v>2914</v>
      </c>
      <c r="N13" s="360" t="s">
        <v>2915</v>
      </c>
      <c r="O13" s="367"/>
      <c r="P13" s="368"/>
      <c r="Q13" s="368"/>
      <c r="R13" s="368"/>
      <c r="S13" s="368"/>
      <c r="T13" s="368"/>
      <c r="U13" s="368"/>
      <c r="V13" s="368"/>
      <c r="W13" s="368"/>
      <c r="X13" s="368"/>
      <c r="Y13" s="368"/>
      <c r="Z13" s="368"/>
    </row>
    <row r="14" ht="14.25" customHeight="1">
      <c r="A14" s="357">
        <v>3.0</v>
      </c>
      <c r="B14" s="358" t="s">
        <v>779</v>
      </c>
      <c r="C14" s="358" t="s">
        <v>2916</v>
      </c>
      <c r="D14" s="358" t="s">
        <v>2902</v>
      </c>
      <c r="E14" s="358" t="s">
        <v>70</v>
      </c>
      <c r="F14" s="359">
        <v>1.0E8</v>
      </c>
      <c r="G14" s="358" t="s">
        <v>2917</v>
      </c>
      <c r="H14" s="358" t="s">
        <v>84</v>
      </c>
      <c r="I14" s="358" t="s">
        <v>2984</v>
      </c>
      <c r="J14" s="358" t="s">
        <v>2919</v>
      </c>
      <c r="K14" s="358"/>
      <c r="L14" s="358"/>
      <c r="M14" s="360"/>
      <c r="N14" s="360"/>
      <c r="O14" s="369" t="s">
        <v>2985</v>
      </c>
      <c r="P14" s="362" t="s">
        <v>2982</v>
      </c>
      <c r="Q14" s="362"/>
      <c r="R14" s="362"/>
      <c r="S14" s="362"/>
      <c r="T14" s="362"/>
      <c r="U14" s="362"/>
      <c r="V14" s="362"/>
      <c r="W14" s="362"/>
      <c r="X14" s="362"/>
      <c r="Y14" s="362"/>
      <c r="Z14" s="362"/>
    </row>
    <row r="15" ht="14.25" customHeight="1">
      <c r="A15" s="353"/>
      <c r="B15" s="354" t="s">
        <v>99</v>
      </c>
      <c r="C15" s="354"/>
      <c r="D15" s="354"/>
      <c r="E15" s="354"/>
      <c r="F15" s="174">
        <f>SUM(F16:F26)</f>
        <v>149854300</v>
      </c>
      <c r="G15" s="174"/>
      <c r="H15" s="174"/>
      <c r="I15" s="174"/>
      <c r="J15" s="174"/>
      <c r="K15" s="174"/>
      <c r="L15" s="174"/>
      <c r="M15" s="174"/>
      <c r="N15" s="174"/>
      <c r="O15" s="363"/>
      <c r="P15" s="179"/>
      <c r="Q15" s="179"/>
      <c r="R15" s="179"/>
      <c r="S15" s="179"/>
      <c r="T15" s="179"/>
      <c r="U15" s="179"/>
      <c r="V15" s="179"/>
      <c r="W15" s="179"/>
      <c r="X15" s="179"/>
      <c r="Y15" s="179"/>
      <c r="Z15" s="179"/>
    </row>
    <row r="16" ht="14.25" customHeight="1">
      <c r="A16" s="357">
        <v>1.0</v>
      </c>
      <c r="B16" s="358" t="s">
        <v>100</v>
      </c>
      <c r="C16" s="358" t="s">
        <v>2923</v>
      </c>
      <c r="D16" s="358" t="s">
        <v>2902</v>
      </c>
      <c r="E16" s="358" t="s">
        <v>27</v>
      </c>
      <c r="F16" s="359">
        <v>4000000.0</v>
      </c>
      <c r="G16" s="358" t="s">
        <v>2924</v>
      </c>
      <c r="H16" s="358" t="s">
        <v>127</v>
      </c>
      <c r="I16" s="358" t="s">
        <v>2925</v>
      </c>
      <c r="J16" s="358"/>
      <c r="K16" s="358"/>
      <c r="L16" s="358"/>
      <c r="M16" s="360"/>
      <c r="N16" s="360"/>
      <c r="O16" s="369" t="s">
        <v>2986</v>
      </c>
      <c r="P16" s="362" t="s">
        <v>2982</v>
      </c>
      <c r="Q16" s="362"/>
      <c r="R16" s="362"/>
      <c r="S16" s="362"/>
      <c r="T16" s="362"/>
      <c r="U16" s="362"/>
      <c r="V16" s="362"/>
      <c r="W16" s="362"/>
      <c r="X16" s="362"/>
      <c r="Y16" s="362"/>
      <c r="Z16" s="362"/>
    </row>
    <row r="17" ht="14.25" customHeight="1">
      <c r="A17" s="370">
        <v>2.0</v>
      </c>
      <c r="B17" s="360" t="s">
        <v>100</v>
      </c>
      <c r="C17" s="360" t="s">
        <v>2926</v>
      </c>
      <c r="D17" s="360" t="s">
        <v>2902</v>
      </c>
      <c r="E17" s="360" t="s">
        <v>27</v>
      </c>
      <c r="F17" s="177">
        <v>4000000.0</v>
      </c>
      <c r="G17" s="360" t="s">
        <v>144</v>
      </c>
      <c r="H17" s="360" t="s">
        <v>1284</v>
      </c>
      <c r="I17" s="360" t="s">
        <v>2927</v>
      </c>
      <c r="J17" s="360" t="s">
        <v>2928</v>
      </c>
      <c r="K17" s="360" t="s">
        <v>2987</v>
      </c>
      <c r="L17" s="360" t="s">
        <v>2929</v>
      </c>
      <c r="M17" s="360"/>
      <c r="N17" s="360"/>
      <c r="O17" s="369" t="s">
        <v>2986</v>
      </c>
      <c r="P17" s="179"/>
      <c r="Q17" s="179"/>
      <c r="R17" s="179"/>
      <c r="S17" s="179"/>
      <c r="T17" s="179"/>
      <c r="U17" s="179"/>
      <c r="V17" s="179"/>
      <c r="W17" s="179"/>
      <c r="X17" s="179"/>
      <c r="Y17" s="179"/>
      <c r="Z17" s="179"/>
    </row>
    <row r="18" ht="14.25" customHeight="1">
      <c r="A18" s="357">
        <v>3.0</v>
      </c>
      <c r="B18" s="358" t="s">
        <v>100</v>
      </c>
      <c r="C18" s="358" t="s">
        <v>2923</v>
      </c>
      <c r="D18" s="358" t="s">
        <v>2902</v>
      </c>
      <c r="E18" s="358" t="s">
        <v>27</v>
      </c>
      <c r="F18" s="359">
        <v>3000000.0</v>
      </c>
      <c r="G18" s="358" t="s">
        <v>2924</v>
      </c>
      <c r="H18" s="358" t="s">
        <v>1284</v>
      </c>
      <c r="I18" s="358" t="s">
        <v>2930</v>
      </c>
      <c r="J18" s="358"/>
      <c r="K18" s="358"/>
      <c r="L18" s="358"/>
      <c r="M18" s="360"/>
      <c r="N18" s="360"/>
      <c r="O18" s="369" t="s">
        <v>2985</v>
      </c>
      <c r="P18" s="362" t="s">
        <v>2982</v>
      </c>
      <c r="Q18" s="362"/>
      <c r="R18" s="362"/>
      <c r="S18" s="362"/>
      <c r="T18" s="362"/>
      <c r="U18" s="362"/>
      <c r="V18" s="362"/>
      <c r="W18" s="362"/>
      <c r="X18" s="362"/>
      <c r="Y18" s="362"/>
      <c r="Z18" s="362"/>
    </row>
    <row r="19" ht="14.25" customHeight="1">
      <c r="A19" s="357">
        <v>4.0</v>
      </c>
      <c r="B19" s="358" t="s">
        <v>100</v>
      </c>
      <c r="C19" s="358" t="s">
        <v>2931</v>
      </c>
      <c r="D19" s="358" t="s">
        <v>2902</v>
      </c>
      <c r="E19" s="358" t="s">
        <v>27</v>
      </c>
      <c r="F19" s="359">
        <v>1.02E7</v>
      </c>
      <c r="G19" s="358" t="s">
        <v>144</v>
      </c>
      <c r="H19" s="358" t="s">
        <v>2988</v>
      </c>
      <c r="I19" s="358" t="s">
        <v>2932</v>
      </c>
      <c r="J19" s="358" t="s">
        <v>2933</v>
      </c>
      <c r="K19" s="358"/>
      <c r="L19" s="358"/>
      <c r="M19" s="360"/>
      <c r="N19" s="360"/>
      <c r="O19" s="369" t="s">
        <v>2985</v>
      </c>
      <c r="P19" s="362" t="s">
        <v>2982</v>
      </c>
      <c r="Q19" s="362"/>
      <c r="R19" s="362"/>
      <c r="S19" s="362"/>
      <c r="T19" s="362"/>
      <c r="U19" s="362"/>
      <c r="V19" s="362"/>
      <c r="W19" s="362"/>
      <c r="X19" s="362"/>
      <c r="Y19" s="362"/>
      <c r="Z19" s="362"/>
    </row>
    <row r="20" ht="14.25" customHeight="1">
      <c r="A20" s="357">
        <v>5.0</v>
      </c>
      <c r="B20" s="358" t="s">
        <v>100</v>
      </c>
      <c r="C20" s="358" t="s">
        <v>2934</v>
      </c>
      <c r="D20" s="358" t="s">
        <v>2902</v>
      </c>
      <c r="E20" s="358" t="s">
        <v>70</v>
      </c>
      <c r="F20" s="359">
        <v>2.15465E7</v>
      </c>
      <c r="G20" s="358" t="s">
        <v>2935</v>
      </c>
      <c r="H20" s="358" t="s">
        <v>92</v>
      </c>
      <c r="I20" s="358" t="s">
        <v>2989</v>
      </c>
      <c r="J20" s="358"/>
      <c r="K20" s="358"/>
      <c r="L20" s="358"/>
      <c r="M20" s="360" t="s">
        <v>2946</v>
      </c>
      <c r="N20" s="360" t="s">
        <v>2990</v>
      </c>
      <c r="O20" s="361"/>
      <c r="P20" s="362" t="s">
        <v>2982</v>
      </c>
      <c r="Q20" s="362"/>
      <c r="R20" s="362"/>
      <c r="S20" s="362"/>
      <c r="T20" s="362"/>
      <c r="U20" s="362"/>
      <c r="V20" s="362"/>
      <c r="W20" s="362"/>
      <c r="X20" s="362"/>
      <c r="Y20" s="362"/>
      <c r="Z20" s="362"/>
    </row>
    <row r="21" ht="14.25" customHeight="1">
      <c r="A21" s="357">
        <v>6.0</v>
      </c>
      <c r="B21" s="358" t="s">
        <v>100</v>
      </c>
      <c r="C21" s="358" t="s">
        <v>2942</v>
      </c>
      <c r="D21" s="358" t="s">
        <v>2902</v>
      </c>
      <c r="E21" s="358" t="s">
        <v>70</v>
      </c>
      <c r="F21" s="359">
        <v>2.15465E7</v>
      </c>
      <c r="G21" s="358" t="s">
        <v>2667</v>
      </c>
      <c r="H21" s="358" t="s">
        <v>92</v>
      </c>
      <c r="I21" s="358" t="s">
        <v>2991</v>
      </c>
      <c r="J21" s="358" t="s">
        <v>2944</v>
      </c>
      <c r="K21" s="358"/>
      <c r="L21" s="358"/>
      <c r="M21" s="360" t="s">
        <v>2940</v>
      </c>
      <c r="N21" s="360" t="s">
        <v>2941</v>
      </c>
      <c r="O21" s="361"/>
      <c r="P21" s="362" t="s">
        <v>2982</v>
      </c>
      <c r="Q21" s="362"/>
      <c r="R21" s="362"/>
      <c r="S21" s="362"/>
      <c r="T21" s="362"/>
      <c r="U21" s="362"/>
      <c r="V21" s="362"/>
      <c r="W21" s="362"/>
      <c r="X21" s="362"/>
      <c r="Y21" s="362"/>
      <c r="Z21" s="362"/>
    </row>
    <row r="22" ht="14.25" customHeight="1">
      <c r="A22" s="357">
        <v>7.0</v>
      </c>
      <c r="B22" s="358" t="s">
        <v>100</v>
      </c>
      <c r="C22" s="358" t="s">
        <v>2948</v>
      </c>
      <c r="D22" s="358" t="s">
        <v>2902</v>
      </c>
      <c r="E22" s="358" t="s">
        <v>70</v>
      </c>
      <c r="F22" s="359">
        <v>2.15465E7</v>
      </c>
      <c r="G22" s="358" t="s">
        <v>2667</v>
      </c>
      <c r="H22" s="358" t="s">
        <v>92</v>
      </c>
      <c r="I22" s="358" t="s">
        <v>2992</v>
      </c>
      <c r="J22" s="358" t="s">
        <v>2950</v>
      </c>
      <c r="K22" s="358"/>
      <c r="L22" s="358"/>
      <c r="M22" s="360" t="s">
        <v>2993</v>
      </c>
      <c r="N22" s="360" t="s">
        <v>2453</v>
      </c>
      <c r="O22" s="361"/>
      <c r="P22" s="362" t="s">
        <v>2982</v>
      </c>
      <c r="Q22" s="362"/>
      <c r="R22" s="362"/>
      <c r="S22" s="362"/>
      <c r="T22" s="362"/>
      <c r="U22" s="362"/>
      <c r="V22" s="362"/>
      <c r="W22" s="362"/>
      <c r="X22" s="362"/>
      <c r="Y22" s="362"/>
      <c r="Z22" s="362"/>
    </row>
    <row r="23" ht="14.25" customHeight="1">
      <c r="A23" s="357">
        <v>8.0</v>
      </c>
      <c r="B23" s="358" t="s">
        <v>100</v>
      </c>
      <c r="C23" s="358" t="s">
        <v>2955</v>
      </c>
      <c r="D23" s="358" t="s">
        <v>2902</v>
      </c>
      <c r="E23" s="358" t="s">
        <v>70</v>
      </c>
      <c r="F23" s="359">
        <v>1.44074E7</v>
      </c>
      <c r="G23" s="358" t="s">
        <v>2956</v>
      </c>
      <c r="H23" s="358" t="s">
        <v>92</v>
      </c>
      <c r="I23" s="358" t="s">
        <v>2994</v>
      </c>
      <c r="J23" s="358" t="s">
        <v>2958</v>
      </c>
      <c r="K23" s="358"/>
      <c r="L23" s="358"/>
      <c r="M23" s="360" t="s">
        <v>2960</v>
      </c>
      <c r="N23" s="360" t="s">
        <v>2995</v>
      </c>
      <c r="O23" s="361"/>
      <c r="P23" s="362" t="s">
        <v>2982</v>
      </c>
      <c r="Q23" s="362"/>
      <c r="R23" s="362"/>
      <c r="S23" s="362"/>
      <c r="T23" s="362"/>
      <c r="U23" s="362"/>
      <c r="V23" s="362"/>
      <c r="W23" s="362"/>
      <c r="X23" s="362"/>
      <c r="Y23" s="362"/>
      <c r="Z23" s="362"/>
    </row>
    <row r="24" ht="14.25" customHeight="1">
      <c r="A24" s="357">
        <v>9.0</v>
      </c>
      <c r="B24" s="358" t="s">
        <v>100</v>
      </c>
      <c r="C24" s="358" t="s">
        <v>2961</v>
      </c>
      <c r="D24" s="358" t="s">
        <v>2902</v>
      </c>
      <c r="E24" s="358" t="s">
        <v>70</v>
      </c>
      <c r="F24" s="359">
        <v>1.44074E7</v>
      </c>
      <c r="G24" s="358" t="s">
        <v>2956</v>
      </c>
      <c r="H24" s="358" t="s">
        <v>92</v>
      </c>
      <c r="I24" s="358" t="s">
        <v>2996</v>
      </c>
      <c r="J24" s="358" t="s">
        <v>2963</v>
      </c>
      <c r="K24" s="358"/>
      <c r="L24" s="358"/>
      <c r="M24" s="360" t="s">
        <v>2965</v>
      </c>
      <c r="N24" s="360" t="s">
        <v>2966</v>
      </c>
      <c r="O24" s="361"/>
      <c r="P24" s="362" t="s">
        <v>2982</v>
      </c>
      <c r="Q24" s="362"/>
      <c r="R24" s="362"/>
      <c r="S24" s="362"/>
      <c r="T24" s="362"/>
      <c r="U24" s="362"/>
      <c r="V24" s="362"/>
      <c r="W24" s="362"/>
      <c r="X24" s="362"/>
      <c r="Y24" s="362"/>
      <c r="Z24" s="362"/>
    </row>
    <row r="25" ht="14.25" customHeight="1">
      <c r="A25" s="364">
        <v>10.0</v>
      </c>
      <c r="B25" s="233" t="s">
        <v>100</v>
      </c>
      <c r="C25" s="233" t="s">
        <v>2967</v>
      </c>
      <c r="D25" s="233" t="s">
        <v>2902</v>
      </c>
      <c r="E25" s="233" t="s">
        <v>70</v>
      </c>
      <c r="F25" s="365">
        <v>1.76E7</v>
      </c>
      <c r="G25" s="233" t="s">
        <v>2968</v>
      </c>
      <c r="H25" s="233" t="s">
        <v>1040</v>
      </c>
      <c r="I25" s="366" t="s">
        <v>2997</v>
      </c>
      <c r="J25" s="233" t="s">
        <v>2970</v>
      </c>
      <c r="K25" s="233" t="s">
        <v>2998</v>
      </c>
      <c r="L25" s="233" t="s">
        <v>2972</v>
      </c>
      <c r="M25" s="360" t="s">
        <v>2979</v>
      </c>
      <c r="N25" s="360" t="s">
        <v>2999</v>
      </c>
      <c r="O25" s="367"/>
      <c r="P25" s="368"/>
      <c r="Q25" s="368"/>
      <c r="R25" s="368"/>
      <c r="S25" s="368"/>
      <c r="T25" s="368"/>
      <c r="U25" s="368"/>
      <c r="V25" s="368"/>
      <c r="W25" s="368"/>
      <c r="X25" s="368"/>
      <c r="Y25" s="368"/>
      <c r="Z25" s="368"/>
    </row>
    <row r="26" ht="14.25" customHeight="1">
      <c r="A26" s="371">
        <v>11.0</v>
      </c>
      <c r="B26" s="372" t="s">
        <v>100</v>
      </c>
      <c r="C26" s="372" t="s">
        <v>2974</v>
      </c>
      <c r="D26" s="372" t="s">
        <v>2902</v>
      </c>
      <c r="E26" s="372" t="s">
        <v>70</v>
      </c>
      <c r="F26" s="373">
        <v>1.76E7</v>
      </c>
      <c r="G26" s="372" t="s">
        <v>2968</v>
      </c>
      <c r="H26" s="372" t="s">
        <v>1040</v>
      </c>
      <c r="I26" s="374" t="s">
        <v>3000</v>
      </c>
      <c r="J26" s="372" t="s">
        <v>2976</v>
      </c>
      <c r="K26" s="372" t="s">
        <v>3001</v>
      </c>
      <c r="L26" s="372" t="s">
        <v>2978</v>
      </c>
      <c r="M26" s="375" t="s">
        <v>2973</v>
      </c>
      <c r="N26" s="375" t="s">
        <v>3002</v>
      </c>
      <c r="O26" s="376"/>
      <c r="P26" s="368"/>
      <c r="Q26" s="368"/>
      <c r="R26" s="368"/>
      <c r="S26" s="368"/>
      <c r="T26" s="368"/>
      <c r="U26" s="368"/>
      <c r="V26" s="368"/>
      <c r="W26" s="368"/>
      <c r="X26" s="368"/>
      <c r="Y26" s="368"/>
      <c r="Z26" s="368"/>
    </row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2:O2"/>
    <mergeCell ref="A3:O3"/>
  </mergeCells>
  <printOptions/>
  <pageMargins bottom="0.7480314960629921" footer="0.0" header="0.0" left="0.7086614173228347" right="0.7086614173228347" top="0.7480314960629921"/>
  <pageSetup paperSize="5" scale="60" orientation="landscape"/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workbookViewId="0"/>
  </sheetViews>
  <sheetFormatPr customHeight="1" defaultColWidth="14.43" defaultRowHeight="15.0"/>
  <cols>
    <col customWidth="1" min="1" max="1" width="5.29"/>
    <col customWidth="1" min="2" max="2" width="35.57"/>
    <col customWidth="1" min="3" max="3" width="50.29"/>
    <col customWidth="1" min="4" max="4" width="23.43"/>
    <col customWidth="1" min="5" max="5" width="9.14"/>
    <col customWidth="1" min="6" max="6" width="22.0"/>
    <col customWidth="1" min="7" max="7" width="43.14"/>
    <col customWidth="1" min="8" max="8" width="8.71"/>
    <col customWidth="1" min="9" max="9" width="23.71"/>
    <col customWidth="1" min="10" max="10" width="22.86"/>
    <col customWidth="1" min="11" max="11" width="19.14"/>
    <col customWidth="1" min="12" max="12" width="11.14"/>
    <col customWidth="1" min="13" max="13" width="28.86"/>
    <col customWidth="1" min="14" max="14" width="31.29"/>
    <col customWidth="1" min="15" max="15" width="20.0"/>
    <col customWidth="1" min="16" max="27" width="8.71"/>
  </cols>
  <sheetData>
    <row r="1" ht="14.25" customHeight="1">
      <c r="A1" s="3"/>
    </row>
    <row r="2" ht="14.25" customHeight="1"/>
    <row r="3" ht="14.25" customHeight="1">
      <c r="A3" s="1" t="s">
        <v>0</v>
      </c>
    </row>
    <row r="4" ht="14.25" customHeight="1">
      <c r="A4" s="1" t="s">
        <v>1</v>
      </c>
    </row>
    <row r="5" ht="14.25" customHeight="1"/>
    <row r="6" ht="14.25" customHeight="1"/>
    <row r="7" ht="14.25" customHeight="1">
      <c r="A7" s="2" t="s">
        <v>2</v>
      </c>
      <c r="C7" s="2" t="s">
        <v>3</v>
      </c>
    </row>
    <row r="8" ht="14.25" customHeight="1">
      <c r="A8" s="2" t="s">
        <v>4</v>
      </c>
      <c r="C8" s="2" t="s">
        <v>5</v>
      </c>
    </row>
    <row r="9" ht="14.25" customHeight="1">
      <c r="A9" s="2" t="s">
        <v>6</v>
      </c>
      <c r="C9" s="2" t="s">
        <v>3003</v>
      </c>
    </row>
    <row r="10" ht="14.25" customHeight="1">
      <c r="A10" s="169" t="s">
        <v>8</v>
      </c>
      <c r="B10" s="170" t="s">
        <v>9</v>
      </c>
      <c r="C10" s="170" t="s">
        <v>10</v>
      </c>
      <c r="D10" s="170" t="s">
        <v>11</v>
      </c>
      <c r="E10" s="170" t="s">
        <v>12</v>
      </c>
      <c r="F10" s="170" t="s">
        <v>13</v>
      </c>
      <c r="G10" s="170" t="s">
        <v>14</v>
      </c>
      <c r="H10" s="170" t="s">
        <v>15</v>
      </c>
      <c r="I10" s="170" t="s">
        <v>16</v>
      </c>
      <c r="J10" s="170" t="s">
        <v>17</v>
      </c>
      <c r="K10" s="246" t="s">
        <v>1881</v>
      </c>
      <c r="L10" s="170" t="s">
        <v>1882</v>
      </c>
      <c r="M10" s="171" t="s">
        <v>20</v>
      </c>
      <c r="N10" s="170" t="s">
        <v>1883</v>
      </c>
      <c r="O10" s="377"/>
    </row>
    <row r="11" ht="14.25" customHeight="1">
      <c r="A11" s="378"/>
      <c r="B11" s="173" t="s">
        <v>1884</v>
      </c>
      <c r="C11" s="173"/>
      <c r="D11" s="173"/>
      <c r="E11" s="379"/>
      <c r="F11" s="174">
        <f>SUM(F12:F15)</f>
        <v>1022596000</v>
      </c>
      <c r="G11" s="173"/>
      <c r="H11" s="173"/>
      <c r="I11" s="173"/>
      <c r="J11" s="173"/>
      <c r="K11" s="173"/>
      <c r="L11" s="173"/>
      <c r="M11" s="380"/>
      <c r="N11" s="381"/>
      <c r="O11" s="321"/>
    </row>
    <row r="12" ht="14.25" customHeight="1">
      <c r="A12" s="382">
        <v>1.0</v>
      </c>
      <c r="B12" s="383" t="s">
        <v>780</v>
      </c>
      <c r="C12" s="383" t="s">
        <v>780</v>
      </c>
      <c r="D12" s="383" t="s">
        <v>3004</v>
      </c>
      <c r="E12" s="384" t="s">
        <v>2603</v>
      </c>
      <c r="F12" s="365">
        <v>1.408E8</v>
      </c>
      <c r="G12" s="383" t="s">
        <v>3005</v>
      </c>
      <c r="H12" s="383" t="s">
        <v>84</v>
      </c>
      <c r="I12" s="385" t="s">
        <v>3006</v>
      </c>
      <c r="J12" s="383" t="s">
        <v>3007</v>
      </c>
      <c r="K12" s="386" t="s">
        <v>3008</v>
      </c>
      <c r="L12" s="387" t="s">
        <v>3009</v>
      </c>
      <c r="M12" s="388" t="s">
        <v>3010</v>
      </c>
      <c r="N12" s="389" t="s">
        <v>3011</v>
      </c>
      <c r="O12" s="390" t="s">
        <v>3012</v>
      </c>
      <c r="P12" s="368"/>
      <c r="Q12" s="368"/>
      <c r="R12" s="368"/>
      <c r="S12" s="368"/>
      <c r="T12" s="368"/>
      <c r="U12" s="368"/>
      <c r="V12" s="368"/>
      <c r="W12" s="368"/>
      <c r="X12" s="368"/>
      <c r="Y12" s="368"/>
      <c r="Z12" s="368"/>
      <c r="AA12" s="368"/>
    </row>
    <row r="13" ht="14.25" customHeight="1">
      <c r="A13" s="253">
        <v>2.0</v>
      </c>
      <c r="B13" s="175" t="s">
        <v>780</v>
      </c>
      <c r="C13" s="175" t="s">
        <v>780</v>
      </c>
      <c r="D13" s="175" t="s">
        <v>3004</v>
      </c>
      <c r="E13" s="384" t="s">
        <v>931</v>
      </c>
      <c r="F13" s="177">
        <v>3.44406E8</v>
      </c>
      <c r="G13" s="175" t="s">
        <v>3013</v>
      </c>
      <c r="H13" s="175" t="s">
        <v>84</v>
      </c>
      <c r="I13" s="16" t="s">
        <v>3014</v>
      </c>
      <c r="J13" s="175" t="s">
        <v>3015</v>
      </c>
      <c r="K13" s="178" t="s">
        <v>3016</v>
      </c>
      <c r="L13" s="17" t="s">
        <v>3017</v>
      </c>
      <c r="M13" s="391"/>
      <c r="N13" s="392" t="s">
        <v>3018</v>
      </c>
      <c r="O13" s="393" t="s">
        <v>3019</v>
      </c>
    </row>
    <row r="14" ht="14.25" customHeight="1">
      <c r="A14" s="253">
        <v>3.0</v>
      </c>
      <c r="B14" s="175" t="s">
        <v>780</v>
      </c>
      <c r="C14" s="175" t="s">
        <v>780</v>
      </c>
      <c r="D14" s="175" t="s">
        <v>3004</v>
      </c>
      <c r="E14" s="384" t="s">
        <v>931</v>
      </c>
      <c r="F14" s="177">
        <v>1.4549E8</v>
      </c>
      <c r="G14" s="394" t="s">
        <v>3020</v>
      </c>
      <c r="H14" s="175" t="s">
        <v>910</v>
      </c>
      <c r="I14" s="13"/>
      <c r="J14" s="175" t="s">
        <v>3021</v>
      </c>
      <c r="K14" s="175"/>
      <c r="L14" s="175"/>
      <c r="M14" s="391"/>
      <c r="N14" s="175"/>
      <c r="O14" s="321"/>
    </row>
    <row r="15" ht="14.25" customHeight="1">
      <c r="A15" s="253">
        <v>4.0</v>
      </c>
      <c r="B15" s="175" t="s">
        <v>780</v>
      </c>
      <c r="C15" s="175" t="s">
        <v>780</v>
      </c>
      <c r="D15" s="175" t="s">
        <v>3004</v>
      </c>
      <c r="E15" s="384" t="s">
        <v>931</v>
      </c>
      <c r="F15" s="177">
        <v>3.919E8</v>
      </c>
      <c r="G15" s="394" t="s">
        <v>3022</v>
      </c>
      <c r="H15" s="175" t="s">
        <v>1076</v>
      </c>
      <c r="I15" s="13"/>
      <c r="J15" s="175" t="s">
        <v>3023</v>
      </c>
      <c r="K15" s="175"/>
      <c r="L15" s="175"/>
      <c r="M15" s="391"/>
      <c r="N15" s="175"/>
      <c r="O15" s="321"/>
    </row>
    <row r="16" ht="14.25" customHeight="1">
      <c r="A16" s="378"/>
      <c r="B16" s="173" t="s">
        <v>1933</v>
      </c>
      <c r="C16" s="173"/>
      <c r="D16" s="173"/>
      <c r="E16" s="379"/>
      <c r="F16" s="174">
        <f>SUM(F17:F23)</f>
        <v>2215240000</v>
      </c>
      <c r="G16" s="173"/>
      <c r="H16" s="173"/>
      <c r="I16" s="182"/>
      <c r="J16" s="173"/>
      <c r="K16" s="173"/>
      <c r="L16" s="173"/>
      <c r="M16" s="380"/>
      <c r="N16" s="175"/>
      <c r="O16" s="321"/>
    </row>
    <row r="17" ht="14.25" customHeight="1">
      <c r="A17" s="395">
        <v>5.0</v>
      </c>
      <c r="B17" s="396" t="s">
        <v>780</v>
      </c>
      <c r="C17" s="396" t="s">
        <v>780</v>
      </c>
      <c r="D17" s="396" t="s">
        <v>3004</v>
      </c>
      <c r="E17" s="397" t="s">
        <v>70</v>
      </c>
      <c r="F17" s="398">
        <v>3.58815E8</v>
      </c>
      <c r="G17" s="396" t="s">
        <v>959</v>
      </c>
      <c r="H17" s="396" t="s">
        <v>92</v>
      </c>
      <c r="I17" s="399" t="s">
        <v>3024</v>
      </c>
      <c r="J17" s="396" t="s">
        <v>3025</v>
      </c>
      <c r="K17" s="400" t="s">
        <v>3026</v>
      </c>
      <c r="L17" s="396"/>
      <c r="M17" s="401" t="s">
        <v>3027</v>
      </c>
      <c r="N17" s="402" t="s">
        <v>3028</v>
      </c>
      <c r="O17" s="403"/>
      <c r="P17" s="404"/>
      <c r="Q17" s="404"/>
      <c r="R17" s="404"/>
      <c r="S17" s="404"/>
      <c r="T17" s="404"/>
      <c r="U17" s="404"/>
      <c r="V17" s="404"/>
      <c r="W17" s="404"/>
      <c r="X17" s="404"/>
      <c r="Y17" s="404"/>
      <c r="Z17" s="404"/>
      <c r="AA17" s="404"/>
    </row>
    <row r="18" ht="14.25" customHeight="1">
      <c r="A18" s="253">
        <v>6.0</v>
      </c>
      <c r="B18" s="175" t="s">
        <v>908</v>
      </c>
      <c r="C18" s="175" t="s">
        <v>3029</v>
      </c>
      <c r="D18" s="175" t="s">
        <v>3004</v>
      </c>
      <c r="E18" s="384" t="s">
        <v>70</v>
      </c>
      <c r="F18" s="177">
        <v>1.4E8</v>
      </c>
      <c r="G18" s="394" t="s">
        <v>3030</v>
      </c>
      <c r="H18" s="175" t="s">
        <v>78</v>
      </c>
      <c r="I18" s="13"/>
      <c r="J18" s="175"/>
      <c r="K18" s="175"/>
      <c r="L18" s="175"/>
      <c r="M18" s="391"/>
      <c r="N18" s="175"/>
      <c r="O18" s="321"/>
    </row>
    <row r="19" ht="14.25" customHeight="1">
      <c r="A19" s="253">
        <v>7.0</v>
      </c>
      <c r="B19" s="175" t="s">
        <v>1934</v>
      </c>
      <c r="C19" s="175" t="s">
        <v>3031</v>
      </c>
      <c r="D19" s="175" t="s">
        <v>3004</v>
      </c>
      <c r="E19" s="384" t="s">
        <v>70</v>
      </c>
      <c r="F19" s="177">
        <v>5.25425E8</v>
      </c>
      <c r="G19" s="175" t="s">
        <v>781</v>
      </c>
      <c r="H19" s="175" t="s">
        <v>2762</v>
      </c>
      <c r="I19" s="13"/>
      <c r="J19" s="175" t="s">
        <v>3032</v>
      </c>
      <c r="K19" s="175"/>
      <c r="L19" s="175"/>
      <c r="M19" s="391" t="s">
        <v>3033</v>
      </c>
      <c r="N19" s="175"/>
      <c r="O19" s="321"/>
    </row>
    <row r="20" ht="14.25" customHeight="1">
      <c r="A20" s="253">
        <v>8.0</v>
      </c>
      <c r="B20" s="175" t="s">
        <v>908</v>
      </c>
      <c r="C20" s="175" t="s">
        <v>3034</v>
      </c>
      <c r="D20" s="175" t="s">
        <v>3004</v>
      </c>
      <c r="E20" s="384" t="s">
        <v>70</v>
      </c>
      <c r="F20" s="177">
        <v>1.61E8</v>
      </c>
      <c r="G20" s="175"/>
      <c r="H20" s="175" t="s">
        <v>2329</v>
      </c>
      <c r="I20" s="13"/>
      <c r="J20" s="175"/>
      <c r="K20" s="175"/>
      <c r="L20" s="175"/>
      <c r="M20" s="391"/>
      <c r="N20" s="175"/>
      <c r="O20" s="321"/>
    </row>
    <row r="21" ht="14.25" customHeight="1">
      <c r="A21" s="253">
        <v>9.0</v>
      </c>
      <c r="B21" s="175" t="s">
        <v>3035</v>
      </c>
      <c r="C21" s="175" t="s">
        <v>3036</v>
      </c>
      <c r="D21" s="175" t="s">
        <v>3004</v>
      </c>
      <c r="E21" s="384" t="s">
        <v>70</v>
      </c>
      <c r="F21" s="177">
        <v>6.92E8</v>
      </c>
      <c r="G21" s="175" t="s">
        <v>3037</v>
      </c>
      <c r="H21" s="175" t="s">
        <v>611</v>
      </c>
      <c r="I21" s="13" t="s">
        <v>3038</v>
      </c>
      <c r="J21" s="175" t="s">
        <v>3039</v>
      </c>
      <c r="K21" s="178" t="s">
        <v>3040</v>
      </c>
      <c r="L21" s="27" t="s">
        <v>3041</v>
      </c>
      <c r="M21" s="391" t="s">
        <v>3004</v>
      </c>
      <c r="N21" s="175"/>
      <c r="O21" s="321"/>
    </row>
    <row r="22" ht="14.25" customHeight="1">
      <c r="A22" s="253">
        <v>10.0</v>
      </c>
      <c r="B22" s="175" t="s">
        <v>908</v>
      </c>
      <c r="C22" s="175" t="s">
        <v>3042</v>
      </c>
      <c r="D22" s="175" t="s">
        <v>3004</v>
      </c>
      <c r="E22" s="384" t="s">
        <v>70</v>
      </c>
      <c r="F22" s="177">
        <v>1.69E8</v>
      </c>
      <c r="G22" s="175" t="s">
        <v>3043</v>
      </c>
      <c r="H22" s="175" t="s">
        <v>611</v>
      </c>
      <c r="I22" s="16" t="s">
        <v>3044</v>
      </c>
      <c r="J22" s="178" t="s">
        <v>3045</v>
      </c>
      <c r="K22" s="178" t="s">
        <v>3046</v>
      </c>
      <c r="L22" s="175"/>
      <c r="M22" s="391" t="s">
        <v>3004</v>
      </c>
      <c r="N22" s="175"/>
      <c r="O22" s="320" t="s">
        <v>3047</v>
      </c>
    </row>
    <row r="23" ht="14.25" customHeight="1">
      <c r="A23" s="253">
        <v>11.0</v>
      </c>
      <c r="B23" s="175" t="s">
        <v>3048</v>
      </c>
      <c r="C23" s="175" t="s">
        <v>3049</v>
      </c>
      <c r="D23" s="175" t="s">
        <v>3004</v>
      </c>
      <c r="E23" s="384" t="s">
        <v>70</v>
      </c>
      <c r="F23" s="177">
        <v>1.69E8</v>
      </c>
      <c r="G23" s="175" t="s">
        <v>3050</v>
      </c>
      <c r="H23" s="175" t="s">
        <v>611</v>
      </c>
      <c r="I23" s="16" t="s">
        <v>3051</v>
      </c>
      <c r="J23" s="178" t="s">
        <v>3052</v>
      </c>
      <c r="K23" s="178" t="s">
        <v>3053</v>
      </c>
      <c r="L23" s="175"/>
      <c r="M23" s="391" t="s">
        <v>3004</v>
      </c>
      <c r="N23" s="175"/>
      <c r="O23" s="320" t="s">
        <v>3047</v>
      </c>
    </row>
    <row r="24" ht="14.25" customHeight="1">
      <c r="A24" s="253">
        <v>12.0</v>
      </c>
      <c r="B24" s="175" t="s">
        <v>908</v>
      </c>
      <c r="C24" s="175" t="s">
        <v>3054</v>
      </c>
      <c r="D24" s="175" t="s">
        <v>3004</v>
      </c>
      <c r="E24" s="384"/>
      <c r="F24" s="177">
        <v>1.7E8</v>
      </c>
      <c r="G24" s="175" t="s">
        <v>3055</v>
      </c>
      <c r="H24" s="175" t="s">
        <v>887</v>
      </c>
      <c r="I24" s="16" t="s">
        <v>3056</v>
      </c>
      <c r="J24" s="178" t="s">
        <v>3057</v>
      </c>
      <c r="K24" s="178" t="s">
        <v>3058</v>
      </c>
      <c r="L24" s="175"/>
      <c r="M24" s="391"/>
      <c r="N24" s="175"/>
      <c r="O24" s="320" t="s">
        <v>3047</v>
      </c>
    </row>
    <row r="25" ht="14.25" customHeight="1">
      <c r="A25" s="378"/>
      <c r="B25" s="173" t="s">
        <v>99</v>
      </c>
      <c r="C25" s="173"/>
      <c r="D25" s="173"/>
      <c r="E25" s="379"/>
      <c r="F25" s="174">
        <f>SUM(F26:F28)</f>
        <v>53277400</v>
      </c>
      <c r="G25" s="173"/>
      <c r="H25" s="173"/>
      <c r="I25" s="182"/>
      <c r="J25" s="173"/>
      <c r="K25" s="173"/>
      <c r="L25" s="173"/>
      <c r="M25" s="380"/>
      <c r="N25" s="175"/>
      <c r="O25" s="321"/>
    </row>
    <row r="26" ht="14.25" customHeight="1">
      <c r="A26" s="253">
        <v>1.0</v>
      </c>
      <c r="B26" s="175" t="s">
        <v>100</v>
      </c>
      <c r="C26" s="175" t="s">
        <v>100</v>
      </c>
      <c r="D26" s="175" t="s">
        <v>3004</v>
      </c>
      <c r="E26" s="384" t="s">
        <v>931</v>
      </c>
      <c r="F26" s="177">
        <v>1.78544E7</v>
      </c>
      <c r="G26" s="175" t="s">
        <v>3059</v>
      </c>
      <c r="H26" s="175" t="s">
        <v>84</v>
      </c>
      <c r="I26" s="13" t="s">
        <v>3060</v>
      </c>
      <c r="J26" s="175" t="s">
        <v>3061</v>
      </c>
      <c r="K26" s="178" t="s">
        <v>3062</v>
      </c>
      <c r="L26" s="27" t="s">
        <v>3063</v>
      </c>
      <c r="M26" s="391" t="s">
        <v>3064</v>
      </c>
      <c r="N26" s="392" t="s">
        <v>3065</v>
      </c>
      <c r="O26" s="405"/>
    </row>
    <row r="27" ht="14.25" customHeight="1">
      <c r="A27" s="253">
        <v>2.0</v>
      </c>
      <c r="B27" s="175" t="s">
        <v>100</v>
      </c>
      <c r="C27" s="175" t="s">
        <v>100</v>
      </c>
      <c r="D27" s="175" t="s">
        <v>3004</v>
      </c>
      <c r="E27" s="384" t="s">
        <v>2603</v>
      </c>
      <c r="F27" s="177">
        <v>2.0353E7</v>
      </c>
      <c r="G27" s="175" t="s">
        <v>2667</v>
      </c>
      <c r="H27" s="175" t="s">
        <v>92</v>
      </c>
      <c r="I27" s="13" t="s">
        <v>3066</v>
      </c>
      <c r="J27" s="175" t="s">
        <v>3067</v>
      </c>
      <c r="K27" s="178" t="s">
        <v>3068</v>
      </c>
      <c r="L27" s="27" t="s">
        <v>3069</v>
      </c>
      <c r="M27" s="391" t="s">
        <v>3070</v>
      </c>
      <c r="N27" s="392" t="s">
        <v>3071</v>
      </c>
      <c r="O27" s="405"/>
    </row>
    <row r="28" ht="14.25" customHeight="1">
      <c r="A28" s="253">
        <v>3.0</v>
      </c>
      <c r="B28" s="175" t="s">
        <v>100</v>
      </c>
      <c r="C28" s="175" t="s">
        <v>100</v>
      </c>
      <c r="D28" s="175" t="s">
        <v>3004</v>
      </c>
      <c r="E28" s="384" t="s">
        <v>931</v>
      </c>
      <c r="F28" s="177">
        <v>1.507E7</v>
      </c>
      <c r="G28" s="175" t="s">
        <v>3072</v>
      </c>
      <c r="H28" s="175" t="s">
        <v>92</v>
      </c>
      <c r="I28" s="13" t="s">
        <v>3073</v>
      </c>
      <c r="J28" s="175" t="s">
        <v>3074</v>
      </c>
      <c r="K28" s="178" t="s">
        <v>3075</v>
      </c>
      <c r="L28" s="27" t="s">
        <v>3076</v>
      </c>
      <c r="M28" s="391" t="s">
        <v>3077</v>
      </c>
      <c r="N28" s="175" t="s">
        <v>3078</v>
      </c>
      <c r="O28" s="321"/>
    </row>
    <row r="29" ht="14.25" customHeight="1">
      <c r="A29" s="395">
        <v>4.0</v>
      </c>
      <c r="B29" s="396" t="s">
        <v>100</v>
      </c>
      <c r="C29" s="396" t="s">
        <v>100</v>
      </c>
      <c r="D29" s="396" t="s">
        <v>3004</v>
      </c>
      <c r="E29" s="397" t="s">
        <v>70</v>
      </c>
      <c r="F29" s="398">
        <v>2.8086E7</v>
      </c>
      <c r="G29" s="398" t="s">
        <v>3079</v>
      </c>
      <c r="H29" s="396" t="s">
        <v>887</v>
      </c>
      <c r="I29" s="406" t="s">
        <v>3080</v>
      </c>
      <c r="J29" s="396" t="s">
        <v>3081</v>
      </c>
      <c r="K29" s="400" t="s">
        <v>3082</v>
      </c>
      <c r="L29" s="407" t="s">
        <v>3083</v>
      </c>
      <c r="M29" s="401" t="s">
        <v>3080</v>
      </c>
      <c r="N29" s="402" t="s">
        <v>3084</v>
      </c>
      <c r="O29" s="403"/>
      <c r="P29" s="404"/>
      <c r="Q29" s="404"/>
      <c r="R29" s="404"/>
      <c r="S29" s="404"/>
      <c r="T29" s="404"/>
      <c r="U29" s="404"/>
      <c r="V29" s="404"/>
      <c r="W29" s="404"/>
      <c r="X29" s="404"/>
      <c r="Y29" s="404"/>
      <c r="Z29" s="404"/>
      <c r="AA29" s="404"/>
    </row>
    <row r="30" ht="14.25" customHeight="1">
      <c r="A30" s="378"/>
      <c r="B30" s="173" t="s">
        <v>3085</v>
      </c>
      <c r="C30" s="173"/>
      <c r="D30" s="173"/>
      <c r="E30" s="379"/>
      <c r="F30" s="174">
        <f>SUM(F31:F61)</f>
        <v>3421850000</v>
      </c>
      <c r="G30" s="173"/>
      <c r="H30" s="173"/>
      <c r="I30" s="182"/>
      <c r="J30" s="173"/>
      <c r="K30" s="173"/>
      <c r="L30" s="173"/>
      <c r="M30" s="380"/>
      <c r="N30" s="175"/>
      <c r="O30" s="321"/>
    </row>
    <row r="31" ht="14.25" customHeight="1">
      <c r="A31" s="253">
        <v>1.0</v>
      </c>
      <c r="B31" s="175" t="s">
        <v>3086</v>
      </c>
      <c r="C31" s="392" t="s">
        <v>3087</v>
      </c>
      <c r="D31" s="175" t="s">
        <v>3004</v>
      </c>
      <c r="E31" s="384" t="s">
        <v>931</v>
      </c>
      <c r="F31" s="177">
        <v>2.35E7</v>
      </c>
      <c r="G31" s="175" t="s">
        <v>3088</v>
      </c>
      <c r="H31" s="175" t="s">
        <v>44</v>
      </c>
      <c r="I31" s="13" t="s">
        <v>3089</v>
      </c>
      <c r="J31" s="175" t="s">
        <v>3090</v>
      </c>
      <c r="K31" s="175"/>
      <c r="L31" s="175" t="s">
        <v>3091</v>
      </c>
      <c r="M31" s="391" t="s">
        <v>3092</v>
      </c>
      <c r="N31" s="175"/>
      <c r="O31" s="321"/>
    </row>
    <row r="32" ht="14.25" customHeight="1">
      <c r="A32" s="253">
        <v>2.0</v>
      </c>
      <c r="B32" s="175" t="s">
        <v>3086</v>
      </c>
      <c r="C32" s="392" t="s">
        <v>3087</v>
      </c>
      <c r="D32" s="175" t="s">
        <v>3004</v>
      </c>
      <c r="E32" s="384" t="s">
        <v>931</v>
      </c>
      <c r="F32" s="177">
        <v>2.35E7</v>
      </c>
      <c r="G32" s="175" t="s">
        <v>3088</v>
      </c>
      <c r="H32" s="175" t="s">
        <v>44</v>
      </c>
      <c r="I32" s="13" t="s">
        <v>3093</v>
      </c>
      <c r="J32" s="175" t="s">
        <v>3094</v>
      </c>
      <c r="K32" s="175"/>
      <c r="L32" s="175" t="s">
        <v>3095</v>
      </c>
      <c r="M32" s="391" t="s">
        <v>3092</v>
      </c>
      <c r="N32" s="175"/>
      <c r="O32" s="321"/>
    </row>
    <row r="33" ht="14.25" customHeight="1">
      <c r="A33" s="253">
        <v>3.0</v>
      </c>
      <c r="B33" s="175" t="s">
        <v>3086</v>
      </c>
      <c r="C33" s="392" t="s">
        <v>3087</v>
      </c>
      <c r="D33" s="175" t="s">
        <v>3004</v>
      </c>
      <c r="E33" s="384" t="s">
        <v>931</v>
      </c>
      <c r="F33" s="177">
        <v>2.35E7</v>
      </c>
      <c r="G33" s="175" t="s">
        <v>3088</v>
      </c>
      <c r="H33" s="175" t="s">
        <v>44</v>
      </c>
      <c r="I33" s="13" t="s">
        <v>3096</v>
      </c>
      <c r="J33" s="175" t="s">
        <v>3097</v>
      </c>
      <c r="K33" s="175"/>
      <c r="L33" s="175" t="s">
        <v>3098</v>
      </c>
      <c r="M33" s="391" t="s">
        <v>3092</v>
      </c>
      <c r="N33" s="175"/>
      <c r="O33" s="321"/>
    </row>
    <row r="34" ht="14.25" customHeight="1">
      <c r="A34" s="253">
        <v>4.0</v>
      </c>
      <c r="B34" s="175" t="s">
        <v>3086</v>
      </c>
      <c r="C34" s="392" t="s">
        <v>3087</v>
      </c>
      <c r="D34" s="175" t="s">
        <v>3004</v>
      </c>
      <c r="E34" s="384" t="s">
        <v>931</v>
      </c>
      <c r="F34" s="177">
        <v>2.35E7</v>
      </c>
      <c r="G34" s="175" t="s">
        <v>3088</v>
      </c>
      <c r="H34" s="175" t="s">
        <v>44</v>
      </c>
      <c r="I34" s="13" t="s">
        <v>3099</v>
      </c>
      <c r="J34" s="175" t="s">
        <v>3100</v>
      </c>
      <c r="K34" s="175"/>
      <c r="L34" s="175" t="s">
        <v>3101</v>
      </c>
      <c r="M34" s="391" t="s">
        <v>3092</v>
      </c>
      <c r="N34" s="175"/>
      <c r="O34" s="321"/>
    </row>
    <row r="35" ht="14.25" customHeight="1">
      <c r="A35" s="253">
        <v>5.0</v>
      </c>
      <c r="B35" s="175" t="s">
        <v>3086</v>
      </c>
      <c r="C35" s="392" t="s">
        <v>3087</v>
      </c>
      <c r="D35" s="175" t="s">
        <v>3004</v>
      </c>
      <c r="E35" s="384" t="s">
        <v>931</v>
      </c>
      <c r="F35" s="177">
        <v>2.35E7</v>
      </c>
      <c r="G35" s="175" t="s">
        <v>3088</v>
      </c>
      <c r="H35" s="175" t="s">
        <v>44</v>
      </c>
      <c r="I35" s="13" t="s">
        <v>3102</v>
      </c>
      <c r="J35" s="175" t="s">
        <v>3103</v>
      </c>
      <c r="K35" s="175"/>
      <c r="L35" s="175" t="s">
        <v>3104</v>
      </c>
      <c r="M35" s="391" t="s">
        <v>3092</v>
      </c>
      <c r="N35" s="175"/>
      <c r="O35" s="321"/>
    </row>
    <row r="36" ht="14.25" customHeight="1">
      <c r="A36" s="253">
        <v>6.0</v>
      </c>
      <c r="B36" s="175" t="s">
        <v>3086</v>
      </c>
      <c r="C36" s="392" t="s">
        <v>3087</v>
      </c>
      <c r="D36" s="175" t="s">
        <v>3004</v>
      </c>
      <c r="E36" s="384" t="s">
        <v>931</v>
      </c>
      <c r="F36" s="177">
        <v>2.35E7</v>
      </c>
      <c r="G36" s="175" t="s">
        <v>3105</v>
      </c>
      <c r="H36" s="175" t="s">
        <v>44</v>
      </c>
      <c r="I36" s="13" t="s">
        <v>3106</v>
      </c>
      <c r="J36" s="175" t="s">
        <v>3107</v>
      </c>
      <c r="K36" s="175"/>
      <c r="L36" s="175" t="s">
        <v>3108</v>
      </c>
      <c r="M36" s="391" t="s">
        <v>3092</v>
      </c>
      <c r="N36" s="175"/>
      <c r="O36" s="321"/>
    </row>
    <row r="37" ht="14.25" customHeight="1">
      <c r="A37" s="253">
        <v>7.0</v>
      </c>
      <c r="B37" s="175" t="s">
        <v>3086</v>
      </c>
      <c r="C37" s="392" t="s">
        <v>3087</v>
      </c>
      <c r="D37" s="175" t="s">
        <v>3004</v>
      </c>
      <c r="E37" s="384" t="s">
        <v>931</v>
      </c>
      <c r="F37" s="177">
        <v>2.35E7</v>
      </c>
      <c r="G37" s="175" t="s">
        <v>3105</v>
      </c>
      <c r="H37" s="175" t="s">
        <v>44</v>
      </c>
      <c r="I37" s="13" t="s">
        <v>3109</v>
      </c>
      <c r="J37" s="175" t="s">
        <v>3110</v>
      </c>
      <c r="K37" s="175"/>
      <c r="L37" s="175" t="s">
        <v>3111</v>
      </c>
      <c r="M37" s="391" t="s">
        <v>3092</v>
      </c>
      <c r="N37" s="175"/>
      <c r="O37" s="321"/>
    </row>
    <row r="38" ht="14.25" customHeight="1">
      <c r="A38" s="253">
        <v>8.0</v>
      </c>
      <c r="B38" s="175" t="s">
        <v>3086</v>
      </c>
      <c r="C38" s="392" t="s">
        <v>3087</v>
      </c>
      <c r="D38" s="175" t="s">
        <v>3004</v>
      </c>
      <c r="E38" s="384" t="s">
        <v>931</v>
      </c>
      <c r="F38" s="177">
        <v>2.35E7</v>
      </c>
      <c r="G38" s="175" t="s">
        <v>3105</v>
      </c>
      <c r="H38" s="175" t="s">
        <v>44</v>
      </c>
      <c r="I38" s="13" t="s">
        <v>3112</v>
      </c>
      <c r="J38" s="175" t="s">
        <v>3113</v>
      </c>
      <c r="K38" s="175"/>
      <c r="L38" s="175" t="s">
        <v>3114</v>
      </c>
      <c r="M38" s="391" t="s">
        <v>3092</v>
      </c>
      <c r="N38" s="175"/>
      <c r="O38" s="321"/>
    </row>
    <row r="39" ht="14.25" customHeight="1">
      <c r="A39" s="253">
        <v>9.0</v>
      </c>
      <c r="B39" s="175" t="s">
        <v>3086</v>
      </c>
      <c r="C39" s="392" t="s">
        <v>3115</v>
      </c>
      <c r="D39" s="175" t="s">
        <v>3004</v>
      </c>
      <c r="E39" s="384" t="s">
        <v>931</v>
      </c>
      <c r="F39" s="177">
        <v>2.5E7</v>
      </c>
      <c r="G39" s="175" t="s">
        <v>3116</v>
      </c>
      <c r="H39" s="175" t="s">
        <v>92</v>
      </c>
      <c r="I39" s="13" t="s">
        <v>3117</v>
      </c>
      <c r="J39" s="175" t="s">
        <v>3118</v>
      </c>
      <c r="K39" s="175"/>
      <c r="L39" s="175" t="s">
        <v>3119</v>
      </c>
      <c r="M39" s="391" t="s">
        <v>3092</v>
      </c>
      <c r="N39" s="175"/>
      <c r="O39" s="321"/>
    </row>
    <row r="40" ht="14.25" customHeight="1">
      <c r="A40" s="253">
        <v>10.0</v>
      </c>
      <c r="B40" s="175" t="s">
        <v>3086</v>
      </c>
      <c r="C40" s="392" t="s">
        <v>3115</v>
      </c>
      <c r="D40" s="175" t="s">
        <v>3004</v>
      </c>
      <c r="E40" s="384" t="s">
        <v>931</v>
      </c>
      <c r="F40" s="177">
        <v>2.5E7</v>
      </c>
      <c r="G40" s="175" t="s">
        <v>3116</v>
      </c>
      <c r="H40" s="175" t="s">
        <v>92</v>
      </c>
      <c r="I40" s="13" t="s">
        <v>3120</v>
      </c>
      <c r="J40" s="175" t="s">
        <v>3121</v>
      </c>
      <c r="K40" s="175"/>
      <c r="L40" s="175" t="s">
        <v>3122</v>
      </c>
      <c r="M40" s="391" t="s">
        <v>3092</v>
      </c>
      <c r="N40" s="175"/>
      <c r="O40" s="321"/>
    </row>
    <row r="41" ht="14.25" customHeight="1">
      <c r="A41" s="253">
        <v>11.0</v>
      </c>
      <c r="B41" s="175" t="s">
        <v>3086</v>
      </c>
      <c r="C41" s="392" t="s">
        <v>3115</v>
      </c>
      <c r="D41" s="175" t="s">
        <v>3004</v>
      </c>
      <c r="E41" s="384" t="s">
        <v>931</v>
      </c>
      <c r="F41" s="177">
        <v>2.5E7</v>
      </c>
      <c r="G41" s="175" t="s">
        <v>3116</v>
      </c>
      <c r="H41" s="175" t="s">
        <v>92</v>
      </c>
      <c r="I41" s="13" t="s">
        <v>3123</v>
      </c>
      <c r="J41" s="178" t="s">
        <v>3124</v>
      </c>
      <c r="K41" s="175"/>
      <c r="L41" s="175" t="s">
        <v>3125</v>
      </c>
      <c r="M41" s="391" t="s">
        <v>3092</v>
      </c>
      <c r="N41" s="178" t="s">
        <v>27</v>
      </c>
      <c r="O41" s="320" t="s">
        <v>3126</v>
      </c>
    </row>
    <row r="42" ht="14.25" customHeight="1">
      <c r="A42" s="253">
        <v>12.0</v>
      </c>
      <c r="B42" s="175" t="s">
        <v>3086</v>
      </c>
      <c r="C42" s="392" t="s">
        <v>3115</v>
      </c>
      <c r="D42" s="175" t="s">
        <v>3004</v>
      </c>
      <c r="E42" s="384" t="s">
        <v>931</v>
      </c>
      <c r="F42" s="177">
        <v>2.5E7</v>
      </c>
      <c r="G42" s="175" t="s">
        <v>3116</v>
      </c>
      <c r="H42" s="175" t="s">
        <v>92</v>
      </c>
      <c r="I42" s="13" t="s">
        <v>3127</v>
      </c>
      <c r="J42" s="175" t="s">
        <v>3128</v>
      </c>
      <c r="K42" s="175"/>
      <c r="L42" s="175" t="s">
        <v>3129</v>
      </c>
      <c r="M42" s="391" t="s">
        <v>3092</v>
      </c>
      <c r="N42" s="175"/>
      <c r="O42" s="321"/>
    </row>
    <row r="43" ht="14.25" customHeight="1">
      <c r="A43" s="253">
        <v>13.0</v>
      </c>
      <c r="B43" s="175" t="s">
        <v>3086</v>
      </c>
      <c r="C43" s="392" t="s">
        <v>3115</v>
      </c>
      <c r="D43" s="175" t="s">
        <v>3004</v>
      </c>
      <c r="E43" s="384" t="s">
        <v>931</v>
      </c>
      <c r="F43" s="177">
        <v>2.7E7</v>
      </c>
      <c r="G43" s="175" t="s">
        <v>3116</v>
      </c>
      <c r="H43" s="175" t="s">
        <v>58</v>
      </c>
      <c r="I43" s="13" t="s">
        <v>3130</v>
      </c>
      <c r="J43" s="175" t="s">
        <v>3131</v>
      </c>
      <c r="K43" s="175"/>
      <c r="L43" s="175" t="s">
        <v>3132</v>
      </c>
      <c r="M43" s="391" t="s">
        <v>3092</v>
      </c>
      <c r="N43" s="175"/>
      <c r="O43" s="321"/>
    </row>
    <row r="44" ht="14.25" customHeight="1">
      <c r="A44" s="253">
        <v>14.0</v>
      </c>
      <c r="B44" s="175" t="s">
        <v>3086</v>
      </c>
      <c r="C44" s="392" t="s">
        <v>3115</v>
      </c>
      <c r="D44" s="175" t="s">
        <v>3004</v>
      </c>
      <c r="E44" s="384" t="s">
        <v>931</v>
      </c>
      <c r="F44" s="177">
        <v>2.7E7</v>
      </c>
      <c r="G44" s="175" t="s">
        <v>3116</v>
      </c>
      <c r="H44" s="175" t="s">
        <v>58</v>
      </c>
      <c r="I44" s="13" t="s">
        <v>3133</v>
      </c>
      <c r="J44" s="175" t="s">
        <v>3134</v>
      </c>
      <c r="K44" s="175"/>
      <c r="L44" s="175" t="s">
        <v>3135</v>
      </c>
      <c r="M44" s="391" t="s">
        <v>3092</v>
      </c>
      <c r="N44" s="175"/>
      <c r="O44" s="321"/>
    </row>
    <row r="45" ht="14.25" customHeight="1">
      <c r="A45" s="253">
        <v>15.0</v>
      </c>
      <c r="B45" s="175" t="s">
        <v>3086</v>
      </c>
      <c r="C45" s="392" t="s">
        <v>3115</v>
      </c>
      <c r="D45" s="175" t="s">
        <v>3004</v>
      </c>
      <c r="E45" s="384" t="s">
        <v>931</v>
      </c>
      <c r="F45" s="177">
        <v>2.7E7</v>
      </c>
      <c r="G45" s="175" t="s">
        <v>3116</v>
      </c>
      <c r="H45" s="175" t="s">
        <v>58</v>
      </c>
      <c r="I45" s="13" t="s">
        <v>3136</v>
      </c>
      <c r="J45" s="175" t="s">
        <v>3137</v>
      </c>
      <c r="K45" s="175"/>
      <c r="L45" s="175" t="s">
        <v>3138</v>
      </c>
      <c r="M45" s="391" t="s">
        <v>3092</v>
      </c>
      <c r="N45" s="175"/>
      <c r="O45" s="321"/>
    </row>
    <row r="46" ht="14.25" customHeight="1">
      <c r="A46" s="253">
        <v>16.0</v>
      </c>
      <c r="B46" s="175" t="s">
        <v>3086</v>
      </c>
      <c r="C46" s="392" t="s">
        <v>3115</v>
      </c>
      <c r="D46" s="175" t="s">
        <v>3004</v>
      </c>
      <c r="E46" s="384" t="s">
        <v>931</v>
      </c>
      <c r="F46" s="177">
        <v>2.7E7</v>
      </c>
      <c r="G46" s="175" t="s">
        <v>3116</v>
      </c>
      <c r="H46" s="175" t="s">
        <v>58</v>
      </c>
      <c r="I46" s="13" t="s">
        <v>3139</v>
      </c>
      <c r="J46" s="175" t="s">
        <v>3140</v>
      </c>
      <c r="K46" s="175"/>
      <c r="L46" s="175" t="s">
        <v>3141</v>
      </c>
      <c r="M46" s="391" t="s">
        <v>3092</v>
      </c>
      <c r="N46" s="175"/>
      <c r="O46" s="321"/>
    </row>
    <row r="47" ht="14.25" customHeight="1">
      <c r="A47" s="253">
        <v>17.0</v>
      </c>
      <c r="B47" s="175" t="s">
        <v>3086</v>
      </c>
      <c r="C47" s="392" t="s">
        <v>3115</v>
      </c>
      <c r="D47" s="175" t="s">
        <v>3004</v>
      </c>
      <c r="E47" s="384" t="s">
        <v>931</v>
      </c>
      <c r="F47" s="177">
        <v>2.9E7</v>
      </c>
      <c r="G47" s="175" t="s">
        <v>3116</v>
      </c>
      <c r="H47" s="175" t="s">
        <v>58</v>
      </c>
      <c r="I47" s="13" t="s">
        <v>3142</v>
      </c>
      <c r="J47" s="175" t="s">
        <v>3143</v>
      </c>
      <c r="K47" s="175"/>
      <c r="L47" s="175" t="s">
        <v>3144</v>
      </c>
      <c r="M47" s="391" t="s">
        <v>3092</v>
      </c>
      <c r="N47" s="175"/>
      <c r="O47" s="321"/>
    </row>
    <row r="48" ht="14.25" customHeight="1">
      <c r="A48" s="253">
        <v>18.0</v>
      </c>
      <c r="B48" s="175" t="s">
        <v>3086</v>
      </c>
      <c r="C48" s="392" t="s">
        <v>3115</v>
      </c>
      <c r="D48" s="175" t="s">
        <v>3004</v>
      </c>
      <c r="E48" s="384" t="s">
        <v>931</v>
      </c>
      <c r="F48" s="177">
        <v>2.9E7</v>
      </c>
      <c r="G48" s="175" t="s">
        <v>3116</v>
      </c>
      <c r="H48" s="175" t="s">
        <v>58</v>
      </c>
      <c r="I48" s="13" t="s">
        <v>3145</v>
      </c>
      <c r="J48" s="175" t="s">
        <v>3146</v>
      </c>
      <c r="K48" s="175"/>
      <c r="L48" s="175" t="s">
        <v>3147</v>
      </c>
      <c r="M48" s="391" t="s">
        <v>3092</v>
      </c>
      <c r="N48" s="175"/>
      <c r="O48" s="321"/>
    </row>
    <row r="49" ht="14.25" customHeight="1">
      <c r="A49" s="253">
        <v>19.0</v>
      </c>
      <c r="B49" s="175" t="s">
        <v>3086</v>
      </c>
      <c r="C49" s="392" t="s">
        <v>3115</v>
      </c>
      <c r="D49" s="175" t="s">
        <v>3004</v>
      </c>
      <c r="E49" s="384" t="s">
        <v>931</v>
      </c>
      <c r="F49" s="177">
        <v>2.9E7</v>
      </c>
      <c r="G49" s="175" t="s">
        <v>3116</v>
      </c>
      <c r="H49" s="175" t="s">
        <v>58</v>
      </c>
      <c r="I49" s="13" t="s">
        <v>3148</v>
      </c>
      <c r="J49" s="175" t="s">
        <v>3149</v>
      </c>
      <c r="K49" s="175"/>
      <c r="L49" s="175"/>
      <c r="M49" s="391" t="s">
        <v>3092</v>
      </c>
      <c r="N49" s="175"/>
      <c r="O49" s="321"/>
    </row>
    <row r="50" ht="14.25" customHeight="1">
      <c r="A50" s="253">
        <v>20.0</v>
      </c>
      <c r="B50" s="175" t="s">
        <v>3086</v>
      </c>
      <c r="C50" s="392" t="s">
        <v>3115</v>
      </c>
      <c r="D50" s="175" t="s">
        <v>3004</v>
      </c>
      <c r="E50" s="384" t="s">
        <v>931</v>
      </c>
      <c r="F50" s="177">
        <v>2.9E7</v>
      </c>
      <c r="G50" s="175" t="s">
        <v>3116</v>
      </c>
      <c r="H50" s="175" t="s">
        <v>58</v>
      </c>
      <c r="I50" s="13" t="s">
        <v>3150</v>
      </c>
      <c r="J50" s="175" t="s">
        <v>3151</v>
      </c>
      <c r="K50" s="175"/>
      <c r="L50" s="175" t="s">
        <v>3152</v>
      </c>
      <c r="M50" s="391" t="s">
        <v>3092</v>
      </c>
      <c r="N50" s="175"/>
      <c r="O50" s="321"/>
    </row>
    <row r="51" ht="14.25" customHeight="1">
      <c r="A51" s="253">
        <v>21.0</v>
      </c>
      <c r="B51" s="175" t="s">
        <v>3086</v>
      </c>
      <c r="C51" s="392" t="s">
        <v>3153</v>
      </c>
      <c r="D51" s="175" t="s">
        <v>3004</v>
      </c>
      <c r="E51" s="384" t="s">
        <v>70</v>
      </c>
      <c r="F51" s="177">
        <v>1.465E8</v>
      </c>
      <c r="G51" s="175"/>
      <c r="H51" s="175" t="s">
        <v>2329</v>
      </c>
      <c r="I51" s="13"/>
      <c r="J51" s="175"/>
      <c r="K51" s="175"/>
      <c r="L51" s="175"/>
      <c r="M51" s="391"/>
      <c r="N51" s="175" t="s">
        <v>3154</v>
      </c>
      <c r="O51" s="321"/>
    </row>
    <row r="52" ht="14.25" customHeight="1">
      <c r="A52" s="253">
        <v>22.0</v>
      </c>
      <c r="B52" s="175" t="s">
        <v>3086</v>
      </c>
      <c r="C52" s="392" t="s">
        <v>3153</v>
      </c>
      <c r="D52" s="175" t="s">
        <v>3004</v>
      </c>
      <c r="E52" s="384" t="s">
        <v>70</v>
      </c>
      <c r="F52" s="177">
        <v>1.465E8</v>
      </c>
      <c r="G52" s="175"/>
      <c r="H52" s="175" t="s">
        <v>2329</v>
      </c>
      <c r="I52" s="13"/>
      <c r="J52" s="175"/>
      <c r="K52" s="175"/>
      <c r="L52" s="175"/>
      <c r="M52" s="391"/>
      <c r="N52" s="175" t="s">
        <v>3154</v>
      </c>
      <c r="O52" s="321"/>
    </row>
    <row r="53" ht="14.25" customHeight="1">
      <c r="A53" s="253">
        <v>23.0</v>
      </c>
      <c r="B53" s="175" t="s">
        <v>3086</v>
      </c>
      <c r="C53" s="392" t="s">
        <v>3155</v>
      </c>
      <c r="D53" s="175" t="s">
        <v>3004</v>
      </c>
      <c r="E53" s="384" t="s">
        <v>70</v>
      </c>
      <c r="F53" s="177">
        <v>8.495E7</v>
      </c>
      <c r="G53" s="175"/>
      <c r="H53" s="175" t="s">
        <v>2329</v>
      </c>
      <c r="I53" s="13"/>
      <c r="J53" s="175"/>
      <c r="K53" s="175"/>
      <c r="L53" s="175"/>
      <c r="M53" s="391"/>
      <c r="N53" s="175" t="s">
        <v>3156</v>
      </c>
      <c r="O53" s="321"/>
    </row>
    <row r="54" ht="14.25" customHeight="1">
      <c r="A54" s="253">
        <v>24.0</v>
      </c>
      <c r="B54" s="175" t="s">
        <v>3086</v>
      </c>
      <c r="C54" s="392" t="s">
        <v>3155</v>
      </c>
      <c r="D54" s="175" t="s">
        <v>3004</v>
      </c>
      <c r="E54" s="384" t="s">
        <v>70</v>
      </c>
      <c r="F54" s="177">
        <v>8.495E7</v>
      </c>
      <c r="G54" s="175"/>
      <c r="H54" s="175" t="s">
        <v>2329</v>
      </c>
      <c r="I54" s="13"/>
      <c r="J54" s="175"/>
      <c r="K54" s="175"/>
      <c r="L54" s="175"/>
      <c r="M54" s="391"/>
      <c r="N54" s="175" t="s">
        <v>3156</v>
      </c>
      <c r="O54" s="321"/>
    </row>
    <row r="55" ht="14.25" customHeight="1">
      <c r="A55" s="395">
        <v>25.0</v>
      </c>
      <c r="B55" s="396" t="s">
        <v>3086</v>
      </c>
      <c r="C55" s="402" t="s">
        <v>3157</v>
      </c>
      <c r="D55" s="396" t="s">
        <v>3004</v>
      </c>
      <c r="E55" s="397" t="s">
        <v>70</v>
      </c>
      <c r="F55" s="398">
        <v>5.43E8</v>
      </c>
      <c r="G55" s="396"/>
      <c r="H55" s="396" t="s">
        <v>2329</v>
      </c>
      <c r="I55" s="406" t="s">
        <v>3158</v>
      </c>
      <c r="J55" s="396" t="s">
        <v>3159</v>
      </c>
      <c r="K55" s="400" t="s">
        <v>3160</v>
      </c>
      <c r="L55" s="408" t="s">
        <v>3161</v>
      </c>
      <c r="M55" s="401"/>
      <c r="N55" s="396" t="s">
        <v>3162</v>
      </c>
      <c r="O55" s="409"/>
      <c r="P55" s="404"/>
      <c r="Q55" s="404"/>
      <c r="R55" s="404"/>
      <c r="S55" s="404"/>
      <c r="T55" s="404"/>
      <c r="U55" s="404"/>
      <c r="V55" s="404"/>
      <c r="W55" s="404"/>
      <c r="X55" s="404"/>
      <c r="Y55" s="404"/>
      <c r="Z55" s="404"/>
      <c r="AA55" s="404"/>
    </row>
    <row r="56" ht="14.25" customHeight="1">
      <c r="A56" s="395">
        <v>26.0</v>
      </c>
      <c r="B56" s="396" t="s">
        <v>3086</v>
      </c>
      <c r="C56" s="402" t="s">
        <v>3157</v>
      </c>
      <c r="D56" s="396" t="s">
        <v>3004</v>
      </c>
      <c r="E56" s="397" t="s">
        <v>70</v>
      </c>
      <c r="F56" s="398">
        <v>5.43E8</v>
      </c>
      <c r="G56" s="396"/>
      <c r="H56" s="396" t="s">
        <v>2329</v>
      </c>
      <c r="I56" s="406" t="s">
        <v>3163</v>
      </c>
      <c r="J56" s="396" t="s">
        <v>3164</v>
      </c>
      <c r="K56" s="400" t="s">
        <v>3165</v>
      </c>
      <c r="L56" s="408" t="s">
        <v>3166</v>
      </c>
      <c r="M56" s="401"/>
      <c r="N56" s="396" t="s">
        <v>3162</v>
      </c>
      <c r="O56" s="409"/>
      <c r="P56" s="404"/>
      <c r="Q56" s="404"/>
      <c r="R56" s="404"/>
      <c r="S56" s="404"/>
      <c r="T56" s="404"/>
      <c r="U56" s="404"/>
      <c r="V56" s="404"/>
      <c r="W56" s="404"/>
      <c r="X56" s="404"/>
      <c r="Y56" s="404"/>
      <c r="Z56" s="404"/>
      <c r="AA56" s="404"/>
    </row>
    <row r="57" ht="14.25" customHeight="1">
      <c r="A57" s="395">
        <v>27.0</v>
      </c>
      <c r="B57" s="396" t="s">
        <v>3086</v>
      </c>
      <c r="C57" s="402" t="s">
        <v>3157</v>
      </c>
      <c r="D57" s="396" t="s">
        <v>3004</v>
      </c>
      <c r="E57" s="397" t="s">
        <v>70</v>
      </c>
      <c r="F57" s="398">
        <v>5.43E8</v>
      </c>
      <c r="G57" s="396"/>
      <c r="H57" s="396" t="s">
        <v>2329</v>
      </c>
      <c r="I57" s="406" t="s">
        <v>3167</v>
      </c>
      <c r="J57" s="396" t="s">
        <v>3168</v>
      </c>
      <c r="K57" s="400" t="s">
        <v>3169</v>
      </c>
      <c r="L57" s="408" t="s">
        <v>3170</v>
      </c>
      <c r="M57" s="401"/>
      <c r="N57" s="396" t="s">
        <v>3162</v>
      </c>
      <c r="O57" s="409"/>
      <c r="P57" s="404"/>
      <c r="Q57" s="404"/>
      <c r="R57" s="404"/>
      <c r="S57" s="404"/>
      <c r="T57" s="404"/>
      <c r="U57" s="404"/>
      <c r="V57" s="404"/>
      <c r="W57" s="404"/>
      <c r="X57" s="404"/>
      <c r="Y57" s="404"/>
      <c r="Z57" s="404"/>
      <c r="AA57" s="404"/>
    </row>
    <row r="58" ht="14.25" customHeight="1">
      <c r="A58" s="395">
        <v>28.0</v>
      </c>
      <c r="B58" s="396" t="s">
        <v>3086</v>
      </c>
      <c r="C58" s="402" t="s">
        <v>3157</v>
      </c>
      <c r="D58" s="396" t="s">
        <v>3004</v>
      </c>
      <c r="E58" s="397" t="s">
        <v>70</v>
      </c>
      <c r="F58" s="398">
        <v>5.43E8</v>
      </c>
      <c r="G58" s="396"/>
      <c r="H58" s="396" t="s">
        <v>2329</v>
      </c>
      <c r="I58" s="406" t="s">
        <v>3171</v>
      </c>
      <c r="J58" s="396" t="s">
        <v>3172</v>
      </c>
      <c r="K58" s="400" t="s">
        <v>3173</v>
      </c>
      <c r="L58" s="408" t="s">
        <v>3174</v>
      </c>
      <c r="M58" s="401"/>
      <c r="N58" s="396" t="s">
        <v>3162</v>
      </c>
      <c r="O58" s="409"/>
      <c r="P58" s="404"/>
      <c r="Q58" s="404"/>
      <c r="R58" s="404"/>
      <c r="S58" s="404"/>
      <c r="T58" s="404"/>
      <c r="U58" s="404"/>
      <c r="V58" s="404"/>
      <c r="W58" s="404"/>
      <c r="X58" s="404"/>
      <c r="Y58" s="404"/>
      <c r="Z58" s="404"/>
      <c r="AA58" s="404"/>
    </row>
    <row r="59" ht="14.25" customHeight="1">
      <c r="A59" s="395">
        <v>29.0</v>
      </c>
      <c r="B59" s="396" t="s">
        <v>3086</v>
      </c>
      <c r="C59" s="402" t="s">
        <v>3155</v>
      </c>
      <c r="D59" s="396" t="s">
        <v>3004</v>
      </c>
      <c r="E59" s="397" t="s">
        <v>70</v>
      </c>
      <c r="F59" s="398">
        <v>8.495E7</v>
      </c>
      <c r="G59" s="396"/>
      <c r="H59" s="396" t="s">
        <v>2329</v>
      </c>
      <c r="I59" s="406"/>
      <c r="J59" s="396"/>
      <c r="K59" s="396"/>
      <c r="L59" s="396"/>
      <c r="M59" s="401"/>
      <c r="N59" s="396" t="s">
        <v>3156</v>
      </c>
      <c r="O59" s="409"/>
      <c r="P59" s="404"/>
      <c r="Q59" s="404"/>
      <c r="R59" s="404"/>
      <c r="S59" s="404"/>
      <c r="T59" s="404"/>
      <c r="U59" s="404"/>
      <c r="V59" s="404"/>
      <c r="W59" s="404"/>
      <c r="X59" s="404"/>
      <c r="Y59" s="404"/>
      <c r="Z59" s="404"/>
      <c r="AA59" s="404"/>
    </row>
    <row r="60" ht="14.25" customHeight="1">
      <c r="A60" s="395">
        <v>30.0</v>
      </c>
      <c r="B60" s="396" t="s">
        <v>3086</v>
      </c>
      <c r="C60" s="402" t="s">
        <v>3153</v>
      </c>
      <c r="D60" s="396" t="s">
        <v>3004</v>
      </c>
      <c r="E60" s="397" t="s">
        <v>70</v>
      </c>
      <c r="F60" s="398">
        <v>1.465E8</v>
      </c>
      <c r="G60" s="396"/>
      <c r="H60" s="396" t="s">
        <v>2329</v>
      </c>
      <c r="I60" s="406"/>
      <c r="J60" s="396"/>
      <c r="K60" s="396"/>
      <c r="L60" s="396"/>
      <c r="M60" s="401"/>
      <c r="N60" s="396" t="s">
        <v>3154</v>
      </c>
      <c r="O60" s="409"/>
      <c r="P60" s="404"/>
      <c r="Q60" s="404"/>
      <c r="R60" s="404"/>
      <c r="S60" s="404"/>
      <c r="T60" s="404"/>
      <c r="U60" s="404"/>
      <c r="V60" s="404"/>
      <c r="W60" s="404"/>
      <c r="X60" s="404"/>
      <c r="Y60" s="404"/>
      <c r="Z60" s="404"/>
      <c r="AA60" s="404"/>
    </row>
    <row r="61" ht="24.75" customHeight="1">
      <c r="A61" s="395">
        <v>31.0</v>
      </c>
      <c r="B61" s="396" t="s">
        <v>3175</v>
      </c>
      <c r="C61" s="402" t="s">
        <v>3176</v>
      </c>
      <c r="D61" s="396" t="s">
        <v>3004</v>
      </c>
      <c r="E61" s="397" t="s">
        <v>70</v>
      </c>
      <c r="F61" s="398">
        <v>4.35E7</v>
      </c>
      <c r="G61" s="396" t="s">
        <v>3177</v>
      </c>
      <c r="H61" s="396" t="s">
        <v>611</v>
      </c>
      <c r="I61" s="406" t="s">
        <v>3178</v>
      </c>
      <c r="J61" s="396" t="s">
        <v>3179</v>
      </c>
      <c r="K61" s="400" t="s">
        <v>3180</v>
      </c>
      <c r="L61" s="408" t="s">
        <v>3181</v>
      </c>
      <c r="M61" s="401" t="s">
        <v>3004</v>
      </c>
      <c r="N61" s="396"/>
      <c r="O61" s="409"/>
      <c r="P61" s="404"/>
      <c r="Q61" s="404"/>
      <c r="R61" s="404"/>
      <c r="S61" s="404"/>
      <c r="T61" s="404"/>
      <c r="U61" s="404"/>
      <c r="V61" s="404"/>
      <c r="W61" s="404"/>
      <c r="X61" s="404"/>
      <c r="Y61" s="404"/>
      <c r="Z61" s="404"/>
      <c r="AA61" s="404"/>
    </row>
    <row r="62" ht="14.25" customHeight="1">
      <c r="A62" s="410"/>
      <c r="B62" s="411" t="s">
        <v>2806</v>
      </c>
      <c r="C62" s="411"/>
      <c r="D62" s="411"/>
      <c r="E62" s="412"/>
      <c r="F62" s="413">
        <f>SUM(F63:F71)</f>
        <v>2574495600</v>
      </c>
      <c r="G62" s="411"/>
      <c r="H62" s="411"/>
      <c r="I62" s="414"/>
      <c r="J62" s="411"/>
      <c r="K62" s="411"/>
      <c r="L62" s="411"/>
      <c r="M62" s="415"/>
      <c r="N62" s="396"/>
      <c r="O62" s="409"/>
      <c r="P62" s="404"/>
      <c r="Q62" s="404"/>
      <c r="R62" s="404"/>
      <c r="S62" s="404"/>
      <c r="T62" s="404"/>
      <c r="U62" s="404"/>
      <c r="V62" s="404"/>
      <c r="W62" s="404"/>
      <c r="X62" s="404"/>
      <c r="Y62" s="404"/>
      <c r="Z62" s="404"/>
      <c r="AA62" s="404"/>
    </row>
    <row r="63" ht="14.25" customHeight="1">
      <c r="A63" s="395">
        <v>1.0</v>
      </c>
      <c r="B63" s="396" t="s">
        <v>3182</v>
      </c>
      <c r="C63" s="396" t="s">
        <v>3183</v>
      </c>
      <c r="D63" s="396" t="s">
        <v>3004</v>
      </c>
      <c r="E63" s="397" t="s">
        <v>931</v>
      </c>
      <c r="F63" s="398">
        <v>1.655E8</v>
      </c>
      <c r="G63" s="396" t="s">
        <v>3184</v>
      </c>
      <c r="H63" s="396" t="s">
        <v>29</v>
      </c>
      <c r="I63" s="406" t="s">
        <v>3185</v>
      </c>
      <c r="J63" s="396" t="s">
        <v>3186</v>
      </c>
      <c r="K63" s="400" t="s">
        <v>3187</v>
      </c>
      <c r="L63" s="408" t="s">
        <v>3188</v>
      </c>
      <c r="M63" s="401"/>
      <c r="N63" s="396" t="s">
        <v>3189</v>
      </c>
      <c r="O63" s="416" t="s">
        <v>3019</v>
      </c>
      <c r="P63" s="404"/>
      <c r="Q63" s="404"/>
      <c r="R63" s="404"/>
      <c r="S63" s="404"/>
      <c r="T63" s="404"/>
      <c r="U63" s="404"/>
      <c r="V63" s="404"/>
      <c r="W63" s="404"/>
      <c r="X63" s="404"/>
      <c r="Y63" s="404"/>
      <c r="Z63" s="404"/>
      <c r="AA63" s="404"/>
    </row>
    <row r="64" ht="14.25" customHeight="1">
      <c r="A64" s="395">
        <v>2.0</v>
      </c>
      <c r="B64" s="396" t="s">
        <v>3182</v>
      </c>
      <c r="C64" s="396" t="s">
        <v>3183</v>
      </c>
      <c r="D64" s="396" t="s">
        <v>3004</v>
      </c>
      <c r="E64" s="397" t="s">
        <v>931</v>
      </c>
      <c r="F64" s="398">
        <v>1.2E8</v>
      </c>
      <c r="G64" s="396" t="s">
        <v>3184</v>
      </c>
      <c r="H64" s="396" t="s">
        <v>948</v>
      </c>
      <c r="I64" s="406" t="s">
        <v>3190</v>
      </c>
      <c r="J64" s="400" t="s">
        <v>3191</v>
      </c>
      <c r="K64" s="400" t="s">
        <v>3192</v>
      </c>
      <c r="L64" s="408" t="s">
        <v>3193</v>
      </c>
      <c r="M64" s="401"/>
      <c r="N64" s="396" t="s">
        <v>3189</v>
      </c>
      <c r="O64" s="416" t="s">
        <v>3019</v>
      </c>
      <c r="P64" s="404"/>
      <c r="Q64" s="404"/>
      <c r="R64" s="404"/>
      <c r="S64" s="404"/>
      <c r="T64" s="404"/>
      <c r="U64" s="404"/>
      <c r="V64" s="404"/>
      <c r="W64" s="404"/>
      <c r="X64" s="404"/>
      <c r="Y64" s="404"/>
      <c r="Z64" s="404"/>
      <c r="AA64" s="404"/>
    </row>
    <row r="65" ht="14.25" customHeight="1">
      <c r="A65" s="395">
        <v>3.0</v>
      </c>
      <c r="B65" s="396" t="s">
        <v>3182</v>
      </c>
      <c r="C65" s="396" t="s">
        <v>3183</v>
      </c>
      <c r="D65" s="396" t="s">
        <v>3004</v>
      </c>
      <c r="E65" s="397" t="s">
        <v>931</v>
      </c>
      <c r="F65" s="398">
        <v>1.605E8</v>
      </c>
      <c r="G65" s="396" t="s">
        <v>1025</v>
      </c>
      <c r="H65" s="396" t="s">
        <v>948</v>
      </c>
      <c r="I65" s="406" t="s">
        <v>3194</v>
      </c>
      <c r="J65" s="396" t="s">
        <v>3195</v>
      </c>
      <c r="K65" s="396"/>
      <c r="L65" s="396" t="s">
        <v>3196</v>
      </c>
      <c r="M65" s="401"/>
      <c r="N65" s="396" t="s">
        <v>3189</v>
      </c>
      <c r="O65" s="416" t="s">
        <v>3019</v>
      </c>
      <c r="P65" s="404"/>
      <c r="Q65" s="404"/>
      <c r="R65" s="404"/>
      <c r="S65" s="404"/>
      <c r="T65" s="404"/>
      <c r="U65" s="404"/>
      <c r="V65" s="404"/>
      <c r="W65" s="404"/>
      <c r="X65" s="404"/>
      <c r="Y65" s="404"/>
      <c r="Z65" s="404"/>
      <c r="AA65" s="404"/>
    </row>
    <row r="66" ht="14.25" customHeight="1">
      <c r="A66" s="395">
        <v>4.0</v>
      </c>
      <c r="B66" s="396" t="s">
        <v>3182</v>
      </c>
      <c r="C66" s="396" t="s">
        <v>3183</v>
      </c>
      <c r="D66" s="396" t="s">
        <v>3004</v>
      </c>
      <c r="E66" s="397" t="s">
        <v>70</v>
      </c>
      <c r="F66" s="398">
        <v>2.8985E8</v>
      </c>
      <c r="G66" s="396" t="s">
        <v>3197</v>
      </c>
      <c r="H66" s="396" t="s">
        <v>44</v>
      </c>
      <c r="I66" s="406" t="s">
        <v>3198</v>
      </c>
      <c r="J66" s="396" t="s">
        <v>3199</v>
      </c>
      <c r="K66" s="400" t="s">
        <v>3200</v>
      </c>
      <c r="L66" s="408" t="s">
        <v>3201</v>
      </c>
      <c r="M66" s="401"/>
      <c r="N66" s="396" t="s">
        <v>3189</v>
      </c>
      <c r="O66" s="416" t="s">
        <v>3019</v>
      </c>
      <c r="P66" s="404"/>
      <c r="Q66" s="404"/>
      <c r="R66" s="404"/>
      <c r="S66" s="404"/>
      <c r="T66" s="404"/>
      <c r="U66" s="404"/>
      <c r="V66" s="404"/>
      <c r="W66" s="404"/>
      <c r="X66" s="404"/>
      <c r="Y66" s="404"/>
      <c r="Z66" s="404"/>
      <c r="AA66" s="404"/>
    </row>
    <row r="67" ht="14.25" customHeight="1">
      <c r="A67" s="395">
        <v>5.0</v>
      </c>
      <c r="B67" s="396" t="s">
        <v>2807</v>
      </c>
      <c r="C67" s="396" t="s">
        <v>2807</v>
      </c>
      <c r="D67" s="396" t="s">
        <v>3004</v>
      </c>
      <c r="E67" s="397" t="s">
        <v>70</v>
      </c>
      <c r="F67" s="398">
        <v>3.675E8</v>
      </c>
      <c r="G67" s="396" t="s">
        <v>3202</v>
      </c>
      <c r="H67" s="396" t="s">
        <v>71</v>
      </c>
      <c r="I67" s="406" t="s">
        <v>3203</v>
      </c>
      <c r="J67" s="396" t="s">
        <v>3204</v>
      </c>
      <c r="K67" s="400" t="s">
        <v>3205</v>
      </c>
      <c r="L67" s="408" t="s">
        <v>3206</v>
      </c>
      <c r="M67" s="401"/>
      <c r="N67" s="396" t="s">
        <v>3207</v>
      </c>
      <c r="O67" s="409"/>
      <c r="P67" s="404"/>
      <c r="Q67" s="404"/>
      <c r="R67" s="404"/>
      <c r="S67" s="404"/>
      <c r="T67" s="404"/>
      <c r="U67" s="404"/>
      <c r="V67" s="404"/>
      <c r="W67" s="404"/>
      <c r="X67" s="404"/>
      <c r="Y67" s="404"/>
      <c r="Z67" s="404"/>
      <c r="AA67" s="404"/>
    </row>
    <row r="68" ht="14.25" customHeight="1">
      <c r="A68" s="395">
        <v>6.0</v>
      </c>
      <c r="B68" s="396" t="s">
        <v>3182</v>
      </c>
      <c r="C68" s="396" t="s">
        <v>3182</v>
      </c>
      <c r="D68" s="396" t="s">
        <v>3004</v>
      </c>
      <c r="E68" s="397" t="s">
        <v>70</v>
      </c>
      <c r="F68" s="398">
        <v>3.732E8</v>
      </c>
      <c r="G68" s="396" t="s">
        <v>3208</v>
      </c>
      <c r="H68" s="396" t="s">
        <v>71</v>
      </c>
      <c r="I68" s="406" t="s">
        <v>3209</v>
      </c>
      <c r="J68" s="396" t="s">
        <v>3210</v>
      </c>
      <c r="K68" s="400" t="s">
        <v>3211</v>
      </c>
      <c r="L68" s="408" t="s">
        <v>3212</v>
      </c>
      <c r="M68" s="401"/>
      <c r="N68" s="396" t="s">
        <v>3213</v>
      </c>
      <c r="O68" s="409"/>
      <c r="P68" s="404"/>
      <c r="Q68" s="404"/>
      <c r="R68" s="404"/>
      <c r="S68" s="404"/>
      <c r="T68" s="404"/>
      <c r="U68" s="404"/>
      <c r="V68" s="404"/>
      <c r="W68" s="404"/>
      <c r="X68" s="404"/>
      <c r="Y68" s="404"/>
      <c r="Z68" s="404"/>
      <c r="AA68" s="404"/>
    </row>
    <row r="69" ht="14.25" customHeight="1">
      <c r="A69" s="395">
        <v>7.0</v>
      </c>
      <c r="B69" s="396" t="s">
        <v>3182</v>
      </c>
      <c r="C69" s="396" t="s">
        <v>3182</v>
      </c>
      <c r="D69" s="396" t="s">
        <v>3004</v>
      </c>
      <c r="E69" s="397" t="s">
        <v>70</v>
      </c>
      <c r="F69" s="398">
        <v>3.732E8</v>
      </c>
      <c r="G69" s="396" t="s">
        <v>3208</v>
      </c>
      <c r="H69" s="396" t="s">
        <v>71</v>
      </c>
      <c r="I69" s="406" t="s">
        <v>3214</v>
      </c>
      <c r="J69" s="396" t="s">
        <v>3215</v>
      </c>
      <c r="K69" s="400" t="s">
        <v>3216</v>
      </c>
      <c r="L69" s="408" t="s">
        <v>3217</v>
      </c>
      <c r="M69" s="401"/>
      <c r="N69" s="396" t="s">
        <v>3218</v>
      </c>
      <c r="O69" s="409"/>
      <c r="P69" s="404"/>
      <c r="Q69" s="404"/>
      <c r="R69" s="404"/>
      <c r="S69" s="404"/>
      <c r="T69" s="404"/>
      <c r="U69" s="404"/>
      <c r="V69" s="404"/>
      <c r="W69" s="404"/>
      <c r="X69" s="404"/>
      <c r="Y69" s="404"/>
      <c r="Z69" s="404"/>
      <c r="AA69" s="404"/>
    </row>
    <row r="70" ht="14.25" customHeight="1">
      <c r="A70" s="395">
        <v>8.0</v>
      </c>
      <c r="B70" s="396" t="s">
        <v>3182</v>
      </c>
      <c r="C70" s="396" t="s">
        <v>3182</v>
      </c>
      <c r="D70" s="396" t="s">
        <v>3004</v>
      </c>
      <c r="E70" s="397" t="s">
        <v>70</v>
      </c>
      <c r="F70" s="398">
        <v>3.29E8</v>
      </c>
      <c r="G70" s="396" t="s">
        <v>3219</v>
      </c>
      <c r="H70" s="396" t="s">
        <v>71</v>
      </c>
      <c r="I70" s="406" t="s">
        <v>3220</v>
      </c>
      <c r="J70" s="396" t="s">
        <v>3221</v>
      </c>
      <c r="K70" s="400" t="s">
        <v>3222</v>
      </c>
      <c r="L70" s="408" t="s">
        <v>3223</v>
      </c>
      <c r="M70" s="401"/>
      <c r="N70" s="396" t="s">
        <v>3224</v>
      </c>
      <c r="O70" s="409"/>
      <c r="P70" s="404"/>
      <c r="Q70" s="404"/>
      <c r="R70" s="404"/>
      <c r="S70" s="404"/>
      <c r="T70" s="404"/>
      <c r="U70" s="404"/>
      <c r="V70" s="404"/>
      <c r="W70" s="404"/>
      <c r="X70" s="404"/>
      <c r="Y70" s="404"/>
      <c r="Z70" s="404"/>
      <c r="AA70" s="404"/>
    </row>
    <row r="71" ht="14.25" customHeight="1">
      <c r="A71" s="417">
        <v>9.0</v>
      </c>
      <c r="B71" s="418" t="s">
        <v>3182</v>
      </c>
      <c r="C71" s="418" t="s">
        <v>3182</v>
      </c>
      <c r="D71" s="418" t="s">
        <v>3004</v>
      </c>
      <c r="E71" s="419" t="s">
        <v>70</v>
      </c>
      <c r="F71" s="420">
        <v>3.957456E8</v>
      </c>
      <c r="G71" s="418" t="s">
        <v>3225</v>
      </c>
      <c r="H71" s="418" t="s">
        <v>1076</v>
      </c>
      <c r="I71" s="421" t="s">
        <v>3226</v>
      </c>
      <c r="J71" s="418" t="s">
        <v>3227</v>
      </c>
      <c r="K71" s="422" t="s">
        <v>3228</v>
      </c>
      <c r="L71" s="418" t="s">
        <v>3229</v>
      </c>
      <c r="M71" s="423"/>
      <c r="N71" s="418" t="s">
        <v>3230</v>
      </c>
      <c r="O71" s="409"/>
      <c r="P71" s="404"/>
      <c r="Q71" s="404"/>
      <c r="R71" s="404"/>
      <c r="S71" s="404"/>
      <c r="T71" s="404"/>
      <c r="U71" s="404"/>
      <c r="V71" s="404"/>
      <c r="W71" s="404"/>
      <c r="X71" s="404"/>
      <c r="Y71" s="404"/>
      <c r="Z71" s="404"/>
      <c r="AA71" s="404"/>
    </row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3:M3"/>
    <mergeCell ref="A4:M4"/>
  </mergeCells>
  <printOptions/>
  <pageMargins bottom="0.7480314960629921" footer="0.0" header="0.0" left="0.7086614173228347" right="0.7086614173228347" top="0.7480314960629921"/>
  <pageSetup paperSize="5" scale="45" orientation="landscape"/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workbookViewId="0"/>
  </sheetViews>
  <sheetFormatPr customHeight="1" defaultColWidth="14.43" defaultRowHeight="15.0"/>
  <cols>
    <col customWidth="1" min="1" max="1" width="5.29"/>
    <col customWidth="1" min="2" max="2" width="39.43"/>
    <col customWidth="1" min="3" max="3" width="43.0"/>
    <col customWidth="1" min="4" max="4" width="12.14"/>
    <col customWidth="1" min="5" max="5" width="9.14"/>
    <col customWidth="1" min="6" max="6" width="18.0"/>
    <col customWidth="1" min="7" max="7" width="29.29"/>
    <col customWidth="1" min="8" max="8" width="9.0"/>
    <col customWidth="1" min="9" max="9" width="10.71"/>
    <col customWidth="1" min="10" max="10" width="21.29"/>
    <col customWidth="1" min="11" max="11" width="20.0"/>
    <col customWidth="1" min="12" max="12" width="15.29"/>
    <col customWidth="1" min="13" max="13" width="17.43"/>
    <col customWidth="1" min="14" max="14" width="12.57"/>
    <col customWidth="1" min="15" max="15" width="9.0"/>
    <col customWidth="1" min="16" max="16" width="12.29"/>
    <col customWidth="1" min="17" max="17" width="14.86"/>
    <col customWidth="1" min="18" max="36" width="9.0"/>
  </cols>
  <sheetData>
    <row r="1" ht="14.25" customHeight="1"/>
    <row r="2" ht="14.25" customHeight="1"/>
    <row r="3" ht="14.25" customHeight="1">
      <c r="A3" s="1" t="s">
        <v>0</v>
      </c>
    </row>
    <row r="4" ht="14.25" customHeight="1">
      <c r="A4" s="1" t="s">
        <v>1</v>
      </c>
    </row>
    <row r="5" ht="14.25" customHeight="1"/>
    <row r="6" ht="14.25" customHeight="1"/>
    <row r="7" ht="14.25" customHeight="1">
      <c r="A7" s="2" t="s">
        <v>2</v>
      </c>
      <c r="C7" s="2" t="s">
        <v>3</v>
      </c>
    </row>
    <row r="8" ht="14.25" customHeight="1">
      <c r="A8" s="2" t="s">
        <v>4</v>
      </c>
      <c r="C8" s="2" t="s">
        <v>5</v>
      </c>
    </row>
    <row r="9" ht="14.25" customHeight="1">
      <c r="A9" s="2" t="s">
        <v>6</v>
      </c>
      <c r="C9" s="2" t="s">
        <v>3231</v>
      </c>
    </row>
    <row r="10" ht="14.25" customHeight="1">
      <c r="A10" s="169" t="s">
        <v>8</v>
      </c>
      <c r="B10" s="170" t="s">
        <v>9</v>
      </c>
      <c r="C10" s="170" t="s">
        <v>10</v>
      </c>
      <c r="D10" s="170" t="s">
        <v>11</v>
      </c>
      <c r="E10" s="170" t="s">
        <v>12</v>
      </c>
      <c r="F10" s="170" t="s">
        <v>13</v>
      </c>
      <c r="G10" s="170" t="s">
        <v>14</v>
      </c>
      <c r="H10" s="170" t="s">
        <v>15</v>
      </c>
      <c r="I10" s="170" t="s">
        <v>16</v>
      </c>
      <c r="J10" s="170" t="s">
        <v>17</v>
      </c>
      <c r="K10" s="246" t="s">
        <v>766</v>
      </c>
      <c r="L10" s="170" t="s">
        <v>1882</v>
      </c>
      <c r="M10" s="171" t="s">
        <v>20</v>
      </c>
      <c r="N10" s="170" t="s">
        <v>1883</v>
      </c>
      <c r="O10" s="424" t="s">
        <v>3232</v>
      </c>
      <c r="P10" s="424" t="s">
        <v>3233</v>
      </c>
      <c r="Q10" s="425" t="s">
        <v>2209</v>
      </c>
    </row>
    <row r="11" ht="14.25" customHeight="1">
      <c r="A11" s="426"/>
      <c r="B11" s="317" t="s">
        <v>23</v>
      </c>
      <c r="C11" s="317"/>
      <c r="D11" s="317"/>
      <c r="E11" s="317"/>
      <c r="F11" s="427">
        <v>9.41697E8</v>
      </c>
      <c r="G11" s="317"/>
      <c r="H11" s="317"/>
      <c r="I11" s="317"/>
      <c r="J11" s="317"/>
      <c r="K11" s="317"/>
      <c r="L11" s="317"/>
      <c r="M11" s="428"/>
      <c r="N11" s="428"/>
      <c r="O11" s="381"/>
      <c r="P11" s="381"/>
      <c r="Q11" s="321"/>
    </row>
    <row r="12" ht="14.25" customHeight="1">
      <c r="A12" s="429">
        <v>1.0</v>
      </c>
      <c r="B12" s="175" t="s">
        <v>779</v>
      </c>
      <c r="C12" s="175"/>
      <c r="D12" s="175" t="s">
        <v>3234</v>
      </c>
      <c r="E12" s="175" t="s">
        <v>70</v>
      </c>
      <c r="F12" s="177">
        <v>1.8875E8</v>
      </c>
      <c r="G12" s="175" t="s">
        <v>3235</v>
      </c>
      <c r="H12" s="175" t="s">
        <v>84</v>
      </c>
      <c r="I12" s="175" t="s">
        <v>3236</v>
      </c>
      <c r="J12" s="175" t="s">
        <v>3237</v>
      </c>
      <c r="K12" s="175"/>
      <c r="L12" s="175"/>
      <c r="M12" s="391"/>
      <c r="N12" s="175" t="s">
        <v>3238</v>
      </c>
      <c r="O12" s="175" t="s">
        <v>3239</v>
      </c>
      <c r="P12" s="175"/>
      <c r="Q12" s="430" t="s">
        <v>3240</v>
      </c>
    </row>
    <row r="13" ht="14.25" customHeight="1">
      <c r="A13" s="429">
        <v>2.0</v>
      </c>
      <c r="B13" s="175" t="s">
        <v>779</v>
      </c>
      <c r="C13" s="175"/>
      <c r="D13" s="175" t="s">
        <v>3234</v>
      </c>
      <c r="E13" s="175" t="s">
        <v>70</v>
      </c>
      <c r="F13" s="177">
        <v>2.32947E8</v>
      </c>
      <c r="G13" s="175" t="s">
        <v>3241</v>
      </c>
      <c r="H13" s="175" t="s">
        <v>474</v>
      </c>
      <c r="I13" s="175" t="s">
        <v>3242</v>
      </c>
      <c r="J13" s="175" t="s">
        <v>3243</v>
      </c>
      <c r="K13" s="178" t="s">
        <v>3244</v>
      </c>
      <c r="L13" s="17" t="s">
        <v>3245</v>
      </c>
      <c r="M13" s="391"/>
      <c r="N13" s="175" t="s">
        <v>3246</v>
      </c>
      <c r="O13" s="175" t="s">
        <v>3247</v>
      </c>
      <c r="P13" s="175" t="s">
        <v>3248</v>
      </c>
      <c r="Q13" s="321"/>
    </row>
    <row r="14" ht="14.25" customHeight="1">
      <c r="A14" s="429">
        <v>3.0</v>
      </c>
      <c r="B14" s="175" t="s">
        <v>779</v>
      </c>
      <c r="C14" s="175"/>
      <c r="D14" s="175" t="s">
        <v>3234</v>
      </c>
      <c r="E14" s="175" t="s">
        <v>70</v>
      </c>
      <c r="F14" s="177">
        <v>2.69E8</v>
      </c>
      <c r="G14" s="175" t="s">
        <v>3249</v>
      </c>
      <c r="H14" s="175" t="s">
        <v>92</v>
      </c>
      <c r="I14" s="175" t="s">
        <v>3250</v>
      </c>
      <c r="J14" s="175" t="s">
        <v>3251</v>
      </c>
      <c r="K14" s="175"/>
      <c r="L14" s="175"/>
      <c r="M14" s="391"/>
      <c r="N14" s="175" t="s">
        <v>3238</v>
      </c>
      <c r="O14" s="175" t="s">
        <v>3239</v>
      </c>
      <c r="P14" s="175" t="s">
        <v>3252</v>
      </c>
      <c r="Q14" s="321"/>
    </row>
    <row r="15" ht="14.25" customHeight="1">
      <c r="A15" s="429">
        <v>4.0</v>
      </c>
      <c r="B15" s="175" t="s">
        <v>779</v>
      </c>
      <c r="C15" s="175"/>
      <c r="D15" s="175" t="s">
        <v>3234</v>
      </c>
      <c r="E15" s="175" t="s">
        <v>70</v>
      </c>
      <c r="F15" s="177">
        <v>2.51E8</v>
      </c>
      <c r="G15" s="175" t="s">
        <v>3253</v>
      </c>
      <c r="H15" s="175" t="s">
        <v>862</v>
      </c>
      <c r="I15" s="175" t="s">
        <v>3254</v>
      </c>
      <c r="J15" s="175" t="s">
        <v>3255</v>
      </c>
      <c r="K15" s="178" t="s">
        <v>3256</v>
      </c>
      <c r="L15" s="17" t="s">
        <v>3257</v>
      </c>
      <c r="M15" s="391"/>
      <c r="N15" s="175" t="s">
        <v>3246</v>
      </c>
      <c r="O15" s="175" t="s">
        <v>25</v>
      </c>
      <c r="P15" s="175"/>
      <c r="Q15" s="430"/>
    </row>
    <row r="16" ht="14.25" customHeight="1">
      <c r="A16" s="426"/>
      <c r="B16" s="317" t="s">
        <v>1933</v>
      </c>
      <c r="C16" s="317"/>
      <c r="D16" s="317"/>
      <c r="E16" s="317"/>
      <c r="F16" s="427">
        <v>4.755E8</v>
      </c>
      <c r="G16" s="317"/>
      <c r="H16" s="317"/>
      <c r="I16" s="317"/>
      <c r="J16" s="317"/>
      <c r="K16" s="317"/>
      <c r="L16" s="317"/>
      <c r="M16" s="428"/>
      <c r="N16" s="428"/>
      <c r="O16" s="175"/>
      <c r="P16" s="175"/>
      <c r="Q16" s="431"/>
      <c r="R16" s="179"/>
      <c r="S16" s="179"/>
      <c r="T16" s="179"/>
      <c r="U16" s="179"/>
      <c r="V16" s="179"/>
      <c r="W16" s="179"/>
      <c r="X16" s="179"/>
      <c r="Y16" s="179"/>
      <c r="Z16" s="179"/>
      <c r="AA16" s="179"/>
      <c r="AB16" s="179"/>
      <c r="AC16" s="179"/>
      <c r="AD16" s="179"/>
      <c r="AE16" s="179"/>
      <c r="AF16" s="179"/>
      <c r="AG16" s="179"/>
      <c r="AH16" s="179"/>
      <c r="AI16" s="179"/>
      <c r="AJ16" s="179"/>
    </row>
    <row r="17" ht="14.25" customHeight="1">
      <c r="A17" s="429">
        <v>5.0</v>
      </c>
      <c r="B17" s="175" t="s">
        <v>3258</v>
      </c>
      <c r="C17" s="175" t="s">
        <v>3259</v>
      </c>
      <c r="D17" s="175" t="s">
        <v>3234</v>
      </c>
      <c r="E17" s="175" t="s">
        <v>70</v>
      </c>
      <c r="F17" s="177">
        <v>4.755E8</v>
      </c>
      <c r="G17" s="175" t="s">
        <v>3260</v>
      </c>
      <c r="H17" s="175" t="s">
        <v>2329</v>
      </c>
      <c r="I17" s="175" t="s">
        <v>3261</v>
      </c>
      <c r="J17" s="175" t="s">
        <v>3262</v>
      </c>
      <c r="K17" s="178" t="s">
        <v>3263</v>
      </c>
      <c r="L17" s="17" t="s">
        <v>3264</v>
      </c>
      <c r="M17" s="391"/>
      <c r="N17" s="175" t="s">
        <v>3265</v>
      </c>
      <c r="O17" s="175" t="s">
        <v>25</v>
      </c>
      <c r="P17" s="175"/>
      <c r="Q17" s="431"/>
      <c r="R17" s="179"/>
      <c r="S17" s="179"/>
      <c r="T17" s="179"/>
      <c r="U17" s="179"/>
      <c r="V17" s="179"/>
      <c r="W17" s="179"/>
      <c r="X17" s="179"/>
      <c r="Y17" s="179"/>
      <c r="Z17" s="179"/>
      <c r="AA17" s="179"/>
      <c r="AB17" s="179"/>
      <c r="AC17" s="179"/>
      <c r="AD17" s="179"/>
      <c r="AE17" s="179"/>
      <c r="AF17" s="179"/>
      <c r="AG17" s="179"/>
      <c r="AH17" s="179"/>
      <c r="AI17" s="179"/>
      <c r="AJ17" s="179"/>
    </row>
    <row r="18" ht="14.25" customHeight="1">
      <c r="A18" s="426"/>
      <c r="B18" s="317" t="s">
        <v>99</v>
      </c>
      <c r="C18" s="317"/>
      <c r="D18" s="317"/>
      <c r="E18" s="317"/>
      <c r="F18" s="427">
        <v>2.06253334E8</v>
      </c>
      <c r="G18" s="317"/>
      <c r="H18" s="317"/>
      <c r="I18" s="317"/>
      <c r="J18" s="317"/>
      <c r="K18" s="317"/>
      <c r="L18" s="317"/>
      <c r="M18" s="428"/>
      <c r="N18" s="428"/>
      <c r="O18" s="175"/>
      <c r="P18" s="175"/>
      <c r="Q18" s="431"/>
      <c r="R18" s="179"/>
      <c r="S18" s="179"/>
      <c r="T18" s="179"/>
      <c r="U18" s="179"/>
      <c r="V18" s="179"/>
      <c r="W18" s="179"/>
      <c r="X18" s="179"/>
      <c r="Y18" s="179"/>
      <c r="Z18" s="179"/>
      <c r="AA18" s="179"/>
      <c r="AB18" s="179"/>
      <c r="AC18" s="179"/>
      <c r="AD18" s="179"/>
      <c r="AE18" s="179"/>
      <c r="AF18" s="179"/>
      <c r="AG18" s="179"/>
      <c r="AH18" s="179"/>
      <c r="AI18" s="179"/>
      <c r="AJ18" s="179"/>
    </row>
    <row r="19" ht="14.25" customHeight="1">
      <c r="A19" s="429">
        <v>1.0</v>
      </c>
      <c r="B19" s="175" t="s">
        <v>100</v>
      </c>
      <c r="C19" s="175"/>
      <c r="D19" s="175" t="s">
        <v>3234</v>
      </c>
      <c r="E19" s="175" t="s">
        <v>70</v>
      </c>
      <c r="F19" s="177">
        <v>1.2725E7</v>
      </c>
      <c r="G19" s="175" t="s">
        <v>3266</v>
      </c>
      <c r="H19" s="175" t="s">
        <v>37</v>
      </c>
      <c r="I19" s="175" t="s">
        <v>3267</v>
      </c>
      <c r="J19" s="175" t="s">
        <v>3268</v>
      </c>
      <c r="K19" s="178" t="s">
        <v>3269</v>
      </c>
      <c r="L19" s="17" t="s">
        <v>3270</v>
      </c>
      <c r="M19" s="391"/>
      <c r="N19" s="175" t="s">
        <v>3271</v>
      </c>
      <c r="O19" s="175" t="s">
        <v>25</v>
      </c>
      <c r="P19" s="175"/>
      <c r="Q19" s="431"/>
      <c r="R19" s="179"/>
      <c r="S19" s="179"/>
      <c r="T19" s="179"/>
      <c r="U19" s="179"/>
      <c r="V19" s="179"/>
      <c r="W19" s="179"/>
      <c r="X19" s="179"/>
      <c r="Y19" s="179"/>
      <c r="Z19" s="179"/>
      <c r="AA19" s="179"/>
      <c r="AB19" s="179"/>
      <c r="AC19" s="179"/>
      <c r="AD19" s="179"/>
      <c r="AE19" s="179"/>
      <c r="AF19" s="179"/>
      <c r="AG19" s="179"/>
      <c r="AH19" s="179"/>
      <c r="AI19" s="179"/>
      <c r="AJ19" s="179"/>
    </row>
    <row r="20" ht="14.25" customHeight="1">
      <c r="A20" s="429">
        <v>2.0</v>
      </c>
      <c r="B20" s="175" t="s">
        <v>100</v>
      </c>
      <c r="C20" s="175"/>
      <c r="D20" s="175" t="s">
        <v>3234</v>
      </c>
      <c r="E20" s="175" t="s">
        <v>70</v>
      </c>
      <c r="F20" s="177">
        <v>1.4833334E7</v>
      </c>
      <c r="G20" s="175" t="s">
        <v>3272</v>
      </c>
      <c r="H20" s="175" t="s">
        <v>84</v>
      </c>
      <c r="I20" s="394" t="s">
        <v>3273</v>
      </c>
      <c r="J20" s="175" t="s">
        <v>3274</v>
      </c>
      <c r="K20" s="178" t="s">
        <v>3275</v>
      </c>
      <c r="L20" s="17" t="s">
        <v>3276</v>
      </c>
      <c r="M20" s="391" t="s">
        <v>3277</v>
      </c>
      <c r="N20" s="175" t="s">
        <v>3271</v>
      </c>
      <c r="O20" s="175" t="s">
        <v>25</v>
      </c>
      <c r="P20" s="175"/>
      <c r="Q20" s="431"/>
      <c r="R20" s="179"/>
      <c r="S20" s="179"/>
      <c r="T20" s="179"/>
      <c r="U20" s="179"/>
      <c r="V20" s="179"/>
      <c r="W20" s="179"/>
      <c r="X20" s="179"/>
      <c r="Y20" s="179"/>
      <c r="Z20" s="179"/>
      <c r="AA20" s="179"/>
      <c r="AB20" s="179"/>
      <c r="AC20" s="179"/>
      <c r="AD20" s="179"/>
      <c r="AE20" s="179"/>
      <c r="AF20" s="179"/>
      <c r="AG20" s="179"/>
      <c r="AH20" s="179"/>
      <c r="AI20" s="179"/>
      <c r="AJ20" s="179"/>
    </row>
    <row r="21" ht="14.25" customHeight="1">
      <c r="A21" s="429">
        <v>3.0</v>
      </c>
      <c r="B21" s="175" t="s">
        <v>100</v>
      </c>
      <c r="C21" s="175"/>
      <c r="D21" s="175" t="s">
        <v>3234</v>
      </c>
      <c r="E21" s="175" t="s">
        <v>70</v>
      </c>
      <c r="F21" s="177">
        <v>1.2675E7</v>
      </c>
      <c r="G21" s="175" t="s">
        <v>3278</v>
      </c>
      <c r="H21" s="175" t="s">
        <v>84</v>
      </c>
      <c r="I21" s="175" t="s">
        <v>3279</v>
      </c>
      <c r="J21" s="175" t="s">
        <v>3280</v>
      </c>
      <c r="K21" s="175" t="s">
        <v>3281</v>
      </c>
      <c r="L21" s="432" t="s">
        <v>3282</v>
      </c>
      <c r="M21" s="391"/>
      <c r="N21" s="175" t="s">
        <v>3283</v>
      </c>
      <c r="O21" s="175" t="s">
        <v>25</v>
      </c>
      <c r="P21" s="175"/>
      <c r="Q21" s="431"/>
      <c r="R21" s="179"/>
      <c r="S21" s="179"/>
      <c r="T21" s="179"/>
      <c r="U21" s="179"/>
      <c r="V21" s="179"/>
      <c r="W21" s="179"/>
      <c r="X21" s="179"/>
      <c r="Y21" s="179"/>
      <c r="Z21" s="179"/>
      <c r="AA21" s="179"/>
      <c r="AB21" s="179"/>
      <c r="AC21" s="179"/>
      <c r="AD21" s="179"/>
      <c r="AE21" s="179"/>
      <c r="AF21" s="179"/>
      <c r="AG21" s="179"/>
      <c r="AH21" s="179"/>
      <c r="AI21" s="179"/>
      <c r="AJ21" s="179"/>
    </row>
    <row r="22" ht="14.25" customHeight="1">
      <c r="A22" s="429">
        <v>4.0</v>
      </c>
      <c r="B22" s="175" t="s">
        <v>100</v>
      </c>
      <c r="C22" s="175"/>
      <c r="D22" s="175" t="s">
        <v>3234</v>
      </c>
      <c r="E22" s="175" t="s">
        <v>70</v>
      </c>
      <c r="F22" s="177">
        <v>1.77072E7</v>
      </c>
      <c r="G22" s="175" t="s">
        <v>3284</v>
      </c>
      <c r="H22" s="175" t="s">
        <v>44</v>
      </c>
      <c r="I22" s="175" t="s">
        <v>3285</v>
      </c>
      <c r="J22" s="175" t="s">
        <v>3286</v>
      </c>
      <c r="K22" s="175" t="s">
        <v>3287</v>
      </c>
      <c r="L22" s="432" t="s">
        <v>3288</v>
      </c>
      <c r="M22" s="391"/>
      <c r="N22" s="175" t="s">
        <v>3289</v>
      </c>
      <c r="O22" s="175" t="s">
        <v>25</v>
      </c>
      <c r="P22" s="175"/>
      <c r="Q22" s="431"/>
      <c r="R22" s="179"/>
      <c r="S22" s="179"/>
      <c r="T22" s="179"/>
      <c r="U22" s="179"/>
      <c r="V22" s="179"/>
      <c r="W22" s="179"/>
      <c r="X22" s="179"/>
      <c r="Y22" s="179"/>
      <c r="Z22" s="179"/>
      <c r="AA22" s="179"/>
      <c r="AB22" s="179"/>
      <c r="AC22" s="179"/>
      <c r="AD22" s="179"/>
      <c r="AE22" s="179"/>
      <c r="AF22" s="179"/>
      <c r="AG22" s="179"/>
      <c r="AH22" s="179"/>
      <c r="AI22" s="179"/>
      <c r="AJ22" s="179"/>
    </row>
    <row r="23" ht="14.25" customHeight="1">
      <c r="A23" s="429">
        <v>5.0</v>
      </c>
      <c r="B23" s="175" t="s">
        <v>100</v>
      </c>
      <c r="C23" s="175"/>
      <c r="D23" s="175" t="s">
        <v>3234</v>
      </c>
      <c r="E23" s="175" t="s">
        <v>70</v>
      </c>
      <c r="F23" s="177">
        <v>1.39192E7</v>
      </c>
      <c r="G23" s="175" t="s">
        <v>3290</v>
      </c>
      <c r="H23" s="175" t="s">
        <v>44</v>
      </c>
      <c r="I23" s="175" t="s">
        <v>3291</v>
      </c>
      <c r="J23" s="175" t="s">
        <v>3292</v>
      </c>
      <c r="K23" s="175" t="s">
        <v>3293</v>
      </c>
      <c r="L23" s="432" t="s">
        <v>3294</v>
      </c>
      <c r="M23" s="391"/>
      <c r="N23" s="175" t="s">
        <v>3289</v>
      </c>
      <c r="O23" s="175" t="s">
        <v>25</v>
      </c>
      <c r="P23" s="175"/>
      <c r="Q23" s="431"/>
      <c r="R23" s="179"/>
      <c r="S23" s="179"/>
      <c r="T23" s="179"/>
      <c r="U23" s="179"/>
      <c r="V23" s="179"/>
      <c r="W23" s="179"/>
      <c r="X23" s="179"/>
      <c r="Y23" s="179"/>
      <c r="Z23" s="179"/>
      <c r="AA23" s="179"/>
      <c r="AB23" s="179"/>
      <c r="AC23" s="179"/>
      <c r="AD23" s="179"/>
      <c r="AE23" s="179"/>
      <c r="AF23" s="179"/>
      <c r="AG23" s="179"/>
      <c r="AH23" s="179"/>
      <c r="AI23" s="179"/>
      <c r="AJ23" s="179"/>
    </row>
    <row r="24" ht="14.25" customHeight="1">
      <c r="A24" s="429">
        <v>6.0</v>
      </c>
      <c r="B24" s="175" t="s">
        <v>100</v>
      </c>
      <c r="C24" s="175"/>
      <c r="D24" s="175" t="s">
        <v>3234</v>
      </c>
      <c r="E24" s="175" t="s">
        <v>70</v>
      </c>
      <c r="F24" s="177">
        <v>1.10614E7</v>
      </c>
      <c r="G24" s="175" t="s">
        <v>3295</v>
      </c>
      <c r="H24" s="175" t="s">
        <v>92</v>
      </c>
      <c r="I24" s="175" t="s">
        <v>3296</v>
      </c>
      <c r="J24" s="175" t="s">
        <v>3297</v>
      </c>
      <c r="K24" s="178" t="s">
        <v>3298</v>
      </c>
      <c r="L24" s="432" t="s">
        <v>3299</v>
      </c>
      <c r="M24" s="391"/>
      <c r="N24" s="175" t="s">
        <v>3271</v>
      </c>
      <c r="O24" s="175" t="s">
        <v>25</v>
      </c>
      <c r="P24" s="175"/>
      <c r="Q24" s="431"/>
      <c r="R24" s="179"/>
      <c r="S24" s="179"/>
      <c r="T24" s="179"/>
      <c r="U24" s="179"/>
      <c r="V24" s="179"/>
      <c r="W24" s="179"/>
      <c r="X24" s="179"/>
      <c r="Y24" s="179"/>
      <c r="Z24" s="179"/>
      <c r="AA24" s="179"/>
      <c r="AB24" s="179"/>
      <c r="AC24" s="179"/>
      <c r="AD24" s="179"/>
      <c r="AE24" s="179"/>
      <c r="AF24" s="179"/>
      <c r="AG24" s="179"/>
      <c r="AH24" s="179"/>
      <c r="AI24" s="179"/>
      <c r="AJ24" s="179"/>
    </row>
    <row r="25" ht="14.25" customHeight="1">
      <c r="A25" s="429">
        <v>7.0</v>
      </c>
      <c r="B25" s="175" t="s">
        <v>100</v>
      </c>
      <c r="C25" s="175"/>
      <c r="D25" s="175" t="s">
        <v>3234</v>
      </c>
      <c r="E25" s="175" t="s">
        <v>70</v>
      </c>
      <c r="F25" s="177">
        <v>1.10614E7</v>
      </c>
      <c r="G25" s="175" t="s">
        <v>3295</v>
      </c>
      <c r="H25" s="175" t="s">
        <v>92</v>
      </c>
      <c r="I25" s="394" t="s">
        <v>3300</v>
      </c>
      <c r="J25" s="175" t="s">
        <v>3301</v>
      </c>
      <c r="K25" s="178" t="s">
        <v>3302</v>
      </c>
      <c r="L25" s="17" t="s">
        <v>3303</v>
      </c>
      <c r="M25" s="391"/>
      <c r="N25" s="175" t="s">
        <v>3289</v>
      </c>
      <c r="O25" s="175" t="s">
        <v>25</v>
      </c>
      <c r="P25" s="175"/>
      <c r="Q25" s="431"/>
      <c r="R25" s="179"/>
      <c r="S25" s="179"/>
      <c r="T25" s="179"/>
      <c r="U25" s="179"/>
      <c r="V25" s="179"/>
      <c r="W25" s="179"/>
      <c r="X25" s="179"/>
      <c r="Y25" s="179"/>
      <c r="Z25" s="179"/>
      <c r="AA25" s="179"/>
      <c r="AB25" s="179"/>
      <c r="AC25" s="179"/>
      <c r="AD25" s="179"/>
      <c r="AE25" s="179"/>
      <c r="AF25" s="179"/>
      <c r="AG25" s="179"/>
      <c r="AH25" s="179"/>
      <c r="AI25" s="179"/>
      <c r="AJ25" s="179"/>
    </row>
    <row r="26" ht="14.25" customHeight="1">
      <c r="A26" s="429">
        <v>8.0</v>
      </c>
      <c r="B26" s="175" t="s">
        <v>100</v>
      </c>
      <c r="C26" s="175"/>
      <c r="D26" s="175" t="s">
        <v>3234</v>
      </c>
      <c r="E26" s="175" t="s">
        <v>70</v>
      </c>
      <c r="F26" s="177">
        <v>2.21228E7</v>
      </c>
      <c r="G26" s="175" t="s">
        <v>3304</v>
      </c>
      <c r="H26" s="175" t="s">
        <v>92</v>
      </c>
      <c r="I26" s="175" t="s">
        <v>3305</v>
      </c>
      <c r="J26" s="175" t="s">
        <v>3306</v>
      </c>
      <c r="K26" s="175" t="s">
        <v>3307</v>
      </c>
      <c r="L26" s="432" t="s">
        <v>3308</v>
      </c>
      <c r="M26" s="391"/>
      <c r="N26" s="175" t="s">
        <v>3289</v>
      </c>
      <c r="O26" s="175" t="s">
        <v>25</v>
      </c>
      <c r="P26" s="175"/>
      <c r="Q26" s="431"/>
      <c r="R26" s="179"/>
      <c r="S26" s="179"/>
      <c r="T26" s="179"/>
      <c r="U26" s="179"/>
      <c r="V26" s="179"/>
      <c r="W26" s="179"/>
      <c r="X26" s="179"/>
      <c r="Y26" s="179"/>
      <c r="Z26" s="179"/>
      <c r="AA26" s="179"/>
      <c r="AB26" s="179"/>
      <c r="AC26" s="179"/>
      <c r="AD26" s="179"/>
      <c r="AE26" s="179"/>
      <c r="AF26" s="179"/>
      <c r="AG26" s="179"/>
      <c r="AH26" s="179"/>
      <c r="AI26" s="179"/>
      <c r="AJ26" s="179"/>
    </row>
    <row r="27" ht="14.25" customHeight="1">
      <c r="A27" s="429">
        <v>9.0</v>
      </c>
      <c r="B27" s="175" t="s">
        <v>100</v>
      </c>
      <c r="C27" s="175"/>
      <c r="D27" s="175" t="s">
        <v>3234</v>
      </c>
      <c r="E27" s="175" t="s">
        <v>70</v>
      </c>
      <c r="F27" s="177">
        <v>2.35E7</v>
      </c>
      <c r="G27" s="175" t="s">
        <v>3309</v>
      </c>
      <c r="H27" s="175" t="s">
        <v>862</v>
      </c>
      <c r="I27" s="394" t="s">
        <v>3310</v>
      </c>
      <c r="J27" s="175" t="s">
        <v>3311</v>
      </c>
      <c r="K27" s="178" t="s">
        <v>3312</v>
      </c>
      <c r="L27" s="17" t="s">
        <v>3313</v>
      </c>
      <c r="M27" s="391"/>
      <c r="N27" s="175" t="s">
        <v>3289</v>
      </c>
      <c r="O27" s="175" t="s">
        <v>25</v>
      </c>
      <c r="P27" s="175"/>
      <c r="Q27" s="431"/>
      <c r="R27" s="179"/>
      <c r="S27" s="179"/>
      <c r="T27" s="179"/>
      <c r="U27" s="179"/>
      <c r="V27" s="179"/>
      <c r="W27" s="179"/>
      <c r="X27" s="179"/>
      <c r="Y27" s="179"/>
      <c r="Z27" s="179"/>
      <c r="AA27" s="179"/>
      <c r="AB27" s="179"/>
      <c r="AC27" s="179"/>
      <c r="AD27" s="179"/>
      <c r="AE27" s="179"/>
      <c r="AF27" s="179"/>
      <c r="AG27" s="179"/>
      <c r="AH27" s="179"/>
      <c r="AI27" s="179"/>
      <c r="AJ27" s="179"/>
    </row>
    <row r="28" ht="14.25" customHeight="1">
      <c r="A28" s="429">
        <v>10.0</v>
      </c>
      <c r="B28" s="175" t="s">
        <v>100</v>
      </c>
      <c r="C28" s="175" t="s">
        <v>3314</v>
      </c>
      <c r="D28" s="175" t="s">
        <v>3234</v>
      </c>
      <c r="E28" s="175" t="s">
        <v>70</v>
      </c>
      <c r="F28" s="177">
        <v>2.2216E7</v>
      </c>
      <c r="G28" s="175" t="s">
        <v>3315</v>
      </c>
      <c r="H28" s="175" t="s">
        <v>2329</v>
      </c>
      <c r="I28" s="394" t="s">
        <v>3316</v>
      </c>
      <c r="J28" s="175" t="s">
        <v>3317</v>
      </c>
      <c r="K28" s="178" t="s">
        <v>3318</v>
      </c>
      <c r="L28" s="17" t="s">
        <v>3319</v>
      </c>
      <c r="M28" s="391"/>
      <c r="N28" s="175" t="s">
        <v>3271</v>
      </c>
      <c r="O28" s="175" t="s">
        <v>25</v>
      </c>
      <c r="P28" s="175"/>
      <c r="Q28" s="431"/>
      <c r="R28" s="179"/>
      <c r="S28" s="179"/>
      <c r="T28" s="179"/>
      <c r="U28" s="179"/>
      <c r="V28" s="179"/>
      <c r="W28" s="179"/>
      <c r="X28" s="179"/>
      <c r="Y28" s="179"/>
      <c r="Z28" s="179"/>
      <c r="AA28" s="179"/>
      <c r="AB28" s="179"/>
      <c r="AC28" s="179"/>
      <c r="AD28" s="179"/>
      <c r="AE28" s="179"/>
      <c r="AF28" s="179"/>
      <c r="AG28" s="179"/>
      <c r="AH28" s="179"/>
      <c r="AI28" s="179"/>
      <c r="AJ28" s="179"/>
    </row>
    <row r="29" ht="14.25" customHeight="1">
      <c r="A29" s="429">
        <v>11.0</v>
      </c>
      <c r="B29" s="175" t="s">
        <v>100</v>
      </c>
      <c r="C29" s="175" t="s">
        <v>3320</v>
      </c>
      <c r="D29" s="175" t="s">
        <v>3234</v>
      </c>
      <c r="E29" s="175" t="s">
        <v>70</v>
      </c>
      <c r="F29" s="177">
        <v>2.2216E7</v>
      </c>
      <c r="G29" s="175" t="s">
        <v>3315</v>
      </c>
      <c r="H29" s="175" t="s">
        <v>2329</v>
      </c>
      <c r="I29" s="394" t="s">
        <v>3321</v>
      </c>
      <c r="J29" s="175" t="s">
        <v>3322</v>
      </c>
      <c r="K29" s="178" t="s">
        <v>3323</v>
      </c>
      <c r="L29" s="17" t="s">
        <v>3324</v>
      </c>
      <c r="M29" s="391"/>
      <c r="N29" s="175" t="s">
        <v>3289</v>
      </c>
      <c r="O29" s="175" t="s">
        <v>25</v>
      </c>
      <c r="P29" s="175"/>
      <c r="Q29" s="431"/>
      <c r="R29" s="179"/>
      <c r="S29" s="179"/>
      <c r="T29" s="179"/>
      <c r="U29" s="179"/>
      <c r="V29" s="179"/>
      <c r="W29" s="179"/>
      <c r="X29" s="179"/>
      <c r="Y29" s="179"/>
      <c r="Z29" s="179"/>
      <c r="AA29" s="179"/>
      <c r="AB29" s="179"/>
      <c r="AC29" s="179"/>
      <c r="AD29" s="179"/>
      <c r="AE29" s="179"/>
      <c r="AF29" s="179"/>
      <c r="AG29" s="179"/>
      <c r="AH29" s="179"/>
      <c r="AI29" s="179"/>
      <c r="AJ29" s="179"/>
    </row>
    <row r="30" ht="14.25" customHeight="1">
      <c r="A30" s="433">
        <v>12.0</v>
      </c>
      <c r="B30" s="175" t="s">
        <v>100</v>
      </c>
      <c r="C30" s="272" t="s">
        <v>3325</v>
      </c>
      <c r="D30" s="272" t="s">
        <v>3234</v>
      </c>
      <c r="E30" s="272" t="s">
        <v>70</v>
      </c>
      <c r="F30" s="273">
        <v>2.2216E7</v>
      </c>
      <c r="G30" s="272" t="s">
        <v>3315</v>
      </c>
      <c r="H30" s="272" t="s">
        <v>2329</v>
      </c>
      <c r="I30" s="434" t="s">
        <v>3326</v>
      </c>
      <c r="J30" s="272" t="s">
        <v>3327</v>
      </c>
      <c r="K30" s="435" t="s">
        <v>3328</v>
      </c>
      <c r="L30" s="33" t="s">
        <v>3329</v>
      </c>
      <c r="M30" s="436"/>
      <c r="N30" s="175" t="s">
        <v>3289</v>
      </c>
      <c r="O30" s="175" t="s">
        <v>25</v>
      </c>
      <c r="P30" s="175"/>
      <c r="Q30" s="431"/>
      <c r="R30" s="179"/>
      <c r="S30" s="179"/>
      <c r="T30" s="179"/>
      <c r="U30" s="179"/>
      <c r="V30" s="179"/>
      <c r="W30" s="179"/>
      <c r="X30" s="179"/>
      <c r="Y30" s="179"/>
      <c r="Z30" s="179"/>
      <c r="AA30" s="179"/>
      <c r="AB30" s="179"/>
      <c r="AC30" s="179"/>
      <c r="AD30" s="179"/>
      <c r="AE30" s="179"/>
      <c r="AF30" s="179"/>
      <c r="AG30" s="179"/>
      <c r="AH30" s="179"/>
      <c r="AI30" s="179"/>
      <c r="AJ30" s="179"/>
    </row>
    <row r="31" ht="14.25" customHeight="1">
      <c r="A31" s="433">
        <v>13.0</v>
      </c>
      <c r="B31" s="175" t="s">
        <v>100</v>
      </c>
      <c r="C31" s="272" t="s">
        <v>3330</v>
      </c>
      <c r="D31" s="272" t="s">
        <v>3234</v>
      </c>
      <c r="E31" s="272"/>
      <c r="F31" s="273"/>
      <c r="G31" s="272" t="s">
        <v>1579</v>
      </c>
      <c r="H31" s="437">
        <v>2012.0</v>
      </c>
      <c r="I31" s="272" t="s">
        <v>3331</v>
      </c>
      <c r="J31" s="272" t="s">
        <v>3332</v>
      </c>
      <c r="K31" s="435" t="s">
        <v>3333</v>
      </c>
      <c r="L31" s="438" t="s">
        <v>3334</v>
      </c>
      <c r="M31" s="436"/>
      <c r="N31" s="272"/>
      <c r="O31" s="175" t="s">
        <v>25</v>
      </c>
      <c r="P31" s="175"/>
      <c r="Q31" s="321"/>
    </row>
    <row r="32" ht="14.25" customHeight="1">
      <c r="A32" s="433">
        <v>14.0</v>
      </c>
      <c r="B32" s="272" t="s">
        <v>100</v>
      </c>
      <c r="C32" s="272" t="s">
        <v>3335</v>
      </c>
      <c r="D32" s="272" t="s">
        <v>3234</v>
      </c>
      <c r="E32" s="272"/>
      <c r="F32" s="273"/>
      <c r="G32" s="272" t="s">
        <v>1579</v>
      </c>
      <c r="H32" s="437">
        <v>2000.0</v>
      </c>
      <c r="I32" s="272" t="s">
        <v>3336</v>
      </c>
      <c r="J32" s="272" t="s">
        <v>3337</v>
      </c>
      <c r="K32" s="435" t="s">
        <v>3338</v>
      </c>
      <c r="L32" s="33" t="s">
        <v>3339</v>
      </c>
      <c r="M32" s="436"/>
      <c r="N32" s="272"/>
      <c r="O32" s="175" t="s">
        <v>25</v>
      </c>
      <c r="P32" s="175"/>
      <c r="Q32" s="320" t="s">
        <v>3340</v>
      </c>
    </row>
    <row r="33" ht="14.25" customHeight="1">
      <c r="A33" s="433"/>
      <c r="B33" s="272"/>
      <c r="C33" s="272"/>
      <c r="D33" s="272"/>
      <c r="E33" s="272"/>
      <c r="F33" s="273"/>
      <c r="G33" s="272"/>
      <c r="H33" s="272"/>
      <c r="I33" s="272"/>
      <c r="J33" s="272"/>
      <c r="K33" s="272"/>
      <c r="L33" s="272"/>
      <c r="M33" s="436"/>
      <c r="N33" s="272"/>
      <c r="O33" s="272"/>
      <c r="P33" s="272"/>
      <c r="Q33" s="321"/>
    </row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3:M3"/>
    <mergeCell ref="A4:M4"/>
  </mergeCells>
  <printOptions/>
  <pageMargins bottom="0.7480314960629921" footer="0.0" header="0.0" left="0.7086614173228347" right="0.7086614173228347" top="0.7480314960629921"/>
  <pageSetup paperSize="5" scale="65" orientation="landscape"/>
  <drawing r:id="rId1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4.43" defaultRowHeight="15.0"/>
  <cols>
    <col customWidth="1" min="1" max="1" width="5.29"/>
    <col customWidth="1" min="2" max="2" width="38.71"/>
    <col customWidth="1" min="3" max="3" width="28.43"/>
    <col customWidth="1" min="4" max="4" width="12.57"/>
    <col customWidth="1" min="5" max="5" width="9.14"/>
    <col customWidth="1" min="6" max="6" width="15.29"/>
    <col customWidth="1" min="7" max="7" width="38.0"/>
    <col customWidth="1" min="8" max="8" width="8.71"/>
    <col customWidth="1" min="9" max="9" width="17.71"/>
    <col customWidth="1" min="10" max="10" width="21.14"/>
    <col customWidth="1" min="11" max="12" width="16.71"/>
    <col customWidth="1" min="13" max="13" width="39.29"/>
    <col customWidth="1" min="14" max="14" width="23.43"/>
    <col customWidth="1" min="15" max="27" width="8.71"/>
  </cols>
  <sheetData>
    <row r="1" ht="14.25" customHeight="1"/>
    <row r="2" ht="14.25" customHeight="1"/>
    <row r="3" ht="14.25" customHeight="1">
      <c r="A3" s="1" t="s">
        <v>0</v>
      </c>
    </row>
    <row r="4" ht="14.25" customHeight="1">
      <c r="A4" s="1" t="s">
        <v>1</v>
      </c>
    </row>
    <row r="5" ht="14.25" customHeight="1"/>
    <row r="6" ht="14.25" customHeight="1"/>
    <row r="7" ht="14.25" customHeight="1">
      <c r="A7" s="2" t="s">
        <v>2</v>
      </c>
      <c r="C7" s="2" t="s">
        <v>3</v>
      </c>
    </row>
    <row r="8" ht="14.25" customHeight="1">
      <c r="A8" s="2" t="s">
        <v>4</v>
      </c>
      <c r="C8" s="2" t="s">
        <v>5</v>
      </c>
    </row>
    <row r="9" ht="14.25" customHeight="1">
      <c r="A9" s="2" t="s">
        <v>6</v>
      </c>
      <c r="C9" s="2" t="s">
        <v>3341</v>
      </c>
    </row>
    <row r="10" ht="14.25" customHeight="1">
      <c r="A10" s="169" t="s">
        <v>8</v>
      </c>
      <c r="B10" s="170" t="s">
        <v>9</v>
      </c>
      <c r="C10" s="170" t="s">
        <v>10</v>
      </c>
      <c r="D10" s="170" t="s">
        <v>11</v>
      </c>
      <c r="E10" s="170" t="s">
        <v>12</v>
      </c>
      <c r="F10" s="170" t="s">
        <v>13</v>
      </c>
      <c r="G10" s="170" t="s">
        <v>14</v>
      </c>
      <c r="H10" s="170" t="s">
        <v>15</v>
      </c>
      <c r="I10" s="170" t="s">
        <v>16</v>
      </c>
      <c r="J10" s="170" t="s">
        <v>17</v>
      </c>
      <c r="K10" s="246" t="s">
        <v>1881</v>
      </c>
      <c r="L10" s="170" t="s">
        <v>1882</v>
      </c>
      <c r="M10" s="171" t="s">
        <v>20</v>
      </c>
      <c r="N10" s="170" t="s">
        <v>1883</v>
      </c>
    </row>
    <row r="11" ht="14.25" customHeight="1">
      <c r="A11" s="317"/>
      <c r="B11" s="317" t="s">
        <v>23</v>
      </c>
      <c r="C11" s="317"/>
      <c r="D11" s="317"/>
      <c r="E11" s="317"/>
      <c r="F11" s="427">
        <f>SUM(F12:F15)</f>
        <v>674897900</v>
      </c>
      <c r="G11" s="317"/>
      <c r="H11" s="317"/>
      <c r="I11" s="317"/>
      <c r="J11" s="317"/>
      <c r="K11" s="317"/>
      <c r="L11" s="317"/>
      <c r="M11" s="317"/>
      <c r="N11" s="175"/>
    </row>
    <row r="12" ht="14.25" customHeight="1">
      <c r="A12" s="319">
        <v>1.0</v>
      </c>
      <c r="B12" s="175" t="s">
        <v>780</v>
      </c>
      <c r="C12" s="175"/>
      <c r="D12" s="175" t="s">
        <v>3342</v>
      </c>
      <c r="E12" s="175" t="s">
        <v>70</v>
      </c>
      <c r="F12" s="177">
        <v>8.4E7</v>
      </c>
      <c r="G12" s="175" t="s">
        <v>3343</v>
      </c>
      <c r="H12" s="175" t="s">
        <v>29</v>
      </c>
      <c r="I12" s="175" t="s">
        <v>3344</v>
      </c>
      <c r="J12" s="175" t="s">
        <v>3345</v>
      </c>
      <c r="K12" s="175" t="s">
        <v>3346</v>
      </c>
      <c r="L12" s="175"/>
      <c r="M12" s="175" t="s">
        <v>3347</v>
      </c>
      <c r="N12" s="175" t="s">
        <v>3348</v>
      </c>
    </row>
    <row r="13" ht="14.25" customHeight="1">
      <c r="A13" s="319">
        <v>2.0</v>
      </c>
      <c r="B13" s="175" t="s">
        <v>780</v>
      </c>
      <c r="C13" s="175"/>
      <c r="D13" s="175" t="s">
        <v>3342</v>
      </c>
      <c r="E13" s="175" t="s">
        <v>931</v>
      </c>
      <c r="F13" s="177">
        <v>1.05E8</v>
      </c>
      <c r="G13" s="175" t="s">
        <v>3349</v>
      </c>
      <c r="H13" s="175" t="s">
        <v>924</v>
      </c>
      <c r="I13" s="175" t="s">
        <v>3350</v>
      </c>
      <c r="J13" s="175" t="s">
        <v>3351</v>
      </c>
      <c r="K13" s="175" t="s">
        <v>3352</v>
      </c>
      <c r="L13" s="175"/>
      <c r="M13" s="175" t="s">
        <v>3353</v>
      </c>
      <c r="N13" s="175" t="s">
        <v>27</v>
      </c>
    </row>
    <row r="14" ht="14.25" customHeight="1">
      <c r="A14" s="319">
        <v>3.0</v>
      </c>
      <c r="B14" s="175" t="s">
        <v>780</v>
      </c>
      <c r="C14" s="175"/>
      <c r="D14" s="175" t="s">
        <v>3342</v>
      </c>
      <c r="E14" s="175" t="s">
        <v>70</v>
      </c>
      <c r="F14" s="177">
        <v>2.006979E8</v>
      </c>
      <c r="G14" s="175" t="s">
        <v>3354</v>
      </c>
      <c r="H14" s="175" t="s">
        <v>979</v>
      </c>
      <c r="I14" s="175" t="s">
        <v>3355</v>
      </c>
      <c r="J14" s="175" t="s">
        <v>3356</v>
      </c>
      <c r="K14" s="175" t="s">
        <v>3357</v>
      </c>
      <c r="L14" s="175"/>
      <c r="M14" s="175"/>
      <c r="N14" s="175" t="s">
        <v>3358</v>
      </c>
    </row>
    <row r="15" ht="14.25" customHeight="1">
      <c r="A15" s="319">
        <v>4.0</v>
      </c>
      <c r="B15" s="175" t="s">
        <v>780</v>
      </c>
      <c r="C15" s="175"/>
      <c r="D15" s="175" t="s">
        <v>3342</v>
      </c>
      <c r="E15" s="175" t="s">
        <v>70</v>
      </c>
      <c r="F15" s="177">
        <v>2.852E8</v>
      </c>
      <c r="G15" s="175" t="s">
        <v>3359</v>
      </c>
      <c r="H15" s="175" t="s">
        <v>910</v>
      </c>
      <c r="I15" s="175" t="s">
        <v>3360</v>
      </c>
      <c r="J15" s="175" t="s">
        <v>3361</v>
      </c>
      <c r="K15" s="175" t="s">
        <v>3362</v>
      </c>
      <c r="L15" s="175"/>
      <c r="M15" s="175"/>
      <c r="N15" s="175" t="s">
        <v>3363</v>
      </c>
    </row>
    <row r="16" ht="14.25" customHeight="1">
      <c r="A16" s="317"/>
      <c r="B16" s="317" t="s">
        <v>1933</v>
      </c>
      <c r="C16" s="317"/>
      <c r="D16" s="317"/>
      <c r="E16" s="317"/>
      <c r="F16" s="427">
        <v>2.748E8</v>
      </c>
      <c r="G16" s="317"/>
      <c r="H16" s="317"/>
      <c r="I16" s="317"/>
      <c r="J16" s="317"/>
      <c r="K16" s="317"/>
      <c r="L16" s="317"/>
      <c r="M16" s="317"/>
      <c r="N16" s="175"/>
    </row>
    <row r="17" ht="14.25" customHeight="1">
      <c r="A17" s="319">
        <v>5.0</v>
      </c>
      <c r="B17" s="175" t="s">
        <v>50</v>
      </c>
      <c r="C17" s="175"/>
      <c r="D17" s="175" t="s">
        <v>3342</v>
      </c>
      <c r="E17" s="175" t="s">
        <v>70</v>
      </c>
      <c r="F17" s="177">
        <v>2.748E8</v>
      </c>
      <c r="G17" s="175" t="s">
        <v>3364</v>
      </c>
      <c r="H17" s="175" t="s">
        <v>979</v>
      </c>
      <c r="I17" s="175" t="s">
        <v>3365</v>
      </c>
      <c r="J17" s="175" t="s">
        <v>3366</v>
      </c>
      <c r="K17" s="175" t="s">
        <v>3367</v>
      </c>
      <c r="L17" s="175"/>
      <c r="M17" s="175"/>
      <c r="N17" s="175" t="s">
        <v>3368</v>
      </c>
    </row>
    <row r="18" ht="14.25" customHeight="1">
      <c r="A18" s="317"/>
      <c r="B18" s="317" t="s">
        <v>99</v>
      </c>
      <c r="C18" s="317"/>
      <c r="D18" s="317"/>
      <c r="E18" s="317"/>
      <c r="F18" s="427">
        <f>SUM(F19:F30)</f>
        <v>216367000</v>
      </c>
      <c r="G18" s="317"/>
      <c r="H18" s="317"/>
      <c r="I18" s="317"/>
      <c r="J18" s="317"/>
      <c r="K18" s="317"/>
      <c r="L18" s="317"/>
      <c r="M18" s="317"/>
      <c r="N18" s="175"/>
    </row>
    <row r="19" ht="14.25" customHeight="1">
      <c r="A19" s="319">
        <v>1.0</v>
      </c>
      <c r="B19" s="175" t="s">
        <v>100</v>
      </c>
      <c r="C19" s="175"/>
      <c r="D19" s="175" t="s">
        <v>3342</v>
      </c>
      <c r="E19" s="175" t="s">
        <v>931</v>
      </c>
      <c r="F19" s="177">
        <v>8415000.0</v>
      </c>
      <c r="G19" s="175" t="s">
        <v>3369</v>
      </c>
      <c r="H19" s="175" t="s">
        <v>2988</v>
      </c>
      <c r="I19" s="175" t="s">
        <v>3370</v>
      </c>
      <c r="J19" s="175" t="s">
        <v>3371</v>
      </c>
      <c r="K19" s="175" t="s">
        <v>3372</v>
      </c>
      <c r="L19" s="175"/>
      <c r="M19" s="175"/>
      <c r="N19" s="175" t="s">
        <v>3373</v>
      </c>
    </row>
    <row r="20" ht="14.25" customHeight="1">
      <c r="A20" s="319">
        <v>2.0</v>
      </c>
      <c r="B20" s="175" t="s">
        <v>100</v>
      </c>
      <c r="C20" s="175"/>
      <c r="D20" s="175" t="s">
        <v>3342</v>
      </c>
      <c r="E20" s="175" t="s">
        <v>2603</v>
      </c>
      <c r="F20" s="177">
        <v>5000000.0</v>
      </c>
      <c r="G20" s="175" t="s">
        <v>144</v>
      </c>
      <c r="H20" s="175" t="s">
        <v>2988</v>
      </c>
      <c r="I20" s="175" t="s">
        <v>3374</v>
      </c>
      <c r="J20" s="175" t="s">
        <v>3375</v>
      </c>
      <c r="K20" s="178" t="s">
        <v>3376</v>
      </c>
      <c r="L20" s="17" t="s">
        <v>3377</v>
      </c>
      <c r="M20" s="175" t="s">
        <v>3378</v>
      </c>
      <c r="N20" s="175" t="s">
        <v>3379</v>
      </c>
    </row>
    <row r="21" ht="14.25" customHeight="1">
      <c r="A21" s="319">
        <v>3.0</v>
      </c>
      <c r="B21" s="175" t="s">
        <v>100</v>
      </c>
      <c r="C21" s="175"/>
      <c r="D21" s="175" t="s">
        <v>3342</v>
      </c>
      <c r="E21" s="175" t="s">
        <v>2603</v>
      </c>
      <c r="F21" s="177">
        <v>5000000.0</v>
      </c>
      <c r="G21" s="175" t="s">
        <v>144</v>
      </c>
      <c r="H21" s="175" t="s">
        <v>2988</v>
      </c>
      <c r="I21" s="175" t="s">
        <v>3380</v>
      </c>
      <c r="J21" s="175" t="s">
        <v>3381</v>
      </c>
      <c r="K21" s="178" t="s">
        <v>3382</v>
      </c>
      <c r="L21" s="17" t="s">
        <v>3383</v>
      </c>
      <c r="M21" s="175"/>
      <c r="N21" s="175" t="s">
        <v>3384</v>
      </c>
    </row>
    <row r="22" ht="14.25" customHeight="1">
      <c r="A22" s="319">
        <v>4.0</v>
      </c>
      <c r="B22" s="175" t="s">
        <v>100</v>
      </c>
      <c r="C22" s="175"/>
      <c r="D22" s="175" t="s">
        <v>3342</v>
      </c>
      <c r="E22" s="175" t="s">
        <v>2603</v>
      </c>
      <c r="F22" s="177">
        <v>1.7325E7</v>
      </c>
      <c r="G22" s="175" t="s">
        <v>2749</v>
      </c>
      <c r="H22" s="175" t="s">
        <v>391</v>
      </c>
      <c r="I22" s="175" t="s">
        <v>3385</v>
      </c>
      <c r="J22" s="175" t="s">
        <v>3386</v>
      </c>
      <c r="K22" s="175" t="s">
        <v>3387</v>
      </c>
      <c r="L22" s="175"/>
      <c r="M22" s="175"/>
      <c r="N22" s="175" t="s">
        <v>3388</v>
      </c>
    </row>
    <row r="23" ht="14.25" customHeight="1">
      <c r="A23" s="319">
        <v>5.0</v>
      </c>
      <c r="B23" s="175" t="s">
        <v>100</v>
      </c>
      <c r="C23" s="175"/>
      <c r="D23" s="175" t="s">
        <v>3342</v>
      </c>
      <c r="E23" s="175" t="s">
        <v>2603</v>
      </c>
      <c r="F23" s="177">
        <v>1.7325E7</v>
      </c>
      <c r="G23" s="175" t="s">
        <v>2749</v>
      </c>
      <c r="H23" s="175" t="s">
        <v>391</v>
      </c>
      <c r="I23" s="175" t="s">
        <v>3389</v>
      </c>
      <c r="J23" s="175" t="s">
        <v>3386</v>
      </c>
      <c r="K23" s="175" t="s">
        <v>3387</v>
      </c>
      <c r="L23" s="175"/>
      <c r="M23" s="175"/>
      <c r="N23" s="175" t="s">
        <v>3390</v>
      </c>
    </row>
    <row r="24" ht="14.25" customHeight="1">
      <c r="A24" s="319">
        <v>6.0</v>
      </c>
      <c r="B24" s="175" t="s">
        <v>100</v>
      </c>
      <c r="C24" s="175"/>
      <c r="D24" s="175" t="s">
        <v>3342</v>
      </c>
      <c r="E24" s="175" t="s">
        <v>2603</v>
      </c>
      <c r="F24" s="177">
        <v>1.445E7</v>
      </c>
      <c r="G24" s="175" t="s">
        <v>3391</v>
      </c>
      <c r="H24" s="175" t="s">
        <v>84</v>
      </c>
      <c r="I24" s="175" t="s">
        <v>3392</v>
      </c>
      <c r="J24" s="175" t="s">
        <v>3393</v>
      </c>
      <c r="K24" s="175" t="s">
        <v>3394</v>
      </c>
      <c r="L24" s="175"/>
      <c r="M24" s="175"/>
      <c r="N24" s="175" t="s">
        <v>3395</v>
      </c>
    </row>
    <row r="25" ht="14.25" customHeight="1">
      <c r="A25" s="319">
        <v>7.0</v>
      </c>
      <c r="B25" s="175" t="s">
        <v>100</v>
      </c>
      <c r="C25" s="175"/>
      <c r="D25" s="175" t="s">
        <v>3342</v>
      </c>
      <c r="E25" s="175" t="s">
        <v>2603</v>
      </c>
      <c r="F25" s="177">
        <v>1.445E7</v>
      </c>
      <c r="G25" s="175" t="s">
        <v>3396</v>
      </c>
      <c r="H25" s="175" t="s">
        <v>84</v>
      </c>
      <c r="I25" s="175" t="s">
        <v>3397</v>
      </c>
      <c r="J25" s="175" t="s">
        <v>3398</v>
      </c>
      <c r="K25" s="175" t="s">
        <v>3399</v>
      </c>
      <c r="L25" s="175"/>
      <c r="M25" s="175"/>
      <c r="N25" s="175" t="s">
        <v>3400</v>
      </c>
    </row>
    <row r="26" ht="14.25" customHeight="1">
      <c r="A26" s="319">
        <v>8.0</v>
      </c>
      <c r="B26" s="175" t="s">
        <v>100</v>
      </c>
      <c r="C26" s="175"/>
      <c r="D26" s="175" t="s">
        <v>3342</v>
      </c>
      <c r="E26" s="175" t="s">
        <v>2603</v>
      </c>
      <c r="F26" s="177">
        <v>1.667E7</v>
      </c>
      <c r="G26" s="175" t="s">
        <v>3401</v>
      </c>
      <c r="H26" s="175" t="s">
        <v>1076</v>
      </c>
      <c r="I26" s="178" t="s">
        <v>3402</v>
      </c>
      <c r="J26" s="175" t="s">
        <v>3403</v>
      </c>
      <c r="K26" s="178" t="s">
        <v>3404</v>
      </c>
      <c r="L26" s="17" t="s">
        <v>3405</v>
      </c>
      <c r="M26" s="175"/>
      <c r="N26" s="175" t="s">
        <v>3406</v>
      </c>
    </row>
    <row r="27" ht="14.25" customHeight="1">
      <c r="A27" s="319">
        <v>9.0</v>
      </c>
      <c r="B27" s="175" t="s">
        <v>100</v>
      </c>
      <c r="C27" s="175" t="s">
        <v>3407</v>
      </c>
      <c r="D27" s="175" t="s">
        <v>3342</v>
      </c>
      <c r="E27" s="175" t="s">
        <v>70</v>
      </c>
      <c r="F27" s="177">
        <v>2.4901E7</v>
      </c>
      <c r="G27" s="175" t="s">
        <v>3408</v>
      </c>
      <c r="H27" s="175" t="s">
        <v>611</v>
      </c>
      <c r="I27" s="175" t="s">
        <v>3409</v>
      </c>
      <c r="J27" s="175" t="s">
        <v>3410</v>
      </c>
      <c r="K27" s="178" t="s">
        <v>3411</v>
      </c>
      <c r="L27" s="17" t="s">
        <v>3412</v>
      </c>
      <c r="M27" s="175" t="s">
        <v>3413</v>
      </c>
      <c r="N27" s="175" t="s">
        <v>3414</v>
      </c>
    </row>
    <row r="28" ht="14.25" customHeight="1">
      <c r="A28" s="319">
        <v>10.0</v>
      </c>
      <c r="B28" s="175" t="s">
        <v>100</v>
      </c>
      <c r="C28" s="175" t="s">
        <v>3407</v>
      </c>
      <c r="D28" s="175" t="s">
        <v>3342</v>
      </c>
      <c r="E28" s="175" t="s">
        <v>70</v>
      </c>
      <c r="F28" s="177">
        <v>2.4901E7</v>
      </c>
      <c r="G28" s="175" t="s">
        <v>3415</v>
      </c>
      <c r="H28" s="175" t="s">
        <v>611</v>
      </c>
      <c r="I28" s="175" t="s">
        <v>3416</v>
      </c>
      <c r="J28" s="175" t="s">
        <v>3417</v>
      </c>
      <c r="K28" s="178" t="s">
        <v>3418</v>
      </c>
      <c r="L28" s="17" t="s">
        <v>3419</v>
      </c>
      <c r="M28" s="175" t="s">
        <v>3413</v>
      </c>
      <c r="N28" s="175" t="s">
        <v>3420</v>
      </c>
    </row>
    <row r="29" ht="14.25" customHeight="1">
      <c r="A29" s="319">
        <v>11.0</v>
      </c>
      <c r="B29" s="175" t="s">
        <v>100</v>
      </c>
      <c r="C29" s="175" t="s">
        <v>3421</v>
      </c>
      <c r="D29" s="175" t="s">
        <v>3342</v>
      </c>
      <c r="E29" s="175" t="s">
        <v>70</v>
      </c>
      <c r="F29" s="115">
        <v>3.384E7</v>
      </c>
      <c r="G29" s="263" t="s">
        <v>3422</v>
      </c>
      <c r="H29" s="263" t="s">
        <v>887</v>
      </c>
      <c r="I29" s="263" t="s">
        <v>3423</v>
      </c>
      <c r="J29" s="439" t="s">
        <v>3424</v>
      </c>
      <c r="K29" s="178" t="s">
        <v>3425</v>
      </c>
      <c r="L29" s="17" t="s">
        <v>3426</v>
      </c>
      <c r="M29" s="175"/>
      <c r="N29" s="175" t="s">
        <v>3427</v>
      </c>
    </row>
    <row r="30" ht="14.25" customHeight="1">
      <c r="A30" s="319">
        <v>12.0</v>
      </c>
      <c r="B30" s="175" t="s">
        <v>100</v>
      </c>
      <c r="C30" s="175" t="s">
        <v>3428</v>
      </c>
      <c r="D30" s="175" t="s">
        <v>3342</v>
      </c>
      <c r="E30" s="175" t="s">
        <v>70</v>
      </c>
      <c r="F30" s="115">
        <v>3.409E7</v>
      </c>
      <c r="G30" s="263" t="s">
        <v>3429</v>
      </c>
      <c r="H30" s="263" t="s">
        <v>887</v>
      </c>
      <c r="I30" s="263" t="s">
        <v>3430</v>
      </c>
      <c r="J30" s="263" t="s">
        <v>3431</v>
      </c>
      <c r="K30" s="178" t="s">
        <v>3432</v>
      </c>
      <c r="L30" s="17" t="s">
        <v>3433</v>
      </c>
      <c r="M30" s="175"/>
      <c r="N30" s="175" t="s">
        <v>3434</v>
      </c>
    </row>
    <row r="31" ht="14.25" customHeight="1"/>
    <row r="32" ht="14.25" customHeight="1"/>
    <row r="33" ht="14.25" customHeight="1"/>
    <row r="34" ht="14.25" customHeight="1">
      <c r="A34" s="35"/>
      <c r="D34" s="35"/>
      <c r="E34" s="35"/>
      <c r="I34" s="35"/>
      <c r="M34" s="35"/>
      <c r="N34" s="35"/>
      <c r="O34" s="35"/>
      <c r="P34" s="440"/>
      <c r="Q34" s="440"/>
      <c r="R34" s="440"/>
      <c r="S34" s="440"/>
    </row>
    <row r="35" ht="14.25" customHeight="1">
      <c r="A35" s="35"/>
      <c r="D35" s="35"/>
      <c r="E35" s="35"/>
      <c r="I35" s="35"/>
      <c r="M35" s="35"/>
      <c r="N35" s="35"/>
      <c r="O35" s="35"/>
      <c r="P35" s="440"/>
      <c r="Q35" s="440"/>
      <c r="R35" s="440"/>
      <c r="S35" s="440"/>
    </row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3:M3"/>
    <mergeCell ref="A4:M4"/>
  </mergeCells>
  <printOptions/>
  <pageMargins bottom="0.7480314960629921" footer="0.0" header="0.0" left="0.7086614173228347" right="0.7086614173228347" top="0.7480314960629921"/>
  <pageSetup paperSize="5" scale="55" orientation="landscape"/>
  <drawing r:id="rId1"/>
  <tableParts count="1"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workbookViewId="0"/>
  </sheetViews>
  <sheetFormatPr customHeight="1" defaultColWidth="14.43" defaultRowHeight="15.0"/>
  <cols>
    <col customWidth="1" min="1" max="1" width="5.29"/>
    <col customWidth="1" min="2" max="2" width="39.86"/>
    <col customWidth="1" min="3" max="3" width="23.86"/>
    <col customWidth="1" min="4" max="4" width="11.86"/>
    <col customWidth="1" min="5" max="5" width="9.14"/>
    <col customWidth="1" min="6" max="6" width="21.14"/>
    <col customWidth="1" min="7" max="7" width="10.43"/>
    <col customWidth="1" min="8" max="8" width="8.71"/>
    <col customWidth="1" min="9" max="9" width="13.57"/>
    <col customWidth="1" min="10" max="10" width="35.86"/>
    <col customWidth="1" min="11" max="11" width="21.0"/>
    <col customWidth="1" min="12" max="12" width="12.0"/>
    <col customWidth="1" min="13" max="13" width="24.0"/>
    <col customWidth="1" min="14" max="14" width="64.43"/>
    <col customWidth="1" min="15" max="26" width="8.71"/>
  </cols>
  <sheetData>
    <row r="3">
      <c r="A3" s="1" t="s">
        <v>0</v>
      </c>
    </row>
    <row r="4">
      <c r="A4" s="1" t="s">
        <v>1</v>
      </c>
    </row>
    <row r="7">
      <c r="A7" s="2" t="s">
        <v>2</v>
      </c>
      <c r="C7" s="2" t="s">
        <v>3</v>
      </c>
    </row>
    <row r="8">
      <c r="A8" s="2" t="s">
        <v>4</v>
      </c>
      <c r="C8" s="2" t="s">
        <v>5</v>
      </c>
    </row>
    <row r="9">
      <c r="A9" s="2" t="s">
        <v>6</v>
      </c>
      <c r="C9" s="2" t="s">
        <v>3435</v>
      </c>
    </row>
    <row r="10">
      <c r="A10" s="4" t="s">
        <v>8</v>
      </c>
      <c r="B10" s="5" t="s">
        <v>9</v>
      </c>
      <c r="C10" s="5" t="s">
        <v>10</v>
      </c>
      <c r="D10" s="5" t="s">
        <v>11</v>
      </c>
      <c r="E10" s="5" t="s">
        <v>12</v>
      </c>
      <c r="F10" s="5" t="s">
        <v>13</v>
      </c>
      <c r="G10" s="5" t="s">
        <v>14</v>
      </c>
      <c r="H10" s="5" t="s">
        <v>15</v>
      </c>
      <c r="I10" s="5" t="s">
        <v>16</v>
      </c>
      <c r="J10" s="5" t="s">
        <v>17</v>
      </c>
      <c r="K10" s="6" t="s">
        <v>1881</v>
      </c>
      <c r="L10" s="5" t="s">
        <v>1882</v>
      </c>
      <c r="M10" s="7" t="s">
        <v>3436</v>
      </c>
      <c r="N10" s="5" t="s">
        <v>1883</v>
      </c>
      <c r="O10" s="441"/>
      <c r="P10" s="441"/>
    </row>
    <row r="11">
      <c r="A11" s="442"/>
      <c r="B11" s="443" t="s">
        <v>1884</v>
      </c>
      <c r="C11" s="444"/>
      <c r="D11" s="443"/>
      <c r="E11" s="444"/>
      <c r="F11" s="249">
        <f>SUM(F12:F14)</f>
        <v>682920000</v>
      </c>
      <c r="G11" s="444"/>
      <c r="H11" s="443"/>
      <c r="I11" s="443"/>
      <c r="J11" s="443"/>
      <c r="K11" s="443"/>
      <c r="L11" s="443"/>
      <c r="M11" s="445"/>
      <c r="N11" s="445"/>
      <c r="O11" s="446"/>
      <c r="P11" s="446"/>
    </row>
    <row r="12">
      <c r="A12" s="447">
        <v>1.0</v>
      </c>
      <c r="B12" s="448" t="s">
        <v>780</v>
      </c>
      <c r="C12" s="449" t="s">
        <v>3437</v>
      </c>
      <c r="D12" s="448" t="s">
        <v>3438</v>
      </c>
      <c r="E12" s="449" t="s">
        <v>931</v>
      </c>
      <c r="F12" s="450">
        <v>1.1E8</v>
      </c>
      <c r="G12" s="449" t="s">
        <v>885</v>
      </c>
      <c r="H12" s="448" t="s">
        <v>788</v>
      </c>
      <c r="I12" s="448" t="s">
        <v>3439</v>
      </c>
      <c r="J12" s="449" t="s">
        <v>3440</v>
      </c>
      <c r="K12" s="449" t="s">
        <v>3441</v>
      </c>
      <c r="L12" s="451" t="s">
        <v>3442</v>
      </c>
      <c r="M12" s="452" t="s">
        <v>3443</v>
      </c>
      <c r="N12" s="453"/>
      <c r="O12" s="454"/>
      <c r="P12" s="454"/>
    </row>
    <row r="13">
      <c r="A13" s="455">
        <v>2.0</v>
      </c>
      <c r="B13" s="456" t="s">
        <v>780</v>
      </c>
      <c r="C13" s="457" t="s">
        <v>3444</v>
      </c>
      <c r="D13" s="456" t="s">
        <v>3438</v>
      </c>
      <c r="E13" s="457" t="s">
        <v>931</v>
      </c>
      <c r="F13" s="458">
        <v>1.808E8</v>
      </c>
      <c r="G13" s="457" t="s">
        <v>3445</v>
      </c>
      <c r="H13" s="456" t="s">
        <v>84</v>
      </c>
      <c r="I13" s="456" t="s">
        <v>3446</v>
      </c>
      <c r="J13" s="457" t="s">
        <v>3447</v>
      </c>
      <c r="K13" s="457" t="s">
        <v>3448</v>
      </c>
      <c r="L13" s="459" t="s">
        <v>3449</v>
      </c>
      <c r="M13" s="460" t="s">
        <v>3450</v>
      </c>
      <c r="N13" s="461"/>
      <c r="O13" s="462"/>
      <c r="P13" s="462"/>
    </row>
    <row r="14">
      <c r="A14" s="463">
        <v>3.0</v>
      </c>
      <c r="B14" s="13" t="s">
        <v>780</v>
      </c>
      <c r="C14" s="143" t="s">
        <v>3451</v>
      </c>
      <c r="D14" s="13" t="s">
        <v>3438</v>
      </c>
      <c r="E14" s="143" t="s">
        <v>70</v>
      </c>
      <c r="F14" s="14">
        <v>3.9212E8</v>
      </c>
      <c r="G14" s="143" t="s">
        <v>885</v>
      </c>
      <c r="H14" s="13" t="s">
        <v>1076</v>
      </c>
      <c r="I14" s="13" t="s">
        <v>3452</v>
      </c>
      <c r="J14" s="143" t="s">
        <v>3453</v>
      </c>
      <c r="K14" s="143" t="s">
        <v>3454</v>
      </c>
      <c r="L14" s="464" t="s">
        <v>3455</v>
      </c>
      <c r="M14" s="18"/>
      <c r="N14" s="203" t="s">
        <v>3456</v>
      </c>
      <c r="O14" s="465"/>
      <c r="P14" s="465"/>
    </row>
    <row r="15">
      <c r="A15" s="442"/>
      <c r="B15" s="443" t="s">
        <v>99</v>
      </c>
      <c r="C15" s="444"/>
      <c r="D15" s="443"/>
      <c r="E15" s="444"/>
      <c r="F15" s="249">
        <f>SUM(F16:F115)</f>
        <v>1716417000</v>
      </c>
      <c r="G15" s="444"/>
      <c r="H15" s="443"/>
      <c r="I15" s="443"/>
      <c r="J15" s="443"/>
      <c r="K15" s="443"/>
      <c r="L15" s="443"/>
      <c r="M15" s="445"/>
      <c r="N15" s="445"/>
      <c r="O15" s="446"/>
      <c r="P15" s="446"/>
    </row>
    <row r="16">
      <c r="A16" s="463">
        <v>1.0</v>
      </c>
      <c r="B16" s="13" t="s">
        <v>100</v>
      </c>
      <c r="C16" s="143" t="s">
        <v>3457</v>
      </c>
      <c r="D16" s="13" t="s">
        <v>3438</v>
      </c>
      <c r="E16" s="143" t="s">
        <v>70</v>
      </c>
      <c r="F16" s="14">
        <v>2000000.0</v>
      </c>
      <c r="G16" s="143" t="s">
        <v>3457</v>
      </c>
      <c r="H16" s="13" t="s">
        <v>29</v>
      </c>
      <c r="I16" s="13" t="s">
        <v>3458</v>
      </c>
      <c r="J16" s="143" t="s">
        <v>3459</v>
      </c>
      <c r="K16" s="143" t="s">
        <v>3460</v>
      </c>
      <c r="L16" s="464" t="s">
        <v>3461</v>
      </c>
      <c r="M16" s="18"/>
      <c r="N16" s="219"/>
      <c r="O16" s="466"/>
      <c r="P16" s="466"/>
    </row>
    <row r="17">
      <c r="A17" s="455">
        <v>2.0</v>
      </c>
      <c r="B17" s="456" t="s">
        <v>100</v>
      </c>
      <c r="C17" s="457" t="s">
        <v>3462</v>
      </c>
      <c r="D17" s="456" t="s">
        <v>3438</v>
      </c>
      <c r="E17" s="457" t="s">
        <v>70</v>
      </c>
      <c r="F17" s="458">
        <v>1.415E7</v>
      </c>
      <c r="G17" s="457" t="s">
        <v>1579</v>
      </c>
      <c r="H17" s="456" t="s">
        <v>391</v>
      </c>
      <c r="I17" s="456" t="s">
        <v>3463</v>
      </c>
      <c r="J17" s="457" t="s">
        <v>3464</v>
      </c>
      <c r="K17" s="457" t="s">
        <v>3465</v>
      </c>
      <c r="L17" s="464" t="s">
        <v>3466</v>
      </c>
      <c r="M17" s="467"/>
      <c r="N17" s="468" t="s">
        <v>3467</v>
      </c>
      <c r="O17" s="469"/>
      <c r="P17" s="469"/>
    </row>
    <row r="18">
      <c r="A18" s="463">
        <v>3.0</v>
      </c>
      <c r="B18" s="13" t="s">
        <v>100</v>
      </c>
      <c r="C18" s="143" t="s">
        <v>3468</v>
      </c>
      <c r="D18" s="13" t="s">
        <v>3438</v>
      </c>
      <c r="E18" s="143" t="s">
        <v>70</v>
      </c>
      <c r="F18" s="14">
        <v>1.415E7</v>
      </c>
      <c r="G18" s="143" t="s">
        <v>1579</v>
      </c>
      <c r="H18" s="13" t="s">
        <v>391</v>
      </c>
      <c r="I18" s="13" t="s">
        <v>3469</v>
      </c>
      <c r="J18" s="143" t="s">
        <v>3470</v>
      </c>
      <c r="K18" s="143" t="s">
        <v>3471</v>
      </c>
      <c r="L18" s="464" t="s">
        <v>3472</v>
      </c>
      <c r="M18" s="18"/>
      <c r="N18" s="219"/>
      <c r="O18" s="466"/>
      <c r="P18" s="466"/>
    </row>
    <row r="19">
      <c r="A19" s="470">
        <v>4.0</v>
      </c>
      <c r="B19" s="471" t="s">
        <v>100</v>
      </c>
      <c r="C19" s="472" t="s">
        <v>3473</v>
      </c>
      <c r="D19" s="471" t="s">
        <v>3438</v>
      </c>
      <c r="E19" s="472" t="s">
        <v>70</v>
      </c>
      <c r="F19" s="473">
        <v>1.7525E7</v>
      </c>
      <c r="G19" s="472" t="s">
        <v>1579</v>
      </c>
      <c r="H19" s="471" t="s">
        <v>391</v>
      </c>
      <c r="I19" s="471" t="s">
        <v>3474</v>
      </c>
      <c r="J19" s="472" t="s">
        <v>3475</v>
      </c>
      <c r="K19" s="472" t="s">
        <v>3476</v>
      </c>
      <c r="L19" s="474" t="s">
        <v>3477</v>
      </c>
      <c r="M19" s="475"/>
      <c r="N19" s="476"/>
      <c r="O19" s="477"/>
      <c r="P19" s="477"/>
      <c r="Q19" s="478"/>
      <c r="R19" s="478"/>
      <c r="S19" s="478"/>
      <c r="T19" s="478"/>
      <c r="U19" s="478"/>
      <c r="V19" s="478"/>
      <c r="W19" s="478"/>
      <c r="X19" s="478"/>
      <c r="Y19" s="478"/>
      <c r="Z19" s="478"/>
    </row>
    <row r="20">
      <c r="A20" s="463">
        <v>5.0</v>
      </c>
      <c r="B20" s="13" t="s">
        <v>100</v>
      </c>
      <c r="C20" s="143" t="s">
        <v>3478</v>
      </c>
      <c r="D20" s="13" t="s">
        <v>3438</v>
      </c>
      <c r="E20" s="143" t="s">
        <v>70</v>
      </c>
      <c r="F20" s="14">
        <v>1.275E7</v>
      </c>
      <c r="G20" s="143" t="s">
        <v>1579</v>
      </c>
      <c r="H20" s="13" t="s">
        <v>391</v>
      </c>
      <c r="I20" s="13" t="s">
        <v>3479</v>
      </c>
      <c r="J20" s="13" t="s">
        <v>3480</v>
      </c>
      <c r="K20" s="13"/>
      <c r="L20" s="13" t="s">
        <v>3481</v>
      </c>
      <c r="M20" s="18"/>
      <c r="N20" s="203" t="s">
        <v>3482</v>
      </c>
      <c r="O20" s="465"/>
      <c r="P20" s="465"/>
    </row>
    <row r="21" ht="15.75" customHeight="1">
      <c r="A21" s="470">
        <v>6.0</v>
      </c>
      <c r="B21" s="471" t="s">
        <v>100</v>
      </c>
      <c r="C21" s="472" t="s">
        <v>3478</v>
      </c>
      <c r="D21" s="471" t="s">
        <v>3438</v>
      </c>
      <c r="E21" s="472" t="s">
        <v>70</v>
      </c>
      <c r="F21" s="473">
        <v>1.275E7</v>
      </c>
      <c r="G21" s="472" t="s">
        <v>1579</v>
      </c>
      <c r="H21" s="471" t="s">
        <v>391</v>
      </c>
      <c r="I21" s="471" t="s">
        <v>3483</v>
      </c>
      <c r="J21" s="472" t="s">
        <v>3484</v>
      </c>
      <c r="K21" s="472" t="s">
        <v>3485</v>
      </c>
      <c r="L21" s="474" t="s">
        <v>3486</v>
      </c>
      <c r="M21" s="475"/>
      <c r="N21" s="476"/>
      <c r="O21" s="477"/>
      <c r="P21" s="477"/>
    </row>
    <row r="22" ht="15.75" customHeight="1">
      <c r="A22" s="463">
        <v>7.0</v>
      </c>
      <c r="B22" s="13" t="s">
        <v>100</v>
      </c>
      <c r="C22" s="143" t="s">
        <v>3478</v>
      </c>
      <c r="D22" s="13" t="s">
        <v>3438</v>
      </c>
      <c r="E22" s="143" t="s">
        <v>70</v>
      </c>
      <c r="F22" s="14">
        <v>1.275E7</v>
      </c>
      <c r="G22" s="143" t="s">
        <v>1579</v>
      </c>
      <c r="H22" s="13" t="s">
        <v>391</v>
      </c>
      <c r="I22" s="13" t="s">
        <v>3487</v>
      </c>
      <c r="J22" s="143" t="s">
        <v>3488</v>
      </c>
      <c r="K22" s="143" t="s">
        <v>3489</v>
      </c>
      <c r="L22" s="464" t="s">
        <v>3490</v>
      </c>
      <c r="M22" s="18"/>
      <c r="N22" s="203" t="s">
        <v>3491</v>
      </c>
      <c r="O22" s="465"/>
      <c r="P22" s="465"/>
    </row>
    <row r="23" ht="15.75" customHeight="1">
      <c r="A23" s="455">
        <v>8.0</v>
      </c>
      <c r="B23" s="456" t="s">
        <v>100</v>
      </c>
      <c r="C23" s="457" t="s">
        <v>3478</v>
      </c>
      <c r="D23" s="456" t="s">
        <v>3438</v>
      </c>
      <c r="E23" s="457" t="s">
        <v>931</v>
      </c>
      <c r="F23" s="458">
        <v>1.275E7</v>
      </c>
      <c r="G23" s="457" t="s">
        <v>1579</v>
      </c>
      <c r="H23" s="456" t="s">
        <v>391</v>
      </c>
      <c r="I23" s="456" t="s">
        <v>3492</v>
      </c>
      <c r="J23" s="457" t="s">
        <v>3493</v>
      </c>
      <c r="K23" s="457" t="s">
        <v>3494</v>
      </c>
      <c r="L23" s="464" t="s">
        <v>3495</v>
      </c>
      <c r="M23" s="460" t="s">
        <v>3450</v>
      </c>
      <c r="N23" s="461"/>
      <c r="O23" s="462"/>
      <c r="P23" s="462"/>
    </row>
    <row r="24" ht="15.75" customHeight="1">
      <c r="A24" s="447">
        <v>9.0</v>
      </c>
      <c r="B24" s="448" t="s">
        <v>100</v>
      </c>
      <c r="C24" s="449" t="s">
        <v>3478</v>
      </c>
      <c r="D24" s="448" t="s">
        <v>3438</v>
      </c>
      <c r="E24" s="449" t="s">
        <v>70</v>
      </c>
      <c r="F24" s="450">
        <v>1.275E7</v>
      </c>
      <c r="G24" s="449" t="s">
        <v>1579</v>
      </c>
      <c r="H24" s="448" t="s">
        <v>391</v>
      </c>
      <c r="I24" s="448" t="s">
        <v>3496</v>
      </c>
      <c r="J24" s="449" t="s">
        <v>3497</v>
      </c>
      <c r="K24" s="449" t="s">
        <v>3498</v>
      </c>
      <c r="L24" s="474" t="s">
        <v>3499</v>
      </c>
      <c r="M24" s="479"/>
      <c r="N24" s="453"/>
      <c r="O24" s="454"/>
      <c r="P24" s="454"/>
    </row>
    <row r="25" ht="15.75" customHeight="1">
      <c r="A25" s="455">
        <v>10.0</v>
      </c>
      <c r="B25" s="456" t="s">
        <v>100</v>
      </c>
      <c r="C25" s="457" t="s">
        <v>3478</v>
      </c>
      <c r="D25" s="456" t="s">
        <v>3438</v>
      </c>
      <c r="E25" s="457" t="s">
        <v>70</v>
      </c>
      <c r="F25" s="458">
        <v>1.275E7</v>
      </c>
      <c r="G25" s="457" t="s">
        <v>1579</v>
      </c>
      <c r="H25" s="456" t="s">
        <v>391</v>
      </c>
      <c r="I25" s="456" t="s">
        <v>3500</v>
      </c>
      <c r="J25" s="457" t="s">
        <v>3501</v>
      </c>
      <c r="K25" s="457" t="s">
        <v>3502</v>
      </c>
      <c r="L25" s="464" t="s">
        <v>3503</v>
      </c>
      <c r="M25" s="467"/>
      <c r="N25" s="461"/>
      <c r="O25" s="462"/>
      <c r="P25" s="462"/>
    </row>
    <row r="26" ht="15.75" customHeight="1">
      <c r="A26" s="463">
        <v>11.0</v>
      </c>
      <c r="B26" s="13" t="s">
        <v>100</v>
      </c>
      <c r="C26" s="143" t="s">
        <v>3478</v>
      </c>
      <c r="D26" s="13" t="s">
        <v>3438</v>
      </c>
      <c r="E26" s="143" t="s">
        <v>70</v>
      </c>
      <c r="F26" s="14">
        <v>1.275E7</v>
      </c>
      <c r="G26" s="143" t="s">
        <v>1579</v>
      </c>
      <c r="H26" s="13" t="s">
        <v>391</v>
      </c>
      <c r="I26" s="13" t="s">
        <v>3504</v>
      </c>
      <c r="J26" s="143" t="s">
        <v>3505</v>
      </c>
      <c r="K26" s="143" t="s">
        <v>3506</v>
      </c>
      <c r="L26" s="464" t="s">
        <v>3507</v>
      </c>
      <c r="M26" s="18"/>
      <c r="N26" s="203" t="s">
        <v>3508</v>
      </c>
      <c r="O26" s="465"/>
      <c r="P26" s="465"/>
    </row>
    <row r="27" ht="15.75" customHeight="1">
      <c r="A27" s="470">
        <v>12.0</v>
      </c>
      <c r="B27" s="471" t="s">
        <v>100</v>
      </c>
      <c r="C27" s="472" t="s">
        <v>3473</v>
      </c>
      <c r="D27" s="471" t="s">
        <v>3438</v>
      </c>
      <c r="E27" s="472" t="s">
        <v>70</v>
      </c>
      <c r="F27" s="473">
        <v>1.7525E7</v>
      </c>
      <c r="G27" s="472" t="s">
        <v>1579</v>
      </c>
      <c r="H27" s="471" t="s">
        <v>391</v>
      </c>
      <c r="I27" s="471" t="s">
        <v>3509</v>
      </c>
      <c r="J27" s="472" t="s">
        <v>3510</v>
      </c>
      <c r="K27" s="472" t="s">
        <v>3511</v>
      </c>
      <c r="L27" s="474" t="s">
        <v>3512</v>
      </c>
      <c r="M27" s="475"/>
      <c r="N27" s="480" t="s">
        <v>3513</v>
      </c>
      <c r="O27" s="481"/>
      <c r="P27" s="481"/>
    </row>
    <row r="28" ht="15.75" customHeight="1">
      <c r="A28" s="447">
        <v>13.0</v>
      </c>
      <c r="B28" s="448" t="s">
        <v>100</v>
      </c>
      <c r="C28" s="449" t="s">
        <v>3473</v>
      </c>
      <c r="D28" s="448" t="s">
        <v>3438</v>
      </c>
      <c r="E28" s="449" t="s">
        <v>70</v>
      </c>
      <c r="F28" s="450">
        <v>1.7525E7</v>
      </c>
      <c r="G28" s="449" t="s">
        <v>1579</v>
      </c>
      <c r="H28" s="448" t="s">
        <v>391</v>
      </c>
      <c r="I28" s="448" t="s">
        <v>3514</v>
      </c>
      <c r="J28" s="449" t="s">
        <v>3515</v>
      </c>
      <c r="K28" s="449" t="s">
        <v>3516</v>
      </c>
      <c r="L28" s="474" t="s">
        <v>3517</v>
      </c>
      <c r="M28" s="479"/>
      <c r="N28" s="453"/>
      <c r="O28" s="454"/>
      <c r="P28" s="454"/>
    </row>
    <row r="29" ht="15.75" customHeight="1">
      <c r="A29" s="455">
        <v>14.0</v>
      </c>
      <c r="B29" s="456" t="s">
        <v>100</v>
      </c>
      <c r="C29" s="457" t="s">
        <v>3473</v>
      </c>
      <c r="D29" s="456" t="s">
        <v>3438</v>
      </c>
      <c r="E29" s="457" t="s">
        <v>70</v>
      </c>
      <c r="F29" s="458">
        <v>1.7525E7</v>
      </c>
      <c r="G29" s="457" t="s">
        <v>1579</v>
      </c>
      <c r="H29" s="456" t="s">
        <v>391</v>
      </c>
      <c r="I29" s="456" t="s">
        <v>3518</v>
      </c>
      <c r="J29" s="457" t="s">
        <v>3519</v>
      </c>
      <c r="K29" s="457" t="s">
        <v>3520</v>
      </c>
      <c r="L29" s="464" t="s">
        <v>3521</v>
      </c>
      <c r="M29" s="467"/>
      <c r="N29" s="461"/>
      <c r="O29" s="462"/>
      <c r="P29" s="462"/>
    </row>
    <row r="30" ht="15.75" customHeight="1">
      <c r="A30" s="463">
        <v>15.0</v>
      </c>
      <c r="B30" s="13" t="s">
        <v>100</v>
      </c>
      <c r="C30" s="143" t="s">
        <v>3468</v>
      </c>
      <c r="D30" s="13" t="s">
        <v>3438</v>
      </c>
      <c r="E30" s="143" t="s">
        <v>70</v>
      </c>
      <c r="F30" s="14">
        <v>1.415E7</v>
      </c>
      <c r="G30" s="143" t="s">
        <v>1579</v>
      </c>
      <c r="H30" s="13" t="s">
        <v>391</v>
      </c>
      <c r="I30" s="13" t="s">
        <v>3522</v>
      </c>
      <c r="J30" s="143" t="s">
        <v>3523</v>
      </c>
      <c r="K30" s="143" t="s">
        <v>3524</v>
      </c>
      <c r="L30" s="464" t="s">
        <v>3525</v>
      </c>
      <c r="M30" s="18"/>
      <c r="N30" s="203" t="s">
        <v>3526</v>
      </c>
      <c r="O30" s="465"/>
      <c r="P30" s="465"/>
    </row>
    <row r="31" ht="15.75" customHeight="1">
      <c r="A31" s="470">
        <v>16.0</v>
      </c>
      <c r="B31" s="471" t="s">
        <v>1189</v>
      </c>
      <c r="C31" s="472" t="s">
        <v>3462</v>
      </c>
      <c r="D31" s="471" t="s">
        <v>3438</v>
      </c>
      <c r="E31" s="472" t="s">
        <v>931</v>
      </c>
      <c r="F31" s="473">
        <v>1.415E7</v>
      </c>
      <c r="G31" s="472" t="s">
        <v>1579</v>
      </c>
      <c r="H31" s="471" t="s">
        <v>391</v>
      </c>
      <c r="I31" s="471" t="s">
        <v>3527</v>
      </c>
      <c r="J31" s="472" t="s">
        <v>3528</v>
      </c>
      <c r="K31" s="472" t="s">
        <v>3529</v>
      </c>
      <c r="L31" s="451" t="s">
        <v>3530</v>
      </c>
      <c r="M31" s="482" t="s">
        <v>3443</v>
      </c>
      <c r="N31" s="476"/>
      <c r="O31" s="477"/>
      <c r="P31" s="477"/>
    </row>
    <row r="32" ht="15.75" customHeight="1">
      <c r="A32" s="447">
        <v>17.0</v>
      </c>
      <c r="B32" s="448" t="s">
        <v>100</v>
      </c>
      <c r="C32" s="449" t="s">
        <v>3462</v>
      </c>
      <c r="D32" s="448" t="s">
        <v>3438</v>
      </c>
      <c r="E32" s="449" t="s">
        <v>70</v>
      </c>
      <c r="F32" s="450">
        <v>1.415E7</v>
      </c>
      <c r="G32" s="449" t="s">
        <v>1579</v>
      </c>
      <c r="H32" s="448" t="s">
        <v>391</v>
      </c>
      <c r="I32" s="448" t="s">
        <v>3531</v>
      </c>
      <c r="J32" s="449" t="s">
        <v>3532</v>
      </c>
      <c r="K32" s="449" t="s">
        <v>3533</v>
      </c>
      <c r="L32" s="474" t="s">
        <v>3534</v>
      </c>
      <c r="M32" s="479"/>
      <c r="N32" s="483" t="s">
        <v>3535</v>
      </c>
      <c r="O32" s="484"/>
      <c r="P32" s="484"/>
    </row>
    <row r="33" ht="15.75" customHeight="1">
      <c r="A33" s="455">
        <v>18.0</v>
      </c>
      <c r="B33" s="456" t="s">
        <v>1189</v>
      </c>
      <c r="C33" s="457" t="s">
        <v>3468</v>
      </c>
      <c r="D33" s="456" t="s">
        <v>3438</v>
      </c>
      <c r="E33" s="457" t="s">
        <v>70</v>
      </c>
      <c r="F33" s="458">
        <v>1.415E7</v>
      </c>
      <c r="G33" s="457" t="s">
        <v>1579</v>
      </c>
      <c r="H33" s="456" t="s">
        <v>391</v>
      </c>
      <c r="I33" s="456" t="s">
        <v>3536</v>
      </c>
      <c r="J33" s="457" t="s">
        <v>3537</v>
      </c>
      <c r="K33" s="457" t="s">
        <v>3538</v>
      </c>
      <c r="L33" s="464" t="s">
        <v>3539</v>
      </c>
      <c r="M33" s="467"/>
      <c r="N33" s="468" t="s">
        <v>3540</v>
      </c>
      <c r="O33" s="469"/>
      <c r="P33" s="469"/>
    </row>
    <row r="34" ht="15.75" customHeight="1">
      <c r="A34" s="463">
        <v>19.0</v>
      </c>
      <c r="B34" s="13" t="s">
        <v>100</v>
      </c>
      <c r="C34" s="143" t="s">
        <v>3468</v>
      </c>
      <c r="D34" s="13" t="s">
        <v>3438</v>
      </c>
      <c r="E34" s="143" t="s">
        <v>70</v>
      </c>
      <c r="F34" s="14">
        <v>1.415E7</v>
      </c>
      <c r="G34" s="143" t="s">
        <v>1579</v>
      </c>
      <c r="H34" s="13" t="s">
        <v>391</v>
      </c>
      <c r="I34" s="13" t="s">
        <v>3541</v>
      </c>
      <c r="J34" s="143" t="s">
        <v>3542</v>
      </c>
      <c r="K34" s="143" t="s">
        <v>3543</v>
      </c>
      <c r="L34" s="464" t="s">
        <v>3544</v>
      </c>
      <c r="M34" s="18"/>
      <c r="N34" s="203" t="s">
        <v>3545</v>
      </c>
      <c r="O34" s="465"/>
      <c r="P34" s="465"/>
    </row>
    <row r="35" ht="15.75" customHeight="1">
      <c r="A35" s="455">
        <v>20.0</v>
      </c>
      <c r="B35" s="456" t="s">
        <v>100</v>
      </c>
      <c r="C35" s="457" t="s">
        <v>3546</v>
      </c>
      <c r="D35" s="456" t="s">
        <v>3438</v>
      </c>
      <c r="E35" s="457" t="s">
        <v>70</v>
      </c>
      <c r="F35" s="458">
        <v>1.415E7</v>
      </c>
      <c r="G35" s="457" t="s">
        <v>1579</v>
      </c>
      <c r="H35" s="456" t="s">
        <v>391</v>
      </c>
      <c r="I35" s="456" t="s">
        <v>3547</v>
      </c>
      <c r="J35" s="457" t="s">
        <v>3548</v>
      </c>
      <c r="K35" s="457" t="s">
        <v>3549</v>
      </c>
      <c r="L35" s="464" t="s">
        <v>3550</v>
      </c>
      <c r="M35" s="467"/>
      <c r="N35" s="461"/>
      <c r="O35" s="462"/>
      <c r="P35" s="462"/>
    </row>
    <row r="36" ht="15.75" customHeight="1">
      <c r="A36" s="463">
        <v>21.0</v>
      </c>
      <c r="B36" s="13" t="s">
        <v>100</v>
      </c>
      <c r="C36" s="143" t="s">
        <v>3468</v>
      </c>
      <c r="D36" s="13" t="s">
        <v>3438</v>
      </c>
      <c r="E36" s="143" t="s">
        <v>70</v>
      </c>
      <c r="F36" s="14">
        <v>1.415E7</v>
      </c>
      <c r="G36" s="143" t="s">
        <v>1579</v>
      </c>
      <c r="H36" s="13" t="s">
        <v>391</v>
      </c>
      <c r="I36" s="13" t="s">
        <v>3551</v>
      </c>
      <c r="J36" s="143" t="s">
        <v>3552</v>
      </c>
      <c r="K36" s="143" t="s">
        <v>3553</v>
      </c>
      <c r="L36" s="464" t="s">
        <v>3554</v>
      </c>
      <c r="M36" s="18"/>
      <c r="N36" s="203" t="s">
        <v>3555</v>
      </c>
      <c r="O36" s="465"/>
      <c r="P36" s="465"/>
    </row>
    <row r="37" ht="15.75" customHeight="1">
      <c r="A37" s="455">
        <v>22.0</v>
      </c>
      <c r="B37" s="456" t="s">
        <v>100</v>
      </c>
      <c r="C37" s="457" t="s">
        <v>3468</v>
      </c>
      <c r="D37" s="456" t="s">
        <v>3438</v>
      </c>
      <c r="E37" s="457" t="s">
        <v>70</v>
      </c>
      <c r="F37" s="458">
        <v>1.415E7</v>
      </c>
      <c r="G37" s="457" t="s">
        <v>1579</v>
      </c>
      <c r="H37" s="456" t="s">
        <v>391</v>
      </c>
      <c r="I37" s="456" t="s">
        <v>3556</v>
      </c>
      <c r="J37" s="457" t="s">
        <v>3557</v>
      </c>
      <c r="K37" s="457" t="s">
        <v>3558</v>
      </c>
      <c r="L37" s="464" t="s">
        <v>3559</v>
      </c>
      <c r="M37" s="467"/>
      <c r="N37" s="461"/>
      <c r="O37" s="462"/>
      <c r="P37" s="462"/>
    </row>
    <row r="38" ht="15.75" customHeight="1">
      <c r="A38" s="463">
        <v>23.0</v>
      </c>
      <c r="B38" s="13" t="s">
        <v>1189</v>
      </c>
      <c r="C38" s="143" t="s">
        <v>3560</v>
      </c>
      <c r="D38" s="13" t="s">
        <v>3438</v>
      </c>
      <c r="E38" s="143" t="s">
        <v>70</v>
      </c>
      <c r="F38" s="14">
        <v>1.3475E7</v>
      </c>
      <c r="G38" s="143" t="s">
        <v>1288</v>
      </c>
      <c r="H38" s="13" t="s">
        <v>474</v>
      </c>
      <c r="I38" s="13" t="s">
        <v>3561</v>
      </c>
      <c r="J38" s="13" t="s">
        <v>3562</v>
      </c>
      <c r="K38" s="13"/>
      <c r="L38" s="13"/>
      <c r="M38" s="18"/>
      <c r="N38" s="203" t="s">
        <v>3563</v>
      </c>
      <c r="O38" s="465"/>
      <c r="P38" s="465"/>
    </row>
    <row r="39" ht="15.75" customHeight="1">
      <c r="A39" s="455">
        <v>24.0</v>
      </c>
      <c r="B39" s="456" t="s">
        <v>1189</v>
      </c>
      <c r="C39" s="457" t="s">
        <v>3560</v>
      </c>
      <c r="D39" s="456" t="s">
        <v>3438</v>
      </c>
      <c r="E39" s="457" t="s">
        <v>70</v>
      </c>
      <c r="F39" s="458">
        <v>1.3475E7</v>
      </c>
      <c r="G39" s="457" t="s">
        <v>1288</v>
      </c>
      <c r="H39" s="456" t="s">
        <v>474</v>
      </c>
      <c r="I39" s="456" t="s">
        <v>3564</v>
      </c>
      <c r="J39" s="457" t="s">
        <v>3565</v>
      </c>
      <c r="K39" s="457" t="s">
        <v>3566</v>
      </c>
      <c r="L39" s="464" t="s">
        <v>3567</v>
      </c>
      <c r="M39" s="467"/>
      <c r="N39" s="468" t="s">
        <v>3568</v>
      </c>
      <c r="O39" s="469"/>
      <c r="P39" s="469"/>
    </row>
    <row r="40" ht="15.75" customHeight="1">
      <c r="A40" s="463">
        <v>25.0</v>
      </c>
      <c r="B40" s="13" t="s">
        <v>1189</v>
      </c>
      <c r="C40" s="143" t="s">
        <v>3560</v>
      </c>
      <c r="D40" s="13" t="s">
        <v>3438</v>
      </c>
      <c r="E40" s="143" t="s">
        <v>70</v>
      </c>
      <c r="F40" s="14">
        <v>1.3475E7</v>
      </c>
      <c r="G40" s="143" t="s">
        <v>1288</v>
      </c>
      <c r="H40" s="13" t="s">
        <v>474</v>
      </c>
      <c r="I40" s="13" t="s">
        <v>3569</v>
      </c>
      <c r="J40" s="143" t="s">
        <v>3570</v>
      </c>
      <c r="K40" s="143" t="s">
        <v>3571</v>
      </c>
      <c r="L40" s="464" t="s">
        <v>3572</v>
      </c>
      <c r="M40" s="18"/>
      <c r="N40" s="219"/>
      <c r="O40" s="466"/>
      <c r="P40" s="466"/>
    </row>
    <row r="41" ht="15.75" customHeight="1">
      <c r="A41" s="470">
        <v>26.0</v>
      </c>
      <c r="B41" s="471" t="s">
        <v>100</v>
      </c>
      <c r="C41" s="472" t="s">
        <v>3560</v>
      </c>
      <c r="D41" s="471" t="s">
        <v>3438</v>
      </c>
      <c r="E41" s="472" t="s">
        <v>70</v>
      </c>
      <c r="F41" s="473">
        <v>1.3475E7</v>
      </c>
      <c r="G41" s="472" t="s">
        <v>1288</v>
      </c>
      <c r="H41" s="471" t="s">
        <v>474</v>
      </c>
      <c r="I41" s="471" t="s">
        <v>3573</v>
      </c>
      <c r="J41" s="472" t="s">
        <v>3574</v>
      </c>
      <c r="K41" s="472" t="s">
        <v>3575</v>
      </c>
      <c r="L41" s="474" t="s">
        <v>3576</v>
      </c>
      <c r="M41" s="475"/>
      <c r="N41" s="480" t="s">
        <v>3577</v>
      </c>
      <c r="O41" s="481"/>
      <c r="P41" s="481"/>
    </row>
    <row r="42" ht="15.75" customHeight="1">
      <c r="A42" s="463">
        <v>27.0</v>
      </c>
      <c r="B42" s="13" t="s">
        <v>100</v>
      </c>
      <c r="C42" s="143" t="s">
        <v>3560</v>
      </c>
      <c r="D42" s="13" t="s">
        <v>3438</v>
      </c>
      <c r="E42" s="143" t="s">
        <v>70</v>
      </c>
      <c r="F42" s="14">
        <v>1.3475E7</v>
      </c>
      <c r="G42" s="143" t="s">
        <v>1288</v>
      </c>
      <c r="H42" s="13" t="s">
        <v>474</v>
      </c>
      <c r="I42" s="13" t="s">
        <v>3569</v>
      </c>
      <c r="J42" s="143" t="s">
        <v>3570</v>
      </c>
      <c r="K42" s="145"/>
      <c r="L42" s="143" t="s">
        <v>3572</v>
      </c>
      <c r="M42" s="18"/>
      <c r="N42" s="219"/>
      <c r="O42" s="466"/>
      <c r="P42" s="466"/>
    </row>
    <row r="43" ht="15.75" customHeight="1">
      <c r="A43" s="455">
        <v>28.0</v>
      </c>
      <c r="B43" s="456" t="s">
        <v>100</v>
      </c>
      <c r="C43" s="457" t="s">
        <v>3560</v>
      </c>
      <c r="D43" s="456" t="s">
        <v>3438</v>
      </c>
      <c r="E43" s="457" t="s">
        <v>70</v>
      </c>
      <c r="F43" s="458">
        <v>1.3475E7</v>
      </c>
      <c r="G43" s="457" t="s">
        <v>1288</v>
      </c>
      <c r="H43" s="456" t="s">
        <v>474</v>
      </c>
      <c r="I43" s="456" t="s">
        <v>3578</v>
      </c>
      <c r="J43" s="457" t="s">
        <v>3579</v>
      </c>
      <c r="K43" s="457" t="s">
        <v>3580</v>
      </c>
      <c r="L43" s="464" t="s">
        <v>3581</v>
      </c>
      <c r="M43" s="467"/>
      <c r="N43" s="468" t="s">
        <v>3582</v>
      </c>
      <c r="O43" s="469"/>
      <c r="P43" s="469"/>
    </row>
    <row r="44" ht="15.75" customHeight="1">
      <c r="A44" s="463" t="s">
        <v>3583</v>
      </c>
      <c r="B44" s="13" t="s">
        <v>100</v>
      </c>
      <c r="C44" s="143" t="s">
        <v>3560</v>
      </c>
      <c r="D44" s="13" t="s">
        <v>3438</v>
      </c>
      <c r="E44" s="143" t="s">
        <v>70</v>
      </c>
      <c r="F44" s="14">
        <v>1.3475E7</v>
      </c>
      <c r="G44" s="143" t="s">
        <v>1288</v>
      </c>
      <c r="H44" s="15" t="s">
        <v>474</v>
      </c>
      <c r="I44" s="13" t="s">
        <v>3584</v>
      </c>
      <c r="J44" s="143" t="s">
        <v>3585</v>
      </c>
      <c r="K44" s="143" t="s">
        <v>3586</v>
      </c>
      <c r="L44" s="143" t="s">
        <v>3587</v>
      </c>
      <c r="M44" s="18"/>
      <c r="N44" s="203" t="s">
        <v>3588</v>
      </c>
      <c r="O44" s="485" t="s">
        <v>3589</v>
      </c>
      <c r="P44" s="465"/>
    </row>
    <row r="45" ht="15.75" customHeight="1">
      <c r="A45" s="470">
        <v>30.0</v>
      </c>
      <c r="B45" s="471" t="s">
        <v>1189</v>
      </c>
      <c r="C45" s="472" t="s">
        <v>3560</v>
      </c>
      <c r="D45" s="471" t="s">
        <v>3438</v>
      </c>
      <c r="E45" s="472" t="s">
        <v>70</v>
      </c>
      <c r="F45" s="473">
        <v>1.3475E7</v>
      </c>
      <c r="G45" s="472" t="s">
        <v>1288</v>
      </c>
      <c r="H45" s="471">
        <v>2010.0</v>
      </c>
      <c r="I45" s="471" t="s">
        <v>3590</v>
      </c>
      <c r="J45" s="472" t="s">
        <v>3591</v>
      </c>
      <c r="K45" s="472" t="s">
        <v>3592</v>
      </c>
      <c r="L45" s="474" t="s">
        <v>3593</v>
      </c>
      <c r="M45" s="475"/>
      <c r="N45" s="480" t="s">
        <v>3594</v>
      </c>
      <c r="O45" s="481"/>
      <c r="P45" s="481"/>
    </row>
    <row r="46" ht="15.75" customHeight="1">
      <c r="A46" s="463">
        <v>31.0</v>
      </c>
      <c r="B46" s="13" t="s">
        <v>100</v>
      </c>
      <c r="C46" s="143" t="s">
        <v>3560</v>
      </c>
      <c r="D46" s="13" t="s">
        <v>3438</v>
      </c>
      <c r="E46" s="143" t="s">
        <v>70</v>
      </c>
      <c r="F46" s="14">
        <v>1.3475E7</v>
      </c>
      <c r="G46" s="143" t="s">
        <v>1288</v>
      </c>
      <c r="H46" s="13" t="s">
        <v>474</v>
      </c>
      <c r="I46" s="13" t="s">
        <v>3595</v>
      </c>
      <c r="J46" s="143" t="s">
        <v>3596</v>
      </c>
      <c r="K46" s="143" t="s">
        <v>3597</v>
      </c>
      <c r="L46" s="464" t="s">
        <v>3598</v>
      </c>
      <c r="M46" s="18"/>
      <c r="N46" s="219"/>
      <c r="O46" s="466"/>
      <c r="P46" s="466"/>
    </row>
    <row r="47" ht="15.75" customHeight="1">
      <c r="A47" s="470">
        <v>32.0</v>
      </c>
      <c r="B47" s="471" t="s">
        <v>100</v>
      </c>
      <c r="C47" s="472" t="s">
        <v>3560</v>
      </c>
      <c r="D47" s="471" t="s">
        <v>3438</v>
      </c>
      <c r="E47" s="472" t="s">
        <v>70</v>
      </c>
      <c r="F47" s="473">
        <v>1.3475E7</v>
      </c>
      <c r="G47" s="472" t="s">
        <v>1288</v>
      </c>
      <c r="H47" s="471" t="s">
        <v>474</v>
      </c>
      <c r="I47" s="471" t="s">
        <v>3599</v>
      </c>
      <c r="J47" s="472" t="s">
        <v>3600</v>
      </c>
      <c r="K47" s="472" t="s">
        <v>3601</v>
      </c>
      <c r="L47" s="474" t="s">
        <v>3602</v>
      </c>
      <c r="M47" s="475"/>
      <c r="N47" s="476"/>
      <c r="O47" s="477"/>
      <c r="P47" s="477"/>
    </row>
    <row r="48" ht="15.75" customHeight="1">
      <c r="A48" s="447">
        <v>33.0</v>
      </c>
      <c r="B48" s="448" t="s">
        <v>100</v>
      </c>
      <c r="C48" s="449" t="s">
        <v>3560</v>
      </c>
      <c r="D48" s="448" t="s">
        <v>3438</v>
      </c>
      <c r="E48" s="449" t="s">
        <v>70</v>
      </c>
      <c r="F48" s="450">
        <v>1.3475E7</v>
      </c>
      <c r="G48" s="449" t="s">
        <v>1288</v>
      </c>
      <c r="H48" s="448" t="s">
        <v>474</v>
      </c>
      <c r="I48" s="448" t="s">
        <v>3603</v>
      </c>
      <c r="J48" s="449" t="s">
        <v>3604</v>
      </c>
      <c r="K48" s="449" t="s">
        <v>3605</v>
      </c>
      <c r="L48" s="474" t="s">
        <v>3606</v>
      </c>
      <c r="M48" s="479"/>
      <c r="N48" s="483" t="s">
        <v>3607</v>
      </c>
      <c r="O48" s="484"/>
      <c r="P48" s="484"/>
    </row>
    <row r="49" ht="15.75" customHeight="1">
      <c r="A49" s="455">
        <v>34.0</v>
      </c>
      <c r="B49" s="456" t="s">
        <v>1189</v>
      </c>
      <c r="C49" s="457" t="s">
        <v>3560</v>
      </c>
      <c r="D49" s="456" t="s">
        <v>3438</v>
      </c>
      <c r="E49" s="457" t="s">
        <v>70</v>
      </c>
      <c r="F49" s="458">
        <v>1.3475E7</v>
      </c>
      <c r="G49" s="457" t="s">
        <v>1288</v>
      </c>
      <c r="H49" s="456" t="s">
        <v>474</v>
      </c>
      <c r="I49" s="456" t="s">
        <v>3608</v>
      </c>
      <c r="J49" s="457" t="s">
        <v>3609</v>
      </c>
      <c r="K49" s="457" t="s">
        <v>3610</v>
      </c>
      <c r="L49" s="464" t="s">
        <v>3611</v>
      </c>
      <c r="M49" s="467"/>
      <c r="N49" s="461"/>
      <c r="O49" s="462"/>
      <c r="P49" s="462"/>
    </row>
    <row r="50" ht="15.75" customHeight="1">
      <c r="A50" s="447">
        <v>35.0</v>
      </c>
      <c r="B50" s="448" t="s">
        <v>1189</v>
      </c>
      <c r="C50" s="449" t="s">
        <v>3560</v>
      </c>
      <c r="D50" s="448" t="s">
        <v>3438</v>
      </c>
      <c r="E50" s="449" t="s">
        <v>70</v>
      </c>
      <c r="F50" s="450">
        <v>1.3475E7</v>
      </c>
      <c r="G50" s="449" t="s">
        <v>1288</v>
      </c>
      <c r="H50" s="448" t="s">
        <v>474</v>
      </c>
      <c r="I50" s="448" t="s">
        <v>3612</v>
      </c>
      <c r="J50" s="449" t="s">
        <v>3613</v>
      </c>
      <c r="K50" s="449" t="s">
        <v>3614</v>
      </c>
      <c r="L50" s="474" t="s">
        <v>3615</v>
      </c>
      <c r="M50" s="479"/>
      <c r="N50" s="453"/>
      <c r="O50" s="454"/>
      <c r="P50" s="454"/>
    </row>
    <row r="51" ht="15.75" customHeight="1">
      <c r="A51" s="455">
        <v>36.0</v>
      </c>
      <c r="B51" s="456" t="s">
        <v>100</v>
      </c>
      <c r="C51" s="457" t="s">
        <v>3560</v>
      </c>
      <c r="D51" s="456" t="s">
        <v>3438</v>
      </c>
      <c r="E51" s="457" t="s">
        <v>70</v>
      </c>
      <c r="F51" s="458">
        <v>1.3475E7</v>
      </c>
      <c r="G51" s="457" t="s">
        <v>1288</v>
      </c>
      <c r="H51" s="456" t="s">
        <v>474</v>
      </c>
      <c r="I51" s="456" t="s">
        <v>3616</v>
      </c>
      <c r="J51" s="457" t="s">
        <v>3617</v>
      </c>
      <c r="K51" s="457" t="s">
        <v>3618</v>
      </c>
      <c r="L51" s="464" t="s">
        <v>3619</v>
      </c>
      <c r="M51" s="467"/>
      <c r="N51" s="468" t="s">
        <v>3620</v>
      </c>
      <c r="O51" s="469"/>
      <c r="P51" s="469"/>
    </row>
    <row r="52" ht="15.75" customHeight="1">
      <c r="A52" s="463">
        <v>37.0</v>
      </c>
      <c r="B52" s="13" t="s">
        <v>1189</v>
      </c>
      <c r="C52" s="143" t="s">
        <v>3560</v>
      </c>
      <c r="D52" s="13" t="s">
        <v>3438</v>
      </c>
      <c r="E52" s="143" t="s">
        <v>70</v>
      </c>
      <c r="F52" s="14">
        <v>1.3475E7</v>
      </c>
      <c r="G52" s="143" t="s">
        <v>1288</v>
      </c>
      <c r="H52" s="13" t="s">
        <v>474</v>
      </c>
      <c r="I52" s="13" t="s">
        <v>3621</v>
      </c>
      <c r="J52" s="143" t="s">
        <v>3622</v>
      </c>
      <c r="K52" s="143" t="s">
        <v>3623</v>
      </c>
      <c r="L52" s="464" t="s">
        <v>3624</v>
      </c>
      <c r="M52" s="18"/>
      <c r="N52" s="203" t="s">
        <v>3625</v>
      </c>
      <c r="O52" s="465"/>
      <c r="P52" s="465"/>
    </row>
    <row r="53" ht="15.75" customHeight="1">
      <c r="A53" s="455">
        <v>38.0</v>
      </c>
      <c r="B53" s="456" t="s">
        <v>100</v>
      </c>
      <c r="C53" s="457" t="s">
        <v>3560</v>
      </c>
      <c r="D53" s="456" t="s">
        <v>3438</v>
      </c>
      <c r="E53" s="457" t="s">
        <v>70</v>
      </c>
      <c r="F53" s="458">
        <v>1.3475E7</v>
      </c>
      <c r="G53" s="457" t="s">
        <v>1288</v>
      </c>
      <c r="H53" s="456" t="s">
        <v>474</v>
      </c>
      <c r="I53" s="456" t="s">
        <v>3626</v>
      </c>
      <c r="J53" s="457" t="s">
        <v>3627</v>
      </c>
      <c r="K53" s="457" t="s">
        <v>3628</v>
      </c>
      <c r="L53" s="464" t="s">
        <v>3629</v>
      </c>
      <c r="M53" s="467"/>
      <c r="N53" s="468" t="s">
        <v>3630</v>
      </c>
      <c r="O53" s="469"/>
      <c r="P53" s="469"/>
    </row>
    <row r="54" ht="15.75" customHeight="1">
      <c r="A54" s="463">
        <v>39.0</v>
      </c>
      <c r="B54" s="13" t="s">
        <v>100</v>
      </c>
      <c r="C54" s="143" t="s">
        <v>3560</v>
      </c>
      <c r="D54" s="13" t="s">
        <v>3438</v>
      </c>
      <c r="E54" s="143" t="s">
        <v>70</v>
      </c>
      <c r="F54" s="14">
        <v>1.3475E7</v>
      </c>
      <c r="G54" s="143" t="s">
        <v>1288</v>
      </c>
      <c r="H54" s="13" t="s">
        <v>474</v>
      </c>
      <c r="I54" s="13" t="s">
        <v>3631</v>
      </c>
      <c r="J54" s="143" t="s">
        <v>3632</v>
      </c>
      <c r="K54" s="143" t="s">
        <v>3633</v>
      </c>
      <c r="L54" s="464" t="s">
        <v>3634</v>
      </c>
      <c r="M54" s="18"/>
      <c r="N54" s="203" t="s">
        <v>3635</v>
      </c>
      <c r="O54" s="465"/>
      <c r="P54" s="465"/>
    </row>
    <row r="55" ht="15.75" customHeight="1">
      <c r="A55" s="455">
        <v>40.0</v>
      </c>
      <c r="B55" s="456" t="s">
        <v>100</v>
      </c>
      <c r="C55" s="457" t="s">
        <v>3560</v>
      </c>
      <c r="D55" s="456" t="s">
        <v>3438</v>
      </c>
      <c r="E55" s="457" t="s">
        <v>70</v>
      </c>
      <c r="F55" s="458">
        <v>1.3475E7</v>
      </c>
      <c r="G55" s="457" t="s">
        <v>1288</v>
      </c>
      <c r="H55" s="456" t="s">
        <v>474</v>
      </c>
      <c r="I55" s="456" t="s">
        <v>3636</v>
      </c>
      <c r="J55" s="457" t="s">
        <v>3637</v>
      </c>
      <c r="K55" s="486"/>
      <c r="L55" s="457" t="s">
        <v>3638</v>
      </c>
      <c r="M55" s="467"/>
      <c r="N55" s="468" t="s">
        <v>3639</v>
      </c>
      <c r="O55" s="469"/>
      <c r="P55" s="469"/>
    </row>
    <row r="56" ht="15.75" customHeight="1">
      <c r="A56" s="463">
        <v>41.0</v>
      </c>
      <c r="B56" s="13" t="s">
        <v>100</v>
      </c>
      <c r="C56" s="143" t="s">
        <v>3560</v>
      </c>
      <c r="D56" s="13" t="s">
        <v>3438</v>
      </c>
      <c r="E56" s="143" t="s">
        <v>70</v>
      </c>
      <c r="F56" s="14">
        <v>1.3475E7</v>
      </c>
      <c r="G56" s="143" t="s">
        <v>1288</v>
      </c>
      <c r="H56" s="13" t="s">
        <v>474</v>
      </c>
      <c r="I56" s="13" t="s">
        <v>3640</v>
      </c>
      <c r="J56" s="143" t="s">
        <v>3641</v>
      </c>
      <c r="K56" s="143" t="s">
        <v>3642</v>
      </c>
      <c r="L56" s="464" t="s">
        <v>3643</v>
      </c>
      <c r="M56" s="18"/>
      <c r="N56" s="203" t="s">
        <v>3644</v>
      </c>
      <c r="O56" s="465"/>
      <c r="P56" s="465"/>
    </row>
    <row r="57" ht="15.75" customHeight="1">
      <c r="A57" s="455">
        <v>42.0</v>
      </c>
      <c r="B57" s="456" t="s">
        <v>100</v>
      </c>
      <c r="C57" s="457" t="s">
        <v>3560</v>
      </c>
      <c r="D57" s="456" t="s">
        <v>3438</v>
      </c>
      <c r="E57" s="457" t="s">
        <v>70</v>
      </c>
      <c r="F57" s="458">
        <v>1.3475E7</v>
      </c>
      <c r="G57" s="457" t="s">
        <v>1288</v>
      </c>
      <c r="H57" s="456" t="s">
        <v>474</v>
      </c>
      <c r="I57" s="456" t="s">
        <v>3645</v>
      </c>
      <c r="J57" s="457" t="s">
        <v>3646</v>
      </c>
      <c r="K57" s="457" t="s">
        <v>3647</v>
      </c>
      <c r="L57" s="464" t="s">
        <v>3648</v>
      </c>
      <c r="M57" s="467"/>
      <c r="N57" s="468" t="s">
        <v>3649</v>
      </c>
      <c r="O57" s="469"/>
      <c r="P57" s="469"/>
    </row>
    <row r="58" ht="15.75" customHeight="1">
      <c r="A58" s="463">
        <v>43.0</v>
      </c>
      <c r="B58" s="13" t="s">
        <v>100</v>
      </c>
      <c r="C58" s="143" t="s">
        <v>3560</v>
      </c>
      <c r="D58" s="13" t="s">
        <v>3438</v>
      </c>
      <c r="E58" s="143" t="s">
        <v>70</v>
      </c>
      <c r="F58" s="14">
        <v>1.3475E7</v>
      </c>
      <c r="G58" s="143" t="s">
        <v>1288</v>
      </c>
      <c r="H58" s="13" t="s">
        <v>474</v>
      </c>
      <c r="I58" s="13" t="s">
        <v>3650</v>
      </c>
      <c r="J58" s="143" t="s">
        <v>3651</v>
      </c>
      <c r="K58" s="143" t="s">
        <v>3652</v>
      </c>
      <c r="L58" s="464" t="s">
        <v>3653</v>
      </c>
      <c r="M58" s="18"/>
      <c r="N58" s="203" t="s">
        <v>3654</v>
      </c>
      <c r="O58" s="465"/>
      <c r="P58" s="465"/>
    </row>
    <row r="59" ht="15.75" customHeight="1">
      <c r="A59" s="455">
        <v>44.0</v>
      </c>
      <c r="B59" s="456" t="s">
        <v>100</v>
      </c>
      <c r="C59" s="457" t="s">
        <v>3560</v>
      </c>
      <c r="D59" s="456" t="s">
        <v>3438</v>
      </c>
      <c r="E59" s="457" t="s">
        <v>70</v>
      </c>
      <c r="F59" s="458">
        <v>1.3475E7</v>
      </c>
      <c r="G59" s="457" t="s">
        <v>1288</v>
      </c>
      <c r="H59" s="456" t="s">
        <v>474</v>
      </c>
      <c r="I59" s="456" t="s">
        <v>3655</v>
      </c>
      <c r="J59" s="457" t="s">
        <v>3656</v>
      </c>
      <c r="K59" s="457" t="s">
        <v>3657</v>
      </c>
      <c r="L59" s="464" t="s">
        <v>3658</v>
      </c>
      <c r="M59" s="467"/>
      <c r="N59" s="468" t="s">
        <v>3659</v>
      </c>
      <c r="O59" s="469"/>
      <c r="P59" s="469"/>
    </row>
    <row r="60" ht="15.75" customHeight="1">
      <c r="A60" s="463">
        <v>45.0</v>
      </c>
      <c r="B60" s="13" t="s">
        <v>100</v>
      </c>
      <c r="C60" s="143" t="s">
        <v>3560</v>
      </c>
      <c r="D60" s="13" t="s">
        <v>3438</v>
      </c>
      <c r="E60" s="143" t="s">
        <v>70</v>
      </c>
      <c r="F60" s="14">
        <v>1.3475E7</v>
      </c>
      <c r="G60" s="143" t="s">
        <v>1288</v>
      </c>
      <c r="H60" s="13" t="s">
        <v>474</v>
      </c>
      <c r="I60" s="13" t="s">
        <v>3660</v>
      </c>
      <c r="J60" s="143" t="s">
        <v>3661</v>
      </c>
      <c r="K60" s="143" t="s">
        <v>3662</v>
      </c>
      <c r="L60" s="464" t="s">
        <v>3663</v>
      </c>
      <c r="M60" s="18"/>
      <c r="N60" s="219"/>
      <c r="O60" s="466"/>
      <c r="P60" s="466"/>
    </row>
    <row r="61" ht="15.75" customHeight="1">
      <c r="A61" s="470">
        <v>46.0</v>
      </c>
      <c r="B61" s="471" t="s">
        <v>100</v>
      </c>
      <c r="C61" s="472" t="s">
        <v>3560</v>
      </c>
      <c r="D61" s="471" t="s">
        <v>3438</v>
      </c>
      <c r="E61" s="472" t="s">
        <v>931</v>
      </c>
      <c r="F61" s="473">
        <v>1.3475E7</v>
      </c>
      <c r="G61" s="472" t="s">
        <v>1288</v>
      </c>
      <c r="H61" s="471" t="s">
        <v>474</v>
      </c>
      <c r="I61" s="471" t="s">
        <v>3664</v>
      </c>
      <c r="J61" s="472" t="s">
        <v>3665</v>
      </c>
      <c r="K61" s="472" t="s">
        <v>3666</v>
      </c>
      <c r="L61" s="451" t="s">
        <v>3667</v>
      </c>
      <c r="M61" s="482" t="s">
        <v>3443</v>
      </c>
      <c r="N61" s="476"/>
      <c r="O61" s="477"/>
      <c r="P61" s="477"/>
    </row>
    <row r="62" ht="15.75" customHeight="1">
      <c r="A62" s="463">
        <v>47.0</v>
      </c>
      <c r="B62" s="13" t="s">
        <v>100</v>
      </c>
      <c r="C62" s="143" t="s">
        <v>3560</v>
      </c>
      <c r="D62" s="13" t="s">
        <v>3438</v>
      </c>
      <c r="E62" s="143" t="s">
        <v>70</v>
      </c>
      <c r="F62" s="14">
        <v>1.3475E7</v>
      </c>
      <c r="G62" s="143" t="s">
        <v>1288</v>
      </c>
      <c r="H62" s="13" t="s">
        <v>474</v>
      </c>
      <c r="I62" s="13" t="s">
        <v>3668</v>
      </c>
      <c r="J62" s="143" t="s">
        <v>3669</v>
      </c>
      <c r="K62" s="143" t="s">
        <v>3670</v>
      </c>
      <c r="L62" s="464" t="s">
        <v>3671</v>
      </c>
      <c r="M62" s="18"/>
      <c r="N62" s="219"/>
      <c r="O62" s="466"/>
      <c r="P62" s="466"/>
    </row>
    <row r="63" ht="15.75" customHeight="1">
      <c r="A63" s="470">
        <v>48.0</v>
      </c>
      <c r="B63" s="471" t="s">
        <v>100</v>
      </c>
      <c r="C63" s="472" t="s">
        <v>3560</v>
      </c>
      <c r="D63" s="471" t="s">
        <v>3438</v>
      </c>
      <c r="E63" s="472" t="s">
        <v>70</v>
      </c>
      <c r="F63" s="473">
        <v>1.3475E7</v>
      </c>
      <c r="G63" s="472" t="s">
        <v>1288</v>
      </c>
      <c r="H63" s="471" t="s">
        <v>474</v>
      </c>
      <c r="I63" s="471" t="s">
        <v>3672</v>
      </c>
      <c r="J63" s="472" t="s">
        <v>3673</v>
      </c>
      <c r="K63" s="472" t="s">
        <v>3674</v>
      </c>
      <c r="L63" s="474" t="s">
        <v>3675</v>
      </c>
      <c r="M63" s="475"/>
      <c r="N63" s="476"/>
      <c r="O63" s="477"/>
      <c r="P63" s="477"/>
    </row>
    <row r="64" ht="15.75" customHeight="1">
      <c r="A64" s="447">
        <v>49.0</v>
      </c>
      <c r="B64" s="448" t="s">
        <v>100</v>
      </c>
      <c r="C64" s="449" t="s">
        <v>3560</v>
      </c>
      <c r="D64" s="448" t="s">
        <v>3438</v>
      </c>
      <c r="E64" s="449" t="s">
        <v>70</v>
      </c>
      <c r="F64" s="450">
        <v>1.3475E7</v>
      </c>
      <c r="G64" s="449" t="s">
        <v>1288</v>
      </c>
      <c r="H64" s="448" t="s">
        <v>474</v>
      </c>
      <c r="I64" s="448" t="s">
        <v>3676</v>
      </c>
      <c r="J64" s="449" t="s">
        <v>3677</v>
      </c>
      <c r="K64" s="449" t="s">
        <v>3678</v>
      </c>
      <c r="L64" s="474" t="s">
        <v>3679</v>
      </c>
      <c r="M64" s="479"/>
      <c r="N64" s="483" t="s">
        <v>3680</v>
      </c>
      <c r="O64" s="484"/>
      <c r="P64" s="484"/>
    </row>
    <row r="65" ht="15.75" customHeight="1">
      <c r="A65" s="470">
        <v>50.0</v>
      </c>
      <c r="B65" s="471" t="s">
        <v>100</v>
      </c>
      <c r="C65" s="472" t="s">
        <v>3560</v>
      </c>
      <c r="D65" s="471" t="s">
        <v>3438</v>
      </c>
      <c r="E65" s="472" t="s">
        <v>931</v>
      </c>
      <c r="F65" s="473">
        <v>1.3475E7</v>
      </c>
      <c r="G65" s="472" t="s">
        <v>1288</v>
      </c>
      <c r="H65" s="471" t="s">
        <v>474</v>
      </c>
      <c r="I65" s="471" t="s">
        <v>3681</v>
      </c>
      <c r="J65" s="472" t="s">
        <v>3682</v>
      </c>
      <c r="K65" s="472" t="s">
        <v>3683</v>
      </c>
      <c r="L65" s="451" t="s">
        <v>3684</v>
      </c>
      <c r="M65" s="482" t="s">
        <v>3443</v>
      </c>
      <c r="N65" s="476"/>
      <c r="O65" s="477"/>
      <c r="P65" s="477"/>
    </row>
    <row r="66" ht="15.75" customHeight="1">
      <c r="A66" s="447">
        <v>51.0</v>
      </c>
      <c r="B66" s="448" t="s">
        <v>100</v>
      </c>
      <c r="C66" s="449" t="s">
        <v>3560</v>
      </c>
      <c r="D66" s="448" t="s">
        <v>3438</v>
      </c>
      <c r="E66" s="449" t="s">
        <v>70</v>
      </c>
      <c r="F66" s="450">
        <v>1.3475E7</v>
      </c>
      <c r="G66" s="449" t="s">
        <v>1288</v>
      </c>
      <c r="H66" s="448" t="s">
        <v>474</v>
      </c>
      <c r="I66" s="448" t="s">
        <v>3685</v>
      </c>
      <c r="J66" s="449" t="s">
        <v>3686</v>
      </c>
      <c r="K66" s="449" t="s">
        <v>3687</v>
      </c>
      <c r="L66" s="474" t="s">
        <v>3688</v>
      </c>
      <c r="M66" s="479"/>
      <c r="N66" s="453"/>
      <c r="O66" s="454"/>
      <c r="P66" s="454"/>
    </row>
    <row r="67" ht="15.75" customHeight="1">
      <c r="A67" s="455">
        <v>52.0</v>
      </c>
      <c r="B67" s="456" t="s">
        <v>100</v>
      </c>
      <c r="C67" s="457" t="s">
        <v>3560</v>
      </c>
      <c r="D67" s="456" t="s">
        <v>3438</v>
      </c>
      <c r="E67" s="457" t="s">
        <v>70</v>
      </c>
      <c r="F67" s="458">
        <v>1.3475E7</v>
      </c>
      <c r="G67" s="457" t="s">
        <v>1288</v>
      </c>
      <c r="H67" s="456" t="s">
        <v>474</v>
      </c>
      <c r="I67" s="456" t="s">
        <v>3689</v>
      </c>
      <c r="J67" s="457" t="s">
        <v>3690</v>
      </c>
      <c r="K67" s="457" t="s">
        <v>3691</v>
      </c>
      <c r="L67" s="464" t="s">
        <v>3692</v>
      </c>
      <c r="M67" s="467"/>
      <c r="N67" s="468" t="s">
        <v>3693</v>
      </c>
      <c r="O67" s="469"/>
      <c r="P67" s="469"/>
    </row>
    <row r="68" ht="15.75" customHeight="1">
      <c r="A68" s="463">
        <v>53.0</v>
      </c>
      <c r="B68" s="13" t="s">
        <v>100</v>
      </c>
      <c r="C68" s="143" t="s">
        <v>3560</v>
      </c>
      <c r="D68" s="13" t="s">
        <v>3438</v>
      </c>
      <c r="E68" s="143" t="s">
        <v>70</v>
      </c>
      <c r="F68" s="14">
        <v>1.3475E7</v>
      </c>
      <c r="G68" s="143" t="s">
        <v>1288</v>
      </c>
      <c r="H68" s="13" t="s">
        <v>474</v>
      </c>
      <c r="I68" s="13" t="s">
        <v>3694</v>
      </c>
      <c r="J68" s="143" t="s">
        <v>3695</v>
      </c>
      <c r="K68" s="143" t="s">
        <v>3696</v>
      </c>
      <c r="L68" s="464" t="s">
        <v>3697</v>
      </c>
      <c r="M68" s="18"/>
      <c r="N68" s="219"/>
      <c r="O68" s="466"/>
      <c r="P68" s="466"/>
    </row>
    <row r="69" ht="15.75" customHeight="1">
      <c r="A69" s="455">
        <v>54.0</v>
      </c>
      <c r="B69" s="456" t="s">
        <v>100</v>
      </c>
      <c r="C69" s="457" t="s">
        <v>3560</v>
      </c>
      <c r="D69" s="456" t="s">
        <v>3438</v>
      </c>
      <c r="E69" s="457" t="s">
        <v>70</v>
      </c>
      <c r="F69" s="458">
        <v>1.3475E7</v>
      </c>
      <c r="G69" s="457" t="s">
        <v>1288</v>
      </c>
      <c r="H69" s="456" t="s">
        <v>474</v>
      </c>
      <c r="I69" s="456" t="s">
        <v>3698</v>
      </c>
      <c r="J69" s="457" t="s">
        <v>3699</v>
      </c>
      <c r="K69" s="457" t="s">
        <v>3700</v>
      </c>
      <c r="L69" s="464" t="s">
        <v>3701</v>
      </c>
      <c r="M69" s="467"/>
      <c r="N69" s="468" t="s">
        <v>3702</v>
      </c>
      <c r="O69" s="469"/>
      <c r="P69" s="469"/>
    </row>
    <row r="70" ht="15.75" customHeight="1">
      <c r="A70" s="463">
        <v>55.0</v>
      </c>
      <c r="B70" s="13" t="s">
        <v>100</v>
      </c>
      <c r="C70" s="143" t="s">
        <v>3560</v>
      </c>
      <c r="D70" s="13" t="s">
        <v>3438</v>
      </c>
      <c r="E70" s="143" t="s">
        <v>70</v>
      </c>
      <c r="F70" s="14">
        <v>1.3475E7</v>
      </c>
      <c r="G70" s="143" t="s">
        <v>1288</v>
      </c>
      <c r="H70" s="13" t="s">
        <v>474</v>
      </c>
      <c r="I70" s="13" t="s">
        <v>3703</v>
      </c>
      <c r="J70" s="143" t="s">
        <v>3704</v>
      </c>
      <c r="K70" s="143" t="s">
        <v>3705</v>
      </c>
      <c r="L70" s="464" t="s">
        <v>3706</v>
      </c>
      <c r="M70" s="18"/>
      <c r="N70" s="203" t="s">
        <v>3707</v>
      </c>
      <c r="O70" s="465"/>
      <c r="P70" s="465"/>
    </row>
    <row r="71" ht="15.75" customHeight="1">
      <c r="A71" s="455">
        <v>56.0</v>
      </c>
      <c r="B71" s="456" t="s">
        <v>100</v>
      </c>
      <c r="C71" s="457" t="s">
        <v>3560</v>
      </c>
      <c r="D71" s="456" t="s">
        <v>3438</v>
      </c>
      <c r="E71" s="457" t="s">
        <v>70</v>
      </c>
      <c r="F71" s="458">
        <v>1.3475E7</v>
      </c>
      <c r="G71" s="457" t="s">
        <v>1288</v>
      </c>
      <c r="H71" s="456" t="s">
        <v>474</v>
      </c>
      <c r="I71" s="456" t="s">
        <v>3708</v>
      </c>
      <c r="J71" s="457" t="s">
        <v>3709</v>
      </c>
      <c r="K71" s="457" t="s">
        <v>3710</v>
      </c>
      <c r="L71" s="464" t="s">
        <v>3711</v>
      </c>
      <c r="M71" s="467"/>
      <c r="N71" s="468" t="s">
        <v>3712</v>
      </c>
      <c r="O71" s="469"/>
      <c r="P71" s="469"/>
    </row>
    <row r="72" ht="15.75" customHeight="1">
      <c r="A72" s="463">
        <v>57.0</v>
      </c>
      <c r="B72" s="13" t="s">
        <v>3713</v>
      </c>
      <c r="C72" s="143" t="s">
        <v>3560</v>
      </c>
      <c r="D72" s="13" t="s">
        <v>3438</v>
      </c>
      <c r="E72" s="143" t="s">
        <v>70</v>
      </c>
      <c r="F72" s="14">
        <v>1.3475E7</v>
      </c>
      <c r="G72" s="143" t="s">
        <v>1288</v>
      </c>
      <c r="H72" s="13" t="s">
        <v>474</v>
      </c>
      <c r="I72" s="13" t="s">
        <v>3714</v>
      </c>
      <c r="J72" s="143" t="s">
        <v>3715</v>
      </c>
      <c r="K72" s="143" t="s">
        <v>3716</v>
      </c>
      <c r="L72" s="464" t="s">
        <v>3717</v>
      </c>
      <c r="M72" s="18"/>
      <c r="N72" s="219"/>
      <c r="O72" s="466"/>
      <c r="P72" s="466"/>
    </row>
    <row r="73" ht="15.75" customHeight="1">
      <c r="A73" s="470">
        <v>58.0</v>
      </c>
      <c r="B73" s="471" t="s">
        <v>100</v>
      </c>
      <c r="C73" s="472" t="s">
        <v>3560</v>
      </c>
      <c r="D73" s="471" t="s">
        <v>3438</v>
      </c>
      <c r="E73" s="472" t="s">
        <v>70</v>
      </c>
      <c r="F73" s="473">
        <v>1.3475E7</v>
      </c>
      <c r="G73" s="472" t="s">
        <v>1288</v>
      </c>
      <c r="H73" s="471" t="s">
        <v>474</v>
      </c>
      <c r="I73" s="471" t="s">
        <v>3718</v>
      </c>
      <c r="J73" s="472" t="s">
        <v>3719</v>
      </c>
      <c r="K73" s="472" t="s">
        <v>3720</v>
      </c>
      <c r="L73" s="474" t="s">
        <v>3721</v>
      </c>
      <c r="M73" s="475"/>
      <c r="N73" s="480" t="s">
        <v>3722</v>
      </c>
      <c r="O73" s="481"/>
      <c r="P73" s="481"/>
    </row>
    <row r="74" ht="15.75" customHeight="1">
      <c r="A74" s="447">
        <v>59.0</v>
      </c>
      <c r="B74" s="448" t="s">
        <v>1189</v>
      </c>
      <c r="C74" s="449" t="s">
        <v>3560</v>
      </c>
      <c r="D74" s="448" t="s">
        <v>3438</v>
      </c>
      <c r="E74" s="449" t="s">
        <v>931</v>
      </c>
      <c r="F74" s="450">
        <v>1.3475E7</v>
      </c>
      <c r="G74" s="449" t="s">
        <v>1288</v>
      </c>
      <c r="H74" s="448" t="s">
        <v>474</v>
      </c>
      <c r="I74" s="448" t="s">
        <v>3723</v>
      </c>
      <c r="J74" s="449" t="s">
        <v>3724</v>
      </c>
      <c r="K74" s="449" t="s">
        <v>3725</v>
      </c>
      <c r="L74" s="451" t="s">
        <v>3726</v>
      </c>
      <c r="M74" s="452" t="s">
        <v>3443</v>
      </c>
      <c r="N74" s="483" t="s">
        <v>3727</v>
      </c>
      <c r="O74" s="484"/>
      <c r="P74" s="484"/>
    </row>
    <row r="75" ht="15.75" customHeight="1">
      <c r="A75" s="487">
        <v>60.0</v>
      </c>
      <c r="B75" s="488" t="s">
        <v>100</v>
      </c>
      <c r="C75" s="457" t="s">
        <v>3560</v>
      </c>
      <c r="D75" s="488" t="s">
        <v>3438</v>
      </c>
      <c r="E75" s="457" t="s">
        <v>70</v>
      </c>
      <c r="F75" s="489">
        <v>1.3475E7</v>
      </c>
      <c r="G75" s="457" t="s">
        <v>1288</v>
      </c>
      <c r="H75" s="488" t="s">
        <v>474</v>
      </c>
      <c r="I75" s="488" t="s">
        <v>3728</v>
      </c>
      <c r="J75" s="457" t="s">
        <v>3729</v>
      </c>
      <c r="K75" s="457" t="s">
        <v>3730</v>
      </c>
      <c r="L75" s="464" t="s">
        <v>3731</v>
      </c>
      <c r="M75" s="490"/>
      <c r="N75" s="468" t="s">
        <v>3732</v>
      </c>
      <c r="O75" s="469"/>
      <c r="P75" s="469"/>
    </row>
    <row r="76" ht="15.75" customHeight="1">
      <c r="A76" s="463">
        <v>61.0</v>
      </c>
      <c r="B76" s="13" t="s">
        <v>100</v>
      </c>
      <c r="C76" s="143" t="s">
        <v>3560</v>
      </c>
      <c r="D76" s="13" t="s">
        <v>3438</v>
      </c>
      <c r="E76" s="143" t="s">
        <v>70</v>
      </c>
      <c r="F76" s="14">
        <v>1.3475E7</v>
      </c>
      <c r="G76" s="143" t="s">
        <v>1288</v>
      </c>
      <c r="H76" s="13" t="s">
        <v>474</v>
      </c>
      <c r="I76" s="13" t="s">
        <v>3733</v>
      </c>
      <c r="J76" s="143" t="s">
        <v>3734</v>
      </c>
      <c r="K76" s="143" t="s">
        <v>3735</v>
      </c>
      <c r="L76" s="464" t="s">
        <v>3736</v>
      </c>
      <c r="M76" s="18"/>
      <c r="N76" s="203" t="s">
        <v>3737</v>
      </c>
      <c r="O76" s="465"/>
      <c r="P76" s="465"/>
    </row>
    <row r="77" ht="15.75" customHeight="1">
      <c r="A77" s="455">
        <v>62.0</v>
      </c>
      <c r="B77" s="456" t="s">
        <v>100</v>
      </c>
      <c r="C77" s="457" t="s">
        <v>3560</v>
      </c>
      <c r="D77" s="456" t="s">
        <v>3438</v>
      </c>
      <c r="E77" s="457" t="s">
        <v>70</v>
      </c>
      <c r="F77" s="458">
        <v>1.3475E7</v>
      </c>
      <c r="G77" s="457" t="s">
        <v>1288</v>
      </c>
      <c r="H77" s="15" t="s">
        <v>474</v>
      </c>
      <c r="I77" s="456" t="s">
        <v>3738</v>
      </c>
      <c r="J77" s="457" t="s">
        <v>3739</v>
      </c>
      <c r="K77" s="457" t="s">
        <v>3740</v>
      </c>
      <c r="L77" s="464" t="s">
        <v>3741</v>
      </c>
      <c r="M77" s="467"/>
      <c r="N77" s="468" t="s">
        <v>3742</v>
      </c>
      <c r="O77" s="491" t="s">
        <v>3743</v>
      </c>
      <c r="P77" s="469"/>
    </row>
    <row r="78" ht="15.75" customHeight="1">
      <c r="A78" s="447">
        <v>63.0</v>
      </c>
      <c r="B78" s="448" t="s">
        <v>100</v>
      </c>
      <c r="C78" s="449" t="s">
        <v>3560</v>
      </c>
      <c r="D78" s="448" t="s">
        <v>3438</v>
      </c>
      <c r="E78" s="449" t="s">
        <v>70</v>
      </c>
      <c r="F78" s="450">
        <v>1.3475E7</v>
      </c>
      <c r="G78" s="449" t="s">
        <v>1288</v>
      </c>
      <c r="H78" s="448" t="s">
        <v>474</v>
      </c>
      <c r="I78" s="448" t="s">
        <v>3744</v>
      </c>
      <c r="J78" s="449" t="s">
        <v>3745</v>
      </c>
      <c r="K78" s="449" t="s">
        <v>3746</v>
      </c>
      <c r="L78" s="474" t="s">
        <v>3747</v>
      </c>
      <c r="M78" s="479"/>
      <c r="N78" s="483" t="s">
        <v>3748</v>
      </c>
      <c r="O78" s="484"/>
      <c r="P78" s="484"/>
    </row>
    <row r="79" ht="15.75" customHeight="1">
      <c r="A79" s="455">
        <v>64.0</v>
      </c>
      <c r="B79" s="456" t="s">
        <v>100</v>
      </c>
      <c r="C79" s="457" t="s">
        <v>3560</v>
      </c>
      <c r="D79" s="456" t="s">
        <v>3438</v>
      </c>
      <c r="E79" s="457" t="s">
        <v>70</v>
      </c>
      <c r="F79" s="458">
        <v>1.3475E7</v>
      </c>
      <c r="G79" s="457" t="s">
        <v>1288</v>
      </c>
      <c r="H79" s="456" t="s">
        <v>474</v>
      </c>
      <c r="I79" s="456" t="s">
        <v>3749</v>
      </c>
      <c r="J79" s="457" t="s">
        <v>3750</v>
      </c>
      <c r="K79" s="457" t="s">
        <v>3751</v>
      </c>
      <c r="L79" s="459" t="s">
        <v>3752</v>
      </c>
      <c r="M79" s="467"/>
      <c r="N79" s="468" t="s">
        <v>3753</v>
      </c>
      <c r="O79" s="469"/>
      <c r="P79" s="469"/>
    </row>
    <row r="80" ht="15.75" customHeight="1">
      <c r="A80" s="463">
        <v>65.0</v>
      </c>
      <c r="B80" s="13" t="s">
        <v>100</v>
      </c>
      <c r="C80" s="143" t="s">
        <v>3560</v>
      </c>
      <c r="D80" s="13" t="s">
        <v>3438</v>
      </c>
      <c r="E80" s="143" t="s">
        <v>70</v>
      </c>
      <c r="F80" s="14">
        <v>1.3475E7</v>
      </c>
      <c r="G80" s="143" t="s">
        <v>1288</v>
      </c>
      <c r="H80" s="13" t="s">
        <v>474</v>
      </c>
      <c r="I80" s="13" t="s">
        <v>3754</v>
      </c>
      <c r="J80" s="143" t="s">
        <v>3755</v>
      </c>
      <c r="K80" s="143" t="s">
        <v>3756</v>
      </c>
      <c r="L80" s="464" t="s">
        <v>3757</v>
      </c>
      <c r="M80" s="18"/>
      <c r="N80" s="203" t="s">
        <v>3758</v>
      </c>
      <c r="O80" s="465"/>
      <c r="P80" s="465"/>
    </row>
    <row r="81" ht="15.75" customHeight="1">
      <c r="A81" s="455">
        <v>66.0</v>
      </c>
      <c r="B81" s="456" t="s">
        <v>100</v>
      </c>
      <c r="C81" s="457" t="s">
        <v>3560</v>
      </c>
      <c r="D81" s="456" t="s">
        <v>3438</v>
      </c>
      <c r="E81" s="457" t="s">
        <v>70</v>
      </c>
      <c r="F81" s="458">
        <v>1.3475E7</v>
      </c>
      <c r="G81" s="457" t="s">
        <v>1288</v>
      </c>
      <c r="H81" s="456" t="s">
        <v>474</v>
      </c>
      <c r="I81" s="456" t="s">
        <v>3759</v>
      </c>
      <c r="J81" s="457" t="s">
        <v>3760</v>
      </c>
      <c r="K81" s="457" t="s">
        <v>3761</v>
      </c>
      <c r="L81" s="464" t="s">
        <v>3762</v>
      </c>
      <c r="M81" s="467"/>
      <c r="N81" s="468" t="s">
        <v>3763</v>
      </c>
      <c r="O81" s="469"/>
      <c r="P81" s="469"/>
    </row>
    <row r="82" ht="15.75" customHeight="1">
      <c r="A82" s="463">
        <v>67.0</v>
      </c>
      <c r="B82" s="13" t="s">
        <v>100</v>
      </c>
      <c r="C82" s="143" t="s">
        <v>3560</v>
      </c>
      <c r="D82" s="13" t="s">
        <v>3438</v>
      </c>
      <c r="E82" s="143" t="s">
        <v>70</v>
      </c>
      <c r="F82" s="14">
        <v>1.55E7</v>
      </c>
      <c r="G82" s="143" t="s">
        <v>1288</v>
      </c>
      <c r="H82" s="13" t="s">
        <v>979</v>
      </c>
      <c r="I82" s="13" t="s">
        <v>3764</v>
      </c>
      <c r="J82" s="143" t="s">
        <v>3765</v>
      </c>
      <c r="K82" s="143" t="s">
        <v>3766</v>
      </c>
      <c r="L82" s="464" t="s">
        <v>3767</v>
      </c>
      <c r="M82" s="18"/>
      <c r="N82" s="219"/>
      <c r="O82" s="466"/>
      <c r="P82" s="466"/>
    </row>
    <row r="83" ht="15.75" customHeight="1">
      <c r="A83" s="455">
        <v>68.0</v>
      </c>
      <c r="B83" s="456" t="s">
        <v>100</v>
      </c>
      <c r="C83" s="457" t="s">
        <v>3560</v>
      </c>
      <c r="D83" s="456" t="s">
        <v>3438</v>
      </c>
      <c r="E83" s="457" t="s">
        <v>70</v>
      </c>
      <c r="F83" s="458">
        <v>1.55E7</v>
      </c>
      <c r="G83" s="457" t="s">
        <v>1288</v>
      </c>
      <c r="H83" s="456" t="s">
        <v>979</v>
      </c>
      <c r="I83" s="456" t="s">
        <v>3768</v>
      </c>
      <c r="J83" s="457" t="s">
        <v>3769</v>
      </c>
      <c r="K83" s="457" t="s">
        <v>3770</v>
      </c>
      <c r="L83" s="464" t="s">
        <v>3771</v>
      </c>
      <c r="M83" s="467"/>
      <c r="N83" s="468" t="s">
        <v>3772</v>
      </c>
      <c r="O83" s="469"/>
      <c r="P83" s="469"/>
    </row>
    <row r="84" ht="15.75" customHeight="1">
      <c r="A84" s="463">
        <v>69.0</v>
      </c>
      <c r="B84" s="13" t="s">
        <v>100</v>
      </c>
      <c r="C84" s="143" t="s">
        <v>3560</v>
      </c>
      <c r="D84" s="13" t="s">
        <v>3438</v>
      </c>
      <c r="E84" s="143" t="s">
        <v>70</v>
      </c>
      <c r="F84" s="14">
        <v>1.55E7</v>
      </c>
      <c r="G84" s="143" t="s">
        <v>1288</v>
      </c>
      <c r="H84" s="13" t="s">
        <v>979</v>
      </c>
      <c r="I84" s="13" t="s">
        <v>3773</v>
      </c>
      <c r="J84" s="143" t="s">
        <v>3774</v>
      </c>
      <c r="K84" s="143" t="s">
        <v>3775</v>
      </c>
      <c r="L84" s="464" t="s">
        <v>3776</v>
      </c>
      <c r="M84" s="18"/>
      <c r="N84" s="219"/>
      <c r="O84" s="466"/>
      <c r="P84" s="466"/>
    </row>
    <row r="85" ht="15.75" customHeight="1">
      <c r="A85" s="455">
        <v>70.0</v>
      </c>
      <c r="B85" s="456" t="s">
        <v>100</v>
      </c>
      <c r="C85" s="457" t="s">
        <v>3560</v>
      </c>
      <c r="D85" s="456" t="s">
        <v>3438</v>
      </c>
      <c r="E85" s="457" t="s">
        <v>70</v>
      </c>
      <c r="F85" s="458">
        <v>1.55E7</v>
      </c>
      <c r="G85" s="457" t="s">
        <v>1288</v>
      </c>
      <c r="H85" s="456" t="s">
        <v>979</v>
      </c>
      <c r="I85" s="456" t="s">
        <v>3777</v>
      </c>
      <c r="J85" s="457" t="s">
        <v>3778</v>
      </c>
      <c r="K85" s="457" t="s">
        <v>3779</v>
      </c>
      <c r="L85" s="464" t="s">
        <v>3780</v>
      </c>
      <c r="M85" s="467"/>
      <c r="N85" s="461"/>
      <c r="O85" s="462"/>
      <c r="P85" s="462"/>
    </row>
    <row r="86" ht="15.75" customHeight="1">
      <c r="A86" s="463">
        <v>71.0</v>
      </c>
      <c r="B86" s="13" t="s">
        <v>100</v>
      </c>
      <c r="C86" s="143" t="s">
        <v>3560</v>
      </c>
      <c r="D86" s="13" t="s">
        <v>3438</v>
      </c>
      <c r="E86" s="143" t="s">
        <v>70</v>
      </c>
      <c r="F86" s="14">
        <v>1.55E7</v>
      </c>
      <c r="G86" s="143" t="s">
        <v>1288</v>
      </c>
      <c r="H86" s="13" t="s">
        <v>979</v>
      </c>
      <c r="I86" s="13" t="s">
        <v>3781</v>
      </c>
      <c r="J86" s="143" t="s">
        <v>3782</v>
      </c>
      <c r="K86" s="143" t="s">
        <v>3783</v>
      </c>
      <c r="L86" s="464" t="s">
        <v>3784</v>
      </c>
      <c r="M86" s="18"/>
      <c r="N86" s="219"/>
      <c r="O86" s="466"/>
      <c r="P86" s="466"/>
    </row>
    <row r="87" ht="15.75" customHeight="1">
      <c r="A87" s="455">
        <v>72.0</v>
      </c>
      <c r="B87" s="456" t="s">
        <v>100</v>
      </c>
      <c r="C87" s="457" t="s">
        <v>3560</v>
      </c>
      <c r="D87" s="456" t="s">
        <v>3438</v>
      </c>
      <c r="E87" s="457" t="s">
        <v>70</v>
      </c>
      <c r="F87" s="458">
        <v>2.2621E7</v>
      </c>
      <c r="G87" s="457" t="s">
        <v>1288</v>
      </c>
      <c r="H87" s="456" t="s">
        <v>1040</v>
      </c>
      <c r="I87" s="456" t="s">
        <v>3785</v>
      </c>
      <c r="J87" s="457" t="s">
        <v>3786</v>
      </c>
      <c r="K87" s="457" t="s">
        <v>3787</v>
      </c>
      <c r="L87" s="464" t="s">
        <v>3788</v>
      </c>
      <c r="M87" s="467"/>
      <c r="N87" s="468" t="s">
        <v>3789</v>
      </c>
      <c r="O87" s="469"/>
      <c r="P87" s="469"/>
    </row>
    <row r="88" ht="15.75" customHeight="1">
      <c r="A88" s="463">
        <v>73.0</v>
      </c>
      <c r="B88" s="13" t="s">
        <v>100</v>
      </c>
      <c r="C88" s="143" t="s">
        <v>3560</v>
      </c>
      <c r="D88" s="13" t="s">
        <v>3438</v>
      </c>
      <c r="E88" s="143" t="s">
        <v>70</v>
      </c>
      <c r="F88" s="14">
        <v>2.2621E7</v>
      </c>
      <c r="G88" s="143" t="s">
        <v>1288</v>
      </c>
      <c r="H88" s="13" t="s">
        <v>1040</v>
      </c>
      <c r="I88" s="13" t="s">
        <v>3790</v>
      </c>
      <c r="J88" s="143" t="s">
        <v>3791</v>
      </c>
      <c r="K88" s="143" t="s">
        <v>3792</v>
      </c>
      <c r="L88" s="464" t="s">
        <v>3793</v>
      </c>
      <c r="M88" s="18"/>
      <c r="N88" s="203" t="s">
        <v>3794</v>
      </c>
      <c r="O88" s="465"/>
      <c r="P88" s="465"/>
    </row>
    <row r="89" ht="15.75" customHeight="1">
      <c r="A89" s="455">
        <v>74.0</v>
      </c>
      <c r="B89" s="456" t="s">
        <v>100</v>
      </c>
      <c r="C89" s="457" t="s">
        <v>3560</v>
      </c>
      <c r="D89" s="456" t="s">
        <v>3438</v>
      </c>
      <c r="E89" s="457" t="s">
        <v>70</v>
      </c>
      <c r="F89" s="458">
        <v>2.2621E7</v>
      </c>
      <c r="G89" s="457" t="s">
        <v>1288</v>
      </c>
      <c r="H89" s="456" t="s">
        <v>1040</v>
      </c>
      <c r="I89" s="456" t="s">
        <v>3795</v>
      </c>
      <c r="J89" s="457" t="s">
        <v>3796</v>
      </c>
      <c r="K89" s="457" t="s">
        <v>3797</v>
      </c>
      <c r="L89" s="464" t="s">
        <v>3798</v>
      </c>
      <c r="M89" s="467"/>
      <c r="N89" s="461"/>
      <c r="O89" s="462"/>
      <c r="P89" s="462"/>
    </row>
    <row r="90" ht="15.75" customHeight="1">
      <c r="A90" s="463">
        <v>75.0</v>
      </c>
      <c r="B90" s="13" t="s">
        <v>100</v>
      </c>
      <c r="C90" s="143" t="s">
        <v>3560</v>
      </c>
      <c r="D90" s="13" t="s">
        <v>3438</v>
      </c>
      <c r="E90" s="143" t="s">
        <v>70</v>
      </c>
      <c r="F90" s="14">
        <v>2.2621E7</v>
      </c>
      <c r="G90" s="143" t="s">
        <v>1288</v>
      </c>
      <c r="H90" s="13" t="s">
        <v>1040</v>
      </c>
      <c r="I90" s="13" t="s">
        <v>3799</v>
      </c>
      <c r="J90" s="143" t="s">
        <v>3800</v>
      </c>
      <c r="K90" s="143" t="s">
        <v>3801</v>
      </c>
      <c r="L90" s="464" t="s">
        <v>3802</v>
      </c>
      <c r="M90" s="18"/>
      <c r="N90" s="203" t="s">
        <v>3803</v>
      </c>
      <c r="O90" s="465"/>
      <c r="P90" s="465"/>
    </row>
    <row r="91" ht="15.75" customHeight="1">
      <c r="A91" s="455">
        <v>76.0</v>
      </c>
      <c r="B91" s="456" t="s">
        <v>100</v>
      </c>
      <c r="C91" s="457" t="s">
        <v>3560</v>
      </c>
      <c r="D91" s="456" t="s">
        <v>3438</v>
      </c>
      <c r="E91" s="457" t="s">
        <v>70</v>
      </c>
      <c r="F91" s="458">
        <v>2.2621E7</v>
      </c>
      <c r="G91" s="457" t="s">
        <v>1288</v>
      </c>
      <c r="H91" s="456" t="s">
        <v>1040</v>
      </c>
      <c r="I91" s="456" t="s">
        <v>3804</v>
      </c>
      <c r="J91" s="457" t="s">
        <v>3805</v>
      </c>
      <c r="K91" s="457" t="s">
        <v>3806</v>
      </c>
      <c r="L91" s="464" t="s">
        <v>3807</v>
      </c>
      <c r="M91" s="467"/>
      <c r="N91" s="461"/>
      <c r="O91" s="462"/>
      <c r="P91" s="462"/>
    </row>
    <row r="92" ht="15.75" customHeight="1">
      <c r="A92" s="463">
        <v>77.0</v>
      </c>
      <c r="B92" s="13" t="s">
        <v>100</v>
      </c>
      <c r="C92" s="143" t="s">
        <v>3560</v>
      </c>
      <c r="D92" s="13" t="s">
        <v>3438</v>
      </c>
      <c r="E92" s="143" t="s">
        <v>70</v>
      </c>
      <c r="F92" s="14">
        <v>2.2621E7</v>
      </c>
      <c r="G92" s="143" t="s">
        <v>1288</v>
      </c>
      <c r="H92" s="13" t="s">
        <v>1040</v>
      </c>
      <c r="I92" s="13" t="s">
        <v>3808</v>
      </c>
      <c r="J92" s="143" t="s">
        <v>3809</v>
      </c>
      <c r="K92" s="143" t="s">
        <v>3810</v>
      </c>
      <c r="L92" s="464" t="s">
        <v>3811</v>
      </c>
      <c r="M92" s="18"/>
      <c r="N92" s="203" t="s">
        <v>3812</v>
      </c>
      <c r="O92" s="465"/>
      <c r="P92" s="465"/>
    </row>
    <row r="93" ht="15.75" customHeight="1">
      <c r="A93" s="455">
        <v>78.0</v>
      </c>
      <c r="B93" s="456" t="s">
        <v>100</v>
      </c>
      <c r="C93" s="457" t="s">
        <v>3560</v>
      </c>
      <c r="D93" s="456" t="s">
        <v>3438</v>
      </c>
      <c r="E93" s="457" t="s">
        <v>70</v>
      </c>
      <c r="F93" s="458">
        <v>2.2621E7</v>
      </c>
      <c r="G93" s="457" t="s">
        <v>1288</v>
      </c>
      <c r="H93" s="456" t="s">
        <v>1040</v>
      </c>
      <c r="I93" s="456" t="s">
        <v>3813</v>
      </c>
      <c r="J93" s="457" t="s">
        <v>3814</v>
      </c>
      <c r="K93" s="457" t="s">
        <v>3815</v>
      </c>
      <c r="L93" s="464" t="s">
        <v>3816</v>
      </c>
      <c r="M93" s="467"/>
      <c r="N93" s="468" t="s">
        <v>3817</v>
      </c>
      <c r="O93" s="469"/>
      <c r="P93" s="469"/>
    </row>
    <row r="94" ht="15.75" customHeight="1">
      <c r="A94" s="463">
        <v>79.0</v>
      </c>
      <c r="B94" s="13" t="s">
        <v>1631</v>
      </c>
      <c r="C94" s="143" t="s">
        <v>3560</v>
      </c>
      <c r="D94" s="13" t="s">
        <v>3438</v>
      </c>
      <c r="E94" s="143" t="s">
        <v>70</v>
      </c>
      <c r="F94" s="14">
        <v>2.2621E7</v>
      </c>
      <c r="G94" s="143" t="s">
        <v>1288</v>
      </c>
      <c r="H94" s="13" t="s">
        <v>1040</v>
      </c>
      <c r="I94" s="13" t="s">
        <v>3818</v>
      </c>
      <c r="J94" s="143" t="s">
        <v>3819</v>
      </c>
      <c r="K94" s="143" t="s">
        <v>3820</v>
      </c>
      <c r="L94" s="464" t="s">
        <v>3821</v>
      </c>
      <c r="M94" s="18"/>
      <c r="N94" s="203" t="s">
        <v>3822</v>
      </c>
      <c r="O94" s="465"/>
      <c r="P94" s="465"/>
    </row>
    <row r="95" ht="15.75" customHeight="1">
      <c r="A95" s="455">
        <v>80.0</v>
      </c>
      <c r="B95" s="456" t="s">
        <v>1631</v>
      </c>
      <c r="C95" s="457" t="s">
        <v>3560</v>
      </c>
      <c r="D95" s="456" t="s">
        <v>3438</v>
      </c>
      <c r="E95" s="457" t="s">
        <v>70</v>
      </c>
      <c r="F95" s="458">
        <v>2.2621E7</v>
      </c>
      <c r="G95" s="457" t="s">
        <v>1288</v>
      </c>
      <c r="H95" s="456" t="s">
        <v>1040</v>
      </c>
      <c r="I95" s="456" t="s">
        <v>3823</v>
      </c>
      <c r="J95" s="457" t="s">
        <v>3824</v>
      </c>
      <c r="K95" s="486"/>
      <c r="L95" s="457" t="s">
        <v>3825</v>
      </c>
      <c r="M95" s="467"/>
      <c r="N95" s="468" t="s">
        <v>3826</v>
      </c>
      <c r="O95" s="469"/>
      <c r="P95" s="469"/>
    </row>
    <row r="96" ht="15.75" customHeight="1">
      <c r="A96" s="463">
        <v>81.0</v>
      </c>
      <c r="B96" s="13" t="s">
        <v>100</v>
      </c>
      <c r="C96" s="143" t="s">
        <v>3560</v>
      </c>
      <c r="D96" s="13" t="s">
        <v>3438</v>
      </c>
      <c r="E96" s="143" t="s">
        <v>70</v>
      </c>
      <c r="F96" s="14">
        <v>2.2621E7</v>
      </c>
      <c r="G96" s="143" t="s">
        <v>1288</v>
      </c>
      <c r="H96" s="15" t="s">
        <v>1040</v>
      </c>
      <c r="I96" s="13" t="s">
        <v>3827</v>
      </c>
      <c r="J96" s="143" t="s">
        <v>3828</v>
      </c>
      <c r="K96" s="143" t="s">
        <v>3829</v>
      </c>
      <c r="L96" s="464" t="s">
        <v>3830</v>
      </c>
      <c r="M96" s="18"/>
      <c r="N96" s="203" t="s">
        <v>3831</v>
      </c>
      <c r="O96" s="485" t="s">
        <v>3832</v>
      </c>
      <c r="P96" s="465"/>
    </row>
    <row r="97" ht="15.75" customHeight="1">
      <c r="A97" s="455">
        <v>82.0</v>
      </c>
      <c r="B97" s="456" t="s">
        <v>100</v>
      </c>
      <c r="C97" s="457" t="s">
        <v>3560</v>
      </c>
      <c r="D97" s="456" t="s">
        <v>3438</v>
      </c>
      <c r="E97" s="457" t="s">
        <v>70</v>
      </c>
      <c r="F97" s="458">
        <v>2.2621E7</v>
      </c>
      <c r="G97" s="457" t="s">
        <v>1288</v>
      </c>
      <c r="H97" s="456" t="s">
        <v>1040</v>
      </c>
      <c r="I97" s="456" t="s">
        <v>3833</v>
      </c>
      <c r="J97" s="457" t="s">
        <v>3834</v>
      </c>
      <c r="K97" s="457" t="s">
        <v>3835</v>
      </c>
      <c r="L97" s="464" t="s">
        <v>3836</v>
      </c>
      <c r="M97" s="467"/>
      <c r="N97" s="468" t="s">
        <v>3837</v>
      </c>
      <c r="O97" s="469"/>
      <c r="P97" s="469"/>
    </row>
    <row r="98" ht="15.75" customHeight="1">
      <c r="A98" s="463">
        <v>83.0</v>
      </c>
      <c r="B98" s="13" t="s">
        <v>100</v>
      </c>
      <c r="C98" s="143" t="s">
        <v>3560</v>
      </c>
      <c r="D98" s="13" t="s">
        <v>3438</v>
      </c>
      <c r="E98" s="143" t="s">
        <v>70</v>
      </c>
      <c r="F98" s="14">
        <v>2.2621E7</v>
      </c>
      <c r="G98" s="143" t="s">
        <v>1288</v>
      </c>
      <c r="H98" s="13" t="s">
        <v>1040</v>
      </c>
      <c r="I98" s="13" t="s">
        <v>3838</v>
      </c>
      <c r="J98" s="143" t="s">
        <v>3839</v>
      </c>
      <c r="K98" s="143" t="s">
        <v>3840</v>
      </c>
      <c r="L98" s="464" t="s">
        <v>3841</v>
      </c>
      <c r="M98" s="18"/>
      <c r="N98" s="219"/>
      <c r="O98" s="466"/>
      <c r="P98" s="466"/>
    </row>
    <row r="99" ht="15.75" customHeight="1">
      <c r="A99" s="455">
        <v>84.0</v>
      </c>
      <c r="B99" s="456" t="s">
        <v>1631</v>
      </c>
      <c r="C99" s="457" t="s">
        <v>3560</v>
      </c>
      <c r="D99" s="456" t="s">
        <v>3438</v>
      </c>
      <c r="E99" s="457" t="s">
        <v>70</v>
      </c>
      <c r="F99" s="458">
        <v>1.826E7</v>
      </c>
      <c r="G99" s="457" t="s">
        <v>1288</v>
      </c>
      <c r="H99" s="15" t="s">
        <v>1076</v>
      </c>
      <c r="I99" s="456" t="s">
        <v>3842</v>
      </c>
      <c r="J99" s="457" t="s">
        <v>3843</v>
      </c>
      <c r="K99" s="457" t="s">
        <v>3844</v>
      </c>
      <c r="L99" s="464" t="s">
        <v>3845</v>
      </c>
      <c r="M99" s="467"/>
      <c r="N99" s="461"/>
      <c r="O99" s="491" t="s">
        <v>3832</v>
      </c>
      <c r="P99" s="491" t="s">
        <v>3846</v>
      </c>
    </row>
    <row r="100" ht="15.75" customHeight="1">
      <c r="A100" s="463">
        <v>85.0</v>
      </c>
      <c r="B100" s="13" t="s">
        <v>1631</v>
      </c>
      <c r="C100" s="143" t="s">
        <v>3560</v>
      </c>
      <c r="D100" s="13" t="s">
        <v>3438</v>
      </c>
      <c r="E100" s="143" t="s">
        <v>70</v>
      </c>
      <c r="F100" s="14">
        <v>1.826E7</v>
      </c>
      <c r="G100" s="143" t="s">
        <v>1288</v>
      </c>
      <c r="H100" s="13" t="s">
        <v>1076</v>
      </c>
      <c r="I100" s="13" t="s">
        <v>3847</v>
      </c>
      <c r="J100" s="143" t="s">
        <v>3848</v>
      </c>
      <c r="K100" s="143" t="s">
        <v>3849</v>
      </c>
      <c r="L100" s="464" t="s">
        <v>3850</v>
      </c>
      <c r="M100" s="18"/>
      <c r="N100" s="219"/>
      <c r="O100" s="466"/>
      <c r="P100" s="466"/>
    </row>
    <row r="101" ht="15.75" customHeight="1">
      <c r="A101" s="455">
        <v>86.0</v>
      </c>
      <c r="B101" s="456" t="s">
        <v>1631</v>
      </c>
      <c r="C101" s="457" t="s">
        <v>3560</v>
      </c>
      <c r="D101" s="456" t="s">
        <v>3438</v>
      </c>
      <c r="E101" s="457" t="s">
        <v>70</v>
      </c>
      <c r="F101" s="458">
        <v>2.9013E7</v>
      </c>
      <c r="G101" s="457" t="s">
        <v>1288</v>
      </c>
      <c r="H101" s="456" t="s">
        <v>2762</v>
      </c>
      <c r="I101" s="456" t="s">
        <v>3851</v>
      </c>
      <c r="J101" s="457" t="s">
        <v>3852</v>
      </c>
      <c r="K101" s="486"/>
      <c r="L101" s="486"/>
      <c r="M101" s="467"/>
      <c r="N101" s="468" t="s">
        <v>3853</v>
      </c>
      <c r="O101" s="469"/>
      <c r="P101" s="469"/>
    </row>
    <row r="102" ht="15.75" customHeight="1">
      <c r="A102" s="463">
        <v>87.0</v>
      </c>
      <c r="B102" s="13" t="s">
        <v>1631</v>
      </c>
      <c r="C102" s="143" t="s">
        <v>3560</v>
      </c>
      <c r="D102" s="13" t="s">
        <v>3438</v>
      </c>
      <c r="E102" s="143" t="s">
        <v>70</v>
      </c>
      <c r="F102" s="14">
        <v>2.9013E7</v>
      </c>
      <c r="G102" s="143" t="s">
        <v>1288</v>
      </c>
      <c r="H102" s="13" t="s">
        <v>2762</v>
      </c>
      <c r="I102" s="13" t="s">
        <v>3854</v>
      </c>
      <c r="J102" s="143" t="s">
        <v>3855</v>
      </c>
      <c r="K102" s="145"/>
      <c r="L102" s="145"/>
      <c r="M102" s="18"/>
      <c r="N102" s="203" t="s">
        <v>3856</v>
      </c>
      <c r="O102" s="465"/>
      <c r="P102" s="465"/>
    </row>
    <row r="103" ht="15.75" customHeight="1">
      <c r="A103" s="455">
        <v>88.0</v>
      </c>
      <c r="B103" s="456" t="s">
        <v>1631</v>
      </c>
      <c r="C103" s="457" t="s">
        <v>3560</v>
      </c>
      <c r="D103" s="456" t="s">
        <v>3438</v>
      </c>
      <c r="E103" s="457" t="s">
        <v>70</v>
      </c>
      <c r="F103" s="458">
        <v>2.9013E7</v>
      </c>
      <c r="G103" s="457" t="s">
        <v>1288</v>
      </c>
      <c r="H103" s="456" t="s">
        <v>2762</v>
      </c>
      <c r="I103" s="456" t="s">
        <v>3857</v>
      </c>
      <c r="J103" s="457" t="s">
        <v>3858</v>
      </c>
      <c r="K103" s="486"/>
      <c r="L103" s="486"/>
      <c r="M103" s="467"/>
      <c r="N103" s="468" t="s">
        <v>3859</v>
      </c>
      <c r="O103" s="469"/>
      <c r="P103" s="469"/>
    </row>
    <row r="104" ht="15.75" customHeight="1">
      <c r="A104" s="463">
        <v>89.0</v>
      </c>
      <c r="B104" s="13" t="s">
        <v>1631</v>
      </c>
      <c r="C104" s="143" t="s">
        <v>3560</v>
      </c>
      <c r="D104" s="13" t="s">
        <v>3438</v>
      </c>
      <c r="E104" s="143" t="s">
        <v>70</v>
      </c>
      <c r="F104" s="14">
        <v>2.9013E7</v>
      </c>
      <c r="G104" s="143" t="s">
        <v>1288</v>
      </c>
      <c r="H104" s="13" t="s">
        <v>2762</v>
      </c>
      <c r="I104" s="13" t="s">
        <v>3860</v>
      </c>
      <c r="J104" s="143" t="s">
        <v>3861</v>
      </c>
      <c r="K104" s="145"/>
      <c r="L104" s="145"/>
      <c r="M104" s="18"/>
      <c r="N104" s="203" t="s">
        <v>3862</v>
      </c>
      <c r="O104" s="465"/>
      <c r="P104" s="465"/>
    </row>
    <row r="105" ht="15.75" customHeight="1">
      <c r="A105" s="455">
        <v>90.0</v>
      </c>
      <c r="B105" s="456" t="s">
        <v>1631</v>
      </c>
      <c r="C105" s="457" t="s">
        <v>3560</v>
      </c>
      <c r="D105" s="456" t="s">
        <v>3438</v>
      </c>
      <c r="E105" s="457" t="s">
        <v>70</v>
      </c>
      <c r="F105" s="458">
        <v>2.9013E7</v>
      </c>
      <c r="G105" s="457" t="s">
        <v>1288</v>
      </c>
      <c r="H105" s="456" t="s">
        <v>2762</v>
      </c>
      <c r="I105" s="456" t="s">
        <v>3863</v>
      </c>
      <c r="J105" s="457" t="s">
        <v>3864</v>
      </c>
      <c r="K105" s="486"/>
      <c r="L105" s="486"/>
      <c r="M105" s="467"/>
      <c r="N105" s="468" t="s">
        <v>3865</v>
      </c>
      <c r="O105" s="469"/>
      <c r="P105" s="469"/>
    </row>
    <row r="106" ht="15.75" customHeight="1">
      <c r="A106" s="463">
        <v>91.0</v>
      </c>
      <c r="B106" s="13" t="s">
        <v>1631</v>
      </c>
      <c r="C106" s="143" t="s">
        <v>3560</v>
      </c>
      <c r="D106" s="13" t="s">
        <v>3438</v>
      </c>
      <c r="E106" s="143" t="s">
        <v>70</v>
      </c>
      <c r="F106" s="14">
        <v>2.9013E7</v>
      </c>
      <c r="G106" s="143" t="s">
        <v>1288</v>
      </c>
      <c r="H106" s="13" t="s">
        <v>2762</v>
      </c>
      <c r="I106" s="13" t="s">
        <v>3866</v>
      </c>
      <c r="J106" s="143" t="s">
        <v>3867</v>
      </c>
      <c r="K106" s="145"/>
      <c r="L106" s="145"/>
      <c r="M106" s="18"/>
      <c r="N106" s="203" t="s">
        <v>3868</v>
      </c>
      <c r="O106" s="465"/>
      <c r="P106" s="465"/>
    </row>
    <row r="107" ht="15.75" customHeight="1">
      <c r="A107" s="455">
        <v>92.0</v>
      </c>
      <c r="B107" s="456" t="s">
        <v>1631</v>
      </c>
      <c r="C107" s="457" t="s">
        <v>3560</v>
      </c>
      <c r="D107" s="456" t="s">
        <v>3438</v>
      </c>
      <c r="E107" s="457" t="s">
        <v>70</v>
      </c>
      <c r="F107" s="458">
        <v>2.9013E7</v>
      </c>
      <c r="G107" s="457" t="s">
        <v>1288</v>
      </c>
      <c r="H107" s="456" t="s">
        <v>2762</v>
      </c>
      <c r="I107" s="456" t="s">
        <v>3869</v>
      </c>
      <c r="J107" s="457" t="s">
        <v>3870</v>
      </c>
      <c r="K107" s="486"/>
      <c r="L107" s="486"/>
      <c r="M107" s="467"/>
      <c r="N107" s="468" t="s">
        <v>3871</v>
      </c>
      <c r="O107" s="469"/>
      <c r="P107" s="469"/>
    </row>
    <row r="108" ht="15.75" customHeight="1">
      <c r="A108" s="463">
        <v>93.0</v>
      </c>
      <c r="B108" s="13" t="s">
        <v>1631</v>
      </c>
      <c r="C108" s="143" t="s">
        <v>3560</v>
      </c>
      <c r="D108" s="13" t="s">
        <v>3438</v>
      </c>
      <c r="E108" s="143" t="s">
        <v>70</v>
      </c>
      <c r="F108" s="14">
        <v>2.9013E7</v>
      </c>
      <c r="G108" s="143" t="s">
        <v>1288</v>
      </c>
      <c r="H108" s="13" t="s">
        <v>2762</v>
      </c>
      <c r="I108" s="13" t="s">
        <v>3872</v>
      </c>
      <c r="J108" s="143" t="s">
        <v>3873</v>
      </c>
      <c r="K108" s="145"/>
      <c r="L108" s="145"/>
      <c r="M108" s="18"/>
      <c r="N108" s="203" t="s">
        <v>3874</v>
      </c>
      <c r="O108" s="465"/>
      <c r="P108" s="465"/>
    </row>
    <row r="109" ht="15.75" customHeight="1">
      <c r="A109" s="455">
        <v>94.0</v>
      </c>
      <c r="B109" s="456" t="s">
        <v>1631</v>
      </c>
      <c r="C109" s="457" t="s">
        <v>3560</v>
      </c>
      <c r="D109" s="456" t="s">
        <v>3438</v>
      </c>
      <c r="E109" s="457" t="s">
        <v>70</v>
      </c>
      <c r="F109" s="458">
        <v>2.9013E7</v>
      </c>
      <c r="G109" s="457" t="s">
        <v>1288</v>
      </c>
      <c r="H109" s="456" t="s">
        <v>2762</v>
      </c>
      <c r="I109" s="456" t="s">
        <v>3875</v>
      </c>
      <c r="J109" s="457" t="s">
        <v>3876</v>
      </c>
      <c r="K109" s="486"/>
      <c r="L109" s="486"/>
      <c r="M109" s="467"/>
      <c r="N109" s="468" t="s">
        <v>3877</v>
      </c>
      <c r="O109" s="469"/>
      <c r="P109" s="469"/>
    </row>
    <row r="110" ht="15.75" customHeight="1">
      <c r="A110" s="463">
        <v>95.0</v>
      </c>
      <c r="B110" s="13" t="s">
        <v>1631</v>
      </c>
      <c r="C110" s="143" t="s">
        <v>3560</v>
      </c>
      <c r="D110" s="13" t="s">
        <v>3438</v>
      </c>
      <c r="E110" s="143" t="s">
        <v>70</v>
      </c>
      <c r="F110" s="14">
        <v>2.9013E7</v>
      </c>
      <c r="G110" s="143" t="s">
        <v>1288</v>
      </c>
      <c r="H110" s="15" t="s">
        <v>2762</v>
      </c>
      <c r="I110" s="13" t="s">
        <v>3878</v>
      </c>
      <c r="J110" s="143" t="s">
        <v>3879</v>
      </c>
      <c r="K110" s="143" t="s">
        <v>3880</v>
      </c>
      <c r="L110" s="145"/>
      <c r="M110" s="18"/>
      <c r="N110" s="203" t="s">
        <v>3881</v>
      </c>
      <c r="O110" s="485" t="s">
        <v>3589</v>
      </c>
      <c r="P110" s="485" t="s">
        <v>3882</v>
      </c>
    </row>
    <row r="111" ht="15.75" customHeight="1">
      <c r="A111" s="455">
        <v>96.0</v>
      </c>
      <c r="B111" s="456" t="s">
        <v>1631</v>
      </c>
      <c r="C111" s="457" t="s">
        <v>3560</v>
      </c>
      <c r="D111" s="456" t="s">
        <v>3438</v>
      </c>
      <c r="E111" s="457" t="s">
        <v>70</v>
      </c>
      <c r="F111" s="458">
        <v>2.9013E7</v>
      </c>
      <c r="G111" s="457" t="s">
        <v>1288</v>
      </c>
      <c r="H111" s="456" t="s">
        <v>2762</v>
      </c>
      <c r="I111" s="456" t="s">
        <v>3883</v>
      </c>
      <c r="J111" s="457" t="s">
        <v>3884</v>
      </c>
      <c r="K111" s="486"/>
      <c r="L111" s="486"/>
      <c r="M111" s="467"/>
      <c r="N111" s="468" t="s">
        <v>3885</v>
      </c>
      <c r="O111" s="469"/>
      <c r="P111" s="469"/>
    </row>
    <row r="112" ht="15.75" customHeight="1">
      <c r="A112" s="463">
        <v>97.0</v>
      </c>
      <c r="B112" s="13" t="s">
        <v>1631</v>
      </c>
      <c r="C112" s="143" t="s">
        <v>3560</v>
      </c>
      <c r="D112" s="13" t="s">
        <v>3438</v>
      </c>
      <c r="E112" s="143" t="s">
        <v>70</v>
      </c>
      <c r="F112" s="14">
        <v>2.9013E7</v>
      </c>
      <c r="G112" s="143" t="s">
        <v>1288</v>
      </c>
      <c r="H112" s="13" t="s">
        <v>2762</v>
      </c>
      <c r="I112" s="13" t="s">
        <v>3886</v>
      </c>
      <c r="J112" s="143" t="s">
        <v>3887</v>
      </c>
      <c r="K112" s="145"/>
      <c r="L112" s="145"/>
      <c r="M112" s="18"/>
      <c r="N112" s="203" t="s">
        <v>3888</v>
      </c>
      <c r="O112" s="465"/>
      <c r="P112" s="465"/>
    </row>
    <row r="113" ht="15.75" customHeight="1">
      <c r="A113" s="455">
        <v>98.0</v>
      </c>
      <c r="B113" s="456" t="s">
        <v>1631</v>
      </c>
      <c r="C113" s="457" t="s">
        <v>3560</v>
      </c>
      <c r="D113" s="456" t="s">
        <v>3438</v>
      </c>
      <c r="E113" s="457" t="s">
        <v>70</v>
      </c>
      <c r="F113" s="458">
        <v>2.9013E7</v>
      </c>
      <c r="G113" s="457" t="s">
        <v>1288</v>
      </c>
      <c r="H113" s="456" t="s">
        <v>2762</v>
      </c>
      <c r="I113" s="456" t="s">
        <v>3889</v>
      </c>
      <c r="J113" s="457" t="s">
        <v>3890</v>
      </c>
      <c r="K113" s="486"/>
      <c r="L113" s="486"/>
      <c r="M113" s="467"/>
      <c r="N113" s="468" t="s">
        <v>3891</v>
      </c>
      <c r="O113" s="469"/>
      <c r="P113" s="469"/>
    </row>
    <row r="114" ht="15.75" customHeight="1">
      <c r="A114" s="463">
        <v>99.0</v>
      </c>
      <c r="B114" s="13" t="s">
        <v>1631</v>
      </c>
      <c r="C114" s="143" t="s">
        <v>3560</v>
      </c>
      <c r="D114" s="13" t="s">
        <v>3438</v>
      </c>
      <c r="E114" s="143" t="s">
        <v>70</v>
      </c>
      <c r="F114" s="14">
        <v>2.9013E7</v>
      </c>
      <c r="G114" s="143" t="s">
        <v>1288</v>
      </c>
      <c r="H114" s="15" t="s">
        <v>2762</v>
      </c>
      <c r="I114" s="13" t="s">
        <v>3892</v>
      </c>
      <c r="J114" s="143" t="s">
        <v>3893</v>
      </c>
      <c r="K114" s="143" t="s">
        <v>3894</v>
      </c>
      <c r="L114" s="145"/>
      <c r="M114" s="18"/>
      <c r="N114" s="203" t="s">
        <v>3895</v>
      </c>
      <c r="O114" s="485" t="s">
        <v>3896</v>
      </c>
      <c r="P114" s="465"/>
    </row>
    <row r="115" ht="15.75" customHeight="1">
      <c r="A115" s="455">
        <v>100.0</v>
      </c>
      <c r="B115" s="456" t="s">
        <v>1631</v>
      </c>
      <c r="C115" s="457" t="s">
        <v>3560</v>
      </c>
      <c r="D115" s="456" t="s">
        <v>3438</v>
      </c>
      <c r="E115" s="457" t="s">
        <v>70</v>
      </c>
      <c r="F115" s="458">
        <v>2.9013E7</v>
      </c>
      <c r="G115" s="457" t="s">
        <v>1288</v>
      </c>
      <c r="H115" s="456" t="s">
        <v>2762</v>
      </c>
      <c r="I115" s="456" t="s">
        <v>3897</v>
      </c>
      <c r="J115" s="457" t="s">
        <v>3898</v>
      </c>
      <c r="K115" s="486"/>
      <c r="L115" s="486"/>
      <c r="M115" s="467"/>
      <c r="N115" s="468" t="s">
        <v>3899</v>
      </c>
      <c r="O115" s="469"/>
      <c r="P115" s="469"/>
    </row>
    <row r="116" ht="15.75" customHeight="1">
      <c r="A116" s="247"/>
      <c r="B116" s="248" t="s">
        <v>2806</v>
      </c>
      <c r="C116" s="444"/>
      <c r="D116" s="248"/>
      <c r="E116" s="444"/>
      <c r="F116" s="249">
        <f>SUM(F117:F121)</f>
        <v>2512155750</v>
      </c>
      <c r="G116" s="444"/>
      <c r="H116" s="248"/>
      <c r="I116" s="248"/>
      <c r="J116" s="248"/>
      <c r="K116" s="248"/>
      <c r="L116" s="248"/>
      <c r="M116" s="250"/>
      <c r="N116" s="250"/>
      <c r="O116" s="492"/>
      <c r="P116" s="492"/>
    </row>
    <row r="117" ht="15.75" customHeight="1">
      <c r="A117" s="455">
        <v>1.0</v>
      </c>
      <c r="B117" s="456" t="s">
        <v>3900</v>
      </c>
      <c r="C117" s="457" t="s">
        <v>3901</v>
      </c>
      <c r="D117" s="456" t="s">
        <v>3438</v>
      </c>
      <c r="E117" s="457" t="s">
        <v>70</v>
      </c>
      <c r="F117" s="458">
        <v>5.2545875E8</v>
      </c>
      <c r="G117" s="457" t="s">
        <v>1025</v>
      </c>
      <c r="H117" s="456" t="s">
        <v>979</v>
      </c>
      <c r="I117" s="457" t="s">
        <v>3902</v>
      </c>
      <c r="J117" s="457" t="s">
        <v>3903</v>
      </c>
      <c r="K117" s="486"/>
      <c r="L117" s="457" t="s">
        <v>3904</v>
      </c>
      <c r="M117" s="467"/>
      <c r="N117" s="468" t="s">
        <v>3905</v>
      </c>
      <c r="O117" s="469"/>
      <c r="P117" s="469"/>
    </row>
    <row r="118" ht="15.75" customHeight="1">
      <c r="A118" s="463">
        <v>2.0</v>
      </c>
      <c r="B118" s="13" t="s">
        <v>3906</v>
      </c>
      <c r="C118" s="145"/>
      <c r="D118" s="13" t="s">
        <v>3438</v>
      </c>
      <c r="E118" s="143" t="s">
        <v>70</v>
      </c>
      <c r="F118" s="14">
        <v>7.2E8</v>
      </c>
      <c r="G118" s="143" t="s">
        <v>1928</v>
      </c>
      <c r="H118" s="13" t="s">
        <v>862</v>
      </c>
      <c r="I118" s="143" t="s">
        <v>3907</v>
      </c>
      <c r="J118" s="143" t="s">
        <v>3908</v>
      </c>
      <c r="K118" s="145"/>
      <c r="L118" s="143" t="s">
        <v>3909</v>
      </c>
      <c r="M118" s="18"/>
      <c r="N118" s="219"/>
      <c r="O118" s="466"/>
      <c r="P118" s="466"/>
    </row>
    <row r="119" ht="15.75" customHeight="1">
      <c r="A119" s="455">
        <v>3.0</v>
      </c>
      <c r="B119" s="456" t="s">
        <v>3910</v>
      </c>
      <c r="C119" s="457" t="s">
        <v>3901</v>
      </c>
      <c r="D119" s="456" t="s">
        <v>3438</v>
      </c>
      <c r="E119" s="457" t="s">
        <v>70</v>
      </c>
      <c r="F119" s="458">
        <v>6.28E8</v>
      </c>
      <c r="G119" s="457" t="s">
        <v>1025</v>
      </c>
      <c r="H119" s="456" t="s">
        <v>44</v>
      </c>
      <c r="I119" s="486"/>
      <c r="J119" s="457" t="s">
        <v>3911</v>
      </c>
      <c r="K119" s="486"/>
      <c r="L119" s="486"/>
      <c r="M119" s="467"/>
      <c r="N119" s="461"/>
      <c r="O119" s="462"/>
      <c r="P119" s="462"/>
    </row>
    <row r="120" ht="15.75" customHeight="1">
      <c r="A120" s="463">
        <v>4.0</v>
      </c>
      <c r="B120" s="13" t="s">
        <v>3910</v>
      </c>
      <c r="C120" s="143" t="s">
        <v>3912</v>
      </c>
      <c r="D120" s="13" t="s">
        <v>3438</v>
      </c>
      <c r="E120" s="143" t="s">
        <v>70</v>
      </c>
      <c r="F120" s="14">
        <v>3.44197E8</v>
      </c>
      <c r="G120" s="143" t="s">
        <v>1928</v>
      </c>
      <c r="H120" s="13" t="s">
        <v>1040</v>
      </c>
      <c r="I120" s="143" t="s">
        <v>3913</v>
      </c>
      <c r="J120" s="143" t="s">
        <v>3914</v>
      </c>
      <c r="K120" s="143" t="s">
        <v>3915</v>
      </c>
      <c r="L120" s="459" t="s">
        <v>3916</v>
      </c>
      <c r="M120" s="18"/>
      <c r="N120" s="203" t="s">
        <v>3917</v>
      </c>
      <c r="O120" s="465"/>
      <c r="P120" s="465"/>
    </row>
    <row r="121" ht="15.75" customHeight="1">
      <c r="A121" s="456">
        <v>5.0</v>
      </c>
      <c r="B121" s="456" t="s">
        <v>3910</v>
      </c>
      <c r="C121" s="457" t="s">
        <v>3918</v>
      </c>
      <c r="D121" s="456" t="s">
        <v>3438</v>
      </c>
      <c r="E121" s="457" t="s">
        <v>70</v>
      </c>
      <c r="F121" s="458">
        <v>2.945E8</v>
      </c>
      <c r="G121" s="457" t="s">
        <v>1928</v>
      </c>
      <c r="H121" s="456" t="s">
        <v>78</v>
      </c>
      <c r="I121" s="457" t="s">
        <v>3919</v>
      </c>
      <c r="J121" s="457" t="s">
        <v>3920</v>
      </c>
      <c r="K121" s="457" t="s">
        <v>3921</v>
      </c>
      <c r="L121" s="464" t="s">
        <v>3922</v>
      </c>
      <c r="M121" s="456"/>
      <c r="N121" s="486"/>
      <c r="O121" s="462"/>
      <c r="P121" s="462"/>
    </row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0:$P$121"/>
  <mergeCells count="2">
    <mergeCell ref="A3:M3"/>
    <mergeCell ref="A4:M4"/>
  </mergeCells>
  <printOptions/>
  <pageMargins bottom="0.7480314960629921" footer="0.0" header="0.0" left="0.7086614173228347" right="0.7086614173228347" top="0.7480314960629921"/>
  <pageSetup paperSize="5" scale="70"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workbookViewId="0"/>
  </sheetViews>
  <sheetFormatPr customHeight="1" defaultColWidth="14.43" defaultRowHeight="15.0"/>
  <cols>
    <col customWidth="1" min="1" max="1" width="5.29"/>
    <col customWidth="1" min="2" max="2" width="45.0"/>
    <col customWidth="1" min="3" max="3" width="34.43"/>
    <col customWidth="1" min="4" max="4" width="16.71"/>
    <col customWidth="1" min="5" max="5" width="11.86"/>
    <col customWidth="1" min="6" max="6" width="22.29"/>
    <col customWidth="1" min="7" max="7" width="34.43"/>
    <col customWidth="1" min="8" max="8" width="8.71"/>
    <col customWidth="1" min="9" max="9" width="10.71"/>
    <col customWidth="1" min="10" max="10" width="22.71"/>
    <col customWidth="1" min="11" max="11" width="19.71"/>
    <col customWidth="1" min="12" max="12" width="13.29"/>
    <col customWidth="1" min="13" max="13" width="34.29"/>
    <col customWidth="1" min="14" max="14" width="57.0"/>
    <col customWidth="1" min="15" max="27" width="8.71"/>
  </cols>
  <sheetData>
    <row r="1" ht="14.25" customHeight="1">
      <c r="I1" s="105"/>
      <c r="J1" s="105"/>
      <c r="K1" s="105"/>
      <c r="L1" s="105"/>
    </row>
    <row r="2" ht="14.25" customHeight="1">
      <c r="I2" s="105"/>
      <c r="J2" s="105"/>
      <c r="K2" s="105"/>
      <c r="L2" s="105"/>
    </row>
    <row r="3" ht="14.25" customHeight="1">
      <c r="A3" s="1" t="s">
        <v>0</v>
      </c>
    </row>
    <row r="4" ht="14.25" customHeight="1">
      <c r="A4" s="1" t="s">
        <v>1</v>
      </c>
    </row>
    <row r="5" ht="14.25" customHeight="1">
      <c r="I5" s="105"/>
      <c r="J5" s="105"/>
      <c r="K5" s="105"/>
      <c r="L5" s="105"/>
    </row>
    <row r="6" ht="14.25" customHeight="1">
      <c r="I6" s="105"/>
      <c r="J6" s="105"/>
      <c r="K6" s="105"/>
      <c r="L6" s="105"/>
    </row>
    <row r="7" ht="14.25" customHeight="1">
      <c r="A7" s="2" t="s">
        <v>2</v>
      </c>
      <c r="C7" s="2" t="s">
        <v>3</v>
      </c>
      <c r="I7" s="105"/>
      <c r="J7" s="105"/>
      <c r="K7" s="105"/>
      <c r="L7" s="105"/>
    </row>
    <row r="8" ht="14.25" customHeight="1">
      <c r="A8" s="2" t="s">
        <v>4</v>
      </c>
      <c r="C8" s="2" t="s">
        <v>5</v>
      </c>
      <c r="I8" s="105"/>
      <c r="J8" s="105"/>
      <c r="K8" s="105"/>
      <c r="L8" s="105"/>
    </row>
    <row r="9" ht="14.25" customHeight="1">
      <c r="A9" s="2" t="s">
        <v>6</v>
      </c>
      <c r="C9" s="2" t="s">
        <v>3923</v>
      </c>
      <c r="I9" s="105"/>
      <c r="J9" s="105"/>
      <c r="K9" s="105"/>
      <c r="L9" s="105"/>
    </row>
    <row r="10" ht="14.25" customHeight="1">
      <c r="A10" s="124" t="s">
        <v>8</v>
      </c>
      <c r="B10" s="493" t="s">
        <v>9</v>
      </c>
      <c r="C10" s="493" t="s">
        <v>10</v>
      </c>
      <c r="D10" s="493" t="s">
        <v>11</v>
      </c>
      <c r="E10" s="493" t="s">
        <v>12</v>
      </c>
      <c r="F10" s="493" t="s">
        <v>13</v>
      </c>
      <c r="G10" s="493" t="s">
        <v>14</v>
      </c>
      <c r="H10" s="493" t="s">
        <v>15</v>
      </c>
      <c r="I10" s="494" t="s">
        <v>16</v>
      </c>
      <c r="J10" s="494" t="s">
        <v>17</v>
      </c>
      <c r="K10" s="494" t="s">
        <v>766</v>
      </c>
      <c r="L10" s="494" t="s">
        <v>1882</v>
      </c>
      <c r="M10" s="495" t="s">
        <v>20</v>
      </c>
      <c r="N10" s="125" t="s">
        <v>1883</v>
      </c>
    </row>
    <row r="11" ht="14.25" customHeight="1">
      <c r="A11" s="496"/>
      <c r="B11" s="497" t="s">
        <v>1884</v>
      </c>
      <c r="C11" s="498"/>
      <c r="D11" s="498"/>
      <c r="E11" s="498"/>
      <c r="F11" s="499">
        <v>1.1E8</v>
      </c>
      <c r="G11" s="498"/>
      <c r="H11" s="498"/>
      <c r="I11" s="500"/>
      <c r="J11" s="500"/>
      <c r="K11" s="500"/>
      <c r="L11" s="500"/>
      <c r="M11" s="501"/>
      <c r="N11" s="502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</row>
    <row r="12" ht="14.25" customHeight="1">
      <c r="A12" s="503">
        <v>1.0</v>
      </c>
      <c r="B12" s="143" t="s">
        <v>1885</v>
      </c>
      <c r="C12" s="143" t="s">
        <v>780</v>
      </c>
      <c r="D12" s="143" t="s">
        <v>3924</v>
      </c>
      <c r="E12" s="143" t="s">
        <v>70</v>
      </c>
      <c r="F12" s="144">
        <v>1.1E8</v>
      </c>
      <c r="G12" s="143" t="s">
        <v>3349</v>
      </c>
      <c r="H12" s="143">
        <v>2004.0</v>
      </c>
      <c r="I12" s="504" t="s">
        <v>3925</v>
      </c>
      <c r="J12" s="505" t="s">
        <v>3926</v>
      </c>
      <c r="K12" s="506" t="s">
        <v>3927</v>
      </c>
      <c r="L12" s="507" t="s">
        <v>3928</v>
      </c>
      <c r="M12" s="508" t="s">
        <v>3929</v>
      </c>
      <c r="N12" s="143" t="s">
        <v>3930</v>
      </c>
    </row>
    <row r="13" ht="14.25" customHeight="1">
      <c r="A13" s="496"/>
      <c r="B13" s="497" t="s">
        <v>23</v>
      </c>
      <c r="C13" s="498"/>
      <c r="D13" s="498"/>
      <c r="E13" s="498"/>
      <c r="F13" s="499">
        <v>4.34E8</v>
      </c>
      <c r="G13" s="498"/>
      <c r="H13" s="498"/>
      <c r="I13" s="500"/>
      <c r="J13" s="500"/>
      <c r="K13" s="500"/>
      <c r="L13" s="500"/>
      <c r="M13" s="501"/>
      <c r="N13" s="509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</row>
    <row r="14" ht="14.25" customHeight="1">
      <c r="A14" s="503">
        <v>2.0</v>
      </c>
      <c r="B14" s="143" t="s">
        <v>779</v>
      </c>
      <c r="C14" s="143" t="s">
        <v>780</v>
      </c>
      <c r="D14" s="143" t="s">
        <v>3924</v>
      </c>
      <c r="E14" s="143" t="s">
        <v>70</v>
      </c>
      <c r="F14" s="144">
        <v>1.05E8</v>
      </c>
      <c r="G14" s="143" t="s">
        <v>3931</v>
      </c>
      <c r="H14" s="143">
        <v>2003.0</v>
      </c>
      <c r="I14" s="510" t="s">
        <v>3932</v>
      </c>
      <c r="J14" s="511" t="s">
        <v>3933</v>
      </c>
      <c r="K14" s="512" t="s">
        <v>3934</v>
      </c>
      <c r="L14" s="513" t="s">
        <v>3935</v>
      </c>
      <c r="M14" s="514"/>
      <c r="N14" s="143" t="s">
        <v>3936</v>
      </c>
    </row>
    <row r="15" ht="14.25" customHeight="1">
      <c r="A15" s="515">
        <v>3.0</v>
      </c>
      <c r="B15" s="137" t="s">
        <v>779</v>
      </c>
      <c r="C15" s="137" t="s">
        <v>780</v>
      </c>
      <c r="D15" s="137" t="s">
        <v>3924</v>
      </c>
      <c r="E15" s="137" t="s">
        <v>70</v>
      </c>
      <c r="F15" s="138">
        <v>1.49E8</v>
      </c>
      <c r="G15" s="137" t="s">
        <v>3937</v>
      </c>
      <c r="H15" s="137">
        <v>2012.0</v>
      </c>
      <c r="I15" s="516" t="s">
        <v>3938</v>
      </c>
      <c r="J15" s="517" t="s">
        <v>3939</v>
      </c>
      <c r="K15" s="517" t="s">
        <v>3940</v>
      </c>
      <c r="L15" s="513" t="s">
        <v>3941</v>
      </c>
      <c r="M15" s="518"/>
      <c r="N15" s="137" t="s">
        <v>3942</v>
      </c>
    </row>
    <row r="16" ht="14.25" customHeight="1">
      <c r="A16" s="503">
        <v>4.0</v>
      </c>
      <c r="B16" s="143" t="s">
        <v>779</v>
      </c>
      <c r="C16" s="143" t="s">
        <v>780</v>
      </c>
      <c r="D16" s="143" t="s">
        <v>3924</v>
      </c>
      <c r="E16" s="143" t="s">
        <v>70</v>
      </c>
      <c r="F16" s="144">
        <v>1.8E8</v>
      </c>
      <c r="G16" s="143" t="s">
        <v>3937</v>
      </c>
      <c r="H16" s="143">
        <v>2014.0</v>
      </c>
      <c r="I16" s="516" t="s">
        <v>3943</v>
      </c>
      <c r="J16" s="511" t="s">
        <v>3944</v>
      </c>
      <c r="K16" s="512" t="s">
        <v>3945</v>
      </c>
      <c r="L16" s="513" t="s">
        <v>3946</v>
      </c>
      <c r="M16" s="508" t="s">
        <v>3947</v>
      </c>
      <c r="N16" s="143" t="s">
        <v>3948</v>
      </c>
    </row>
    <row r="17" ht="14.25" customHeight="1">
      <c r="A17" s="496"/>
      <c r="B17" s="497" t="s">
        <v>1933</v>
      </c>
      <c r="C17" s="498"/>
      <c r="D17" s="498"/>
      <c r="E17" s="498"/>
      <c r="F17" s="499">
        <v>9.09749555E8</v>
      </c>
      <c r="G17" s="498"/>
      <c r="H17" s="498"/>
      <c r="I17" s="500"/>
      <c r="J17" s="500"/>
      <c r="K17" s="500"/>
      <c r="L17" s="500"/>
      <c r="M17" s="501"/>
      <c r="N17" s="509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</row>
    <row r="18" ht="14.25" customHeight="1">
      <c r="A18" s="503">
        <v>5.0</v>
      </c>
      <c r="B18" s="143" t="s">
        <v>908</v>
      </c>
      <c r="C18" s="143" t="s">
        <v>908</v>
      </c>
      <c r="D18" s="143" t="s">
        <v>3924</v>
      </c>
      <c r="E18" s="143" t="s">
        <v>70</v>
      </c>
      <c r="F18" s="144">
        <v>1.0E8</v>
      </c>
      <c r="G18" s="143" t="s">
        <v>3949</v>
      </c>
      <c r="H18" s="143">
        <v>2002.0</v>
      </c>
      <c r="I18" s="510" t="s">
        <v>3950</v>
      </c>
      <c r="J18" s="519" t="s">
        <v>3951</v>
      </c>
      <c r="K18" s="520" t="s">
        <v>3952</v>
      </c>
      <c r="L18" s="521" t="s">
        <v>3953</v>
      </c>
      <c r="M18" s="143" t="s">
        <v>3954</v>
      </c>
      <c r="N18" s="143" t="s">
        <v>3955</v>
      </c>
    </row>
    <row r="19" ht="14.25" customHeight="1">
      <c r="A19" s="515">
        <v>6.0</v>
      </c>
      <c r="B19" s="137" t="s">
        <v>908</v>
      </c>
      <c r="C19" s="137" t="s">
        <v>908</v>
      </c>
      <c r="D19" s="137" t="s">
        <v>3924</v>
      </c>
      <c r="E19" s="137" t="s">
        <v>70</v>
      </c>
      <c r="F19" s="138">
        <v>7.0E7</v>
      </c>
      <c r="G19" s="137" t="s">
        <v>2398</v>
      </c>
      <c r="H19" s="137">
        <v>2003.0</v>
      </c>
      <c r="I19" s="504" t="s">
        <v>3956</v>
      </c>
      <c r="J19" s="210" t="s">
        <v>3957</v>
      </c>
      <c r="K19" s="210" t="s">
        <v>3958</v>
      </c>
      <c r="L19" s="521" t="s">
        <v>3959</v>
      </c>
      <c r="M19" s="522" t="s">
        <v>3960</v>
      </c>
      <c r="N19" s="137" t="s">
        <v>3961</v>
      </c>
    </row>
    <row r="20" ht="14.25" customHeight="1">
      <c r="A20" s="503">
        <v>7.0</v>
      </c>
      <c r="B20" s="143" t="s">
        <v>908</v>
      </c>
      <c r="C20" s="143" t="s">
        <v>3962</v>
      </c>
      <c r="D20" s="143" t="s">
        <v>3924</v>
      </c>
      <c r="E20" s="143" t="s">
        <v>70</v>
      </c>
      <c r="F20" s="144">
        <v>2.86E8</v>
      </c>
      <c r="G20" s="143" t="s">
        <v>3963</v>
      </c>
      <c r="H20" s="143">
        <v>2007.0</v>
      </c>
      <c r="I20" s="510" t="s">
        <v>3964</v>
      </c>
      <c r="J20" s="523" t="s">
        <v>3965</v>
      </c>
      <c r="K20" s="524" t="s">
        <v>3966</v>
      </c>
      <c r="L20" s="525" t="s">
        <v>3967</v>
      </c>
      <c r="M20" s="508" t="s">
        <v>3968</v>
      </c>
      <c r="N20" s="143" t="s">
        <v>3969</v>
      </c>
    </row>
    <row r="21" ht="14.25" customHeight="1">
      <c r="A21" s="515">
        <v>8.0</v>
      </c>
      <c r="B21" s="137" t="s">
        <v>908</v>
      </c>
      <c r="C21" s="137" t="s">
        <v>3970</v>
      </c>
      <c r="D21" s="137" t="s">
        <v>3924</v>
      </c>
      <c r="E21" s="137" t="s">
        <v>70</v>
      </c>
      <c r="F21" s="138">
        <v>4.53749555E8</v>
      </c>
      <c r="G21" s="137" t="s">
        <v>885</v>
      </c>
      <c r="H21" s="137">
        <v>2022.0</v>
      </c>
      <c r="I21" s="526" t="s">
        <v>3971</v>
      </c>
      <c r="J21" s="527" t="s">
        <v>3972</v>
      </c>
      <c r="K21" s="527" t="s">
        <v>3973</v>
      </c>
      <c r="L21" s="525" t="s">
        <v>3974</v>
      </c>
      <c r="M21" s="527" t="s">
        <v>3971</v>
      </c>
      <c r="N21" s="137" t="s">
        <v>3975</v>
      </c>
    </row>
    <row r="22" ht="14.25" customHeight="1">
      <c r="A22" s="496"/>
      <c r="B22" s="497" t="s">
        <v>99</v>
      </c>
      <c r="C22" s="498"/>
      <c r="D22" s="498"/>
      <c r="E22" s="498"/>
      <c r="F22" s="499">
        <v>5.937212E8</v>
      </c>
      <c r="G22" s="498"/>
      <c r="H22" s="498"/>
      <c r="I22" s="500"/>
      <c r="J22" s="500"/>
      <c r="K22" s="500"/>
      <c r="L22" s="500"/>
      <c r="M22" s="501"/>
      <c r="N22" s="509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</row>
    <row r="23" ht="14.25" customHeight="1">
      <c r="A23" s="515">
        <v>1.0</v>
      </c>
      <c r="B23" s="137" t="s">
        <v>100</v>
      </c>
      <c r="C23" s="137" t="s">
        <v>100</v>
      </c>
      <c r="D23" s="137" t="s">
        <v>3924</v>
      </c>
      <c r="E23" s="137" t="s">
        <v>70</v>
      </c>
      <c r="F23" s="138">
        <v>5500000.0</v>
      </c>
      <c r="G23" s="137" t="s">
        <v>144</v>
      </c>
      <c r="H23" s="137">
        <v>2002.0</v>
      </c>
      <c r="I23" s="516" t="s">
        <v>3976</v>
      </c>
      <c r="J23" s="517" t="s">
        <v>3977</v>
      </c>
      <c r="K23" s="517" t="s">
        <v>3978</v>
      </c>
      <c r="L23" s="513" t="s">
        <v>3979</v>
      </c>
      <c r="M23" s="518"/>
      <c r="N23" s="137" t="s">
        <v>3980</v>
      </c>
    </row>
    <row r="24" ht="14.25" customHeight="1">
      <c r="A24" s="503">
        <v>2.0</v>
      </c>
      <c r="B24" s="143" t="s">
        <v>100</v>
      </c>
      <c r="C24" s="143" t="s">
        <v>100</v>
      </c>
      <c r="D24" s="143" t="s">
        <v>3924</v>
      </c>
      <c r="E24" s="137" t="s">
        <v>70</v>
      </c>
      <c r="F24" s="144">
        <v>1.5E7</v>
      </c>
      <c r="G24" s="143" t="s">
        <v>3981</v>
      </c>
      <c r="H24" s="143">
        <v>2002.0</v>
      </c>
      <c r="I24" s="510" t="s">
        <v>3982</v>
      </c>
      <c r="J24" s="511" t="s">
        <v>3983</v>
      </c>
      <c r="K24" s="512" t="s">
        <v>3984</v>
      </c>
      <c r="L24" s="513" t="s">
        <v>3985</v>
      </c>
      <c r="M24" s="514"/>
      <c r="N24" s="143" t="s">
        <v>3986</v>
      </c>
    </row>
    <row r="25" ht="14.25" customHeight="1">
      <c r="A25" s="515">
        <v>3.0</v>
      </c>
      <c r="B25" s="137" t="s">
        <v>100</v>
      </c>
      <c r="C25" s="137" t="s">
        <v>100</v>
      </c>
      <c r="D25" s="137" t="s">
        <v>3924</v>
      </c>
      <c r="E25" s="137" t="s">
        <v>70</v>
      </c>
      <c r="F25" s="138">
        <v>1.5E7</v>
      </c>
      <c r="G25" s="137" t="s">
        <v>3981</v>
      </c>
      <c r="H25" s="137">
        <v>2003.0</v>
      </c>
      <c r="I25" s="510" t="s">
        <v>3987</v>
      </c>
      <c r="J25" s="210" t="s">
        <v>3988</v>
      </c>
      <c r="K25" s="210" t="s">
        <v>3989</v>
      </c>
      <c r="L25" s="521" t="s">
        <v>3990</v>
      </c>
      <c r="M25" s="518"/>
      <c r="N25" s="137" t="s">
        <v>3991</v>
      </c>
    </row>
    <row r="26" ht="14.25" customHeight="1">
      <c r="A26" s="503">
        <v>4.0</v>
      </c>
      <c r="B26" s="143" t="s">
        <v>100</v>
      </c>
      <c r="C26" s="143" t="s">
        <v>100</v>
      </c>
      <c r="D26" s="143" t="s">
        <v>3924</v>
      </c>
      <c r="E26" s="137" t="s">
        <v>70</v>
      </c>
      <c r="F26" s="144">
        <v>9000000.0</v>
      </c>
      <c r="G26" s="143" t="s">
        <v>1379</v>
      </c>
      <c r="H26" s="143">
        <v>2004.0</v>
      </c>
      <c r="I26" s="510" t="s">
        <v>3992</v>
      </c>
      <c r="J26" s="519" t="s">
        <v>3993</v>
      </c>
      <c r="K26" s="520" t="s">
        <v>3994</v>
      </c>
      <c r="L26" s="521" t="s">
        <v>3995</v>
      </c>
      <c r="M26" s="514"/>
      <c r="N26" s="137" t="s">
        <v>3996</v>
      </c>
    </row>
    <row r="27" ht="14.25" customHeight="1">
      <c r="A27" s="515">
        <v>5.0</v>
      </c>
      <c r="B27" s="137" t="s">
        <v>100</v>
      </c>
      <c r="C27" s="137" t="s">
        <v>100</v>
      </c>
      <c r="D27" s="137" t="s">
        <v>3924</v>
      </c>
      <c r="E27" s="137" t="s">
        <v>70</v>
      </c>
      <c r="F27" s="138">
        <v>2.887281E7</v>
      </c>
      <c r="G27" s="137" t="s">
        <v>3997</v>
      </c>
      <c r="H27" s="137">
        <v>2009.0</v>
      </c>
      <c r="I27" s="510" t="s">
        <v>3998</v>
      </c>
      <c r="J27" s="210" t="s">
        <v>3999</v>
      </c>
      <c r="K27" s="210" t="s">
        <v>4000</v>
      </c>
      <c r="L27" s="521" t="s">
        <v>4001</v>
      </c>
      <c r="M27" s="518"/>
      <c r="N27" s="137" t="s">
        <v>4002</v>
      </c>
    </row>
    <row r="28" ht="14.25" customHeight="1">
      <c r="A28" s="503">
        <v>6.0</v>
      </c>
      <c r="B28" s="143" t="s">
        <v>100</v>
      </c>
      <c r="C28" s="143" t="s">
        <v>100</v>
      </c>
      <c r="D28" s="143" t="s">
        <v>3924</v>
      </c>
      <c r="E28" s="137" t="s">
        <v>70</v>
      </c>
      <c r="F28" s="144">
        <v>2.887281E7</v>
      </c>
      <c r="G28" s="143" t="s">
        <v>3997</v>
      </c>
      <c r="H28" s="143">
        <v>2009.0</v>
      </c>
      <c r="I28" s="510" t="s">
        <v>4003</v>
      </c>
      <c r="J28" s="519" t="s">
        <v>4004</v>
      </c>
      <c r="K28" s="520" t="s">
        <v>4005</v>
      </c>
      <c r="L28" s="521" t="s">
        <v>4006</v>
      </c>
      <c r="M28" s="514"/>
      <c r="N28" s="143" t="s">
        <v>4007</v>
      </c>
    </row>
    <row r="29" ht="14.25" customHeight="1">
      <c r="A29" s="515">
        <v>7.0</v>
      </c>
      <c r="B29" s="137" t="s">
        <v>100</v>
      </c>
      <c r="C29" s="137" t="s">
        <v>100</v>
      </c>
      <c r="D29" s="137" t="s">
        <v>3924</v>
      </c>
      <c r="E29" s="137" t="s">
        <v>70</v>
      </c>
      <c r="F29" s="138">
        <v>1.2825E7</v>
      </c>
      <c r="G29" s="137" t="s">
        <v>3278</v>
      </c>
      <c r="H29" s="137">
        <v>2009.0</v>
      </c>
      <c r="I29" s="510" t="s">
        <v>4008</v>
      </c>
      <c r="J29" s="210" t="s">
        <v>4009</v>
      </c>
      <c r="K29" s="210" t="s">
        <v>4010</v>
      </c>
      <c r="L29" s="521" t="s">
        <v>4011</v>
      </c>
      <c r="M29" s="518"/>
      <c r="N29" s="137" t="s">
        <v>4012</v>
      </c>
    </row>
    <row r="30" ht="14.25" customHeight="1">
      <c r="A30" s="503">
        <v>8.0</v>
      </c>
      <c r="B30" s="143" t="s">
        <v>100</v>
      </c>
      <c r="C30" s="143" t="s">
        <v>100</v>
      </c>
      <c r="D30" s="143" t="s">
        <v>3924</v>
      </c>
      <c r="E30" s="137" t="s">
        <v>70</v>
      </c>
      <c r="F30" s="144">
        <v>1.2825E7</v>
      </c>
      <c r="G30" s="143" t="s">
        <v>3278</v>
      </c>
      <c r="H30" s="143">
        <v>2009.0</v>
      </c>
      <c r="I30" s="510" t="s">
        <v>4013</v>
      </c>
      <c r="J30" s="519" t="s">
        <v>4014</v>
      </c>
      <c r="K30" s="520" t="s">
        <v>4015</v>
      </c>
      <c r="L30" s="521" t="s">
        <v>4016</v>
      </c>
      <c r="M30" s="514"/>
      <c r="N30" s="143" t="s">
        <v>4017</v>
      </c>
    </row>
    <row r="31" ht="14.25" customHeight="1">
      <c r="A31" s="515">
        <v>9.0</v>
      </c>
      <c r="B31" s="137" t="s">
        <v>100</v>
      </c>
      <c r="C31" s="137" t="s">
        <v>100</v>
      </c>
      <c r="D31" s="137" t="s">
        <v>3924</v>
      </c>
      <c r="E31" s="137" t="s">
        <v>70</v>
      </c>
      <c r="F31" s="138">
        <v>1.2225E7</v>
      </c>
      <c r="G31" s="137" t="s">
        <v>3278</v>
      </c>
      <c r="H31" s="137">
        <v>2010.0</v>
      </c>
      <c r="I31" s="504" t="s">
        <v>4018</v>
      </c>
      <c r="J31" s="210" t="s">
        <v>4019</v>
      </c>
      <c r="K31" s="210" t="s">
        <v>4020</v>
      </c>
      <c r="L31" s="210" t="s">
        <v>4021</v>
      </c>
      <c r="M31" s="137" t="s">
        <v>4018</v>
      </c>
      <c r="N31" s="137" t="s">
        <v>4022</v>
      </c>
    </row>
    <row r="32" ht="14.25" customHeight="1">
      <c r="A32" s="503">
        <v>10.0</v>
      </c>
      <c r="B32" s="143" t="s">
        <v>100</v>
      </c>
      <c r="C32" s="143" t="s">
        <v>100</v>
      </c>
      <c r="D32" s="143" t="s">
        <v>3924</v>
      </c>
      <c r="E32" s="137" t="s">
        <v>70</v>
      </c>
      <c r="F32" s="144">
        <v>1.2225E7</v>
      </c>
      <c r="G32" s="143" t="s">
        <v>3278</v>
      </c>
      <c r="H32" s="143">
        <v>2010.0</v>
      </c>
      <c r="I32" s="510" t="s">
        <v>4023</v>
      </c>
      <c r="J32" s="519" t="s">
        <v>4024</v>
      </c>
      <c r="K32" s="520" t="s">
        <v>4025</v>
      </c>
      <c r="L32" s="521" t="s">
        <v>4026</v>
      </c>
      <c r="M32" s="143" t="s">
        <v>4027</v>
      </c>
      <c r="N32" s="143" t="s">
        <v>4028</v>
      </c>
    </row>
    <row r="33" ht="14.25" customHeight="1">
      <c r="A33" s="515">
        <v>11.0</v>
      </c>
      <c r="B33" s="137" t="s">
        <v>100</v>
      </c>
      <c r="C33" s="137" t="s">
        <v>100</v>
      </c>
      <c r="D33" s="137" t="s">
        <v>3924</v>
      </c>
      <c r="E33" s="137" t="s">
        <v>70</v>
      </c>
      <c r="F33" s="138">
        <v>1.2225E7</v>
      </c>
      <c r="G33" s="137" t="s">
        <v>3278</v>
      </c>
      <c r="H33" s="137">
        <v>2010.0</v>
      </c>
      <c r="I33" s="510" t="s">
        <v>4029</v>
      </c>
      <c r="J33" s="210" t="s">
        <v>4030</v>
      </c>
      <c r="K33" s="210" t="s">
        <v>4031</v>
      </c>
      <c r="L33" s="521" t="s">
        <v>4032</v>
      </c>
      <c r="M33" s="137" t="s">
        <v>4033</v>
      </c>
      <c r="N33" s="137" t="s">
        <v>4034</v>
      </c>
    </row>
    <row r="34" ht="14.25" customHeight="1">
      <c r="A34" s="503">
        <v>12.0</v>
      </c>
      <c r="B34" s="143" t="s">
        <v>100</v>
      </c>
      <c r="C34" s="143" t="s">
        <v>100</v>
      </c>
      <c r="D34" s="143" t="s">
        <v>3924</v>
      </c>
      <c r="E34" s="137" t="s">
        <v>70</v>
      </c>
      <c r="F34" s="144">
        <v>1.3025E7</v>
      </c>
      <c r="G34" s="143" t="s">
        <v>4035</v>
      </c>
      <c r="H34" s="143">
        <v>2011.0</v>
      </c>
      <c r="I34" s="504" t="s">
        <v>4036</v>
      </c>
      <c r="J34" s="519" t="s">
        <v>4037</v>
      </c>
      <c r="K34" s="520" t="s">
        <v>4038</v>
      </c>
      <c r="L34" s="519" t="s">
        <v>4039</v>
      </c>
      <c r="M34" s="143" t="s">
        <v>4040</v>
      </c>
      <c r="N34" s="143" t="s">
        <v>4041</v>
      </c>
    </row>
    <row r="35" ht="14.25" customHeight="1">
      <c r="A35" s="515">
        <v>13.0</v>
      </c>
      <c r="B35" s="137" t="s">
        <v>100</v>
      </c>
      <c r="C35" s="137" t="s">
        <v>100</v>
      </c>
      <c r="D35" s="137" t="s">
        <v>3924</v>
      </c>
      <c r="E35" s="137" t="s">
        <v>70</v>
      </c>
      <c r="F35" s="138">
        <v>1.66277E7</v>
      </c>
      <c r="G35" s="137" t="s">
        <v>4042</v>
      </c>
      <c r="H35" s="137">
        <v>2012.0</v>
      </c>
      <c r="I35" s="510" t="s">
        <v>4043</v>
      </c>
      <c r="J35" s="210" t="s">
        <v>4044</v>
      </c>
      <c r="K35" s="210" t="s">
        <v>4045</v>
      </c>
      <c r="L35" s="521" t="s">
        <v>4046</v>
      </c>
      <c r="M35" s="137" t="s">
        <v>4047</v>
      </c>
      <c r="N35" s="137" t="s">
        <v>4048</v>
      </c>
    </row>
    <row r="36" ht="14.25" customHeight="1">
      <c r="A36" s="503">
        <v>14.0</v>
      </c>
      <c r="B36" s="143" t="s">
        <v>100</v>
      </c>
      <c r="C36" s="143" t="s">
        <v>100</v>
      </c>
      <c r="D36" s="143" t="s">
        <v>3924</v>
      </c>
      <c r="E36" s="137" t="s">
        <v>70</v>
      </c>
      <c r="F36" s="144">
        <v>1.3475E7</v>
      </c>
      <c r="G36" s="143" t="s">
        <v>4049</v>
      </c>
      <c r="H36" s="143">
        <v>2015.0</v>
      </c>
      <c r="I36" s="504" t="s">
        <v>4050</v>
      </c>
      <c r="J36" s="519" t="s">
        <v>4051</v>
      </c>
      <c r="K36" s="520" t="s">
        <v>4052</v>
      </c>
      <c r="L36" s="521" t="s">
        <v>4053</v>
      </c>
      <c r="M36" s="508" t="s">
        <v>4054</v>
      </c>
      <c r="N36" s="137" t="s">
        <v>3996</v>
      </c>
    </row>
    <row r="37" ht="14.25" customHeight="1">
      <c r="A37" s="515">
        <v>15.0</v>
      </c>
      <c r="B37" s="137" t="s">
        <v>100</v>
      </c>
      <c r="C37" s="137" t="s">
        <v>100</v>
      </c>
      <c r="D37" s="137" t="s">
        <v>3924</v>
      </c>
      <c r="E37" s="137" t="s">
        <v>70</v>
      </c>
      <c r="F37" s="138">
        <v>1.99E7</v>
      </c>
      <c r="G37" s="137" t="s">
        <v>3415</v>
      </c>
      <c r="H37" s="137">
        <v>2018.0</v>
      </c>
      <c r="I37" s="510" t="s">
        <v>4055</v>
      </c>
      <c r="J37" s="210" t="s">
        <v>4056</v>
      </c>
      <c r="K37" s="210" t="s">
        <v>4057</v>
      </c>
      <c r="L37" s="521" t="s">
        <v>4058</v>
      </c>
      <c r="M37" s="147"/>
      <c r="N37" s="137" t="s">
        <v>4059</v>
      </c>
    </row>
    <row r="38" ht="14.25" customHeight="1">
      <c r="A38" s="503">
        <v>16.0</v>
      </c>
      <c r="B38" s="143" t="s">
        <v>100</v>
      </c>
      <c r="C38" s="143" t="s">
        <v>100</v>
      </c>
      <c r="D38" s="143" t="s">
        <v>3924</v>
      </c>
      <c r="E38" s="137" t="s">
        <v>70</v>
      </c>
      <c r="F38" s="144">
        <v>3.03E7</v>
      </c>
      <c r="G38" s="143" t="s">
        <v>4060</v>
      </c>
      <c r="H38" s="143">
        <v>2019.0</v>
      </c>
      <c r="I38" s="510" t="s">
        <v>4061</v>
      </c>
      <c r="J38" s="528" t="s">
        <v>4062</v>
      </c>
      <c r="K38" s="529" t="s">
        <v>4063</v>
      </c>
      <c r="L38" s="513" t="s">
        <v>4064</v>
      </c>
      <c r="M38" s="514"/>
      <c r="N38" s="143" t="s">
        <v>4065</v>
      </c>
    </row>
    <row r="39" ht="14.25" customHeight="1">
      <c r="A39" s="515">
        <v>17.0</v>
      </c>
      <c r="B39" s="137" t="s">
        <v>100</v>
      </c>
      <c r="C39" s="137" t="s">
        <v>100</v>
      </c>
      <c r="D39" s="137" t="s">
        <v>3924</v>
      </c>
      <c r="E39" s="137" t="s">
        <v>70</v>
      </c>
      <c r="F39" s="138">
        <v>3.03E7</v>
      </c>
      <c r="G39" s="137" t="s">
        <v>4060</v>
      </c>
      <c r="H39" s="137">
        <v>2019.0</v>
      </c>
      <c r="I39" s="530" t="s">
        <v>4066</v>
      </c>
      <c r="J39" s="517" t="s">
        <v>4067</v>
      </c>
      <c r="K39" s="517" t="s">
        <v>4068</v>
      </c>
      <c r="L39" s="513" t="s">
        <v>4069</v>
      </c>
      <c r="M39" s="518"/>
      <c r="N39" s="137" t="s">
        <v>4070</v>
      </c>
    </row>
    <row r="40" ht="14.25" customHeight="1">
      <c r="A40" s="503">
        <v>18.0</v>
      </c>
      <c r="B40" s="143" t="s">
        <v>100</v>
      </c>
      <c r="C40" s="143" t="s">
        <v>100</v>
      </c>
      <c r="D40" s="143" t="s">
        <v>3924</v>
      </c>
      <c r="E40" s="137" t="s">
        <v>70</v>
      </c>
      <c r="F40" s="144">
        <v>3.25E7</v>
      </c>
      <c r="G40" s="143" t="s">
        <v>4071</v>
      </c>
      <c r="H40" s="143">
        <v>2019.0</v>
      </c>
      <c r="I40" s="510" t="s">
        <v>4072</v>
      </c>
      <c r="J40" s="511" t="s">
        <v>4073</v>
      </c>
      <c r="K40" s="512" t="s">
        <v>4074</v>
      </c>
      <c r="L40" s="513" t="s">
        <v>4075</v>
      </c>
      <c r="M40" s="514"/>
      <c r="N40" s="143" t="s">
        <v>4076</v>
      </c>
    </row>
    <row r="41" ht="14.25" customHeight="1">
      <c r="A41" s="515">
        <v>19.0</v>
      </c>
      <c r="B41" s="137" t="s">
        <v>100</v>
      </c>
      <c r="C41" s="137" t="s">
        <v>100</v>
      </c>
      <c r="D41" s="137" t="s">
        <v>3924</v>
      </c>
      <c r="E41" s="137" t="s">
        <v>70</v>
      </c>
      <c r="F41" s="138">
        <v>1.75E7</v>
      </c>
      <c r="G41" s="137" t="s">
        <v>4077</v>
      </c>
      <c r="H41" s="137">
        <v>2019.0</v>
      </c>
      <c r="I41" s="510" t="s">
        <v>4078</v>
      </c>
      <c r="J41" s="517" t="s">
        <v>4079</v>
      </c>
      <c r="K41" s="517" t="s">
        <v>4080</v>
      </c>
      <c r="L41" s="513" t="s">
        <v>4081</v>
      </c>
      <c r="M41" s="518"/>
      <c r="N41" s="137" t="s">
        <v>4082</v>
      </c>
    </row>
    <row r="42" ht="14.25" customHeight="1">
      <c r="A42" s="503">
        <v>20.0</v>
      </c>
      <c r="B42" s="143" t="s">
        <v>100</v>
      </c>
      <c r="C42" s="143" t="s">
        <v>100</v>
      </c>
      <c r="D42" s="143" t="s">
        <v>3924</v>
      </c>
      <c r="E42" s="137" t="s">
        <v>70</v>
      </c>
      <c r="F42" s="144">
        <v>3.03E7</v>
      </c>
      <c r="G42" s="143" t="s">
        <v>4060</v>
      </c>
      <c r="H42" s="143">
        <v>2019.0</v>
      </c>
      <c r="I42" s="510" t="s">
        <v>4083</v>
      </c>
      <c r="J42" s="528" t="s">
        <v>4084</v>
      </c>
      <c r="K42" s="529" t="s">
        <v>4085</v>
      </c>
      <c r="L42" s="513" t="s">
        <v>4086</v>
      </c>
      <c r="M42" s="514"/>
      <c r="N42" s="143" t="s">
        <v>4087</v>
      </c>
    </row>
    <row r="43" ht="14.25" customHeight="1">
      <c r="A43" s="515">
        <v>21.0</v>
      </c>
      <c r="B43" s="137" t="s">
        <v>100</v>
      </c>
      <c r="C43" s="137" t="s">
        <v>100</v>
      </c>
      <c r="D43" s="137" t="s">
        <v>3924</v>
      </c>
      <c r="E43" s="137" t="s">
        <v>70</v>
      </c>
      <c r="F43" s="138">
        <v>3.03E7</v>
      </c>
      <c r="G43" s="137" t="s">
        <v>4060</v>
      </c>
      <c r="H43" s="137">
        <v>2019.0</v>
      </c>
      <c r="I43" s="510" t="s">
        <v>4088</v>
      </c>
      <c r="J43" s="210" t="s">
        <v>4089</v>
      </c>
      <c r="K43" s="210" t="s">
        <v>4090</v>
      </c>
      <c r="L43" s="521" t="s">
        <v>4091</v>
      </c>
      <c r="M43" s="518"/>
      <c r="N43" s="137" t="s">
        <v>4092</v>
      </c>
    </row>
    <row r="44" ht="14.25" customHeight="1">
      <c r="A44" s="503">
        <v>22.0</v>
      </c>
      <c r="B44" s="143" t="s">
        <v>100</v>
      </c>
      <c r="C44" s="143" t="s">
        <v>100</v>
      </c>
      <c r="D44" s="143" t="s">
        <v>3924</v>
      </c>
      <c r="E44" s="137" t="s">
        <v>70</v>
      </c>
      <c r="F44" s="144">
        <v>3.03E7</v>
      </c>
      <c r="G44" s="143" t="s">
        <v>4060</v>
      </c>
      <c r="H44" s="143">
        <v>2019.0</v>
      </c>
      <c r="I44" s="510" t="s">
        <v>4093</v>
      </c>
      <c r="J44" s="531" t="s">
        <v>4094</v>
      </c>
      <c r="K44" s="532" t="s">
        <v>4095</v>
      </c>
      <c r="L44" s="533" t="s">
        <v>4096</v>
      </c>
      <c r="M44" s="534"/>
      <c r="N44" s="143" t="s">
        <v>4097</v>
      </c>
    </row>
    <row r="45" ht="14.25" customHeight="1">
      <c r="A45" s="515">
        <v>23.0</v>
      </c>
      <c r="B45" s="137" t="s">
        <v>100</v>
      </c>
      <c r="C45" s="137" t="s">
        <v>100</v>
      </c>
      <c r="D45" s="137" t="s">
        <v>3924</v>
      </c>
      <c r="E45" s="137" t="s">
        <v>70</v>
      </c>
      <c r="F45" s="138">
        <v>3.03E7</v>
      </c>
      <c r="G45" s="137" t="s">
        <v>4060</v>
      </c>
      <c r="H45" s="137">
        <v>2019.0</v>
      </c>
      <c r="I45" s="510" t="s">
        <v>4098</v>
      </c>
      <c r="J45" s="517" t="s">
        <v>4099</v>
      </c>
      <c r="K45" s="517" t="s">
        <v>4100</v>
      </c>
      <c r="L45" s="513" t="s">
        <v>4101</v>
      </c>
      <c r="M45" s="518"/>
      <c r="N45" s="137" t="s">
        <v>4102</v>
      </c>
    </row>
    <row r="46" ht="14.25" customHeight="1">
      <c r="A46" s="503">
        <v>24.0</v>
      </c>
      <c r="B46" s="261" t="s">
        <v>2326</v>
      </c>
      <c r="C46" s="261" t="s">
        <v>4103</v>
      </c>
      <c r="D46" s="143" t="s">
        <v>3924</v>
      </c>
      <c r="E46" s="137" t="s">
        <v>70</v>
      </c>
      <c r="F46" s="535">
        <v>3.358072E7</v>
      </c>
      <c r="G46" s="261" t="s">
        <v>4104</v>
      </c>
      <c r="H46" s="261">
        <v>2025.0</v>
      </c>
      <c r="I46" s="536" t="s">
        <v>4105</v>
      </c>
      <c r="J46" s="537" t="s">
        <v>4106</v>
      </c>
      <c r="K46" s="538" t="s">
        <v>4107</v>
      </c>
      <c r="L46" s="539" t="s">
        <v>4108</v>
      </c>
      <c r="M46" s="514"/>
      <c r="N46" s="261" t="s">
        <v>4109</v>
      </c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</row>
    <row r="47" ht="14.25" customHeight="1">
      <c r="A47" s="515">
        <v>25.0</v>
      </c>
      <c r="B47" s="258" t="s">
        <v>2326</v>
      </c>
      <c r="C47" s="258" t="s">
        <v>4110</v>
      </c>
      <c r="D47" s="137" t="s">
        <v>3924</v>
      </c>
      <c r="E47" s="137" t="s">
        <v>70</v>
      </c>
      <c r="F47" s="540">
        <v>3.358072E7</v>
      </c>
      <c r="G47" s="258" t="s">
        <v>4104</v>
      </c>
      <c r="H47" s="258">
        <v>2025.0</v>
      </c>
      <c r="I47" s="536" t="s">
        <v>4111</v>
      </c>
      <c r="J47" s="541" t="s">
        <v>4112</v>
      </c>
      <c r="K47" s="541" t="s">
        <v>4113</v>
      </c>
      <c r="L47" s="539" t="s">
        <v>4114</v>
      </c>
      <c r="M47" s="518"/>
      <c r="N47" s="137" t="s">
        <v>4115</v>
      </c>
    </row>
    <row r="48" ht="14.25" customHeight="1">
      <c r="A48" s="503">
        <v>26.0</v>
      </c>
      <c r="B48" s="261" t="s">
        <v>2326</v>
      </c>
      <c r="C48" s="261" t="s">
        <v>4116</v>
      </c>
      <c r="D48" s="143" t="s">
        <v>3924</v>
      </c>
      <c r="E48" s="137" t="s">
        <v>70</v>
      </c>
      <c r="F48" s="535">
        <v>3.358072E7</v>
      </c>
      <c r="G48" s="261" t="s">
        <v>4104</v>
      </c>
      <c r="H48" s="261">
        <v>2025.0</v>
      </c>
      <c r="I48" s="536" t="s">
        <v>4117</v>
      </c>
      <c r="J48" s="537" t="s">
        <v>4118</v>
      </c>
      <c r="K48" s="538" t="s">
        <v>4119</v>
      </c>
      <c r="L48" s="539" t="s">
        <v>4120</v>
      </c>
      <c r="M48" s="514"/>
      <c r="N48" s="143" t="s">
        <v>4121</v>
      </c>
    </row>
    <row r="49" ht="14.25" customHeight="1">
      <c r="A49" s="515">
        <v>27.0</v>
      </c>
      <c r="B49" s="258" t="s">
        <v>2326</v>
      </c>
      <c r="C49" s="258" t="s">
        <v>4122</v>
      </c>
      <c r="D49" s="137" t="s">
        <v>3924</v>
      </c>
      <c r="E49" s="137" t="s">
        <v>70</v>
      </c>
      <c r="F49" s="540">
        <v>3.358072E7</v>
      </c>
      <c r="G49" s="258" t="s">
        <v>4104</v>
      </c>
      <c r="H49" s="258">
        <v>2025.0</v>
      </c>
      <c r="I49" s="536" t="s">
        <v>4123</v>
      </c>
      <c r="J49" s="541" t="s">
        <v>4124</v>
      </c>
      <c r="K49" s="541" t="s">
        <v>4125</v>
      </c>
      <c r="L49" s="539" t="s">
        <v>4126</v>
      </c>
      <c r="M49" s="518"/>
      <c r="N49" s="137" t="s">
        <v>4127</v>
      </c>
    </row>
    <row r="50" ht="14.25" customHeight="1">
      <c r="A50" s="496"/>
      <c r="B50" s="497" t="s">
        <v>2806</v>
      </c>
      <c r="C50" s="498"/>
      <c r="D50" s="498"/>
      <c r="E50" s="498"/>
      <c r="F50" s="499">
        <v>9.4324E8</v>
      </c>
      <c r="G50" s="498"/>
      <c r="H50" s="498"/>
      <c r="I50" s="500"/>
      <c r="J50" s="500"/>
      <c r="K50" s="500"/>
      <c r="L50" s="500"/>
      <c r="M50" s="501"/>
      <c r="N50" s="444"/>
    </row>
    <row r="51" ht="14.25" customHeight="1">
      <c r="A51" s="515">
        <v>1.0</v>
      </c>
      <c r="B51" s="137" t="s">
        <v>3900</v>
      </c>
      <c r="C51" s="137" t="s">
        <v>3900</v>
      </c>
      <c r="D51" s="137" t="s">
        <v>3924</v>
      </c>
      <c r="E51" s="137" t="s">
        <v>70</v>
      </c>
      <c r="F51" s="138">
        <v>2.0734E8</v>
      </c>
      <c r="G51" s="137" t="s">
        <v>4128</v>
      </c>
      <c r="H51" s="137">
        <v>2018.0</v>
      </c>
      <c r="I51" s="504" t="s">
        <v>4129</v>
      </c>
      <c r="J51" s="527" t="s">
        <v>4130</v>
      </c>
      <c r="K51" s="527" t="s">
        <v>4131</v>
      </c>
      <c r="L51" s="525" t="s">
        <v>4132</v>
      </c>
      <c r="M51" s="522" t="s">
        <v>4133</v>
      </c>
      <c r="N51" s="137" t="s">
        <v>4134</v>
      </c>
    </row>
    <row r="52" ht="14.25" customHeight="1">
      <c r="A52" s="503">
        <v>2.0</v>
      </c>
      <c r="B52" s="542" t="s">
        <v>3900</v>
      </c>
      <c r="C52" s="542" t="s">
        <v>3900</v>
      </c>
      <c r="D52" s="542" t="s">
        <v>3924</v>
      </c>
      <c r="E52" s="542" t="s">
        <v>70</v>
      </c>
      <c r="F52" s="543">
        <v>7.359E8</v>
      </c>
      <c r="G52" s="542" t="s">
        <v>4135</v>
      </c>
      <c r="H52" s="542">
        <v>2019.0</v>
      </c>
      <c r="I52" s="544" t="s">
        <v>4136</v>
      </c>
      <c r="J52" s="545" t="s">
        <v>4137</v>
      </c>
      <c r="K52" s="546" t="s">
        <v>4138</v>
      </c>
      <c r="L52" s="547" t="s">
        <v>4139</v>
      </c>
      <c r="M52" s="508" t="s">
        <v>4133</v>
      </c>
      <c r="N52" s="548" t="s">
        <v>4140</v>
      </c>
    </row>
    <row r="53" ht="14.25" customHeight="1">
      <c r="I53" s="105"/>
      <c r="J53" s="105"/>
      <c r="K53" s="105"/>
      <c r="L53" s="105"/>
    </row>
    <row r="54" ht="14.25" customHeight="1">
      <c r="I54" s="105"/>
      <c r="J54" s="105"/>
      <c r="K54" s="105"/>
      <c r="L54" s="105"/>
      <c r="N54" s="35"/>
      <c r="O54" s="440"/>
      <c r="P54" s="440"/>
      <c r="Q54" s="440"/>
      <c r="R54" s="440"/>
    </row>
    <row r="55" ht="14.25" customHeight="1">
      <c r="I55" s="105"/>
      <c r="J55" s="105"/>
      <c r="K55" s="105"/>
      <c r="L55" s="105"/>
      <c r="N55" s="35"/>
      <c r="O55" s="440"/>
      <c r="P55" s="440"/>
      <c r="Q55" s="440"/>
      <c r="R55" s="440"/>
    </row>
    <row r="56" ht="14.25" customHeight="1">
      <c r="I56" s="105"/>
      <c r="J56" s="105"/>
      <c r="K56" s="105"/>
      <c r="L56" s="105"/>
      <c r="N56" s="35"/>
      <c r="O56" s="440"/>
      <c r="P56" s="440"/>
      <c r="Q56" s="440"/>
      <c r="R56" s="440"/>
    </row>
    <row r="57" ht="14.25" customHeight="1">
      <c r="I57" s="105"/>
      <c r="J57" s="105"/>
      <c r="K57" s="105"/>
      <c r="L57" s="105"/>
      <c r="N57" s="35"/>
      <c r="O57" s="440"/>
      <c r="P57" s="440"/>
      <c r="Q57" s="440"/>
      <c r="R57" s="440"/>
    </row>
    <row r="58" ht="14.25" customHeight="1">
      <c r="A58" s="35"/>
      <c r="D58" s="35"/>
      <c r="E58" s="35"/>
      <c r="I58" s="36"/>
      <c r="J58" s="105"/>
      <c r="K58" s="105"/>
      <c r="L58" s="105"/>
      <c r="M58" s="35"/>
    </row>
    <row r="59" ht="14.25" customHeight="1">
      <c r="A59" s="35"/>
      <c r="D59" s="35"/>
      <c r="E59" s="35"/>
      <c r="I59" s="36"/>
      <c r="J59" s="105"/>
      <c r="K59" s="105"/>
      <c r="L59" s="105"/>
      <c r="M59" s="35"/>
    </row>
    <row r="60" ht="14.25" customHeight="1">
      <c r="A60" s="35"/>
      <c r="D60" s="35"/>
      <c r="E60" s="35"/>
      <c r="I60" s="36"/>
      <c r="J60" s="105"/>
      <c r="K60" s="105"/>
      <c r="L60" s="105"/>
      <c r="M60" s="35"/>
    </row>
    <row r="61" ht="14.25" customHeight="1">
      <c r="A61" s="35"/>
      <c r="D61" s="35"/>
      <c r="E61" s="35"/>
      <c r="I61" s="36"/>
      <c r="J61" s="105"/>
      <c r="K61" s="105"/>
      <c r="L61" s="105"/>
      <c r="M61" s="35"/>
    </row>
    <row r="62" ht="14.25" customHeight="1">
      <c r="I62" s="105"/>
      <c r="J62" s="105"/>
      <c r="K62" s="105"/>
      <c r="L62" s="105"/>
    </row>
    <row r="63" ht="14.25" customHeight="1">
      <c r="I63" s="105"/>
      <c r="J63" s="105"/>
      <c r="K63" s="105"/>
      <c r="L63" s="105"/>
    </row>
    <row r="64" ht="14.25" customHeight="1">
      <c r="I64" s="105"/>
      <c r="J64" s="105"/>
      <c r="K64" s="105"/>
      <c r="L64" s="105"/>
    </row>
    <row r="65" ht="14.25" customHeight="1">
      <c r="I65" s="105"/>
      <c r="J65" s="105"/>
      <c r="K65" s="105"/>
      <c r="L65" s="105"/>
    </row>
    <row r="66" ht="14.25" customHeight="1">
      <c r="I66" s="105"/>
      <c r="J66" s="105"/>
      <c r="K66" s="105"/>
      <c r="L66" s="105"/>
    </row>
    <row r="67" ht="14.25" customHeight="1">
      <c r="I67" s="105"/>
      <c r="J67" s="105"/>
      <c r="K67" s="105"/>
      <c r="L67" s="105"/>
    </row>
    <row r="68" ht="14.25" customHeight="1">
      <c r="I68" s="105"/>
      <c r="J68" s="105"/>
      <c r="K68" s="105"/>
      <c r="L68" s="105"/>
    </row>
    <row r="69" ht="14.25" customHeight="1">
      <c r="I69" s="105"/>
      <c r="J69" s="105"/>
      <c r="K69" s="105"/>
      <c r="L69" s="105"/>
    </row>
    <row r="70" ht="14.25" customHeight="1">
      <c r="I70" s="105"/>
      <c r="J70" s="105"/>
      <c r="K70" s="105"/>
      <c r="L70" s="105"/>
    </row>
    <row r="71" ht="14.25" customHeight="1">
      <c r="I71" s="105"/>
      <c r="J71" s="105"/>
      <c r="K71" s="105"/>
      <c r="L71" s="105"/>
    </row>
    <row r="72" ht="14.25" customHeight="1">
      <c r="I72" s="105"/>
      <c r="J72" s="105"/>
      <c r="K72" s="105"/>
      <c r="L72" s="105"/>
    </row>
    <row r="73" ht="14.25" customHeight="1">
      <c r="I73" s="105"/>
      <c r="J73" s="105"/>
      <c r="K73" s="105"/>
      <c r="L73" s="105"/>
    </row>
    <row r="74" ht="14.25" customHeight="1">
      <c r="I74" s="105"/>
      <c r="J74" s="105"/>
      <c r="K74" s="105"/>
      <c r="L74" s="105"/>
    </row>
    <row r="75" ht="14.25" customHeight="1">
      <c r="I75" s="105"/>
      <c r="J75" s="105"/>
      <c r="K75" s="105"/>
      <c r="L75" s="105"/>
    </row>
    <row r="76" ht="14.25" customHeight="1">
      <c r="I76" s="105"/>
      <c r="J76" s="105"/>
      <c r="K76" s="105"/>
      <c r="L76" s="105"/>
    </row>
    <row r="77" ht="14.25" customHeight="1">
      <c r="I77" s="105"/>
      <c r="J77" s="105"/>
      <c r="K77" s="105"/>
      <c r="L77" s="105"/>
    </row>
    <row r="78" ht="14.25" customHeight="1">
      <c r="I78" s="105"/>
      <c r="J78" s="105"/>
      <c r="K78" s="105"/>
      <c r="L78" s="105"/>
    </row>
    <row r="79" ht="14.25" customHeight="1">
      <c r="I79" s="105"/>
      <c r="J79" s="105"/>
      <c r="K79" s="105"/>
      <c r="L79" s="105"/>
    </row>
    <row r="80" ht="14.25" customHeight="1">
      <c r="I80" s="105"/>
      <c r="J80" s="105"/>
      <c r="K80" s="105"/>
      <c r="L80" s="105"/>
    </row>
    <row r="81" ht="14.25" customHeight="1">
      <c r="I81" s="105"/>
      <c r="J81" s="105"/>
      <c r="K81" s="105"/>
      <c r="L81" s="105"/>
    </row>
    <row r="82" ht="14.25" customHeight="1">
      <c r="I82" s="105"/>
      <c r="J82" s="105"/>
      <c r="K82" s="105"/>
      <c r="L82" s="105"/>
    </row>
    <row r="83" ht="14.25" customHeight="1">
      <c r="I83" s="105"/>
      <c r="J83" s="105"/>
      <c r="K83" s="105"/>
      <c r="L83" s="105"/>
    </row>
    <row r="84" ht="14.25" customHeight="1">
      <c r="I84" s="105"/>
      <c r="J84" s="105"/>
      <c r="K84" s="105"/>
      <c r="L84" s="105"/>
    </row>
    <row r="85" ht="14.25" customHeight="1">
      <c r="I85" s="105"/>
      <c r="J85" s="105"/>
      <c r="K85" s="105"/>
      <c r="L85" s="105"/>
    </row>
    <row r="86" ht="14.25" customHeight="1">
      <c r="I86" s="105"/>
      <c r="J86" s="105"/>
      <c r="K86" s="105"/>
      <c r="L86" s="105"/>
    </row>
    <row r="87" ht="14.25" customHeight="1">
      <c r="I87" s="105"/>
      <c r="J87" s="105"/>
      <c r="K87" s="105"/>
      <c r="L87" s="105"/>
    </row>
    <row r="88" ht="14.25" customHeight="1">
      <c r="I88" s="105"/>
      <c r="J88" s="105"/>
      <c r="K88" s="105"/>
      <c r="L88" s="105"/>
    </row>
    <row r="89" ht="14.25" customHeight="1">
      <c r="I89" s="105"/>
      <c r="J89" s="105"/>
      <c r="K89" s="105"/>
      <c r="L89" s="105"/>
    </row>
    <row r="90" ht="14.25" customHeight="1">
      <c r="I90" s="105"/>
      <c r="J90" s="105"/>
      <c r="K90" s="105"/>
      <c r="L90" s="105"/>
    </row>
    <row r="91" ht="14.25" customHeight="1">
      <c r="I91" s="105"/>
      <c r="J91" s="105"/>
      <c r="K91" s="105"/>
      <c r="L91" s="105"/>
    </row>
    <row r="92" ht="14.25" customHeight="1">
      <c r="I92" s="105"/>
      <c r="J92" s="105"/>
      <c r="K92" s="105"/>
      <c r="L92" s="105"/>
    </row>
    <row r="93" ht="14.25" customHeight="1">
      <c r="I93" s="105"/>
      <c r="J93" s="105"/>
      <c r="K93" s="105"/>
      <c r="L93" s="105"/>
    </row>
    <row r="94" ht="14.25" customHeight="1">
      <c r="I94" s="105"/>
      <c r="J94" s="105"/>
      <c r="K94" s="105"/>
      <c r="L94" s="105"/>
    </row>
    <row r="95" ht="14.25" customHeight="1">
      <c r="I95" s="105"/>
      <c r="J95" s="105"/>
      <c r="K95" s="105"/>
      <c r="L95" s="105"/>
    </row>
    <row r="96" ht="14.25" customHeight="1">
      <c r="I96" s="105"/>
      <c r="J96" s="105"/>
      <c r="K96" s="105"/>
      <c r="L96" s="105"/>
    </row>
    <row r="97" ht="14.25" customHeight="1">
      <c r="I97" s="105"/>
      <c r="J97" s="105"/>
      <c r="K97" s="105"/>
      <c r="L97" s="105"/>
    </row>
    <row r="98" ht="14.25" customHeight="1">
      <c r="I98" s="105"/>
      <c r="J98" s="105"/>
      <c r="K98" s="105"/>
      <c r="L98" s="105"/>
    </row>
    <row r="99" ht="14.25" customHeight="1">
      <c r="I99" s="105"/>
      <c r="J99" s="105"/>
      <c r="K99" s="105"/>
      <c r="L99" s="105"/>
    </row>
    <row r="100" ht="14.25" customHeight="1">
      <c r="I100" s="105"/>
      <c r="J100" s="105"/>
      <c r="K100" s="105"/>
      <c r="L100" s="105"/>
    </row>
    <row r="101" ht="14.25" customHeight="1">
      <c r="I101" s="105"/>
      <c r="J101" s="105"/>
      <c r="K101" s="105"/>
      <c r="L101" s="105"/>
    </row>
    <row r="102" ht="14.25" customHeight="1">
      <c r="I102" s="105"/>
      <c r="J102" s="105"/>
      <c r="K102" s="105"/>
      <c r="L102" s="105"/>
    </row>
    <row r="103" ht="14.25" customHeight="1">
      <c r="I103" s="105"/>
      <c r="J103" s="105"/>
      <c r="K103" s="105"/>
      <c r="L103" s="105"/>
    </row>
    <row r="104" ht="14.25" customHeight="1">
      <c r="I104" s="105"/>
      <c r="J104" s="105"/>
      <c r="K104" s="105"/>
      <c r="L104" s="105"/>
    </row>
    <row r="105" ht="14.25" customHeight="1">
      <c r="I105" s="105"/>
      <c r="J105" s="105"/>
      <c r="K105" s="105"/>
      <c r="L105" s="105"/>
    </row>
    <row r="106" ht="14.25" customHeight="1">
      <c r="I106" s="105"/>
      <c r="J106" s="105"/>
      <c r="K106" s="105"/>
      <c r="L106" s="105"/>
    </row>
    <row r="107" ht="14.25" customHeight="1">
      <c r="I107" s="105"/>
      <c r="J107" s="105"/>
      <c r="K107" s="105"/>
      <c r="L107" s="105"/>
    </row>
    <row r="108" ht="14.25" customHeight="1">
      <c r="I108" s="105"/>
      <c r="J108" s="105"/>
      <c r="K108" s="105"/>
      <c r="L108" s="105"/>
    </row>
    <row r="109" ht="14.25" customHeight="1">
      <c r="I109" s="105"/>
      <c r="J109" s="105"/>
      <c r="K109" s="105"/>
      <c r="L109" s="105"/>
    </row>
    <row r="110" ht="14.25" customHeight="1">
      <c r="I110" s="105"/>
      <c r="J110" s="105"/>
      <c r="K110" s="105"/>
      <c r="L110" s="105"/>
    </row>
    <row r="111" ht="14.25" customHeight="1">
      <c r="I111" s="105"/>
      <c r="J111" s="105"/>
      <c r="K111" s="105"/>
      <c r="L111" s="105"/>
    </row>
    <row r="112" ht="14.25" customHeight="1">
      <c r="I112" s="105"/>
      <c r="J112" s="105"/>
      <c r="K112" s="105"/>
      <c r="L112" s="105"/>
    </row>
    <row r="113" ht="14.25" customHeight="1">
      <c r="I113" s="105"/>
      <c r="J113" s="105"/>
      <c r="K113" s="105"/>
      <c r="L113" s="105"/>
    </row>
    <row r="114" ht="14.25" customHeight="1">
      <c r="I114" s="105"/>
      <c r="J114" s="105"/>
      <c r="K114" s="105"/>
      <c r="L114" s="105"/>
    </row>
    <row r="115" ht="14.25" customHeight="1">
      <c r="I115" s="105"/>
      <c r="J115" s="105"/>
      <c r="K115" s="105"/>
      <c r="L115" s="105"/>
    </row>
    <row r="116" ht="14.25" customHeight="1">
      <c r="I116" s="105"/>
      <c r="J116" s="105"/>
      <c r="K116" s="105"/>
      <c r="L116" s="105"/>
    </row>
    <row r="117" ht="14.25" customHeight="1">
      <c r="I117" s="105"/>
      <c r="J117" s="105"/>
      <c r="K117" s="105"/>
      <c r="L117" s="105"/>
    </row>
    <row r="118" ht="14.25" customHeight="1">
      <c r="I118" s="105"/>
      <c r="J118" s="105"/>
      <c r="K118" s="105"/>
      <c r="L118" s="105"/>
    </row>
    <row r="119" ht="14.25" customHeight="1">
      <c r="I119" s="105"/>
      <c r="J119" s="105"/>
      <c r="K119" s="105"/>
      <c r="L119" s="105"/>
    </row>
    <row r="120" ht="14.25" customHeight="1">
      <c r="I120" s="105"/>
      <c r="J120" s="105"/>
      <c r="K120" s="105"/>
      <c r="L120" s="105"/>
    </row>
    <row r="121" ht="14.25" customHeight="1">
      <c r="I121" s="105"/>
      <c r="J121" s="105"/>
      <c r="K121" s="105"/>
      <c r="L121" s="105"/>
    </row>
    <row r="122" ht="14.25" customHeight="1">
      <c r="I122" s="105"/>
      <c r="J122" s="105"/>
      <c r="K122" s="105"/>
      <c r="L122" s="105"/>
    </row>
    <row r="123" ht="14.25" customHeight="1">
      <c r="I123" s="105"/>
      <c r="J123" s="105"/>
      <c r="K123" s="105"/>
      <c r="L123" s="105"/>
    </row>
    <row r="124" ht="14.25" customHeight="1">
      <c r="I124" s="105"/>
      <c r="J124" s="105"/>
      <c r="K124" s="105"/>
      <c r="L124" s="105"/>
    </row>
    <row r="125" ht="14.25" customHeight="1">
      <c r="I125" s="105"/>
      <c r="J125" s="105"/>
      <c r="K125" s="105"/>
      <c r="L125" s="105"/>
    </row>
    <row r="126" ht="14.25" customHeight="1">
      <c r="I126" s="105"/>
      <c r="J126" s="105"/>
      <c r="K126" s="105"/>
      <c r="L126" s="105"/>
    </row>
    <row r="127" ht="14.25" customHeight="1">
      <c r="I127" s="105"/>
      <c r="J127" s="105"/>
      <c r="K127" s="105"/>
      <c r="L127" s="105"/>
    </row>
    <row r="128" ht="14.25" customHeight="1">
      <c r="I128" s="105"/>
      <c r="J128" s="105"/>
      <c r="K128" s="105"/>
      <c r="L128" s="105"/>
    </row>
    <row r="129" ht="14.25" customHeight="1">
      <c r="I129" s="105"/>
      <c r="J129" s="105"/>
      <c r="K129" s="105"/>
      <c r="L129" s="105"/>
    </row>
    <row r="130" ht="14.25" customHeight="1">
      <c r="I130" s="105"/>
      <c r="J130" s="105"/>
      <c r="K130" s="105"/>
      <c r="L130" s="105"/>
    </row>
    <row r="131" ht="14.25" customHeight="1">
      <c r="I131" s="105"/>
      <c r="J131" s="105"/>
      <c r="K131" s="105"/>
      <c r="L131" s="105"/>
    </row>
    <row r="132" ht="14.25" customHeight="1">
      <c r="I132" s="105"/>
      <c r="J132" s="105"/>
      <c r="K132" s="105"/>
      <c r="L132" s="105"/>
    </row>
    <row r="133" ht="14.25" customHeight="1">
      <c r="I133" s="105"/>
      <c r="J133" s="105"/>
      <c r="K133" s="105"/>
      <c r="L133" s="105"/>
    </row>
    <row r="134" ht="14.25" customHeight="1">
      <c r="I134" s="105"/>
      <c r="J134" s="105"/>
      <c r="K134" s="105"/>
      <c r="L134" s="105"/>
    </row>
    <row r="135" ht="14.25" customHeight="1">
      <c r="I135" s="105"/>
      <c r="J135" s="105"/>
      <c r="K135" s="105"/>
      <c r="L135" s="105"/>
    </row>
    <row r="136" ht="14.25" customHeight="1">
      <c r="I136" s="105"/>
      <c r="J136" s="105"/>
      <c r="K136" s="105"/>
      <c r="L136" s="105"/>
    </row>
    <row r="137" ht="14.25" customHeight="1">
      <c r="I137" s="105"/>
      <c r="J137" s="105"/>
      <c r="K137" s="105"/>
      <c r="L137" s="105"/>
    </row>
    <row r="138" ht="14.25" customHeight="1">
      <c r="I138" s="105"/>
      <c r="J138" s="105"/>
      <c r="K138" s="105"/>
      <c r="L138" s="105"/>
    </row>
    <row r="139" ht="14.25" customHeight="1">
      <c r="I139" s="105"/>
      <c r="J139" s="105"/>
      <c r="K139" s="105"/>
      <c r="L139" s="105"/>
    </row>
    <row r="140" ht="14.25" customHeight="1">
      <c r="I140" s="105"/>
      <c r="J140" s="105"/>
      <c r="K140" s="105"/>
      <c r="L140" s="105"/>
    </row>
    <row r="141" ht="14.25" customHeight="1">
      <c r="I141" s="105"/>
      <c r="J141" s="105"/>
      <c r="K141" s="105"/>
      <c r="L141" s="105"/>
    </row>
    <row r="142" ht="14.25" customHeight="1">
      <c r="I142" s="105"/>
      <c r="J142" s="105"/>
      <c r="K142" s="105"/>
      <c r="L142" s="105"/>
    </row>
    <row r="143" ht="14.25" customHeight="1">
      <c r="I143" s="105"/>
      <c r="J143" s="105"/>
      <c r="K143" s="105"/>
      <c r="L143" s="105"/>
    </row>
    <row r="144" ht="14.25" customHeight="1">
      <c r="I144" s="105"/>
      <c r="J144" s="105"/>
      <c r="K144" s="105"/>
      <c r="L144" s="105"/>
    </row>
    <row r="145" ht="14.25" customHeight="1">
      <c r="I145" s="105"/>
      <c r="J145" s="105"/>
      <c r="K145" s="105"/>
      <c r="L145" s="105"/>
    </row>
    <row r="146" ht="14.25" customHeight="1">
      <c r="I146" s="105"/>
      <c r="J146" s="105"/>
      <c r="K146" s="105"/>
      <c r="L146" s="105"/>
    </row>
    <row r="147" ht="14.25" customHeight="1">
      <c r="I147" s="105"/>
      <c r="J147" s="105"/>
      <c r="K147" s="105"/>
      <c r="L147" s="105"/>
    </row>
    <row r="148" ht="14.25" customHeight="1">
      <c r="I148" s="105"/>
      <c r="J148" s="105"/>
      <c r="K148" s="105"/>
      <c r="L148" s="105"/>
    </row>
    <row r="149" ht="14.25" customHeight="1">
      <c r="I149" s="105"/>
      <c r="J149" s="105"/>
      <c r="K149" s="105"/>
      <c r="L149" s="105"/>
    </row>
    <row r="150" ht="14.25" customHeight="1">
      <c r="I150" s="105"/>
      <c r="J150" s="105"/>
      <c r="K150" s="105"/>
      <c r="L150" s="105"/>
    </row>
    <row r="151" ht="14.25" customHeight="1">
      <c r="I151" s="105"/>
      <c r="J151" s="105"/>
      <c r="K151" s="105"/>
      <c r="L151" s="105"/>
    </row>
    <row r="152" ht="14.25" customHeight="1">
      <c r="I152" s="105"/>
      <c r="J152" s="105"/>
      <c r="K152" s="105"/>
      <c r="L152" s="105"/>
    </row>
    <row r="153" ht="14.25" customHeight="1">
      <c r="I153" s="105"/>
      <c r="J153" s="105"/>
      <c r="K153" s="105"/>
      <c r="L153" s="105"/>
    </row>
    <row r="154" ht="14.25" customHeight="1">
      <c r="I154" s="105"/>
      <c r="J154" s="105"/>
      <c r="K154" s="105"/>
      <c r="L154" s="105"/>
    </row>
    <row r="155" ht="14.25" customHeight="1">
      <c r="I155" s="105"/>
      <c r="J155" s="105"/>
      <c r="K155" s="105"/>
      <c r="L155" s="105"/>
    </row>
    <row r="156" ht="14.25" customHeight="1">
      <c r="I156" s="105"/>
      <c r="J156" s="105"/>
      <c r="K156" s="105"/>
      <c r="L156" s="105"/>
    </row>
    <row r="157" ht="14.25" customHeight="1">
      <c r="I157" s="105"/>
      <c r="J157" s="105"/>
      <c r="K157" s="105"/>
      <c r="L157" s="105"/>
    </row>
    <row r="158" ht="14.25" customHeight="1">
      <c r="I158" s="105"/>
      <c r="J158" s="105"/>
      <c r="K158" s="105"/>
      <c r="L158" s="105"/>
    </row>
    <row r="159" ht="14.25" customHeight="1">
      <c r="I159" s="105"/>
      <c r="J159" s="105"/>
      <c r="K159" s="105"/>
      <c r="L159" s="105"/>
    </row>
    <row r="160" ht="14.25" customHeight="1">
      <c r="I160" s="105"/>
      <c r="J160" s="105"/>
      <c r="K160" s="105"/>
      <c r="L160" s="105"/>
    </row>
    <row r="161" ht="14.25" customHeight="1">
      <c r="I161" s="105"/>
      <c r="J161" s="105"/>
      <c r="K161" s="105"/>
      <c r="L161" s="105"/>
    </row>
    <row r="162" ht="14.25" customHeight="1">
      <c r="I162" s="105"/>
      <c r="J162" s="105"/>
      <c r="K162" s="105"/>
      <c r="L162" s="105"/>
    </row>
    <row r="163" ht="14.25" customHeight="1">
      <c r="I163" s="105"/>
      <c r="J163" s="105"/>
      <c r="K163" s="105"/>
      <c r="L163" s="105"/>
    </row>
    <row r="164" ht="14.25" customHeight="1">
      <c r="I164" s="105"/>
      <c r="J164" s="105"/>
      <c r="K164" s="105"/>
      <c r="L164" s="105"/>
    </row>
    <row r="165" ht="14.25" customHeight="1">
      <c r="I165" s="105"/>
      <c r="J165" s="105"/>
      <c r="K165" s="105"/>
      <c r="L165" s="105"/>
    </row>
    <row r="166" ht="14.25" customHeight="1">
      <c r="I166" s="105"/>
      <c r="J166" s="105"/>
      <c r="K166" s="105"/>
      <c r="L166" s="105"/>
    </row>
    <row r="167" ht="14.25" customHeight="1">
      <c r="I167" s="105"/>
      <c r="J167" s="105"/>
      <c r="K167" s="105"/>
      <c r="L167" s="105"/>
    </row>
    <row r="168" ht="14.25" customHeight="1">
      <c r="I168" s="105"/>
      <c r="J168" s="105"/>
      <c r="K168" s="105"/>
      <c r="L168" s="105"/>
    </row>
    <row r="169" ht="14.25" customHeight="1">
      <c r="I169" s="105"/>
      <c r="J169" s="105"/>
      <c r="K169" s="105"/>
      <c r="L169" s="105"/>
    </row>
    <row r="170" ht="14.25" customHeight="1">
      <c r="I170" s="105"/>
      <c r="J170" s="105"/>
      <c r="K170" s="105"/>
      <c r="L170" s="105"/>
    </row>
    <row r="171" ht="14.25" customHeight="1">
      <c r="I171" s="105"/>
      <c r="J171" s="105"/>
      <c r="K171" s="105"/>
      <c r="L171" s="105"/>
    </row>
    <row r="172" ht="14.25" customHeight="1">
      <c r="I172" s="105"/>
      <c r="J172" s="105"/>
      <c r="K172" s="105"/>
      <c r="L172" s="105"/>
    </row>
    <row r="173" ht="14.25" customHeight="1">
      <c r="I173" s="105"/>
      <c r="J173" s="105"/>
      <c r="K173" s="105"/>
      <c r="L173" s="105"/>
    </row>
    <row r="174" ht="14.25" customHeight="1">
      <c r="I174" s="105"/>
      <c r="J174" s="105"/>
      <c r="K174" s="105"/>
      <c r="L174" s="105"/>
    </row>
    <row r="175" ht="14.25" customHeight="1">
      <c r="I175" s="105"/>
      <c r="J175" s="105"/>
      <c r="K175" s="105"/>
      <c r="L175" s="105"/>
    </row>
    <row r="176" ht="14.25" customHeight="1">
      <c r="I176" s="105"/>
      <c r="J176" s="105"/>
      <c r="K176" s="105"/>
      <c r="L176" s="105"/>
    </row>
    <row r="177" ht="14.25" customHeight="1">
      <c r="I177" s="105"/>
      <c r="J177" s="105"/>
      <c r="K177" s="105"/>
      <c r="L177" s="105"/>
    </row>
    <row r="178" ht="14.25" customHeight="1">
      <c r="I178" s="105"/>
      <c r="J178" s="105"/>
      <c r="K178" s="105"/>
      <c r="L178" s="105"/>
    </row>
    <row r="179" ht="14.25" customHeight="1">
      <c r="I179" s="105"/>
      <c r="J179" s="105"/>
      <c r="K179" s="105"/>
      <c r="L179" s="105"/>
    </row>
    <row r="180" ht="14.25" customHeight="1">
      <c r="I180" s="105"/>
      <c r="J180" s="105"/>
      <c r="K180" s="105"/>
      <c r="L180" s="105"/>
    </row>
    <row r="181" ht="14.25" customHeight="1">
      <c r="I181" s="105"/>
      <c r="J181" s="105"/>
      <c r="K181" s="105"/>
      <c r="L181" s="105"/>
    </row>
    <row r="182" ht="14.25" customHeight="1">
      <c r="I182" s="105"/>
      <c r="J182" s="105"/>
      <c r="K182" s="105"/>
      <c r="L182" s="105"/>
    </row>
    <row r="183" ht="14.25" customHeight="1">
      <c r="I183" s="105"/>
      <c r="J183" s="105"/>
      <c r="K183" s="105"/>
      <c r="L183" s="105"/>
    </row>
    <row r="184" ht="14.25" customHeight="1">
      <c r="I184" s="105"/>
      <c r="J184" s="105"/>
      <c r="K184" s="105"/>
      <c r="L184" s="105"/>
    </row>
    <row r="185" ht="14.25" customHeight="1">
      <c r="I185" s="105"/>
      <c r="J185" s="105"/>
      <c r="K185" s="105"/>
      <c r="L185" s="105"/>
    </row>
    <row r="186" ht="14.25" customHeight="1">
      <c r="I186" s="105"/>
      <c r="J186" s="105"/>
      <c r="K186" s="105"/>
      <c r="L186" s="105"/>
    </row>
    <row r="187" ht="14.25" customHeight="1">
      <c r="I187" s="105"/>
      <c r="J187" s="105"/>
      <c r="K187" s="105"/>
      <c r="L187" s="105"/>
    </row>
    <row r="188" ht="14.25" customHeight="1">
      <c r="I188" s="105"/>
      <c r="J188" s="105"/>
      <c r="K188" s="105"/>
      <c r="L188" s="105"/>
    </row>
    <row r="189" ht="14.25" customHeight="1">
      <c r="I189" s="105"/>
      <c r="J189" s="105"/>
      <c r="K189" s="105"/>
      <c r="L189" s="105"/>
    </row>
    <row r="190" ht="14.25" customHeight="1">
      <c r="I190" s="105"/>
      <c r="J190" s="105"/>
      <c r="K190" s="105"/>
      <c r="L190" s="105"/>
    </row>
    <row r="191" ht="14.25" customHeight="1">
      <c r="I191" s="105"/>
      <c r="J191" s="105"/>
      <c r="K191" s="105"/>
      <c r="L191" s="105"/>
    </row>
    <row r="192" ht="14.25" customHeight="1">
      <c r="I192" s="105"/>
      <c r="J192" s="105"/>
      <c r="K192" s="105"/>
      <c r="L192" s="105"/>
    </row>
    <row r="193" ht="14.25" customHeight="1">
      <c r="I193" s="105"/>
      <c r="J193" s="105"/>
      <c r="K193" s="105"/>
      <c r="L193" s="105"/>
    </row>
    <row r="194" ht="14.25" customHeight="1">
      <c r="I194" s="105"/>
      <c r="J194" s="105"/>
      <c r="K194" s="105"/>
      <c r="L194" s="105"/>
    </row>
    <row r="195" ht="14.25" customHeight="1">
      <c r="I195" s="105"/>
      <c r="J195" s="105"/>
      <c r="K195" s="105"/>
      <c r="L195" s="105"/>
    </row>
    <row r="196" ht="14.25" customHeight="1">
      <c r="I196" s="105"/>
      <c r="J196" s="105"/>
      <c r="K196" s="105"/>
      <c r="L196" s="105"/>
    </row>
    <row r="197" ht="14.25" customHeight="1">
      <c r="I197" s="105"/>
      <c r="J197" s="105"/>
      <c r="K197" s="105"/>
      <c r="L197" s="105"/>
    </row>
    <row r="198" ht="14.25" customHeight="1">
      <c r="I198" s="105"/>
      <c r="J198" s="105"/>
      <c r="K198" s="105"/>
      <c r="L198" s="105"/>
    </row>
    <row r="199" ht="14.25" customHeight="1">
      <c r="I199" s="105"/>
      <c r="J199" s="105"/>
      <c r="K199" s="105"/>
      <c r="L199" s="105"/>
    </row>
    <row r="200" ht="14.25" customHeight="1">
      <c r="I200" s="105"/>
      <c r="J200" s="105"/>
      <c r="K200" s="105"/>
      <c r="L200" s="105"/>
    </row>
    <row r="201" ht="14.25" customHeight="1">
      <c r="I201" s="105"/>
      <c r="J201" s="105"/>
      <c r="K201" s="105"/>
      <c r="L201" s="105"/>
    </row>
    <row r="202" ht="14.25" customHeight="1">
      <c r="I202" s="105"/>
      <c r="J202" s="105"/>
      <c r="K202" s="105"/>
      <c r="L202" s="105"/>
    </row>
    <row r="203" ht="14.25" customHeight="1">
      <c r="I203" s="105"/>
      <c r="J203" s="105"/>
      <c r="K203" s="105"/>
      <c r="L203" s="105"/>
    </row>
    <row r="204" ht="14.25" customHeight="1">
      <c r="I204" s="105"/>
      <c r="J204" s="105"/>
      <c r="K204" s="105"/>
      <c r="L204" s="105"/>
    </row>
    <row r="205" ht="14.25" customHeight="1">
      <c r="I205" s="105"/>
      <c r="J205" s="105"/>
      <c r="K205" s="105"/>
      <c r="L205" s="105"/>
    </row>
    <row r="206" ht="14.25" customHeight="1">
      <c r="I206" s="105"/>
      <c r="J206" s="105"/>
      <c r="K206" s="105"/>
      <c r="L206" s="105"/>
    </row>
    <row r="207" ht="14.25" customHeight="1">
      <c r="I207" s="105"/>
      <c r="J207" s="105"/>
      <c r="K207" s="105"/>
      <c r="L207" s="105"/>
    </row>
    <row r="208" ht="14.25" customHeight="1">
      <c r="I208" s="105"/>
      <c r="J208" s="105"/>
      <c r="K208" s="105"/>
      <c r="L208" s="105"/>
    </row>
    <row r="209" ht="14.25" customHeight="1">
      <c r="I209" s="105"/>
      <c r="J209" s="105"/>
      <c r="K209" s="105"/>
      <c r="L209" s="105"/>
    </row>
    <row r="210" ht="14.25" customHeight="1">
      <c r="I210" s="105"/>
      <c r="J210" s="105"/>
      <c r="K210" s="105"/>
      <c r="L210" s="105"/>
    </row>
    <row r="211" ht="14.25" customHeight="1">
      <c r="I211" s="105"/>
      <c r="J211" s="105"/>
      <c r="K211" s="105"/>
      <c r="L211" s="105"/>
    </row>
    <row r="212" ht="14.25" customHeight="1">
      <c r="I212" s="105"/>
      <c r="J212" s="105"/>
      <c r="K212" s="105"/>
      <c r="L212" s="105"/>
    </row>
    <row r="213" ht="14.25" customHeight="1">
      <c r="I213" s="105"/>
      <c r="J213" s="105"/>
      <c r="K213" s="105"/>
      <c r="L213" s="105"/>
    </row>
    <row r="214" ht="14.25" customHeight="1">
      <c r="I214" s="105"/>
      <c r="J214" s="105"/>
      <c r="K214" s="105"/>
      <c r="L214" s="105"/>
    </row>
    <row r="215" ht="14.25" customHeight="1">
      <c r="I215" s="105"/>
      <c r="J215" s="105"/>
      <c r="K215" s="105"/>
      <c r="L215" s="105"/>
    </row>
    <row r="216" ht="14.25" customHeight="1">
      <c r="I216" s="105"/>
      <c r="J216" s="105"/>
      <c r="K216" s="105"/>
      <c r="L216" s="105"/>
    </row>
    <row r="217" ht="14.25" customHeight="1">
      <c r="I217" s="105"/>
      <c r="J217" s="105"/>
      <c r="K217" s="105"/>
      <c r="L217" s="105"/>
    </row>
    <row r="218" ht="14.25" customHeight="1">
      <c r="I218" s="105"/>
      <c r="J218" s="105"/>
      <c r="K218" s="105"/>
      <c r="L218" s="105"/>
    </row>
    <row r="219" ht="14.25" customHeight="1">
      <c r="I219" s="105"/>
      <c r="J219" s="105"/>
      <c r="K219" s="105"/>
      <c r="L219" s="105"/>
    </row>
    <row r="220" ht="14.25" customHeight="1">
      <c r="I220" s="105"/>
      <c r="J220" s="105"/>
      <c r="K220" s="105"/>
      <c r="L220" s="105"/>
    </row>
    <row r="221" ht="14.25" customHeight="1">
      <c r="I221" s="105"/>
      <c r="J221" s="105"/>
      <c r="K221" s="105"/>
      <c r="L221" s="105"/>
    </row>
    <row r="222" ht="14.25" customHeight="1">
      <c r="I222" s="105"/>
      <c r="J222" s="105"/>
      <c r="K222" s="105"/>
      <c r="L222" s="105"/>
    </row>
    <row r="223" ht="14.25" customHeight="1">
      <c r="I223" s="105"/>
      <c r="J223" s="105"/>
      <c r="K223" s="105"/>
      <c r="L223" s="105"/>
    </row>
    <row r="224" ht="14.25" customHeight="1">
      <c r="I224" s="105"/>
      <c r="J224" s="105"/>
      <c r="K224" s="105"/>
      <c r="L224" s="105"/>
    </row>
    <row r="225" ht="14.25" customHeight="1">
      <c r="I225" s="105"/>
      <c r="J225" s="105"/>
      <c r="K225" s="105"/>
      <c r="L225" s="105"/>
    </row>
    <row r="226" ht="14.25" customHeight="1">
      <c r="I226" s="105"/>
      <c r="J226" s="105"/>
      <c r="K226" s="105"/>
      <c r="L226" s="105"/>
    </row>
    <row r="227" ht="14.25" customHeight="1">
      <c r="I227" s="105"/>
      <c r="J227" s="105"/>
      <c r="K227" s="105"/>
      <c r="L227" s="105"/>
    </row>
    <row r="228" ht="14.25" customHeight="1">
      <c r="I228" s="105"/>
      <c r="J228" s="105"/>
      <c r="K228" s="105"/>
      <c r="L228" s="105"/>
    </row>
    <row r="229" ht="14.25" customHeight="1">
      <c r="I229" s="105"/>
      <c r="J229" s="105"/>
      <c r="K229" s="105"/>
      <c r="L229" s="105"/>
    </row>
    <row r="230" ht="14.25" customHeight="1">
      <c r="I230" s="105"/>
      <c r="J230" s="105"/>
      <c r="K230" s="105"/>
      <c r="L230" s="105"/>
    </row>
    <row r="231" ht="14.25" customHeight="1">
      <c r="I231" s="105"/>
      <c r="J231" s="105"/>
      <c r="K231" s="105"/>
      <c r="L231" s="105"/>
    </row>
    <row r="232" ht="14.25" customHeight="1">
      <c r="I232" s="105"/>
      <c r="J232" s="105"/>
      <c r="K232" s="105"/>
      <c r="L232" s="105"/>
    </row>
    <row r="233" ht="14.25" customHeight="1">
      <c r="I233" s="105"/>
      <c r="J233" s="105"/>
      <c r="K233" s="105"/>
      <c r="L233" s="105"/>
    </row>
    <row r="234" ht="14.25" customHeight="1">
      <c r="I234" s="105"/>
      <c r="J234" s="105"/>
      <c r="K234" s="105"/>
      <c r="L234" s="105"/>
    </row>
    <row r="235" ht="14.25" customHeight="1">
      <c r="I235" s="105"/>
      <c r="J235" s="105"/>
      <c r="K235" s="105"/>
      <c r="L235" s="105"/>
    </row>
    <row r="236" ht="14.25" customHeight="1">
      <c r="I236" s="105"/>
      <c r="J236" s="105"/>
      <c r="K236" s="105"/>
      <c r="L236" s="105"/>
    </row>
    <row r="237" ht="14.25" customHeight="1">
      <c r="I237" s="105"/>
      <c r="J237" s="105"/>
      <c r="K237" s="105"/>
      <c r="L237" s="105"/>
    </row>
    <row r="238" ht="14.25" customHeight="1">
      <c r="I238" s="105"/>
      <c r="J238" s="105"/>
      <c r="K238" s="105"/>
      <c r="L238" s="105"/>
    </row>
    <row r="239" ht="14.25" customHeight="1">
      <c r="I239" s="105"/>
      <c r="J239" s="105"/>
      <c r="K239" s="105"/>
      <c r="L239" s="105"/>
    </row>
    <row r="240" ht="14.25" customHeight="1">
      <c r="I240" s="105"/>
      <c r="J240" s="105"/>
      <c r="K240" s="105"/>
      <c r="L240" s="105"/>
    </row>
    <row r="241" ht="14.25" customHeight="1">
      <c r="I241" s="105"/>
      <c r="J241" s="105"/>
      <c r="K241" s="105"/>
      <c r="L241" s="105"/>
    </row>
    <row r="242" ht="14.25" customHeight="1">
      <c r="I242" s="105"/>
      <c r="J242" s="105"/>
      <c r="K242" s="105"/>
      <c r="L242" s="105"/>
    </row>
    <row r="243" ht="14.25" customHeight="1">
      <c r="I243" s="105"/>
      <c r="J243" s="105"/>
      <c r="K243" s="105"/>
      <c r="L243" s="105"/>
    </row>
    <row r="244" ht="14.25" customHeight="1">
      <c r="I244" s="105"/>
      <c r="J244" s="105"/>
      <c r="K244" s="105"/>
      <c r="L244" s="105"/>
    </row>
    <row r="245" ht="14.25" customHeight="1">
      <c r="I245" s="105"/>
      <c r="J245" s="105"/>
      <c r="K245" s="105"/>
      <c r="L245" s="105"/>
    </row>
    <row r="246" ht="14.25" customHeight="1">
      <c r="I246" s="105"/>
      <c r="J246" s="105"/>
      <c r="K246" s="105"/>
      <c r="L246" s="105"/>
    </row>
    <row r="247" ht="14.25" customHeight="1">
      <c r="I247" s="105"/>
      <c r="J247" s="105"/>
      <c r="K247" s="105"/>
      <c r="L247" s="105"/>
    </row>
    <row r="248" ht="14.25" customHeight="1">
      <c r="I248" s="105"/>
      <c r="J248" s="105"/>
      <c r="K248" s="105"/>
      <c r="L248" s="105"/>
    </row>
    <row r="249" ht="14.25" customHeight="1">
      <c r="I249" s="105"/>
      <c r="J249" s="105"/>
      <c r="K249" s="105"/>
      <c r="L249" s="105"/>
    </row>
    <row r="250" ht="14.25" customHeight="1">
      <c r="I250" s="105"/>
      <c r="J250" s="105"/>
      <c r="K250" s="105"/>
      <c r="L250" s="105"/>
    </row>
    <row r="251" ht="14.25" customHeight="1">
      <c r="I251" s="105"/>
      <c r="J251" s="105"/>
      <c r="K251" s="105"/>
      <c r="L251" s="105"/>
    </row>
    <row r="252" ht="14.25" customHeight="1">
      <c r="I252" s="105"/>
      <c r="J252" s="105"/>
      <c r="K252" s="105"/>
      <c r="L252" s="105"/>
    </row>
    <row r="253" ht="14.25" customHeight="1">
      <c r="I253" s="105"/>
      <c r="J253" s="105"/>
      <c r="K253" s="105"/>
      <c r="L253" s="105"/>
    </row>
    <row r="254" ht="14.25" customHeight="1">
      <c r="I254" s="105"/>
      <c r="J254" s="105"/>
      <c r="K254" s="105"/>
      <c r="L254" s="105"/>
    </row>
    <row r="255" ht="14.25" customHeight="1">
      <c r="I255" s="105"/>
      <c r="J255" s="105"/>
      <c r="K255" s="105"/>
      <c r="L255" s="105"/>
    </row>
    <row r="256" ht="14.25" customHeight="1">
      <c r="I256" s="105"/>
      <c r="J256" s="105"/>
      <c r="K256" s="105"/>
      <c r="L256" s="105"/>
    </row>
    <row r="257" ht="14.25" customHeight="1">
      <c r="I257" s="105"/>
      <c r="J257" s="105"/>
      <c r="K257" s="105"/>
      <c r="L257" s="105"/>
    </row>
    <row r="258" ht="14.25" customHeight="1">
      <c r="I258" s="105"/>
      <c r="J258" s="105"/>
      <c r="K258" s="105"/>
      <c r="L258" s="105"/>
    </row>
    <row r="259" ht="14.25" customHeight="1">
      <c r="I259" s="105"/>
      <c r="J259" s="105"/>
      <c r="K259" s="105"/>
      <c r="L259" s="105"/>
    </row>
    <row r="260" ht="14.25" customHeight="1">
      <c r="I260" s="105"/>
      <c r="J260" s="105"/>
      <c r="K260" s="105"/>
      <c r="L260" s="105"/>
    </row>
    <row r="261" ht="14.25" customHeight="1">
      <c r="I261" s="105"/>
      <c r="J261" s="105"/>
      <c r="K261" s="105"/>
      <c r="L261" s="105"/>
    </row>
    <row r="262" ht="14.25" customHeight="1">
      <c r="I262" s="105"/>
      <c r="J262" s="105"/>
      <c r="K262" s="105"/>
      <c r="L262" s="105"/>
    </row>
    <row r="263" ht="14.25" customHeight="1">
      <c r="I263" s="105"/>
      <c r="J263" s="105"/>
      <c r="K263" s="105"/>
      <c r="L263" s="105"/>
    </row>
    <row r="264" ht="14.25" customHeight="1">
      <c r="I264" s="105"/>
      <c r="J264" s="105"/>
      <c r="K264" s="105"/>
      <c r="L264" s="105"/>
    </row>
    <row r="265" ht="14.25" customHeight="1">
      <c r="I265" s="105"/>
      <c r="J265" s="105"/>
      <c r="K265" s="105"/>
      <c r="L265" s="105"/>
    </row>
    <row r="266" ht="14.25" customHeight="1">
      <c r="I266" s="105"/>
      <c r="J266" s="105"/>
      <c r="K266" s="105"/>
      <c r="L266" s="105"/>
    </row>
    <row r="267" ht="14.25" customHeight="1">
      <c r="I267" s="105"/>
      <c r="J267" s="105"/>
      <c r="K267" s="105"/>
      <c r="L267" s="105"/>
    </row>
    <row r="268" ht="14.25" customHeight="1">
      <c r="I268" s="105"/>
      <c r="J268" s="105"/>
      <c r="K268" s="105"/>
      <c r="L268" s="105"/>
    </row>
    <row r="269" ht="14.25" customHeight="1">
      <c r="I269" s="105"/>
      <c r="J269" s="105"/>
      <c r="K269" s="105"/>
      <c r="L269" s="105"/>
    </row>
    <row r="270" ht="14.25" customHeight="1">
      <c r="I270" s="105"/>
      <c r="J270" s="105"/>
      <c r="K270" s="105"/>
      <c r="L270" s="105"/>
    </row>
    <row r="271" ht="14.25" customHeight="1">
      <c r="I271" s="105"/>
      <c r="J271" s="105"/>
      <c r="K271" s="105"/>
      <c r="L271" s="105"/>
    </row>
    <row r="272" ht="14.25" customHeight="1">
      <c r="I272" s="105"/>
      <c r="J272" s="105"/>
      <c r="K272" s="105"/>
      <c r="L272" s="105"/>
    </row>
    <row r="273" ht="14.25" customHeight="1">
      <c r="I273" s="105"/>
      <c r="J273" s="105"/>
      <c r="K273" s="105"/>
      <c r="L273" s="105"/>
    </row>
    <row r="274" ht="14.25" customHeight="1">
      <c r="I274" s="105"/>
      <c r="J274" s="105"/>
      <c r="K274" s="105"/>
      <c r="L274" s="105"/>
    </row>
    <row r="275" ht="14.25" customHeight="1">
      <c r="I275" s="105"/>
      <c r="J275" s="105"/>
      <c r="K275" s="105"/>
      <c r="L275" s="105"/>
    </row>
    <row r="276" ht="14.25" customHeight="1">
      <c r="I276" s="105"/>
      <c r="J276" s="105"/>
      <c r="K276" s="105"/>
      <c r="L276" s="105"/>
    </row>
    <row r="277" ht="14.25" customHeight="1">
      <c r="I277" s="105"/>
      <c r="J277" s="105"/>
      <c r="K277" s="105"/>
      <c r="L277" s="105"/>
    </row>
    <row r="278" ht="14.25" customHeight="1">
      <c r="I278" s="105"/>
      <c r="J278" s="105"/>
      <c r="K278" s="105"/>
      <c r="L278" s="105"/>
    </row>
    <row r="279" ht="14.25" customHeight="1">
      <c r="I279" s="105"/>
      <c r="J279" s="105"/>
      <c r="K279" s="105"/>
      <c r="L279" s="105"/>
    </row>
    <row r="280" ht="14.25" customHeight="1">
      <c r="I280" s="105"/>
      <c r="J280" s="105"/>
      <c r="K280" s="105"/>
      <c r="L280" s="105"/>
    </row>
    <row r="281" ht="14.25" customHeight="1">
      <c r="I281" s="105"/>
      <c r="J281" s="105"/>
      <c r="K281" s="105"/>
      <c r="L281" s="105"/>
    </row>
    <row r="282" ht="14.25" customHeight="1">
      <c r="I282" s="105"/>
      <c r="J282" s="105"/>
      <c r="K282" s="105"/>
      <c r="L282" s="105"/>
    </row>
    <row r="283" ht="14.25" customHeight="1">
      <c r="I283" s="105"/>
      <c r="J283" s="105"/>
      <c r="K283" s="105"/>
      <c r="L283" s="105"/>
    </row>
    <row r="284" ht="14.25" customHeight="1">
      <c r="I284" s="105"/>
      <c r="J284" s="105"/>
      <c r="K284" s="105"/>
      <c r="L284" s="105"/>
    </row>
    <row r="285" ht="14.25" customHeight="1">
      <c r="I285" s="105"/>
      <c r="J285" s="105"/>
      <c r="K285" s="105"/>
      <c r="L285" s="105"/>
    </row>
    <row r="286" ht="14.25" customHeight="1">
      <c r="I286" s="105"/>
      <c r="J286" s="105"/>
      <c r="K286" s="105"/>
      <c r="L286" s="105"/>
    </row>
    <row r="287" ht="14.25" customHeight="1">
      <c r="I287" s="105"/>
      <c r="J287" s="105"/>
      <c r="K287" s="105"/>
      <c r="L287" s="105"/>
    </row>
    <row r="288" ht="14.25" customHeight="1">
      <c r="I288" s="105"/>
      <c r="J288" s="105"/>
      <c r="K288" s="105"/>
      <c r="L288" s="105"/>
    </row>
    <row r="289" ht="14.25" customHeight="1">
      <c r="I289" s="105"/>
      <c r="J289" s="105"/>
      <c r="K289" s="105"/>
      <c r="L289" s="105"/>
    </row>
    <row r="290" ht="14.25" customHeight="1">
      <c r="I290" s="105"/>
      <c r="J290" s="105"/>
      <c r="K290" s="105"/>
      <c r="L290" s="105"/>
    </row>
    <row r="291" ht="14.25" customHeight="1">
      <c r="I291" s="105"/>
      <c r="J291" s="105"/>
      <c r="K291" s="105"/>
      <c r="L291" s="105"/>
    </row>
    <row r="292" ht="14.25" customHeight="1">
      <c r="I292" s="105"/>
      <c r="J292" s="105"/>
      <c r="K292" s="105"/>
      <c r="L292" s="105"/>
    </row>
    <row r="293" ht="14.25" customHeight="1">
      <c r="I293" s="105"/>
      <c r="J293" s="105"/>
      <c r="K293" s="105"/>
      <c r="L293" s="105"/>
    </row>
    <row r="294" ht="14.25" customHeight="1">
      <c r="I294" s="105"/>
      <c r="J294" s="105"/>
      <c r="K294" s="105"/>
      <c r="L294" s="105"/>
    </row>
    <row r="295" ht="14.25" customHeight="1">
      <c r="I295" s="105"/>
      <c r="J295" s="105"/>
      <c r="K295" s="105"/>
      <c r="L295" s="105"/>
    </row>
    <row r="296" ht="14.25" customHeight="1">
      <c r="I296" s="105"/>
      <c r="J296" s="105"/>
      <c r="K296" s="105"/>
      <c r="L296" s="105"/>
    </row>
    <row r="297" ht="14.25" customHeight="1">
      <c r="I297" s="105"/>
      <c r="J297" s="105"/>
      <c r="K297" s="105"/>
      <c r="L297" s="105"/>
    </row>
    <row r="298" ht="14.25" customHeight="1">
      <c r="I298" s="105"/>
      <c r="J298" s="105"/>
      <c r="K298" s="105"/>
      <c r="L298" s="105"/>
    </row>
    <row r="299" ht="14.25" customHeight="1">
      <c r="I299" s="105"/>
      <c r="J299" s="105"/>
      <c r="K299" s="105"/>
      <c r="L299" s="105"/>
    </row>
    <row r="300" ht="14.25" customHeight="1">
      <c r="I300" s="105"/>
      <c r="J300" s="105"/>
      <c r="K300" s="105"/>
      <c r="L300" s="105"/>
    </row>
    <row r="301" ht="14.25" customHeight="1">
      <c r="I301" s="105"/>
      <c r="J301" s="105"/>
      <c r="K301" s="105"/>
      <c r="L301" s="105"/>
    </row>
    <row r="302" ht="14.25" customHeight="1">
      <c r="I302" s="105"/>
      <c r="J302" s="105"/>
      <c r="K302" s="105"/>
      <c r="L302" s="105"/>
    </row>
    <row r="303" ht="14.25" customHeight="1">
      <c r="I303" s="105"/>
      <c r="J303" s="105"/>
      <c r="K303" s="105"/>
      <c r="L303" s="105"/>
    </row>
    <row r="304" ht="14.25" customHeight="1">
      <c r="I304" s="105"/>
      <c r="J304" s="105"/>
      <c r="K304" s="105"/>
      <c r="L304" s="105"/>
    </row>
    <row r="305" ht="14.25" customHeight="1">
      <c r="I305" s="105"/>
      <c r="J305" s="105"/>
      <c r="K305" s="105"/>
      <c r="L305" s="105"/>
    </row>
    <row r="306" ht="14.25" customHeight="1">
      <c r="I306" s="105"/>
      <c r="J306" s="105"/>
      <c r="K306" s="105"/>
      <c r="L306" s="105"/>
    </row>
    <row r="307" ht="14.25" customHeight="1">
      <c r="I307" s="105"/>
      <c r="J307" s="105"/>
      <c r="K307" s="105"/>
      <c r="L307" s="105"/>
    </row>
    <row r="308" ht="14.25" customHeight="1">
      <c r="I308" s="105"/>
      <c r="J308" s="105"/>
      <c r="K308" s="105"/>
      <c r="L308" s="105"/>
    </row>
    <row r="309" ht="14.25" customHeight="1">
      <c r="I309" s="105"/>
      <c r="J309" s="105"/>
      <c r="K309" s="105"/>
      <c r="L309" s="105"/>
    </row>
    <row r="310" ht="14.25" customHeight="1">
      <c r="I310" s="105"/>
      <c r="J310" s="105"/>
      <c r="K310" s="105"/>
      <c r="L310" s="105"/>
    </row>
    <row r="311" ht="14.25" customHeight="1">
      <c r="I311" s="105"/>
      <c r="J311" s="105"/>
      <c r="K311" s="105"/>
      <c r="L311" s="105"/>
    </row>
    <row r="312" ht="14.25" customHeight="1">
      <c r="I312" s="105"/>
      <c r="J312" s="105"/>
      <c r="K312" s="105"/>
      <c r="L312" s="105"/>
    </row>
    <row r="313" ht="14.25" customHeight="1">
      <c r="I313" s="105"/>
      <c r="J313" s="105"/>
      <c r="K313" s="105"/>
      <c r="L313" s="105"/>
    </row>
    <row r="314" ht="14.25" customHeight="1">
      <c r="I314" s="105"/>
      <c r="J314" s="105"/>
      <c r="K314" s="105"/>
      <c r="L314" s="105"/>
    </row>
    <row r="315" ht="14.25" customHeight="1">
      <c r="I315" s="105"/>
      <c r="J315" s="105"/>
      <c r="K315" s="105"/>
      <c r="L315" s="105"/>
    </row>
    <row r="316" ht="14.25" customHeight="1">
      <c r="I316" s="105"/>
      <c r="J316" s="105"/>
      <c r="K316" s="105"/>
      <c r="L316" s="105"/>
    </row>
    <row r="317" ht="14.25" customHeight="1">
      <c r="I317" s="105"/>
      <c r="J317" s="105"/>
      <c r="K317" s="105"/>
      <c r="L317" s="105"/>
    </row>
    <row r="318" ht="14.25" customHeight="1">
      <c r="I318" s="105"/>
      <c r="J318" s="105"/>
      <c r="K318" s="105"/>
      <c r="L318" s="105"/>
    </row>
    <row r="319" ht="14.25" customHeight="1">
      <c r="I319" s="105"/>
      <c r="J319" s="105"/>
      <c r="K319" s="105"/>
      <c r="L319" s="105"/>
    </row>
    <row r="320" ht="14.25" customHeight="1">
      <c r="I320" s="105"/>
      <c r="J320" s="105"/>
      <c r="K320" s="105"/>
      <c r="L320" s="105"/>
    </row>
    <row r="321" ht="14.25" customHeight="1">
      <c r="I321" s="105"/>
      <c r="J321" s="105"/>
      <c r="K321" s="105"/>
      <c r="L321" s="105"/>
    </row>
    <row r="322" ht="14.25" customHeight="1">
      <c r="I322" s="105"/>
      <c r="J322" s="105"/>
      <c r="K322" s="105"/>
      <c r="L322" s="105"/>
    </row>
    <row r="323" ht="14.25" customHeight="1">
      <c r="I323" s="105"/>
      <c r="J323" s="105"/>
      <c r="K323" s="105"/>
      <c r="L323" s="105"/>
    </row>
    <row r="324" ht="14.25" customHeight="1">
      <c r="I324" s="105"/>
      <c r="J324" s="105"/>
      <c r="K324" s="105"/>
      <c r="L324" s="105"/>
    </row>
    <row r="325" ht="14.25" customHeight="1">
      <c r="I325" s="105"/>
      <c r="J325" s="105"/>
      <c r="K325" s="105"/>
      <c r="L325" s="105"/>
    </row>
    <row r="326" ht="14.25" customHeight="1">
      <c r="I326" s="105"/>
      <c r="J326" s="105"/>
      <c r="K326" s="105"/>
      <c r="L326" s="105"/>
    </row>
    <row r="327" ht="14.25" customHeight="1">
      <c r="I327" s="105"/>
      <c r="J327" s="105"/>
      <c r="K327" s="105"/>
      <c r="L327" s="105"/>
    </row>
    <row r="328" ht="14.25" customHeight="1">
      <c r="I328" s="105"/>
      <c r="J328" s="105"/>
      <c r="K328" s="105"/>
      <c r="L328" s="105"/>
    </row>
    <row r="329" ht="14.25" customHeight="1">
      <c r="I329" s="105"/>
      <c r="J329" s="105"/>
      <c r="K329" s="105"/>
      <c r="L329" s="105"/>
    </row>
    <row r="330" ht="14.25" customHeight="1">
      <c r="I330" s="105"/>
      <c r="J330" s="105"/>
      <c r="K330" s="105"/>
      <c r="L330" s="105"/>
    </row>
    <row r="331" ht="14.25" customHeight="1">
      <c r="I331" s="105"/>
      <c r="J331" s="105"/>
      <c r="K331" s="105"/>
      <c r="L331" s="105"/>
    </row>
    <row r="332" ht="14.25" customHeight="1">
      <c r="I332" s="105"/>
      <c r="J332" s="105"/>
      <c r="K332" s="105"/>
      <c r="L332" s="105"/>
    </row>
    <row r="333" ht="14.25" customHeight="1">
      <c r="I333" s="105"/>
      <c r="J333" s="105"/>
      <c r="K333" s="105"/>
      <c r="L333" s="105"/>
    </row>
    <row r="334" ht="14.25" customHeight="1">
      <c r="I334" s="105"/>
      <c r="J334" s="105"/>
      <c r="K334" s="105"/>
      <c r="L334" s="105"/>
    </row>
    <row r="335" ht="14.25" customHeight="1">
      <c r="I335" s="105"/>
      <c r="J335" s="105"/>
      <c r="K335" s="105"/>
      <c r="L335" s="105"/>
    </row>
    <row r="336" ht="14.25" customHeight="1">
      <c r="I336" s="105"/>
      <c r="J336" s="105"/>
      <c r="K336" s="105"/>
      <c r="L336" s="105"/>
    </row>
    <row r="337" ht="14.25" customHeight="1">
      <c r="I337" s="105"/>
      <c r="J337" s="105"/>
      <c r="K337" s="105"/>
      <c r="L337" s="105"/>
    </row>
    <row r="338" ht="14.25" customHeight="1">
      <c r="I338" s="105"/>
      <c r="J338" s="105"/>
      <c r="K338" s="105"/>
      <c r="L338" s="105"/>
    </row>
    <row r="339" ht="14.25" customHeight="1">
      <c r="I339" s="105"/>
      <c r="J339" s="105"/>
      <c r="K339" s="105"/>
      <c r="L339" s="105"/>
    </row>
    <row r="340" ht="14.25" customHeight="1">
      <c r="I340" s="105"/>
      <c r="J340" s="105"/>
      <c r="K340" s="105"/>
      <c r="L340" s="105"/>
    </row>
    <row r="341" ht="14.25" customHeight="1">
      <c r="I341" s="105"/>
      <c r="J341" s="105"/>
      <c r="K341" s="105"/>
      <c r="L341" s="105"/>
    </row>
    <row r="342" ht="14.25" customHeight="1">
      <c r="I342" s="105"/>
      <c r="J342" s="105"/>
      <c r="K342" s="105"/>
      <c r="L342" s="105"/>
    </row>
    <row r="343" ht="14.25" customHeight="1">
      <c r="I343" s="105"/>
      <c r="J343" s="105"/>
      <c r="K343" s="105"/>
      <c r="L343" s="105"/>
    </row>
    <row r="344" ht="14.25" customHeight="1">
      <c r="I344" s="105"/>
      <c r="J344" s="105"/>
      <c r="K344" s="105"/>
      <c r="L344" s="105"/>
    </row>
    <row r="345" ht="14.25" customHeight="1">
      <c r="I345" s="105"/>
      <c r="J345" s="105"/>
      <c r="K345" s="105"/>
      <c r="L345" s="105"/>
    </row>
    <row r="346" ht="14.25" customHeight="1">
      <c r="I346" s="105"/>
      <c r="J346" s="105"/>
      <c r="K346" s="105"/>
      <c r="L346" s="105"/>
    </row>
    <row r="347" ht="14.25" customHeight="1">
      <c r="I347" s="105"/>
      <c r="J347" s="105"/>
      <c r="K347" s="105"/>
      <c r="L347" s="105"/>
    </row>
    <row r="348" ht="14.25" customHeight="1">
      <c r="I348" s="105"/>
      <c r="J348" s="105"/>
      <c r="K348" s="105"/>
      <c r="L348" s="105"/>
    </row>
    <row r="349" ht="14.25" customHeight="1">
      <c r="I349" s="105"/>
      <c r="J349" s="105"/>
      <c r="K349" s="105"/>
      <c r="L349" s="105"/>
    </row>
    <row r="350" ht="14.25" customHeight="1">
      <c r="I350" s="105"/>
      <c r="J350" s="105"/>
      <c r="K350" s="105"/>
      <c r="L350" s="105"/>
    </row>
    <row r="351" ht="14.25" customHeight="1">
      <c r="I351" s="105"/>
      <c r="J351" s="105"/>
      <c r="K351" s="105"/>
      <c r="L351" s="105"/>
    </row>
    <row r="352" ht="14.25" customHeight="1">
      <c r="I352" s="105"/>
      <c r="J352" s="105"/>
      <c r="K352" s="105"/>
      <c r="L352" s="105"/>
    </row>
    <row r="353" ht="14.25" customHeight="1">
      <c r="I353" s="105"/>
      <c r="J353" s="105"/>
      <c r="K353" s="105"/>
      <c r="L353" s="105"/>
    </row>
    <row r="354" ht="14.25" customHeight="1">
      <c r="I354" s="105"/>
      <c r="J354" s="105"/>
      <c r="K354" s="105"/>
      <c r="L354" s="105"/>
    </row>
    <row r="355" ht="14.25" customHeight="1">
      <c r="I355" s="105"/>
      <c r="J355" s="105"/>
      <c r="K355" s="105"/>
      <c r="L355" s="105"/>
    </row>
    <row r="356" ht="14.25" customHeight="1">
      <c r="I356" s="105"/>
      <c r="J356" s="105"/>
      <c r="K356" s="105"/>
      <c r="L356" s="105"/>
    </row>
    <row r="357" ht="14.25" customHeight="1">
      <c r="I357" s="105"/>
      <c r="J357" s="105"/>
      <c r="K357" s="105"/>
      <c r="L357" s="105"/>
    </row>
    <row r="358" ht="14.25" customHeight="1">
      <c r="I358" s="105"/>
      <c r="J358" s="105"/>
      <c r="K358" s="105"/>
      <c r="L358" s="105"/>
    </row>
    <row r="359" ht="14.25" customHeight="1">
      <c r="I359" s="105"/>
      <c r="J359" s="105"/>
      <c r="K359" s="105"/>
      <c r="L359" s="105"/>
    </row>
    <row r="360" ht="14.25" customHeight="1">
      <c r="I360" s="105"/>
      <c r="J360" s="105"/>
      <c r="K360" s="105"/>
      <c r="L360" s="105"/>
    </row>
    <row r="361" ht="14.25" customHeight="1">
      <c r="I361" s="105"/>
      <c r="J361" s="105"/>
      <c r="K361" s="105"/>
      <c r="L361" s="105"/>
    </row>
    <row r="362" ht="14.25" customHeight="1">
      <c r="I362" s="105"/>
      <c r="J362" s="105"/>
      <c r="K362" s="105"/>
      <c r="L362" s="105"/>
    </row>
    <row r="363" ht="14.25" customHeight="1">
      <c r="I363" s="105"/>
      <c r="J363" s="105"/>
      <c r="K363" s="105"/>
      <c r="L363" s="105"/>
    </row>
    <row r="364" ht="14.25" customHeight="1">
      <c r="I364" s="105"/>
      <c r="J364" s="105"/>
      <c r="K364" s="105"/>
      <c r="L364" s="105"/>
    </row>
    <row r="365" ht="14.25" customHeight="1">
      <c r="I365" s="105"/>
      <c r="J365" s="105"/>
      <c r="K365" s="105"/>
      <c r="L365" s="105"/>
    </row>
    <row r="366" ht="14.25" customHeight="1">
      <c r="I366" s="105"/>
      <c r="J366" s="105"/>
      <c r="K366" s="105"/>
      <c r="L366" s="105"/>
    </row>
    <row r="367" ht="14.25" customHeight="1">
      <c r="I367" s="105"/>
      <c r="J367" s="105"/>
      <c r="K367" s="105"/>
      <c r="L367" s="105"/>
    </row>
    <row r="368" ht="14.25" customHeight="1">
      <c r="I368" s="105"/>
      <c r="J368" s="105"/>
      <c r="K368" s="105"/>
      <c r="L368" s="105"/>
    </row>
    <row r="369" ht="14.25" customHeight="1">
      <c r="I369" s="105"/>
      <c r="J369" s="105"/>
      <c r="K369" s="105"/>
      <c r="L369" s="105"/>
    </row>
    <row r="370" ht="14.25" customHeight="1">
      <c r="I370" s="105"/>
      <c r="J370" s="105"/>
      <c r="K370" s="105"/>
      <c r="L370" s="105"/>
    </row>
    <row r="371" ht="14.25" customHeight="1">
      <c r="I371" s="105"/>
      <c r="J371" s="105"/>
      <c r="K371" s="105"/>
      <c r="L371" s="105"/>
    </row>
    <row r="372" ht="14.25" customHeight="1">
      <c r="I372" s="105"/>
      <c r="J372" s="105"/>
      <c r="K372" s="105"/>
      <c r="L372" s="105"/>
    </row>
    <row r="373" ht="14.25" customHeight="1">
      <c r="I373" s="105"/>
      <c r="J373" s="105"/>
      <c r="K373" s="105"/>
      <c r="L373" s="105"/>
    </row>
    <row r="374" ht="14.25" customHeight="1">
      <c r="I374" s="105"/>
      <c r="J374" s="105"/>
      <c r="K374" s="105"/>
      <c r="L374" s="105"/>
    </row>
    <row r="375" ht="14.25" customHeight="1">
      <c r="I375" s="105"/>
      <c r="J375" s="105"/>
      <c r="K375" s="105"/>
      <c r="L375" s="105"/>
    </row>
    <row r="376" ht="14.25" customHeight="1">
      <c r="I376" s="105"/>
      <c r="J376" s="105"/>
      <c r="K376" s="105"/>
      <c r="L376" s="105"/>
    </row>
    <row r="377" ht="14.25" customHeight="1">
      <c r="I377" s="105"/>
      <c r="J377" s="105"/>
      <c r="K377" s="105"/>
      <c r="L377" s="105"/>
    </row>
    <row r="378" ht="14.25" customHeight="1">
      <c r="I378" s="105"/>
      <c r="J378" s="105"/>
      <c r="K378" s="105"/>
      <c r="L378" s="105"/>
    </row>
    <row r="379" ht="14.25" customHeight="1">
      <c r="I379" s="105"/>
      <c r="J379" s="105"/>
      <c r="K379" s="105"/>
      <c r="L379" s="105"/>
    </row>
    <row r="380" ht="14.25" customHeight="1">
      <c r="I380" s="105"/>
      <c r="J380" s="105"/>
      <c r="K380" s="105"/>
      <c r="L380" s="105"/>
    </row>
    <row r="381" ht="14.25" customHeight="1">
      <c r="I381" s="105"/>
      <c r="J381" s="105"/>
      <c r="K381" s="105"/>
      <c r="L381" s="105"/>
    </row>
    <row r="382" ht="14.25" customHeight="1">
      <c r="I382" s="105"/>
      <c r="J382" s="105"/>
      <c r="K382" s="105"/>
      <c r="L382" s="105"/>
    </row>
    <row r="383" ht="14.25" customHeight="1">
      <c r="I383" s="105"/>
      <c r="J383" s="105"/>
      <c r="K383" s="105"/>
      <c r="L383" s="105"/>
    </row>
    <row r="384" ht="14.25" customHeight="1">
      <c r="I384" s="105"/>
      <c r="J384" s="105"/>
      <c r="K384" s="105"/>
      <c r="L384" s="105"/>
    </row>
    <row r="385" ht="14.25" customHeight="1">
      <c r="I385" s="105"/>
      <c r="J385" s="105"/>
      <c r="K385" s="105"/>
      <c r="L385" s="105"/>
    </row>
    <row r="386" ht="14.25" customHeight="1">
      <c r="I386" s="105"/>
      <c r="J386" s="105"/>
      <c r="K386" s="105"/>
      <c r="L386" s="105"/>
    </row>
    <row r="387" ht="14.25" customHeight="1">
      <c r="I387" s="105"/>
      <c r="J387" s="105"/>
      <c r="K387" s="105"/>
      <c r="L387" s="105"/>
    </row>
    <row r="388" ht="14.25" customHeight="1">
      <c r="I388" s="105"/>
      <c r="J388" s="105"/>
      <c r="K388" s="105"/>
      <c r="L388" s="105"/>
    </row>
    <row r="389" ht="14.25" customHeight="1">
      <c r="I389" s="105"/>
      <c r="J389" s="105"/>
      <c r="K389" s="105"/>
      <c r="L389" s="105"/>
    </row>
    <row r="390" ht="14.25" customHeight="1">
      <c r="I390" s="105"/>
      <c r="J390" s="105"/>
      <c r="K390" s="105"/>
      <c r="L390" s="105"/>
    </row>
    <row r="391" ht="14.25" customHeight="1">
      <c r="I391" s="105"/>
      <c r="J391" s="105"/>
      <c r="K391" s="105"/>
      <c r="L391" s="105"/>
    </row>
    <row r="392" ht="14.25" customHeight="1">
      <c r="I392" s="105"/>
      <c r="J392" s="105"/>
      <c r="K392" s="105"/>
      <c r="L392" s="105"/>
    </row>
    <row r="393" ht="14.25" customHeight="1">
      <c r="I393" s="105"/>
      <c r="J393" s="105"/>
      <c r="K393" s="105"/>
      <c r="L393" s="105"/>
    </row>
    <row r="394" ht="14.25" customHeight="1">
      <c r="I394" s="105"/>
      <c r="J394" s="105"/>
      <c r="K394" s="105"/>
      <c r="L394" s="105"/>
    </row>
    <row r="395" ht="14.25" customHeight="1">
      <c r="I395" s="105"/>
      <c r="J395" s="105"/>
      <c r="K395" s="105"/>
      <c r="L395" s="105"/>
    </row>
    <row r="396" ht="14.25" customHeight="1">
      <c r="I396" s="105"/>
      <c r="J396" s="105"/>
      <c r="K396" s="105"/>
      <c r="L396" s="105"/>
    </row>
    <row r="397" ht="14.25" customHeight="1">
      <c r="I397" s="105"/>
      <c r="J397" s="105"/>
      <c r="K397" s="105"/>
      <c r="L397" s="105"/>
    </row>
    <row r="398" ht="14.25" customHeight="1">
      <c r="I398" s="105"/>
      <c r="J398" s="105"/>
      <c r="K398" s="105"/>
      <c r="L398" s="105"/>
    </row>
    <row r="399" ht="14.25" customHeight="1">
      <c r="I399" s="105"/>
      <c r="J399" s="105"/>
      <c r="K399" s="105"/>
      <c r="L399" s="105"/>
    </row>
    <row r="400" ht="14.25" customHeight="1">
      <c r="I400" s="105"/>
      <c r="J400" s="105"/>
      <c r="K400" s="105"/>
      <c r="L400" s="105"/>
    </row>
    <row r="401" ht="14.25" customHeight="1">
      <c r="I401" s="105"/>
      <c r="J401" s="105"/>
      <c r="K401" s="105"/>
      <c r="L401" s="105"/>
    </row>
    <row r="402" ht="14.25" customHeight="1">
      <c r="I402" s="105"/>
      <c r="J402" s="105"/>
      <c r="K402" s="105"/>
      <c r="L402" s="105"/>
    </row>
    <row r="403" ht="14.25" customHeight="1">
      <c r="I403" s="105"/>
      <c r="J403" s="105"/>
      <c r="K403" s="105"/>
      <c r="L403" s="105"/>
    </row>
    <row r="404" ht="14.25" customHeight="1">
      <c r="I404" s="105"/>
      <c r="J404" s="105"/>
      <c r="K404" s="105"/>
      <c r="L404" s="105"/>
    </row>
    <row r="405" ht="14.25" customHeight="1">
      <c r="I405" s="105"/>
      <c r="J405" s="105"/>
      <c r="K405" s="105"/>
      <c r="L405" s="105"/>
    </row>
    <row r="406" ht="14.25" customHeight="1">
      <c r="I406" s="105"/>
      <c r="J406" s="105"/>
      <c r="K406" s="105"/>
      <c r="L406" s="105"/>
    </row>
    <row r="407" ht="14.25" customHeight="1">
      <c r="I407" s="105"/>
      <c r="J407" s="105"/>
      <c r="K407" s="105"/>
      <c r="L407" s="105"/>
    </row>
    <row r="408" ht="14.25" customHeight="1">
      <c r="I408" s="105"/>
      <c r="J408" s="105"/>
      <c r="K408" s="105"/>
      <c r="L408" s="105"/>
    </row>
    <row r="409" ht="14.25" customHeight="1">
      <c r="I409" s="105"/>
      <c r="J409" s="105"/>
      <c r="K409" s="105"/>
      <c r="L409" s="105"/>
    </row>
    <row r="410" ht="14.25" customHeight="1">
      <c r="I410" s="105"/>
      <c r="J410" s="105"/>
      <c r="K410" s="105"/>
      <c r="L410" s="105"/>
    </row>
    <row r="411" ht="14.25" customHeight="1">
      <c r="I411" s="105"/>
      <c r="J411" s="105"/>
      <c r="K411" s="105"/>
      <c r="L411" s="105"/>
    </row>
    <row r="412" ht="14.25" customHeight="1">
      <c r="I412" s="105"/>
      <c r="J412" s="105"/>
      <c r="K412" s="105"/>
      <c r="L412" s="105"/>
    </row>
    <row r="413" ht="14.25" customHeight="1">
      <c r="I413" s="105"/>
      <c r="J413" s="105"/>
      <c r="K413" s="105"/>
      <c r="L413" s="105"/>
    </row>
    <row r="414" ht="14.25" customHeight="1">
      <c r="I414" s="105"/>
      <c r="J414" s="105"/>
      <c r="K414" s="105"/>
      <c r="L414" s="105"/>
    </row>
    <row r="415" ht="14.25" customHeight="1">
      <c r="I415" s="105"/>
      <c r="J415" s="105"/>
      <c r="K415" s="105"/>
      <c r="L415" s="105"/>
    </row>
    <row r="416" ht="14.25" customHeight="1">
      <c r="I416" s="105"/>
      <c r="J416" s="105"/>
      <c r="K416" s="105"/>
      <c r="L416" s="105"/>
    </row>
    <row r="417" ht="14.25" customHeight="1">
      <c r="I417" s="105"/>
      <c r="J417" s="105"/>
      <c r="K417" s="105"/>
      <c r="L417" s="105"/>
    </row>
    <row r="418" ht="14.25" customHeight="1">
      <c r="I418" s="105"/>
      <c r="J418" s="105"/>
      <c r="K418" s="105"/>
      <c r="L418" s="105"/>
    </row>
    <row r="419" ht="14.25" customHeight="1">
      <c r="I419" s="105"/>
      <c r="J419" s="105"/>
      <c r="K419" s="105"/>
      <c r="L419" s="105"/>
    </row>
    <row r="420" ht="14.25" customHeight="1">
      <c r="I420" s="105"/>
      <c r="J420" s="105"/>
      <c r="K420" s="105"/>
      <c r="L420" s="105"/>
    </row>
    <row r="421" ht="14.25" customHeight="1">
      <c r="I421" s="105"/>
      <c r="J421" s="105"/>
      <c r="K421" s="105"/>
      <c r="L421" s="105"/>
    </row>
    <row r="422" ht="14.25" customHeight="1">
      <c r="I422" s="105"/>
      <c r="J422" s="105"/>
      <c r="K422" s="105"/>
      <c r="L422" s="105"/>
    </row>
    <row r="423" ht="14.25" customHeight="1">
      <c r="I423" s="105"/>
      <c r="J423" s="105"/>
      <c r="K423" s="105"/>
      <c r="L423" s="105"/>
    </row>
    <row r="424" ht="14.25" customHeight="1">
      <c r="I424" s="105"/>
      <c r="J424" s="105"/>
      <c r="K424" s="105"/>
      <c r="L424" s="105"/>
    </row>
    <row r="425" ht="14.25" customHeight="1">
      <c r="I425" s="105"/>
      <c r="J425" s="105"/>
      <c r="K425" s="105"/>
      <c r="L425" s="105"/>
    </row>
    <row r="426" ht="14.25" customHeight="1">
      <c r="I426" s="105"/>
      <c r="J426" s="105"/>
      <c r="K426" s="105"/>
      <c r="L426" s="105"/>
    </row>
    <row r="427" ht="14.25" customHeight="1">
      <c r="I427" s="105"/>
      <c r="J427" s="105"/>
      <c r="K427" s="105"/>
      <c r="L427" s="105"/>
    </row>
    <row r="428" ht="14.25" customHeight="1">
      <c r="I428" s="105"/>
      <c r="J428" s="105"/>
      <c r="K428" s="105"/>
      <c r="L428" s="105"/>
    </row>
    <row r="429" ht="14.25" customHeight="1">
      <c r="I429" s="105"/>
      <c r="J429" s="105"/>
      <c r="K429" s="105"/>
      <c r="L429" s="105"/>
    </row>
    <row r="430" ht="14.25" customHeight="1">
      <c r="I430" s="105"/>
      <c r="J430" s="105"/>
      <c r="K430" s="105"/>
      <c r="L430" s="105"/>
    </row>
    <row r="431" ht="14.25" customHeight="1">
      <c r="I431" s="105"/>
      <c r="J431" s="105"/>
      <c r="K431" s="105"/>
      <c r="L431" s="105"/>
    </row>
    <row r="432" ht="14.25" customHeight="1">
      <c r="I432" s="105"/>
      <c r="J432" s="105"/>
      <c r="K432" s="105"/>
      <c r="L432" s="105"/>
    </row>
    <row r="433" ht="14.25" customHeight="1">
      <c r="I433" s="105"/>
      <c r="J433" s="105"/>
      <c r="K433" s="105"/>
      <c r="L433" s="105"/>
    </row>
    <row r="434" ht="14.25" customHeight="1">
      <c r="I434" s="105"/>
      <c r="J434" s="105"/>
      <c r="K434" s="105"/>
      <c r="L434" s="105"/>
    </row>
    <row r="435" ht="14.25" customHeight="1">
      <c r="I435" s="105"/>
      <c r="J435" s="105"/>
      <c r="K435" s="105"/>
      <c r="L435" s="105"/>
    </row>
    <row r="436" ht="14.25" customHeight="1">
      <c r="I436" s="105"/>
      <c r="J436" s="105"/>
      <c r="K436" s="105"/>
      <c r="L436" s="105"/>
    </row>
    <row r="437" ht="14.25" customHeight="1">
      <c r="I437" s="105"/>
      <c r="J437" s="105"/>
      <c r="K437" s="105"/>
      <c r="L437" s="105"/>
    </row>
    <row r="438" ht="14.25" customHeight="1">
      <c r="I438" s="105"/>
      <c r="J438" s="105"/>
      <c r="K438" s="105"/>
      <c r="L438" s="105"/>
    </row>
    <row r="439" ht="14.25" customHeight="1">
      <c r="I439" s="105"/>
      <c r="J439" s="105"/>
      <c r="K439" s="105"/>
      <c r="L439" s="105"/>
    </row>
    <row r="440" ht="14.25" customHeight="1">
      <c r="I440" s="105"/>
      <c r="J440" s="105"/>
      <c r="K440" s="105"/>
      <c r="L440" s="105"/>
    </row>
    <row r="441" ht="14.25" customHeight="1">
      <c r="I441" s="105"/>
      <c r="J441" s="105"/>
      <c r="K441" s="105"/>
      <c r="L441" s="105"/>
    </row>
    <row r="442" ht="14.25" customHeight="1">
      <c r="I442" s="105"/>
      <c r="J442" s="105"/>
      <c r="K442" s="105"/>
      <c r="L442" s="105"/>
    </row>
    <row r="443" ht="14.25" customHeight="1">
      <c r="I443" s="105"/>
      <c r="J443" s="105"/>
      <c r="K443" s="105"/>
      <c r="L443" s="105"/>
    </row>
    <row r="444" ht="14.25" customHeight="1">
      <c r="I444" s="105"/>
      <c r="J444" s="105"/>
      <c r="K444" s="105"/>
      <c r="L444" s="105"/>
    </row>
    <row r="445" ht="14.25" customHeight="1">
      <c r="I445" s="105"/>
      <c r="J445" s="105"/>
      <c r="K445" s="105"/>
      <c r="L445" s="105"/>
    </row>
    <row r="446" ht="14.25" customHeight="1">
      <c r="I446" s="105"/>
      <c r="J446" s="105"/>
      <c r="K446" s="105"/>
      <c r="L446" s="105"/>
    </row>
    <row r="447" ht="14.25" customHeight="1">
      <c r="I447" s="105"/>
      <c r="J447" s="105"/>
      <c r="K447" s="105"/>
      <c r="L447" s="105"/>
    </row>
    <row r="448" ht="14.25" customHeight="1">
      <c r="I448" s="105"/>
      <c r="J448" s="105"/>
      <c r="K448" s="105"/>
      <c r="L448" s="105"/>
    </row>
    <row r="449" ht="14.25" customHeight="1">
      <c r="I449" s="105"/>
      <c r="J449" s="105"/>
      <c r="K449" s="105"/>
      <c r="L449" s="105"/>
    </row>
    <row r="450" ht="14.25" customHeight="1">
      <c r="I450" s="105"/>
      <c r="J450" s="105"/>
      <c r="K450" s="105"/>
      <c r="L450" s="105"/>
    </row>
    <row r="451" ht="14.25" customHeight="1">
      <c r="I451" s="105"/>
      <c r="J451" s="105"/>
      <c r="K451" s="105"/>
      <c r="L451" s="105"/>
    </row>
    <row r="452" ht="14.25" customHeight="1">
      <c r="I452" s="105"/>
      <c r="J452" s="105"/>
      <c r="K452" s="105"/>
      <c r="L452" s="105"/>
    </row>
    <row r="453" ht="14.25" customHeight="1">
      <c r="I453" s="105"/>
      <c r="J453" s="105"/>
      <c r="K453" s="105"/>
      <c r="L453" s="105"/>
    </row>
    <row r="454" ht="14.25" customHeight="1">
      <c r="I454" s="105"/>
      <c r="J454" s="105"/>
      <c r="K454" s="105"/>
      <c r="L454" s="105"/>
    </row>
    <row r="455" ht="14.25" customHeight="1">
      <c r="I455" s="105"/>
      <c r="J455" s="105"/>
      <c r="K455" s="105"/>
      <c r="L455" s="105"/>
    </row>
    <row r="456" ht="14.25" customHeight="1">
      <c r="I456" s="105"/>
      <c r="J456" s="105"/>
      <c r="K456" s="105"/>
      <c r="L456" s="105"/>
    </row>
    <row r="457" ht="14.25" customHeight="1">
      <c r="I457" s="105"/>
      <c r="J457" s="105"/>
      <c r="K457" s="105"/>
      <c r="L457" s="105"/>
    </row>
    <row r="458" ht="14.25" customHeight="1">
      <c r="I458" s="105"/>
      <c r="J458" s="105"/>
      <c r="K458" s="105"/>
      <c r="L458" s="105"/>
    </row>
    <row r="459" ht="14.25" customHeight="1">
      <c r="I459" s="105"/>
      <c r="J459" s="105"/>
      <c r="K459" s="105"/>
      <c r="L459" s="105"/>
    </row>
    <row r="460" ht="14.25" customHeight="1">
      <c r="I460" s="105"/>
      <c r="J460" s="105"/>
      <c r="K460" s="105"/>
      <c r="L460" s="105"/>
    </row>
    <row r="461" ht="14.25" customHeight="1">
      <c r="I461" s="105"/>
      <c r="J461" s="105"/>
      <c r="K461" s="105"/>
      <c r="L461" s="105"/>
    </row>
    <row r="462" ht="14.25" customHeight="1">
      <c r="I462" s="105"/>
      <c r="J462" s="105"/>
      <c r="K462" s="105"/>
      <c r="L462" s="105"/>
    </row>
    <row r="463" ht="14.25" customHeight="1">
      <c r="I463" s="105"/>
      <c r="J463" s="105"/>
      <c r="K463" s="105"/>
      <c r="L463" s="105"/>
    </row>
    <row r="464" ht="14.25" customHeight="1">
      <c r="I464" s="105"/>
      <c r="J464" s="105"/>
      <c r="K464" s="105"/>
      <c r="L464" s="105"/>
    </row>
    <row r="465" ht="14.25" customHeight="1">
      <c r="I465" s="105"/>
      <c r="J465" s="105"/>
      <c r="K465" s="105"/>
      <c r="L465" s="105"/>
    </row>
    <row r="466" ht="14.25" customHeight="1">
      <c r="I466" s="105"/>
      <c r="J466" s="105"/>
      <c r="K466" s="105"/>
      <c r="L466" s="105"/>
    </row>
    <row r="467" ht="14.25" customHeight="1">
      <c r="I467" s="105"/>
      <c r="J467" s="105"/>
      <c r="K467" s="105"/>
      <c r="L467" s="105"/>
    </row>
    <row r="468" ht="14.25" customHeight="1">
      <c r="I468" s="105"/>
      <c r="J468" s="105"/>
      <c r="K468" s="105"/>
      <c r="L468" s="105"/>
    </row>
    <row r="469" ht="14.25" customHeight="1">
      <c r="I469" s="105"/>
      <c r="J469" s="105"/>
      <c r="K469" s="105"/>
      <c r="L469" s="105"/>
    </row>
    <row r="470" ht="14.25" customHeight="1">
      <c r="I470" s="105"/>
      <c r="J470" s="105"/>
      <c r="K470" s="105"/>
      <c r="L470" s="105"/>
    </row>
    <row r="471" ht="14.25" customHeight="1">
      <c r="I471" s="105"/>
      <c r="J471" s="105"/>
      <c r="K471" s="105"/>
      <c r="L471" s="105"/>
    </row>
    <row r="472" ht="14.25" customHeight="1">
      <c r="I472" s="105"/>
      <c r="J472" s="105"/>
      <c r="K472" s="105"/>
      <c r="L472" s="105"/>
    </row>
    <row r="473" ht="14.25" customHeight="1">
      <c r="I473" s="105"/>
      <c r="J473" s="105"/>
      <c r="K473" s="105"/>
      <c r="L473" s="105"/>
    </row>
    <row r="474" ht="14.25" customHeight="1">
      <c r="I474" s="105"/>
      <c r="J474" s="105"/>
      <c r="K474" s="105"/>
      <c r="L474" s="105"/>
    </row>
    <row r="475" ht="14.25" customHeight="1">
      <c r="I475" s="105"/>
      <c r="J475" s="105"/>
      <c r="K475" s="105"/>
      <c r="L475" s="105"/>
    </row>
    <row r="476" ht="14.25" customHeight="1">
      <c r="I476" s="105"/>
      <c r="J476" s="105"/>
      <c r="K476" s="105"/>
      <c r="L476" s="105"/>
    </row>
    <row r="477" ht="14.25" customHeight="1">
      <c r="I477" s="105"/>
      <c r="J477" s="105"/>
      <c r="K477" s="105"/>
      <c r="L477" s="105"/>
    </row>
    <row r="478" ht="14.25" customHeight="1">
      <c r="I478" s="105"/>
      <c r="J478" s="105"/>
      <c r="K478" s="105"/>
      <c r="L478" s="105"/>
    </row>
    <row r="479" ht="14.25" customHeight="1">
      <c r="I479" s="105"/>
      <c r="J479" s="105"/>
      <c r="K479" s="105"/>
      <c r="L479" s="105"/>
    </row>
    <row r="480" ht="14.25" customHeight="1">
      <c r="I480" s="105"/>
      <c r="J480" s="105"/>
      <c r="K480" s="105"/>
      <c r="L480" s="105"/>
    </row>
    <row r="481" ht="14.25" customHeight="1">
      <c r="I481" s="105"/>
      <c r="J481" s="105"/>
      <c r="K481" s="105"/>
      <c r="L481" s="105"/>
    </row>
    <row r="482" ht="14.25" customHeight="1">
      <c r="I482" s="105"/>
      <c r="J482" s="105"/>
      <c r="K482" s="105"/>
      <c r="L482" s="105"/>
    </row>
    <row r="483" ht="14.25" customHeight="1">
      <c r="I483" s="105"/>
      <c r="J483" s="105"/>
      <c r="K483" s="105"/>
      <c r="L483" s="105"/>
    </row>
    <row r="484" ht="14.25" customHeight="1">
      <c r="I484" s="105"/>
      <c r="J484" s="105"/>
      <c r="K484" s="105"/>
      <c r="L484" s="105"/>
    </row>
    <row r="485" ht="14.25" customHeight="1">
      <c r="I485" s="105"/>
      <c r="J485" s="105"/>
      <c r="K485" s="105"/>
      <c r="L485" s="105"/>
    </row>
    <row r="486" ht="14.25" customHeight="1">
      <c r="I486" s="105"/>
      <c r="J486" s="105"/>
      <c r="K486" s="105"/>
      <c r="L486" s="105"/>
    </row>
    <row r="487" ht="14.25" customHeight="1">
      <c r="I487" s="105"/>
      <c r="J487" s="105"/>
      <c r="K487" s="105"/>
      <c r="L487" s="105"/>
    </row>
    <row r="488" ht="14.25" customHeight="1">
      <c r="I488" s="105"/>
      <c r="J488" s="105"/>
      <c r="K488" s="105"/>
      <c r="L488" s="105"/>
    </row>
    <row r="489" ht="14.25" customHeight="1">
      <c r="I489" s="105"/>
      <c r="J489" s="105"/>
      <c r="K489" s="105"/>
      <c r="L489" s="105"/>
    </row>
    <row r="490" ht="14.25" customHeight="1">
      <c r="I490" s="105"/>
      <c r="J490" s="105"/>
      <c r="K490" s="105"/>
      <c r="L490" s="105"/>
    </row>
    <row r="491" ht="14.25" customHeight="1">
      <c r="I491" s="105"/>
      <c r="J491" s="105"/>
      <c r="K491" s="105"/>
      <c r="L491" s="105"/>
    </row>
    <row r="492" ht="14.25" customHeight="1">
      <c r="I492" s="105"/>
      <c r="J492" s="105"/>
      <c r="K492" s="105"/>
      <c r="L492" s="105"/>
    </row>
    <row r="493" ht="14.25" customHeight="1">
      <c r="I493" s="105"/>
      <c r="J493" s="105"/>
      <c r="K493" s="105"/>
      <c r="L493" s="105"/>
    </row>
    <row r="494" ht="14.25" customHeight="1">
      <c r="I494" s="105"/>
      <c r="J494" s="105"/>
      <c r="K494" s="105"/>
      <c r="L494" s="105"/>
    </row>
    <row r="495" ht="14.25" customHeight="1">
      <c r="I495" s="105"/>
      <c r="J495" s="105"/>
      <c r="K495" s="105"/>
      <c r="L495" s="105"/>
    </row>
    <row r="496" ht="14.25" customHeight="1">
      <c r="I496" s="105"/>
      <c r="J496" s="105"/>
      <c r="K496" s="105"/>
      <c r="L496" s="105"/>
    </row>
    <row r="497" ht="14.25" customHeight="1">
      <c r="I497" s="105"/>
      <c r="J497" s="105"/>
      <c r="K497" s="105"/>
      <c r="L497" s="105"/>
    </row>
    <row r="498" ht="14.25" customHeight="1">
      <c r="I498" s="105"/>
      <c r="J498" s="105"/>
      <c r="K498" s="105"/>
      <c r="L498" s="105"/>
    </row>
    <row r="499" ht="14.25" customHeight="1">
      <c r="I499" s="105"/>
      <c r="J499" s="105"/>
      <c r="K499" s="105"/>
      <c r="L499" s="105"/>
    </row>
    <row r="500" ht="14.25" customHeight="1">
      <c r="I500" s="105"/>
      <c r="J500" s="105"/>
      <c r="K500" s="105"/>
      <c r="L500" s="105"/>
    </row>
    <row r="501" ht="14.25" customHeight="1">
      <c r="I501" s="105"/>
      <c r="J501" s="105"/>
      <c r="K501" s="105"/>
      <c r="L501" s="105"/>
    </row>
    <row r="502" ht="14.25" customHeight="1">
      <c r="I502" s="105"/>
      <c r="J502" s="105"/>
      <c r="K502" s="105"/>
      <c r="L502" s="105"/>
    </row>
    <row r="503" ht="14.25" customHeight="1">
      <c r="I503" s="105"/>
      <c r="J503" s="105"/>
      <c r="K503" s="105"/>
      <c r="L503" s="105"/>
    </row>
    <row r="504" ht="14.25" customHeight="1">
      <c r="I504" s="105"/>
      <c r="J504" s="105"/>
      <c r="K504" s="105"/>
      <c r="L504" s="105"/>
    </row>
    <row r="505" ht="14.25" customHeight="1">
      <c r="I505" s="105"/>
      <c r="J505" s="105"/>
      <c r="K505" s="105"/>
      <c r="L505" s="105"/>
    </row>
    <row r="506" ht="14.25" customHeight="1">
      <c r="I506" s="105"/>
      <c r="J506" s="105"/>
      <c r="K506" s="105"/>
      <c r="L506" s="105"/>
    </row>
    <row r="507" ht="14.25" customHeight="1">
      <c r="I507" s="105"/>
      <c r="J507" s="105"/>
      <c r="K507" s="105"/>
      <c r="L507" s="105"/>
    </row>
    <row r="508" ht="14.25" customHeight="1">
      <c r="I508" s="105"/>
      <c r="J508" s="105"/>
      <c r="K508" s="105"/>
      <c r="L508" s="105"/>
    </row>
    <row r="509" ht="14.25" customHeight="1">
      <c r="I509" s="105"/>
      <c r="J509" s="105"/>
      <c r="K509" s="105"/>
      <c r="L509" s="105"/>
    </row>
    <row r="510" ht="14.25" customHeight="1">
      <c r="I510" s="105"/>
      <c r="J510" s="105"/>
      <c r="K510" s="105"/>
      <c r="L510" s="105"/>
    </row>
    <row r="511" ht="14.25" customHeight="1">
      <c r="I511" s="105"/>
      <c r="J511" s="105"/>
      <c r="K511" s="105"/>
      <c r="L511" s="105"/>
    </row>
    <row r="512" ht="14.25" customHeight="1">
      <c r="I512" s="105"/>
      <c r="J512" s="105"/>
      <c r="K512" s="105"/>
      <c r="L512" s="105"/>
    </row>
    <row r="513" ht="14.25" customHeight="1">
      <c r="I513" s="105"/>
      <c r="J513" s="105"/>
      <c r="K513" s="105"/>
      <c r="L513" s="105"/>
    </row>
    <row r="514" ht="14.25" customHeight="1">
      <c r="I514" s="105"/>
      <c r="J514" s="105"/>
      <c r="K514" s="105"/>
      <c r="L514" s="105"/>
    </row>
    <row r="515" ht="14.25" customHeight="1">
      <c r="I515" s="105"/>
      <c r="J515" s="105"/>
      <c r="K515" s="105"/>
      <c r="L515" s="105"/>
    </row>
    <row r="516" ht="14.25" customHeight="1">
      <c r="I516" s="105"/>
      <c r="J516" s="105"/>
      <c r="K516" s="105"/>
      <c r="L516" s="105"/>
    </row>
    <row r="517" ht="14.25" customHeight="1">
      <c r="I517" s="105"/>
      <c r="J517" s="105"/>
      <c r="K517" s="105"/>
      <c r="L517" s="105"/>
    </row>
    <row r="518" ht="14.25" customHeight="1">
      <c r="I518" s="105"/>
      <c r="J518" s="105"/>
      <c r="K518" s="105"/>
      <c r="L518" s="105"/>
    </row>
    <row r="519" ht="14.25" customHeight="1">
      <c r="I519" s="105"/>
      <c r="J519" s="105"/>
      <c r="K519" s="105"/>
      <c r="L519" s="105"/>
    </row>
    <row r="520" ht="14.25" customHeight="1">
      <c r="I520" s="105"/>
      <c r="J520" s="105"/>
      <c r="K520" s="105"/>
      <c r="L520" s="105"/>
    </row>
    <row r="521" ht="14.25" customHeight="1">
      <c r="I521" s="105"/>
      <c r="J521" s="105"/>
      <c r="K521" s="105"/>
      <c r="L521" s="105"/>
    </row>
    <row r="522" ht="14.25" customHeight="1">
      <c r="I522" s="105"/>
      <c r="J522" s="105"/>
      <c r="K522" s="105"/>
      <c r="L522" s="105"/>
    </row>
    <row r="523" ht="14.25" customHeight="1">
      <c r="I523" s="105"/>
      <c r="J523" s="105"/>
      <c r="K523" s="105"/>
      <c r="L523" s="105"/>
    </row>
    <row r="524" ht="14.25" customHeight="1">
      <c r="I524" s="105"/>
      <c r="J524" s="105"/>
      <c r="K524" s="105"/>
      <c r="L524" s="105"/>
    </row>
    <row r="525" ht="14.25" customHeight="1">
      <c r="I525" s="105"/>
      <c r="J525" s="105"/>
      <c r="K525" s="105"/>
      <c r="L525" s="105"/>
    </row>
    <row r="526" ht="14.25" customHeight="1">
      <c r="I526" s="105"/>
      <c r="J526" s="105"/>
      <c r="K526" s="105"/>
      <c r="L526" s="105"/>
    </row>
    <row r="527" ht="14.25" customHeight="1">
      <c r="I527" s="105"/>
      <c r="J527" s="105"/>
      <c r="K527" s="105"/>
      <c r="L527" s="105"/>
    </row>
    <row r="528" ht="14.25" customHeight="1">
      <c r="I528" s="105"/>
      <c r="J528" s="105"/>
      <c r="K528" s="105"/>
      <c r="L528" s="105"/>
    </row>
    <row r="529" ht="14.25" customHeight="1">
      <c r="I529" s="105"/>
      <c r="J529" s="105"/>
      <c r="K529" s="105"/>
      <c r="L529" s="105"/>
    </row>
    <row r="530" ht="14.25" customHeight="1">
      <c r="I530" s="105"/>
      <c r="J530" s="105"/>
      <c r="K530" s="105"/>
      <c r="L530" s="105"/>
    </row>
    <row r="531" ht="14.25" customHeight="1">
      <c r="I531" s="105"/>
      <c r="J531" s="105"/>
      <c r="K531" s="105"/>
      <c r="L531" s="105"/>
    </row>
    <row r="532" ht="14.25" customHeight="1">
      <c r="I532" s="105"/>
      <c r="J532" s="105"/>
      <c r="K532" s="105"/>
      <c r="L532" s="105"/>
    </row>
    <row r="533" ht="14.25" customHeight="1">
      <c r="I533" s="105"/>
      <c r="J533" s="105"/>
      <c r="K533" s="105"/>
      <c r="L533" s="105"/>
    </row>
    <row r="534" ht="14.25" customHeight="1">
      <c r="I534" s="105"/>
      <c r="J534" s="105"/>
      <c r="K534" s="105"/>
      <c r="L534" s="105"/>
    </row>
    <row r="535" ht="14.25" customHeight="1">
      <c r="I535" s="105"/>
      <c r="J535" s="105"/>
      <c r="K535" s="105"/>
      <c r="L535" s="105"/>
    </row>
    <row r="536" ht="14.25" customHeight="1">
      <c r="I536" s="105"/>
      <c r="J536" s="105"/>
      <c r="K536" s="105"/>
      <c r="L536" s="105"/>
    </row>
    <row r="537" ht="14.25" customHeight="1">
      <c r="I537" s="105"/>
      <c r="J537" s="105"/>
      <c r="K537" s="105"/>
      <c r="L537" s="105"/>
    </row>
    <row r="538" ht="14.25" customHeight="1">
      <c r="I538" s="105"/>
      <c r="J538" s="105"/>
      <c r="K538" s="105"/>
      <c r="L538" s="105"/>
    </row>
    <row r="539" ht="14.25" customHeight="1">
      <c r="I539" s="105"/>
      <c r="J539" s="105"/>
      <c r="K539" s="105"/>
      <c r="L539" s="105"/>
    </row>
    <row r="540" ht="14.25" customHeight="1">
      <c r="I540" s="105"/>
      <c r="J540" s="105"/>
      <c r="K540" s="105"/>
      <c r="L540" s="105"/>
    </row>
    <row r="541" ht="14.25" customHeight="1">
      <c r="I541" s="105"/>
      <c r="J541" s="105"/>
      <c r="K541" s="105"/>
      <c r="L541" s="105"/>
    </row>
    <row r="542" ht="14.25" customHeight="1">
      <c r="I542" s="105"/>
      <c r="J542" s="105"/>
      <c r="K542" s="105"/>
      <c r="L542" s="105"/>
    </row>
    <row r="543" ht="14.25" customHeight="1">
      <c r="I543" s="105"/>
      <c r="J543" s="105"/>
      <c r="K543" s="105"/>
      <c r="L543" s="105"/>
    </row>
    <row r="544" ht="14.25" customHeight="1">
      <c r="I544" s="105"/>
      <c r="J544" s="105"/>
      <c r="K544" s="105"/>
      <c r="L544" s="105"/>
    </row>
    <row r="545" ht="14.25" customHeight="1">
      <c r="I545" s="105"/>
      <c r="J545" s="105"/>
      <c r="K545" s="105"/>
      <c r="L545" s="105"/>
    </row>
    <row r="546" ht="14.25" customHeight="1">
      <c r="I546" s="105"/>
      <c r="J546" s="105"/>
      <c r="K546" s="105"/>
      <c r="L546" s="105"/>
    </row>
    <row r="547" ht="14.25" customHeight="1">
      <c r="I547" s="105"/>
      <c r="J547" s="105"/>
      <c r="K547" s="105"/>
      <c r="L547" s="105"/>
    </row>
    <row r="548" ht="14.25" customHeight="1">
      <c r="I548" s="105"/>
      <c r="J548" s="105"/>
      <c r="K548" s="105"/>
      <c r="L548" s="105"/>
    </row>
    <row r="549" ht="14.25" customHeight="1">
      <c r="I549" s="105"/>
      <c r="J549" s="105"/>
      <c r="K549" s="105"/>
      <c r="L549" s="105"/>
    </row>
    <row r="550" ht="14.25" customHeight="1">
      <c r="I550" s="105"/>
      <c r="J550" s="105"/>
      <c r="K550" s="105"/>
      <c r="L550" s="105"/>
    </row>
    <row r="551" ht="14.25" customHeight="1">
      <c r="I551" s="105"/>
      <c r="J551" s="105"/>
      <c r="K551" s="105"/>
      <c r="L551" s="105"/>
    </row>
    <row r="552" ht="14.25" customHeight="1">
      <c r="I552" s="105"/>
      <c r="J552" s="105"/>
      <c r="K552" s="105"/>
      <c r="L552" s="105"/>
    </row>
    <row r="553" ht="14.25" customHeight="1">
      <c r="I553" s="105"/>
      <c r="J553" s="105"/>
      <c r="K553" s="105"/>
      <c r="L553" s="105"/>
    </row>
    <row r="554" ht="14.25" customHeight="1">
      <c r="I554" s="105"/>
      <c r="J554" s="105"/>
      <c r="K554" s="105"/>
      <c r="L554" s="105"/>
    </row>
    <row r="555" ht="14.25" customHeight="1">
      <c r="I555" s="105"/>
      <c r="J555" s="105"/>
      <c r="K555" s="105"/>
      <c r="L555" s="105"/>
    </row>
    <row r="556" ht="14.25" customHeight="1">
      <c r="I556" s="105"/>
      <c r="J556" s="105"/>
      <c r="K556" s="105"/>
      <c r="L556" s="105"/>
    </row>
    <row r="557" ht="14.25" customHeight="1">
      <c r="I557" s="105"/>
      <c r="J557" s="105"/>
      <c r="K557" s="105"/>
      <c r="L557" s="105"/>
    </row>
    <row r="558" ht="14.25" customHeight="1">
      <c r="I558" s="105"/>
      <c r="J558" s="105"/>
      <c r="K558" s="105"/>
      <c r="L558" s="105"/>
    </row>
    <row r="559" ht="14.25" customHeight="1">
      <c r="I559" s="105"/>
      <c r="J559" s="105"/>
      <c r="K559" s="105"/>
      <c r="L559" s="105"/>
    </row>
    <row r="560" ht="14.25" customHeight="1">
      <c r="I560" s="105"/>
      <c r="J560" s="105"/>
      <c r="K560" s="105"/>
      <c r="L560" s="105"/>
    </row>
    <row r="561" ht="14.25" customHeight="1">
      <c r="I561" s="105"/>
      <c r="J561" s="105"/>
      <c r="K561" s="105"/>
      <c r="L561" s="105"/>
    </row>
    <row r="562" ht="14.25" customHeight="1">
      <c r="I562" s="105"/>
      <c r="J562" s="105"/>
      <c r="K562" s="105"/>
      <c r="L562" s="105"/>
    </row>
    <row r="563" ht="14.25" customHeight="1">
      <c r="I563" s="105"/>
      <c r="J563" s="105"/>
      <c r="K563" s="105"/>
      <c r="L563" s="105"/>
    </row>
    <row r="564" ht="14.25" customHeight="1">
      <c r="I564" s="105"/>
      <c r="J564" s="105"/>
      <c r="K564" s="105"/>
      <c r="L564" s="105"/>
    </row>
    <row r="565" ht="14.25" customHeight="1">
      <c r="I565" s="105"/>
      <c r="J565" s="105"/>
      <c r="K565" s="105"/>
      <c r="L565" s="105"/>
    </row>
    <row r="566" ht="14.25" customHeight="1">
      <c r="I566" s="105"/>
      <c r="J566" s="105"/>
      <c r="K566" s="105"/>
      <c r="L566" s="105"/>
    </row>
    <row r="567" ht="14.25" customHeight="1">
      <c r="I567" s="105"/>
      <c r="J567" s="105"/>
      <c r="K567" s="105"/>
      <c r="L567" s="105"/>
    </row>
    <row r="568" ht="14.25" customHeight="1">
      <c r="I568" s="105"/>
      <c r="J568" s="105"/>
      <c r="K568" s="105"/>
      <c r="L568" s="105"/>
    </row>
    <row r="569" ht="14.25" customHeight="1">
      <c r="I569" s="105"/>
      <c r="J569" s="105"/>
      <c r="K569" s="105"/>
      <c r="L569" s="105"/>
    </row>
    <row r="570" ht="14.25" customHeight="1">
      <c r="I570" s="105"/>
      <c r="J570" s="105"/>
      <c r="K570" s="105"/>
      <c r="L570" s="105"/>
    </row>
    <row r="571" ht="14.25" customHeight="1">
      <c r="I571" s="105"/>
      <c r="J571" s="105"/>
      <c r="K571" s="105"/>
      <c r="L571" s="105"/>
    </row>
    <row r="572" ht="14.25" customHeight="1">
      <c r="I572" s="105"/>
      <c r="J572" s="105"/>
      <c r="K572" s="105"/>
      <c r="L572" s="105"/>
    </row>
    <row r="573" ht="14.25" customHeight="1">
      <c r="I573" s="105"/>
      <c r="J573" s="105"/>
      <c r="K573" s="105"/>
      <c r="L573" s="105"/>
    </row>
    <row r="574" ht="14.25" customHeight="1">
      <c r="I574" s="105"/>
      <c r="J574" s="105"/>
      <c r="K574" s="105"/>
      <c r="L574" s="105"/>
    </row>
    <row r="575" ht="14.25" customHeight="1">
      <c r="I575" s="105"/>
      <c r="J575" s="105"/>
      <c r="K575" s="105"/>
      <c r="L575" s="105"/>
    </row>
    <row r="576" ht="14.25" customHeight="1">
      <c r="I576" s="105"/>
      <c r="J576" s="105"/>
      <c r="K576" s="105"/>
      <c r="L576" s="105"/>
    </row>
    <row r="577" ht="14.25" customHeight="1">
      <c r="I577" s="105"/>
      <c r="J577" s="105"/>
      <c r="K577" s="105"/>
      <c r="L577" s="105"/>
    </row>
    <row r="578" ht="14.25" customHeight="1">
      <c r="I578" s="105"/>
      <c r="J578" s="105"/>
      <c r="K578" s="105"/>
      <c r="L578" s="105"/>
    </row>
    <row r="579" ht="14.25" customHeight="1">
      <c r="I579" s="105"/>
      <c r="J579" s="105"/>
      <c r="K579" s="105"/>
      <c r="L579" s="105"/>
    </row>
    <row r="580" ht="14.25" customHeight="1">
      <c r="I580" s="105"/>
      <c r="J580" s="105"/>
      <c r="K580" s="105"/>
      <c r="L580" s="105"/>
    </row>
    <row r="581" ht="14.25" customHeight="1">
      <c r="I581" s="105"/>
      <c r="J581" s="105"/>
      <c r="K581" s="105"/>
      <c r="L581" s="105"/>
    </row>
    <row r="582" ht="14.25" customHeight="1">
      <c r="I582" s="105"/>
      <c r="J582" s="105"/>
      <c r="K582" s="105"/>
      <c r="L582" s="105"/>
    </row>
    <row r="583" ht="14.25" customHeight="1">
      <c r="I583" s="105"/>
      <c r="J583" s="105"/>
      <c r="K583" s="105"/>
      <c r="L583" s="105"/>
    </row>
    <row r="584" ht="14.25" customHeight="1">
      <c r="I584" s="105"/>
      <c r="J584" s="105"/>
      <c r="K584" s="105"/>
      <c r="L584" s="105"/>
    </row>
    <row r="585" ht="14.25" customHeight="1">
      <c r="I585" s="105"/>
      <c r="J585" s="105"/>
      <c r="K585" s="105"/>
      <c r="L585" s="105"/>
    </row>
    <row r="586" ht="14.25" customHeight="1">
      <c r="I586" s="105"/>
      <c r="J586" s="105"/>
      <c r="K586" s="105"/>
      <c r="L586" s="105"/>
    </row>
    <row r="587" ht="14.25" customHeight="1">
      <c r="I587" s="105"/>
      <c r="J587" s="105"/>
      <c r="K587" s="105"/>
      <c r="L587" s="105"/>
    </row>
    <row r="588" ht="14.25" customHeight="1">
      <c r="I588" s="105"/>
      <c r="J588" s="105"/>
      <c r="K588" s="105"/>
      <c r="L588" s="105"/>
    </row>
    <row r="589" ht="14.25" customHeight="1">
      <c r="I589" s="105"/>
      <c r="J589" s="105"/>
      <c r="K589" s="105"/>
      <c r="L589" s="105"/>
    </row>
    <row r="590" ht="14.25" customHeight="1">
      <c r="I590" s="105"/>
      <c r="J590" s="105"/>
      <c r="K590" s="105"/>
      <c r="L590" s="105"/>
    </row>
    <row r="591" ht="14.25" customHeight="1">
      <c r="I591" s="105"/>
      <c r="J591" s="105"/>
      <c r="K591" s="105"/>
      <c r="L591" s="105"/>
    </row>
    <row r="592" ht="14.25" customHeight="1">
      <c r="I592" s="105"/>
      <c r="J592" s="105"/>
      <c r="K592" s="105"/>
      <c r="L592" s="105"/>
    </row>
    <row r="593" ht="14.25" customHeight="1">
      <c r="I593" s="105"/>
      <c r="J593" s="105"/>
      <c r="K593" s="105"/>
      <c r="L593" s="105"/>
    </row>
    <row r="594" ht="14.25" customHeight="1">
      <c r="I594" s="105"/>
      <c r="J594" s="105"/>
      <c r="K594" s="105"/>
      <c r="L594" s="105"/>
    </row>
    <row r="595" ht="14.25" customHeight="1">
      <c r="I595" s="105"/>
      <c r="J595" s="105"/>
      <c r="K595" s="105"/>
      <c r="L595" s="105"/>
    </row>
    <row r="596" ht="14.25" customHeight="1">
      <c r="I596" s="105"/>
      <c r="J596" s="105"/>
      <c r="K596" s="105"/>
      <c r="L596" s="105"/>
    </row>
    <row r="597" ht="14.25" customHeight="1">
      <c r="I597" s="105"/>
      <c r="J597" s="105"/>
      <c r="K597" s="105"/>
      <c r="L597" s="105"/>
    </row>
    <row r="598" ht="14.25" customHeight="1">
      <c r="I598" s="105"/>
      <c r="J598" s="105"/>
      <c r="K598" s="105"/>
      <c r="L598" s="105"/>
    </row>
    <row r="599" ht="14.25" customHeight="1">
      <c r="I599" s="105"/>
      <c r="J599" s="105"/>
      <c r="K599" s="105"/>
      <c r="L599" s="105"/>
    </row>
    <row r="600" ht="14.25" customHeight="1">
      <c r="I600" s="105"/>
      <c r="J600" s="105"/>
      <c r="K600" s="105"/>
      <c r="L600" s="105"/>
    </row>
    <row r="601" ht="14.25" customHeight="1">
      <c r="I601" s="105"/>
      <c r="J601" s="105"/>
      <c r="K601" s="105"/>
      <c r="L601" s="105"/>
    </row>
    <row r="602" ht="14.25" customHeight="1">
      <c r="I602" s="105"/>
      <c r="J602" s="105"/>
      <c r="K602" s="105"/>
      <c r="L602" s="105"/>
    </row>
    <row r="603" ht="14.25" customHeight="1">
      <c r="I603" s="105"/>
      <c r="J603" s="105"/>
      <c r="K603" s="105"/>
      <c r="L603" s="105"/>
    </row>
    <row r="604" ht="14.25" customHeight="1">
      <c r="I604" s="105"/>
      <c r="J604" s="105"/>
      <c r="K604" s="105"/>
      <c r="L604" s="105"/>
    </row>
    <row r="605" ht="14.25" customHeight="1">
      <c r="I605" s="105"/>
      <c r="J605" s="105"/>
      <c r="K605" s="105"/>
      <c r="L605" s="105"/>
    </row>
    <row r="606" ht="14.25" customHeight="1">
      <c r="I606" s="105"/>
      <c r="J606" s="105"/>
      <c r="K606" s="105"/>
      <c r="L606" s="105"/>
    </row>
    <row r="607" ht="14.25" customHeight="1">
      <c r="I607" s="105"/>
      <c r="J607" s="105"/>
      <c r="K607" s="105"/>
      <c r="L607" s="105"/>
    </row>
    <row r="608" ht="14.25" customHeight="1">
      <c r="I608" s="105"/>
      <c r="J608" s="105"/>
      <c r="K608" s="105"/>
      <c r="L608" s="105"/>
    </row>
    <row r="609" ht="14.25" customHeight="1">
      <c r="I609" s="105"/>
      <c r="J609" s="105"/>
      <c r="K609" s="105"/>
      <c r="L609" s="105"/>
    </row>
    <row r="610" ht="14.25" customHeight="1">
      <c r="I610" s="105"/>
      <c r="J610" s="105"/>
      <c r="K610" s="105"/>
      <c r="L610" s="105"/>
    </row>
    <row r="611" ht="14.25" customHeight="1">
      <c r="I611" s="105"/>
      <c r="J611" s="105"/>
      <c r="K611" s="105"/>
      <c r="L611" s="105"/>
    </row>
    <row r="612" ht="14.25" customHeight="1">
      <c r="I612" s="105"/>
      <c r="J612" s="105"/>
      <c r="K612" s="105"/>
      <c r="L612" s="105"/>
    </row>
    <row r="613" ht="14.25" customHeight="1">
      <c r="I613" s="105"/>
      <c r="J613" s="105"/>
      <c r="K613" s="105"/>
      <c r="L613" s="105"/>
    </row>
    <row r="614" ht="14.25" customHeight="1">
      <c r="I614" s="105"/>
      <c r="J614" s="105"/>
      <c r="K614" s="105"/>
      <c r="L614" s="105"/>
    </row>
    <row r="615" ht="14.25" customHeight="1">
      <c r="I615" s="105"/>
      <c r="J615" s="105"/>
      <c r="K615" s="105"/>
      <c r="L615" s="105"/>
    </row>
    <row r="616" ht="14.25" customHeight="1">
      <c r="I616" s="105"/>
      <c r="J616" s="105"/>
      <c r="K616" s="105"/>
      <c r="L616" s="105"/>
    </row>
    <row r="617" ht="14.25" customHeight="1">
      <c r="I617" s="105"/>
      <c r="J617" s="105"/>
      <c r="K617" s="105"/>
      <c r="L617" s="105"/>
    </row>
    <row r="618" ht="14.25" customHeight="1">
      <c r="I618" s="105"/>
      <c r="J618" s="105"/>
      <c r="K618" s="105"/>
      <c r="L618" s="105"/>
    </row>
    <row r="619" ht="14.25" customHeight="1">
      <c r="I619" s="105"/>
      <c r="J619" s="105"/>
      <c r="K619" s="105"/>
      <c r="L619" s="105"/>
    </row>
    <row r="620" ht="14.25" customHeight="1">
      <c r="I620" s="105"/>
      <c r="J620" s="105"/>
      <c r="K620" s="105"/>
      <c r="L620" s="105"/>
    </row>
    <row r="621" ht="14.25" customHeight="1">
      <c r="I621" s="105"/>
      <c r="J621" s="105"/>
      <c r="K621" s="105"/>
      <c r="L621" s="105"/>
    </row>
    <row r="622" ht="14.25" customHeight="1">
      <c r="I622" s="105"/>
      <c r="J622" s="105"/>
      <c r="K622" s="105"/>
      <c r="L622" s="105"/>
    </row>
    <row r="623" ht="14.25" customHeight="1">
      <c r="I623" s="105"/>
      <c r="J623" s="105"/>
      <c r="K623" s="105"/>
      <c r="L623" s="105"/>
    </row>
    <row r="624" ht="14.25" customHeight="1">
      <c r="I624" s="105"/>
      <c r="J624" s="105"/>
      <c r="K624" s="105"/>
      <c r="L624" s="105"/>
    </row>
    <row r="625" ht="14.25" customHeight="1">
      <c r="I625" s="105"/>
      <c r="J625" s="105"/>
      <c r="K625" s="105"/>
      <c r="L625" s="105"/>
    </row>
    <row r="626" ht="14.25" customHeight="1">
      <c r="I626" s="105"/>
      <c r="J626" s="105"/>
      <c r="K626" s="105"/>
      <c r="L626" s="105"/>
    </row>
    <row r="627" ht="14.25" customHeight="1">
      <c r="I627" s="105"/>
      <c r="J627" s="105"/>
      <c r="K627" s="105"/>
      <c r="L627" s="105"/>
    </row>
    <row r="628" ht="14.25" customHeight="1">
      <c r="I628" s="105"/>
      <c r="J628" s="105"/>
      <c r="K628" s="105"/>
      <c r="L628" s="105"/>
    </row>
    <row r="629" ht="14.25" customHeight="1">
      <c r="I629" s="105"/>
      <c r="J629" s="105"/>
      <c r="K629" s="105"/>
      <c r="L629" s="105"/>
    </row>
    <row r="630" ht="14.25" customHeight="1">
      <c r="I630" s="105"/>
      <c r="J630" s="105"/>
      <c r="K630" s="105"/>
      <c r="L630" s="105"/>
    </row>
    <row r="631" ht="14.25" customHeight="1">
      <c r="I631" s="105"/>
      <c r="J631" s="105"/>
      <c r="K631" s="105"/>
      <c r="L631" s="105"/>
    </row>
    <row r="632" ht="14.25" customHeight="1">
      <c r="I632" s="105"/>
      <c r="J632" s="105"/>
      <c r="K632" s="105"/>
      <c r="L632" s="105"/>
    </row>
    <row r="633" ht="14.25" customHeight="1">
      <c r="I633" s="105"/>
      <c r="J633" s="105"/>
      <c r="K633" s="105"/>
      <c r="L633" s="105"/>
    </row>
    <row r="634" ht="14.25" customHeight="1">
      <c r="I634" s="105"/>
      <c r="J634" s="105"/>
      <c r="K634" s="105"/>
      <c r="L634" s="105"/>
    </row>
    <row r="635" ht="14.25" customHeight="1">
      <c r="I635" s="105"/>
      <c r="J635" s="105"/>
      <c r="K635" s="105"/>
      <c r="L635" s="105"/>
    </row>
    <row r="636" ht="14.25" customHeight="1">
      <c r="I636" s="105"/>
      <c r="J636" s="105"/>
      <c r="K636" s="105"/>
      <c r="L636" s="105"/>
    </row>
    <row r="637" ht="14.25" customHeight="1">
      <c r="I637" s="105"/>
      <c r="J637" s="105"/>
      <c r="K637" s="105"/>
      <c r="L637" s="105"/>
    </row>
    <row r="638" ht="14.25" customHeight="1">
      <c r="I638" s="105"/>
      <c r="J638" s="105"/>
      <c r="K638" s="105"/>
      <c r="L638" s="105"/>
    </row>
    <row r="639" ht="14.25" customHeight="1">
      <c r="I639" s="105"/>
      <c r="J639" s="105"/>
      <c r="K639" s="105"/>
      <c r="L639" s="105"/>
    </row>
    <row r="640" ht="14.25" customHeight="1">
      <c r="I640" s="105"/>
      <c r="J640" s="105"/>
      <c r="K640" s="105"/>
      <c r="L640" s="105"/>
    </row>
    <row r="641" ht="14.25" customHeight="1">
      <c r="I641" s="105"/>
      <c r="J641" s="105"/>
      <c r="K641" s="105"/>
      <c r="L641" s="105"/>
    </row>
    <row r="642" ht="14.25" customHeight="1">
      <c r="I642" s="105"/>
      <c r="J642" s="105"/>
      <c r="K642" s="105"/>
      <c r="L642" s="105"/>
    </row>
    <row r="643" ht="14.25" customHeight="1">
      <c r="I643" s="105"/>
      <c r="J643" s="105"/>
      <c r="K643" s="105"/>
      <c r="L643" s="105"/>
    </row>
    <row r="644" ht="14.25" customHeight="1">
      <c r="I644" s="105"/>
      <c r="J644" s="105"/>
      <c r="K644" s="105"/>
      <c r="L644" s="105"/>
    </row>
    <row r="645" ht="14.25" customHeight="1">
      <c r="I645" s="105"/>
      <c r="J645" s="105"/>
      <c r="K645" s="105"/>
      <c r="L645" s="105"/>
    </row>
    <row r="646" ht="14.25" customHeight="1">
      <c r="I646" s="105"/>
      <c r="J646" s="105"/>
      <c r="K646" s="105"/>
      <c r="L646" s="105"/>
    </row>
    <row r="647" ht="14.25" customHeight="1">
      <c r="I647" s="105"/>
      <c r="J647" s="105"/>
      <c r="K647" s="105"/>
      <c r="L647" s="105"/>
    </row>
    <row r="648" ht="14.25" customHeight="1">
      <c r="I648" s="105"/>
      <c r="J648" s="105"/>
      <c r="K648" s="105"/>
      <c r="L648" s="105"/>
    </row>
    <row r="649" ht="14.25" customHeight="1">
      <c r="I649" s="105"/>
      <c r="J649" s="105"/>
      <c r="K649" s="105"/>
      <c r="L649" s="105"/>
    </row>
    <row r="650" ht="14.25" customHeight="1">
      <c r="I650" s="105"/>
      <c r="J650" s="105"/>
      <c r="K650" s="105"/>
      <c r="L650" s="105"/>
    </row>
    <row r="651" ht="14.25" customHeight="1">
      <c r="I651" s="105"/>
      <c r="J651" s="105"/>
      <c r="K651" s="105"/>
      <c r="L651" s="105"/>
    </row>
    <row r="652" ht="14.25" customHeight="1">
      <c r="I652" s="105"/>
      <c r="J652" s="105"/>
      <c r="K652" s="105"/>
      <c r="L652" s="105"/>
    </row>
    <row r="653" ht="14.25" customHeight="1">
      <c r="I653" s="105"/>
      <c r="J653" s="105"/>
      <c r="K653" s="105"/>
      <c r="L653" s="105"/>
    </row>
    <row r="654" ht="14.25" customHeight="1">
      <c r="I654" s="105"/>
      <c r="J654" s="105"/>
      <c r="K654" s="105"/>
      <c r="L654" s="105"/>
    </row>
    <row r="655" ht="14.25" customHeight="1">
      <c r="I655" s="105"/>
      <c r="J655" s="105"/>
      <c r="K655" s="105"/>
      <c r="L655" s="105"/>
    </row>
    <row r="656" ht="14.25" customHeight="1">
      <c r="I656" s="105"/>
      <c r="J656" s="105"/>
      <c r="K656" s="105"/>
      <c r="L656" s="105"/>
    </row>
    <row r="657" ht="14.25" customHeight="1">
      <c r="I657" s="105"/>
      <c r="J657" s="105"/>
      <c r="K657" s="105"/>
      <c r="L657" s="105"/>
    </row>
    <row r="658" ht="14.25" customHeight="1">
      <c r="I658" s="105"/>
      <c r="J658" s="105"/>
      <c r="K658" s="105"/>
      <c r="L658" s="105"/>
    </row>
    <row r="659" ht="14.25" customHeight="1">
      <c r="I659" s="105"/>
      <c r="J659" s="105"/>
      <c r="K659" s="105"/>
      <c r="L659" s="105"/>
    </row>
    <row r="660" ht="14.25" customHeight="1">
      <c r="I660" s="105"/>
      <c r="J660" s="105"/>
      <c r="K660" s="105"/>
      <c r="L660" s="105"/>
    </row>
    <row r="661" ht="14.25" customHeight="1">
      <c r="I661" s="105"/>
      <c r="J661" s="105"/>
      <c r="K661" s="105"/>
      <c r="L661" s="105"/>
    </row>
    <row r="662" ht="14.25" customHeight="1">
      <c r="I662" s="105"/>
      <c r="J662" s="105"/>
      <c r="K662" s="105"/>
      <c r="L662" s="105"/>
    </row>
    <row r="663" ht="14.25" customHeight="1">
      <c r="I663" s="105"/>
      <c r="J663" s="105"/>
      <c r="K663" s="105"/>
      <c r="L663" s="105"/>
    </row>
    <row r="664" ht="14.25" customHeight="1">
      <c r="I664" s="105"/>
      <c r="J664" s="105"/>
      <c r="K664" s="105"/>
      <c r="L664" s="105"/>
    </row>
    <row r="665" ht="14.25" customHeight="1">
      <c r="I665" s="105"/>
      <c r="J665" s="105"/>
      <c r="K665" s="105"/>
      <c r="L665" s="105"/>
    </row>
    <row r="666" ht="14.25" customHeight="1">
      <c r="I666" s="105"/>
      <c r="J666" s="105"/>
      <c r="K666" s="105"/>
      <c r="L666" s="105"/>
    </row>
    <row r="667" ht="14.25" customHeight="1">
      <c r="I667" s="105"/>
      <c r="J667" s="105"/>
      <c r="K667" s="105"/>
      <c r="L667" s="105"/>
    </row>
    <row r="668" ht="14.25" customHeight="1">
      <c r="I668" s="105"/>
      <c r="J668" s="105"/>
      <c r="K668" s="105"/>
      <c r="L668" s="105"/>
    </row>
    <row r="669" ht="14.25" customHeight="1">
      <c r="I669" s="105"/>
      <c r="J669" s="105"/>
      <c r="K669" s="105"/>
      <c r="L669" s="105"/>
    </row>
    <row r="670" ht="14.25" customHeight="1">
      <c r="I670" s="105"/>
      <c r="J670" s="105"/>
      <c r="K670" s="105"/>
      <c r="L670" s="105"/>
    </row>
    <row r="671" ht="14.25" customHeight="1">
      <c r="I671" s="105"/>
      <c r="J671" s="105"/>
      <c r="K671" s="105"/>
      <c r="L671" s="105"/>
    </row>
    <row r="672" ht="14.25" customHeight="1">
      <c r="I672" s="105"/>
      <c r="J672" s="105"/>
      <c r="K672" s="105"/>
      <c r="L672" s="105"/>
    </row>
    <row r="673" ht="14.25" customHeight="1">
      <c r="I673" s="105"/>
      <c r="J673" s="105"/>
      <c r="K673" s="105"/>
      <c r="L673" s="105"/>
    </row>
    <row r="674" ht="14.25" customHeight="1">
      <c r="I674" s="105"/>
      <c r="J674" s="105"/>
      <c r="K674" s="105"/>
      <c r="L674" s="105"/>
    </row>
    <row r="675" ht="14.25" customHeight="1">
      <c r="I675" s="105"/>
      <c r="J675" s="105"/>
      <c r="K675" s="105"/>
      <c r="L675" s="105"/>
    </row>
    <row r="676" ht="14.25" customHeight="1">
      <c r="I676" s="105"/>
      <c r="J676" s="105"/>
      <c r="K676" s="105"/>
      <c r="L676" s="105"/>
    </row>
    <row r="677" ht="14.25" customHeight="1">
      <c r="I677" s="105"/>
      <c r="J677" s="105"/>
      <c r="K677" s="105"/>
      <c r="L677" s="105"/>
    </row>
    <row r="678" ht="14.25" customHeight="1">
      <c r="I678" s="105"/>
      <c r="J678" s="105"/>
      <c r="K678" s="105"/>
      <c r="L678" s="105"/>
    </row>
    <row r="679" ht="14.25" customHeight="1">
      <c r="I679" s="105"/>
      <c r="J679" s="105"/>
      <c r="K679" s="105"/>
      <c r="L679" s="105"/>
    </row>
    <row r="680" ht="14.25" customHeight="1">
      <c r="I680" s="105"/>
      <c r="J680" s="105"/>
      <c r="K680" s="105"/>
      <c r="L680" s="105"/>
    </row>
    <row r="681" ht="14.25" customHeight="1">
      <c r="I681" s="105"/>
      <c r="J681" s="105"/>
      <c r="K681" s="105"/>
      <c r="L681" s="105"/>
    </row>
    <row r="682" ht="14.25" customHeight="1">
      <c r="I682" s="105"/>
      <c r="J682" s="105"/>
      <c r="K682" s="105"/>
      <c r="L682" s="105"/>
    </row>
    <row r="683" ht="14.25" customHeight="1">
      <c r="I683" s="105"/>
      <c r="J683" s="105"/>
      <c r="K683" s="105"/>
      <c r="L683" s="105"/>
    </row>
    <row r="684" ht="14.25" customHeight="1">
      <c r="I684" s="105"/>
      <c r="J684" s="105"/>
      <c r="K684" s="105"/>
      <c r="L684" s="105"/>
    </row>
    <row r="685" ht="14.25" customHeight="1">
      <c r="I685" s="105"/>
      <c r="J685" s="105"/>
      <c r="K685" s="105"/>
      <c r="L685" s="105"/>
    </row>
    <row r="686" ht="14.25" customHeight="1">
      <c r="I686" s="105"/>
      <c r="J686" s="105"/>
      <c r="K686" s="105"/>
      <c r="L686" s="105"/>
    </row>
    <row r="687" ht="14.25" customHeight="1">
      <c r="I687" s="105"/>
      <c r="J687" s="105"/>
      <c r="K687" s="105"/>
      <c r="L687" s="105"/>
    </row>
    <row r="688" ht="14.25" customHeight="1">
      <c r="I688" s="105"/>
      <c r="J688" s="105"/>
      <c r="K688" s="105"/>
      <c r="L688" s="105"/>
    </row>
    <row r="689" ht="14.25" customHeight="1">
      <c r="I689" s="105"/>
      <c r="J689" s="105"/>
      <c r="K689" s="105"/>
      <c r="L689" s="105"/>
    </row>
    <row r="690" ht="14.25" customHeight="1">
      <c r="I690" s="105"/>
      <c r="J690" s="105"/>
      <c r="K690" s="105"/>
      <c r="L690" s="105"/>
    </row>
    <row r="691" ht="14.25" customHeight="1">
      <c r="I691" s="105"/>
      <c r="J691" s="105"/>
      <c r="K691" s="105"/>
      <c r="L691" s="105"/>
    </row>
    <row r="692" ht="14.25" customHeight="1">
      <c r="I692" s="105"/>
      <c r="J692" s="105"/>
      <c r="K692" s="105"/>
      <c r="L692" s="105"/>
    </row>
    <row r="693" ht="14.25" customHeight="1">
      <c r="I693" s="105"/>
      <c r="J693" s="105"/>
      <c r="K693" s="105"/>
      <c r="L693" s="105"/>
    </row>
    <row r="694" ht="14.25" customHeight="1">
      <c r="I694" s="105"/>
      <c r="J694" s="105"/>
      <c r="K694" s="105"/>
      <c r="L694" s="105"/>
    </row>
    <row r="695" ht="14.25" customHeight="1">
      <c r="I695" s="105"/>
      <c r="J695" s="105"/>
      <c r="K695" s="105"/>
      <c r="L695" s="105"/>
    </row>
    <row r="696" ht="14.25" customHeight="1">
      <c r="I696" s="105"/>
      <c r="J696" s="105"/>
      <c r="K696" s="105"/>
      <c r="L696" s="105"/>
    </row>
    <row r="697" ht="14.25" customHeight="1">
      <c r="I697" s="105"/>
      <c r="J697" s="105"/>
      <c r="K697" s="105"/>
      <c r="L697" s="105"/>
    </row>
    <row r="698" ht="14.25" customHeight="1">
      <c r="I698" s="105"/>
      <c r="J698" s="105"/>
      <c r="K698" s="105"/>
      <c r="L698" s="105"/>
    </row>
    <row r="699" ht="14.25" customHeight="1">
      <c r="I699" s="105"/>
      <c r="J699" s="105"/>
      <c r="K699" s="105"/>
      <c r="L699" s="105"/>
    </row>
    <row r="700" ht="14.25" customHeight="1">
      <c r="I700" s="105"/>
      <c r="J700" s="105"/>
      <c r="K700" s="105"/>
      <c r="L700" s="105"/>
    </row>
    <row r="701" ht="14.25" customHeight="1">
      <c r="I701" s="105"/>
      <c r="J701" s="105"/>
      <c r="K701" s="105"/>
      <c r="L701" s="105"/>
    </row>
    <row r="702" ht="14.25" customHeight="1">
      <c r="I702" s="105"/>
      <c r="J702" s="105"/>
      <c r="K702" s="105"/>
      <c r="L702" s="105"/>
    </row>
    <row r="703" ht="14.25" customHeight="1">
      <c r="I703" s="105"/>
      <c r="J703" s="105"/>
      <c r="K703" s="105"/>
      <c r="L703" s="105"/>
    </row>
    <row r="704" ht="14.25" customHeight="1">
      <c r="I704" s="105"/>
      <c r="J704" s="105"/>
      <c r="K704" s="105"/>
      <c r="L704" s="105"/>
    </row>
    <row r="705" ht="14.25" customHeight="1">
      <c r="I705" s="105"/>
      <c r="J705" s="105"/>
      <c r="K705" s="105"/>
      <c r="L705" s="105"/>
    </row>
    <row r="706" ht="14.25" customHeight="1">
      <c r="I706" s="105"/>
      <c r="J706" s="105"/>
      <c r="K706" s="105"/>
      <c r="L706" s="105"/>
    </row>
    <row r="707" ht="14.25" customHeight="1">
      <c r="I707" s="105"/>
      <c r="J707" s="105"/>
      <c r="K707" s="105"/>
      <c r="L707" s="105"/>
    </row>
    <row r="708" ht="14.25" customHeight="1">
      <c r="I708" s="105"/>
      <c r="J708" s="105"/>
      <c r="K708" s="105"/>
      <c r="L708" s="105"/>
    </row>
    <row r="709" ht="14.25" customHeight="1">
      <c r="I709" s="105"/>
      <c r="J709" s="105"/>
      <c r="K709" s="105"/>
      <c r="L709" s="105"/>
    </row>
    <row r="710" ht="14.25" customHeight="1">
      <c r="I710" s="105"/>
      <c r="J710" s="105"/>
      <c r="K710" s="105"/>
      <c r="L710" s="105"/>
    </row>
    <row r="711" ht="14.25" customHeight="1">
      <c r="I711" s="105"/>
      <c r="J711" s="105"/>
      <c r="K711" s="105"/>
      <c r="L711" s="105"/>
    </row>
    <row r="712" ht="14.25" customHeight="1">
      <c r="I712" s="105"/>
      <c r="J712" s="105"/>
      <c r="K712" s="105"/>
      <c r="L712" s="105"/>
    </row>
    <row r="713" ht="14.25" customHeight="1">
      <c r="I713" s="105"/>
      <c r="J713" s="105"/>
      <c r="K713" s="105"/>
      <c r="L713" s="105"/>
    </row>
    <row r="714" ht="14.25" customHeight="1">
      <c r="I714" s="105"/>
      <c r="J714" s="105"/>
      <c r="K714" s="105"/>
      <c r="L714" s="105"/>
    </row>
    <row r="715" ht="14.25" customHeight="1">
      <c r="I715" s="105"/>
      <c r="J715" s="105"/>
      <c r="K715" s="105"/>
      <c r="L715" s="105"/>
    </row>
    <row r="716" ht="14.25" customHeight="1">
      <c r="I716" s="105"/>
      <c r="J716" s="105"/>
      <c r="K716" s="105"/>
      <c r="L716" s="105"/>
    </row>
    <row r="717" ht="14.25" customHeight="1">
      <c r="I717" s="105"/>
      <c r="J717" s="105"/>
      <c r="K717" s="105"/>
      <c r="L717" s="105"/>
    </row>
    <row r="718" ht="14.25" customHeight="1">
      <c r="I718" s="105"/>
      <c r="J718" s="105"/>
      <c r="K718" s="105"/>
      <c r="L718" s="105"/>
    </row>
    <row r="719" ht="14.25" customHeight="1">
      <c r="I719" s="105"/>
      <c r="J719" s="105"/>
      <c r="K719" s="105"/>
      <c r="L719" s="105"/>
    </row>
    <row r="720" ht="14.25" customHeight="1">
      <c r="I720" s="105"/>
      <c r="J720" s="105"/>
      <c r="K720" s="105"/>
      <c r="L720" s="105"/>
    </row>
    <row r="721" ht="14.25" customHeight="1">
      <c r="I721" s="105"/>
      <c r="J721" s="105"/>
      <c r="K721" s="105"/>
      <c r="L721" s="105"/>
    </row>
    <row r="722" ht="14.25" customHeight="1">
      <c r="I722" s="105"/>
      <c r="J722" s="105"/>
      <c r="K722" s="105"/>
      <c r="L722" s="105"/>
    </row>
    <row r="723" ht="14.25" customHeight="1">
      <c r="I723" s="105"/>
      <c r="J723" s="105"/>
      <c r="K723" s="105"/>
      <c r="L723" s="105"/>
    </row>
    <row r="724" ht="14.25" customHeight="1">
      <c r="I724" s="105"/>
      <c r="J724" s="105"/>
      <c r="K724" s="105"/>
      <c r="L724" s="105"/>
    </row>
    <row r="725" ht="14.25" customHeight="1">
      <c r="I725" s="105"/>
      <c r="J725" s="105"/>
      <c r="K725" s="105"/>
      <c r="L725" s="105"/>
    </row>
    <row r="726" ht="14.25" customHeight="1">
      <c r="I726" s="105"/>
      <c r="J726" s="105"/>
      <c r="K726" s="105"/>
      <c r="L726" s="105"/>
    </row>
    <row r="727" ht="14.25" customHeight="1">
      <c r="I727" s="105"/>
      <c r="J727" s="105"/>
      <c r="K727" s="105"/>
      <c r="L727" s="105"/>
    </row>
    <row r="728" ht="14.25" customHeight="1">
      <c r="I728" s="105"/>
      <c r="J728" s="105"/>
      <c r="K728" s="105"/>
      <c r="L728" s="105"/>
    </row>
    <row r="729" ht="14.25" customHeight="1">
      <c r="I729" s="105"/>
      <c r="J729" s="105"/>
      <c r="K729" s="105"/>
      <c r="L729" s="105"/>
    </row>
    <row r="730" ht="14.25" customHeight="1">
      <c r="I730" s="105"/>
      <c r="J730" s="105"/>
      <c r="K730" s="105"/>
      <c r="L730" s="105"/>
    </row>
    <row r="731" ht="14.25" customHeight="1">
      <c r="I731" s="105"/>
      <c r="J731" s="105"/>
      <c r="K731" s="105"/>
      <c r="L731" s="105"/>
    </row>
    <row r="732" ht="14.25" customHeight="1">
      <c r="I732" s="105"/>
      <c r="J732" s="105"/>
      <c r="K732" s="105"/>
      <c r="L732" s="105"/>
    </row>
    <row r="733" ht="14.25" customHeight="1">
      <c r="I733" s="105"/>
      <c r="J733" s="105"/>
      <c r="K733" s="105"/>
      <c r="L733" s="105"/>
    </row>
    <row r="734" ht="14.25" customHeight="1">
      <c r="I734" s="105"/>
      <c r="J734" s="105"/>
      <c r="K734" s="105"/>
      <c r="L734" s="105"/>
    </row>
    <row r="735" ht="14.25" customHeight="1">
      <c r="I735" s="105"/>
      <c r="J735" s="105"/>
      <c r="K735" s="105"/>
      <c r="L735" s="105"/>
    </row>
    <row r="736" ht="14.25" customHeight="1">
      <c r="I736" s="105"/>
      <c r="J736" s="105"/>
      <c r="K736" s="105"/>
      <c r="L736" s="105"/>
    </row>
    <row r="737" ht="14.25" customHeight="1">
      <c r="I737" s="105"/>
      <c r="J737" s="105"/>
      <c r="K737" s="105"/>
      <c r="L737" s="105"/>
    </row>
    <row r="738" ht="14.25" customHeight="1">
      <c r="I738" s="105"/>
      <c r="J738" s="105"/>
      <c r="K738" s="105"/>
      <c r="L738" s="105"/>
    </row>
    <row r="739" ht="14.25" customHeight="1">
      <c r="I739" s="105"/>
      <c r="J739" s="105"/>
      <c r="K739" s="105"/>
      <c r="L739" s="105"/>
    </row>
    <row r="740" ht="14.25" customHeight="1">
      <c r="I740" s="105"/>
      <c r="J740" s="105"/>
      <c r="K740" s="105"/>
      <c r="L740" s="105"/>
    </row>
    <row r="741" ht="14.25" customHeight="1">
      <c r="I741" s="105"/>
      <c r="J741" s="105"/>
      <c r="K741" s="105"/>
      <c r="L741" s="105"/>
    </row>
    <row r="742" ht="14.25" customHeight="1">
      <c r="I742" s="105"/>
      <c r="J742" s="105"/>
      <c r="K742" s="105"/>
      <c r="L742" s="105"/>
    </row>
    <row r="743" ht="14.25" customHeight="1">
      <c r="I743" s="105"/>
      <c r="J743" s="105"/>
      <c r="K743" s="105"/>
      <c r="L743" s="105"/>
    </row>
    <row r="744" ht="14.25" customHeight="1">
      <c r="I744" s="105"/>
      <c r="J744" s="105"/>
      <c r="K744" s="105"/>
      <c r="L744" s="105"/>
    </row>
    <row r="745" ht="14.25" customHeight="1">
      <c r="I745" s="105"/>
      <c r="J745" s="105"/>
      <c r="K745" s="105"/>
      <c r="L745" s="105"/>
    </row>
    <row r="746" ht="14.25" customHeight="1">
      <c r="I746" s="105"/>
      <c r="J746" s="105"/>
      <c r="K746" s="105"/>
      <c r="L746" s="105"/>
    </row>
    <row r="747" ht="14.25" customHeight="1">
      <c r="I747" s="105"/>
      <c r="J747" s="105"/>
      <c r="K747" s="105"/>
      <c r="L747" s="105"/>
    </row>
    <row r="748" ht="14.25" customHeight="1">
      <c r="I748" s="105"/>
      <c r="J748" s="105"/>
      <c r="K748" s="105"/>
      <c r="L748" s="105"/>
    </row>
    <row r="749" ht="14.25" customHeight="1">
      <c r="I749" s="105"/>
      <c r="J749" s="105"/>
      <c r="K749" s="105"/>
      <c r="L749" s="105"/>
    </row>
    <row r="750" ht="14.25" customHeight="1">
      <c r="I750" s="105"/>
      <c r="J750" s="105"/>
      <c r="K750" s="105"/>
      <c r="L750" s="105"/>
    </row>
    <row r="751" ht="14.25" customHeight="1">
      <c r="I751" s="105"/>
      <c r="J751" s="105"/>
      <c r="K751" s="105"/>
      <c r="L751" s="105"/>
    </row>
    <row r="752" ht="14.25" customHeight="1">
      <c r="I752" s="105"/>
      <c r="J752" s="105"/>
      <c r="K752" s="105"/>
      <c r="L752" s="105"/>
    </row>
    <row r="753" ht="14.25" customHeight="1">
      <c r="I753" s="105"/>
      <c r="J753" s="105"/>
      <c r="K753" s="105"/>
      <c r="L753" s="105"/>
    </row>
    <row r="754" ht="14.25" customHeight="1">
      <c r="I754" s="105"/>
      <c r="J754" s="105"/>
      <c r="K754" s="105"/>
      <c r="L754" s="105"/>
    </row>
    <row r="755" ht="14.25" customHeight="1">
      <c r="I755" s="105"/>
      <c r="J755" s="105"/>
      <c r="K755" s="105"/>
      <c r="L755" s="105"/>
    </row>
    <row r="756" ht="14.25" customHeight="1">
      <c r="I756" s="105"/>
      <c r="J756" s="105"/>
      <c r="K756" s="105"/>
      <c r="L756" s="105"/>
    </row>
    <row r="757" ht="14.25" customHeight="1">
      <c r="I757" s="105"/>
      <c r="J757" s="105"/>
      <c r="K757" s="105"/>
      <c r="L757" s="105"/>
    </row>
    <row r="758" ht="14.25" customHeight="1">
      <c r="I758" s="105"/>
      <c r="J758" s="105"/>
      <c r="K758" s="105"/>
      <c r="L758" s="105"/>
    </row>
    <row r="759" ht="14.25" customHeight="1">
      <c r="I759" s="105"/>
      <c r="J759" s="105"/>
      <c r="K759" s="105"/>
      <c r="L759" s="105"/>
    </row>
    <row r="760" ht="14.25" customHeight="1">
      <c r="I760" s="105"/>
      <c r="J760" s="105"/>
      <c r="K760" s="105"/>
      <c r="L760" s="105"/>
    </row>
    <row r="761" ht="14.25" customHeight="1">
      <c r="I761" s="105"/>
      <c r="J761" s="105"/>
      <c r="K761" s="105"/>
      <c r="L761" s="105"/>
    </row>
    <row r="762" ht="14.25" customHeight="1">
      <c r="I762" s="105"/>
      <c r="J762" s="105"/>
      <c r="K762" s="105"/>
      <c r="L762" s="105"/>
    </row>
    <row r="763" ht="14.25" customHeight="1">
      <c r="I763" s="105"/>
      <c r="J763" s="105"/>
      <c r="K763" s="105"/>
      <c r="L763" s="105"/>
    </row>
    <row r="764" ht="14.25" customHeight="1">
      <c r="I764" s="105"/>
      <c r="J764" s="105"/>
      <c r="K764" s="105"/>
      <c r="L764" s="105"/>
    </row>
    <row r="765" ht="14.25" customHeight="1">
      <c r="I765" s="105"/>
      <c r="J765" s="105"/>
      <c r="K765" s="105"/>
      <c r="L765" s="105"/>
    </row>
    <row r="766" ht="14.25" customHeight="1">
      <c r="I766" s="105"/>
      <c r="J766" s="105"/>
      <c r="K766" s="105"/>
      <c r="L766" s="105"/>
    </row>
    <row r="767" ht="14.25" customHeight="1">
      <c r="I767" s="105"/>
      <c r="J767" s="105"/>
      <c r="K767" s="105"/>
      <c r="L767" s="105"/>
    </row>
    <row r="768" ht="14.25" customHeight="1">
      <c r="I768" s="105"/>
      <c r="J768" s="105"/>
      <c r="K768" s="105"/>
      <c r="L768" s="105"/>
    </row>
    <row r="769" ht="14.25" customHeight="1">
      <c r="I769" s="105"/>
      <c r="J769" s="105"/>
      <c r="K769" s="105"/>
      <c r="L769" s="105"/>
    </row>
    <row r="770" ht="14.25" customHeight="1">
      <c r="I770" s="105"/>
      <c r="J770" s="105"/>
      <c r="K770" s="105"/>
      <c r="L770" s="105"/>
    </row>
    <row r="771" ht="14.25" customHeight="1">
      <c r="I771" s="105"/>
      <c r="J771" s="105"/>
      <c r="K771" s="105"/>
      <c r="L771" s="105"/>
    </row>
    <row r="772" ht="14.25" customHeight="1">
      <c r="I772" s="105"/>
      <c r="J772" s="105"/>
      <c r="K772" s="105"/>
      <c r="L772" s="105"/>
    </row>
    <row r="773" ht="14.25" customHeight="1">
      <c r="I773" s="105"/>
      <c r="J773" s="105"/>
      <c r="K773" s="105"/>
      <c r="L773" s="105"/>
    </row>
    <row r="774" ht="14.25" customHeight="1">
      <c r="I774" s="105"/>
      <c r="J774" s="105"/>
      <c r="K774" s="105"/>
      <c r="L774" s="105"/>
    </row>
    <row r="775" ht="14.25" customHeight="1">
      <c r="I775" s="105"/>
      <c r="J775" s="105"/>
      <c r="K775" s="105"/>
      <c r="L775" s="105"/>
    </row>
    <row r="776" ht="14.25" customHeight="1">
      <c r="I776" s="105"/>
      <c r="J776" s="105"/>
      <c r="K776" s="105"/>
      <c r="L776" s="105"/>
    </row>
    <row r="777" ht="14.25" customHeight="1">
      <c r="I777" s="105"/>
      <c r="J777" s="105"/>
      <c r="K777" s="105"/>
      <c r="L777" s="105"/>
    </row>
    <row r="778" ht="14.25" customHeight="1">
      <c r="I778" s="105"/>
      <c r="J778" s="105"/>
      <c r="K778" s="105"/>
      <c r="L778" s="105"/>
    </row>
    <row r="779" ht="14.25" customHeight="1">
      <c r="I779" s="105"/>
      <c r="J779" s="105"/>
      <c r="K779" s="105"/>
      <c r="L779" s="105"/>
    </row>
    <row r="780" ht="14.25" customHeight="1">
      <c r="I780" s="105"/>
      <c r="J780" s="105"/>
      <c r="K780" s="105"/>
      <c r="L780" s="105"/>
    </row>
    <row r="781" ht="14.25" customHeight="1">
      <c r="I781" s="105"/>
      <c r="J781" s="105"/>
      <c r="K781" s="105"/>
      <c r="L781" s="105"/>
    </row>
    <row r="782" ht="14.25" customHeight="1">
      <c r="I782" s="105"/>
      <c r="J782" s="105"/>
      <c r="K782" s="105"/>
      <c r="L782" s="105"/>
    </row>
    <row r="783" ht="14.25" customHeight="1">
      <c r="I783" s="105"/>
      <c r="J783" s="105"/>
      <c r="K783" s="105"/>
      <c r="L783" s="105"/>
    </row>
    <row r="784" ht="14.25" customHeight="1">
      <c r="I784" s="105"/>
      <c r="J784" s="105"/>
      <c r="K784" s="105"/>
      <c r="L784" s="105"/>
    </row>
    <row r="785" ht="14.25" customHeight="1">
      <c r="I785" s="105"/>
      <c r="J785" s="105"/>
      <c r="K785" s="105"/>
      <c r="L785" s="105"/>
    </row>
    <row r="786" ht="14.25" customHeight="1">
      <c r="I786" s="105"/>
      <c r="J786" s="105"/>
      <c r="K786" s="105"/>
      <c r="L786" s="105"/>
    </row>
    <row r="787" ht="14.25" customHeight="1">
      <c r="I787" s="105"/>
      <c r="J787" s="105"/>
      <c r="K787" s="105"/>
      <c r="L787" s="105"/>
    </row>
    <row r="788" ht="14.25" customHeight="1">
      <c r="I788" s="105"/>
      <c r="J788" s="105"/>
      <c r="K788" s="105"/>
      <c r="L788" s="105"/>
    </row>
    <row r="789" ht="14.25" customHeight="1">
      <c r="I789" s="105"/>
      <c r="J789" s="105"/>
      <c r="K789" s="105"/>
      <c r="L789" s="105"/>
    </row>
    <row r="790" ht="14.25" customHeight="1">
      <c r="I790" s="105"/>
      <c r="J790" s="105"/>
      <c r="K790" s="105"/>
      <c r="L790" s="105"/>
    </row>
    <row r="791" ht="14.25" customHeight="1">
      <c r="I791" s="105"/>
      <c r="J791" s="105"/>
      <c r="K791" s="105"/>
      <c r="L791" s="105"/>
    </row>
    <row r="792" ht="14.25" customHeight="1">
      <c r="I792" s="105"/>
      <c r="J792" s="105"/>
      <c r="K792" s="105"/>
      <c r="L792" s="105"/>
    </row>
    <row r="793" ht="14.25" customHeight="1">
      <c r="I793" s="105"/>
      <c r="J793" s="105"/>
      <c r="K793" s="105"/>
      <c r="L793" s="105"/>
    </row>
    <row r="794" ht="14.25" customHeight="1">
      <c r="I794" s="105"/>
      <c r="J794" s="105"/>
      <c r="K794" s="105"/>
      <c r="L794" s="105"/>
    </row>
    <row r="795" ht="14.25" customHeight="1">
      <c r="I795" s="105"/>
      <c r="J795" s="105"/>
      <c r="K795" s="105"/>
      <c r="L795" s="105"/>
    </row>
    <row r="796" ht="14.25" customHeight="1">
      <c r="I796" s="105"/>
      <c r="J796" s="105"/>
      <c r="K796" s="105"/>
      <c r="L796" s="105"/>
    </row>
    <row r="797" ht="14.25" customHeight="1">
      <c r="I797" s="105"/>
      <c r="J797" s="105"/>
      <c r="K797" s="105"/>
      <c r="L797" s="105"/>
    </row>
    <row r="798" ht="14.25" customHeight="1">
      <c r="I798" s="105"/>
      <c r="J798" s="105"/>
      <c r="K798" s="105"/>
      <c r="L798" s="105"/>
    </row>
    <row r="799" ht="14.25" customHeight="1">
      <c r="I799" s="105"/>
      <c r="J799" s="105"/>
      <c r="K799" s="105"/>
      <c r="L799" s="105"/>
    </row>
    <row r="800" ht="14.25" customHeight="1">
      <c r="I800" s="105"/>
      <c r="J800" s="105"/>
      <c r="K800" s="105"/>
      <c r="L800" s="105"/>
    </row>
    <row r="801" ht="14.25" customHeight="1">
      <c r="I801" s="105"/>
      <c r="J801" s="105"/>
      <c r="K801" s="105"/>
      <c r="L801" s="105"/>
    </row>
    <row r="802" ht="14.25" customHeight="1">
      <c r="I802" s="105"/>
      <c r="J802" s="105"/>
      <c r="K802" s="105"/>
      <c r="L802" s="105"/>
    </row>
    <row r="803" ht="14.25" customHeight="1">
      <c r="I803" s="105"/>
      <c r="J803" s="105"/>
      <c r="K803" s="105"/>
      <c r="L803" s="105"/>
    </row>
    <row r="804" ht="14.25" customHeight="1">
      <c r="I804" s="105"/>
      <c r="J804" s="105"/>
      <c r="K804" s="105"/>
      <c r="L804" s="105"/>
    </row>
    <row r="805" ht="14.25" customHeight="1">
      <c r="I805" s="105"/>
      <c r="J805" s="105"/>
      <c r="K805" s="105"/>
      <c r="L805" s="105"/>
    </row>
    <row r="806" ht="14.25" customHeight="1">
      <c r="I806" s="105"/>
      <c r="J806" s="105"/>
      <c r="K806" s="105"/>
      <c r="L806" s="105"/>
    </row>
    <row r="807" ht="14.25" customHeight="1">
      <c r="I807" s="105"/>
      <c r="J807" s="105"/>
      <c r="K807" s="105"/>
      <c r="L807" s="105"/>
    </row>
    <row r="808" ht="14.25" customHeight="1">
      <c r="I808" s="105"/>
      <c r="J808" s="105"/>
      <c r="K808" s="105"/>
      <c r="L808" s="105"/>
    </row>
    <row r="809" ht="14.25" customHeight="1">
      <c r="I809" s="105"/>
      <c r="J809" s="105"/>
      <c r="K809" s="105"/>
      <c r="L809" s="105"/>
    </row>
    <row r="810" ht="14.25" customHeight="1">
      <c r="I810" s="105"/>
      <c r="J810" s="105"/>
      <c r="K810" s="105"/>
      <c r="L810" s="105"/>
    </row>
    <row r="811" ht="14.25" customHeight="1">
      <c r="I811" s="105"/>
      <c r="J811" s="105"/>
      <c r="K811" s="105"/>
      <c r="L811" s="105"/>
    </row>
    <row r="812" ht="14.25" customHeight="1">
      <c r="I812" s="105"/>
      <c r="J812" s="105"/>
      <c r="K812" s="105"/>
      <c r="L812" s="105"/>
    </row>
    <row r="813" ht="14.25" customHeight="1">
      <c r="I813" s="105"/>
      <c r="J813" s="105"/>
      <c r="K813" s="105"/>
      <c r="L813" s="105"/>
    </row>
    <row r="814" ht="14.25" customHeight="1">
      <c r="I814" s="105"/>
      <c r="J814" s="105"/>
      <c r="K814" s="105"/>
      <c r="L814" s="105"/>
    </row>
    <row r="815" ht="14.25" customHeight="1">
      <c r="I815" s="105"/>
      <c r="J815" s="105"/>
      <c r="K815" s="105"/>
      <c r="L815" s="105"/>
    </row>
    <row r="816" ht="14.25" customHeight="1">
      <c r="I816" s="105"/>
      <c r="J816" s="105"/>
      <c r="K816" s="105"/>
      <c r="L816" s="105"/>
    </row>
    <row r="817" ht="14.25" customHeight="1">
      <c r="I817" s="105"/>
      <c r="J817" s="105"/>
      <c r="K817" s="105"/>
      <c r="L817" s="105"/>
    </row>
    <row r="818" ht="14.25" customHeight="1">
      <c r="I818" s="105"/>
      <c r="J818" s="105"/>
      <c r="K818" s="105"/>
      <c r="L818" s="105"/>
    </row>
    <row r="819" ht="14.25" customHeight="1">
      <c r="I819" s="105"/>
      <c r="J819" s="105"/>
      <c r="K819" s="105"/>
      <c r="L819" s="105"/>
    </row>
    <row r="820" ht="14.25" customHeight="1">
      <c r="I820" s="105"/>
      <c r="J820" s="105"/>
      <c r="K820" s="105"/>
      <c r="L820" s="105"/>
    </row>
    <row r="821" ht="14.25" customHeight="1">
      <c r="I821" s="105"/>
      <c r="J821" s="105"/>
      <c r="K821" s="105"/>
      <c r="L821" s="105"/>
    </row>
    <row r="822" ht="14.25" customHeight="1">
      <c r="I822" s="105"/>
      <c r="J822" s="105"/>
      <c r="K822" s="105"/>
      <c r="L822" s="105"/>
    </row>
    <row r="823" ht="14.25" customHeight="1">
      <c r="I823" s="105"/>
      <c r="J823" s="105"/>
      <c r="K823" s="105"/>
      <c r="L823" s="105"/>
    </row>
    <row r="824" ht="14.25" customHeight="1">
      <c r="I824" s="105"/>
      <c r="J824" s="105"/>
      <c r="K824" s="105"/>
      <c r="L824" s="105"/>
    </row>
    <row r="825" ht="14.25" customHeight="1">
      <c r="I825" s="105"/>
      <c r="J825" s="105"/>
      <c r="K825" s="105"/>
      <c r="L825" s="105"/>
    </row>
    <row r="826" ht="14.25" customHeight="1">
      <c r="I826" s="105"/>
      <c r="J826" s="105"/>
      <c r="K826" s="105"/>
      <c r="L826" s="105"/>
    </row>
    <row r="827" ht="14.25" customHeight="1">
      <c r="I827" s="105"/>
      <c r="J827" s="105"/>
      <c r="K827" s="105"/>
      <c r="L827" s="105"/>
    </row>
    <row r="828" ht="14.25" customHeight="1">
      <c r="I828" s="105"/>
      <c r="J828" s="105"/>
      <c r="K828" s="105"/>
      <c r="L828" s="105"/>
    </row>
    <row r="829" ht="14.25" customHeight="1">
      <c r="I829" s="105"/>
      <c r="J829" s="105"/>
      <c r="K829" s="105"/>
      <c r="L829" s="105"/>
    </row>
    <row r="830" ht="14.25" customHeight="1">
      <c r="I830" s="105"/>
      <c r="J830" s="105"/>
      <c r="K830" s="105"/>
      <c r="L830" s="105"/>
    </row>
    <row r="831" ht="14.25" customHeight="1">
      <c r="I831" s="105"/>
      <c r="J831" s="105"/>
      <c r="K831" s="105"/>
      <c r="L831" s="105"/>
    </row>
    <row r="832" ht="14.25" customHeight="1">
      <c r="I832" s="105"/>
      <c r="J832" s="105"/>
      <c r="K832" s="105"/>
      <c r="L832" s="105"/>
    </row>
    <row r="833" ht="14.25" customHeight="1">
      <c r="I833" s="105"/>
      <c r="J833" s="105"/>
      <c r="K833" s="105"/>
      <c r="L833" s="105"/>
    </row>
    <row r="834" ht="14.25" customHeight="1">
      <c r="I834" s="105"/>
      <c r="J834" s="105"/>
      <c r="K834" s="105"/>
      <c r="L834" s="105"/>
    </row>
    <row r="835" ht="14.25" customHeight="1">
      <c r="I835" s="105"/>
      <c r="J835" s="105"/>
      <c r="K835" s="105"/>
      <c r="L835" s="105"/>
    </row>
    <row r="836" ht="14.25" customHeight="1">
      <c r="I836" s="105"/>
      <c r="J836" s="105"/>
      <c r="K836" s="105"/>
      <c r="L836" s="105"/>
    </row>
    <row r="837" ht="14.25" customHeight="1">
      <c r="I837" s="105"/>
      <c r="J837" s="105"/>
      <c r="K837" s="105"/>
      <c r="L837" s="105"/>
    </row>
    <row r="838" ht="14.25" customHeight="1">
      <c r="I838" s="105"/>
      <c r="J838" s="105"/>
      <c r="K838" s="105"/>
      <c r="L838" s="105"/>
    </row>
    <row r="839" ht="14.25" customHeight="1">
      <c r="I839" s="105"/>
      <c r="J839" s="105"/>
      <c r="K839" s="105"/>
      <c r="L839" s="105"/>
    </row>
    <row r="840" ht="14.25" customHeight="1">
      <c r="I840" s="105"/>
      <c r="J840" s="105"/>
      <c r="K840" s="105"/>
      <c r="L840" s="105"/>
    </row>
    <row r="841" ht="14.25" customHeight="1">
      <c r="I841" s="105"/>
      <c r="J841" s="105"/>
      <c r="K841" s="105"/>
      <c r="L841" s="105"/>
    </row>
    <row r="842" ht="14.25" customHeight="1">
      <c r="I842" s="105"/>
      <c r="J842" s="105"/>
      <c r="K842" s="105"/>
      <c r="L842" s="105"/>
    </row>
    <row r="843" ht="14.25" customHeight="1">
      <c r="I843" s="105"/>
      <c r="J843" s="105"/>
      <c r="K843" s="105"/>
      <c r="L843" s="105"/>
    </row>
    <row r="844" ht="14.25" customHeight="1">
      <c r="I844" s="105"/>
      <c r="J844" s="105"/>
      <c r="K844" s="105"/>
      <c r="L844" s="105"/>
    </row>
    <row r="845" ht="14.25" customHeight="1">
      <c r="I845" s="105"/>
      <c r="J845" s="105"/>
      <c r="K845" s="105"/>
      <c r="L845" s="105"/>
    </row>
    <row r="846" ht="14.25" customHeight="1">
      <c r="I846" s="105"/>
      <c r="J846" s="105"/>
      <c r="K846" s="105"/>
      <c r="L846" s="105"/>
    </row>
    <row r="847" ht="14.25" customHeight="1">
      <c r="I847" s="105"/>
      <c r="J847" s="105"/>
      <c r="K847" s="105"/>
      <c r="L847" s="105"/>
    </row>
    <row r="848" ht="14.25" customHeight="1">
      <c r="I848" s="105"/>
      <c r="J848" s="105"/>
      <c r="K848" s="105"/>
      <c r="L848" s="105"/>
    </row>
    <row r="849" ht="14.25" customHeight="1">
      <c r="I849" s="105"/>
      <c r="J849" s="105"/>
      <c r="K849" s="105"/>
      <c r="L849" s="105"/>
    </row>
    <row r="850" ht="14.25" customHeight="1">
      <c r="I850" s="105"/>
      <c r="J850" s="105"/>
      <c r="K850" s="105"/>
      <c r="L850" s="105"/>
    </row>
    <row r="851" ht="14.25" customHeight="1">
      <c r="I851" s="105"/>
      <c r="J851" s="105"/>
      <c r="K851" s="105"/>
      <c r="L851" s="105"/>
    </row>
    <row r="852" ht="14.25" customHeight="1">
      <c r="I852" s="105"/>
      <c r="J852" s="105"/>
      <c r="K852" s="105"/>
      <c r="L852" s="105"/>
    </row>
    <row r="853" ht="14.25" customHeight="1">
      <c r="I853" s="105"/>
      <c r="J853" s="105"/>
      <c r="K853" s="105"/>
      <c r="L853" s="105"/>
    </row>
    <row r="854" ht="14.25" customHeight="1">
      <c r="I854" s="105"/>
      <c r="J854" s="105"/>
      <c r="K854" s="105"/>
      <c r="L854" s="105"/>
    </row>
    <row r="855" ht="14.25" customHeight="1">
      <c r="I855" s="105"/>
      <c r="J855" s="105"/>
      <c r="K855" s="105"/>
      <c r="L855" s="105"/>
    </row>
    <row r="856" ht="14.25" customHeight="1">
      <c r="I856" s="105"/>
      <c r="J856" s="105"/>
      <c r="K856" s="105"/>
      <c r="L856" s="105"/>
    </row>
    <row r="857" ht="14.25" customHeight="1">
      <c r="I857" s="105"/>
      <c r="J857" s="105"/>
      <c r="K857" s="105"/>
      <c r="L857" s="105"/>
    </row>
    <row r="858" ht="14.25" customHeight="1">
      <c r="I858" s="105"/>
      <c r="J858" s="105"/>
      <c r="K858" s="105"/>
      <c r="L858" s="105"/>
    </row>
    <row r="859" ht="14.25" customHeight="1">
      <c r="I859" s="105"/>
      <c r="J859" s="105"/>
      <c r="K859" s="105"/>
      <c r="L859" s="105"/>
    </row>
    <row r="860" ht="14.25" customHeight="1">
      <c r="I860" s="105"/>
      <c r="J860" s="105"/>
      <c r="K860" s="105"/>
      <c r="L860" s="105"/>
    </row>
    <row r="861" ht="14.25" customHeight="1">
      <c r="I861" s="105"/>
      <c r="J861" s="105"/>
      <c r="K861" s="105"/>
      <c r="L861" s="105"/>
    </row>
    <row r="862" ht="14.25" customHeight="1">
      <c r="I862" s="105"/>
      <c r="J862" s="105"/>
      <c r="K862" s="105"/>
      <c r="L862" s="105"/>
    </row>
    <row r="863" ht="14.25" customHeight="1">
      <c r="I863" s="105"/>
      <c r="J863" s="105"/>
      <c r="K863" s="105"/>
      <c r="L863" s="105"/>
    </row>
    <row r="864" ht="14.25" customHeight="1">
      <c r="I864" s="105"/>
      <c r="J864" s="105"/>
      <c r="K864" s="105"/>
      <c r="L864" s="105"/>
    </row>
    <row r="865" ht="14.25" customHeight="1">
      <c r="I865" s="105"/>
      <c r="J865" s="105"/>
      <c r="K865" s="105"/>
      <c r="L865" s="105"/>
    </row>
    <row r="866" ht="14.25" customHeight="1">
      <c r="I866" s="105"/>
      <c r="J866" s="105"/>
      <c r="K866" s="105"/>
      <c r="L866" s="105"/>
    </row>
    <row r="867" ht="14.25" customHeight="1">
      <c r="I867" s="105"/>
      <c r="J867" s="105"/>
      <c r="K867" s="105"/>
      <c r="L867" s="105"/>
    </row>
    <row r="868" ht="14.25" customHeight="1">
      <c r="I868" s="105"/>
      <c r="J868" s="105"/>
      <c r="K868" s="105"/>
      <c r="L868" s="105"/>
    </row>
    <row r="869" ht="14.25" customHeight="1">
      <c r="I869" s="105"/>
      <c r="J869" s="105"/>
      <c r="K869" s="105"/>
      <c r="L869" s="105"/>
    </row>
    <row r="870" ht="14.25" customHeight="1">
      <c r="I870" s="105"/>
      <c r="J870" s="105"/>
      <c r="K870" s="105"/>
      <c r="L870" s="105"/>
    </row>
    <row r="871" ht="14.25" customHeight="1">
      <c r="I871" s="105"/>
      <c r="J871" s="105"/>
      <c r="K871" s="105"/>
      <c r="L871" s="105"/>
    </row>
    <row r="872" ht="14.25" customHeight="1">
      <c r="I872" s="105"/>
      <c r="J872" s="105"/>
      <c r="K872" s="105"/>
      <c r="L872" s="105"/>
    </row>
    <row r="873" ht="14.25" customHeight="1">
      <c r="I873" s="105"/>
      <c r="J873" s="105"/>
      <c r="K873" s="105"/>
      <c r="L873" s="105"/>
    </row>
    <row r="874" ht="14.25" customHeight="1">
      <c r="I874" s="105"/>
      <c r="J874" s="105"/>
      <c r="K874" s="105"/>
      <c r="L874" s="105"/>
    </row>
    <row r="875" ht="14.25" customHeight="1">
      <c r="I875" s="105"/>
      <c r="J875" s="105"/>
      <c r="K875" s="105"/>
      <c r="L875" s="105"/>
    </row>
    <row r="876" ht="14.25" customHeight="1">
      <c r="I876" s="105"/>
      <c r="J876" s="105"/>
      <c r="K876" s="105"/>
      <c r="L876" s="105"/>
    </row>
    <row r="877" ht="14.25" customHeight="1">
      <c r="I877" s="105"/>
      <c r="J877" s="105"/>
      <c r="K877" s="105"/>
      <c r="L877" s="105"/>
    </row>
    <row r="878" ht="14.25" customHeight="1">
      <c r="I878" s="105"/>
      <c r="J878" s="105"/>
      <c r="K878" s="105"/>
      <c r="L878" s="105"/>
    </row>
    <row r="879" ht="14.25" customHeight="1">
      <c r="I879" s="105"/>
      <c r="J879" s="105"/>
      <c r="K879" s="105"/>
      <c r="L879" s="105"/>
    </row>
    <row r="880" ht="14.25" customHeight="1">
      <c r="I880" s="105"/>
      <c r="J880" s="105"/>
      <c r="K880" s="105"/>
      <c r="L880" s="105"/>
    </row>
    <row r="881" ht="14.25" customHeight="1">
      <c r="I881" s="105"/>
      <c r="J881" s="105"/>
      <c r="K881" s="105"/>
      <c r="L881" s="105"/>
    </row>
    <row r="882" ht="14.25" customHeight="1">
      <c r="I882" s="105"/>
      <c r="J882" s="105"/>
      <c r="K882" s="105"/>
      <c r="L882" s="105"/>
    </row>
    <row r="883" ht="14.25" customHeight="1">
      <c r="I883" s="105"/>
      <c r="J883" s="105"/>
      <c r="K883" s="105"/>
      <c r="L883" s="105"/>
    </row>
    <row r="884" ht="14.25" customHeight="1">
      <c r="I884" s="105"/>
      <c r="J884" s="105"/>
      <c r="K884" s="105"/>
      <c r="L884" s="105"/>
    </row>
    <row r="885" ht="14.25" customHeight="1">
      <c r="I885" s="105"/>
      <c r="J885" s="105"/>
      <c r="K885" s="105"/>
      <c r="L885" s="105"/>
    </row>
    <row r="886" ht="14.25" customHeight="1">
      <c r="I886" s="105"/>
      <c r="J886" s="105"/>
      <c r="K886" s="105"/>
      <c r="L886" s="105"/>
    </row>
    <row r="887" ht="14.25" customHeight="1">
      <c r="I887" s="105"/>
      <c r="J887" s="105"/>
      <c r="K887" s="105"/>
      <c r="L887" s="105"/>
    </row>
    <row r="888" ht="14.25" customHeight="1">
      <c r="I888" s="105"/>
      <c r="J888" s="105"/>
      <c r="K888" s="105"/>
      <c r="L888" s="105"/>
    </row>
    <row r="889" ht="14.25" customHeight="1">
      <c r="I889" s="105"/>
      <c r="J889" s="105"/>
      <c r="K889" s="105"/>
      <c r="L889" s="105"/>
    </row>
    <row r="890" ht="14.25" customHeight="1">
      <c r="I890" s="105"/>
      <c r="J890" s="105"/>
      <c r="K890" s="105"/>
      <c r="L890" s="105"/>
    </row>
    <row r="891" ht="14.25" customHeight="1">
      <c r="I891" s="105"/>
      <c r="J891" s="105"/>
      <c r="K891" s="105"/>
      <c r="L891" s="105"/>
    </row>
    <row r="892" ht="14.25" customHeight="1">
      <c r="I892" s="105"/>
      <c r="J892" s="105"/>
      <c r="K892" s="105"/>
      <c r="L892" s="105"/>
    </row>
    <row r="893" ht="14.25" customHeight="1">
      <c r="I893" s="105"/>
      <c r="J893" s="105"/>
      <c r="K893" s="105"/>
      <c r="L893" s="105"/>
    </row>
    <row r="894" ht="14.25" customHeight="1">
      <c r="I894" s="105"/>
      <c r="J894" s="105"/>
      <c r="K894" s="105"/>
      <c r="L894" s="105"/>
    </row>
    <row r="895" ht="14.25" customHeight="1">
      <c r="I895" s="105"/>
      <c r="J895" s="105"/>
      <c r="K895" s="105"/>
      <c r="L895" s="105"/>
    </row>
    <row r="896" ht="14.25" customHeight="1">
      <c r="I896" s="105"/>
      <c r="J896" s="105"/>
      <c r="K896" s="105"/>
      <c r="L896" s="105"/>
    </row>
    <row r="897" ht="14.25" customHeight="1">
      <c r="I897" s="105"/>
      <c r="J897" s="105"/>
      <c r="K897" s="105"/>
      <c r="L897" s="105"/>
    </row>
    <row r="898" ht="14.25" customHeight="1">
      <c r="I898" s="105"/>
      <c r="J898" s="105"/>
      <c r="K898" s="105"/>
      <c r="L898" s="105"/>
    </row>
    <row r="899" ht="14.25" customHeight="1">
      <c r="I899" s="105"/>
      <c r="J899" s="105"/>
      <c r="K899" s="105"/>
      <c r="L899" s="105"/>
    </row>
    <row r="900" ht="14.25" customHeight="1">
      <c r="I900" s="105"/>
      <c r="J900" s="105"/>
      <c r="K900" s="105"/>
      <c r="L900" s="105"/>
    </row>
    <row r="901" ht="14.25" customHeight="1">
      <c r="I901" s="105"/>
      <c r="J901" s="105"/>
      <c r="K901" s="105"/>
      <c r="L901" s="105"/>
    </row>
    <row r="902" ht="14.25" customHeight="1">
      <c r="I902" s="105"/>
      <c r="J902" s="105"/>
      <c r="K902" s="105"/>
      <c r="L902" s="105"/>
    </row>
    <row r="903" ht="14.25" customHeight="1">
      <c r="I903" s="105"/>
      <c r="J903" s="105"/>
      <c r="K903" s="105"/>
      <c r="L903" s="105"/>
    </row>
    <row r="904" ht="14.25" customHeight="1">
      <c r="I904" s="105"/>
      <c r="J904" s="105"/>
      <c r="K904" s="105"/>
      <c r="L904" s="105"/>
    </row>
    <row r="905" ht="14.25" customHeight="1">
      <c r="I905" s="105"/>
      <c r="J905" s="105"/>
      <c r="K905" s="105"/>
      <c r="L905" s="105"/>
    </row>
    <row r="906" ht="14.25" customHeight="1">
      <c r="I906" s="105"/>
      <c r="J906" s="105"/>
      <c r="K906" s="105"/>
      <c r="L906" s="105"/>
    </row>
    <row r="907" ht="14.25" customHeight="1">
      <c r="I907" s="105"/>
      <c r="J907" s="105"/>
      <c r="K907" s="105"/>
      <c r="L907" s="105"/>
    </row>
    <row r="908" ht="14.25" customHeight="1">
      <c r="I908" s="105"/>
      <c r="J908" s="105"/>
      <c r="K908" s="105"/>
      <c r="L908" s="105"/>
    </row>
    <row r="909" ht="14.25" customHeight="1">
      <c r="I909" s="105"/>
      <c r="J909" s="105"/>
      <c r="K909" s="105"/>
      <c r="L909" s="105"/>
    </row>
    <row r="910" ht="14.25" customHeight="1">
      <c r="I910" s="105"/>
      <c r="J910" s="105"/>
      <c r="K910" s="105"/>
      <c r="L910" s="105"/>
    </row>
    <row r="911" ht="14.25" customHeight="1">
      <c r="I911" s="105"/>
      <c r="J911" s="105"/>
      <c r="K911" s="105"/>
      <c r="L911" s="105"/>
    </row>
    <row r="912" ht="14.25" customHeight="1">
      <c r="I912" s="105"/>
      <c r="J912" s="105"/>
      <c r="K912" s="105"/>
      <c r="L912" s="105"/>
    </row>
    <row r="913" ht="14.25" customHeight="1">
      <c r="I913" s="105"/>
      <c r="J913" s="105"/>
      <c r="K913" s="105"/>
      <c r="L913" s="105"/>
    </row>
    <row r="914" ht="14.25" customHeight="1">
      <c r="I914" s="105"/>
      <c r="J914" s="105"/>
      <c r="K914" s="105"/>
      <c r="L914" s="105"/>
    </row>
    <row r="915" ht="14.25" customHeight="1">
      <c r="I915" s="105"/>
      <c r="J915" s="105"/>
      <c r="K915" s="105"/>
      <c r="L915" s="105"/>
    </row>
    <row r="916" ht="14.25" customHeight="1">
      <c r="I916" s="105"/>
      <c r="J916" s="105"/>
      <c r="K916" s="105"/>
      <c r="L916" s="105"/>
    </row>
    <row r="917" ht="14.25" customHeight="1">
      <c r="I917" s="105"/>
      <c r="J917" s="105"/>
      <c r="K917" s="105"/>
      <c r="L917" s="105"/>
    </row>
    <row r="918" ht="14.25" customHeight="1">
      <c r="I918" s="105"/>
      <c r="J918" s="105"/>
      <c r="K918" s="105"/>
      <c r="L918" s="105"/>
    </row>
    <row r="919" ht="14.25" customHeight="1">
      <c r="I919" s="105"/>
      <c r="J919" s="105"/>
      <c r="K919" s="105"/>
      <c r="L919" s="105"/>
    </row>
    <row r="920" ht="14.25" customHeight="1">
      <c r="I920" s="105"/>
      <c r="J920" s="105"/>
      <c r="K920" s="105"/>
      <c r="L920" s="105"/>
    </row>
    <row r="921" ht="14.25" customHeight="1">
      <c r="I921" s="105"/>
      <c r="J921" s="105"/>
      <c r="K921" s="105"/>
      <c r="L921" s="105"/>
    </row>
    <row r="922" ht="14.25" customHeight="1">
      <c r="I922" s="105"/>
      <c r="J922" s="105"/>
      <c r="K922" s="105"/>
      <c r="L922" s="105"/>
    </row>
    <row r="923" ht="14.25" customHeight="1">
      <c r="I923" s="105"/>
      <c r="J923" s="105"/>
      <c r="K923" s="105"/>
      <c r="L923" s="105"/>
    </row>
    <row r="924" ht="14.25" customHeight="1">
      <c r="I924" s="105"/>
      <c r="J924" s="105"/>
      <c r="K924" s="105"/>
      <c r="L924" s="105"/>
    </row>
    <row r="925" ht="14.25" customHeight="1">
      <c r="I925" s="105"/>
      <c r="J925" s="105"/>
      <c r="K925" s="105"/>
      <c r="L925" s="105"/>
    </row>
    <row r="926" ht="14.25" customHeight="1">
      <c r="I926" s="105"/>
      <c r="J926" s="105"/>
      <c r="K926" s="105"/>
      <c r="L926" s="105"/>
    </row>
    <row r="927" ht="14.25" customHeight="1">
      <c r="I927" s="105"/>
      <c r="J927" s="105"/>
      <c r="K927" s="105"/>
      <c r="L927" s="105"/>
    </row>
    <row r="928" ht="14.25" customHeight="1">
      <c r="I928" s="105"/>
      <c r="J928" s="105"/>
      <c r="K928" s="105"/>
      <c r="L928" s="105"/>
    </row>
    <row r="929" ht="14.25" customHeight="1">
      <c r="I929" s="105"/>
      <c r="J929" s="105"/>
      <c r="K929" s="105"/>
      <c r="L929" s="105"/>
    </row>
    <row r="930" ht="14.25" customHeight="1">
      <c r="I930" s="105"/>
      <c r="J930" s="105"/>
      <c r="K930" s="105"/>
      <c r="L930" s="105"/>
    </row>
    <row r="931" ht="14.25" customHeight="1">
      <c r="I931" s="105"/>
      <c r="J931" s="105"/>
      <c r="K931" s="105"/>
      <c r="L931" s="105"/>
    </row>
    <row r="932" ht="14.25" customHeight="1">
      <c r="I932" s="105"/>
      <c r="J932" s="105"/>
      <c r="K932" s="105"/>
      <c r="L932" s="105"/>
    </row>
    <row r="933" ht="14.25" customHeight="1">
      <c r="I933" s="105"/>
      <c r="J933" s="105"/>
      <c r="K933" s="105"/>
      <c r="L933" s="105"/>
    </row>
    <row r="934" ht="14.25" customHeight="1">
      <c r="I934" s="105"/>
      <c r="J934" s="105"/>
      <c r="K934" s="105"/>
      <c r="L934" s="105"/>
    </row>
    <row r="935" ht="14.25" customHeight="1">
      <c r="I935" s="105"/>
      <c r="J935" s="105"/>
      <c r="K935" s="105"/>
      <c r="L935" s="105"/>
    </row>
    <row r="936" ht="14.25" customHeight="1">
      <c r="I936" s="105"/>
      <c r="J936" s="105"/>
      <c r="K936" s="105"/>
      <c r="L936" s="105"/>
    </row>
    <row r="937" ht="14.25" customHeight="1">
      <c r="I937" s="105"/>
      <c r="J937" s="105"/>
      <c r="K937" s="105"/>
      <c r="L937" s="105"/>
    </row>
    <row r="938" ht="14.25" customHeight="1">
      <c r="I938" s="105"/>
      <c r="J938" s="105"/>
      <c r="K938" s="105"/>
      <c r="L938" s="105"/>
    </row>
    <row r="939" ht="14.25" customHeight="1">
      <c r="I939" s="105"/>
      <c r="J939" s="105"/>
      <c r="K939" s="105"/>
      <c r="L939" s="105"/>
    </row>
    <row r="940" ht="14.25" customHeight="1">
      <c r="I940" s="105"/>
      <c r="J940" s="105"/>
      <c r="K940" s="105"/>
      <c r="L940" s="105"/>
    </row>
    <row r="941" ht="14.25" customHeight="1">
      <c r="I941" s="105"/>
      <c r="J941" s="105"/>
      <c r="K941" s="105"/>
      <c r="L941" s="105"/>
    </row>
    <row r="942" ht="14.25" customHeight="1">
      <c r="I942" s="105"/>
      <c r="J942" s="105"/>
      <c r="K942" s="105"/>
      <c r="L942" s="105"/>
    </row>
    <row r="943" ht="14.25" customHeight="1">
      <c r="I943" s="105"/>
      <c r="J943" s="105"/>
      <c r="K943" s="105"/>
      <c r="L943" s="105"/>
    </row>
    <row r="944" ht="14.25" customHeight="1">
      <c r="I944" s="105"/>
      <c r="J944" s="105"/>
      <c r="K944" s="105"/>
      <c r="L944" s="105"/>
    </row>
    <row r="945" ht="14.25" customHeight="1">
      <c r="I945" s="105"/>
      <c r="J945" s="105"/>
      <c r="K945" s="105"/>
      <c r="L945" s="105"/>
    </row>
    <row r="946" ht="14.25" customHeight="1">
      <c r="I946" s="105"/>
      <c r="J946" s="105"/>
      <c r="K946" s="105"/>
      <c r="L946" s="105"/>
    </row>
    <row r="947" ht="14.25" customHeight="1">
      <c r="I947" s="105"/>
      <c r="J947" s="105"/>
      <c r="K947" s="105"/>
      <c r="L947" s="105"/>
    </row>
    <row r="948" ht="14.25" customHeight="1">
      <c r="I948" s="105"/>
      <c r="J948" s="105"/>
      <c r="K948" s="105"/>
      <c r="L948" s="105"/>
    </row>
    <row r="949" ht="14.25" customHeight="1">
      <c r="I949" s="105"/>
      <c r="J949" s="105"/>
      <c r="K949" s="105"/>
      <c r="L949" s="105"/>
    </row>
    <row r="950" ht="14.25" customHeight="1">
      <c r="I950" s="105"/>
      <c r="J950" s="105"/>
      <c r="K950" s="105"/>
      <c r="L950" s="105"/>
    </row>
    <row r="951" ht="14.25" customHeight="1">
      <c r="I951" s="105"/>
      <c r="J951" s="105"/>
      <c r="K951" s="105"/>
      <c r="L951" s="105"/>
    </row>
    <row r="952" ht="14.25" customHeight="1">
      <c r="I952" s="105"/>
      <c r="J952" s="105"/>
      <c r="K952" s="105"/>
      <c r="L952" s="105"/>
    </row>
    <row r="953" ht="14.25" customHeight="1">
      <c r="I953" s="105"/>
      <c r="J953" s="105"/>
      <c r="K953" s="105"/>
      <c r="L953" s="105"/>
    </row>
    <row r="954" ht="14.25" customHeight="1">
      <c r="I954" s="105"/>
      <c r="J954" s="105"/>
      <c r="K954" s="105"/>
      <c r="L954" s="105"/>
    </row>
    <row r="955" ht="14.25" customHeight="1">
      <c r="I955" s="105"/>
      <c r="J955" s="105"/>
      <c r="K955" s="105"/>
      <c r="L955" s="105"/>
    </row>
    <row r="956" ht="14.25" customHeight="1">
      <c r="I956" s="105"/>
      <c r="J956" s="105"/>
      <c r="K956" s="105"/>
      <c r="L956" s="105"/>
    </row>
    <row r="957" ht="14.25" customHeight="1">
      <c r="I957" s="105"/>
      <c r="J957" s="105"/>
      <c r="K957" s="105"/>
      <c r="L957" s="105"/>
    </row>
    <row r="958" ht="14.25" customHeight="1">
      <c r="I958" s="105"/>
      <c r="J958" s="105"/>
      <c r="K958" s="105"/>
      <c r="L958" s="105"/>
    </row>
    <row r="959" ht="14.25" customHeight="1">
      <c r="I959" s="105"/>
      <c r="J959" s="105"/>
      <c r="K959" s="105"/>
      <c r="L959" s="105"/>
    </row>
    <row r="960" ht="14.25" customHeight="1">
      <c r="I960" s="105"/>
      <c r="J960" s="105"/>
      <c r="K960" s="105"/>
      <c r="L960" s="105"/>
    </row>
    <row r="961" ht="14.25" customHeight="1">
      <c r="I961" s="105"/>
      <c r="J961" s="105"/>
      <c r="K961" s="105"/>
      <c r="L961" s="105"/>
    </row>
    <row r="962" ht="14.25" customHeight="1">
      <c r="I962" s="105"/>
      <c r="J962" s="105"/>
      <c r="K962" s="105"/>
      <c r="L962" s="105"/>
    </row>
    <row r="963" ht="14.25" customHeight="1">
      <c r="I963" s="105"/>
      <c r="J963" s="105"/>
      <c r="K963" s="105"/>
      <c r="L963" s="105"/>
    </row>
    <row r="964" ht="14.25" customHeight="1">
      <c r="I964" s="105"/>
      <c r="J964" s="105"/>
      <c r="K964" s="105"/>
      <c r="L964" s="105"/>
    </row>
    <row r="965" ht="14.25" customHeight="1">
      <c r="I965" s="105"/>
      <c r="J965" s="105"/>
      <c r="K965" s="105"/>
      <c r="L965" s="105"/>
    </row>
    <row r="966" ht="14.25" customHeight="1">
      <c r="I966" s="105"/>
      <c r="J966" s="105"/>
      <c r="K966" s="105"/>
      <c r="L966" s="105"/>
    </row>
    <row r="967" ht="14.25" customHeight="1">
      <c r="I967" s="105"/>
      <c r="J967" s="105"/>
      <c r="K967" s="105"/>
      <c r="L967" s="105"/>
    </row>
    <row r="968" ht="14.25" customHeight="1">
      <c r="I968" s="105"/>
      <c r="J968" s="105"/>
      <c r="K968" s="105"/>
      <c r="L968" s="105"/>
    </row>
    <row r="969" ht="14.25" customHeight="1">
      <c r="I969" s="105"/>
      <c r="J969" s="105"/>
      <c r="K969" s="105"/>
      <c r="L969" s="105"/>
    </row>
    <row r="970" ht="14.25" customHeight="1">
      <c r="I970" s="105"/>
      <c r="J970" s="105"/>
      <c r="K970" s="105"/>
      <c r="L970" s="105"/>
    </row>
    <row r="971" ht="14.25" customHeight="1">
      <c r="I971" s="105"/>
      <c r="J971" s="105"/>
      <c r="K971" s="105"/>
      <c r="L971" s="105"/>
    </row>
    <row r="972" ht="14.25" customHeight="1">
      <c r="I972" s="105"/>
      <c r="J972" s="105"/>
      <c r="K972" s="105"/>
      <c r="L972" s="105"/>
    </row>
    <row r="973" ht="14.25" customHeight="1">
      <c r="I973" s="105"/>
      <c r="J973" s="105"/>
      <c r="K973" s="105"/>
      <c r="L973" s="105"/>
    </row>
    <row r="974" ht="14.25" customHeight="1">
      <c r="I974" s="105"/>
      <c r="J974" s="105"/>
      <c r="K974" s="105"/>
      <c r="L974" s="105"/>
    </row>
    <row r="975" ht="14.25" customHeight="1">
      <c r="I975" s="105"/>
      <c r="J975" s="105"/>
      <c r="K975" s="105"/>
      <c r="L975" s="105"/>
    </row>
    <row r="976" ht="14.25" customHeight="1">
      <c r="I976" s="105"/>
      <c r="J976" s="105"/>
      <c r="K976" s="105"/>
      <c r="L976" s="105"/>
    </row>
    <row r="977" ht="14.25" customHeight="1">
      <c r="I977" s="105"/>
      <c r="J977" s="105"/>
      <c r="K977" s="105"/>
      <c r="L977" s="105"/>
    </row>
    <row r="978" ht="14.25" customHeight="1">
      <c r="I978" s="105"/>
      <c r="J978" s="105"/>
      <c r="K978" s="105"/>
      <c r="L978" s="105"/>
    </row>
    <row r="979" ht="14.25" customHeight="1">
      <c r="I979" s="105"/>
      <c r="J979" s="105"/>
      <c r="K979" s="105"/>
      <c r="L979" s="105"/>
    </row>
    <row r="980" ht="14.25" customHeight="1">
      <c r="I980" s="105"/>
      <c r="J980" s="105"/>
      <c r="K980" s="105"/>
      <c r="L980" s="105"/>
    </row>
    <row r="981" ht="14.25" customHeight="1">
      <c r="I981" s="105"/>
      <c r="J981" s="105"/>
      <c r="K981" s="105"/>
      <c r="L981" s="105"/>
    </row>
    <row r="982" ht="14.25" customHeight="1">
      <c r="I982" s="105"/>
      <c r="J982" s="105"/>
      <c r="K982" s="105"/>
      <c r="L982" s="105"/>
    </row>
    <row r="983" ht="14.25" customHeight="1">
      <c r="I983" s="105"/>
      <c r="J983" s="105"/>
      <c r="K983" s="105"/>
      <c r="L983" s="105"/>
    </row>
    <row r="984" ht="14.25" customHeight="1">
      <c r="I984" s="105"/>
      <c r="J984" s="105"/>
      <c r="K984" s="105"/>
      <c r="L984" s="105"/>
    </row>
    <row r="985" ht="14.25" customHeight="1">
      <c r="I985" s="105"/>
      <c r="J985" s="105"/>
      <c r="K985" s="105"/>
      <c r="L985" s="105"/>
    </row>
    <row r="986" ht="14.25" customHeight="1">
      <c r="I986" s="105"/>
      <c r="J986" s="105"/>
      <c r="K986" s="105"/>
      <c r="L986" s="105"/>
    </row>
    <row r="987" ht="14.25" customHeight="1">
      <c r="I987" s="105"/>
      <c r="J987" s="105"/>
      <c r="K987" s="105"/>
      <c r="L987" s="105"/>
    </row>
    <row r="988" ht="14.25" customHeight="1">
      <c r="I988" s="105"/>
      <c r="J988" s="105"/>
      <c r="K988" s="105"/>
      <c r="L988" s="105"/>
    </row>
    <row r="989" ht="14.25" customHeight="1">
      <c r="I989" s="105"/>
      <c r="J989" s="105"/>
      <c r="K989" s="105"/>
      <c r="L989" s="105"/>
    </row>
    <row r="990" ht="14.25" customHeight="1">
      <c r="I990" s="105"/>
      <c r="J990" s="105"/>
      <c r="K990" s="105"/>
      <c r="L990" s="105"/>
    </row>
    <row r="991" ht="14.25" customHeight="1">
      <c r="I991" s="105"/>
      <c r="J991" s="105"/>
      <c r="K991" s="105"/>
      <c r="L991" s="105"/>
    </row>
    <row r="992" ht="14.25" customHeight="1">
      <c r="I992" s="105"/>
      <c r="J992" s="105"/>
      <c r="K992" s="105"/>
      <c r="L992" s="105"/>
    </row>
    <row r="993" ht="14.25" customHeight="1">
      <c r="I993" s="105"/>
      <c r="J993" s="105"/>
      <c r="K993" s="105"/>
      <c r="L993" s="105"/>
    </row>
    <row r="994" ht="14.25" customHeight="1">
      <c r="I994" s="105"/>
      <c r="J994" s="105"/>
      <c r="K994" s="105"/>
      <c r="L994" s="105"/>
    </row>
    <row r="995" ht="14.25" customHeight="1">
      <c r="I995" s="105"/>
      <c r="J995" s="105"/>
      <c r="K995" s="105"/>
      <c r="L995" s="105"/>
    </row>
    <row r="996" ht="14.25" customHeight="1">
      <c r="I996" s="105"/>
      <c r="J996" s="105"/>
      <c r="K996" s="105"/>
      <c r="L996" s="105"/>
    </row>
    <row r="997" ht="14.25" customHeight="1">
      <c r="I997" s="105"/>
      <c r="J997" s="105"/>
      <c r="K997" s="105"/>
      <c r="L997" s="105"/>
    </row>
    <row r="998" ht="14.25" customHeight="1">
      <c r="I998" s="105"/>
      <c r="J998" s="105"/>
      <c r="K998" s="105"/>
      <c r="L998" s="105"/>
    </row>
    <row r="999" ht="14.25" customHeight="1">
      <c r="I999" s="105"/>
      <c r="J999" s="105"/>
      <c r="K999" s="105"/>
      <c r="L999" s="105"/>
    </row>
    <row r="1000" ht="14.25" customHeight="1">
      <c r="I1000" s="105"/>
      <c r="J1000" s="105"/>
      <c r="K1000" s="105"/>
      <c r="L1000" s="105"/>
    </row>
  </sheetData>
  <autoFilter ref="$A$10:$N$52"/>
  <mergeCells count="2">
    <mergeCell ref="A3:M3"/>
    <mergeCell ref="A4:M4"/>
  </mergeCells>
  <printOptions horizontalCentered="1"/>
  <pageMargins bottom="0.7480314960629921" footer="0.0" header="0.0" left="0.11811023622047245" right="0.11811023622047245" top="0.7480314960629921"/>
  <pageSetup paperSize="5" scale="56"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workbookViewId="0"/>
  </sheetViews>
  <sheetFormatPr customHeight="1" defaultColWidth="14.43" defaultRowHeight="15.0"/>
  <cols>
    <col customWidth="1" min="1" max="1" width="4.57"/>
    <col customWidth="1" min="2" max="2" width="24.71"/>
    <col customWidth="1" min="3" max="3" width="34.0"/>
    <col customWidth="1" min="4" max="4" width="11.57"/>
    <col customWidth="1" min="5" max="5" width="7.86"/>
    <col customWidth="1" min="6" max="6" width="18.86"/>
    <col customWidth="1" min="7" max="7" width="9.29"/>
    <col customWidth="1" min="8" max="8" width="6.29"/>
    <col customWidth="1" min="9" max="9" width="26.29"/>
    <col customWidth="1" min="10" max="10" width="23.14"/>
    <col customWidth="1" min="11" max="11" width="16.57"/>
    <col customWidth="1" min="12" max="12" width="13.29"/>
    <col customWidth="1" min="13" max="13" width="18.0"/>
    <col customWidth="1" min="14" max="14" width="23.71"/>
    <col customWidth="1" min="15" max="15" width="35.57"/>
    <col customWidth="1" min="16" max="27" width="8.71"/>
  </cols>
  <sheetData>
    <row r="2">
      <c r="A2" s="1" t="s">
        <v>0</v>
      </c>
    </row>
    <row r="3">
      <c r="A3" s="1" t="s">
        <v>1</v>
      </c>
    </row>
    <row r="6">
      <c r="A6" s="2" t="s">
        <v>2</v>
      </c>
      <c r="C6" s="2" t="s">
        <v>3</v>
      </c>
    </row>
    <row r="7">
      <c r="A7" s="2" t="s">
        <v>4</v>
      </c>
      <c r="C7" s="2" t="s">
        <v>5</v>
      </c>
    </row>
    <row r="8">
      <c r="A8" s="2" t="s">
        <v>6</v>
      </c>
      <c r="C8" s="2" t="s">
        <v>4141</v>
      </c>
    </row>
    <row r="9">
      <c r="A9" s="124" t="s">
        <v>8</v>
      </c>
      <c r="B9" s="125" t="s">
        <v>9</v>
      </c>
      <c r="C9" s="125" t="s">
        <v>10</v>
      </c>
      <c r="D9" s="125" t="s">
        <v>11</v>
      </c>
      <c r="E9" s="125" t="s">
        <v>12</v>
      </c>
      <c r="F9" s="125" t="s">
        <v>13</v>
      </c>
      <c r="G9" s="125" t="s">
        <v>14</v>
      </c>
      <c r="H9" s="125" t="s">
        <v>15</v>
      </c>
      <c r="I9" s="125" t="s">
        <v>16</v>
      </c>
      <c r="J9" s="125" t="s">
        <v>17</v>
      </c>
      <c r="K9" s="125" t="s">
        <v>1881</v>
      </c>
      <c r="L9" s="125" t="s">
        <v>1882</v>
      </c>
      <c r="M9" s="185" t="s">
        <v>20</v>
      </c>
      <c r="N9" s="125" t="s">
        <v>1883</v>
      </c>
      <c r="O9" s="125" t="s">
        <v>2361</v>
      </c>
      <c r="P9" s="549"/>
      <c r="Q9" s="549"/>
      <c r="R9" s="549"/>
      <c r="S9" s="549"/>
      <c r="T9" s="549"/>
      <c r="U9" s="549"/>
      <c r="V9" s="549"/>
      <c r="W9" s="549"/>
      <c r="X9" s="549"/>
      <c r="Y9" s="549"/>
      <c r="Z9" s="549"/>
      <c r="AA9" s="549"/>
    </row>
    <row r="10">
      <c r="A10" s="550"/>
      <c r="B10" s="551" t="s">
        <v>23</v>
      </c>
      <c r="C10" s="552"/>
      <c r="D10" s="552"/>
      <c r="E10" s="552"/>
      <c r="F10" s="553">
        <v>1.2856106E9</v>
      </c>
      <c r="G10" s="552"/>
      <c r="H10" s="552"/>
      <c r="I10" s="552"/>
      <c r="J10" s="552"/>
      <c r="K10" s="552"/>
      <c r="L10" s="552"/>
      <c r="M10" s="554"/>
      <c r="N10" s="554"/>
      <c r="O10" s="554"/>
      <c r="P10" s="549"/>
      <c r="Q10" s="549"/>
      <c r="R10" s="549"/>
      <c r="S10" s="549"/>
      <c r="T10" s="549"/>
      <c r="U10" s="549"/>
      <c r="V10" s="549"/>
      <c r="W10" s="549"/>
      <c r="X10" s="549"/>
      <c r="Y10" s="549"/>
      <c r="Z10" s="549"/>
      <c r="AA10" s="549"/>
    </row>
    <row r="11">
      <c r="A11" s="555">
        <v>1.0</v>
      </c>
      <c r="B11" s="556" t="s">
        <v>780</v>
      </c>
      <c r="C11" s="556" t="s">
        <v>3241</v>
      </c>
      <c r="D11" s="556" t="s">
        <v>4142</v>
      </c>
      <c r="E11" s="556" t="s">
        <v>70</v>
      </c>
      <c r="F11" s="557">
        <v>2.32947E8</v>
      </c>
      <c r="G11" s="556" t="s">
        <v>885</v>
      </c>
      <c r="H11" s="558">
        <v>2010.0</v>
      </c>
      <c r="I11" s="559" t="s">
        <v>4143</v>
      </c>
      <c r="J11" s="556" t="s">
        <v>4144</v>
      </c>
      <c r="K11" s="556" t="s">
        <v>4145</v>
      </c>
      <c r="L11" s="556" t="s">
        <v>4146</v>
      </c>
      <c r="M11" s="560" t="s">
        <v>2225</v>
      </c>
      <c r="N11" s="556" t="s">
        <v>4147</v>
      </c>
      <c r="O11" s="556" t="s">
        <v>80</v>
      </c>
      <c r="P11" s="549"/>
      <c r="Q11" s="549"/>
      <c r="R11" s="549"/>
      <c r="S11" s="549"/>
      <c r="T11" s="549"/>
      <c r="U11" s="549"/>
      <c r="V11" s="549"/>
      <c r="W11" s="549"/>
      <c r="X11" s="549"/>
      <c r="Y11" s="549"/>
      <c r="Z11" s="549"/>
      <c r="AA11" s="549"/>
    </row>
    <row r="12">
      <c r="A12" s="561">
        <v>2.0</v>
      </c>
      <c r="B12" s="562" t="s">
        <v>780</v>
      </c>
      <c r="C12" s="562" t="s">
        <v>4148</v>
      </c>
      <c r="D12" s="562" t="s">
        <v>4142</v>
      </c>
      <c r="E12" s="562" t="s">
        <v>70</v>
      </c>
      <c r="F12" s="563">
        <v>1.62E8</v>
      </c>
      <c r="G12" s="562" t="s">
        <v>4149</v>
      </c>
      <c r="H12" s="564">
        <v>2012.0</v>
      </c>
      <c r="I12" s="559" t="s">
        <v>4150</v>
      </c>
      <c r="J12" s="562" t="s">
        <v>4151</v>
      </c>
      <c r="K12" s="562" t="s">
        <v>4152</v>
      </c>
      <c r="L12" s="562" t="s">
        <v>4153</v>
      </c>
      <c r="M12" s="565" t="s">
        <v>2225</v>
      </c>
      <c r="N12" s="562" t="s">
        <v>4154</v>
      </c>
      <c r="O12" s="562" t="s">
        <v>4155</v>
      </c>
      <c r="P12" s="549"/>
      <c r="Q12" s="549"/>
      <c r="R12" s="549"/>
      <c r="S12" s="549"/>
      <c r="T12" s="549"/>
      <c r="U12" s="549"/>
      <c r="V12" s="549"/>
      <c r="W12" s="549"/>
      <c r="X12" s="549"/>
      <c r="Y12" s="549"/>
      <c r="Z12" s="549"/>
      <c r="AA12" s="549"/>
    </row>
    <row r="13">
      <c r="A13" s="555">
        <v>3.0</v>
      </c>
      <c r="B13" s="556" t="s">
        <v>780</v>
      </c>
      <c r="C13" s="556" t="s">
        <v>4156</v>
      </c>
      <c r="D13" s="556" t="s">
        <v>4142</v>
      </c>
      <c r="E13" s="556" t="s">
        <v>70</v>
      </c>
      <c r="F13" s="557">
        <v>2.7698E8</v>
      </c>
      <c r="G13" s="556" t="s">
        <v>885</v>
      </c>
      <c r="H13" s="558">
        <v>2019.0</v>
      </c>
      <c r="I13" s="559" t="s">
        <v>4157</v>
      </c>
      <c r="J13" s="556" t="s">
        <v>4158</v>
      </c>
      <c r="K13" s="556" t="s">
        <v>4159</v>
      </c>
      <c r="L13" s="556" t="s">
        <v>4160</v>
      </c>
      <c r="M13" s="560" t="s">
        <v>2225</v>
      </c>
      <c r="N13" s="556" t="s">
        <v>4161</v>
      </c>
      <c r="O13" s="556" t="s">
        <v>1898</v>
      </c>
      <c r="P13" s="549"/>
      <c r="Q13" s="549"/>
      <c r="R13" s="549"/>
      <c r="S13" s="549"/>
      <c r="T13" s="549"/>
      <c r="U13" s="549"/>
      <c r="V13" s="549"/>
      <c r="W13" s="549"/>
      <c r="X13" s="549"/>
      <c r="Y13" s="549"/>
      <c r="Z13" s="549"/>
      <c r="AA13" s="549"/>
    </row>
    <row r="14">
      <c r="A14" s="561">
        <v>4.0</v>
      </c>
      <c r="B14" s="562" t="s">
        <v>2491</v>
      </c>
      <c r="C14" s="562" t="s">
        <v>4162</v>
      </c>
      <c r="D14" s="562" t="s">
        <v>4142</v>
      </c>
      <c r="E14" s="562" t="s">
        <v>70</v>
      </c>
      <c r="F14" s="563">
        <v>3.233338E8</v>
      </c>
      <c r="G14" s="562" t="s">
        <v>3445</v>
      </c>
      <c r="H14" s="564">
        <v>2009.0</v>
      </c>
      <c r="I14" s="559" t="s">
        <v>4163</v>
      </c>
      <c r="J14" s="562" t="s">
        <v>4164</v>
      </c>
      <c r="K14" s="562" t="s">
        <v>4165</v>
      </c>
      <c r="L14" s="562" t="s">
        <v>4166</v>
      </c>
      <c r="M14" s="565" t="s">
        <v>2225</v>
      </c>
      <c r="N14" s="562" t="s">
        <v>4167</v>
      </c>
      <c r="O14" s="562" t="s">
        <v>4168</v>
      </c>
      <c r="P14" s="549"/>
      <c r="Q14" s="549"/>
      <c r="R14" s="549"/>
      <c r="S14" s="549"/>
      <c r="T14" s="549"/>
      <c r="U14" s="549"/>
      <c r="V14" s="549"/>
      <c r="W14" s="549"/>
      <c r="X14" s="549"/>
      <c r="Y14" s="549"/>
      <c r="Z14" s="549"/>
      <c r="AA14" s="549"/>
    </row>
    <row r="15">
      <c r="A15" s="555">
        <v>5.0</v>
      </c>
      <c r="B15" s="556" t="s">
        <v>908</v>
      </c>
      <c r="C15" s="556" t="s">
        <v>4169</v>
      </c>
      <c r="D15" s="556" t="s">
        <v>4142</v>
      </c>
      <c r="E15" s="556" t="s">
        <v>70</v>
      </c>
      <c r="F15" s="557">
        <v>2.903498E8</v>
      </c>
      <c r="G15" s="556" t="s">
        <v>1025</v>
      </c>
      <c r="H15" s="558">
        <v>2012.0</v>
      </c>
      <c r="I15" s="559" t="s">
        <v>4170</v>
      </c>
      <c r="J15" s="556" t="s">
        <v>4171</v>
      </c>
      <c r="K15" s="556" t="s">
        <v>4172</v>
      </c>
      <c r="L15" s="556" t="s">
        <v>4173</v>
      </c>
      <c r="M15" s="560" t="s">
        <v>2225</v>
      </c>
      <c r="N15" s="556" t="s">
        <v>4174</v>
      </c>
      <c r="O15" s="556" t="s">
        <v>2954</v>
      </c>
      <c r="P15" s="549"/>
      <c r="Q15" s="549"/>
      <c r="R15" s="549"/>
      <c r="S15" s="549"/>
      <c r="T15" s="549"/>
      <c r="U15" s="549"/>
      <c r="V15" s="549"/>
      <c r="W15" s="549"/>
      <c r="X15" s="549"/>
      <c r="Y15" s="549"/>
      <c r="Z15" s="549"/>
      <c r="AA15" s="549"/>
    </row>
    <row r="16">
      <c r="A16" s="550"/>
      <c r="B16" s="551" t="s">
        <v>99</v>
      </c>
      <c r="C16" s="552"/>
      <c r="D16" s="552"/>
      <c r="E16" s="552"/>
      <c r="F16" s="553">
        <v>2.94155E8</v>
      </c>
      <c r="G16" s="552"/>
      <c r="H16" s="552"/>
      <c r="I16" s="552"/>
      <c r="J16" s="552"/>
      <c r="K16" s="552"/>
      <c r="L16" s="552"/>
      <c r="M16" s="554"/>
      <c r="N16" s="554"/>
      <c r="O16" s="566"/>
      <c r="P16" s="549"/>
      <c r="Q16" s="549"/>
      <c r="R16" s="549"/>
      <c r="S16" s="549"/>
      <c r="T16" s="549"/>
      <c r="U16" s="549"/>
      <c r="V16" s="549"/>
      <c r="W16" s="549"/>
      <c r="X16" s="549"/>
      <c r="Y16" s="549"/>
      <c r="Z16" s="549"/>
      <c r="AA16" s="549"/>
    </row>
    <row r="17">
      <c r="A17" s="555">
        <v>1.0</v>
      </c>
      <c r="B17" s="556" t="s">
        <v>100</v>
      </c>
      <c r="C17" s="556" t="s">
        <v>4175</v>
      </c>
      <c r="D17" s="556" t="s">
        <v>4142</v>
      </c>
      <c r="E17" s="556" t="s">
        <v>70</v>
      </c>
      <c r="F17" s="557">
        <v>1.2225E7</v>
      </c>
      <c r="G17" s="556" t="s">
        <v>1579</v>
      </c>
      <c r="H17" s="558">
        <v>2010.0</v>
      </c>
      <c r="I17" s="559" t="s">
        <v>4176</v>
      </c>
      <c r="J17" s="556" t="s">
        <v>4177</v>
      </c>
      <c r="K17" s="556" t="s">
        <v>4178</v>
      </c>
      <c r="L17" s="556" t="s">
        <v>4179</v>
      </c>
      <c r="M17" s="560" t="s">
        <v>4180</v>
      </c>
      <c r="N17" s="556" t="s">
        <v>4181</v>
      </c>
      <c r="O17" s="556" t="s">
        <v>2954</v>
      </c>
      <c r="P17" s="549"/>
      <c r="Q17" s="549"/>
      <c r="R17" s="549"/>
      <c r="S17" s="549"/>
      <c r="T17" s="549"/>
      <c r="U17" s="549"/>
      <c r="V17" s="549"/>
      <c r="W17" s="549"/>
      <c r="X17" s="549"/>
      <c r="Y17" s="549"/>
      <c r="Z17" s="549"/>
      <c r="AA17" s="549"/>
    </row>
    <row r="18">
      <c r="A18" s="561">
        <v>2.0</v>
      </c>
      <c r="B18" s="562" t="s">
        <v>100</v>
      </c>
      <c r="C18" s="562" t="s">
        <v>4182</v>
      </c>
      <c r="D18" s="562" t="s">
        <v>4142</v>
      </c>
      <c r="E18" s="562" t="s">
        <v>70</v>
      </c>
      <c r="F18" s="563">
        <v>1.93E7</v>
      </c>
      <c r="G18" s="562" t="s">
        <v>1579</v>
      </c>
      <c r="H18" s="564">
        <v>2019.0</v>
      </c>
      <c r="I18" s="559" t="s">
        <v>4183</v>
      </c>
      <c r="J18" s="562" t="s">
        <v>4184</v>
      </c>
      <c r="K18" s="562" t="s">
        <v>4185</v>
      </c>
      <c r="L18" s="562" t="s">
        <v>4186</v>
      </c>
      <c r="M18" s="565" t="s">
        <v>4180</v>
      </c>
      <c r="N18" s="562" t="s">
        <v>4187</v>
      </c>
      <c r="O18" s="562" t="s">
        <v>2954</v>
      </c>
      <c r="P18" s="549"/>
      <c r="Q18" s="549"/>
      <c r="R18" s="549"/>
      <c r="S18" s="549"/>
      <c r="T18" s="549"/>
      <c r="U18" s="549"/>
      <c r="V18" s="549"/>
      <c r="W18" s="549"/>
      <c r="X18" s="549"/>
      <c r="Y18" s="549"/>
      <c r="Z18" s="549"/>
      <c r="AA18" s="549"/>
    </row>
    <row r="19">
      <c r="A19" s="555">
        <v>3.0</v>
      </c>
      <c r="B19" s="556" t="s">
        <v>100</v>
      </c>
      <c r="C19" s="556" t="s">
        <v>4182</v>
      </c>
      <c r="D19" s="556" t="s">
        <v>4142</v>
      </c>
      <c r="E19" s="556" t="s">
        <v>70</v>
      </c>
      <c r="F19" s="557">
        <v>1.93E7</v>
      </c>
      <c r="G19" s="556" t="s">
        <v>1579</v>
      </c>
      <c r="H19" s="558">
        <v>2019.0</v>
      </c>
      <c r="I19" s="559" t="s">
        <v>4188</v>
      </c>
      <c r="J19" s="556" t="s">
        <v>4189</v>
      </c>
      <c r="K19" s="556" t="s">
        <v>4190</v>
      </c>
      <c r="L19" s="556" t="s">
        <v>4191</v>
      </c>
      <c r="M19" s="560" t="s">
        <v>4180</v>
      </c>
      <c r="N19" s="556" t="s">
        <v>4192</v>
      </c>
      <c r="O19" s="556" t="s">
        <v>2954</v>
      </c>
      <c r="P19" s="549"/>
      <c r="Q19" s="549"/>
      <c r="R19" s="549"/>
      <c r="S19" s="549"/>
      <c r="T19" s="549"/>
      <c r="U19" s="549"/>
      <c r="V19" s="549"/>
      <c r="W19" s="549"/>
      <c r="X19" s="549"/>
      <c r="Y19" s="549"/>
      <c r="Z19" s="549"/>
      <c r="AA19" s="549"/>
    </row>
    <row r="20">
      <c r="A20" s="561">
        <v>4.0</v>
      </c>
      <c r="B20" s="562" t="s">
        <v>100</v>
      </c>
      <c r="C20" s="562" t="s">
        <v>4182</v>
      </c>
      <c r="D20" s="562" t="s">
        <v>4142</v>
      </c>
      <c r="E20" s="562" t="s">
        <v>70</v>
      </c>
      <c r="F20" s="563">
        <v>1.93E7</v>
      </c>
      <c r="G20" s="562" t="s">
        <v>1579</v>
      </c>
      <c r="H20" s="564">
        <v>2019.0</v>
      </c>
      <c r="I20" s="559" t="s">
        <v>4193</v>
      </c>
      <c r="J20" s="562" t="s">
        <v>4194</v>
      </c>
      <c r="K20" s="562" t="s">
        <v>4195</v>
      </c>
      <c r="L20" s="562" t="s">
        <v>4196</v>
      </c>
      <c r="M20" s="565" t="s">
        <v>4180</v>
      </c>
      <c r="N20" s="562" t="s">
        <v>4197</v>
      </c>
      <c r="O20" s="562" t="s">
        <v>4198</v>
      </c>
      <c r="P20" s="549"/>
      <c r="Q20" s="549"/>
      <c r="R20" s="549"/>
      <c r="S20" s="549"/>
      <c r="T20" s="549"/>
      <c r="U20" s="549"/>
      <c r="V20" s="549"/>
      <c r="W20" s="549"/>
      <c r="X20" s="549"/>
      <c r="Y20" s="549"/>
      <c r="Z20" s="549"/>
      <c r="AA20" s="549"/>
    </row>
    <row r="21" ht="15.75" customHeight="1">
      <c r="A21" s="555">
        <v>5.0</v>
      </c>
      <c r="B21" s="556" t="s">
        <v>100</v>
      </c>
      <c r="C21" s="556" t="s">
        <v>4182</v>
      </c>
      <c r="D21" s="556" t="s">
        <v>4142</v>
      </c>
      <c r="E21" s="556" t="s">
        <v>70</v>
      </c>
      <c r="F21" s="557">
        <v>1.93E7</v>
      </c>
      <c r="G21" s="556" t="s">
        <v>1579</v>
      </c>
      <c r="H21" s="558">
        <v>2019.0</v>
      </c>
      <c r="I21" s="559" t="s">
        <v>4199</v>
      </c>
      <c r="J21" s="556" t="s">
        <v>4200</v>
      </c>
      <c r="K21" s="556" t="s">
        <v>4201</v>
      </c>
      <c r="L21" s="556" t="s">
        <v>4202</v>
      </c>
      <c r="M21" s="560" t="s">
        <v>4180</v>
      </c>
      <c r="N21" s="556" t="s">
        <v>4203</v>
      </c>
      <c r="O21" s="556" t="s">
        <v>4204</v>
      </c>
      <c r="P21" s="549"/>
      <c r="Q21" s="549"/>
      <c r="R21" s="549"/>
      <c r="S21" s="549"/>
      <c r="T21" s="549"/>
      <c r="U21" s="549"/>
      <c r="V21" s="549"/>
      <c r="W21" s="549"/>
      <c r="X21" s="549"/>
      <c r="Y21" s="549"/>
      <c r="Z21" s="549"/>
      <c r="AA21" s="549"/>
    </row>
    <row r="22" ht="15.75" customHeight="1">
      <c r="A22" s="561">
        <v>6.0</v>
      </c>
      <c r="B22" s="562" t="s">
        <v>4205</v>
      </c>
      <c r="C22" s="562" t="s">
        <v>4206</v>
      </c>
      <c r="D22" s="562" t="s">
        <v>4142</v>
      </c>
      <c r="E22" s="562" t="s">
        <v>70</v>
      </c>
      <c r="F22" s="563">
        <v>3.56E7</v>
      </c>
      <c r="G22" s="562" t="s">
        <v>1260</v>
      </c>
      <c r="H22" s="564">
        <v>2023.0</v>
      </c>
      <c r="I22" s="559" t="s">
        <v>4207</v>
      </c>
      <c r="J22" s="562" t="s">
        <v>4208</v>
      </c>
      <c r="K22" s="562" t="s">
        <v>4209</v>
      </c>
      <c r="L22" s="562" t="s">
        <v>4210</v>
      </c>
      <c r="M22" s="565" t="s">
        <v>4180</v>
      </c>
      <c r="N22" s="562" t="s">
        <v>4211</v>
      </c>
      <c r="O22" s="562" t="s">
        <v>2947</v>
      </c>
      <c r="P22" s="549"/>
      <c r="Q22" s="549"/>
      <c r="R22" s="549"/>
      <c r="S22" s="549"/>
      <c r="T22" s="549"/>
      <c r="U22" s="549"/>
      <c r="V22" s="549"/>
      <c r="W22" s="549"/>
      <c r="X22" s="549"/>
      <c r="Y22" s="549"/>
      <c r="Z22" s="549"/>
      <c r="AA22" s="549"/>
    </row>
    <row r="23" ht="15.75" customHeight="1">
      <c r="A23" s="555">
        <v>7.0</v>
      </c>
      <c r="B23" s="556" t="s">
        <v>4212</v>
      </c>
      <c r="C23" s="556" t="s">
        <v>4213</v>
      </c>
      <c r="D23" s="556" t="s">
        <v>4142</v>
      </c>
      <c r="E23" s="556" t="s">
        <v>70</v>
      </c>
      <c r="F23" s="557">
        <v>3.93E7</v>
      </c>
      <c r="G23" s="556" t="s">
        <v>1260</v>
      </c>
      <c r="H23" s="558">
        <v>2023.0</v>
      </c>
      <c r="I23" s="559" t="s">
        <v>4214</v>
      </c>
      <c r="J23" s="556" t="s">
        <v>4215</v>
      </c>
      <c r="K23" s="556" t="s">
        <v>4216</v>
      </c>
      <c r="L23" s="556" t="s">
        <v>4217</v>
      </c>
      <c r="M23" s="560" t="s">
        <v>4180</v>
      </c>
      <c r="N23" s="556" t="s">
        <v>4218</v>
      </c>
      <c r="O23" s="556" t="s">
        <v>2954</v>
      </c>
      <c r="P23" s="549"/>
      <c r="Q23" s="549"/>
      <c r="R23" s="549"/>
      <c r="S23" s="549"/>
      <c r="T23" s="549"/>
      <c r="U23" s="549"/>
      <c r="V23" s="549"/>
      <c r="W23" s="549"/>
      <c r="X23" s="549"/>
      <c r="Y23" s="549"/>
      <c r="Z23" s="549"/>
      <c r="AA23" s="549"/>
    </row>
    <row r="24" ht="15.75" customHeight="1">
      <c r="A24" s="561">
        <v>8.0</v>
      </c>
      <c r="B24" s="562" t="s">
        <v>4219</v>
      </c>
      <c r="C24" s="562" t="s">
        <v>4220</v>
      </c>
      <c r="D24" s="562" t="s">
        <v>4142</v>
      </c>
      <c r="E24" s="562" t="s">
        <v>70</v>
      </c>
      <c r="F24" s="563">
        <v>3.13E7</v>
      </c>
      <c r="G24" s="562" t="s">
        <v>1579</v>
      </c>
      <c r="H24" s="564">
        <v>2023.0</v>
      </c>
      <c r="I24" s="559" t="s">
        <v>4221</v>
      </c>
      <c r="J24" s="562" t="s">
        <v>4222</v>
      </c>
      <c r="K24" s="562" t="s">
        <v>4223</v>
      </c>
      <c r="L24" s="562" t="s">
        <v>4224</v>
      </c>
      <c r="M24" s="565" t="s">
        <v>4180</v>
      </c>
      <c r="N24" s="562" t="s">
        <v>4225</v>
      </c>
      <c r="O24" s="562" t="s">
        <v>4226</v>
      </c>
      <c r="P24" s="549"/>
      <c r="Q24" s="549"/>
      <c r="R24" s="549"/>
      <c r="S24" s="549"/>
      <c r="T24" s="549"/>
      <c r="U24" s="549"/>
      <c r="V24" s="549"/>
      <c r="W24" s="549"/>
      <c r="X24" s="549"/>
      <c r="Y24" s="549"/>
      <c r="Z24" s="549"/>
      <c r="AA24" s="549"/>
    </row>
    <row r="25" ht="15.75" customHeight="1">
      <c r="A25" s="555">
        <v>9.0</v>
      </c>
      <c r="B25" s="556" t="s">
        <v>4219</v>
      </c>
      <c r="C25" s="556" t="s">
        <v>4220</v>
      </c>
      <c r="D25" s="556" t="s">
        <v>4142</v>
      </c>
      <c r="E25" s="556" t="s">
        <v>70</v>
      </c>
      <c r="F25" s="557">
        <v>3.13E7</v>
      </c>
      <c r="G25" s="556" t="s">
        <v>1579</v>
      </c>
      <c r="H25" s="558">
        <v>2023.0</v>
      </c>
      <c r="I25" s="559" t="s">
        <v>4227</v>
      </c>
      <c r="J25" s="556" t="s">
        <v>4228</v>
      </c>
      <c r="K25" s="556" t="s">
        <v>4229</v>
      </c>
      <c r="L25" s="556" t="s">
        <v>4230</v>
      </c>
      <c r="M25" s="560" t="s">
        <v>4180</v>
      </c>
      <c r="N25" s="556" t="s">
        <v>4231</v>
      </c>
      <c r="O25" s="567"/>
      <c r="P25" s="549"/>
      <c r="Q25" s="549"/>
      <c r="R25" s="549"/>
      <c r="S25" s="549"/>
      <c r="T25" s="549"/>
      <c r="U25" s="549"/>
      <c r="V25" s="549"/>
      <c r="W25" s="549"/>
      <c r="X25" s="549"/>
      <c r="Y25" s="549"/>
      <c r="Z25" s="549"/>
      <c r="AA25" s="549"/>
    </row>
    <row r="26" ht="15.75" customHeight="1">
      <c r="A26" s="561">
        <v>10.0</v>
      </c>
      <c r="B26" s="562" t="s">
        <v>4219</v>
      </c>
      <c r="C26" s="562" t="s">
        <v>4220</v>
      </c>
      <c r="D26" s="562" t="s">
        <v>4142</v>
      </c>
      <c r="E26" s="562" t="s">
        <v>70</v>
      </c>
      <c r="F26" s="563">
        <v>3.13E7</v>
      </c>
      <c r="G26" s="562" t="s">
        <v>1579</v>
      </c>
      <c r="H26" s="564">
        <v>2023.0</v>
      </c>
      <c r="I26" s="559" t="s">
        <v>4232</v>
      </c>
      <c r="J26" s="562" t="s">
        <v>4233</v>
      </c>
      <c r="K26" s="562" t="s">
        <v>4234</v>
      </c>
      <c r="L26" s="562" t="s">
        <v>4235</v>
      </c>
      <c r="M26" s="565" t="s">
        <v>4180</v>
      </c>
      <c r="N26" s="562" t="s">
        <v>4236</v>
      </c>
      <c r="O26" s="568"/>
      <c r="P26" s="549"/>
      <c r="Q26" s="549"/>
      <c r="R26" s="549"/>
      <c r="S26" s="549"/>
      <c r="T26" s="549"/>
      <c r="U26" s="549"/>
      <c r="V26" s="549"/>
      <c r="W26" s="549"/>
      <c r="X26" s="549"/>
      <c r="Y26" s="549"/>
      <c r="Z26" s="549"/>
      <c r="AA26" s="549"/>
    </row>
    <row r="27" ht="15.75" customHeight="1">
      <c r="A27" s="555">
        <v>11.0</v>
      </c>
      <c r="B27" s="556" t="s">
        <v>4205</v>
      </c>
      <c r="C27" s="556" t="s">
        <v>4237</v>
      </c>
      <c r="D27" s="556" t="s">
        <v>4142</v>
      </c>
      <c r="E27" s="556" t="s">
        <v>70</v>
      </c>
      <c r="F27" s="557">
        <v>3.593E7</v>
      </c>
      <c r="G27" s="556" t="s">
        <v>1260</v>
      </c>
      <c r="H27" s="558">
        <v>2024.0</v>
      </c>
      <c r="I27" s="559" t="s">
        <v>4238</v>
      </c>
      <c r="J27" s="556" t="s">
        <v>4239</v>
      </c>
      <c r="K27" s="556" t="s">
        <v>4240</v>
      </c>
      <c r="L27" s="556" t="s">
        <v>4241</v>
      </c>
      <c r="M27" s="560" t="s">
        <v>4180</v>
      </c>
      <c r="N27" s="556" t="s">
        <v>4242</v>
      </c>
      <c r="O27" s="556" t="s">
        <v>4243</v>
      </c>
      <c r="P27" s="549"/>
      <c r="Q27" s="549"/>
      <c r="R27" s="549"/>
      <c r="S27" s="549"/>
      <c r="T27" s="549"/>
      <c r="U27" s="549"/>
      <c r="V27" s="549"/>
      <c r="W27" s="549"/>
      <c r="X27" s="549"/>
      <c r="Y27" s="549"/>
      <c r="Z27" s="549"/>
      <c r="AA27" s="549"/>
    </row>
    <row r="28" ht="15.75" customHeight="1">
      <c r="A28" s="549"/>
      <c r="B28" s="549"/>
      <c r="C28" s="549"/>
      <c r="D28" s="549"/>
      <c r="E28" s="549"/>
      <c r="F28" s="549"/>
      <c r="G28" s="549"/>
      <c r="H28" s="549"/>
      <c r="I28" s="549"/>
      <c r="J28" s="549"/>
      <c r="K28" s="549"/>
      <c r="L28" s="549"/>
      <c r="M28" s="549"/>
      <c r="N28" s="549"/>
      <c r="O28" s="549"/>
      <c r="P28" s="549"/>
      <c r="Q28" s="549"/>
      <c r="R28" s="549"/>
      <c r="S28" s="549"/>
      <c r="T28" s="549"/>
      <c r="U28" s="549"/>
      <c r="V28" s="549"/>
      <c r="W28" s="549"/>
      <c r="X28" s="549"/>
      <c r="Y28" s="549"/>
      <c r="Z28" s="549"/>
      <c r="AA28" s="549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2:M2"/>
    <mergeCell ref="A3:M3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workbookViewId="0"/>
  </sheetViews>
  <sheetFormatPr customHeight="1" defaultColWidth="14.43" defaultRowHeight="15.0"/>
  <cols>
    <col customWidth="1" min="1" max="1" width="3.29"/>
    <col customWidth="1" min="2" max="2" width="21.86"/>
    <col customWidth="1" min="3" max="3" width="26.29"/>
    <col customWidth="1" min="4" max="4" width="14.71"/>
    <col customWidth="1" min="5" max="5" width="9.29"/>
    <col customWidth="1" min="6" max="6" width="17.29"/>
    <col customWidth="1" min="7" max="7" width="5.86"/>
    <col customWidth="1" min="8" max="8" width="33.29"/>
    <col customWidth="1" min="9" max="9" width="6.0"/>
    <col customWidth="1" min="10" max="10" width="10.43"/>
    <col customWidth="1" min="11" max="12" width="21.29"/>
    <col customWidth="1" min="13" max="13" width="15.57"/>
    <col customWidth="1" min="14" max="14" width="21.43"/>
    <col customWidth="1" min="15" max="15" width="53.71"/>
    <col customWidth="1" min="16" max="26" width="9.0"/>
  </cols>
  <sheetData>
    <row r="1" ht="12.75" customHeight="1">
      <c r="A1" s="179"/>
      <c r="B1" s="179"/>
      <c r="C1" s="179"/>
      <c r="D1" s="179"/>
      <c r="E1" s="179"/>
      <c r="F1" s="179"/>
      <c r="G1" s="179"/>
      <c r="H1" s="179"/>
      <c r="I1" s="179"/>
      <c r="J1" s="179"/>
      <c r="K1" s="179"/>
      <c r="L1" s="179"/>
      <c r="M1" s="179"/>
      <c r="N1" s="179"/>
      <c r="O1" s="179"/>
      <c r="P1" s="179"/>
      <c r="Q1" s="179"/>
      <c r="R1" s="179"/>
      <c r="S1" s="179"/>
      <c r="T1" s="179"/>
      <c r="U1" s="179"/>
      <c r="V1" s="179"/>
      <c r="W1" s="179"/>
      <c r="X1" s="179"/>
      <c r="Y1" s="179"/>
      <c r="Z1" s="179"/>
    </row>
    <row r="2" ht="12.75" customHeight="1">
      <c r="A2" s="280" t="s">
        <v>0</v>
      </c>
      <c r="P2" s="179"/>
      <c r="Q2" s="179"/>
      <c r="R2" s="179"/>
      <c r="S2" s="179"/>
      <c r="T2" s="179"/>
      <c r="U2" s="179"/>
      <c r="V2" s="179"/>
      <c r="W2" s="179"/>
      <c r="X2" s="179"/>
      <c r="Y2" s="179"/>
      <c r="Z2" s="179"/>
    </row>
    <row r="3" ht="12.75" customHeight="1">
      <c r="A3" s="280" t="s">
        <v>2714</v>
      </c>
      <c r="P3" s="179"/>
      <c r="Q3" s="179"/>
      <c r="R3" s="179"/>
      <c r="S3" s="179"/>
      <c r="T3" s="179"/>
      <c r="U3" s="179"/>
      <c r="V3" s="179"/>
      <c r="W3" s="179"/>
      <c r="X3" s="179"/>
      <c r="Y3" s="179"/>
      <c r="Z3" s="179"/>
    </row>
    <row r="4" ht="12.75" customHeight="1">
      <c r="A4" s="280" t="s">
        <v>2715</v>
      </c>
      <c r="P4" s="179"/>
      <c r="Q4" s="179"/>
      <c r="R4" s="179"/>
      <c r="S4" s="179"/>
      <c r="T4" s="179"/>
      <c r="U4" s="179"/>
      <c r="V4" s="179"/>
      <c r="W4" s="179"/>
      <c r="X4" s="179"/>
      <c r="Y4" s="179"/>
      <c r="Z4" s="179"/>
    </row>
    <row r="5" ht="12.75" customHeight="1">
      <c r="A5" s="179"/>
      <c r="B5" s="179"/>
      <c r="C5" s="179"/>
      <c r="D5" s="179"/>
      <c r="E5" s="179"/>
      <c r="F5" s="179"/>
      <c r="G5" s="179"/>
      <c r="H5" s="179"/>
      <c r="I5" s="179"/>
      <c r="J5" s="179"/>
      <c r="K5" s="179"/>
      <c r="L5" s="179"/>
      <c r="M5" s="179"/>
      <c r="N5" s="179"/>
      <c r="O5" s="179"/>
      <c r="P5" s="179"/>
      <c r="Q5" s="179"/>
      <c r="R5" s="179"/>
      <c r="S5" s="179"/>
      <c r="T5" s="179"/>
      <c r="U5" s="179"/>
      <c r="V5" s="179"/>
      <c r="W5" s="179"/>
      <c r="X5" s="179"/>
      <c r="Y5" s="179"/>
      <c r="Z5" s="179"/>
    </row>
    <row r="6" ht="12.75" customHeight="1">
      <c r="A6" s="179"/>
      <c r="B6" s="179"/>
      <c r="C6" s="179"/>
      <c r="D6" s="179"/>
      <c r="E6" s="179"/>
      <c r="F6" s="179"/>
      <c r="G6" s="179"/>
      <c r="H6" s="179"/>
      <c r="I6" s="179"/>
      <c r="J6" s="179"/>
      <c r="K6" s="179"/>
      <c r="L6" s="179"/>
      <c r="M6" s="179"/>
      <c r="N6" s="179"/>
      <c r="O6" s="179"/>
      <c r="P6" s="179"/>
      <c r="Q6" s="179"/>
      <c r="R6" s="179"/>
      <c r="S6" s="179"/>
      <c r="T6" s="179"/>
      <c r="U6" s="179"/>
      <c r="V6" s="179"/>
      <c r="W6" s="179"/>
      <c r="X6" s="179"/>
      <c r="Y6" s="179"/>
      <c r="Z6" s="179"/>
    </row>
    <row r="7" ht="12.75" customHeight="1">
      <c r="A7" s="179"/>
      <c r="B7" s="179"/>
      <c r="C7" s="179"/>
      <c r="D7" s="179"/>
      <c r="E7" s="179"/>
      <c r="F7" s="179"/>
      <c r="G7" s="179"/>
      <c r="H7" s="179"/>
      <c r="I7" s="179"/>
      <c r="J7" s="179"/>
      <c r="K7" s="179"/>
      <c r="L7" s="179"/>
      <c r="M7" s="179"/>
      <c r="N7" s="179"/>
      <c r="O7" s="179"/>
      <c r="P7" s="179"/>
      <c r="Q7" s="179"/>
      <c r="R7" s="179"/>
      <c r="S7" s="179"/>
      <c r="T7" s="179"/>
      <c r="U7" s="179"/>
      <c r="V7" s="179"/>
      <c r="W7" s="179"/>
      <c r="X7" s="179"/>
      <c r="Y7" s="179"/>
      <c r="Z7" s="179"/>
    </row>
    <row r="8" ht="12.75" customHeight="1">
      <c r="A8" s="179"/>
      <c r="B8" s="281" t="s">
        <v>2716</v>
      </c>
      <c r="C8" s="179" t="s">
        <v>3</v>
      </c>
      <c r="D8" s="179"/>
      <c r="E8" s="179"/>
      <c r="F8" s="179"/>
      <c r="G8" s="179"/>
      <c r="H8" s="179"/>
      <c r="I8" s="179"/>
      <c r="J8" s="179"/>
      <c r="K8" s="179"/>
      <c r="L8" s="179"/>
      <c r="M8" s="179"/>
      <c r="N8" s="179"/>
      <c r="O8" s="179"/>
      <c r="P8" s="179"/>
      <c r="Q8" s="179"/>
      <c r="R8" s="179"/>
      <c r="S8" s="179"/>
      <c r="T8" s="179"/>
      <c r="U8" s="179"/>
      <c r="V8" s="179"/>
      <c r="W8" s="179"/>
      <c r="X8" s="179"/>
      <c r="Y8" s="179"/>
      <c r="Z8" s="179"/>
    </row>
    <row r="9" ht="12.75" customHeight="1">
      <c r="A9" s="179"/>
      <c r="B9" s="281" t="s">
        <v>2717</v>
      </c>
      <c r="C9" s="179" t="s">
        <v>5</v>
      </c>
      <c r="D9" s="179"/>
      <c r="E9" s="179"/>
      <c r="F9" s="179"/>
      <c r="G9" s="179"/>
      <c r="H9" s="179"/>
      <c r="I9" s="179"/>
      <c r="J9" s="179"/>
      <c r="K9" s="179"/>
      <c r="L9" s="179"/>
      <c r="M9" s="179"/>
      <c r="N9" s="179"/>
      <c r="O9" s="179"/>
      <c r="P9" s="179"/>
      <c r="Q9" s="179"/>
      <c r="R9" s="179"/>
      <c r="S9" s="179"/>
      <c r="T9" s="179"/>
      <c r="U9" s="179"/>
      <c r="V9" s="179"/>
      <c r="W9" s="179"/>
      <c r="X9" s="179"/>
      <c r="Y9" s="179"/>
      <c r="Z9" s="179"/>
    </row>
    <row r="10" ht="12.75" customHeight="1">
      <c r="A10" s="179"/>
      <c r="B10" s="281" t="s">
        <v>2718</v>
      </c>
      <c r="C10" s="179" t="s">
        <v>4244</v>
      </c>
      <c r="D10" s="179"/>
      <c r="E10" s="179"/>
      <c r="F10" s="282"/>
      <c r="G10" s="179"/>
      <c r="H10" s="179"/>
      <c r="I10" s="179"/>
      <c r="J10" s="179"/>
      <c r="K10" s="179"/>
      <c r="L10" s="179"/>
      <c r="M10" s="179"/>
      <c r="N10" s="179"/>
      <c r="O10" s="179"/>
      <c r="P10" s="179"/>
      <c r="Q10" s="179"/>
      <c r="R10" s="179"/>
      <c r="S10" s="179"/>
      <c r="T10" s="179"/>
      <c r="U10" s="179"/>
      <c r="V10" s="179"/>
      <c r="W10" s="179"/>
      <c r="X10" s="179"/>
      <c r="Y10" s="179"/>
      <c r="Z10" s="179"/>
    </row>
    <row r="11" ht="12.75" customHeight="1">
      <c r="A11" s="179"/>
      <c r="B11" s="281" t="s">
        <v>2720</v>
      </c>
      <c r="C11" s="179" t="s">
        <v>4245</v>
      </c>
      <c r="D11" s="179"/>
      <c r="E11" s="179"/>
      <c r="F11" s="283"/>
      <c r="G11" s="179"/>
      <c r="H11" s="179"/>
      <c r="I11" s="179"/>
      <c r="J11" s="179"/>
      <c r="K11" s="179"/>
      <c r="L11" s="179"/>
      <c r="M11" s="179"/>
      <c r="N11" s="179"/>
      <c r="O11" s="179"/>
      <c r="P11" s="179"/>
      <c r="Q11" s="179"/>
      <c r="R11" s="179"/>
      <c r="S11" s="179"/>
      <c r="T11" s="179"/>
      <c r="U11" s="179"/>
      <c r="V11" s="179"/>
      <c r="W11" s="179"/>
      <c r="X11" s="179"/>
      <c r="Y11" s="179"/>
      <c r="Z11" s="179"/>
    </row>
    <row r="12" ht="12.75" customHeight="1">
      <c r="A12" s="179"/>
      <c r="B12" s="281" t="s">
        <v>6</v>
      </c>
      <c r="C12" s="179" t="s">
        <v>4246</v>
      </c>
      <c r="D12" s="179"/>
      <c r="E12" s="179"/>
      <c r="F12" s="283"/>
      <c r="G12" s="179"/>
      <c r="H12" s="179"/>
      <c r="I12" s="179"/>
      <c r="J12" s="179"/>
      <c r="K12" s="179"/>
      <c r="L12" s="179"/>
      <c r="M12" s="179"/>
      <c r="N12" s="179"/>
      <c r="O12" s="179"/>
      <c r="P12" s="179"/>
      <c r="Q12" s="179"/>
      <c r="R12" s="179"/>
      <c r="S12" s="179"/>
      <c r="T12" s="179"/>
      <c r="U12" s="179"/>
      <c r="V12" s="179"/>
      <c r="W12" s="179"/>
      <c r="X12" s="179"/>
      <c r="Y12" s="179"/>
      <c r="Z12" s="179"/>
    </row>
    <row r="13" ht="12.75" customHeight="1">
      <c r="A13" s="179"/>
      <c r="B13" s="179"/>
      <c r="C13" s="179"/>
      <c r="D13" s="179"/>
      <c r="E13" s="179"/>
      <c r="F13" s="283"/>
      <c r="G13" s="179"/>
      <c r="H13" s="179"/>
      <c r="I13" s="179"/>
      <c r="J13" s="179"/>
      <c r="K13" s="179"/>
      <c r="L13" s="179"/>
      <c r="M13" s="179"/>
      <c r="N13" s="179"/>
      <c r="O13" s="179"/>
      <c r="P13" s="179"/>
      <c r="Q13" s="179"/>
      <c r="R13" s="179"/>
      <c r="S13" s="179"/>
      <c r="T13" s="179"/>
      <c r="U13" s="179"/>
      <c r="V13" s="179"/>
      <c r="W13" s="179"/>
      <c r="X13" s="179"/>
      <c r="Y13" s="179"/>
      <c r="Z13" s="179"/>
    </row>
    <row r="14" ht="12.75" customHeight="1">
      <c r="A14" s="179"/>
      <c r="B14" s="179"/>
      <c r="C14" s="179"/>
      <c r="D14" s="179"/>
      <c r="E14" s="179"/>
      <c r="F14" s="283"/>
      <c r="G14" s="179"/>
      <c r="H14" s="179"/>
      <c r="I14" s="179"/>
      <c r="J14" s="179"/>
      <c r="K14" s="179"/>
      <c r="L14" s="179"/>
      <c r="M14" s="179"/>
      <c r="N14" s="179"/>
      <c r="O14" s="179"/>
      <c r="P14" s="179"/>
      <c r="Q14" s="179"/>
      <c r="R14" s="179"/>
      <c r="S14" s="179"/>
      <c r="T14" s="179"/>
      <c r="U14" s="179"/>
      <c r="V14" s="179"/>
      <c r="W14" s="179"/>
      <c r="X14" s="179"/>
      <c r="Y14" s="179"/>
      <c r="Z14" s="179"/>
    </row>
    <row r="15" ht="12.75" customHeight="1">
      <c r="A15" s="179"/>
      <c r="B15" s="179"/>
      <c r="C15" s="179"/>
      <c r="D15" s="179"/>
      <c r="E15" s="179"/>
      <c r="F15" s="284"/>
      <c r="G15" s="179"/>
      <c r="H15" s="179"/>
      <c r="I15" s="179"/>
      <c r="J15" s="179"/>
      <c r="K15" s="179"/>
      <c r="L15" s="179"/>
      <c r="M15" s="179"/>
      <c r="N15" s="179"/>
      <c r="O15" s="179"/>
      <c r="P15" s="179"/>
      <c r="Q15" s="179"/>
      <c r="R15" s="179"/>
      <c r="S15" s="179"/>
      <c r="T15" s="179"/>
      <c r="U15" s="179"/>
      <c r="V15" s="179"/>
      <c r="W15" s="179"/>
      <c r="X15" s="179"/>
      <c r="Y15" s="179"/>
      <c r="Z15" s="179"/>
    </row>
    <row r="16" ht="12.75" customHeight="1">
      <c r="A16" s="285" t="s">
        <v>8</v>
      </c>
      <c r="B16" s="285" t="s">
        <v>9</v>
      </c>
      <c r="C16" s="285" t="s">
        <v>2723</v>
      </c>
      <c r="D16" s="285" t="s">
        <v>2724</v>
      </c>
      <c r="E16" s="285" t="s">
        <v>12</v>
      </c>
      <c r="F16" s="285" t="s">
        <v>13</v>
      </c>
      <c r="G16" s="285" t="s">
        <v>759</v>
      </c>
      <c r="H16" s="285" t="s">
        <v>14</v>
      </c>
      <c r="I16" s="285" t="s">
        <v>15</v>
      </c>
      <c r="J16" s="285" t="s">
        <v>2725</v>
      </c>
      <c r="K16" s="285" t="s">
        <v>2726</v>
      </c>
      <c r="L16" s="285" t="s">
        <v>766</v>
      </c>
      <c r="M16" s="285" t="s">
        <v>19</v>
      </c>
      <c r="N16" s="285" t="s">
        <v>20</v>
      </c>
      <c r="O16" s="285" t="s">
        <v>21</v>
      </c>
      <c r="P16" s="179"/>
      <c r="Q16" s="179"/>
      <c r="R16" s="179"/>
      <c r="S16" s="179"/>
      <c r="T16" s="179"/>
      <c r="U16" s="179"/>
      <c r="V16" s="179"/>
      <c r="W16" s="179"/>
      <c r="X16" s="179"/>
      <c r="Y16" s="179"/>
      <c r="Z16" s="179"/>
    </row>
    <row r="17" ht="12.75" customHeight="1">
      <c r="A17" s="292" t="s">
        <v>22</v>
      </c>
      <c r="B17" s="292" t="s">
        <v>2728</v>
      </c>
      <c r="C17" s="292"/>
      <c r="D17" s="292"/>
      <c r="E17" s="292"/>
      <c r="F17" s="293">
        <f>F18</f>
        <v>1889972000</v>
      </c>
      <c r="G17" s="292"/>
      <c r="H17" s="292"/>
      <c r="I17" s="292"/>
      <c r="J17" s="292"/>
      <c r="K17" s="292"/>
      <c r="L17" s="292"/>
      <c r="M17" s="292"/>
      <c r="N17" s="292"/>
      <c r="O17" s="292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</row>
    <row r="18" ht="12.75" customHeight="1">
      <c r="A18" s="295" t="s">
        <v>22</v>
      </c>
      <c r="B18" s="295" t="s">
        <v>2728</v>
      </c>
      <c r="C18" s="295"/>
      <c r="D18" s="295"/>
      <c r="E18" s="295"/>
      <c r="F18" s="296">
        <f>F19+F22+F24+F27</f>
        <v>1889972000</v>
      </c>
      <c r="G18" s="295"/>
      <c r="H18" s="295"/>
      <c r="I18" s="295"/>
      <c r="J18" s="295"/>
      <c r="K18" s="295"/>
      <c r="L18" s="295"/>
      <c r="M18" s="295"/>
      <c r="N18" s="295"/>
      <c r="O18" s="29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</row>
    <row r="19" ht="12.75" customHeight="1">
      <c r="A19" s="248" t="s">
        <v>22</v>
      </c>
      <c r="B19" s="248" t="s">
        <v>1884</v>
      </c>
      <c r="C19" s="248"/>
      <c r="D19" s="248"/>
      <c r="E19" s="248"/>
      <c r="F19" s="249">
        <f>SUM(F20:F21)</f>
        <v>434791000</v>
      </c>
      <c r="G19" s="248"/>
      <c r="H19" s="248"/>
      <c r="I19" s="248"/>
      <c r="J19" s="248"/>
      <c r="K19" s="248"/>
      <c r="L19" s="248"/>
      <c r="M19" s="248"/>
      <c r="N19" s="248"/>
      <c r="O19" s="248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</row>
    <row r="20" ht="12.75" customHeight="1">
      <c r="A20" s="300">
        <v>1.0</v>
      </c>
      <c r="B20" s="300" t="s">
        <v>780</v>
      </c>
      <c r="C20" s="300"/>
      <c r="D20" s="300" t="s">
        <v>4247</v>
      </c>
      <c r="E20" s="300" t="s">
        <v>70</v>
      </c>
      <c r="F20" s="301">
        <v>1.72791E8</v>
      </c>
      <c r="G20" s="300"/>
      <c r="H20" s="300" t="s">
        <v>4248</v>
      </c>
      <c r="I20" s="300" t="s">
        <v>58</v>
      </c>
      <c r="J20" s="569" t="s">
        <v>4249</v>
      </c>
      <c r="K20" s="300" t="s">
        <v>4250</v>
      </c>
      <c r="L20" s="300" t="s">
        <v>4251</v>
      </c>
      <c r="M20" s="27" t="s">
        <v>4252</v>
      </c>
      <c r="N20" s="300" t="s">
        <v>4253</v>
      </c>
      <c r="O20" s="300" t="s">
        <v>4254</v>
      </c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</row>
    <row r="21" ht="12.75" customHeight="1">
      <c r="A21" s="300">
        <v>2.0</v>
      </c>
      <c r="B21" s="300" t="s">
        <v>780</v>
      </c>
      <c r="C21" s="300"/>
      <c r="D21" s="300" t="s">
        <v>4247</v>
      </c>
      <c r="E21" s="300" t="s">
        <v>70</v>
      </c>
      <c r="F21" s="301">
        <v>2.62E8</v>
      </c>
      <c r="G21" s="300"/>
      <c r="H21" s="300" t="s">
        <v>4255</v>
      </c>
      <c r="I21" s="300" t="s">
        <v>78</v>
      </c>
      <c r="J21" s="300" t="s">
        <v>4256</v>
      </c>
      <c r="K21" s="300" t="s">
        <v>4257</v>
      </c>
      <c r="L21" s="300" t="s">
        <v>4258</v>
      </c>
      <c r="M21" s="27" t="s">
        <v>4259</v>
      </c>
      <c r="N21" s="300"/>
      <c r="O21" s="300" t="s">
        <v>4260</v>
      </c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</row>
    <row r="22" ht="12.75" customHeight="1">
      <c r="A22" s="443"/>
      <c r="B22" s="248" t="s">
        <v>23</v>
      </c>
      <c r="C22" s="443"/>
      <c r="D22" s="443"/>
      <c r="E22" s="443"/>
      <c r="F22" s="249">
        <f>F23</f>
        <v>285200000</v>
      </c>
      <c r="G22" s="443"/>
      <c r="H22" s="443"/>
      <c r="I22" s="443"/>
      <c r="J22" s="443"/>
      <c r="K22" s="443"/>
      <c r="L22" s="443"/>
      <c r="M22" s="443"/>
      <c r="N22" s="443"/>
      <c r="O22" s="443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</row>
    <row r="23" ht="12.75" customHeight="1">
      <c r="A23" s="300">
        <v>1.0</v>
      </c>
      <c r="B23" s="300" t="s">
        <v>24</v>
      </c>
      <c r="C23" s="300" t="s">
        <v>4261</v>
      </c>
      <c r="D23" s="300" t="s">
        <v>4247</v>
      </c>
      <c r="E23" s="300" t="s">
        <v>70</v>
      </c>
      <c r="F23" s="301">
        <v>2.852E8</v>
      </c>
      <c r="G23" s="300"/>
      <c r="H23" s="569" t="s">
        <v>1120</v>
      </c>
      <c r="I23" s="300" t="s">
        <v>910</v>
      </c>
      <c r="J23" s="300" t="s">
        <v>4262</v>
      </c>
      <c r="K23" s="300" t="s">
        <v>4263</v>
      </c>
      <c r="L23" s="300" t="s">
        <v>4264</v>
      </c>
      <c r="M23" s="27" t="s">
        <v>4265</v>
      </c>
      <c r="N23" s="300"/>
      <c r="O23" s="300" t="s">
        <v>4266</v>
      </c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</row>
    <row r="24" ht="12.75" customHeight="1">
      <c r="A24" s="443"/>
      <c r="B24" s="248" t="s">
        <v>1933</v>
      </c>
      <c r="C24" s="443"/>
      <c r="D24" s="443"/>
      <c r="E24" s="443"/>
      <c r="F24" s="249">
        <f>SUM(F25:F26)</f>
        <v>809810000</v>
      </c>
      <c r="G24" s="443"/>
      <c r="H24" s="443"/>
      <c r="I24" s="443"/>
      <c r="J24" s="443"/>
      <c r="K24" s="443"/>
      <c r="L24" s="443"/>
      <c r="M24" s="443"/>
      <c r="N24" s="443"/>
      <c r="O24" s="443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</row>
    <row r="25" ht="12.75" customHeight="1">
      <c r="A25" s="300">
        <v>1.0</v>
      </c>
      <c r="B25" s="300" t="s">
        <v>82</v>
      </c>
      <c r="C25" s="300"/>
      <c r="D25" s="300" t="s">
        <v>4247</v>
      </c>
      <c r="E25" s="300" t="s">
        <v>70</v>
      </c>
      <c r="F25" s="301">
        <v>2.798E8</v>
      </c>
      <c r="G25" s="300"/>
      <c r="H25" s="300" t="s">
        <v>4267</v>
      </c>
      <c r="I25" s="300" t="s">
        <v>84</v>
      </c>
      <c r="J25" s="569" t="s">
        <v>4268</v>
      </c>
      <c r="K25" s="300" t="s">
        <v>4269</v>
      </c>
      <c r="L25" s="300" t="s">
        <v>4270</v>
      </c>
      <c r="M25" s="27" t="s">
        <v>4271</v>
      </c>
      <c r="N25" s="300" t="s">
        <v>4272</v>
      </c>
      <c r="O25" s="300" t="s">
        <v>4273</v>
      </c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</row>
    <row r="26" ht="12.75" customHeight="1">
      <c r="A26" s="300">
        <v>2.0</v>
      </c>
      <c r="B26" s="300" t="s">
        <v>780</v>
      </c>
      <c r="C26" s="300"/>
      <c r="D26" s="300" t="s">
        <v>4247</v>
      </c>
      <c r="E26" s="300" t="s">
        <v>70</v>
      </c>
      <c r="F26" s="301">
        <v>5.3001E8</v>
      </c>
      <c r="G26" s="300"/>
      <c r="H26" s="300" t="s">
        <v>4274</v>
      </c>
      <c r="I26" s="300" t="s">
        <v>78</v>
      </c>
      <c r="J26" s="300" t="s">
        <v>4275</v>
      </c>
      <c r="K26" s="300" t="s">
        <v>4276</v>
      </c>
      <c r="L26" s="300" t="s">
        <v>4277</v>
      </c>
      <c r="M26" s="27" t="s">
        <v>4278</v>
      </c>
      <c r="N26" s="300"/>
      <c r="O26" s="300" t="s">
        <v>4279</v>
      </c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</row>
    <row r="27" ht="12.75" customHeight="1">
      <c r="A27" s="248"/>
      <c r="B27" s="248" t="s">
        <v>99</v>
      </c>
      <c r="C27" s="248"/>
      <c r="D27" s="248"/>
      <c r="E27" s="248"/>
      <c r="F27" s="249">
        <f>SUM(F28:F45)</f>
        <v>360171000</v>
      </c>
      <c r="G27" s="248"/>
      <c r="H27" s="248"/>
      <c r="I27" s="248"/>
      <c r="J27" s="248"/>
      <c r="K27" s="248"/>
      <c r="L27" s="248"/>
      <c r="M27" s="248"/>
      <c r="N27" s="248"/>
      <c r="O27" s="248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</row>
    <row r="28" ht="12.75" customHeight="1">
      <c r="A28" s="300">
        <v>1.0</v>
      </c>
      <c r="B28" s="300" t="s">
        <v>100</v>
      </c>
      <c r="C28" s="300"/>
      <c r="D28" s="300" t="s">
        <v>4247</v>
      </c>
      <c r="E28" s="300" t="s">
        <v>27</v>
      </c>
      <c r="F28" s="301">
        <v>5000000.0</v>
      </c>
      <c r="G28" s="300"/>
      <c r="H28" s="300" t="s">
        <v>144</v>
      </c>
      <c r="I28" s="300" t="s">
        <v>2988</v>
      </c>
      <c r="J28" s="300" t="s">
        <v>4280</v>
      </c>
      <c r="K28" s="300" t="s">
        <v>4281</v>
      </c>
      <c r="L28" s="300" t="s">
        <v>4282</v>
      </c>
      <c r="M28" s="27" t="s">
        <v>4283</v>
      </c>
      <c r="N28" s="300" t="s">
        <v>27</v>
      </c>
      <c r="O28" s="300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</row>
    <row r="29" ht="12.75" customHeight="1">
      <c r="A29" s="300">
        <v>2.0</v>
      </c>
      <c r="B29" s="300" t="s">
        <v>100</v>
      </c>
      <c r="C29" s="300"/>
      <c r="D29" s="300" t="s">
        <v>4247</v>
      </c>
      <c r="E29" s="300" t="s">
        <v>70</v>
      </c>
      <c r="F29" s="301">
        <v>1.6905E7</v>
      </c>
      <c r="G29" s="300"/>
      <c r="H29" s="300" t="s">
        <v>4284</v>
      </c>
      <c r="I29" s="300" t="s">
        <v>84</v>
      </c>
      <c r="J29" s="569" t="s">
        <v>4285</v>
      </c>
      <c r="K29" s="300" t="s">
        <v>4286</v>
      </c>
      <c r="L29" s="300" t="s">
        <v>4287</v>
      </c>
      <c r="M29" s="27" t="s">
        <v>4288</v>
      </c>
      <c r="N29" s="300" t="s">
        <v>4289</v>
      </c>
      <c r="O29" s="300" t="s">
        <v>4290</v>
      </c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</row>
    <row r="30" ht="12.75" customHeight="1">
      <c r="A30" s="300">
        <v>3.0</v>
      </c>
      <c r="B30" s="300" t="s">
        <v>100</v>
      </c>
      <c r="C30" s="300"/>
      <c r="D30" s="300" t="s">
        <v>4247</v>
      </c>
      <c r="E30" s="300" t="s">
        <v>70</v>
      </c>
      <c r="F30" s="301">
        <v>1.6905E7</v>
      </c>
      <c r="G30" s="300"/>
      <c r="H30" s="300" t="s">
        <v>4284</v>
      </c>
      <c r="I30" s="300" t="s">
        <v>84</v>
      </c>
      <c r="J30" s="300" t="s">
        <v>4291</v>
      </c>
      <c r="K30" s="300" t="s">
        <v>4292</v>
      </c>
      <c r="L30" s="300" t="s">
        <v>4293</v>
      </c>
      <c r="M30" s="27" t="s">
        <v>4294</v>
      </c>
      <c r="N30" s="300"/>
      <c r="O30" s="300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</row>
    <row r="31" ht="12.75" customHeight="1">
      <c r="A31" s="300">
        <v>4.0</v>
      </c>
      <c r="B31" s="300" t="s">
        <v>100</v>
      </c>
      <c r="C31" s="300"/>
      <c r="D31" s="300" t="s">
        <v>4247</v>
      </c>
      <c r="E31" s="300" t="s">
        <v>70</v>
      </c>
      <c r="F31" s="301">
        <v>1.5895E7</v>
      </c>
      <c r="G31" s="300"/>
      <c r="H31" s="300" t="s">
        <v>4295</v>
      </c>
      <c r="I31" s="300" t="s">
        <v>44</v>
      </c>
      <c r="J31" s="300" t="s">
        <v>4296</v>
      </c>
      <c r="K31" s="300" t="s">
        <v>4297</v>
      </c>
      <c r="L31" s="300" t="s">
        <v>4298</v>
      </c>
      <c r="M31" s="27" t="s">
        <v>4299</v>
      </c>
      <c r="N31" s="300"/>
      <c r="O31" s="300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</row>
    <row r="32" ht="12.75" customHeight="1">
      <c r="A32" s="300">
        <v>5.0</v>
      </c>
      <c r="B32" s="300" t="s">
        <v>100</v>
      </c>
      <c r="C32" s="300"/>
      <c r="D32" s="300" t="s">
        <v>4247</v>
      </c>
      <c r="E32" s="300" t="s">
        <v>70</v>
      </c>
      <c r="F32" s="301">
        <v>1.5895E7</v>
      </c>
      <c r="G32" s="300"/>
      <c r="H32" s="300" t="s">
        <v>4295</v>
      </c>
      <c r="I32" s="300" t="s">
        <v>44</v>
      </c>
      <c r="J32" s="35" t="s">
        <v>4300</v>
      </c>
      <c r="K32" s="300" t="s">
        <v>4301</v>
      </c>
      <c r="L32" s="300" t="s">
        <v>4302</v>
      </c>
      <c r="M32" s="27" t="s">
        <v>4303</v>
      </c>
      <c r="N32" s="300" t="s">
        <v>4304</v>
      </c>
      <c r="O32" s="300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</row>
    <row r="33" ht="12.75" customHeight="1">
      <c r="A33" s="570">
        <v>6.0</v>
      </c>
      <c r="B33" s="570" t="s">
        <v>100</v>
      </c>
      <c r="C33" s="570"/>
      <c r="D33" s="570" t="s">
        <v>4247</v>
      </c>
      <c r="E33" s="570" t="s">
        <v>70</v>
      </c>
      <c r="F33" s="571">
        <v>1.5735E7</v>
      </c>
      <c r="G33" s="570"/>
      <c r="H33" s="570" t="s">
        <v>4305</v>
      </c>
      <c r="I33" s="570" t="s">
        <v>92</v>
      </c>
      <c r="J33" s="570" t="s">
        <v>4306</v>
      </c>
      <c r="K33" s="570" t="s">
        <v>4307</v>
      </c>
      <c r="L33" s="570"/>
      <c r="M33" s="570" t="s">
        <v>4308</v>
      </c>
      <c r="N33" s="570" t="s">
        <v>4309</v>
      </c>
      <c r="O33" s="570" t="s">
        <v>4310</v>
      </c>
      <c r="P33" s="572"/>
      <c r="Q33" s="572"/>
      <c r="R33" s="572"/>
      <c r="S33" s="572"/>
      <c r="T33" s="572"/>
      <c r="U33" s="572"/>
      <c r="V33" s="572"/>
      <c r="W33" s="572"/>
      <c r="X33" s="572"/>
      <c r="Y33" s="572"/>
      <c r="Z33" s="572"/>
    </row>
    <row r="34" ht="12.75" customHeight="1">
      <c r="A34" s="570">
        <v>7.0</v>
      </c>
      <c r="B34" s="570" t="s">
        <v>100</v>
      </c>
      <c r="C34" s="570"/>
      <c r="D34" s="570" t="s">
        <v>4247</v>
      </c>
      <c r="E34" s="570" t="s">
        <v>70</v>
      </c>
      <c r="F34" s="571">
        <v>1.5735E7</v>
      </c>
      <c r="G34" s="570"/>
      <c r="H34" s="570" t="s">
        <v>4305</v>
      </c>
      <c r="I34" s="570" t="s">
        <v>92</v>
      </c>
      <c r="J34" s="570" t="s">
        <v>4311</v>
      </c>
      <c r="K34" s="570" t="s">
        <v>4312</v>
      </c>
      <c r="L34" s="570"/>
      <c r="M34" s="570" t="s">
        <v>4313</v>
      </c>
      <c r="N34" s="570" t="s">
        <v>4314</v>
      </c>
      <c r="O34" s="570" t="s">
        <v>4315</v>
      </c>
      <c r="P34" s="572"/>
      <c r="Q34" s="572"/>
      <c r="R34" s="572"/>
      <c r="S34" s="572"/>
      <c r="T34" s="572"/>
      <c r="U34" s="572"/>
      <c r="V34" s="572"/>
      <c r="W34" s="572"/>
      <c r="X34" s="572"/>
      <c r="Y34" s="572"/>
      <c r="Z34" s="572"/>
    </row>
    <row r="35" ht="12.75" customHeight="1">
      <c r="A35" s="570">
        <v>8.0</v>
      </c>
      <c r="B35" s="570" t="s">
        <v>100</v>
      </c>
      <c r="C35" s="570"/>
      <c r="D35" s="570" t="s">
        <v>4247</v>
      </c>
      <c r="E35" s="570" t="s">
        <v>70</v>
      </c>
      <c r="F35" s="571">
        <v>1.5735E7</v>
      </c>
      <c r="G35" s="570"/>
      <c r="H35" s="570" t="s">
        <v>4305</v>
      </c>
      <c r="I35" s="570" t="s">
        <v>92</v>
      </c>
      <c r="J35" s="570" t="s">
        <v>4316</v>
      </c>
      <c r="K35" s="570" t="s">
        <v>4317</v>
      </c>
      <c r="L35" s="570"/>
      <c r="M35" s="570" t="s">
        <v>4318</v>
      </c>
      <c r="N35" s="570"/>
      <c r="O35" s="570"/>
      <c r="P35" s="572"/>
      <c r="Q35" s="572"/>
      <c r="R35" s="572"/>
      <c r="S35" s="572"/>
      <c r="T35" s="572"/>
      <c r="U35" s="572"/>
      <c r="V35" s="572"/>
      <c r="W35" s="572"/>
      <c r="X35" s="572"/>
      <c r="Y35" s="572"/>
      <c r="Z35" s="572"/>
    </row>
    <row r="36" ht="18.0" customHeight="1">
      <c r="A36" s="573">
        <v>9.0</v>
      </c>
      <c r="B36" s="573" t="s">
        <v>100</v>
      </c>
      <c r="C36" s="573"/>
      <c r="D36" s="573" t="s">
        <v>4247</v>
      </c>
      <c r="E36" s="573" t="s">
        <v>70</v>
      </c>
      <c r="F36" s="574">
        <v>1.5735E7</v>
      </c>
      <c r="G36" s="573"/>
      <c r="H36" s="573" t="s">
        <v>4305</v>
      </c>
      <c r="I36" s="573" t="s">
        <v>92</v>
      </c>
      <c r="J36" s="575" t="s">
        <v>4319</v>
      </c>
      <c r="K36" s="573" t="s">
        <v>4320</v>
      </c>
      <c r="L36" s="573" t="s">
        <v>4321</v>
      </c>
      <c r="M36" s="576" t="s">
        <v>4322</v>
      </c>
      <c r="N36" s="573" t="s">
        <v>4323</v>
      </c>
      <c r="O36" s="573" t="s">
        <v>4324</v>
      </c>
      <c r="P36" s="163"/>
      <c r="Q36" s="163"/>
      <c r="R36" s="163"/>
      <c r="S36" s="163"/>
      <c r="T36" s="163"/>
      <c r="U36" s="163"/>
      <c r="V36" s="163"/>
      <c r="W36" s="163"/>
      <c r="X36" s="163"/>
      <c r="Y36" s="163"/>
      <c r="Z36" s="163"/>
    </row>
    <row r="37" ht="12.75" customHeight="1">
      <c r="A37" s="300">
        <v>10.0</v>
      </c>
      <c r="B37" s="300" t="s">
        <v>100</v>
      </c>
      <c r="C37" s="300"/>
      <c r="D37" s="300" t="s">
        <v>4247</v>
      </c>
      <c r="E37" s="300" t="s">
        <v>70</v>
      </c>
      <c r="F37" s="301">
        <v>2.24E7</v>
      </c>
      <c r="G37" s="300"/>
      <c r="H37" s="300" t="s">
        <v>4325</v>
      </c>
      <c r="I37" s="300" t="s">
        <v>92</v>
      </c>
      <c r="J37" s="569" t="s">
        <v>4326</v>
      </c>
      <c r="K37" s="300" t="s">
        <v>4327</v>
      </c>
      <c r="L37" s="300" t="s">
        <v>4328</v>
      </c>
      <c r="M37" s="27" t="s">
        <v>4329</v>
      </c>
      <c r="N37" s="300" t="s">
        <v>4330</v>
      </c>
      <c r="O37" s="300" t="s">
        <v>4331</v>
      </c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</row>
    <row r="38" ht="12.75" customHeight="1">
      <c r="A38" s="300">
        <v>11.0</v>
      </c>
      <c r="B38" s="300" t="s">
        <v>100</v>
      </c>
      <c r="C38" s="300"/>
      <c r="D38" s="300" t="s">
        <v>4247</v>
      </c>
      <c r="E38" s="300" t="s">
        <v>70</v>
      </c>
      <c r="F38" s="301">
        <v>2.24E7</v>
      </c>
      <c r="G38" s="300"/>
      <c r="H38" s="300" t="s">
        <v>4325</v>
      </c>
      <c r="I38" s="300" t="s">
        <v>92</v>
      </c>
      <c r="J38" s="569" t="s">
        <v>4332</v>
      </c>
      <c r="K38" s="300" t="s">
        <v>4333</v>
      </c>
      <c r="L38" s="300" t="s">
        <v>4334</v>
      </c>
      <c r="M38" s="27" t="s">
        <v>4335</v>
      </c>
      <c r="N38" s="300" t="s">
        <v>4336</v>
      </c>
      <c r="O38" s="300" t="s">
        <v>4337</v>
      </c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</row>
    <row r="39" ht="12.75" customHeight="1">
      <c r="A39" s="300">
        <v>12.0</v>
      </c>
      <c r="B39" s="300" t="s">
        <v>100</v>
      </c>
      <c r="C39" s="300"/>
      <c r="D39" s="300" t="s">
        <v>4247</v>
      </c>
      <c r="E39" s="300" t="s">
        <v>70</v>
      </c>
      <c r="F39" s="301">
        <v>1.6375E7</v>
      </c>
      <c r="G39" s="300"/>
      <c r="H39" s="300" t="s">
        <v>4338</v>
      </c>
      <c r="I39" s="300" t="s">
        <v>58</v>
      </c>
      <c r="J39" s="300" t="s">
        <v>4339</v>
      </c>
      <c r="K39" s="300" t="s">
        <v>4340</v>
      </c>
      <c r="L39" s="300" t="s">
        <v>4341</v>
      </c>
      <c r="M39" s="27" t="s">
        <v>4342</v>
      </c>
      <c r="N39" s="300"/>
      <c r="O39" s="300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</row>
    <row r="40" ht="12.75" customHeight="1">
      <c r="A40" s="300">
        <v>13.0</v>
      </c>
      <c r="B40" s="300" t="s">
        <v>100</v>
      </c>
      <c r="C40" s="300"/>
      <c r="D40" s="300" t="s">
        <v>4247</v>
      </c>
      <c r="E40" s="300" t="s">
        <v>70</v>
      </c>
      <c r="F40" s="301">
        <v>1.6375E7</v>
      </c>
      <c r="G40" s="300"/>
      <c r="H40" s="300" t="s">
        <v>4338</v>
      </c>
      <c r="I40" s="300" t="s">
        <v>58</v>
      </c>
      <c r="J40" s="300" t="s">
        <v>4343</v>
      </c>
      <c r="K40" s="300" t="s">
        <v>4344</v>
      </c>
      <c r="L40" s="300" t="s">
        <v>4345</v>
      </c>
      <c r="M40" s="27" t="s">
        <v>4346</v>
      </c>
      <c r="N40" s="300" t="s">
        <v>4347</v>
      </c>
      <c r="O40" s="300" t="s">
        <v>4348</v>
      </c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</row>
    <row r="41" ht="12.75" customHeight="1">
      <c r="A41" s="300">
        <v>14.0</v>
      </c>
      <c r="B41" s="300" t="s">
        <v>100</v>
      </c>
      <c r="C41" s="300"/>
      <c r="D41" s="300" t="s">
        <v>4247</v>
      </c>
      <c r="E41" s="300" t="s">
        <v>70</v>
      </c>
      <c r="F41" s="301">
        <v>2.91855E7</v>
      </c>
      <c r="G41" s="300"/>
      <c r="H41" s="300" t="s">
        <v>4349</v>
      </c>
      <c r="I41" s="300" t="s">
        <v>78</v>
      </c>
      <c r="J41" s="300" t="s">
        <v>4350</v>
      </c>
      <c r="K41" s="300" t="s">
        <v>4351</v>
      </c>
      <c r="L41" s="300" t="s">
        <v>4352</v>
      </c>
      <c r="M41" s="27" t="s">
        <v>4353</v>
      </c>
      <c r="N41" s="300"/>
      <c r="O41" s="300" t="s">
        <v>4354</v>
      </c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</row>
    <row r="42" ht="12.75" customHeight="1">
      <c r="A42" s="300">
        <v>15.0</v>
      </c>
      <c r="B42" s="300" t="s">
        <v>100</v>
      </c>
      <c r="C42" s="300"/>
      <c r="D42" s="300" t="s">
        <v>4247</v>
      </c>
      <c r="E42" s="300" t="s">
        <v>70</v>
      </c>
      <c r="F42" s="301">
        <v>3.47955E7</v>
      </c>
      <c r="G42" s="300"/>
      <c r="H42" s="300" t="s">
        <v>4355</v>
      </c>
      <c r="I42" s="300" t="s">
        <v>78</v>
      </c>
      <c r="J42" s="300" t="s">
        <v>4356</v>
      </c>
      <c r="K42" s="300" t="s">
        <v>4357</v>
      </c>
      <c r="L42" s="300" t="s">
        <v>4358</v>
      </c>
      <c r="M42" s="27" t="s">
        <v>4359</v>
      </c>
      <c r="N42" s="300"/>
      <c r="O42" s="300" t="s">
        <v>4360</v>
      </c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 ht="12.75" customHeight="1">
      <c r="A43" s="300">
        <v>16.0</v>
      </c>
      <c r="B43" s="300" t="s">
        <v>100</v>
      </c>
      <c r="C43" s="300"/>
      <c r="D43" s="300" t="s">
        <v>4247</v>
      </c>
      <c r="E43" s="300" t="s">
        <v>70</v>
      </c>
      <c r="F43" s="301">
        <v>3.09E7</v>
      </c>
      <c r="G43" s="300"/>
      <c r="H43" s="300" t="s">
        <v>4355</v>
      </c>
      <c r="I43" s="300" t="s">
        <v>78</v>
      </c>
      <c r="J43" s="300" t="s">
        <v>4361</v>
      </c>
      <c r="K43" s="300" t="s">
        <v>4362</v>
      </c>
      <c r="L43" s="300" t="s">
        <v>4363</v>
      </c>
      <c r="M43" s="27" t="s">
        <v>4364</v>
      </c>
      <c r="N43" s="300"/>
      <c r="O43" s="300" t="s">
        <v>4365</v>
      </c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 ht="12.75" customHeight="1">
      <c r="A44" s="300">
        <v>17.0</v>
      </c>
      <c r="B44" s="300" t="s">
        <v>100</v>
      </c>
      <c r="C44" s="300"/>
      <c r="D44" s="300" t="s">
        <v>4247</v>
      </c>
      <c r="E44" s="300" t="s">
        <v>70</v>
      </c>
      <c r="F44" s="301">
        <v>2.71E7</v>
      </c>
      <c r="G44" s="300"/>
      <c r="H44" s="300" t="s">
        <v>4366</v>
      </c>
      <c r="I44" s="300" t="s">
        <v>78</v>
      </c>
      <c r="J44" s="300" t="s">
        <v>4367</v>
      </c>
      <c r="K44" s="300" t="s">
        <v>4368</v>
      </c>
      <c r="L44" s="300" t="s">
        <v>4369</v>
      </c>
      <c r="M44" s="27" t="s">
        <v>4370</v>
      </c>
      <c r="N44" s="300"/>
      <c r="O44" s="300" t="s">
        <v>4371</v>
      </c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 ht="12.75" customHeight="1">
      <c r="A45" s="300">
        <v>18.0</v>
      </c>
      <c r="B45" s="300" t="s">
        <v>100</v>
      </c>
      <c r="C45" s="300"/>
      <c r="D45" s="300" t="s">
        <v>4247</v>
      </c>
      <c r="E45" s="300" t="s">
        <v>70</v>
      </c>
      <c r="F45" s="301">
        <v>2.71E7</v>
      </c>
      <c r="G45" s="300"/>
      <c r="H45" s="300" t="s">
        <v>4366</v>
      </c>
      <c r="I45" s="300" t="s">
        <v>78</v>
      </c>
      <c r="J45" s="300" t="s">
        <v>4372</v>
      </c>
      <c r="K45" s="300" t="s">
        <v>4373</v>
      </c>
      <c r="L45" s="300" t="s">
        <v>4374</v>
      </c>
      <c r="M45" s="27" t="s">
        <v>4375</v>
      </c>
      <c r="N45" s="300"/>
      <c r="O45" s="300" t="s">
        <v>4376</v>
      </c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 ht="12.75" customHeight="1">
      <c r="A46" s="309"/>
      <c r="B46" s="309"/>
      <c r="C46" s="309"/>
      <c r="D46" s="309"/>
      <c r="E46" s="309"/>
      <c r="F46" s="310">
        <f>F17</f>
        <v>1889972000</v>
      </c>
      <c r="G46" s="309"/>
      <c r="H46" s="309"/>
      <c r="I46" s="309"/>
      <c r="J46" s="309"/>
      <c r="K46" s="309"/>
      <c r="L46" s="309"/>
      <c r="M46" s="309"/>
      <c r="N46" s="309"/>
      <c r="O46" s="309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 ht="12.75" customHeight="1">
      <c r="A47" s="35"/>
      <c r="B47" s="35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 ht="12.75" customHeight="1">
      <c r="A48" s="35"/>
      <c r="B48" s="280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ht="12.75" customHeight="1">
      <c r="A49" s="35"/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ht="12.75" customHeight="1">
      <c r="A50" s="35"/>
      <c r="B50" s="35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ht="12.75" customHeight="1">
      <c r="A51" s="35"/>
      <c r="B51" s="35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ht="12.75" customHeight="1">
      <c r="A52" s="35"/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ht="12.75" customHeight="1">
      <c r="A53" s="35"/>
      <c r="B53" s="35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ht="12.75" customHeight="1">
      <c r="A54" s="35"/>
      <c r="B54" s="35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ht="12.75" customHeight="1">
      <c r="A55" s="35"/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ht="12.75" customHeight="1">
      <c r="A56" s="35"/>
      <c r="B56" s="35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ht="12.75" customHeight="1">
      <c r="A57" s="35"/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ht="12.75" customHeight="1">
      <c r="A58" s="35"/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ht="12.75" customHeight="1">
      <c r="A59" s="35"/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ht="12.75" customHeight="1">
      <c r="A60" s="35"/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ht="12.75" customHeight="1">
      <c r="A61" s="35"/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ht="12.75" customHeight="1">
      <c r="A62" s="35"/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ht="12.75" customHeight="1">
      <c r="A63" s="35"/>
      <c r="B63" s="35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2.75" customHeight="1">
      <c r="A64" s="35"/>
      <c r="B64" s="35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2.75" customHeight="1">
      <c r="A65" s="35"/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2.75" customHeight="1">
      <c r="A66" s="35"/>
      <c r="B66" s="35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2.75" customHeight="1">
      <c r="A67" s="35"/>
      <c r="B67" s="35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2.75" customHeight="1">
      <c r="A68" s="35"/>
      <c r="B68" s="35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2.75" customHeight="1">
      <c r="A69" s="35"/>
      <c r="B69" s="35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2.75" customHeight="1">
      <c r="A70" s="35"/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2.75" customHeight="1">
      <c r="A71" s="35"/>
      <c r="B71" s="35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2.75" customHeight="1">
      <c r="A72" s="35"/>
      <c r="B72" s="35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2.75" customHeight="1">
      <c r="A73" s="35"/>
      <c r="B73" s="35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2.75" customHeight="1">
      <c r="A74" s="35"/>
      <c r="B74" s="35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2.75" customHeight="1">
      <c r="A75" s="35"/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2.75" customHeight="1">
      <c r="A76" s="35"/>
      <c r="B76" s="35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2.75" customHeight="1">
      <c r="A77" s="35"/>
      <c r="B77" s="35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2.75" customHeight="1">
      <c r="A78" s="35"/>
      <c r="B78" s="35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2.75" customHeight="1">
      <c r="A79" s="35"/>
      <c r="B79" s="35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2.75" customHeight="1">
      <c r="A80" s="35"/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2.75" customHeight="1">
      <c r="A81" s="35"/>
      <c r="B81" s="35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2.75" customHeight="1">
      <c r="A82" s="35"/>
      <c r="B82" s="35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2.75" customHeight="1">
      <c r="A83" s="35"/>
      <c r="B83" s="35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2.75" customHeight="1">
      <c r="A84" s="35"/>
      <c r="B84" s="35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2.75" customHeight="1">
      <c r="A85" s="35"/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2.75" customHeight="1">
      <c r="A86" s="35"/>
      <c r="B86" s="35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2.75" customHeight="1">
      <c r="A87" s="35"/>
      <c r="B87" s="35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2.75" customHeight="1">
      <c r="A88" s="35"/>
      <c r="B88" s="35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2.75" customHeight="1">
      <c r="A89" s="35"/>
      <c r="B89" s="35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2.75" customHeight="1">
      <c r="A90" s="35"/>
      <c r="B90" s="35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2.75" customHeight="1">
      <c r="A91" s="35"/>
      <c r="B91" s="35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2.75" customHeight="1">
      <c r="A92" s="35"/>
      <c r="B92" s="35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2.75" customHeight="1">
      <c r="A93" s="35"/>
      <c r="B93" s="35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2.75" customHeight="1">
      <c r="A94" s="35"/>
      <c r="B94" s="35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2.75" customHeight="1">
      <c r="A95" s="35"/>
      <c r="B95" s="35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2.75" customHeight="1">
      <c r="A96" s="35"/>
      <c r="B96" s="35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2.75" customHeight="1">
      <c r="A97" s="35"/>
      <c r="B97" s="35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</row>
    <row r="98" ht="12.75" customHeight="1">
      <c r="A98" s="35"/>
      <c r="B98" s="35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</row>
    <row r="99" ht="12.75" customHeight="1">
      <c r="A99" s="35"/>
      <c r="B99" s="35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</row>
    <row r="100" ht="12.75" customHeight="1">
      <c r="A100" s="35"/>
      <c r="B100" s="35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</row>
    <row r="101" ht="12.75" customHeight="1">
      <c r="A101" s="35"/>
      <c r="B101" s="35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</row>
    <row r="102" ht="12.75" customHeight="1">
      <c r="A102" s="35"/>
      <c r="B102" s="35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</row>
    <row r="103" ht="12.75" customHeight="1">
      <c r="A103" s="35"/>
      <c r="B103" s="35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</row>
    <row r="104" ht="12.75" customHeight="1">
      <c r="A104" s="35"/>
      <c r="B104" s="35"/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</row>
    <row r="105" ht="12.75" customHeight="1">
      <c r="A105" s="35"/>
      <c r="B105" s="35"/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</row>
    <row r="106" ht="12.75" customHeight="1">
      <c r="A106" s="35"/>
      <c r="B106" s="35"/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</row>
    <row r="107" ht="12.75" customHeight="1">
      <c r="A107" s="35"/>
      <c r="B107" s="35"/>
      <c r="C107" s="35"/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</row>
    <row r="108" ht="12.75" customHeight="1">
      <c r="A108" s="35"/>
      <c r="B108" s="35"/>
      <c r="C108" s="35"/>
      <c r="D108" s="35"/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</row>
    <row r="109" ht="12.75" customHeight="1">
      <c r="A109" s="35"/>
      <c r="B109" s="35"/>
      <c r="C109" s="35"/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</row>
    <row r="110" ht="12.75" customHeight="1">
      <c r="A110" s="35"/>
      <c r="B110" s="35"/>
      <c r="C110" s="35"/>
      <c r="D110" s="35"/>
      <c r="E110" s="35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</row>
    <row r="111" ht="12.75" customHeight="1">
      <c r="A111" s="35"/>
      <c r="B111" s="35"/>
      <c r="C111" s="35"/>
      <c r="D111" s="35"/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</row>
    <row r="112" ht="12.75" customHeight="1">
      <c r="A112" s="35"/>
      <c r="B112" s="35"/>
      <c r="C112" s="35"/>
      <c r="D112" s="35"/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</row>
    <row r="113" ht="12.75" customHeight="1">
      <c r="A113" s="35"/>
      <c r="B113" s="35"/>
      <c r="C113" s="35"/>
      <c r="D113" s="35"/>
      <c r="E113" s="35"/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</row>
    <row r="114" ht="12.75" customHeight="1">
      <c r="A114" s="35"/>
      <c r="B114" s="35"/>
      <c r="C114" s="35"/>
      <c r="D114" s="35"/>
      <c r="E114" s="35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</row>
    <row r="115" ht="12.75" customHeight="1">
      <c r="A115" s="35"/>
      <c r="B115" s="35"/>
      <c r="C115" s="35"/>
      <c r="D115" s="35"/>
      <c r="E115" s="35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</row>
    <row r="116" ht="12.75" customHeight="1">
      <c r="A116" s="35"/>
      <c r="B116" s="35"/>
      <c r="C116" s="35"/>
      <c r="D116" s="35"/>
      <c r="E116" s="35"/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</row>
    <row r="117" ht="12.75" customHeight="1">
      <c r="A117" s="35"/>
      <c r="B117" s="35"/>
      <c r="C117" s="35"/>
      <c r="D117" s="35"/>
      <c r="E117" s="35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</row>
    <row r="118" ht="12.75" customHeight="1">
      <c r="A118" s="35"/>
      <c r="B118" s="35"/>
      <c r="C118" s="35"/>
      <c r="D118" s="35"/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</row>
    <row r="119" ht="12.75" customHeight="1">
      <c r="A119" s="35"/>
      <c r="B119" s="35"/>
      <c r="C119" s="35"/>
      <c r="D119" s="35"/>
      <c r="E119" s="35"/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</row>
    <row r="120" ht="12.75" customHeight="1">
      <c r="A120" s="35"/>
      <c r="B120" s="35"/>
      <c r="C120" s="35"/>
      <c r="D120" s="35"/>
      <c r="E120" s="35"/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</row>
    <row r="121" ht="12.75" customHeight="1">
      <c r="A121" s="35"/>
      <c r="B121" s="35"/>
      <c r="C121" s="35"/>
      <c r="D121" s="35"/>
      <c r="E121" s="35"/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</row>
    <row r="122" ht="12.75" customHeight="1">
      <c r="A122" s="35"/>
      <c r="B122" s="35"/>
      <c r="C122" s="35"/>
      <c r="D122" s="35"/>
      <c r="E122" s="35"/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</row>
    <row r="123" ht="12.75" customHeight="1">
      <c r="A123" s="35"/>
      <c r="B123" s="35"/>
      <c r="C123" s="35"/>
      <c r="D123" s="35"/>
      <c r="E123" s="35"/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</row>
    <row r="124" ht="12.75" customHeight="1">
      <c r="A124" s="35"/>
      <c r="B124" s="35"/>
      <c r="C124" s="35"/>
      <c r="D124" s="35"/>
      <c r="E124" s="35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</row>
    <row r="125" ht="12.75" customHeight="1">
      <c r="A125" s="35"/>
      <c r="B125" s="35"/>
      <c r="C125" s="35"/>
      <c r="D125" s="35"/>
      <c r="E125" s="35"/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</row>
    <row r="126" ht="12.75" customHeight="1">
      <c r="A126" s="35"/>
      <c r="B126" s="35"/>
      <c r="C126" s="35"/>
      <c r="D126" s="35"/>
      <c r="E126" s="35"/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</row>
    <row r="127" ht="12.75" customHeight="1">
      <c r="A127" s="35"/>
      <c r="B127" s="35"/>
      <c r="C127" s="35"/>
      <c r="D127" s="35"/>
      <c r="E127" s="35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</row>
    <row r="128" ht="12.75" customHeight="1">
      <c r="A128" s="35"/>
      <c r="B128" s="35"/>
      <c r="C128" s="35"/>
      <c r="D128" s="35"/>
      <c r="E128" s="35"/>
      <c r="F128" s="35"/>
      <c r="G128" s="35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</row>
    <row r="129" ht="12.75" customHeight="1">
      <c r="A129" s="35"/>
      <c r="B129" s="35"/>
      <c r="C129" s="35"/>
      <c r="D129" s="35"/>
      <c r="E129" s="35"/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</row>
    <row r="130" ht="12.75" customHeight="1">
      <c r="A130" s="35"/>
      <c r="B130" s="35"/>
      <c r="C130" s="35"/>
      <c r="D130" s="35"/>
      <c r="E130" s="35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</row>
    <row r="131" ht="12.75" customHeight="1">
      <c r="A131" s="35"/>
      <c r="B131" s="35"/>
      <c r="C131" s="35"/>
      <c r="D131" s="35"/>
      <c r="E131" s="35"/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</row>
    <row r="132" ht="12.75" customHeight="1">
      <c r="A132" s="35"/>
      <c r="B132" s="35"/>
      <c r="C132" s="35"/>
      <c r="D132" s="35"/>
      <c r="E132" s="35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</row>
    <row r="133" ht="12.75" customHeight="1">
      <c r="A133" s="35"/>
      <c r="B133" s="35"/>
      <c r="C133" s="35"/>
      <c r="D133" s="35"/>
      <c r="E133" s="35"/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</row>
    <row r="134" ht="12.75" customHeight="1">
      <c r="A134" s="35"/>
      <c r="B134" s="35"/>
      <c r="C134" s="35"/>
      <c r="D134" s="35"/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</row>
    <row r="135" ht="12.75" customHeight="1">
      <c r="A135" s="35"/>
      <c r="B135" s="35"/>
      <c r="C135" s="35"/>
      <c r="D135" s="35"/>
      <c r="E135" s="35"/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</row>
    <row r="136" ht="12.75" customHeight="1">
      <c r="A136" s="35"/>
      <c r="B136" s="35"/>
      <c r="C136" s="35"/>
      <c r="D136" s="35"/>
      <c r="E136" s="35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</row>
    <row r="137" ht="12.75" customHeight="1">
      <c r="A137" s="35"/>
      <c r="B137" s="35"/>
      <c r="C137" s="35"/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</row>
    <row r="138" ht="12.75" customHeight="1">
      <c r="A138" s="35"/>
      <c r="B138" s="35"/>
      <c r="C138" s="35"/>
      <c r="D138" s="35"/>
      <c r="E138" s="35"/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</row>
    <row r="139" ht="12.75" customHeight="1">
      <c r="A139" s="35"/>
      <c r="B139" s="35"/>
      <c r="C139" s="35"/>
      <c r="D139" s="35"/>
      <c r="E139" s="35"/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</row>
    <row r="140" ht="12.75" customHeight="1">
      <c r="A140" s="35"/>
      <c r="B140" s="35"/>
      <c r="C140" s="35"/>
      <c r="D140" s="35"/>
      <c r="E140" s="35"/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</row>
    <row r="141" ht="12.75" customHeight="1">
      <c r="A141" s="35"/>
      <c r="B141" s="35"/>
      <c r="C141" s="35"/>
      <c r="D141" s="35"/>
      <c r="E141" s="35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</row>
    <row r="142" ht="12.75" customHeight="1">
      <c r="A142" s="35"/>
      <c r="B142" s="35"/>
      <c r="C142" s="35"/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</row>
    <row r="143" ht="12.75" customHeight="1">
      <c r="A143" s="35"/>
      <c r="B143" s="35"/>
      <c r="C143" s="35"/>
      <c r="D143" s="35"/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</row>
    <row r="144" ht="12.75" customHeight="1">
      <c r="A144" s="35"/>
      <c r="B144" s="35"/>
      <c r="C144" s="35"/>
      <c r="D144" s="35"/>
      <c r="E144" s="35"/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  <c r="Z144" s="35"/>
    </row>
    <row r="145" ht="12.75" customHeight="1">
      <c r="A145" s="35"/>
      <c r="B145" s="35"/>
      <c r="C145" s="35"/>
      <c r="D145" s="35"/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</row>
    <row r="146" ht="12.75" customHeight="1">
      <c r="A146" s="35"/>
      <c r="B146" s="35"/>
      <c r="C146" s="35"/>
      <c r="D146" s="35"/>
      <c r="E146" s="35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5"/>
    </row>
    <row r="147" ht="12.75" customHeight="1">
      <c r="A147" s="35"/>
      <c r="B147" s="35"/>
      <c r="C147" s="35"/>
      <c r="D147" s="35"/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</row>
    <row r="148" ht="12.75" customHeight="1">
      <c r="A148" s="35"/>
      <c r="B148" s="35"/>
      <c r="C148" s="35"/>
      <c r="D148" s="35"/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  <c r="Z148" s="35"/>
    </row>
    <row r="149" ht="12.75" customHeight="1">
      <c r="A149" s="35"/>
      <c r="B149" s="35"/>
      <c r="C149" s="35"/>
      <c r="D149" s="35"/>
      <c r="E149" s="35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5"/>
    </row>
    <row r="150" ht="12.75" customHeight="1">
      <c r="A150" s="35"/>
      <c r="B150" s="35"/>
      <c r="C150" s="35"/>
      <c r="D150" s="35"/>
      <c r="E150" s="35"/>
      <c r="F150" s="35"/>
      <c r="G150" s="35"/>
      <c r="H150" s="35"/>
      <c r="I150" s="35"/>
      <c r="J150" s="35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5"/>
    </row>
    <row r="151" ht="12.75" customHeight="1">
      <c r="A151" s="35"/>
      <c r="B151" s="35"/>
      <c r="C151" s="35"/>
      <c r="D151" s="35"/>
      <c r="E151" s="35"/>
      <c r="F151" s="35"/>
      <c r="G151" s="35"/>
      <c r="H151" s="35"/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</row>
    <row r="152" ht="12.75" customHeight="1">
      <c r="A152" s="35"/>
      <c r="B152" s="35"/>
      <c r="C152" s="35"/>
      <c r="D152" s="35"/>
      <c r="E152" s="35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5"/>
    </row>
    <row r="153" ht="12.75" customHeight="1">
      <c r="A153" s="35"/>
      <c r="B153" s="35"/>
      <c r="C153" s="35"/>
      <c r="D153" s="35"/>
      <c r="E153" s="35"/>
      <c r="F153" s="35"/>
      <c r="G153" s="35"/>
      <c r="H153" s="35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</row>
    <row r="154" ht="12.75" customHeight="1">
      <c r="A154" s="35"/>
      <c r="B154" s="35"/>
      <c r="C154" s="35"/>
      <c r="D154" s="35"/>
      <c r="E154" s="35"/>
      <c r="F154" s="35"/>
      <c r="G154" s="35"/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</row>
    <row r="155" ht="12.75" customHeight="1">
      <c r="A155" s="35"/>
      <c r="B155" s="35"/>
      <c r="C155" s="35"/>
      <c r="D155" s="35"/>
      <c r="E155" s="35"/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</row>
    <row r="156" ht="12.75" customHeight="1">
      <c r="A156" s="35"/>
      <c r="B156" s="35"/>
      <c r="C156" s="35"/>
      <c r="D156" s="35"/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</row>
    <row r="157" ht="12.75" customHeight="1">
      <c r="A157" s="35"/>
      <c r="B157" s="35"/>
      <c r="C157" s="35"/>
      <c r="D157" s="35"/>
      <c r="E157" s="35"/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</row>
    <row r="158" ht="12.75" customHeight="1">
      <c r="A158" s="35"/>
      <c r="B158" s="35"/>
      <c r="C158" s="35"/>
      <c r="D158" s="35"/>
      <c r="E158" s="35"/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</row>
    <row r="159" ht="12.75" customHeight="1">
      <c r="A159" s="35"/>
      <c r="B159" s="35"/>
      <c r="C159" s="35"/>
      <c r="D159" s="35"/>
      <c r="E159" s="35"/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</row>
    <row r="160" ht="12.75" customHeight="1">
      <c r="A160" s="35"/>
      <c r="B160" s="35"/>
      <c r="C160" s="35"/>
      <c r="D160" s="35"/>
      <c r="E160" s="35"/>
      <c r="F160" s="35"/>
      <c r="G160" s="35"/>
      <c r="H160" s="35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</row>
    <row r="161" ht="12.75" customHeight="1">
      <c r="A161" s="35"/>
      <c r="B161" s="35"/>
      <c r="C161" s="35"/>
      <c r="D161" s="35"/>
      <c r="E161" s="35"/>
      <c r="F161" s="35"/>
      <c r="G161" s="35"/>
      <c r="H161" s="35"/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</row>
    <row r="162" ht="12.75" customHeight="1">
      <c r="A162" s="35"/>
      <c r="B162" s="35"/>
      <c r="C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5"/>
    </row>
    <row r="163" ht="12.75" customHeight="1">
      <c r="A163" s="35"/>
      <c r="B163" s="35"/>
      <c r="C163" s="35"/>
      <c r="D163" s="35"/>
      <c r="E163" s="35"/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</row>
    <row r="164" ht="12.75" customHeight="1">
      <c r="A164" s="35"/>
      <c r="B164" s="35"/>
      <c r="C164" s="35"/>
      <c r="D164" s="35"/>
      <c r="E164" s="35"/>
      <c r="F164" s="35"/>
      <c r="G164" s="35"/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</row>
    <row r="165" ht="12.75" customHeight="1">
      <c r="A165" s="35"/>
      <c r="B165" s="35"/>
      <c r="C165" s="35"/>
      <c r="D165" s="35"/>
      <c r="E165" s="35"/>
      <c r="F165" s="35"/>
      <c r="G165" s="35"/>
      <c r="H165" s="35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</row>
    <row r="166" ht="12.75" customHeight="1">
      <c r="A166" s="35"/>
      <c r="B166" s="35"/>
      <c r="C166" s="35"/>
      <c r="D166" s="35"/>
      <c r="E166" s="35"/>
      <c r="F166" s="35"/>
      <c r="G166" s="35"/>
      <c r="H166" s="35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35"/>
    </row>
    <row r="167" ht="12.75" customHeight="1">
      <c r="A167" s="35"/>
      <c r="B167" s="35"/>
      <c r="C167" s="35"/>
      <c r="D167" s="35"/>
      <c r="E167" s="35"/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</row>
    <row r="168" ht="12.75" customHeight="1">
      <c r="A168" s="35"/>
      <c r="B168" s="35"/>
      <c r="C168" s="35"/>
      <c r="D168" s="35"/>
      <c r="E168" s="35"/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  <c r="Z168" s="35"/>
    </row>
    <row r="169" ht="12.75" customHeight="1">
      <c r="A169" s="35"/>
      <c r="B169" s="35"/>
      <c r="C169" s="35"/>
      <c r="D169" s="35"/>
      <c r="E169" s="35"/>
      <c r="F169" s="35"/>
      <c r="G169" s="35"/>
      <c r="H169" s="35"/>
      <c r="I169" s="35"/>
      <c r="J169" s="35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  <c r="Z169" s="35"/>
    </row>
    <row r="170" ht="12.75" customHeight="1">
      <c r="A170" s="35"/>
      <c r="B170" s="35"/>
      <c r="C170" s="35"/>
      <c r="D170" s="35"/>
      <c r="E170" s="35"/>
      <c r="F170" s="35"/>
      <c r="G170" s="35"/>
      <c r="H170" s="35"/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35"/>
    </row>
    <row r="171" ht="12.75" customHeight="1">
      <c r="A171" s="35"/>
      <c r="B171" s="35"/>
      <c r="C171" s="35"/>
      <c r="D171" s="35"/>
      <c r="E171" s="35"/>
      <c r="F171" s="35"/>
      <c r="G171" s="35"/>
      <c r="H171" s="35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</row>
    <row r="172" ht="12.75" customHeight="1">
      <c r="A172" s="35"/>
      <c r="B172" s="35"/>
      <c r="C172" s="35"/>
      <c r="D172" s="35"/>
      <c r="E172" s="35"/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  <c r="Z172" s="35"/>
    </row>
    <row r="173" ht="12.75" customHeight="1">
      <c r="A173" s="35"/>
      <c r="B173" s="35"/>
      <c r="C173" s="35"/>
      <c r="D173" s="35"/>
      <c r="E173" s="35"/>
      <c r="F173" s="35"/>
      <c r="G173" s="35"/>
      <c r="H173" s="35"/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  <c r="Z173" s="35"/>
    </row>
    <row r="174" ht="12.75" customHeight="1">
      <c r="A174" s="35"/>
      <c r="B174" s="35"/>
      <c r="C174" s="35"/>
      <c r="D174" s="35"/>
      <c r="E174" s="35"/>
      <c r="F174" s="35"/>
      <c r="G174" s="35"/>
      <c r="H174" s="35"/>
      <c r="I174" s="35"/>
      <c r="J174" s="35"/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  <c r="Z174" s="35"/>
    </row>
    <row r="175" ht="12.75" customHeight="1">
      <c r="A175" s="35"/>
      <c r="B175" s="35"/>
      <c r="C175" s="35"/>
      <c r="D175" s="35"/>
      <c r="E175" s="35"/>
      <c r="F175" s="35"/>
      <c r="G175" s="35"/>
      <c r="H175" s="35"/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5"/>
    </row>
    <row r="176" ht="12.75" customHeight="1">
      <c r="A176" s="35"/>
      <c r="B176" s="35"/>
      <c r="C176" s="35"/>
      <c r="D176" s="35"/>
      <c r="E176" s="35"/>
      <c r="F176" s="35"/>
      <c r="G176" s="35"/>
      <c r="H176" s="35"/>
      <c r="I176" s="35"/>
      <c r="J176" s="35"/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5"/>
    </row>
    <row r="177" ht="12.75" customHeight="1">
      <c r="A177" s="35"/>
      <c r="B177" s="35"/>
      <c r="C177" s="35"/>
      <c r="D177" s="35"/>
      <c r="E177" s="35"/>
      <c r="F177" s="35"/>
      <c r="G177" s="35"/>
      <c r="H177" s="35"/>
      <c r="I177" s="35"/>
      <c r="J177" s="35"/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  <c r="Z177" s="35"/>
    </row>
    <row r="178" ht="12.75" customHeight="1">
      <c r="A178" s="35"/>
      <c r="B178" s="35"/>
      <c r="C178" s="35"/>
      <c r="D178" s="35"/>
      <c r="E178" s="35"/>
      <c r="F178" s="35"/>
      <c r="G178" s="35"/>
      <c r="H178" s="35"/>
      <c r="I178" s="35"/>
      <c r="J178" s="35"/>
      <c r="K178" s="35"/>
      <c r="L178" s="35"/>
      <c r="M178" s="35"/>
      <c r="N178" s="35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  <c r="Z178" s="35"/>
    </row>
    <row r="179" ht="12.75" customHeight="1">
      <c r="A179" s="35"/>
      <c r="B179" s="35"/>
      <c r="C179" s="35"/>
      <c r="D179" s="35"/>
      <c r="E179" s="35"/>
      <c r="F179" s="35"/>
      <c r="G179" s="35"/>
      <c r="H179" s="35"/>
      <c r="I179" s="35"/>
      <c r="J179" s="35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  <c r="Z179" s="35"/>
    </row>
    <row r="180" ht="12.75" customHeight="1">
      <c r="A180" s="35"/>
      <c r="B180" s="35"/>
      <c r="C180" s="35"/>
      <c r="D180" s="35"/>
      <c r="E180" s="35"/>
      <c r="F180" s="35"/>
      <c r="G180" s="35"/>
      <c r="H180" s="35"/>
      <c r="I180" s="35"/>
      <c r="J180" s="35"/>
      <c r="K180" s="35"/>
      <c r="L180" s="35"/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  <c r="Z180" s="35"/>
    </row>
    <row r="181" ht="12.75" customHeight="1">
      <c r="A181" s="35"/>
      <c r="B181" s="35"/>
      <c r="C181" s="35"/>
      <c r="D181" s="35"/>
      <c r="E181" s="35"/>
      <c r="F181" s="35"/>
      <c r="G181" s="35"/>
      <c r="H181" s="35"/>
      <c r="I181" s="35"/>
      <c r="J181" s="35"/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  <c r="Z181" s="35"/>
    </row>
    <row r="182" ht="12.75" customHeight="1">
      <c r="A182" s="35"/>
      <c r="B182" s="35"/>
      <c r="C182" s="35"/>
      <c r="D182" s="35"/>
      <c r="E182" s="35"/>
      <c r="F182" s="35"/>
      <c r="G182" s="35"/>
      <c r="H182" s="35"/>
      <c r="I182" s="35"/>
      <c r="J182" s="35"/>
      <c r="K182" s="35"/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  <c r="Z182" s="35"/>
    </row>
    <row r="183" ht="12.75" customHeight="1">
      <c r="A183" s="35"/>
      <c r="B183" s="35"/>
      <c r="C183" s="35"/>
      <c r="D183" s="35"/>
      <c r="E183" s="35"/>
      <c r="F183" s="35"/>
      <c r="G183" s="35"/>
      <c r="H183" s="35"/>
      <c r="I183" s="35"/>
      <c r="J183" s="35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  <c r="Z183" s="35"/>
    </row>
    <row r="184" ht="12.75" customHeight="1">
      <c r="A184" s="35"/>
      <c r="B184" s="35"/>
      <c r="C184" s="35"/>
      <c r="D184" s="35"/>
      <c r="E184" s="35"/>
      <c r="F184" s="35"/>
      <c r="G184" s="35"/>
      <c r="H184" s="35"/>
      <c r="I184" s="35"/>
      <c r="J184" s="35"/>
      <c r="K184" s="35"/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  <c r="Z184" s="35"/>
    </row>
    <row r="185" ht="12.75" customHeight="1">
      <c r="A185" s="35"/>
      <c r="B185" s="35"/>
      <c r="C185" s="35"/>
      <c r="D185" s="35"/>
      <c r="E185" s="35"/>
      <c r="F185" s="35"/>
      <c r="G185" s="35"/>
      <c r="H185" s="35"/>
      <c r="I185" s="35"/>
      <c r="J185" s="35"/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  <c r="Z185" s="35"/>
    </row>
    <row r="186" ht="12.75" customHeight="1">
      <c r="A186" s="35"/>
      <c r="B186" s="35"/>
      <c r="C186" s="35"/>
      <c r="D186" s="35"/>
      <c r="E186" s="35"/>
      <c r="F186" s="35"/>
      <c r="G186" s="35"/>
      <c r="H186" s="35"/>
      <c r="I186" s="35"/>
      <c r="J186" s="35"/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  <c r="Z186" s="35"/>
    </row>
    <row r="187" ht="12.75" customHeight="1">
      <c r="A187" s="35"/>
      <c r="B187" s="35"/>
      <c r="C187" s="35"/>
      <c r="D187" s="35"/>
      <c r="E187" s="35"/>
      <c r="F187" s="35"/>
      <c r="G187" s="35"/>
      <c r="H187" s="35"/>
      <c r="I187" s="35"/>
      <c r="J187" s="35"/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35"/>
    </row>
    <row r="188" ht="12.75" customHeight="1">
      <c r="A188" s="35"/>
      <c r="B188" s="35"/>
      <c r="C188" s="35"/>
      <c r="D188" s="35"/>
      <c r="E188" s="35"/>
      <c r="F188" s="35"/>
      <c r="G188" s="35"/>
      <c r="H188" s="35"/>
      <c r="I188" s="35"/>
      <c r="J188" s="35"/>
      <c r="K188" s="35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  <c r="Z188" s="35"/>
    </row>
    <row r="189" ht="12.75" customHeight="1">
      <c r="A189" s="35"/>
      <c r="B189" s="35"/>
      <c r="C189" s="35"/>
      <c r="D189" s="35"/>
      <c r="E189" s="35"/>
      <c r="F189" s="35"/>
      <c r="G189" s="35"/>
      <c r="H189" s="35"/>
      <c r="I189" s="35"/>
      <c r="J189" s="35"/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  <c r="Z189" s="35"/>
    </row>
    <row r="190" ht="12.75" customHeight="1">
      <c r="A190" s="35"/>
      <c r="B190" s="35"/>
      <c r="C190" s="35"/>
      <c r="D190" s="35"/>
      <c r="E190" s="35"/>
      <c r="F190" s="35"/>
      <c r="G190" s="35"/>
      <c r="H190" s="35"/>
      <c r="I190" s="35"/>
      <c r="J190" s="35"/>
      <c r="K190" s="35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  <c r="Z190" s="35"/>
    </row>
    <row r="191" ht="12.75" customHeight="1">
      <c r="A191" s="35"/>
      <c r="B191" s="35"/>
      <c r="C191" s="35"/>
      <c r="D191" s="35"/>
      <c r="E191" s="35"/>
      <c r="F191" s="35"/>
      <c r="G191" s="35"/>
      <c r="H191" s="35"/>
      <c r="I191" s="35"/>
      <c r="J191" s="35"/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  <c r="Z191" s="35"/>
    </row>
    <row r="192" ht="12.75" customHeight="1">
      <c r="A192" s="35"/>
      <c r="B192" s="35"/>
      <c r="C192" s="35"/>
      <c r="D192" s="35"/>
      <c r="E192" s="35"/>
      <c r="F192" s="35"/>
      <c r="G192" s="35"/>
      <c r="H192" s="35"/>
      <c r="I192" s="35"/>
      <c r="J192" s="35"/>
      <c r="K192" s="35"/>
      <c r="L192" s="35"/>
      <c r="M192" s="35"/>
      <c r="N192" s="35"/>
      <c r="O192" s="35"/>
      <c r="P192" s="35"/>
      <c r="Q192" s="35"/>
      <c r="R192" s="35"/>
      <c r="S192" s="35"/>
      <c r="T192" s="35"/>
      <c r="U192" s="35"/>
      <c r="V192" s="35"/>
      <c r="W192" s="35"/>
      <c r="X192" s="35"/>
      <c r="Y192" s="35"/>
      <c r="Z192" s="35"/>
    </row>
    <row r="193" ht="12.75" customHeight="1">
      <c r="A193" s="35"/>
      <c r="B193" s="35"/>
      <c r="C193" s="35"/>
      <c r="D193" s="35"/>
      <c r="E193" s="35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</row>
    <row r="194" ht="12.75" customHeight="1">
      <c r="A194" s="35"/>
      <c r="B194" s="35"/>
      <c r="C194" s="35"/>
      <c r="D194" s="35"/>
      <c r="E194" s="35"/>
      <c r="F194" s="35"/>
      <c r="G194" s="35"/>
      <c r="H194" s="35"/>
      <c r="I194" s="35"/>
      <c r="J194" s="35"/>
      <c r="K194" s="35"/>
      <c r="L194" s="35"/>
      <c r="M194" s="35"/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  <c r="Z194" s="35"/>
    </row>
    <row r="195" ht="12.75" customHeight="1">
      <c r="A195" s="35"/>
      <c r="B195" s="35"/>
      <c r="C195" s="35"/>
      <c r="D195" s="35"/>
      <c r="E195" s="35"/>
      <c r="F195" s="35"/>
      <c r="G195" s="35"/>
      <c r="H195" s="35"/>
      <c r="I195" s="35"/>
      <c r="J195" s="35"/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  <c r="Z195" s="35"/>
    </row>
    <row r="196" ht="12.75" customHeight="1">
      <c r="A196" s="35"/>
      <c r="B196" s="35"/>
      <c r="C196" s="35"/>
      <c r="D196" s="35"/>
      <c r="E196" s="35"/>
      <c r="F196" s="35"/>
      <c r="G196" s="35"/>
      <c r="H196" s="35"/>
      <c r="I196" s="35"/>
      <c r="J196" s="35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  <c r="Z196" s="35"/>
    </row>
    <row r="197" ht="12.75" customHeight="1">
      <c r="A197" s="35"/>
      <c r="B197" s="35"/>
      <c r="C197" s="35"/>
      <c r="D197" s="35"/>
      <c r="E197" s="35"/>
      <c r="F197" s="35"/>
      <c r="G197" s="35"/>
      <c r="H197" s="35"/>
      <c r="I197" s="35"/>
      <c r="J197" s="35"/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  <c r="Z197" s="35"/>
    </row>
    <row r="198" ht="12.75" customHeight="1">
      <c r="A198" s="35"/>
      <c r="B198" s="35"/>
      <c r="C198" s="35"/>
      <c r="D198" s="35"/>
      <c r="E198" s="35"/>
      <c r="F198" s="35"/>
      <c r="G198" s="35"/>
      <c r="H198" s="35"/>
      <c r="I198" s="35"/>
      <c r="J198" s="35"/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  <c r="Z198" s="35"/>
    </row>
    <row r="199" ht="12.75" customHeight="1">
      <c r="A199" s="35"/>
      <c r="B199" s="35"/>
      <c r="C199" s="35"/>
      <c r="D199" s="35"/>
      <c r="E199" s="35"/>
      <c r="F199" s="35"/>
      <c r="G199" s="35"/>
      <c r="H199" s="35"/>
      <c r="I199" s="35"/>
      <c r="J199" s="35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  <c r="Z199" s="35"/>
    </row>
    <row r="200" ht="12.75" customHeight="1">
      <c r="A200" s="35"/>
      <c r="B200" s="35"/>
      <c r="C200" s="35"/>
      <c r="D200" s="35"/>
      <c r="E200" s="35"/>
      <c r="F200" s="35"/>
      <c r="G200" s="35"/>
      <c r="H200" s="35"/>
      <c r="I200" s="35"/>
      <c r="J200" s="35"/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  <c r="Z200" s="35"/>
    </row>
    <row r="201" ht="12.75" customHeight="1">
      <c r="A201" s="35"/>
      <c r="B201" s="35"/>
      <c r="C201" s="35"/>
      <c r="D201" s="35"/>
      <c r="E201" s="35"/>
      <c r="F201" s="35"/>
      <c r="G201" s="35"/>
      <c r="H201" s="35"/>
      <c r="I201" s="35"/>
      <c r="J201" s="35"/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  <c r="Z201" s="35"/>
    </row>
    <row r="202" ht="12.75" customHeight="1">
      <c r="A202" s="35"/>
      <c r="B202" s="35"/>
      <c r="C202" s="35"/>
      <c r="D202" s="35"/>
      <c r="E202" s="35"/>
      <c r="F202" s="35"/>
      <c r="G202" s="35"/>
      <c r="H202" s="35"/>
      <c r="I202" s="35"/>
      <c r="J202" s="35"/>
      <c r="K202" s="35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  <c r="Z202" s="35"/>
    </row>
    <row r="203" ht="12.75" customHeight="1">
      <c r="A203" s="35"/>
      <c r="B203" s="35"/>
      <c r="C203" s="35"/>
      <c r="D203" s="35"/>
      <c r="E203" s="35"/>
      <c r="F203" s="35"/>
      <c r="G203" s="35"/>
      <c r="H203" s="35"/>
      <c r="I203" s="35"/>
      <c r="J203" s="35"/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  <c r="Z203" s="35"/>
    </row>
    <row r="204" ht="12.75" customHeight="1">
      <c r="A204" s="35"/>
      <c r="B204" s="35"/>
      <c r="C204" s="35"/>
      <c r="D204" s="35"/>
      <c r="E204" s="35"/>
      <c r="F204" s="35"/>
      <c r="G204" s="35"/>
      <c r="H204" s="35"/>
      <c r="I204" s="35"/>
      <c r="J204" s="35"/>
      <c r="K204" s="35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  <c r="Z204" s="35"/>
    </row>
    <row r="205" ht="12.75" customHeight="1">
      <c r="A205" s="35"/>
      <c r="B205" s="35"/>
      <c r="C205" s="35"/>
      <c r="D205" s="35"/>
      <c r="E205" s="35"/>
      <c r="F205" s="35"/>
      <c r="G205" s="35"/>
      <c r="H205" s="35"/>
      <c r="I205" s="35"/>
      <c r="J205" s="35"/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  <c r="Z205" s="35"/>
    </row>
    <row r="206" ht="12.75" customHeight="1">
      <c r="A206" s="35"/>
      <c r="B206" s="35"/>
      <c r="C206" s="35"/>
      <c r="D206" s="35"/>
      <c r="E206" s="35"/>
      <c r="F206" s="35"/>
      <c r="G206" s="35"/>
      <c r="H206" s="35"/>
      <c r="I206" s="35"/>
      <c r="J206" s="35"/>
      <c r="K206" s="35"/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  <c r="Z206" s="35"/>
    </row>
    <row r="207" ht="12.75" customHeight="1">
      <c r="A207" s="35"/>
      <c r="B207" s="35"/>
      <c r="C207" s="35"/>
      <c r="D207" s="35"/>
      <c r="E207" s="35"/>
      <c r="F207" s="35"/>
      <c r="G207" s="35"/>
      <c r="H207" s="35"/>
      <c r="I207" s="35"/>
      <c r="J207" s="35"/>
      <c r="K207" s="35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35"/>
      <c r="Z207" s="35"/>
    </row>
    <row r="208" ht="12.75" customHeight="1">
      <c r="A208" s="35"/>
      <c r="B208" s="35"/>
      <c r="C208" s="35"/>
      <c r="D208" s="35"/>
      <c r="E208" s="35"/>
      <c r="F208" s="35"/>
      <c r="G208" s="35"/>
      <c r="H208" s="35"/>
      <c r="I208" s="35"/>
      <c r="J208" s="35"/>
      <c r="K208" s="35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  <c r="Z208" s="35"/>
    </row>
    <row r="209" ht="12.75" customHeight="1">
      <c r="A209" s="35"/>
      <c r="B209" s="35"/>
      <c r="C209" s="35"/>
      <c r="D209" s="35"/>
      <c r="E209" s="35"/>
      <c r="F209" s="35"/>
      <c r="G209" s="35"/>
      <c r="H209" s="35"/>
      <c r="I209" s="35"/>
      <c r="J209" s="35"/>
      <c r="K209" s="35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5"/>
      <c r="W209" s="35"/>
      <c r="X209" s="35"/>
      <c r="Y209" s="35"/>
      <c r="Z209" s="35"/>
    </row>
    <row r="210" ht="12.75" customHeight="1">
      <c r="A210" s="35"/>
      <c r="B210" s="35"/>
      <c r="C210" s="35"/>
      <c r="D210" s="35"/>
      <c r="E210" s="35"/>
      <c r="F210" s="35"/>
      <c r="G210" s="35"/>
      <c r="H210" s="35"/>
      <c r="I210" s="35"/>
      <c r="J210" s="35"/>
      <c r="K210" s="35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35"/>
      <c r="W210" s="35"/>
      <c r="X210" s="35"/>
      <c r="Y210" s="35"/>
      <c r="Z210" s="35"/>
    </row>
    <row r="211" ht="12.75" customHeight="1">
      <c r="A211" s="35"/>
      <c r="B211" s="35"/>
      <c r="C211" s="35"/>
      <c r="D211" s="35"/>
      <c r="E211" s="35"/>
      <c r="F211" s="35"/>
      <c r="G211" s="35"/>
      <c r="H211" s="35"/>
      <c r="I211" s="35"/>
      <c r="J211" s="35"/>
      <c r="K211" s="35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  <c r="Z211" s="35"/>
    </row>
    <row r="212" ht="12.75" customHeight="1">
      <c r="A212" s="35"/>
      <c r="B212" s="35"/>
      <c r="C212" s="35"/>
      <c r="D212" s="35"/>
      <c r="E212" s="35"/>
      <c r="F212" s="35"/>
      <c r="G212" s="35"/>
      <c r="H212" s="35"/>
      <c r="I212" s="35"/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35"/>
    </row>
    <row r="213" ht="12.75" customHeight="1">
      <c r="A213" s="35"/>
      <c r="B213" s="35"/>
      <c r="C213" s="35"/>
      <c r="D213" s="35"/>
      <c r="E213" s="35"/>
      <c r="F213" s="35"/>
      <c r="G213" s="35"/>
      <c r="H213" s="35"/>
      <c r="I213" s="35"/>
      <c r="J213" s="35"/>
      <c r="K213" s="35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  <c r="Z213" s="35"/>
    </row>
    <row r="214" ht="12.75" customHeight="1">
      <c r="A214" s="35"/>
      <c r="B214" s="35"/>
      <c r="C214" s="35"/>
      <c r="D214" s="35"/>
      <c r="E214" s="35"/>
      <c r="F214" s="35"/>
      <c r="G214" s="35"/>
      <c r="H214" s="35"/>
      <c r="I214" s="35"/>
      <c r="J214" s="35"/>
      <c r="K214" s="35"/>
      <c r="L214" s="35"/>
      <c r="M214" s="35"/>
      <c r="N214" s="35"/>
      <c r="O214" s="35"/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5"/>
    </row>
    <row r="215" ht="12.75" customHeight="1">
      <c r="A215" s="35"/>
      <c r="B215" s="35"/>
      <c r="C215" s="35"/>
      <c r="D215" s="35"/>
      <c r="E215" s="35"/>
      <c r="F215" s="35"/>
      <c r="G215" s="35"/>
      <c r="H215" s="35"/>
      <c r="I215" s="35"/>
      <c r="J215" s="35"/>
      <c r="K215" s="35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  <c r="Z215" s="35"/>
    </row>
    <row r="216" ht="12.75" customHeight="1">
      <c r="A216" s="35"/>
      <c r="B216" s="35"/>
      <c r="C216" s="35"/>
      <c r="D216" s="35"/>
      <c r="E216" s="35"/>
      <c r="F216" s="35"/>
      <c r="G216" s="35"/>
      <c r="H216" s="35"/>
      <c r="I216" s="35"/>
      <c r="J216" s="35"/>
      <c r="K216" s="35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35"/>
    </row>
    <row r="217" ht="12.75" customHeight="1">
      <c r="A217" s="35"/>
      <c r="B217" s="35"/>
      <c r="C217" s="35"/>
      <c r="D217" s="35"/>
      <c r="E217" s="35"/>
      <c r="F217" s="35"/>
      <c r="G217" s="35"/>
      <c r="H217" s="35"/>
      <c r="I217" s="35"/>
      <c r="J217" s="35"/>
      <c r="K217" s="35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  <c r="Z217" s="35"/>
    </row>
    <row r="218" ht="12.75" customHeight="1">
      <c r="A218" s="35"/>
      <c r="B218" s="35"/>
      <c r="C218" s="35"/>
      <c r="D218" s="35"/>
      <c r="E218" s="35"/>
      <c r="F218" s="35"/>
      <c r="G218" s="35"/>
      <c r="H218" s="35"/>
      <c r="I218" s="35"/>
      <c r="J218" s="35"/>
      <c r="K218" s="35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35"/>
      <c r="W218" s="35"/>
      <c r="X218" s="35"/>
      <c r="Y218" s="35"/>
      <c r="Z218" s="35"/>
    </row>
    <row r="219" ht="12.75" customHeight="1">
      <c r="A219" s="35"/>
      <c r="B219" s="35"/>
      <c r="C219" s="35"/>
      <c r="D219" s="35"/>
      <c r="E219" s="35"/>
      <c r="F219" s="35"/>
      <c r="G219" s="35"/>
      <c r="H219" s="35"/>
      <c r="I219" s="35"/>
      <c r="J219" s="35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  <c r="Z219" s="35"/>
    </row>
    <row r="220" ht="12.75" customHeight="1">
      <c r="A220" s="35"/>
      <c r="B220" s="35"/>
      <c r="C220" s="35"/>
      <c r="D220" s="35"/>
      <c r="E220" s="35"/>
      <c r="F220" s="35"/>
      <c r="G220" s="35"/>
      <c r="H220" s="35"/>
      <c r="I220" s="35"/>
      <c r="J220" s="35"/>
      <c r="K220" s="35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  <c r="Z220" s="35"/>
    </row>
    <row r="221" ht="12.75" customHeight="1">
      <c r="A221" s="35"/>
      <c r="B221" s="35"/>
      <c r="C221" s="35"/>
      <c r="D221" s="35"/>
      <c r="E221" s="35"/>
      <c r="F221" s="35"/>
      <c r="G221" s="35"/>
      <c r="H221" s="35"/>
      <c r="I221" s="35"/>
      <c r="J221" s="35"/>
      <c r="K221" s="35"/>
      <c r="L221" s="35"/>
      <c r="M221" s="35"/>
      <c r="N221" s="35"/>
      <c r="O221" s="35"/>
      <c r="P221" s="35"/>
      <c r="Q221" s="35"/>
      <c r="R221" s="35"/>
      <c r="S221" s="35"/>
      <c r="T221" s="35"/>
      <c r="U221" s="35"/>
      <c r="V221" s="35"/>
      <c r="W221" s="35"/>
      <c r="X221" s="35"/>
      <c r="Y221" s="35"/>
      <c r="Z221" s="35"/>
    </row>
    <row r="222" ht="12.75" customHeight="1">
      <c r="A222" s="35"/>
      <c r="B222" s="35"/>
      <c r="C222" s="35"/>
      <c r="D222" s="35"/>
      <c r="E222" s="35"/>
      <c r="F222" s="35"/>
      <c r="G222" s="35"/>
      <c r="H222" s="35"/>
      <c r="I222" s="35"/>
      <c r="J222" s="35"/>
      <c r="K222" s="35"/>
      <c r="L222" s="35"/>
      <c r="M222" s="35"/>
      <c r="N222" s="35"/>
      <c r="O222" s="35"/>
      <c r="P222" s="35"/>
      <c r="Q222" s="35"/>
      <c r="R222" s="35"/>
      <c r="S222" s="35"/>
      <c r="T222" s="35"/>
      <c r="U222" s="35"/>
      <c r="V222" s="35"/>
      <c r="W222" s="35"/>
      <c r="X222" s="35"/>
      <c r="Y222" s="35"/>
      <c r="Z222" s="35"/>
    </row>
    <row r="223" ht="12.75" customHeight="1">
      <c r="A223" s="35"/>
      <c r="B223" s="35"/>
      <c r="C223" s="35"/>
      <c r="D223" s="35"/>
      <c r="E223" s="35"/>
      <c r="F223" s="35"/>
      <c r="G223" s="35"/>
      <c r="H223" s="35"/>
      <c r="I223" s="35"/>
      <c r="J223" s="35"/>
      <c r="K223" s="35"/>
      <c r="L223" s="35"/>
      <c r="M223" s="35"/>
      <c r="N223" s="35"/>
      <c r="O223" s="35"/>
      <c r="P223" s="35"/>
      <c r="Q223" s="35"/>
      <c r="R223" s="35"/>
      <c r="S223" s="35"/>
      <c r="T223" s="35"/>
      <c r="U223" s="35"/>
      <c r="V223" s="35"/>
      <c r="W223" s="35"/>
      <c r="X223" s="35"/>
      <c r="Y223" s="35"/>
      <c r="Z223" s="35"/>
    </row>
    <row r="224" ht="12.75" customHeight="1">
      <c r="A224" s="35"/>
      <c r="B224" s="35"/>
      <c r="C224" s="35"/>
      <c r="D224" s="35"/>
      <c r="E224" s="35"/>
      <c r="F224" s="35"/>
      <c r="G224" s="35"/>
      <c r="H224" s="35"/>
      <c r="I224" s="35"/>
      <c r="J224" s="35"/>
      <c r="K224" s="35"/>
      <c r="L224" s="35"/>
      <c r="M224" s="35"/>
      <c r="N224" s="35"/>
      <c r="O224" s="35"/>
      <c r="P224" s="35"/>
      <c r="Q224" s="35"/>
      <c r="R224" s="35"/>
      <c r="S224" s="35"/>
      <c r="T224" s="35"/>
      <c r="U224" s="35"/>
      <c r="V224" s="35"/>
      <c r="W224" s="35"/>
      <c r="X224" s="35"/>
      <c r="Y224" s="35"/>
      <c r="Z224" s="35"/>
    </row>
    <row r="225" ht="12.75" customHeight="1">
      <c r="A225" s="35"/>
      <c r="B225" s="35"/>
      <c r="C225" s="35"/>
      <c r="D225" s="35"/>
      <c r="E225" s="35"/>
      <c r="F225" s="35"/>
      <c r="G225" s="35"/>
      <c r="H225" s="35"/>
      <c r="I225" s="35"/>
      <c r="J225" s="35"/>
      <c r="K225" s="35"/>
      <c r="L225" s="35"/>
      <c r="M225" s="35"/>
      <c r="N225" s="35"/>
      <c r="O225" s="35"/>
      <c r="P225" s="35"/>
      <c r="Q225" s="35"/>
      <c r="R225" s="35"/>
      <c r="S225" s="35"/>
      <c r="T225" s="35"/>
      <c r="U225" s="35"/>
      <c r="V225" s="35"/>
      <c r="W225" s="35"/>
      <c r="X225" s="35"/>
      <c r="Y225" s="35"/>
      <c r="Z225" s="35"/>
    </row>
    <row r="226" ht="12.75" customHeight="1">
      <c r="A226" s="35"/>
      <c r="B226" s="35"/>
      <c r="C226" s="35"/>
      <c r="D226" s="35"/>
      <c r="E226" s="35"/>
      <c r="F226" s="35"/>
      <c r="G226" s="35"/>
      <c r="H226" s="35"/>
      <c r="I226" s="35"/>
      <c r="J226" s="35"/>
      <c r="K226" s="35"/>
      <c r="L226" s="35"/>
      <c r="M226" s="35"/>
      <c r="N226" s="35"/>
      <c r="O226" s="35"/>
      <c r="P226" s="35"/>
      <c r="Q226" s="35"/>
      <c r="R226" s="35"/>
      <c r="S226" s="35"/>
      <c r="T226" s="35"/>
      <c r="U226" s="35"/>
      <c r="V226" s="35"/>
      <c r="W226" s="35"/>
      <c r="X226" s="35"/>
      <c r="Y226" s="35"/>
      <c r="Z226" s="35"/>
    </row>
    <row r="227" ht="12.75" customHeight="1">
      <c r="A227" s="35"/>
      <c r="B227" s="35"/>
      <c r="C227" s="35"/>
      <c r="D227" s="35"/>
      <c r="E227" s="35"/>
      <c r="F227" s="35"/>
      <c r="G227" s="35"/>
      <c r="H227" s="35"/>
      <c r="I227" s="35"/>
      <c r="J227" s="35"/>
      <c r="K227" s="35"/>
      <c r="L227" s="35"/>
      <c r="M227" s="35"/>
      <c r="N227" s="35"/>
      <c r="O227" s="35"/>
      <c r="P227" s="35"/>
      <c r="Q227" s="35"/>
      <c r="R227" s="35"/>
      <c r="S227" s="35"/>
      <c r="T227" s="35"/>
      <c r="U227" s="35"/>
      <c r="V227" s="35"/>
      <c r="W227" s="35"/>
      <c r="X227" s="35"/>
      <c r="Y227" s="35"/>
      <c r="Z227" s="35"/>
    </row>
    <row r="228" ht="12.75" customHeight="1">
      <c r="A228" s="35"/>
      <c r="B228" s="35"/>
      <c r="C228" s="35"/>
      <c r="D228" s="35"/>
      <c r="E228" s="35"/>
      <c r="F228" s="35"/>
      <c r="G228" s="35"/>
      <c r="H228" s="35"/>
      <c r="I228" s="35"/>
      <c r="J228" s="35"/>
      <c r="K228" s="35"/>
      <c r="L228" s="35"/>
      <c r="M228" s="35"/>
      <c r="N228" s="35"/>
      <c r="O228" s="35"/>
      <c r="P228" s="35"/>
      <c r="Q228" s="35"/>
      <c r="R228" s="35"/>
      <c r="S228" s="35"/>
      <c r="T228" s="35"/>
      <c r="U228" s="35"/>
      <c r="V228" s="35"/>
      <c r="W228" s="35"/>
      <c r="X228" s="35"/>
      <c r="Y228" s="35"/>
      <c r="Z228" s="35"/>
    </row>
    <row r="229" ht="12.75" customHeight="1">
      <c r="A229" s="35"/>
      <c r="B229" s="35"/>
      <c r="C229" s="35"/>
      <c r="D229" s="35"/>
      <c r="E229" s="35"/>
      <c r="F229" s="35"/>
      <c r="G229" s="35"/>
      <c r="H229" s="35"/>
      <c r="I229" s="35"/>
      <c r="J229" s="35"/>
      <c r="K229" s="35"/>
      <c r="L229" s="35"/>
      <c r="M229" s="35"/>
      <c r="N229" s="35"/>
      <c r="O229" s="35"/>
      <c r="P229" s="35"/>
      <c r="Q229" s="35"/>
      <c r="R229" s="35"/>
      <c r="S229" s="35"/>
      <c r="T229" s="35"/>
      <c r="U229" s="35"/>
      <c r="V229" s="35"/>
      <c r="W229" s="35"/>
      <c r="X229" s="35"/>
      <c r="Y229" s="35"/>
      <c r="Z229" s="35"/>
    </row>
    <row r="230" ht="12.75" customHeight="1">
      <c r="A230" s="35"/>
      <c r="B230" s="35"/>
      <c r="C230" s="35"/>
      <c r="D230" s="35"/>
      <c r="E230" s="35"/>
      <c r="F230" s="35"/>
      <c r="G230" s="35"/>
      <c r="H230" s="35"/>
      <c r="I230" s="35"/>
      <c r="J230" s="35"/>
      <c r="K230" s="35"/>
      <c r="L230" s="35"/>
      <c r="M230" s="35"/>
      <c r="N230" s="35"/>
      <c r="O230" s="35"/>
      <c r="P230" s="35"/>
      <c r="Q230" s="35"/>
      <c r="R230" s="35"/>
      <c r="S230" s="35"/>
      <c r="T230" s="35"/>
      <c r="U230" s="35"/>
      <c r="V230" s="35"/>
      <c r="W230" s="35"/>
      <c r="X230" s="35"/>
      <c r="Y230" s="35"/>
      <c r="Z230" s="35"/>
    </row>
    <row r="231" ht="12.75" customHeight="1">
      <c r="A231" s="35"/>
      <c r="B231" s="35"/>
      <c r="C231" s="35"/>
      <c r="D231" s="35"/>
      <c r="E231" s="35"/>
      <c r="F231" s="35"/>
      <c r="G231" s="35"/>
      <c r="H231" s="35"/>
      <c r="I231" s="35"/>
      <c r="J231" s="35"/>
      <c r="K231" s="35"/>
      <c r="L231" s="35"/>
      <c r="M231" s="35"/>
      <c r="N231" s="35"/>
      <c r="O231" s="35"/>
      <c r="P231" s="35"/>
      <c r="Q231" s="35"/>
      <c r="R231" s="35"/>
      <c r="S231" s="35"/>
      <c r="T231" s="35"/>
      <c r="U231" s="35"/>
      <c r="V231" s="35"/>
      <c r="W231" s="35"/>
      <c r="X231" s="35"/>
      <c r="Y231" s="35"/>
      <c r="Z231" s="35"/>
    </row>
    <row r="232" ht="12.75" customHeight="1">
      <c r="A232" s="35"/>
      <c r="B232" s="35"/>
      <c r="C232" s="35"/>
      <c r="D232" s="35"/>
      <c r="E232" s="35"/>
      <c r="F232" s="35"/>
      <c r="G232" s="35"/>
      <c r="H232" s="35"/>
      <c r="I232" s="35"/>
      <c r="J232" s="35"/>
      <c r="K232" s="35"/>
      <c r="L232" s="35"/>
      <c r="M232" s="35"/>
      <c r="N232" s="35"/>
      <c r="O232" s="35"/>
      <c r="P232" s="35"/>
      <c r="Q232" s="35"/>
      <c r="R232" s="35"/>
      <c r="S232" s="35"/>
      <c r="T232" s="35"/>
      <c r="U232" s="35"/>
      <c r="V232" s="35"/>
      <c r="W232" s="35"/>
      <c r="X232" s="35"/>
      <c r="Y232" s="35"/>
      <c r="Z232" s="35"/>
    </row>
    <row r="233" ht="12.75" customHeight="1">
      <c r="A233" s="35"/>
      <c r="B233" s="35"/>
      <c r="C233" s="35"/>
      <c r="D233" s="35"/>
      <c r="E233" s="35"/>
      <c r="F233" s="35"/>
      <c r="G233" s="35"/>
      <c r="H233" s="35"/>
      <c r="I233" s="35"/>
      <c r="J233" s="35"/>
      <c r="K233" s="35"/>
      <c r="L233" s="35"/>
      <c r="M233" s="35"/>
      <c r="N233" s="35"/>
      <c r="O233" s="35"/>
      <c r="P233" s="35"/>
      <c r="Q233" s="35"/>
      <c r="R233" s="35"/>
      <c r="S233" s="35"/>
      <c r="T233" s="35"/>
      <c r="U233" s="35"/>
      <c r="V233" s="35"/>
      <c r="W233" s="35"/>
      <c r="X233" s="35"/>
      <c r="Y233" s="35"/>
      <c r="Z233" s="35"/>
    </row>
    <row r="234" ht="12.75" customHeight="1">
      <c r="A234" s="35"/>
      <c r="B234" s="35"/>
      <c r="C234" s="35"/>
      <c r="D234" s="35"/>
      <c r="E234" s="35"/>
      <c r="F234" s="35"/>
      <c r="G234" s="35"/>
      <c r="H234" s="35"/>
      <c r="I234" s="35"/>
      <c r="J234" s="35"/>
      <c r="K234" s="35"/>
      <c r="L234" s="35"/>
      <c r="M234" s="35"/>
      <c r="N234" s="35"/>
      <c r="O234" s="35"/>
      <c r="P234" s="35"/>
      <c r="Q234" s="35"/>
      <c r="R234" s="35"/>
      <c r="S234" s="35"/>
      <c r="T234" s="35"/>
      <c r="U234" s="35"/>
      <c r="V234" s="35"/>
      <c r="W234" s="35"/>
      <c r="X234" s="35"/>
      <c r="Y234" s="35"/>
      <c r="Z234" s="35"/>
    </row>
    <row r="235" ht="12.75" customHeight="1">
      <c r="A235" s="35"/>
      <c r="B235" s="35"/>
      <c r="C235" s="35"/>
      <c r="D235" s="35"/>
      <c r="E235" s="35"/>
      <c r="F235" s="35"/>
      <c r="G235" s="35"/>
      <c r="H235" s="35"/>
      <c r="I235" s="35"/>
      <c r="J235" s="35"/>
      <c r="K235" s="35"/>
      <c r="L235" s="35"/>
      <c r="M235" s="35"/>
      <c r="N235" s="35"/>
      <c r="O235" s="35"/>
      <c r="P235" s="35"/>
      <c r="Q235" s="35"/>
      <c r="R235" s="35"/>
      <c r="S235" s="35"/>
      <c r="T235" s="35"/>
      <c r="U235" s="35"/>
      <c r="V235" s="35"/>
      <c r="W235" s="35"/>
      <c r="X235" s="35"/>
      <c r="Y235" s="35"/>
      <c r="Z235" s="35"/>
    </row>
    <row r="236" ht="12.75" customHeight="1">
      <c r="A236" s="35"/>
      <c r="B236" s="35"/>
      <c r="C236" s="35"/>
      <c r="D236" s="35"/>
      <c r="E236" s="35"/>
      <c r="F236" s="35"/>
      <c r="G236" s="35"/>
      <c r="H236" s="35"/>
      <c r="I236" s="35"/>
      <c r="J236" s="35"/>
      <c r="K236" s="35"/>
      <c r="L236" s="35"/>
      <c r="M236" s="35"/>
      <c r="N236" s="35"/>
      <c r="O236" s="35"/>
      <c r="P236" s="35"/>
      <c r="Q236" s="35"/>
      <c r="R236" s="35"/>
      <c r="S236" s="35"/>
      <c r="T236" s="35"/>
      <c r="U236" s="35"/>
      <c r="V236" s="35"/>
      <c r="W236" s="35"/>
      <c r="X236" s="35"/>
      <c r="Y236" s="35"/>
      <c r="Z236" s="35"/>
    </row>
    <row r="237" ht="12.75" customHeight="1">
      <c r="A237" s="35"/>
      <c r="B237" s="35"/>
      <c r="C237" s="35"/>
      <c r="D237" s="35"/>
      <c r="E237" s="35"/>
      <c r="F237" s="35"/>
      <c r="G237" s="35"/>
      <c r="H237" s="35"/>
      <c r="I237" s="35"/>
      <c r="J237" s="35"/>
      <c r="K237" s="35"/>
      <c r="L237" s="35"/>
      <c r="M237" s="35"/>
      <c r="N237" s="35"/>
      <c r="O237" s="35"/>
      <c r="P237" s="35"/>
      <c r="Q237" s="35"/>
      <c r="R237" s="35"/>
      <c r="S237" s="35"/>
      <c r="T237" s="35"/>
      <c r="U237" s="35"/>
      <c r="V237" s="35"/>
      <c r="W237" s="35"/>
      <c r="X237" s="35"/>
      <c r="Y237" s="35"/>
      <c r="Z237" s="35"/>
    </row>
    <row r="238" ht="12.75" customHeight="1">
      <c r="A238" s="35"/>
      <c r="B238" s="35"/>
      <c r="C238" s="35"/>
      <c r="D238" s="35"/>
      <c r="E238" s="35"/>
      <c r="F238" s="35"/>
      <c r="G238" s="35"/>
      <c r="H238" s="35"/>
      <c r="I238" s="35"/>
      <c r="J238" s="35"/>
      <c r="K238" s="35"/>
      <c r="L238" s="35"/>
      <c r="M238" s="35"/>
      <c r="N238" s="35"/>
      <c r="O238" s="35"/>
      <c r="P238" s="35"/>
      <c r="Q238" s="35"/>
      <c r="R238" s="35"/>
      <c r="S238" s="35"/>
      <c r="T238" s="35"/>
      <c r="U238" s="35"/>
      <c r="V238" s="35"/>
      <c r="W238" s="35"/>
      <c r="X238" s="35"/>
      <c r="Y238" s="35"/>
      <c r="Z238" s="35"/>
    </row>
    <row r="239" ht="12.75" customHeight="1">
      <c r="A239" s="35"/>
      <c r="B239" s="35"/>
      <c r="C239" s="35"/>
      <c r="D239" s="35"/>
      <c r="E239" s="35"/>
      <c r="F239" s="35"/>
      <c r="G239" s="35"/>
      <c r="H239" s="35"/>
      <c r="I239" s="35"/>
      <c r="J239" s="35"/>
      <c r="K239" s="35"/>
      <c r="L239" s="35"/>
      <c r="M239" s="35"/>
      <c r="N239" s="35"/>
      <c r="O239" s="35"/>
      <c r="P239" s="35"/>
      <c r="Q239" s="35"/>
      <c r="R239" s="35"/>
      <c r="S239" s="35"/>
      <c r="T239" s="35"/>
      <c r="U239" s="35"/>
      <c r="V239" s="35"/>
      <c r="W239" s="35"/>
      <c r="X239" s="35"/>
      <c r="Y239" s="35"/>
      <c r="Z239" s="35"/>
    </row>
    <row r="240" ht="12.75" customHeight="1">
      <c r="A240" s="35"/>
      <c r="B240" s="35"/>
      <c r="C240" s="35"/>
      <c r="D240" s="35"/>
      <c r="E240" s="35"/>
      <c r="F240" s="35"/>
      <c r="G240" s="35"/>
      <c r="H240" s="35"/>
      <c r="I240" s="35"/>
      <c r="J240" s="35"/>
      <c r="K240" s="35"/>
      <c r="L240" s="35"/>
      <c r="M240" s="35"/>
      <c r="N240" s="35"/>
      <c r="O240" s="35"/>
      <c r="P240" s="35"/>
      <c r="Q240" s="35"/>
      <c r="R240" s="35"/>
      <c r="S240" s="35"/>
      <c r="T240" s="35"/>
      <c r="U240" s="35"/>
      <c r="V240" s="35"/>
      <c r="W240" s="35"/>
      <c r="X240" s="35"/>
      <c r="Y240" s="35"/>
      <c r="Z240" s="35"/>
    </row>
    <row r="241" ht="12.75" customHeight="1">
      <c r="A241" s="35"/>
      <c r="B241" s="35"/>
      <c r="C241" s="35"/>
      <c r="D241" s="35"/>
      <c r="E241" s="35"/>
      <c r="F241" s="35"/>
      <c r="G241" s="35"/>
      <c r="H241" s="35"/>
      <c r="I241" s="35"/>
      <c r="J241" s="35"/>
      <c r="K241" s="35"/>
      <c r="L241" s="35"/>
      <c r="M241" s="35"/>
      <c r="N241" s="35"/>
      <c r="O241" s="35"/>
      <c r="P241" s="35"/>
      <c r="Q241" s="35"/>
      <c r="R241" s="35"/>
      <c r="S241" s="35"/>
      <c r="T241" s="35"/>
      <c r="U241" s="35"/>
      <c r="V241" s="35"/>
      <c r="W241" s="35"/>
      <c r="X241" s="35"/>
      <c r="Y241" s="35"/>
      <c r="Z241" s="35"/>
    </row>
    <row r="242" ht="12.75" customHeight="1">
      <c r="A242" s="35"/>
      <c r="B242" s="35"/>
      <c r="C242" s="35"/>
      <c r="D242" s="35"/>
      <c r="E242" s="35"/>
      <c r="F242" s="35"/>
      <c r="G242" s="35"/>
      <c r="H242" s="35"/>
      <c r="I242" s="35"/>
      <c r="J242" s="35"/>
      <c r="K242" s="35"/>
      <c r="L242" s="35"/>
      <c r="M242" s="35"/>
      <c r="N242" s="35"/>
      <c r="O242" s="35"/>
      <c r="P242" s="35"/>
      <c r="Q242" s="35"/>
      <c r="R242" s="35"/>
      <c r="S242" s="35"/>
      <c r="T242" s="35"/>
      <c r="U242" s="35"/>
      <c r="V242" s="35"/>
      <c r="W242" s="35"/>
      <c r="X242" s="35"/>
      <c r="Y242" s="35"/>
      <c r="Z242" s="35"/>
    </row>
    <row r="243" ht="12.75" customHeight="1">
      <c r="A243" s="35"/>
      <c r="B243" s="35"/>
      <c r="C243" s="35"/>
      <c r="D243" s="35"/>
      <c r="E243" s="35"/>
      <c r="F243" s="35"/>
      <c r="G243" s="35"/>
      <c r="H243" s="35"/>
      <c r="I243" s="35"/>
      <c r="J243" s="35"/>
      <c r="K243" s="35"/>
      <c r="L243" s="35"/>
      <c r="M243" s="35"/>
      <c r="N243" s="35"/>
      <c r="O243" s="35"/>
      <c r="P243" s="35"/>
      <c r="Q243" s="35"/>
      <c r="R243" s="35"/>
      <c r="S243" s="35"/>
      <c r="T243" s="35"/>
      <c r="U243" s="35"/>
      <c r="V243" s="35"/>
      <c r="W243" s="35"/>
      <c r="X243" s="35"/>
      <c r="Y243" s="35"/>
      <c r="Z243" s="35"/>
    </row>
    <row r="244" ht="12.75" customHeight="1">
      <c r="A244" s="35"/>
      <c r="B244" s="35"/>
      <c r="C244" s="35"/>
      <c r="D244" s="35"/>
      <c r="E244" s="35"/>
      <c r="F244" s="35"/>
      <c r="G244" s="35"/>
      <c r="H244" s="35"/>
      <c r="I244" s="35"/>
      <c r="J244" s="35"/>
      <c r="K244" s="35"/>
      <c r="L244" s="35"/>
      <c r="M244" s="35"/>
      <c r="N244" s="35"/>
      <c r="O244" s="35"/>
      <c r="P244" s="35"/>
      <c r="Q244" s="35"/>
      <c r="R244" s="35"/>
      <c r="S244" s="35"/>
      <c r="T244" s="35"/>
      <c r="U244" s="35"/>
      <c r="V244" s="35"/>
      <c r="W244" s="35"/>
      <c r="X244" s="35"/>
      <c r="Y244" s="35"/>
      <c r="Z244" s="35"/>
    </row>
    <row r="245" ht="12.75" customHeight="1">
      <c r="A245" s="35"/>
      <c r="B245" s="35"/>
      <c r="C245" s="35"/>
      <c r="D245" s="35"/>
      <c r="E245" s="35"/>
      <c r="F245" s="35"/>
      <c r="G245" s="35"/>
      <c r="H245" s="35"/>
      <c r="I245" s="35"/>
      <c r="J245" s="35"/>
      <c r="K245" s="35"/>
      <c r="L245" s="35"/>
      <c r="M245" s="35"/>
      <c r="N245" s="35"/>
      <c r="O245" s="35"/>
      <c r="P245" s="35"/>
      <c r="Q245" s="35"/>
      <c r="R245" s="35"/>
      <c r="S245" s="35"/>
      <c r="T245" s="35"/>
      <c r="U245" s="35"/>
      <c r="V245" s="35"/>
      <c r="W245" s="35"/>
      <c r="X245" s="35"/>
      <c r="Y245" s="35"/>
      <c r="Z245" s="35"/>
    </row>
    <row r="246" ht="12.75" customHeight="1">
      <c r="A246" s="35"/>
      <c r="B246" s="35"/>
      <c r="C246" s="35"/>
      <c r="D246" s="35"/>
      <c r="E246" s="35"/>
      <c r="F246" s="35"/>
      <c r="G246" s="35"/>
      <c r="H246" s="35"/>
      <c r="I246" s="35"/>
      <c r="J246" s="35"/>
      <c r="K246" s="35"/>
      <c r="L246" s="35"/>
      <c r="M246" s="35"/>
      <c r="N246" s="35"/>
      <c r="O246" s="35"/>
      <c r="P246" s="35"/>
      <c r="Q246" s="35"/>
      <c r="R246" s="35"/>
      <c r="S246" s="35"/>
      <c r="T246" s="35"/>
      <c r="U246" s="35"/>
      <c r="V246" s="35"/>
      <c r="W246" s="35"/>
      <c r="X246" s="35"/>
      <c r="Y246" s="35"/>
      <c r="Z246" s="35"/>
    </row>
    <row r="247" ht="12.75" customHeight="1">
      <c r="A247" s="35"/>
      <c r="B247" s="35"/>
      <c r="C247" s="35"/>
      <c r="D247" s="35"/>
      <c r="E247" s="35"/>
      <c r="F247" s="35"/>
      <c r="G247" s="35"/>
      <c r="H247" s="35"/>
      <c r="I247" s="35"/>
      <c r="J247" s="35"/>
      <c r="K247" s="35"/>
      <c r="L247" s="35"/>
      <c r="M247" s="35"/>
      <c r="N247" s="35"/>
      <c r="O247" s="35"/>
      <c r="P247" s="35"/>
      <c r="Q247" s="35"/>
      <c r="R247" s="35"/>
      <c r="S247" s="35"/>
      <c r="T247" s="35"/>
      <c r="U247" s="35"/>
      <c r="V247" s="35"/>
      <c r="W247" s="35"/>
      <c r="X247" s="35"/>
      <c r="Y247" s="35"/>
      <c r="Z247" s="35"/>
    </row>
    <row r="248" ht="12.75" customHeight="1">
      <c r="A248" s="35"/>
      <c r="B248" s="35"/>
      <c r="C248" s="35"/>
      <c r="D248" s="35"/>
      <c r="E248" s="35"/>
      <c r="F248" s="35"/>
      <c r="G248" s="35"/>
      <c r="H248" s="35"/>
      <c r="I248" s="35"/>
      <c r="J248" s="35"/>
      <c r="K248" s="35"/>
      <c r="L248" s="35"/>
      <c r="M248" s="35"/>
      <c r="N248" s="35"/>
      <c r="O248" s="35"/>
      <c r="P248" s="35"/>
      <c r="Q248" s="35"/>
      <c r="R248" s="35"/>
      <c r="S248" s="35"/>
      <c r="T248" s="35"/>
      <c r="U248" s="35"/>
      <c r="V248" s="35"/>
      <c r="W248" s="35"/>
      <c r="X248" s="35"/>
      <c r="Y248" s="35"/>
      <c r="Z248" s="35"/>
    </row>
    <row r="249" ht="12.75" customHeight="1">
      <c r="A249" s="35"/>
      <c r="B249" s="35"/>
      <c r="C249" s="35"/>
      <c r="D249" s="35"/>
      <c r="E249" s="35"/>
      <c r="F249" s="35"/>
      <c r="G249" s="35"/>
      <c r="H249" s="35"/>
      <c r="I249" s="35"/>
      <c r="J249" s="35"/>
      <c r="K249" s="35"/>
      <c r="L249" s="35"/>
      <c r="M249" s="35"/>
      <c r="N249" s="35"/>
      <c r="O249" s="35"/>
      <c r="P249" s="35"/>
      <c r="Q249" s="35"/>
      <c r="R249" s="35"/>
      <c r="S249" s="35"/>
      <c r="T249" s="35"/>
      <c r="U249" s="35"/>
      <c r="V249" s="35"/>
      <c r="W249" s="35"/>
      <c r="X249" s="35"/>
      <c r="Y249" s="35"/>
      <c r="Z249" s="35"/>
    </row>
    <row r="250" ht="12.75" customHeight="1">
      <c r="A250" s="35"/>
      <c r="B250" s="35"/>
      <c r="C250" s="35"/>
      <c r="D250" s="35"/>
      <c r="E250" s="35"/>
      <c r="F250" s="35"/>
      <c r="G250" s="35"/>
      <c r="H250" s="35"/>
      <c r="I250" s="35"/>
      <c r="J250" s="35"/>
      <c r="K250" s="35"/>
      <c r="L250" s="35"/>
      <c r="M250" s="35"/>
      <c r="N250" s="35"/>
      <c r="O250" s="35"/>
      <c r="P250" s="35"/>
      <c r="Q250" s="35"/>
      <c r="R250" s="35"/>
      <c r="S250" s="35"/>
      <c r="T250" s="35"/>
      <c r="U250" s="35"/>
      <c r="V250" s="35"/>
      <c r="W250" s="35"/>
      <c r="X250" s="35"/>
      <c r="Y250" s="35"/>
      <c r="Z250" s="35"/>
    </row>
    <row r="251" ht="12.75" customHeight="1">
      <c r="A251" s="35"/>
      <c r="B251" s="35"/>
      <c r="C251" s="35"/>
      <c r="D251" s="35"/>
      <c r="E251" s="35"/>
      <c r="F251" s="35"/>
      <c r="G251" s="35"/>
      <c r="H251" s="35"/>
      <c r="I251" s="35"/>
      <c r="J251" s="35"/>
      <c r="K251" s="35"/>
      <c r="L251" s="35"/>
      <c r="M251" s="35"/>
      <c r="N251" s="35"/>
      <c r="O251" s="35"/>
      <c r="P251" s="35"/>
      <c r="Q251" s="35"/>
      <c r="R251" s="35"/>
      <c r="S251" s="35"/>
      <c r="T251" s="35"/>
      <c r="U251" s="35"/>
      <c r="V251" s="35"/>
      <c r="W251" s="35"/>
      <c r="X251" s="35"/>
      <c r="Y251" s="35"/>
      <c r="Z251" s="35"/>
    </row>
    <row r="252" ht="12.75" customHeight="1">
      <c r="A252" s="35"/>
      <c r="B252" s="35"/>
      <c r="C252" s="35"/>
      <c r="D252" s="35"/>
      <c r="E252" s="35"/>
      <c r="F252" s="35"/>
      <c r="G252" s="35"/>
      <c r="H252" s="35"/>
      <c r="I252" s="35"/>
      <c r="J252" s="35"/>
      <c r="K252" s="35"/>
      <c r="L252" s="35"/>
      <c r="M252" s="35"/>
      <c r="N252" s="35"/>
      <c r="O252" s="35"/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5"/>
    </row>
    <row r="253" ht="12.75" customHeight="1">
      <c r="A253" s="35"/>
      <c r="B253" s="35"/>
      <c r="C253" s="35"/>
      <c r="D253" s="35"/>
      <c r="E253" s="35"/>
      <c r="F253" s="35"/>
      <c r="G253" s="35"/>
      <c r="H253" s="35"/>
      <c r="I253" s="35"/>
      <c r="J253" s="35"/>
      <c r="K253" s="35"/>
      <c r="L253" s="35"/>
      <c r="M253" s="35"/>
      <c r="N253" s="35"/>
      <c r="O253" s="35"/>
      <c r="P253" s="35"/>
      <c r="Q253" s="35"/>
      <c r="R253" s="35"/>
      <c r="S253" s="35"/>
      <c r="T253" s="35"/>
      <c r="U253" s="35"/>
      <c r="V253" s="35"/>
      <c r="W253" s="35"/>
      <c r="X253" s="35"/>
      <c r="Y253" s="35"/>
      <c r="Z253" s="35"/>
    </row>
    <row r="254" ht="12.75" customHeight="1">
      <c r="A254" s="35"/>
      <c r="B254" s="35"/>
      <c r="C254" s="35"/>
      <c r="D254" s="35"/>
      <c r="E254" s="35"/>
      <c r="F254" s="35"/>
      <c r="G254" s="35"/>
      <c r="H254" s="35"/>
      <c r="I254" s="35"/>
      <c r="J254" s="35"/>
      <c r="K254" s="35"/>
      <c r="L254" s="35"/>
      <c r="M254" s="35"/>
      <c r="N254" s="35"/>
      <c r="O254" s="35"/>
      <c r="P254" s="35"/>
      <c r="Q254" s="35"/>
      <c r="R254" s="35"/>
      <c r="S254" s="35"/>
      <c r="T254" s="35"/>
      <c r="U254" s="35"/>
      <c r="V254" s="35"/>
      <c r="W254" s="35"/>
      <c r="X254" s="35"/>
      <c r="Y254" s="35"/>
      <c r="Z254" s="35"/>
    </row>
    <row r="255" ht="12.75" customHeight="1">
      <c r="A255" s="35"/>
      <c r="B255" s="35"/>
      <c r="C255" s="35"/>
      <c r="D255" s="35"/>
      <c r="E255" s="35"/>
      <c r="F255" s="35"/>
      <c r="G255" s="35"/>
      <c r="H255" s="35"/>
      <c r="I255" s="35"/>
      <c r="J255" s="35"/>
      <c r="K255" s="35"/>
      <c r="L255" s="35"/>
      <c r="M255" s="35"/>
      <c r="N255" s="35"/>
      <c r="O255" s="35"/>
      <c r="P255" s="35"/>
      <c r="Q255" s="35"/>
      <c r="R255" s="35"/>
      <c r="S255" s="35"/>
      <c r="T255" s="35"/>
      <c r="U255" s="35"/>
      <c r="V255" s="35"/>
      <c r="W255" s="35"/>
      <c r="X255" s="35"/>
      <c r="Y255" s="35"/>
      <c r="Z255" s="35"/>
    </row>
    <row r="256" ht="12.75" customHeight="1">
      <c r="A256" s="35"/>
      <c r="B256" s="35"/>
      <c r="C256" s="35"/>
      <c r="D256" s="35"/>
      <c r="E256" s="35"/>
      <c r="F256" s="35"/>
      <c r="G256" s="35"/>
      <c r="H256" s="35"/>
      <c r="I256" s="35"/>
      <c r="J256" s="35"/>
      <c r="K256" s="35"/>
      <c r="L256" s="35"/>
      <c r="M256" s="35"/>
      <c r="N256" s="35"/>
      <c r="O256" s="35"/>
      <c r="P256" s="35"/>
      <c r="Q256" s="35"/>
      <c r="R256" s="35"/>
      <c r="S256" s="35"/>
      <c r="T256" s="35"/>
      <c r="U256" s="35"/>
      <c r="V256" s="35"/>
      <c r="W256" s="35"/>
      <c r="X256" s="35"/>
      <c r="Y256" s="35"/>
      <c r="Z256" s="35"/>
    </row>
    <row r="257" ht="12.75" customHeight="1">
      <c r="A257" s="35"/>
      <c r="B257" s="35"/>
      <c r="C257" s="35"/>
      <c r="D257" s="35"/>
      <c r="E257" s="35"/>
      <c r="F257" s="35"/>
      <c r="G257" s="35"/>
      <c r="H257" s="35"/>
      <c r="I257" s="35"/>
      <c r="J257" s="35"/>
      <c r="K257" s="35"/>
      <c r="L257" s="35"/>
      <c r="M257" s="35"/>
      <c r="N257" s="35"/>
      <c r="O257" s="35"/>
      <c r="P257" s="35"/>
      <c r="Q257" s="35"/>
      <c r="R257" s="35"/>
      <c r="S257" s="35"/>
      <c r="T257" s="35"/>
      <c r="U257" s="35"/>
      <c r="V257" s="35"/>
      <c r="W257" s="35"/>
      <c r="X257" s="35"/>
      <c r="Y257" s="35"/>
      <c r="Z257" s="35"/>
    </row>
    <row r="258" ht="12.75" customHeight="1">
      <c r="A258" s="35"/>
      <c r="B258" s="35"/>
      <c r="C258" s="35"/>
      <c r="D258" s="35"/>
      <c r="E258" s="35"/>
      <c r="F258" s="35"/>
      <c r="G258" s="35"/>
      <c r="H258" s="35"/>
      <c r="I258" s="35"/>
      <c r="J258" s="35"/>
      <c r="K258" s="35"/>
      <c r="L258" s="35"/>
      <c r="M258" s="35"/>
      <c r="N258" s="35"/>
      <c r="O258" s="35"/>
      <c r="P258" s="35"/>
      <c r="Q258" s="35"/>
      <c r="R258" s="35"/>
      <c r="S258" s="35"/>
      <c r="T258" s="35"/>
      <c r="U258" s="35"/>
      <c r="V258" s="35"/>
      <c r="W258" s="35"/>
      <c r="X258" s="35"/>
      <c r="Y258" s="35"/>
      <c r="Z258" s="35"/>
    </row>
    <row r="259" ht="12.75" customHeight="1">
      <c r="A259" s="35"/>
      <c r="B259" s="35"/>
      <c r="C259" s="35"/>
      <c r="D259" s="35"/>
      <c r="E259" s="35"/>
      <c r="F259" s="35"/>
      <c r="G259" s="35"/>
      <c r="H259" s="35"/>
      <c r="I259" s="35"/>
      <c r="J259" s="35"/>
      <c r="K259" s="35"/>
      <c r="L259" s="35"/>
      <c r="M259" s="35"/>
      <c r="N259" s="35"/>
      <c r="O259" s="35"/>
      <c r="P259" s="35"/>
      <c r="Q259" s="35"/>
      <c r="R259" s="35"/>
      <c r="S259" s="35"/>
      <c r="T259" s="35"/>
      <c r="U259" s="35"/>
      <c r="V259" s="35"/>
      <c r="W259" s="35"/>
      <c r="X259" s="35"/>
      <c r="Y259" s="35"/>
      <c r="Z259" s="35"/>
    </row>
    <row r="260" ht="12.75" customHeight="1">
      <c r="A260" s="35"/>
      <c r="B260" s="35"/>
      <c r="C260" s="35"/>
      <c r="D260" s="35"/>
      <c r="E260" s="35"/>
      <c r="F260" s="35"/>
      <c r="G260" s="35"/>
      <c r="H260" s="35"/>
      <c r="I260" s="35"/>
      <c r="J260" s="35"/>
      <c r="K260" s="35"/>
      <c r="L260" s="35"/>
      <c r="M260" s="35"/>
      <c r="N260" s="35"/>
      <c r="O260" s="35"/>
      <c r="P260" s="35"/>
      <c r="Q260" s="35"/>
      <c r="R260" s="35"/>
      <c r="S260" s="35"/>
      <c r="T260" s="35"/>
      <c r="U260" s="35"/>
      <c r="V260" s="35"/>
      <c r="W260" s="35"/>
      <c r="X260" s="35"/>
      <c r="Y260" s="35"/>
      <c r="Z260" s="35"/>
    </row>
    <row r="261" ht="12.75" customHeight="1">
      <c r="A261" s="35"/>
      <c r="B261" s="35"/>
      <c r="C261" s="35"/>
      <c r="D261" s="35"/>
      <c r="E261" s="35"/>
      <c r="F261" s="35"/>
      <c r="G261" s="35"/>
      <c r="H261" s="35"/>
      <c r="I261" s="35"/>
      <c r="J261" s="35"/>
      <c r="K261" s="35"/>
      <c r="L261" s="35"/>
      <c r="M261" s="35"/>
      <c r="N261" s="35"/>
      <c r="O261" s="35"/>
      <c r="P261" s="35"/>
      <c r="Q261" s="35"/>
      <c r="R261" s="35"/>
      <c r="S261" s="35"/>
      <c r="T261" s="35"/>
      <c r="U261" s="35"/>
      <c r="V261" s="35"/>
      <c r="W261" s="35"/>
      <c r="X261" s="35"/>
      <c r="Y261" s="35"/>
      <c r="Z261" s="35"/>
    </row>
    <row r="262" ht="12.75" customHeight="1">
      <c r="A262" s="35"/>
      <c r="B262" s="35"/>
      <c r="C262" s="35"/>
      <c r="D262" s="35"/>
      <c r="E262" s="35"/>
      <c r="F262" s="35"/>
      <c r="G262" s="35"/>
      <c r="H262" s="35"/>
      <c r="I262" s="35"/>
      <c r="J262" s="35"/>
      <c r="K262" s="35"/>
      <c r="L262" s="35"/>
      <c r="M262" s="35"/>
      <c r="N262" s="35"/>
      <c r="O262" s="35"/>
      <c r="P262" s="35"/>
      <c r="Q262" s="35"/>
      <c r="R262" s="35"/>
      <c r="S262" s="35"/>
      <c r="T262" s="35"/>
      <c r="U262" s="35"/>
      <c r="V262" s="35"/>
      <c r="W262" s="35"/>
      <c r="X262" s="35"/>
      <c r="Y262" s="35"/>
      <c r="Z262" s="35"/>
    </row>
    <row r="263" ht="12.75" customHeight="1">
      <c r="A263" s="35"/>
      <c r="B263" s="35"/>
      <c r="C263" s="35"/>
      <c r="D263" s="35"/>
      <c r="E263" s="35"/>
      <c r="F263" s="35"/>
      <c r="G263" s="35"/>
      <c r="H263" s="35"/>
      <c r="I263" s="35"/>
      <c r="J263" s="35"/>
      <c r="K263" s="35"/>
      <c r="L263" s="35"/>
      <c r="M263" s="35"/>
      <c r="N263" s="35"/>
      <c r="O263" s="35"/>
      <c r="P263" s="35"/>
      <c r="Q263" s="35"/>
      <c r="R263" s="35"/>
      <c r="S263" s="35"/>
      <c r="T263" s="35"/>
      <c r="U263" s="35"/>
      <c r="V263" s="35"/>
      <c r="W263" s="35"/>
      <c r="X263" s="35"/>
      <c r="Y263" s="35"/>
      <c r="Z263" s="35"/>
    </row>
    <row r="264" ht="12.75" customHeight="1">
      <c r="A264" s="35"/>
      <c r="B264" s="35"/>
      <c r="C264" s="35"/>
      <c r="D264" s="35"/>
      <c r="E264" s="35"/>
      <c r="F264" s="35"/>
      <c r="G264" s="35"/>
      <c r="H264" s="35"/>
      <c r="I264" s="35"/>
      <c r="J264" s="35"/>
      <c r="K264" s="35"/>
      <c r="L264" s="35"/>
      <c r="M264" s="35"/>
      <c r="N264" s="35"/>
      <c r="O264" s="35"/>
      <c r="P264" s="35"/>
      <c r="Q264" s="35"/>
      <c r="R264" s="35"/>
      <c r="S264" s="35"/>
      <c r="T264" s="35"/>
      <c r="U264" s="35"/>
      <c r="V264" s="35"/>
      <c r="W264" s="35"/>
      <c r="X264" s="35"/>
      <c r="Y264" s="35"/>
      <c r="Z264" s="35"/>
    </row>
    <row r="265" ht="12.75" customHeight="1">
      <c r="A265" s="35"/>
      <c r="B265" s="35"/>
      <c r="C265" s="35"/>
      <c r="D265" s="35"/>
      <c r="E265" s="35"/>
      <c r="F265" s="35"/>
      <c r="G265" s="35"/>
      <c r="H265" s="35"/>
      <c r="I265" s="35"/>
      <c r="J265" s="35"/>
      <c r="K265" s="35"/>
      <c r="L265" s="35"/>
      <c r="M265" s="35"/>
      <c r="N265" s="35"/>
      <c r="O265" s="35"/>
      <c r="P265" s="35"/>
      <c r="Q265" s="35"/>
      <c r="R265" s="35"/>
      <c r="S265" s="35"/>
      <c r="T265" s="35"/>
      <c r="U265" s="35"/>
      <c r="V265" s="35"/>
      <c r="W265" s="35"/>
      <c r="X265" s="35"/>
      <c r="Y265" s="35"/>
      <c r="Z265" s="35"/>
    </row>
    <row r="266" ht="12.75" customHeight="1">
      <c r="A266" s="35"/>
      <c r="B266" s="35"/>
      <c r="C266" s="35"/>
      <c r="D266" s="35"/>
      <c r="E266" s="35"/>
      <c r="F266" s="35"/>
      <c r="G266" s="35"/>
      <c r="H266" s="35"/>
      <c r="I266" s="35"/>
      <c r="J266" s="35"/>
      <c r="K266" s="35"/>
      <c r="L266" s="35"/>
      <c r="M266" s="35"/>
      <c r="N266" s="35"/>
      <c r="O266" s="35"/>
      <c r="P266" s="35"/>
      <c r="Q266" s="35"/>
      <c r="R266" s="35"/>
      <c r="S266" s="35"/>
      <c r="T266" s="35"/>
      <c r="U266" s="35"/>
      <c r="V266" s="35"/>
      <c r="W266" s="35"/>
      <c r="X266" s="35"/>
      <c r="Y266" s="35"/>
      <c r="Z266" s="35"/>
    </row>
    <row r="267" ht="12.75" customHeight="1">
      <c r="A267" s="35"/>
      <c r="B267" s="35"/>
      <c r="C267" s="35"/>
      <c r="D267" s="35"/>
      <c r="E267" s="35"/>
      <c r="F267" s="35"/>
      <c r="G267" s="35"/>
      <c r="H267" s="35"/>
      <c r="I267" s="35"/>
      <c r="J267" s="35"/>
      <c r="K267" s="35"/>
      <c r="L267" s="35"/>
      <c r="M267" s="35"/>
      <c r="N267" s="35"/>
      <c r="O267" s="35"/>
      <c r="P267" s="35"/>
      <c r="Q267" s="35"/>
      <c r="R267" s="35"/>
      <c r="S267" s="35"/>
      <c r="T267" s="35"/>
      <c r="U267" s="35"/>
      <c r="V267" s="35"/>
      <c r="W267" s="35"/>
      <c r="X267" s="35"/>
      <c r="Y267" s="35"/>
      <c r="Z267" s="35"/>
    </row>
    <row r="268" ht="12.75" customHeight="1">
      <c r="A268" s="35"/>
      <c r="B268" s="35"/>
      <c r="C268" s="35"/>
      <c r="D268" s="35"/>
      <c r="E268" s="35"/>
      <c r="F268" s="35"/>
      <c r="G268" s="35"/>
      <c r="H268" s="35"/>
      <c r="I268" s="35"/>
      <c r="J268" s="35"/>
      <c r="K268" s="35"/>
      <c r="L268" s="35"/>
      <c r="M268" s="35"/>
      <c r="N268" s="35"/>
      <c r="O268" s="35"/>
      <c r="P268" s="35"/>
      <c r="Q268" s="35"/>
      <c r="R268" s="35"/>
      <c r="S268" s="35"/>
      <c r="T268" s="35"/>
      <c r="U268" s="35"/>
      <c r="V268" s="35"/>
      <c r="W268" s="35"/>
      <c r="X268" s="35"/>
      <c r="Y268" s="35"/>
      <c r="Z268" s="35"/>
    </row>
    <row r="269" ht="12.75" customHeight="1">
      <c r="A269" s="35"/>
      <c r="B269" s="35"/>
      <c r="C269" s="35"/>
      <c r="D269" s="35"/>
      <c r="E269" s="35"/>
      <c r="F269" s="35"/>
      <c r="G269" s="35"/>
      <c r="H269" s="35"/>
      <c r="I269" s="35"/>
      <c r="J269" s="35"/>
      <c r="K269" s="35"/>
      <c r="L269" s="35"/>
      <c r="M269" s="35"/>
      <c r="N269" s="35"/>
      <c r="O269" s="35"/>
      <c r="P269" s="35"/>
      <c r="Q269" s="35"/>
      <c r="R269" s="35"/>
      <c r="S269" s="35"/>
      <c r="T269" s="35"/>
      <c r="U269" s="35"/>
      <c r="V269" s="35"/>
      <c r="W269" s="35"/>
      <c r="X269" s="35"/>
      <c r="Y269" s="35"/>
      <c r="Z269" s="35"/>
    </row>
    <row r="270" ht="12.75" customHeight="1">
      <c r="A270" s="35"/>
      <c r="B270" s="35"/>
      <c r="C270" s="35"/>
      <c r="D270" s="35"/>
      <c r="E270" s="35"/>
      <c r="F270" s="35"/>
      <c r="G270" s="35"/>
      <c r="H270" s="35"/>
      <c r="I270" s="35"/>
      <c r="J270" s="35"/>
      <c r="K270" s="35"/>
      <c r="L270" s="35"/>
      <c r="M270" s="35"/>
      <c r="N270" s="35"/>
      <c r="O270" s="35"/>
      <c r="P270" s="35"/>
      <c r="Q270" s="35"/>
      <c r="R270" s="35"/>
      <c r="S270" s="35"/>
      <c r="T270" s="35"/>
      <c r="U270" s="35"/>
      <c r="V270" s="35"/>
      <c r="W270" s="35"/>
      <c r="X270" s="35"/>
      <c r="Y270" s="35"/>
      <c r="Z270" s="35"/>
    </row>
    <row r="271" ht="12.75" customHeight="1">
      <c r="A271" s="35"/>
      <c r="B271" s="35"/>
      <c r="C271" s="35"/>
      <c r="D271" s="35"/>
      <c r="E271" s="35"/>
      <c r="F271" s="35"/>
      <c r="G271" s="35"/>
      <c r="H271" s="35"/>
      <c r="I271" s="35"/>
      <c r="J271" s="35"/>
      <c r="K271" s="35"/>
      <c r="L271" s="35"/>
      <c r="M271" s="35"/>
      <c r="N271" s="35"/>
      <c r="O271" s="35"/>
      <c r="P271" s="35"/>
      <c r="Q271" s="35"/>
      <c r="R271" s="35"/>
      <c r="S271" s="35"/>
      <c r="T271" s="35"/>
      <c r="U271" s="35"/>
      <c r="V271" s="35"/>
      <c r="W271" s="35"/>
      <c r="X271" s="35"/>
      <c r="Y271" s="35"/>
      <c r="Z271" s="35"/>
    </row>
    <row r="272" ht="12.75" customHeight="1">
      <c r="A272" s="35"/>
      <c r="B272" s="35"/>
      <c r="C272" s="35"/>
      <c r="D272" s="35"/>
      <c r="E272" s="35"/>
      <c r="F272" s="35"/>
      <c r="G272" s="35"/>
      <c r="H272" s="35"/>
      <c r="I272" s="35"/>
      <c r="J272" s="35"/>
      <c r="K272" s="35"/>
      <c r="L272" s="35"/>
      <c r="M272" s="35"/>
      <c r="N272" s="35"/>
      <c r="O272" s="35"/>
      <c r="P272" s="35"/>
      <c r="Q272" s="35"/>
      <c r="R272" s="35"/>
      <c r="S272" s="35"/>
      <c r="T272" s="35"/>
      <c r="U272" s="35"/>
      <c r="V272" s="35"/>
      <c r="W272" s="35"/>
      <c r="X272" s="35"/>
      <c r="Y272" s="35"/>
      <c r="Z272" s="35"/>
    </row>
    <row r="273" ht="12.75" customHeight="1">
      <c r="A273" s="35"/>
      <c r="B273" s="35"/>
      <c r="C273" s="35"/>
      <c r="D273" s="35"/>
      <c r="E273" s="35"/>
      <c r="F273" s="35"/>
      <c r="G273" s="35"/>
      <c r="H273" s="35"/>
      <c r="I273" s="35"/>
      <c r="J273" s="35"/>
      <c r="K273" s="35"/>
      <c r="L273" s="35"/>
      <c r="M273" s="35"/>
      <c r="N273" s="35"/>
      <c r="O273" s="35"/>
      <c r="P273" s="35"/>
      <c r="Q273" s="35"/>
      <c r="R273" s="35"/>
      <c r="S273" s="35"/>
      <c r="T273" s="35"/>
      <c r="U273" s="35"/>
      <c r="V273" s="35"/>
      <c r="W273" s="35"/>
      <c r="X273" s="35"/>
      <c r="Y273" s="35"/>
      <c r="Z273" s="35"/>
    </row>
    <row r="274" ht="12.75" customHeight="1">
      <c r="A274" s="35"/>
      <c r="B274" s="35"/>
      <c r="C274" s="35"/>
      <c r="D274" s="35"/>
      <c r="E274" s="35"/>
      <c r="F274" s="35"/>
      <c r="G274" s="35"/>
      <c r="H274" s="35"/>
      <c r="I274" s="35"/>
      <c r="J274" s="35"/>
      <c r="K274" s="35"/>
      <c r="L274" s="35"/>
      <c r="M274" s="35"/>
      <c r="N274" s="35"/>
      <c r="O274" s="35"/>
      <c r="P274" s="35"/>
      <c r="Q274" s="35"/>
      <c r="R274" s="35"/>
      <c r="S274" s="35"/>
      <c r="T274" s="35"/>
      <c r="U274" s="35"/>
      <c r="V274" s="35"/>
      <c r="W274" s="35"/>
      <c r="X274" s="35"/>
      <c r="Y274" s="35"/>
      <c r="Z274" s="35"/>
    </row>
    <row r="275" ht="12.75" customHeight="1">
      <c r="A275" s="35"/>
      <c r="B275" s="35"/>
      <c r="C275" s="35"/>
      <c r="D275" s="35"/>
      <c r="E275" s="35"/>
      <c r="F275" s="35"/>
      <c r="G275" s="35"/>
      <c r="H275" s="35"/>
      <c r="I275" s="35"/>
      <c r="J275" s="35"/>
      <c r="K275" s="35"/>
      <c r="L275" s="35"/>
      <c r="M275" s="35"/>
      <c r="N275" s="35"/>
      <c r="O275" s="35"/>
      <c r="P275" s="35"/>
      <c r="Q275" s="35"/>
      <c r="R275" s="35"/>
      <c r="S275" s="35"/>
      <c r="T275" s="35"/>
      <c r="U275" s="35"/>
      <c r="V275" s="35"/>
      <c r="W275" s="35"/>
      <c r="X275" s="35"/>
      <c r="Y275" s="35"/>
      <c r="Z275" s="35"/>
    </row>
    <row r="276" ht="12.75" customHeight="1">
      <c r="A276" s="35"/>
      <c r="B276" s="35"/>
      <c r="C276" s="35"/>
      <c r="D276" s="35"/>
      <c r="E276" s="35"/>
      <c r="F276" s="35"/>
      <c r="G276" s="35"/>
      <c r="H276" s="35"/>
      <c r="I276" s="35"/>
      <c r="J276" s="35"/>
      <c r="K276" s="35"/>
      <c r="L276" s="35"/>
      <c r="M276" s="35"/>
      <c r="N276" s="35"/>
      <c r="O276" s="35"/>
      <c r="P276" s="35"/>
      <c r="Q276" s="35"/>
      <c r="R276" s="35"/>
      <c r="S276" s="35"/>
      <c r="T276" s="35"/>
      <c r="U276" s="35"/>
      <c r="V276" s="35"/>
      <c r="W276" s="35"/>
      <c r="X276" s="35"/>
      <c r="Y276" s="35"/>
      <c r="Z276" s="35"/>
    </row>
    <row r="277" ht="12.75" customHeight="1">
      <c r="A277" s="35"/>
      <c r="B277" s="35"/>
      <c r="C277" s="35"/>
      <c r="D277" s="35"/>
      <c r="E277" s="35"/>
      <c r="F277" s="35"/>
      <c r="G277" s="35"/>
      <c r="H277" s="35"/>
      <c r="I277" s="35"/>
      <c r="J277" s="35"/>
      <c r="K277" s="35"/>
      <c r="L277" s="35"/>
      <c r="M277" s="35"/>
      <c r="N277" s="35"/>
      <c r="O277" s="35"/>
      <c r="P277" s="35"/>
      <c r="Q277" s="35"/>
      <c r="R277" s="35"/>
      <c r="S277" s="35"/>
      <c r="T277" s="35"/>
      <c r="U277" s="35"/>
      <c r="V277" s="35"/>
      <c r="W277" s="35"/>
      <c r="X277" s="35"/>
      <c r="Y277" s="35"/>
      <c r="Z277" s="35"/>
    </row>
    <row r="278" ht="12.75" customHeight="1">
      <c r="A278" s="35"/>
      <c r="B278" s="35"/>
      <c r="C278" s="35"/>
      <c r="D278" s="35"/>
      <c r="E278" s="35"/>
      <c r="F278" s="35"/>
      <c r="G278" s="35"/>
      <c r="H278" s="35"/>
      <c r="I278" s="35"/>
      <c r="J278" s="35"/>
      <c r="K278" s="35"/>
      <c r="L278" s="35"/>
      <c r="M278" s="35"/>
      <c r="N278" s="35"/>
      <c r="O278" s="35"/>
      <c r="P278" s="35"/>
      <c r="Q278" s="35"/>
      <c r="R278" s="35"/>
      <c r="S278" s="35"/>
      <c r="T278" s="35"/>
      <c r="U278" s="35"/>
      <c r="V278" s="35"/>
      <c r="W278" s="35"/>
      <c r="X278" s="35"/>
      <c r="Y278" s="35"/>
      <c r="Z278" s="35"/>
    </row>
    <row r="279" ht="12.75" customHeight="1">
      <c r="A279" s="35"/>
      <c r="B279" s="35"/>
      <c r="C279" s="35"/>
      <c r="D279" s="35"/>
      <c r="E279" s="35"/>
      <c r="F279" s="35"/>
      <c r="G279" s="35"/>
      <c r="H279" s="35"/>
      <c r="I279" s="35"/>
      <c r="J279" s="35"/>
      <c r="K279" s="35"/>
      <c r="L279" s="35"/>
      <c r="M279" s="35"/>
      <c r="N279" s="35"/>
      <c r="O279" s="35"/>
      <c r="P279" s="35"/>
      <c r="Q279" s="35"/>
      <c r="R279" s="35"/>
      <c r="S279" s="35"/>
      <c r="T279" s="35"/>
      <c r="U279" s="35"/>
      <c r="V279" s="35"/>
      <c r="W279" s="35"/>
      <c r="X279" s="35"/>
      <c r="Y279" s="35"/>
      <c r="Z279" s="35"/>
    </row>
    <row r="280" ht="12.75" customHeight="1">
      <c r="A280" s="35"/>
      <c r="B280" s="35"/>
      <c r="C280" s="35"/>
      <c r="D280" s="35"/>
      <c r="E280" s="35"/>
      <c r="F280" s="35"/>
      <c r="G280" s="35"/>
      <c r="H280" s="35"/>
      <c r="I280" s="35"/>
      <c r="J280" s="35"/>
      <c r="K280" s="35"/>
      <c r="L280" s="35"/>
      <c r="M280" s="35"/>
      <c r="N280" s="35"/>
      <c r="O280" s="35"/>
      <c r="P280" s="35"/>
      <c r="Q280" s="35"/>
      <c r="R280" s="35"/>
      <c r="S280" s="35"/>
      <c r="T280" s="35"/>
      <c r="U280" s="35"/>
      <c r="V280" s="35"/>
      <c r="W280" s="35"/>
      <c r="X280" s="35"/>
      <c r="Y280" s="35"/>
      <c r="Z280" s="35"/>
    </row>
    <row r="281" ht="12.75" customHeight="1">
      <c r="A281" s="35"/>
      <c r="B281" s="35"/>
      <c r="C281" s="35"/>
      <c r="D281" s="35"/>
      <c r="E281" s="35"/>
      <c r="F281" s="35"/>
      <c r="G281" s="35"/>
      <c r="H281" s="35"/>
      <c r="I281" s="35"/>
      <c r="J281" s="35"/>
      <c r="K281" s="35"/>
      <c r="L281" s="35"/>
      <c r="M281" s="35"/>
      <c r="N281" s="35"/>
      <c r="O281" s="35"/>
      <c r="P281" s="35"/>
      <c r="Q281" s="35"/>
      <c r="R281" s="35"/>
      <c r="S281" s="35"/>
      <c r="T281" s="35"/>
      <c r="U281" s="35"/>
      <c r="V281" s="35"/>
      <c r="W281" s="35"/>
      <c r="X281" s="35"/>
      <c r="Y281" s="35"/>
      <c r="Z281" s="35"/>
    </row>
    <row r="282" ht="12.75" customHeight="1">
      <c r="A282" s="35"/>
      <c r="B282" s="35"/>
      <c r="C282" s="35"/>
      <c r="D282" s="35"/>
      <c r="E282" s="35"/>
      <c r="F282" s="35"/>
      <c r="G282" s="35"/>
      <c r="H282" s="35"/>
      <c r="I282" s="35"/>
      <c r="J282" s="35"/>
      <c r="K282" s="35"/>
      <c r="L282" s="35"/>
      <c r="M282" s="35"/>
      <c r="N282" s="35"/>
      <c r="O282" s="35"/>
      <c r="P282" s="35"/>
      <c r="Q282" s="35"/>
      <c r="R282" s="35"/>
      <c r="S282" s="35"/>
      <c r="T282" s="35"/>
      <c r="U282" s="35"/>
      <c r="V282" s="35"/>
      <c r="W282" s="35"/>
      <c r="X282" s="35"/>
      <c r="Y282" s="35"/>
      <c r="Z282" s="35"/>
    </row>
    <row r="283" ht="12.75" customHeight="1">
      <c r="A283" s="35"/>
      <c r="B283" s="35"/>
      <c r="C283" s="35"/>
      <c r="D283" s="35"/>
      <c r="E283" s="35"/>
      <c r="F283" s="35"/>
      <c r="G283" s="35"/>
      <c r="H283" s="35"/>
      <c r="I283" s="35"/>
      <c r="J283" s="35"/>
      <c r="K283" s="35"/>
      <c r="L283" s="35"/>
      <c r="M283" s="35"/>
      <c r="N283" s="35"/>
      <c r="O283" s="35"/>
      <c r="P283" s="35"/>
      <c r="Q283" s="35"/>
      <c r="R283" s="35"/>
      <c r="S283" s="35"/>
      <c r="T283" s="35"/>
      <c r="U283" s="35"/>
      <c r="V283" s="35"/>
      <c r="W283" s="35"/>
      <c r="X283" s="35"/>
      <c r="Y283" s="35"/>
      <c r="Z283" s="35"/>
    </row>
    <row r="284" ht="12.75" customHeight="1">
      <c r="A284" s="35"/>
      <c r="B284" s="35"/>
      <c r="C284" s="35"/>
      <c r="D284" s="35"/>
      <c r="E284" s="35"/>
      <c r="F284" s="35"/>
      <c r="G284" s="35"/>
      <c r="H284" s="35"/>
      <c r="I284" s="35"/>
      <c r="J284" s="35"/>
      <c r="K284" s="35"/>
      <c r="L284" s="35"/>
      <c r="M284" s="35"/>
      <c r="N284" s="35"/>
      <c r="O284" s="35"/>
      <c r="P284" s="35"/>
      <c r="Q284" s="35"/>
      <c r="R284" s="35"/>
      <c r="S284" s="35"/>
      <c r="T284" s="35"/>
      <c r="U284" s="35"/>
      <c r="V284" s="35"/>
      <c r="W284" s="35"/>
      <c r="X284" s="35"/>
      <c r="Y284" s="35"/>
      <c r="Z284" s="35"/>
    </row>
    <row r="285" ht="12.75" customHeight="1">
      <c r="A285" s="35"/>
      <c r="B285" s="35"/>
      <c r="C285" s="35"/>
      <c r="D285" s="35"/>
      <c r="E285" s="35"/>
      <c r="F285" s="35"/>
      <c r="G285" s="35"/>
      <c r="H285" s="35"/>
      <c r="I285" s="35"/>
      <c r="J285" s="35"/>
      <c r="K285" s="35"/>
      <c r="L285" s="35"/>
      <c r="M285" s="35"/>
      <c r="N285" s="35"/>
      <c r="O285" s="35"/>
      <c r="P285" s="35"/>
      <c r="Q285" s="35"/>
      <c r="R285" s="35"/>
      <c r="S285" s="35"/>
      <c r="T285" s="35"/>
      <c r="U285" s="35"/>
      <c r="V285" s="35"/>
      <c r="W285" s="35"/>
      <c r="X285" s="35"/>
      <c r="Y285" s="35"/>
      <c r="Z285" s="35"/>
    </row>
    <row r="286" ht="12.75" customHeight="1">
      <c r="A286" s="35"/>
      <c r="B286" s="35"/>
      <c r="C286" s="35"/>
      <c r="D286" s="35"/>
      <c r="E286" s="35"/>
      <c r="F286" s="35"/>
      <c r="G286" s="35"/>
      <c r="H286" s="35"/>
      <c r="I286" s="35"/>
      <c r="J286" s="35"/>
      <c r="K286" s="35"/>
      <c r="L286" s="35"/>
      <c r="M286" s="35"/>
      <c r="N286" s="35"/>
      <c r="O286" s="35"/>
      <c r="P286" s="35"/>
      <c r="Q286" s="35"/>
      <c r="R286" s="35"/>
      <c r="S286" s="35"/>
      <c r="T286" s="35"/>
      <c r="U286" s="35"/>
      <c r="V286" s="35"/>
      <c r="W286" s="35"/>
      <c r="X286" s="35"/>
      <c r="Y286" s="35"/>
      <c r="Z286" s="35"/>
    </row>
    <row r="287" ht="12.75" customHeight="1">
      <c r="A287" s="35"/>
      <c r="B287" s="35"/>
      <c r="C287" s="35"/>
      <c r="D287" s="35"/>
      <c r="E287" s="35"/>
      <c r="F287" s="35"/>
      <c r="G287" s="35"/>
      <c r="H287" s="35"/>
      <c r="I287" s="35"/>
      <c r="J287" s="35"/>
      <c r="K287" s="35"/>
      <c r="L287" s="35"/>
      <c r="M287" s="35"/>
      <c r="N287" s="35"/>
      <c r="O287" s="35"/>
      <c r="P287" s="35"/>
      <c r="Q287" s="35"/>
      <c r="R287" s="35"/>
      <c r="S287" s="35"/>
      <c r="T287" s="35"/>
      <c r="U287" s="35"/>
      <c r="V287" s="35"/>
      <c r="W287" s="35"/>
      <c r="X287" s="35"/>
      <c r="Y287" s="35"/>
      <c r="Z287" s="35"/>
    </row>
    <row r="288" ht="12.75" customHeight="1">
      <c r="A288" s="35"/>
      <c r="B288" s="35"/>
      <c r="C288" s="35"/>
      <c r="D288" s="35"/>
      <c r="E288" s="35"/>
      <c r="F288" s="35"/>
      <c r="G288" s="35"/>
      <c r="H288" s="35"/>
      <c r="I288" s="35"/>
      <c r="J288" s="35"/>
      <c r="K288" s="35"/>
      <c r="L288" s="35"/>
      <c r="M288" s="35"/>
      <c r="N288" s="35"/>
      <c r="O288" s="35"/>
      <c r="P288" s="35"/>
      <c r="Q288" s="35"/>
      <c r="R288" s="35"/>
      <c r="S288" s="35"/>
      <c r="T288" s="35"/>
      <c r="U288" s="35"/>
      <c r="V288" s="35"/>
      <c r="W288" s="35"/>
      <c r="X288" s="35"/>
      <c r="Y288" s="35"/>
      <c r="Z288" s="35"/>
    </row>
    <row r="289" ht="12.75" customHeight="1">
      <c r="A289" s="35"/>
      <c r="B289" s="35"/>
      <c r="C289" s="35"/>
      <c r="D289" s="35"/>
      <c r="E289" s="35"/>
      <c r="F289" s="35"/>
      <c r="G289" s="35"/>
      <c r="H289" s="35"/>
      <c r="I289" s="35"/>
      <c r="J289" s="35"/>
      <c r="K289" s="35"/>
      <c r="L289" s="35"/>
      <c r="M289" s="35"/>
      <c r="N289" s="35"/>
      <c r="O289" s="35"/>
      <c r="P289" s="35"/>
      <c r="Q289" s="35"/>
      <c r="R289" s="35"/>
      <c r="S289" s="35"/>
      <c r="T289" s="35"/>
      <c r="U289" s="35"/>
      <c r="V289" s="35"/>
      <c r="W289" s="35"/>
      <c r="X289" s="35"/>
      <c r="Y289" s="35"/>
      <c r="Z289" s="35"/>
    </row>
    <row r="290" ht="12.75" customHeight="1">
      <c r="A290" s="35"/>
      <c r="B290" s="35"/>
      <c r="C290" s="35"/>
      <c r="D290" s="35"/>
      <c r="E290" s="35"/>
      <c r="F290" s="35"/>
      <c r="G290" s="35"/>
      <c r="H290" s="35"/>
      <c r="I290" s="35"/>
      <c r="J290" s="35"/>
      <c r="K290" s="35"/>
      <c r="L290" s="35"/>
      <c r="M290" s="35"/>
      <c r="N290" s="35"/>
      <c r="O290" s="35"/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5"/>
    </row>
    <row r="291" ht="12.75" customHeight="1">
      <c r="A291" s="35"/>
      <c r="B291" s="35"/>
      <c r="C291" s="35"/>
      <c r="D291" s="35"/>
      <c r="E291" s="35"/>
      <c r="F291" s="35"/>
      <c r="G291" s="35"/>
      <c r="H291" s="35"/>
      <c r="I291" s="35"/>
      <c r="J291" s="35"/>
      <c r="K291" s="35"/>
      <c r="L291" s="35"/>
      <c r="M291" s="35"/>
      <c r="N291" s="35"/>
      <c r="O291" s="35"/>
      <c r="P291" s="35"/>
      <c r="Q291" s="35"/>
      <c r="R291" s="35"/>
      <c r="S291" s="35"/>
      <c r="T291" s="35"/>
      <c r="U291" s="35"/>
      <c r="V291" s="35"/>
      <c r="W291" s="35"/>
      <c r="X291" s="35"/>
      <c r="Y291" s="35"/>
      <c r="Z291" s="35"/>
    </row>
    <row r="292" ht="12.75" customHeight="1">
      <c r="A292" s="35"/>
      <c r="B292" s="35"/>
      <c r="C292" s="35"/>
      <c r="D292" s="35"/>
      <c r="E292" s="35"/>
      <c r="F292" s="35"/>
      <c r="G292" s="35"/>
      <c r="H292" s="35"/>
      <c r="I292" s="35"/>
      <c r="J292" s="35"/>
      <c r="K292" s="35"/>
      <c r="L292" s="35"/>
      <c r="M292" s="35"/>
      <c r="N292" s="35"/>
      <c r="O292" s="35"/>
      <c r="P292" s="35"/>
      <c r="Q292" s="35"/>
      <c r="R292" s="35"/>
      <c r="S292" s="35"/>
      <c r="T292" s="35"/>
      <c r="U292" s="35"/>
      <c r="V292" s="35"/>
      <c r="W292" s="35"/>
      <c r="X292" s="35"/>
      <c r="Y292" s="35"/>
      <c r="Z292" s="35"/>
    </row>
    <row r="293" ht="12.75" customHeight="1">
      <c r="A293" s="35"/>
      <c r="B293" s="35"/>
      <c r="C293" s="35"/>
      <c r="D293" s="35"/>
      <c r="E293" s="35"/>
      <c r="F293" s="35"/>
      <c r="G293" s="35"/>
      <c r="H293" s="35"/>
      <c r="I293" s="35"/>
      <c r="J293" s="35"/>
      <c r="K293" s="35"/>
      <c r="L293" s="35"/>
      <c r="M293" s="35"/>
      <c r="N293" s="35"/>
      <c r="O293" s="35"/>
      <c r="P293" s="35"/>
      <c r="Q293" s="35"/>
      <c r="R293" s="35"/>
      <c r="S293" s="35"/>
      <c r="T293" s="35"/>
      <c r="U293" s="35"/>
      <c r="V293" s="35"/>
      <c r="W293" s="35"/>
      <c r="X293" s="35"/>
      <c r="Y293" s="35"/>
      <c r="Z293" s="35"/>
    </row>
    <row r="294" ht="12.75" customHeight="1">
      <c r="A294" s="35"/>
      <c r="B294" s="35"/>
      <c r="C294" s="35"/>
      <c r="D294" s="35"/>
      <c r="E294" s="35"/>
      <c r="F294" s="35"/>
      <c r="G294" s="35"/>
      <c r="H294" s="35"/>
      <c r="I294" s="35"/>
      <c r="J294" s="35"/>
      <c r="K294" s="35"/>
      <c r="L294" s="35"/>
      <c r="M294" s="35"/>
      <c r="N294" s="35"/>
      <c r="O294" s="35"/>
      <c r="P294" s="35"/>
      <c r="Q294" s="35"/>
      <c r="R294" s="35"/>
      <c r="S294" s="35"/>
      <c r="T294" s="35"/>
      <c r="U294" s="35"/>
      <c r="V294" s="35"/>
      <c r="W294" s="35"/>
      <c r="X294" s="35"/>
      <c r="Y294" s="35"/>
      <c r="Z294" s="35"/>
    </row>
    <row r="295" ht="12.75" customHeight="1">
      <c r="A295" s="35"/>
      <c r="B295" s="35"/>
      <c r="C295" s="35"/>
      <c r="D295" s="35"/>
      <c r="E295" s="35"/>
      <c r="F295" s="35"/>
      <c r="G295" s="35"/>
      <c r="H295" s="35"/>
      <c r="I295" s="35"/>
      <c r="J295" s="35"/>
      <c r="K295" s="35"/>
      <c r="L295" s="35"/>
      <c r="M295" s="35"/>
      <c r="N295" s="35"/>
      <c r="O295" s="35"/>
      <c r="P295" s="35"/>
      <c r="Q295" s="35"/>
      <c r="R295" s="35"/>
      <c r="S295" s="35"/>
      <c r="T295" s="35"/>
      <c r="U295" s="35"/>
      <c r="V295" s="35"/>
      <c r="W295" s="35"/>
      <c r="X295" s="35"/>
      <c r="Y295" s="35"/>
      <c r="Z295" s="35"/>
    </row>
    <row r="296" ht="12.75" customHeight="1">
      <c r="A296" s="35"/>
      <c r="B296" s="35"/>
      <c r="C296" s="35"/>
      <c r="D296" s="35"/>
      <c r="E296" s="35"/>
      <c r="F296" s="35"/>
      <c r="G296" s="35"/>
      <c r="H296" s="35"/>
      <c r="I296" s="35"/>
      <c r="J296" s="35"/>
      <c r="K296" s="35"/>
      <c r="L296" s="35"/>
      <c r="M296" s="35"/>
      <c r="N296" s="35"/>
      <c r="O296" s="35"/>
      <c r="P296" s="35"/>
      <c r="Q296" s="35"/>
      <c r="R296" s="35"/>
      <c r="S296" s="35"/>
      <c r="T296" s="35"/>
      <c r="U296" s="35"/>
      <c r="V296" s="35"/>
      <c r="W296" s="35"/>
      <c r="X296" s="35"/>
      <c r="Y296" s="35"/>
      <c r="Z296" s="35"/>
    </row>
    <row r="297" ht="12.75" customHeight="1">
      <c r="A297" s="35"/>
      <c r="B297" s="35"/>
      <c r="C297" s="35"/>
      <c r="D297" s="35"/>
      <c r="E297" s="35"/>
      <c r="F297" s="35"/>
      <c r="G297" s="35"/>
      <c r="H297" s="35"/>
      <c r="I297" s="35"/>
      <c r="J297" s="35"/>
      <c r="K297" s="35"/>
      <c r="L297" s="35"/>
      <c r="M297" s="35"/>
      <c r="N297" s="35"/>
      <c r="O297" s="35"/>
      <c r="P297" s="35"/>
      <c r="Q297" s="35"/>
      <c r="R297" s="35"/>
      <c r="S297" s="35"/>
      <c r="T297" s="35"/>
      <c r="U297" s="35"/>
      <c r="V297" s="35"/>
      <c r="W297" s="35"/>
      <c r="X297" s="35"/>
      <c r="Y297" s="35"/>
      <c r="Z297" s="35"/>
    </row>
    <row r="298" ht="12.75" customHeight="1">
      <c r="A298" s="35"/>
      <c r="B298" s="35"/>
      <c r="C298" s="35"/>
      <c r="D298" s="35"/>
      <c r="E298" s="35"/>
      <c r="F298" s="35"/>
      <c r="G298" s="35"/>
      <c r="H298" s="35"/>
      <c r="I298" s="35"/>
      <c r="J298" s="35"/>
      <c r="K298" s="35"/>
      <c r="L298" s="35"/>
      <c r="M298" s="35"/>
      <c r="N298" s="35"/>
      <c r="O298" s="35"/>
      <c r="P298" s="35"/>
      <c r="Q298" s="35"/>
      <c r="R298" s="35"/>
      <c r="S298" s="35"/>
      <c r="T298" s="35"/>
      <c r="U298" s="35"/>
      <c r="V298" s="35"/>
      <c r="W298" s="35"/>
      <c r="X298" s="35"/>
      <c r="Y298" s="35"/>
      <c r="Z298" s="35"/>
    </row>
    <row r="299" ht="12.75" customHeight="1">
      <c r="A299" s="35"/>
      <c r="B299" s="35"/>
      <c r="C299" s="35"/>
      <c r="D299" s="35"/>
      <c r="E299" s="35"/>
      <c r="F299" s="35"/>
      <c r="G299" s="35"/>
      <c r="H299" s="35"/>
      <c r="I299" s="35"/>
      <c r="J299" s="35"/>
      <c r="K299" s="35"/>
      <c r="L299" s="35"/>
      <c r="M299" s="35"/>
      <c r="N299" s="35"/>
      <c r="O299" s="35"/>
      <c r="P299" s="35"/>
      <c r="Q299" s="35"/>
      <c r="R299" s="35"/>
      <c r="S299" s="35"/>
      <c r="T299" s="35"/>
      <c r="U299" s="35"/>
      <c r="V299" s="35"/>
      <c r="W299" s="35"/>
      <c r="X299" s="35"/>
      <c r="Y299" s="35"/>
      <c r="Z299" s="35"/>
    </row>
    <row r="300" ht="12.75" customHeight="1">
      <c r="A300" s="35"/>
      <c r="B300" s="35"/>
      <c r="C300" s="35"/>
      <c r="D300" s="35"/>
      <c r="E300" s="35"/>
      <c r="F300" s="35"/>
      <c r="G300" s="35"/>
      <c r="H300" s="35"/>
      <c r="I300" s="35"/>
      <c r="J300" s="35"/>
      <c r="K300" s="35"/>
      <c r="L300" s="35"/>
      <c r="M300" s="35"/>
      <c r="N300" s="35"/>
      <c r="O300" s="35"/>
      <c r="P300" s="35"/>
      <c r="Q300" s="35"/>
      <c r="R300" s="35"/>
      <c r="S300" s="35"/>
      <c r="T300" s="35"/>
      <c r="U300" s="35"/>
      <c r="V300" s="35"/>
      <c r="W300" s="35"/>
      <c r="X300" s="35"/>
      <c r="Y300" s="35"/>
      <c r="Z300" s="35"/>
    </row>
    <row r="301" ht="12.75" customHeight="1">
      <c r="A301" s="35"/>
      <c r="B301" s="35"/>
      <c r="C301" s="35"/>
      <c r="D301" s="35"/>
      <c r="E301" s="35"/>
      <c r="F301" s="35"/>
      <c r="G301" s="35"/>
      <c r="H301" s="35"/>
      <c r="I301" s="35"/>
      <c r="J301" s="35"/>
      <c r="K301" s="35"/>
      <c r="L301" s="35"/>
      <c r="M301" s="35"/>
      <c r="N301" s="35"/>
      <c r="O301" s="35"/>
      <c r="P301" s="35"/>
      <c r="Q301" s="35"/>
      <c r="R301" s="35"/>
      <c r="S301" s="35"/>
      <c r="T301" s="35"/>
      <c r="U301" s="35"/>
      <c r="V301" s="35"/>
      <c r="W301" s="35"/>
      <c r="X301" s="35"/>
      <c r="Y301" s="35"/>
      <c r="Z301" s="35"/>
    </row>
    <row r="302" ht="12.75" customHeight="1">
      <c r="A302" s="35"/>
      <c r="B302" s="35"/>
      <c r="C302" s="35"/>
      <c r="D302" s="35"/>
      <c r="E302" s="35"/>
      <c r="F302" s="35"/>
      <c r="G302" s="35"/>
      <c r="H302" s="35"/>
      <c r="I302" s="35"/>
      <c r="J302" s="35"/>
      <c r="K302" s="35"/>
      <c r="L302" s="35"/>
      <c r="M302" s="35"/>
      <c r="N302" s="35"/>
      <c r="O302" s="35"/>
      <c r="P302" s="35"/>
      <c r="Q302" s="35"/>
      <c r="R302" s="35"/>
      <c r="S302" s="35"/>
      <c r="T302" s="35"/>
      <c r="U302" s="35"/>
      <c r="V302" s="35"/>
      <c r="W302" s="35"/>
      <c r="X302" s="35"/>
      <c r="Y302" s="35"/>
      <c r="Z302" s="35"/>
    </row>
    <row r="303" ht="12.75" customHeight="1">
      <c r="A303" s="35"/>
      <c r="B303" s="35"/>
      <c r="C303" s="35"/>
      <c r="D303" s="35"/>
      <c r="E303" s="35"/>
      <c r="F303" s="35"/>
      <c r="G303" s="35"/>
      <c r="H303" s="35"/>
      <c r="I303" s="35"/>
      <c r="J303" s="35"/>
      <c r="K303" s="35"/>
      <c r="L303" s="35"/>
      <c r="M303" s="35"/>
      <c r="N303" s="35"/>
      <c r="O303" s="35"/>
      <c r="P303" s="35"/>
      <c r="Q303" s="35"/>
      <c r="R303" s="35"/>
      <c r="S303" s="35"/>
      <c r="T303" s="35"/>
      <c r="U303" s="35"/>
      <c r="V303" s="35"/>
      <c r="W303" s="35"/>
      <c r="X303" s="35"/>
      <c r="Y303" s="35"/>
      <c r="Z303" s="35"/>
    </row>
    <row r="304" ht="12.75" customHeight="1">
      <c r="A304" s="35"/>
      <c r="B304" s="35"/>
      <c r="C304" s="35"/>
      <c r="D304" s="35"/>
      <c r="E304" s="35"/>
      <c r="F304" s="35"/>
      <c r="G304" s="35"/>
      <c r="H304" s="35"/>
      <c r="I304" s="35"/>
      <c r="J304" s="35"/>
      <c r="K304" s="35"/>
      <c r="L304" s="35"/>
      <c r="M304" s="35"/>
      <c r="N304" s="35"/>
      <c r="O304" s="35"/>
      <c r="P304" s="35"/>
      <c r="Q304" s="35"/>
      <c r="R304" s="35"/>
      <c r="S304" s="35"/>
      <c r="T304" s="35"/>
      <c r="U304" s="35"/>
      <c r="V304" s="35"/>
      <c r="W304" s="35"/>
      <c r="X304" s="35"/>
      <c r="Y304" s="35"/>
      <c r="Z304" s="35"/>
    </row>
    <row r="305" ht="12.75" customHeight="1">
      <c r="A305" s="35"/>
      <c r="B305" s="35"/>
      <c r="C305" s="35"/>
      <c r="D305" s="35"/>
      <c r="E305" s="35"/>
      <c r="F305" s="35"/>
      <c r="G305" s="35"/>
      <c r="H305" s="35"/>
      <c r="I305" s="35"/>
      <c r="J305" s="35"/>
      <c r="K305" s="35"/>
      <c r="L305" s="35"/>
      <c r="M305" s="35"/>
      <c r="N305" s="35"/>
      <c r="O305" s="35"/>
      <c r="P305" s="35"/>
      <c r="Q305" s="35"/>
      <c r="R305" s="35"/>
      <c r="S305" s="35"/>
      <c r="T305" s="35"/>
      <c r="U305" s="35"/>
      <c r="V305" s="35"/>
      <c r="W305" s="35"/>
      <c r="X305" s="35"/>
      <c r="Y305" s="35"/>
      <c r="Z305" s="35"/>
    </row>
    <row r="306" ht="12.75" customHeight="1">
      <c r="A306" s="35"/>
      <c r="B306" s="35"/>
      <c r="C306" s="35"/>
      <c r="D306" s="35"/>
      <c r="E306" s="35"/>
      <c r="F306" s="35"/>
      <c r="G306" s="35"/>
      <c r="H306" s="35"/>
      <c r="I306" s="35"/>
      <c r="J306" s="35"/>
      <c r="K306" s="35"/>
      <c r="L306" s="35"/>
      <c r="M306" s="35"/>
      <c r="N306" s="35"/>
      <c r="O306" s="35"/>
      <c r="P306" s="35"/>
      <c r="Q306" s="35"/>
      <c r="R306" s="35"/>
      <c r="S306" s="35"/>
      <c r="T306" s="35"/>
      <c r="U306" s="35"/>
      <c r="V306" s="35"/>
      <c r="W306" s="35"/>
      <c r="X306" s="35"/>
      <c r="Y306" s="35"/>
      <c r="Z306" s="35"/>
    </row>
    <row r="307" ht="12.75" customHeight="1">
      <c r="A307" s="35"/>
      <c r="B307" s="35"/>
      <c r="C307" s="35"/>
      <c r="D307" s="35"/>
      <c r="E307" s="35"/>
      <c r="F307" s="35"/>
      <c r="G307" s="35"/>
      <c r="H307" s="35"/>
      <c r="I307" s="35"/>
      <c r="J307" s="35"/>
      <c r="K307" s="35"/>
      <c r="L307" s="35"/>
      <c r="M307" s="35"/>
      <c r="N307" s="35"/>
      <c r="O307" s="35"/>
      <c r="P307" s="35"/>
      <c r="Q307" s="35"/>
      <c r="R307" s="35"/>
      <c r="S307" s="35"/>
      <c r="T307" s="35"/>
      <c r="U307" s="35"/>
      <c r="V307" s="35"/>
      <c r="W307" s="35"/>
      <c r="X307" s="35"/>
      <c r="Y307" s="35"/>
      <c r="Z307" s="35"/>
    </row>
    <row r="308" ht="12.75" customHeight="1">
      <c r="A308" s="35"/>
      <c r="B308" s="35"/>
      <c r="C308" s="35"/>
      <c r="D308" s="35"/>
      <c r="E308" s="35"/>
      <c r="F308" s="35"/>
      <c r="G308" s="35"/>
      <c r="H308" s="35"/>
      <c r="I308" s="35"/>
      <c r="J308" s="35"/>
      <c r="K308" s="35"/>
      <c r="L308" s="35"/>
      <c r="M308" s="35"/>
      <c r="N308" s="35"/>
      <c r="O308" s="35"/>
      <c r="P308" s="35"/>
      <c r="Q308" s="35"/>
      <c r="R308" s="35"/>
      <c r="S308" s="35"/>
      <c r="T308" s="35"/>
      <c r="U308" s="35"/>
      <c r="V308" s="35"/>
      <c r="W308" s="35"/>
      <c r="X308" s="35"/>
      <c r="Y308" s="35"/>
      <c r="Z308" s="35"/>
    </row>
    <row r="309" ht="12.75" customHeight="1">
      <c r="A309" s="35"/>
      <c r="B309" s="35"/>
      <c r="C309" s="35"/>
      <c r="D309" s="35"/>
      <c r="E309" s="35"/>
      <c r="F309" s="35"/>
      <c r="G309" s="35"/>
      <c r="H309" s="35"/>
      <c r="I309" s="35"/>
      <c r="J309" s="35"/>
      <c r="K309" s="35"/>
      <c r="L309" s="35"/>
      <c r="M309" s="35"/>
      <c r="N309" s="35"/>
      <c r="O309" s="35"/>
      <c r="P309" s="35"/>
      <c r="Q309" s="35"/>
      <c r="R309" s="35"/>
      <c r="S309" s="35"/>
      <c r="T309" s="35"/>
      <c r="U309" s="35"/>
      <c r="V309" s="35"/>
      <c r="W309" s="35"/>
      <c r="X309" s="35"/>
      <c r="Y309" s="35"/>
      <c r="Z309" s="35"/>
    </row>
    <row r="310" ht="12.75" customHeight="1">
      <c r="A310" s="35"/>
      <c r="B310" s="35"/>
      <c r="C310" s="35"/>
      <c r="D310" s="35"/>
      <c r="E310" s="35"/>
      <c r="F310" s="35"/>
      <c r="G310" s="35"/>
      <c r="H310" s="35"/>
      <c r="I310" s="35"/>
      <c r="J310" s="35"/>
      <c r="K310" s="35"/>
      <c r="L310" s="35"/>
      <c r="M310" s="35"/>
      <c r="N310" s="35"/>
      <c r="O310" s="35"/>
      <c r="P310" s="35"/>
      <c r="Q310" s="35"/>
      <c r="R310" s="35"/>
      <c r="S310" s="35"/>
      <c r="T310" s="35"/>
      <c r="U310" s="35"/>
      <c r="V310" s="35"/>
      <c r="W310" s="35"/>
      <c r="X310" s="35"/>
      <c r="Y310" s="35"/>
      <c r="Z310" s="35"/>
    </row>
    <row r="311" ht="12.75" customHeight="1">
      <c r="A311" s="35"/>
      <c r="B311" s="35"/>
      <c r="C311" s="35"/>
      <c r="D311" s="35"/>
      <c r="E311" s="35"/>
      <c r="F311" s="35"/>
      <c r="G311" s="35"/>
      <c r="H311" s="35"/>
      <c r="I311" s="35"/>
      <c r="J311" s="35"/>
      <c r="K311" s="35"/>
      <c r="L311" s="35"/>
      <c r="M311" s="35"/>
      <c r="N311" s="35"/>
      <c r="O311" s="35"/>
      <c r="P311" s="35"/>
      <c r="Q311" s="35"/>
      <c r="R311" s="35"/>
      <c r="S311" s="35"/>
      <c r="T311" s="35"/>
      <c r="U311" s="35"/>
      <c r="V311" s="35"/>
      <c r="W311" s="35"/>
      <c r="X311" s="35"/>
      <c r="Y311" s="35"/>
      <c r="Z311" s="35"/>
    </row>
    <row r="312" ht="12.75" customHeight="1">
      <c r="A312" s="35"/>
      <c r="B312" s="35"/>
      <c r="C312" s="35"/>
      <c r="D312" s="35"/>
      <c r="E312" s="35"/>
      <c r="F312" s="35"/>
      <c r="G312" s="35"/>
      <c r="H312" s="35"/>
      <c r="I312" s="35"/>
      <c r="J312" s="35"/>
      <c r="K312" s="35"/>
      <c r="L312" s="35"/>
      <c r="M312" s="35"/>
      <c r="N312" s="35"/>
      <c r="O312" s="35"/>
      <c r="P312" s="35"/>
      <c r="Q312" s="35"/>
      <c r="R312" s="35"/>
      <c r="S312" s="35"/>
      <c r="T312" s="35"/>
      <c r="U312" s="35"/>
      <c r="V312" s="35"/>
      <c r="W312" s="35"/>
      <c r="X312" s="35"/>
      <c r="Y312" s="35"/>
      <c r="Z312" s="35"/>
    </row>
    <row r="313" ht="12.75" customHeight="1">
      <c r="A313" s="35"/>
      <c r="B313" s="35"/>
      <c r="C313" s="35"/>
      <c r="D313" s="35"/>
      <c r="E313" s="35"/>
      <c r="F313" s="35"/>
      <c r="G313" s="35"/>
      <c r="H313" s="35"/>
      <c r="I313" s="35"/>
      <c r="J313" s="35"/>
      <c r="K313" s="35"/>
      <c r="L313" s="35"/>
      <c r="M313" s="35"/>
      <c r="N313" s="35"/>
      <c r="O313" s="35"/>
      <c r="P313" s="35"/>
      <c r="Q313" s="35"/>
      <c r="R313" s="35"/>
      <c r="S313" s="35"/>
      <c r="T313" s="35"/>
      <c r="U313" s="35"/>
      <c r="V313" s="35"/>
      <c r="W313" s="35"/>
      <c r="X313" s="35"/>
      <c r="Y313" s="35"/>
      <c r="Z313" s="35"/>
    </row>
    <row r="314" ht="12.75" customHeight="1">
      <c r="A314" s="35"/>
      <c r="B314" s="35"/>
      <c r="C314" s="35"/>
      <c r="D314" s="35"/>
      <c r="E314" s="35"/>
      <c r="F314" s="35"/>
      <c r="G314" s="35"/>
      <c r="H314" s="35"/>
      <c r="I314" s="35"/>
      <c r="J314" s="35"/>
      <c r="K314" s="35"/>
      <c r="L314" s="35"/>
      <c r="M314" s="35"/>
      <c r="N314" s="35"/>
      <c r="O314" s="35"/>
      <c r="P314" s="35"/>
      <c r="Q314" s="35"/>
      <c r="R314" s="35"/>
      <c r="S314" s="35"/>
      <c r="T314" s="35"/>
      <c r="U314" s="35"/>
      <c r="V314" s="35"/>
      <c r="W314" s="35"/>
      <c r="X314" s="35"/>
      <c r="Y314" s="35"/>
      <c r="Z314" s="35"/>
    </row>
    <row r="315" ht="12.75" customHeight="1">
      <c r="A315" s="35"/>
      <c r="B315" s="35"/>
      <c r="C315" s="35"/>
      <c r="D315" s="35"/>
      <c r="E315" s="35"/>
      <c r="F315" s="35"/>
      <c r="G315" s="35"/>
      <c r="H315" s="35"/>
      <c r="I315" s="35"/>
      <c r="J315" s="35"/>
      <c r="K315" s="35"/>
      <c r="L315" s="35"/>
      <c r="M315" s="35"/>
      <c r="N315" s="35"/>
      <c r="O315" s="35"/>
      <c r="P315" s="35"/>
      <c r="Q315" s="35"/>
      <c r="R315" s="35"/>
      <c r="S315" s="35"/>
      <c r="T315" s="35"/>
      <c r="U315" s="35"/>
      <c r="V315" s="35"/>
      <c r="W315" s="35"/>
      <c r="X315" s="35"/>
      <c r="Y315" s="35"/>
      <c r="Z315" s="35"/>
    </row>
    <row r="316" ht="12.75" customHeight="1">
      <c r="A316" s="35"/>
      <c r="B316" s="35"/>
      <c r="C316" s="35"/>
      <c r="D316" s="35"/>
      <c r="E316" s="35"/>
      <c r="F316" s="35"/>
      <c r="G316" s="35"/>
      <c r="H316" s="35"/>
      <c r="I316" s="35"/>
      <c r="J316" s="35"/>
      <c r="K316" s="35"/>
      <c r="L316" s="35"/>
      <c r="M316" s="35"/>
      <c r="N316" s="35"/>
      <c r="O316" s="35"/>
      <c r="P316" s="35"/>
      <c r="Q316" s="35"/>
      <c r="R316" s="35"/>
      <c r="S316" s="35"/>
      <c r="T316" s="35"/>
      <c r="U316" s="35"/>
      <c r="V316" s="35"/>
      <c r="W316" s="35"/>
      <c r="X316" s="35"/>
      <c r="Y316" s="35"/>
      <c r="Z316" s="35"/>
    </row>
    <row r="317" ht="12.75" customHeight="1">
      <c r="A317" s="35"/>
      <c r="B317" s="35"/>
      <c r="C317" s="35"/>
      <c r="D317" s="35"/>
      <c r="E317" s="35"/>
      <c r="F317" s="35"/>
      <c r="G317" s="35"/>
      <c r="H317" s="35"/>
      <c r="I317" s="35"/>
      <c r="J317" s="35"/>
      <c r="K317" s="35"/>
      <c r="L317" s="35"/>
      <c r="M317" s="35"/>
      <c r="N317" s="35"/>
      <c r="O317" s="35"/>
      <c r="P317" s="35"/>
      <c r="Q317" s="35"/>
      <c r="R317" s="35"/>
      <c r="S317" s="35"/>
      <c r="T317" s="35"/>
      <c r="U317" s="35"/>
      <c r="V317" s="35"/>
      <c r="W317" s="35"/>
      <c r="X317" s="35"/>
      <c r="Y317" s="35"/>
      <c r="Z317" s="35"/>
    </row>
    <row r="318" ht="12.75" customHeight="1">
      <c r="A318" s="35"/>
      <c r="B318" s="35"/>
      <c r="C318" s="35"/>
      <c r="D318" s="35"/>
      <c r="E318" s="35"/>
      <c r="F318" s="35"/>
      <c r="G318" s="35"/>
      <c r="H318" s="35"/>
      <c r="I318" s="35"/>
      <c r="J318" s="35"/>
      <c r="K318" s="35"/>
      <c r="L318" s="35"/>
      <c r="M318" s="35"/>
      <c r="N318" s="35"/>
      <c r="O318" s="35"/>
      <c r="P318" s="35"/>
      <c r="Q318" s="35"/>
      <c r="R318" s="35"/>
      <c r="S318" s="35"/>
      <c r="T318" s="35"/>
      <c r="U318" s="35"/>
      <c r="V318" s="35"/>
      <c r="W318" s="35"/>
      <c r="X318" s="35"/>
      <c r="Y318" s="35"/>
      <c r="Z318" s="35"/>
    </row>
    <row r="319" ht="12.75" customHeight="1">
      <c r="A319" s="35"/>
      <c r="B319" s="35"/>
      <c r="C319" s="35"/>
      <c r="D319" s="35"/>
      <c r="E319" s="35"/>
      <c r="F319" s="35"/>
      <c r="G319" s="35"/>
      <c r="H319" s="35"/>
      <c r="I319" s="35"/>
      <c r="J319" s="35"/>
      <c r="K319" s="35"/>
      <c r="L319" s="35"/>
      <c r="M319" s="35"/>
      <c r="N319" s="35"/>
      <c r="O319" s="35"/>
      <c r="P319" s="35"/>
      <c r="Q319" s="35"/>
      <c r="R319" s="35"/>
      <c r="S319" s="35"/>
      <c r="T319" s="35"/>
      <c r="U319" s="35"/>
      <c r="V319" s="35"/>
      <c r="W319" s="35"/>
      <c r="X319" s="35"/>
      <c r="Y319" s="35"/>
      <c r="Z319" s="35"/>
    </row>
    <row r="320" ht="12.75" customHeight="1">
      <c r="A320" s="35"/>
      <c r="B320" s="35"/>
      <c r="C320" s="35"/>
      <c r="D320" s="35"/>
      <c r="E320" s="35"/>
      <c r="F320" s="35"/>
      <c r="G320" s="35"/>
      <c r="H320" s="35"/>
      <c r="I320" s="35"/>
      <c r="J320" s="35"/>
      <c r="K320" s="35"/>
      <c r="L320" s="35"/>
      <c r="M320" s="35"/>
      <c r="N320" s="35"/>
      <c r="O320" s="35"/>
      <c r="P320" s="35"/>
      <c r="Q320" s="35"/>
      <c r="R320" s="35"/>
      <c r="S320" s="35"/>
      <c r="T320" s="35"/>
      <c r="U320" s="35"/>
      <c r="V320" s="35"/>
      <c r="W320" s="35"/>
      <c r="X320" s="35"/>
      <c r="Y320" s="35"/>
      <c r="Z320" s="35"/>
    </row>
    <row r="321" ht="12.75" customHeight="1">
      <c r="A321" s="35"/>
      <c r="B321" s="35"/>
      <c r="C321" s="35"/>
      <c r="D321" s="35"/>
      <c r="E321" s="35"/>
      <c r="F321" s="35"/>
      <c r="G321" s="35"/>
      <c r="H321" s="35"/>
      <c r="I321" s="35"/>
      <c r="J321" s="35"/>
      <c r="K321" s="35"/>
      <c r="L321" s="35"/>
      <c r="M321" s="35"/>
      <c r="N321" s="35"/>
      <c r="O321" s="35"/>
      <c r="P321" s="35"/>
      <c r="Q321" s="35"/>
      <c r="R321" s="35"/>
      <c r="S321" s="35"/>
      <c r="T321" s="35"/>
      <c r="U321" s="35"/>
      <c r="V321" s="35"/>
      <c r="W321" s="35"/>
      <c r="X321" s="35"/>
      <c r="Y321" s="35"/>
      <c r="Z321" s="35"/>
    </row>
    <row r="322" ht="12.75" customHeight="1">
      <c r="A322" s="35"/>
      <c r="B322" s="35"/>
      <c r="C322" s="35"/>
      <c r="D322" s="35"/>
      <c r="E322" s="35"/>
      <c r="F322" s="35"/>
      <c r="G322" s="35"/>
      <c r="H322" s="35"/>
      <c r="I322" s="35"/>
      <c r="J322" s="35"/>
      <c r="K322" s="35"/>
      <c r="L322" s="35"/>
      <c r="M322" s="35"/>
      <c r="N322" s="35"/>
      <c r="O322" s="35"/>
      <c r="P322" s="35"/>
      <c r="Q322" s="35"/>
      <c r="R322" s="35"/>
      <c r="S322" s="35"/>
      <c r="T322" s="35"/>
      <c r="U322" s="35"/>
      <c r="V322" s="35"/>
      <c r="W322" s="35"/>
      <c r="X322" s="35"/>
      <c r="Y322" s="35"/>
      <c r="Z322" s="35"/>
    </row>
    <row r="323" ht="12.75" customHeight="1">
      <c r="A323" s="35"/>
      <c r="B323" s="35"/>
      <c r="C323" s="35"/>
      <c r="D323" s="35"/>
      <c r="E323" s="35"/>
      <c r="F323" s="35"/>
      <c r="G323" s="35"/>
      <c r="H323" s="35"/>
      <c r="I323" s="35"/>
      <c r="J323" s="35"/>
      <c r="K323" s="35"/>
      <c r="L323" s="35"/>
      <c r="M323" s="35"/>
      <c r="N323" s="35"/>
      <c r="O323" s="35"/>
      <c r="P323" s="35"/>
      <c r="Q323" s="35"/>
      <c r="R323" s="35"/>
      <c r="S323" s="35"/>
      <c r="T323" s="35"/>
      <c r="U323" s="35"/>
      <c r="V323" s="35"/>
      <c r="W323" s="35"/>
      <c r="X323" s="35"/>
      <c r="Y323" s="35"/>
      <c r="Z323" s="35"/>
    </row>
    <row r="324" ht="12.75" customHeight="1">
      <c r="A324" s="35"/>
      <c r="B324" s="35"/>
      <c r="C324" s="35"/>
      <c r="D324" s="35"/>
      <c r="E324" s="35"/>
      <c r="F324" s="35"/>
      <c r="G324" s="35"/>
      <c r="H324" s="35"/>
      <c r="I324" s="35"/>
      <c r="J324" s="35"/>
      <c r="K324" s="35"/>
      <c r="L324" s="35"/>
      <c r="M324" s="35"/>
      <c r="N324" s="35"/>
      <c r="O324" s="35"/>
      <c r="P324" s="35"/>
      <c r="Q324" s="35"/>
      <c r="R324" s="35"/>
      <c r="S324" s="35"/>
      <c r="T324" s="35"/>
      <c r="U324" s="35"/>
      <c r="V324" s="35"/>
      <c r="W324" s="35"/>
      <c r="X324" s="35"/>
      <c r="Y324" s="35"/>
      <c r="Z324" s="35"/>
    </row>
    <row r="325" ht="12.75" customHeight="1">
      <c r="A325" s="35"/>
      <c r="B325" s="35"/>
      <c r="C325" s="35"/>
      <c r="D325" s="35"/>
      <c r="E325" s="35"/>
      <c r="F325" s="35"/>
      <c r="G325" s="35"/>
      <c r="H325" s="35"/>
      <c r="I325" s="35"/>
      <c r="J325" s="35"/>
      <c r="K325" s="35"/>
      <c r="L325" s="35"/>
      <c r="M325" s="35"/>
      <c r="N325" s="35"/>
      <c r="O325" s="35"/>
      <c r="P325" s="35"/>
      <c r="Q325" s="35"/>
      <c r="R325" s="35"/>
      <c r="S325" s="35"/>
      <c r="T325" s="35"/>
      <c r="U325" s="35"/>
      <c r="V325" s="35"/>
      <c r="W325" s="35"/>
      <c r="X325" s="35"/>
      <c r="Y325" s="35"/>
      <c r="Z325" s="35"/>
    </row>
    <row r="326" ht="12.75" customHeight="1">
      <c r="A326" s="35"/>
      <c r="B326" s="35"/>
      <c r="C326" s="35"/>
      <c r="D326" s="35"/>
      <c r="E326" s="35"/>
      <c r="F326" s="35"/>
      <c r="G326" s="35"/>
      <c r="H326" s="35"/>
      <c r="I326" s="35"/>
      <c r="J326" s="35"/>
      <c r="K326" s="35"/>
      <c r="L326" s="35"/>
      <c r="M326" s="35"/>
      <c r="N326" s="35"/>
      <c r="O326" s="35"/>
      <c r="P326" s="35"/>
      <c r="Q326" s="35"/>
      <c r="R326" s="35"/>
      <c r="S326" s="35"/>
      <c r="T326" s="35"/>
      <c r="U326" s="35"/>
      <c r="V326" s="35"/>
      <c r="W326" s="35"/>
      <c r="X326" s="35"/>
      <c r="Y326" s="35"/>
      <c r="Z326" s="35"/>
    </row>
    <row r="327" ht="12.75" customHeight="1">
      <c r="A327" s="35"/>
      <c r="B327" s="35"/>
      <c r="C327" s="35"/>
      <c r="D327" s="35"/>
      <c r="E327" s="35"/>
      <c r="F327" s="35"/>
      <c r="G327" s="35"/>
      <c r="H327" s="35"/>
      <c r="I327" s="35"/>
      <c r="J327" s="35"/>
      <c r="K327" s="35"/>
      <c r="L327" s="35"/>
      <c r="M327" s="35"/>
      <c r="N327" s="35"/>
      <c r="O327" s="35"/>
      <c r="P327" s="35"/>
      <c r="Q327" s="35"/>
      <c r="R327" s="35"/>
      <c r="S327" s="35"/>
      <c r="T327" s="35"/>
      <c r="U327" s="35"/>
      <c r="V327" s="35"/>
      <c r="W327" s="35"/>
      <c r="X327" s="35"/>
      <c r="Y327" s="35"/>
      <c r="Z327" s="35"/>
    </row>
    <row r="328" ht="12.75" customHeight="1">
      <c r="A328" s="35"/>
      <c r="B328" s="35"/>
      <c r="C328" s="35"/>
      <c r="D328" s="35"/>
      <c r="E328" s="35"/>
      <c r="F328" s="35"/>
      <c r="G328" s="35"/>
      <c r="H328" s="35"/>
      <c r="I328" s="35"/>
      <c r="J328" s="35"/>
      <c r="K328" s="35"/>
      <c r="L328" s="35"/>
      <c r="M328" s="35"/>
      <c r="N328" s="35"/>
      <c r="O328" s="35"/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5"/>
    </row>
    <row r="329" ht="12.75" customHeight="1">
      <c r="A329" s="35"/>
      <c r="B329" s="35"/>
      <c r="C329" s="35"/>
      <c r="D329" s="35"/>
      <c r="E329" s="35"/>
      <c r="F329" s="35"/>
      <c r="G329" s="35"/>
      <c r="H329" s="35"/>
      <c r="I329" s="35"/>
      <c r="J329" s="35"/>
      <c r="K329" s="35"/>
      <c r="L329" s="35"/>
      <c r="M329" s="35"/>
      <c r="N329" s="35"/>
      <c r="O329" s="35"/>
      <c r="P329" s="35"/>
      <c r="Q329" s="35"/>
      <c r="R329" s="35"/>
      <c r="S329" s="35"/>
      <c r="T329" s="35"/>
      <c r="U329" s="35"/>
      <c r="V329" s="35"/>
      <c r="W329" s="35"/>
      <c r="X329" s="35"/>
      <c r="Y329" s="35"/>
      <c r="Z329" s="35"/>
    </row>
    <row r="330" ht="12.75" customHeight="1">
      <c r="A330" s="35"/>
      <c r="B330" s="35"/>
      <c r="C330" s="35"/>
      <c r="D330" s="35"/>
      <c r="E330" s="35"/>
      <c r="F330" s="35"/>
      <c r="G330" s="35"/>
      <c r="H330" s="35"/>
      <c r="I330" s="35"/>
      <c r="J330" s="35"/>
      <c r="K330" s="35"/>
      <c r="L330" s="35"/>
      <c r="M330" s="35"/>
      <c r="N330" s="35"/>
      <c r="O330" s="35"/>
      <c r="P330" s="35"/>
      <c r="Q330" s="35"/>
      <c r="R330" s="35"/>
      <c r="S330" s="35"/>
      <c r="T330" s="35"/>
      <c r="U330" s="35"/>
      <c r="V330" s="35"/>
      <c r="W330" s="35"/>
      <c r="X330" s="35"/>
      <c r="Y330" s="35"/>
      <c r="Z330" s="35"/>
    </row>
    <row r="331" ht="12.75" customHeight="1">
      <c r="A331" s="35"/>
      <c r="B331" s="35"/>
      <c r="C331" s="35"/>
      <c r="D331" s="35"/>
      <c r="E331" s="35"/>
      <c r="F331" s="35"/>
      <c r="G331" s="35"/>
      <c r="H331" s="35"/>
      <c r="I331" s="35"/>
      <c r="J331" s="35"/>
      <c r="K331" s="35"/>
      <c r="L331" s="35"/>
      <c r="M331" s="35"/>
      <c r="N331" s="35"/>
      <c r="O331" s="35"/>
      <c r="P331" s="35"/>
      <c r="Q331" s="35"/>
      <c r="R331" s="35"/>
      <c r="S331" s="35"/>
      <c r="T331" s="35"/>
      <c r="U331" s="35"/>
      <c r="V331" s="35"/>
      <c r="W331" s="35"/>
      <c r="X331" s="35"/>
      <c r="Y331" s="35"/>
      <c r="Z331" s="35"/>
    </row>
    <row r="332" ht="12.75" customHeight="1">
      <c r="A332" s="35"/>
      <c r="B332" s="35"/>
      <c r="C332" s="35"/>
      <c r="D332" s="35"/>
      <c r="E332" s="35"/>
      <c r="F332" s="35"/>
      <c r="G332" s="35"/>
      <c r="H332" s="35"/>
      <c r="I332" s="35"/>
      <c r="J332" s="35"/>
      <c r="K332" s="35"/>
      <c r="L332" s="35"/>
      <c r="M332" s="35"/>
      <c r="N332" s="35"/>
      <c r="O332" s="35"/>
      <c r="P332" s="35"/>
      <c r="Q332" s="35"/>
      <c r="R332" s="35"/>
      <c r="S332" s="35"/>
      <c r="T332" s="35"/>
      <c r="U332" s="35"/>
      <c r="V332" s="35"/>
      <c r="W332" s="35"/>
      <c r="X332" s="35"/>
      <c r="Y332" s="35"/>
      <c r="Z332" s="35"/>
    </row>
    <row r="333" ht="12.75" customHeight="1">
      <c r="A333" s="35"/>
      <c r="B333" s="35"/>
      <c r="C333" s="35"/>
      <c r="D333" s="35"/>
      <c r="E333" s="35"/>
      <c r="F333" s="35"/>
      <c r="G333" s="35"/>
      <c r="H333" s="35"/>
      <c r="I333" s="35"/>
      <c r="J333" s="35"/>
      <c r="K333" s="35"/>
      <c r="L333" s="35"/>
      <c r="M333" s="35"/>
      <c r="N333" s="35"/>
      <c r="O333" s="35"/>
      <c r="P333" s="35"/>
      <c r="Q333" s="35"/>
      <c r="R333" s="35"/>
      <c r="S333" s="35"/>
      <c r="T333" s="35"/>
      <c r="U333" s="35"/>
      <c r="V333" s="35"/>
      <c r="W333" s="35"/>
      <c r="X333" s="35"/>
      <c r="Y333" s="35"/>
      <c r="Z333" s="35"/>
    </row>
    <row r="334" ht="12.75" customHeight="1">
      <c r="A334" s="35"/>
      <c r="B334" s="35"/>
      <c r="C334" s="35"/>
      <c r="D334" s="35"/>
      <c r="E334" s="35"/>
      <c r="F334" s="35"/>
      <c r="G334" s="35"/>
      <c r="H334" s="35"/>
      <c r="I334" s="35"/>
      <c r="J334" s="35"/>
      <c r="K334" s="35"/>
      <c r="L334" s="35"/>
      <c r="M334" s="35"/>
      <c r="N334" s="35"/>
      <c r="O334" s="35"/>
      <c r="P334" s="35"/>
      <c r="Q334" s="35"/>
      <c r="R334" s="35"/>
      <c r="S334" s="35"/>
      <c r="T334" s="35"/>
      <c r="U334" s="35"/>
      <c r="V334" s="35"/>
      <c r="W334" s="35"/>
      <c r="X334" s="35"/>
      <c r="Y334" s="35"/>
      <c r="Z334" s="35"/>
    </row>
    <row r="335" ht="12.75" customHeight="1">
      <c r="A335" s="35"/>
      <c r="B335" s="35"/>
      <c r="C335" s="35"/>
      <c r="D335" s="35"/>
      <c r="E335" s="35"/>
      <c r="F335" s="35"/>
      <c r="G335" s="35"/>
      <c r="H335" s="35"/>
      <c r="I335" s="35"/>
      <c r="J335" s="35"/>
      <c r="K335" s="35"/>
      <c r="L335" s="35"/>
      <c r="M335" s="35"/>
      <c r="N335" s="35"/>
      <c r="O335" s="35"/>
      <c r="P335" s="35"/>
      <c r="Q335" s="35"/>
      <c r="R335" s="35"/>
      <c r="S335" s="35"/>
      <c r="T335" s="35"/>
      <c r="U335" s="35"/>
      <c r="V335" s="35"/>
      <c r="W335" s="35"/>
      <c r="X335" s="35"/>
      <c r="Y335" s="35"/>
      <c r="Z335" s="35"/>
    </row>
    <row r="336" ht="12.75" customHeight="1">
      <c r="A336" s="35"/>
      <c r="B336" s="35"/>
      <c r="C336" s="35"/>
      <c r="D336" s="35"/>
      <c r="E336" s="35"/>
      <c r="F336" s="35"/>
      <c r="G336" s="35"/>
      <c r="H336" s="35"/>
      <c r="I336" s="35"/>
      <c r="J336" s="35"/>
      <c r="K336" s="35"/>
      <c r="L336" s="35"/>
      <c r="M336" s="35"/>
      <c r="N336" s="35"/>
      <c r="O336" s="35"/>
      <c r="P336" s="35"/>
      <c r="Q336" s="35"/>
      <c r="R336" s="35"/>
      <c r="S336" s="35"/>
      <c r="T336" s="35"/>
      <c r="U336" s="35"/>
      <c r="V336" s="35"/>
      <c r="W336" s="35"/>
      <c r="X336" s="35"/>
      <c r="Y336" s="35"/>
      <c r="Z336" s="35"/>
    </row>
    <row r="337" ht="12.75" customHeight="1">
      <c r="A337" s="35"/>
      <c r="B337" s="35"/>
      <c r="C337" s="35"/>
      <c r="D337" s="35"/>
      <c r="E337" s="35"/>
      <c r="F337" s="35"/>
      <c r="G337" s="35"/>
      <c r="H337" s="35"/>
      <c r="I337" s="35"/>
      <c r="J337" s="35"/>
      <c r="K337" s="35"/>
      <c r="L337" s="35"/>
      <c r="M337" s="35"/>
      <c r="N337" s="35"/>
      <c r="O337" s="35"/>
      <c r="P337" s="35"/>
      <c r="Q337" s="35"/>
      <c r="R337" s="35"/>
      <c r="S337" s="35"/>
      <c r="T337" s="35"/>
      <c r="U337" s="35"/>
      <c r="V337" s="35"/>
      <c r="W337" s="35"/>
      <c r="X337" s="35"/>
      <c r="Y337" s="35"/>
      <c r="Z337" s="35"/>
    </row>
    <row r="338" ht="12.75" customHeight="1">
      <c r="A338" s="35"/>
      <c r="B338" s="35"/>
      <c r="C338" s="35"/>
      <c r="D338" s="35"/>
      <c r="E338" s="35"/>
      <c r="F338" s="35"/>
      <c r="G338" s="35"/>
      <c r="H338" s="35"/>
      <c r="I338" s="35"/>
      <c r="J338" s="35"/>
      <c r="K338" s="35"/>
      <c r="L338" s="35"/>
      <c r="M338" s="35"/>
      <c r="N338" s="35"/>
      <c r="O338" s="35"/>
      <c r="P338" s="35"/>
      <c r="Q338" s="35"/>
      <c r="R338" s="35"/>
      <c r="S338" s="35"/>
      <c r="T338" s="35"/>
      <c r="U338" s="35"/>
      <c r="V338" s="35"/>
      <c r="W338" s="35"/>
      <c r="X338" s="35"/>
      <c r="Y338" s="35"/>
      <c r="Z338" s="35"/>
    </row>
    <row r="339" ht="12.75" customHeight="1">
      <c r="A339" s="35"/>
      <c r="B339" s="35"/>
      <c r="C339" s="35"/>
      <c r="D339" s="35"/>
      <c r="E339" s="35"/>
      <c r="F339" s="35"/>
      <c r="G339" s="35"/>
      <c r="H339" s="35"/>
      <c r="I339" s="35"/>
      <c r="J339" s="35"/>
      <c r="K339" s="35"/>
      <c r="L339" s="35"/>
      <c r="M339" s="35"/>
      <c r="N339" s="35"/>
      <c r="O339" s="35"/>
      <c r="P339" s="35"/>
      <c r="Q339" s="35"/>
      <c r="R339" s="35"/>
      <c r="S339" s="35"/>
      <c r="T339" s="35"/>
      <c r="U339" s="35"/>
      <c r="V339" s="35"/>
      <c r="W339" s="35"/>
      <c r="X339" s="35"/>
      <c r="Y339" s="35"/>
      <c r="Z339" s="35"/>
    </row>
    <row r="340" ht="12.75" customHeight="1">
      <c r="A340" s="35"/>
      <c r="B340" s="35"/>
      <c r="C340" s="35"/>
      <c r="D340" s="35"/>
      <c r="E340" s="35"/>
      <c r="F340" s="35"/>
      <c r="G340" s="35"/>
      <c r="H340" s="35"/>
      <c r="I340" s="35"/>
      <c r="J340" s="35"/>
      <c r="K340" s="35"/>
      <c r="L340" s="35"/>
      <c r="M340" s="35"/>
      <c r="N340" s="35"/>
      <c r="O340" s="35"/>
      <c r="P340" s="35"/>
      <c r="Q340" s="35"/>
      <c r="R340" s="35"/>
      <c r="S340" s="35"/>
      <c r="T340" s="35"/>
      <c r="U340" s="35"/>
      <c r="V340" s="35"/>
      <c r="W340" s="35"/>
      <c r="X340" s="35"/>
      <c r="Y340" s="35"/>
      <c r="Z340" s="35"/>
    </row>
    <row r="341" ht="12.75" customHeight="1">
      <c r="A341" s="35"/>
      <c r="B341" s="35"/>
      <c r="C341" s="35"/>
      <c r="D341" s="35"/>
      <c r="E341" s="35"/>
      <c r="F341" s="35"/>
      <c r="G341" s="35"/>
      <c r="H341" s="35"/>
      <c r="I341" s="35"/>
      <c r="J341" s="35"/>
      <c r="K341" s="35"/>
      <c r="L341" s="35"/>
      <c r="M341" s="35"/>
      <c r="N341" s="35"/>
      <c r="O341" s="35"/>
      <c r="P341" s="35"/>
      <c r="Q341" s="35"/>
      <c r="R341" s="35"/>
      <c r="S341" s="35"/>
      <c r="T341" s="35"/>
      <c r="U341" s="35"/>
      <c r="V341" s="35"/>
      <c r="W341" s="35"/>
      <c r="X341" s="35"/>
      <c r="Y341" s="35"/>
      <c r="Z341" s="35"/>
    </row>
    <row r="342" ht="12.75" customHeight="1">
      <c r="A342" s="35"/>
      <c r="B342" s="35"/>
      <c r="C342" s="35"/>
      <c r="D342" s="35"/>
      <c r="E342" s="35"/>
      <c r="F342" s="35"/>
      <c r="G342" s="35"/>
      <c r="H342" s="35"/>
      <c r="I342" s="35"/>
      <c r="J342" s="35"/>
      <c r="K342" s="35"/>
      <c r="L342" s="35"/>
      <c r="M342" s="35"/>
      <c r="N342" s="35"/>
      <c r="O342" s="35"/>
      <c r="P342" s="35"/>
      <c r="Q342" s="35"/>
      <c r="R342" s="35"/>
      <c r="S342" s="35"/>
      <c r="T342" s="35"/>
      <c r="U342" s="35"/>
      <c r="V342" s="35"/>
      <c r="W342" s="35"/>
      <c r="X342" s="35"/>
      <c r="Y342" s="35"/>
      <c r="Z342" s="35"/>
    </row>
    <row r="343" ht="12.75" customHeight="1">
      <c r="A343" s="35"/>
      <c r="B343" s="35"/>
      <c r="C343" s="35"/>
      <c r="D343" s="35"/>
      <c r="E343" s="35"/>
      <c r="F343" s="35"/>
      <c r="G343" s="35"/>
      <c r="H343" s="35"/>
      <c r="I343" s="35"/>
      <c r="J343" s="35"/>
      <c r="K343" s="35"/>
      <c r="L343" s="35"/>
      <c r="M343" s="35"/>
      <c r="N343" s="35"/>
      <c r="O343" s="35"/>
      <c r="P343" s="35"/>
      <c r="Q343" s="35"/>
      <c r="R343" s="35"/>
      <c r="S343" s="35"/>
      <c r="T343" s="35"/>
      <c r="U343" s="35"/>
      <c r="V343" s="35"/>
      <c r="W343" s="35"/>
      <c r="X343" s="35"/>
      <c r="Y343" s="35"/>
      <c r="Z343" s="35"/>
    </row>
    <row r="344" ht="12.75" customHeight="1">
      <c r="A344" s="35"/>
      <c r="B344" s="35"/>
      <c r="C344" s="35"/>
      <c r="D344" s="35"/>
      <c r="E344" s="35"/>
      <c r="F344" s="35"/>
      <c r="G344" s="35"/>
      <c r="H344" s="35"/>
      <c r="I344" s="35"/>
      <c r="J344" s="35"/>
      <c r="K344" s="35"/>
      <c r="L344" s="35"/>
      <c r="M344" s="35"/>
      <c r="N344" s="35"/>
      <c r="O344" s="35"/>
      <c r="P344" s="35"/>
      <c r="Q344" s="35"/>
      <c r="R344" s="35"/>
      <c r="S344" s="35"/>
      <c r="T344" s="35"/>
      <c r="U344" s="35"/>
      <c r="V344" s="35"/>
      <c r="W344" s="35"/>
      <c r="X344" s="35"/>
      <c r="Y344" s="35"/>
      <c r="Z344" s="35"/>
    </row>
    <row r="345" ht="12.75" customHeight="1">
      <c r="A345" s="35"/>
      <c r="B345" s="35"/>
      <c r="C345" s="35"/>
      <c r="D345" s="35"/>
      <c r="E345" s="35"/>
      <c r="F345" s="35"/>
      <c r="G345" s="35"/>
      <c r="H345" s="35"/>
      <c r="I345" s="35"/>
      <c r="J345" s="35"/>
      <c r="K345" s="35"/>
      <c r="L345" s="35"/>
      <c r="M345" s="35"/>
      <c r="N345" s="35"/>
      <c r="O345" s="35"/>
      <c r="P345" s="35"/>
      <c r="Q345" s="35"/>
      <c r="R345" s="35"/>
      <c r="S345" s="35"/>
      <c r="T345" s="35"/>
      <c r="U345" s="35"/>
      <c r="V345" s="35"/>
      <c r="W345" s="35"/>
      <c r="X345" s="35"/>
      <c r="Y345" s="35"/>
      <c r="Z345" s="35"/>
    </row>
    <row r="346" ht="12.75" customHeight="1">
      <c r="A346" s="35"/>
      <c r="B346" s="35"/>
      <c r="C346" s="35"/>
      <c r="D346" s="35"/>
      <c r="E346" s="35"/>
      <c r="F346" s="35"/>
      <c r="G346" s="35"/>
      <c r="H346" s="35"/>
      <c r="I346" s="35"/>
      <c r="J346" s="35"/>
      <c r="K346" s="35"/>
      <c r="L346" s="35"/>
      <c r="M346" s="35"/>
      <c r="N346" s="35"/>
      <c r="O346" s="35"/>
      <c r="P346" s="35"/>
      <c r="Q346" s="35"/>
      <c r="R346" s="35"/>
      <c r="S346" s="35"/>
      <c r="T346" s="35"/>
      <c r="U346" s="35"/>
      <c r="V346" s="35"/>
      <c r="W346" s="35"/>
      <c r="X346" s="35"/>
      <c r="Y346" s="35"/>
      <c r="Z346" s="35"/>
    </row>
    <row r="347" ht="12.75" customHeight="1">
      <c r="A347" s="35"/>
      <c r="B347" s="35"/>
      <c r="C347" s="35"/>
      <c r="D347" s="35"/>
      <c r="E347" s="35"/>
      <c r="F347" s="35"/>
      <c r="G347" s="35"/>
      <c r="H347" s="35"/>
      <c r="I347" s="35"/>
      <c r="J347" s="35"/>
      <c r="K347" s="35"/>
      <c r="L347" s="35"/>
      <c r="M347" s="35"/>
      <c r="N347" s="35"/>
      <c r="O347" s="35"/>
      <c r="P347" s="35"/>
      <c r="Q347" s="35"/>
      <c r="R347" s="35"/>
      <c r="S347" s="35"/>
      <c r="T347" s="35"/>
      <c r="U347" s="35"/>
      <c r="V347" s="35"/>
      <c r="W347" s="35"/>
      <c r="X347" s="35"/>
      <c r="Y347" s="35"/>
      <c r="Z347" s="35"/>
    </row>
    <row r="348" ht="12.75" customHeight="1">
      <c r="A348" s="35"/>
      <c r="B348" s="35"/>
      <c r="C348" s="35"/>
      <c r="D348" s="35"/>
      <c r="E348" s="35"/>
      <c r="F348" s="35"/>
      <c r="G348" s="35"/>
      <c r="H348" s="35"/>
      <c r="I348" s="35"/>
      <c r="J348" s="35"/>
      <c r="K348" s="35"/>
      <c r="L348" s="35"/>
      <c r="M348" s="35"/>
      <c r="N348" s="35"/>
      <c r="O348" s="35"/>
      <c r="P348" s="35"/>
      <c r="Q348" s="35"/>
      <c r="R348" s="35"/>
      <c r="S348" s="35"/>
      <c r="T348" s="35"/>
      <c r="U348" s="35"/>
      <c r="V348" s="35"/>
      <c r="W348" s="35"/>
      <c r="X348" s="35"/>
      <c r="Y348" s="35"/>
      <c r="Z348" s="35"/>
    </row>
    <row r="349" ht="12.75" customHeight="1">
      <c r="A349" s="35"/>
      <c r="B349" s="35"/>
      <c r="C349" s="35"/>
      <c r="D349" s="35"/>
      <c r="E349" s="35"/>
      <c r="F349" s="35"/>
      <c r="G349" s="35"/>
      <c r="H349" s="35"/>
      <c r="I349" s="35"/>
      <c r="J349" s="35"/>
      <c r="K349" s="35"/>
      <c r="L349" s="35"/>
      <c r="M349" s="35"/>
      <c r="N349" s="35"/>
      <c r="O349" s="35"/>
      <c r="P349" s="35"/>
      <c r="Q349" s="35"/>
      <c r="R349" s="35"/>
      <c r="S349" s="35"/>
      <c r="T349" s="35"/>
      <c r="U349" s="35"/>
      <c r="V349" s="35"/>
      <c r="W349" s="35"/>
      <c r="X349" s="35"/>
      <c r="Y349" s="35"/>
      <c r="Z349" s="35"/>
    </row>
    <row r="350" ht="12.75" customHeight="1">
      <c r="A350" s="35"/>
      <c r="B350" s="35"/>
      <c r="C350" s="35"/>
      <c r="D350" s="35"/>
      <c r="E350" s="35"/>
      <c r="F350" s="35"/>
      <c r="G350" s="35"/>
      <c r="H350" s="35"/>
      <c r="I350" s="35"/>
      <c r="J350" s="35"/>
      <c r="K350" s="35"/>
      <c r="L350" s="35"/>
      <c r="M350" s="35"/>
      <c r="N350" s="35"/>
      <c r="O350" s="35"/>
      <c r="P350" s="35"/>
      <c r="Q350" s="35"/>
      <c r="R350" s="35"/>
      <c r="S350" s="35"/>
      <c r="T350" s="35"/>
      <c r="U350" s="35"/>
      <c r="V350" s="35"/>
      <c r="W350" s="35"/>
      <c r="X350" s="35"/>
      <c r="Y350" s="35"/>
      <c r="Z350" s="35"/>
    </row>
    <row r="351" ht="12.75" customHeight="1">
      <c r="A351" s="35"/>
      <c r="B351" s="35"/>
      <c r="C351" s="35"/>
      <c r="D351" s="35"/>
      <c r="E351" s="35"/>
      <c r="F351" s="35"/>
      <c r="G351" s="35"/>
      <c r="H351" s="35"/>
      <c r="I351" s="35"/>
      <c r="J351" s="35"/>
      <c r="K351" s="35"/>
      <c r="L351" s="35"/>
      <c r="M351" s="35"/>
      <c r="N351" s="35"/>
      <c r="O351" s="35"/>
      <c r="P351" s="35"/>
      <c r="Q351" s="35"/>
      <c r="R351" s="35"/>
      <c r="S351" s="35"/>
      <c r="T351" s="35"/>
      <c r="U351" s="35"/>
      <c r="V351" s="35"/>
      <c r="W351" s="35"/>
      <c r="X351" s="35"/>
      <c r="Y351" s="35"/>
      <c r="Z351" s="35"/>
    </row>
    <row r="352" ht="12.75" customHeight="1">
      <c r="A352" s="35"/>
      <c r="B352" s="35"/>
      <c r="C352" s="35"/>
      <c r="D352" s="35"/>
      <c r="E352" s="35"/>
      <c r="F352" s="35"/>
      <c r="G352" s="35"/>
      <c r="H352" s="35"/>
      <c r="I352" s="35"/>
      <c r="J352" s="35"/>
      <c r="K352" s="35"/>
      <c r="L352" s="35"/>
      <c r="M352" s="35"/>
      <c r="N352" s="35"/>
      <c r="O352" s="35"/>
      <c r="P352" s="35"/>
      <c r="Q352" s="35"/>
      <c r="R352" s="35"/>
      <c r="S352" s="35"/>
      <c r="T352" s="35"/>
      <c r="U352" s="35"/>
      <c r="V352" s="35"/>
      <c r="W352" s="35"/>
      <c r="X352" s="35"/>
      <c r="Y352" s="35"/>
      <c r="Z352" s="35"/>
    </row>
    <row r="353" ht="12.75" customHeight="1">
      <c r="A353" s="35"/>
      <c r="B353" s="35"/>
      <c r="C353" s="35"/>
      <c r="D353" s="35"/>
      <c r="E353" s="35"/>
      <c r="F353" s="35"/>
      <c r="G353" s="35"/>
      <c r="H353" s="35"/>
      <c r="I353" s="35"/>
      <c r="J353" s="35"/>
      <c r="K353" s="35"/>
      <c r="L353" s="35"/>
      <c r="M353" s="35"/>
      <c r="N353" s="35"/>
      <c r="O353" s="35"/>
      <c r="P353" s="35"/>
      <c r="Q353" s="35"/>
      <c r="R353" s="35"/>
      <c r="S353" s="35"/>
      <c r="T353" s="35"/>
      <c r="U353" s="35"/>
      <c r="V353" s="35"/>
      <c r="W353" s="35"/>
      <c r="X353" s="35"/>
      <c r="Y353" s="35"/>
      <c r="Z353" s="35"/>
    </row>
    <row r="354" ht="12.75" customHeight="1">
      <c r="A354" s="35"/>
      <c r="B354" s="35"/>
      <c r="C354" s="35"/>
      <c r="D354" s="35"/>
      <c r="E354" s="35"/>
      <c r="F354" s="35"/>
      <c r="G354" s="35"/>
      <c r="H354" s="35"/>
      <c r="I354" s="35"/>
      <c r="J354" s="35"/>
      <c r="K354" s="35"/>
      <c r="L354" s="35"/>
      <c r="M354" s="35"/>
      <c r="N354" s="35"/>
      <c r="O354" s="35"/>
      <c r="P354" s="35"/>
      <c r="Q354" s="35"/>
      <c r="R354" s="35"/>
      <c r="S354" s="35"/>
      <c r="T354" s="35"/>
      <c r="U354" s="35"/>
      <c r="V354" s="35"/>
      <c r="W354" s="35"/>
      <c r="X354" s="35"/>
      <c r="Y354" s="35"/>
      <c r="Z354" s="35"/>
    </row>
    <row r="355" ht="12.75" customHeight="1">
      <c r="A355" s="35"/>
      <c r="B355" s="35"/>
      <c r="C355" s="35"/>
      <c r="D355" s="35"/>
      <c r="E355" s="35"/>
      <c r="F355" s="35"/>
      <c r="G355" s="35"/>
      <c r="H355" s="35"/>
      <c r="I355" s="35"/>
      <c r="J355" s="35"/>
      <c r="K355" s="35"/>
      <c r="L355" s="35"/>
      <c r="M355" s="35"/>
      <c r="N355" s="35"/>
      <c r="O355" s="35"/>
      <c r="P355" s="35"/>
      <c r="Q355" s="35"/>
      <c r="R355" s="35"/>
      <c r="S355" s="35"/>
      <c r="T355" s="35"/>
      <c r="U355" s="35"/>
      <c r="V355" s="35"/>
      <c r="W355" s="35"/>
      <c r="X355" s="35"/>
      <c r="Y355" s="35"/>
      <c r="Z355" s="35"/>
    </row>
    <row r="356" ht="12.75" customHeight="1">
      <c r="A356" s="35"/>
      <c r="B356" s="35"/>
      <c r="C356" s="35"/>
      <c r="D356" s="35"/>
      <c r="E356" s="35"/>
      <c r="F356" s="35"/>
      <c r="G356" s="35"/>
      <c r="H356" s="35"/>
      <c r="I356" s="35"/>
      <c r="J356" s="35"/>
      <c r="K356" s="35"/>
      <c r="L356" s="35"/>
      <c r="M356" s="35"/>
      <c r="N356" s="35"/>
      <c r="O356" s="35"/>
      <c r="P356" s="35"/>
      <c r="Q356" s="35"/>
      <c r="R356" s="35"/>
      <c r="S356" s="35"/>
      <c r="T356" s="35"/>
      <c r="U356" s="35"/>
      <c r="V356" s="35"/>
      <c r="W356" s="35"/>
      <c r="X356" s="35"/>
      <c r="Y356" s="35"/>
      <c r="Z356" s="35"/>
    </row>
    <row r="357" ht="12.75" customHeight="1">
      <c r="A357" s="35"/>
      <c r="B357" s="35"/>
      <c r="C357" s="35"/>
      <c r="D357" s="35"/>
      <c r="E357" s="35"/>
      <c r="F357" s="35"/>
      <c r="G357" s="35"/>
      <c r="H357" s="35"/>
      <c r="I357" s="35"/>
      <c r="J357" s="35"/>
      <c r="K357" s="35"/>
      <c r="L357" s="35"/>
      <c r="M357" s="35"/>
      <c r="N357" s="35"/>
      <c r="O357" s="35"/>
      <c r="P357" s="35"/>
      <c r="Q357" s="35"/>
      <c r="R357" s="35"/>
      <c r="S357" s="35"/>
      <c r="T357" s="35"/>
      <c r="U357" s="35"/>
      <c r="V357" s="35"/>
      <c r="W357" s="35"/>
      <c r="X357" s="35"/>
      <c r="Y357" s="35"/>
      <c r="Z357" s="35"/>
    </row>
    <row r="358" ht="12.75" customHeight="1">
      <c r="A358" s="35"/>
      <c r="B358" s="35"/>
      <c r="C358" s="35"/>
      <c r="D358" s="35"/>
      <c r="E358" s="35"/>
      <c r="F358" s="35"/>
      <c r="G358" s="35"/>
      <c r="H358" s="35"/>
      <c r="I358" s="35"/>
      <c r="J358" s="35"/>
      <c r="K358" s="35"/>
      <c r="L358" s="35"/>
      <c r="M358" s="35"/>
      <c r="N358" s="35"/>
      <c r="O358" s="35"/>
      <c r="P358" s="35"/>
      <c r="Q358" s="35"/>
      <c r="R358" s="35"/>
      <c r="S358" s="35"/>
      <c r="T358" s="35"/>
      <c r="U358" s="35"/>
      <c r="V358" s="35"/>
      <c r="W358" s="35"/>
      <c r="X358" s="35"/>
      <c r="Y358" s="35"/>
      <c r="Z358" s="35"/>
    </row>
    <row r="359" ht="12.75" customHeight="1">
      <c r="A359" s="35"/>
      <c r="B359" s="35"/>
      <c r="C359" s="35"/>
      <c r="D359" s="35"/>
      <c r="E359" s="35"/>
      <c r="F359" s="35"/>
      <c r="G359" s="35"/>
      <c r="H359" s="35"/>
      <c r="I359" s="35"/>
      <c r="J359" s="35"/>
      <c r="K359" s="35"/>
      <c r="L359" s="35"/>
      <c r="M359" s="35"/>
      <c r="N359" s="35"/>
      <c r="O359" s="35"/>
      <c r="P359" s="35"/>
      <c r="Q359" s="35"/>
      <c r="R359" s="35"/>
      <c r="S359" s="35"/>
      <c r="T359" s="35"/>
      <c r="U359" s="35"/>
      <c r="V359" s="35"/>
      <c r="W359" s="35"/>
      <c r="X359" s="35"/>
      <c r="Y359" s="35"/>
      <c r="Z359" s="35"/>
    </row>
    <row r="360" ht="12.75" customHeight="1">
      <c r="A360" s="35"/>
      <c r="B360" s="35"/>
      <c r="C360" s="35"/>
      <c r="D360" s="35"/>
      <c r="E360" s="35"/>
      <c r="F360" s="35"/>
      <c r="G360" s="35"/>
      <c r="H360" s="35"/>
      <c r="I360" s="35"/>
      <c r="J360" s="35"/>
      <c r="K360" s="35"/>
      <c r="L360" s="35"/>
      <c r="M360" s="35"/>
      <c r="N360" s="35"/>
      <c r="O360" s="35"/>
      <c r="P360" s="35"/>
      <c r="Q360" s="35"/>
      <c r="R360" s="35"/>
      <c r="S360" s="35"/>
      <c r="T360" s="35"/>
      <c r="U360" s="35"/>
      <c r="V360" s="35"/>
      <c r="W360" s="35"/>
      <c r="X360" s="35"/>
      <c r="Y360" s="35"/>
      <c r="Z360" s="35"/>
    </row>
    <row r="361" ht="12.75" customHeight="1">
      <c r="A361" s="35"/>
      <c r="B361" s="35"/>
      <c r="C361" s="35"/>
      <c r="D361" s="35"/>
      <c r="E361" s="35"/>
      <c r="F361" s="35"/>
      <c r="G361" s="35"/>
      <c r="H361" s="35"/>
      <c r="I361" s="35"/>
      <c r="J361" s="35"/>
      <c r="K361" s="35"/>
      <c r="L361" s="35"/>
      <c r="M361" s="35"/>
      <c r="N361" s="35"/>
      <c r="O361" s="35"/>
      <c r="P361" s="35"/>
      <c r="Q361" s="35"/>
      <c r="R361" s="35"/>
      <c r="S361" s="35"/>
      <c r="T361" s="35"/>
      <c r="U361" s="35"/>
      <c r="V361" s="35"/>
      <c r="W361" s="35"/>
      <c r="X361" s="35"/>
      <c r="Y361" s="35"/>
      <c r="Z361" s="35"/>
    </row>
    <row r="362" ht="12.75" customHeight="1">
      <c r="A362" s="35"/>
      <c r="B362" s="35"/>
      <c r="C362" s="35"/>
      <c r="D362" s="35"/>
      <c r="E362" s="35"/>
      <c r="F362" s="35"/>
      <c r="G362" s="35"/>
      <c r="H362" s="35"/>
      <c r="I362" s="35"/>
      <c r="J362" s="35"/>
      <c r="K362" s="35"/>
      <c r="L362" s="35"/>
      <c r="M362" s="35"/>
      <c r="N362" s="35"/>
      <c r="O362" s="35"/>
      <c r="P362" s="35"/>
      <c r="Q362" s="35"/>
      <c r="R362" s="35"/>
      <c r="S362" s="35"/>
      <c r="T362" s="35"/>
      <c r="U362" s="35"/>
      <c r="V362" s="35"/>
      <c r="W362" s="35"/>
      <c r="X362" s="35"/>
      <c r="Y362" s="35"/>
      <c r="Z362" s="35"/>
    </row>
    <row r="363" ht="12.75" customHeight="1">
      <c r="A363" s="35"/>
      <c r="B363" s="35"/>
      <c r="C363" s="35"/>
      <c r="D363" s="35"/>
      <c r="E363" s="35"/>
      <c r="F363" s="35"/>
      <c r="G363" s="35"/>
      <c r="H363" s="35"/>
      <c r="I363" s="35"/>
      <c r="J363" s="35"/>
      <c r="K363" s="35"/>
      <c r="L363" s="35"/>
      <c r="M363" s="35"/>
      <c r="N363" s="35"/>
      <c r="O363" s="35"/>
      <c r="P363" s="35"/>
      <c r="Q363" s="35"/>
      <c r="R363" s="35"/>
      <c r="S363" s="35"/>
      <c r="T363" s="35"/>
      <c r="U363" s="35"/>
      <c r="V363" s="35"/>
      <c r="W363" s="35"/>
      <c r="X363" s="35"/>
      <c r="Y363" s="35"/>
      <c r="Z363" s="35"/>
    </row>
    <row r="364" ht="12.75" customHeight="1">
      <c r="A364" s="35"/>
      <c r="B364" s="35"/>
      <c r="C364" s="35"/>
      <c r="D364" s="35"/>
      <c r="E364" s="35"/>
      <c r="F364" s="35"/>
      <c r="G364" s="35"/>
      <c r="H364" s="35"/>
      <c r="I364" s="35"/>
      <c r="J364" s="35"/>
      <c r="K364" s="35"/>
      <c r="L364" s="35"/>
      <c r="M364" s="35"/>
      <c r="N364" s="35"/>
      <c r="O364" s="35"/>
      <c r="P364" s="35"/>
      <c r="Q364" s="35"/>
      <c r="R364" s="35"/>
      <c r="S364" s="35"/>
      <c r="T364" s="35"/>
      <c r="U364" s="35"/>
      <c r="V364" s="35"/>
      <c r="W364" s="35"/>
      <c r="X364" s="35"/>
      <c r="Y364" s="35"/>
      <c r="Z364" s="35"/>
    </row>
    <row r="365" ht="12.75" customHeight="1">
      <c r="A365" s="35"/>
      <c r="B365" s="35"/>
      <c r="C365" s="35"/>
      <c r="D365" s="35"/>
      <c r="E365" s="35"/>
      <c r="F365" s="35"/>
      <c r="G365" s="35"/>
      <c r="H365" s="35"/>
      <c r="I365" s="35"/>
      <c r="J365" s="35"/>
      <c r="K365" s="35"/>
      <c r="L365" s="35"/>
      <c r="M365" s="35"/>
      <c r="N365" s="35"/>
      <c r="O365" s="35"/>
      <c r="P365" s="35"/>
      <c r="Q365" s="35"/>
      <c r="R365" s="35"/>
      <c r="S365" s="35"/>
      <c r="T365" s="35"/>
      <c r="U365" s="35"/>
      <c r="V365" s="35"/>
      <c r="W365" s="35"/>
      <c r="X365" s="35"/>
      <c r="Y365" s="35"/>
      <c r="Z365" s="35"/>
    </row>
    <row r="366" ht="12.75" customHeight="1">
      <c r="A366" s="35"/>
      <c r="B366" s="35"/>
      <c r="C366" s="35"/>
      <c r="D366" s="35"/>
      <c r="E366" s="35"/>
      <c r="F366" s="35"/>
      <c r="G366" s="35"/>
      <c r="H366" s="35"/>
      <c r="I366" s="35"/>
      <c r="J366" s="35"/>
      <c r="K366" s="35"/>
      <c r="L366" s="35"/>
      <c r="M366" s="35"/>
      <c r="N366" s="35"/>
      <c r="O366" s="35"/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5"/>
    </row>
    <row r="367" ht="12.75" customHeight="1">
      <c r="A367" s="35"/>
      <c r="B367" s="35"/>
      <c r="C367" s="35"/>
      <c r="D367" s="35"/>
      <c r="E367" s="35"/>
      <c r="F367" s="35"/>
      <c r="G367" s="35"/>
      <c r="H367" s="35"/>
      <c r="I367" s="35"/>
      <c r="J367" s="35"/>
      <c r="K367" s="35"/>
      <c r="L367" s="35"/>
      <c r="M367" s="35"/>
      <c r="N367" s="35"/>
      <c r="O367" s="35"/>
      <c r="P367" s="35"/>
      <c r="Q367" s="35"/>
      <c r="R367" s="35"/>
      <c r="S367" s="35"/>
      <c r="T367" s="35"/>
      <c r="U367" s="35"/>
      <c r="V367" s="35"/>
      <c r="W367" s="35"/>
      <c r="X367" s="35"/>
      <c r="Y367" s="35"/>
      <c r="Z367" s="35"/>
    </row>
    <row r="368" ht="12.75" customHeight="1">
      <c r="A368" s="35"/>
      <c r="B368" s="35"/>
      <c r="C368" s="35"/>
      <c r="D368" s="35"/>
      <c r="E368" s="35"/>
      <c r="F368" s="35"/>
      <c r="G368" s="35"/>
      <c r="H368" s="35"/>
      <c r="I368" s="35"/>
      <c r="J368" s="35"/>
      <c r="K368" s="35"/>
      <c r="L368" s="35"/>
      <c r="M368" s="35"/>
      <c r="N368" s="35"/>
      <c r="O368" s="35"/>
      <c r="P368" s="35"/>
      <c r="Q368" s="35"/>
      <c r="R368" s="35"/>
      <c r="S368" s="35"/>
      <c r="T368" s="35"/>
      <c r="U368" s="35"/>
      <c r="V368" s="35"/>
      <c r="W368" s="35"/>
      <c r="X368" s="35"/>
      <c r="Y368" s="35"/>
      <c r="Z368" s="35"/>
    </row>
    <row r="369" ht="12.75" customHeight="1">
      <c r="A369" s="35"/>
      <c r="B369" s="35"/>
      <c r="C369" s="35"/>
      <c r="D369" s="35"/>
      <c r="E369" s="35"/>
      <c r="F369" s="35"/>
      <c r="G369" s="35"/>
      <c r="H369" s="35"/>
      <c r="I369" s="35"/>
      <c r="J369" s="35"/>
      <c r="K369" s="35"/>
      <c r="L369" s="35"/>
      <c r="M369" s="35"/>
      <c r="N369" s="35"/>
      <c r="O369" s="35"/>
      <c r="P369" s="35"/>
      <c r="Q369" s="35"/>
      <c r="R369" s="35"/>
      <c r="S369" s="35"/>
      <c r="T369" s="35"/>
      <c r="U369" s="35"/>
      <c r="V369" s="35"/>
      <c r="W369" s="35"/>
      <c r="X369" s="35"/>
      <c r="Y369" s="35"/>
      <c r="Z369" s="35"/>
    </row>
    <row r="370" ht="12.75" customHeight="1">
      <c r="A370" s="35"/>
      <c r="B370" s="35"/>
      <c r="C370" s="35"/>
      <c r="D370" s="35"/>
      <c r="E370" s="35"/>
      <c r="F370" s="35"/>
      <c r="G370" s="35"/>
      <c r="H370" s="35"/>
      <c r="I370" s="35"/>
      <c r="J370" s="35"/>
      <c r="K370" s="35"/>
      <c r="L370" s="35"/>
      <c r="M370" s="35"/>
      <c r="N370" s="35"/>
      <c r="O370" s="35"/>
      <c r="P370" s="35"/>
      <c r="Q370" s="35"/>
      <c r="R370" s="35"/>
      <c r="S370" s="35"/>
      <c r="T370" s="35"/>
      <c r="U370" s="35"/>
      <c r="V370" s="35"/>
      <c r="W370" s="35"/>
      <c r="X370" s="35"/>
      <c r="Y370" s="35"/>
      <c r="Z370" s="35"/>
    </row>
    <row r="371" ht="12.75" customHeight="1">
      <c r="A371" s="35"/>
      <c r="B371" s="35"/>
      <c r="C371" s="35"/>
      <c r="D371" s="35"/>
      <c r="E371" s="35"/>
      <c r="F371" s="35"/>
      <c r="G371" s="35"/>
      <c r="H371" s="35"/>
      <c r="I371" s="35"/>
      <c r="J371" s="35"/>
      <c r="K371" s="35"/>
      <c r="L371" s="35"/>
      <c r="M371" s="35"/>
      <c r="N371" s="35"/>
      <c r="O371" s="35"/>
      <c r="P371" s="35"/>
      <c r="Q371" s="35"/>
      <c r="R371" s="35"/>
      <c r="S371" s="35"/>
      <c r="T371" s="35"/>
      <c r="U371" s="35"/>
      <c r="V371" s="35"/>
      <c r="W371" s="35"/>
      <c r="X371" s="35"/>
      <c r="Y371" s="35"/>
      <c r="Z371" s="35"/>
    </row>
    <row r="372" ht="12.75" customHeight="1">
      <c r="A372" s="35"/>
      <c r="B372" s="35"/>
      <c r="C372" s="35"/>
      <c r="D372" s="35"/>
      <c r="E372" s="35"/>
      <c r="F372" s="35"/>
      <c r="G372" s="35"/>
      <c r="H372" s="35"/>
      <c r="I372" s="35"/>
      <c r="J372" s="35"/>
      <c r="K372" s="35"/>
      <c r="L372" s="35"/>
      <c r="M372" s="35"/>
      <c r="N372" s="35"/>
      <c r="O372" s="35"/>
      <c r="P372" s="35"/>
      <c r="Q372" s="35"/>
      <c r="R372" s="35"/>
      <c r="S372" s="35"/>
      <c r="T372" s="35"/>
      <c r="U372" s="35"/>
      <c r="V372" s="35"/>
      <c r="W372" s="35"/>
      <c r="X372" s="35"/>
      <c r="Y372" s="35"/>
      <c r="Z372" s="35"/>
    </row>
    <row r="373" ht="12.75" customHeight="1">
      <c r="A373" s="35"/>
      <c r="B373" s="35"/>
      <c r="C373" s="35"/>
      <c r="D373" s="35"/>
      <c r="E373" s="35"/>
      <c r="F373" s="35"/>
      <c r="G373" s="35"/>
      <c r="H373" s="35"/>
      <c r="I373" s="35"/>
      <c r="J373" s="35"/>
      <c r="K373" s="35"/>
      <c r="L373" s="35"/>
      <c r="M373" s="35"/>
      <c r="N373" s="35"/>
      <c r="O373" s="35"/>
      <c r="P373" s="35"/>
      <c r="Q373" s="35"/>
      <c r="R373" s="35"/>
      <c r="S373" s="35"/>
      <c r="T373" s="35"/>
      <c r="U373" s="35"/>
      <c r="V373" s="35"/>
      <c r="W373" s="35"/>
      <c r="X373" s="35"/>
      <c r="Y373" s="35"/>
      <c r="Z373" s="35"/>
    </row>
    <row r="374" ht="12.75" customHeight="1">
      <c r="A374" s="35"/>
      <c r="B374" s="35"/>
      <c r="C374" s="35"/>
      <c r="D374" s="35"/>
      <c r="E374" s="35"/>
      <c r="F374" s="35"/>
      <c r="G374" s="35"/>
      <c r="H374" s="35"/>
      <c r="I374" s="35"/>
      <c r="J374" s="35"/>
      <c r="K374" s="35"/>
      <c r="L374" s="35"/>
      <c r="M374" s="35"/>
      <c r="N374" s="35"/>
      <c r="O374" s="35"/>
      <c r="P374" s="35"/>
      <c r="Q374" s="35"/>
      <c r="R374" s="35"/>
      <c r="S374" s="35"/>
      <c r="T374" s="35"/>
      <c r="U374" s="35"/>
      <c r="V374" s="35"/>
      <c r="W374" s="35"/>
      <c r="X374" s="35"/>
      <c r="Y374" s="35"/>
      <c r="Z374" s="35"/>
    </row>
    <row r="375" ht="12.75" customHeight="1">
      <c r="A375" s="35"/>
      <c r="B375" s="35"/>
      <c r="C375" s="35"/>
      <c r="D375" s="35"/>
      <c r="E375" s="35"/>
      <c r="F375" s="35"/>
      <c r="G375" s="35"/>
      <c r="H375" s="35"/>
      <c r="I375" s="35"/>
      <c r="J375" s="35"/>
      <c r="K375" s="35"/>
      <c r="L375" s="35"/>
      <c r="M375" s="35"/>
      <c r="N375" s="35"/>
      <c r="O375" s="35"/>
      <c r="P375" s="35"/>
      <c r="Q375" s="35"/>
      <c r="R375" s="35"/>
      <c r="S375" s="35"/>
      <c r="T375" s="35"/>
      <c r="U375" s="35"/>
      <c r="V375" s="35"/>
      <c r="W375" s="35"/>
      <c r="X375" s="35"/>
      <c r="Y375" s="35"/>
      <c r="Z375" s="35"/>
    </row>
    <row r="376" ht="12.75" customHeight="1">
      <c r="A376" s="35"/>
      <c r="B376" s="35"/>
      <c r="C376" s="35"/>
      <c r="D376" s="35"/>
      <c r="E376" s="35"/>
      <c r="F376" s="35"/>
      <c r="G376" s="35"/>
      <c r="H376" s="35"/>
      <c r="I376" s="35"/>
      <c r="J376" s="35"/>
      <c r="K376" s="35"/>
      <c r="L376" s="35"/>
      <c r="M376" s="35"/>
      <c r="N376" s="35"/>
      <c r="O376" s="35"/>
      <c r="P376" s="35"/>
      <c r="Q376" s="35"/>
      <c r="R376" s="35"/>
      <c r="S376" s="35"/>
      <c r="T376" s="35"/>
      <c r="U376" s="35"/>
      <c r="V376" s="35"/>
      <c r="W376" s="35"/>
      <c r="X376" s="35"/>
      <c r="Y376" s="35"/>
      <c r="Z376" s="35"/>
    </row>
    <row r="377" ht="12.75" customHeight="1">
      <c r="A377" s="35"/>
      <c r="B377" s="35"/>
      <c r="C377" s="35"/>
      <c r="D377" s="35"/>
      <c r="E377" s="35"/>
      <c r="F377" s="35"/>
      <c r="G377" s="35"/>
      <c r="H377" s="35"/>
      <c r="I377" s="35"/>
      <c r="J377" s="35"/>
      <c r="K377" s="35"/>
      <c r="L377" s="35"/>
      <c r="M377" s="35"/>
      <c r="N377" s="35"/>
      <c r="O377" s="35"/>
      <c r="P377" s="35"/>
      <c r="Q377" s="35"/>
      <c r="R377" s="35"/>
      <c r="S377" s="35"/>
      <c r="T377" s="35"/>
      <c r="U377" s="35"/>
      <c r="V377" s="35"/>
      <c r="W377" s="35"/>
      <c r="X377" s="35"/>
      <c r="Y377" s="35"/>
      <c r="Z377" s="35"/>
    </row>
    <row r="378" ht="12.75" customHeight="1">
      <c r="A378" s="35"/>
      <c r="B378" s="35"/>
      <c r="C378" s="35"/>
      <c r="D378" s="35"/>
      <c r="E378" s="35"/>
      <c r="F378" s="35"/>
      <c r="G378" s="35"/>
      <c r="H378" s="35"/>
      <c r="I378" s="35"/>
      <c r="J378" s="35"/>
      <c r="K378" s="35"/>
      <c r="L378" s="35"/>
      <c r="M378" s="35"/>
      <c r="N378" s="35"/>
      <c r="O378" s="35"/>
      <c r="P378" s="35"/>
      <c r="Q378" s="35"/>
      <c r="R378" s="35"/>
      <c r="S378" s="35"/>
      <c r="T378" s="35"/>
      <c r="U378" s="35"/>
      <c r="V378" s="35"/>
      <c r="W378" s="35"/>
      <c r="X378" s="35"/>
      <c r="Y378" s="35"/>
      <c r="Z378" s="35"/>
    </row>
    <row r="379" ht="12.75" customHeight="1">
      <c r="A379" s="35"/>
      <c r="B379" s="35"/>
      <c r="C379" s="35"/>
      <c r="D379" s="35"/>
      <c r="E379" s="35"/>
      <c r="F379" s="35"/>
      <c r="G379" s="35"/>
      <c r="H379" s="35"/>
      <c r="I379" s="35"/>
      <c r="J379" s="35"/>
      <c r="K379" s="35"/>
      <c r="L379" s="35"/>
      <c r="M379" s="35"/>
      <c r="N379" s="35"/>
      <c r="O379" s="35"/>
      <c r="P379" s="35"/>
      <c r="Q379" s="35"/>
      <c r="R379" s="35"/>
      <c r="S379" s="35"/>
      <c r="T379" s="35"/>
      <c r="U379" s="35"/>
      <c r="V379" s="35"/>
      <c r="W379" s="35"/>
      <c r="X379" s="35"/>
      <c r="Y379" s="35"/>
      <c r="Z379" s="35"/>
    </row>
    <row r="380" ht="12.75" customHeight="1">
      <c r="A380" s="35"/>
      <c r="B380" s="35"/>
      <c r="C380" s="35"/>
      <c r="D380" s="35"/>
      <c r="E380" s="35"/>
      <c r="F380" s="35"/>
      <c r="G380" s="35"/>
      <c r="H380" s="35"/>
      <c r="I380" s="35"/>
      <c r="J380" s="35"/>
      <c r="K380" s="35"/>
      <c r="L380" s="35"/>
      <c r="M380" s="35"/>
      <c r="N380" s="35"/>
      <c r="O380" s="35"/>
      <c r="P380" s="35"/>
      <c r="Q380" s="35"/>
      <c r="R380" s="35"/>
      <c r="S380" s="35"/>
      <c r="T380" s="35"/>
      <c r="U380" s="35"/>
      <c r="V380" s="35"/>
      <c r="W380" s="35"/>
      <c r="X380" s="35"/>
      <c r="Y380" s="35"/>
      <c r="Z380" s="35"/>
    </row>
    <row r="381" ht="12.75" customHeight="1">
      <c r="A381" s="35"/>
      <c r="B381" s="35"/>
      <c r="C381" s="35"/>
      <c r="D381" s="35"/>
      <c r="E381" s="35"/>
      <c r="F381" s="35"/>
      <c r="G381" s="35"/>
      <c r="H381" s="35"/>
      <c r="I381" s="35"/>
      <c r="J381" s="35"/>
      <c r="K381" s="35"/>
      <c r="L381" s="35"/>
      <c r="M381" s="35"/>
      <c r="N381" s="35"/>
      <c r="O381" s="35"/>
      <c r="P381" s="35"/>
      <c r="Q381" s="35"/>
      <c r="R381" s="35"/>
      <c r="S381" s="35"/>
      <c r="T381" s="35"/>
      <c r="U381" s="35"/>
      <c r="V381" s="35"/>
      <c r="W381" s="35"/>
      <c r="X381" s="35"/>
      <c r="Y381" s="35"/>
      <c r="Z381" s="35"/>
    </row>
    <row r="382" ht="12.75" customHeight="1">
      <c r="A382" s="35"/>
      <c r="B382" s="35"/>
      <c r="C382" s="35"/>
      <c r="D382" s="35"/>
      <c r="E382" s="35"/>
      <c r="F382" s="35"/>
      <c r="G382" s="35"/>
      <c r="H382" s="35"/>
      <c r="I382" s="35"/>
      <c r="J382" s="35"/>
      <c r="K382" s="35"/>
      <c r="L382" s="35"/>
      <c r="M382" s="35"/>
      <c r="N382" s="35"/>
      <c r="O382" s="35"/>
      <c r="P382" s="35"/>
      <c r="Q382" s="35"/>
      <c r="R382" s="35"/>
      <c r="S382" s="35"/>
      <c r="T382" s="35"/>
      <c r="U382" s="35"/>
      <c r="V382" s="35"/>
      <c r="W382" s="35"/>
      <c r="X382" s="35"/>
      <c r="Y382" s="35"/>
      <c r="Z382" s="35"/>
    </row>
    <row r="383" ht="12.75" customHeight="1">
      <c r="A383" s="35"/>
      <c r="B383" s="35"/>
      <c r="C383" s="35"/>
      <c r="D383" s="35"/>
      <c r="E383" s="35"/>
      <c r="F383" s="35"/>
      <c r="G383" s="35"/>
      <c r="H383" s="35"/>
      <c r="I383" s="35"/>
      <c r="J383" s="35"/>
      <c r="K383" s="35"/>
      <c r="L383" s="35"/>
      <c r="M383" s="35"/>
      <c r="N383" s="35"/>
      <c r="O383" s="35"/>
      <c r="P383" s="35"/>
      <c r="Q383" s="35"/>
      <c r="R383" s="35"/>
      <c r="S383" s="35"/>
      <c r="T383" s="35"/>
      <c r="U383" s="35"/>
      <c r="V383" s="35"/>
      <c r="W383" s="35"/>
      <c r="X383" s="35"/>
      <c r="Y383" s="35"/>
      <c r="Z383" s="35"/>
    </row>
    <row r="384" ht="12.75" customHeight="1">
      <c r="A384" s="35"/>
      <c r="B384" s="35"/>
      <c r="C384" s="35"/>
      <c r="D384" s="35"/>
      <c r="E384" s="35"/>
      <c r="F384" s="35"/>
      <c r="G384" s="35"/>
      <c r="H384" s="35"/>
      <c r="I384" s="35"/>
      <c r="J384" s="35"/>
      <c r="K384" s="35"/>
      <c r="L384" s="35"/>
      <c r="M384" s="35"/>
      <c r="N384" s="35"/>
      <c r="O384" s="35"/>
      <c r="P384" s="35"/>
      <c r="Q384" s="35"/>
      <c r="R384" s="35"/>
      <c r="S384" s="35"/>
      <c r="T384" s="35"/>
      <c r="U384" s="35"/>
      <c r="V384" s="35"/>
      <c r="W384" s="35"/>
      <c r="X384" s="35"/>
      <c r="Y384" s="35"/>
      <c r="Z384" s="35"/>
    </row>
    <row r="385" ht="12.75" customHeight="1">
      <c r="A385" s="35"/>
      <c r="B385" s="35"/>
      <c r="C385" s="35"/>
      <c r="D385" s="35"/>
      <c r="E385" s="35"/>
      <c r="F385" s="35"/>
      <c r="G385" s="35"/>
      <c r="H385" s="35"/>
      <c r="I385" s="35"/>
      <c r="J385" s="35"/>
      <c r="K385" s="35"/>
      <c r="L385" s="35"/>
      <c r="M385" s="35"/>
      <c r="N385" s="35"/>
      <c r="O385" s="35"/>
      <c r="P385" s="35"/>
      <c r="Q385" s="35"/>
      <c r="R385" s="35"/>
      <c r="S385" s="35"/>
      <c r="T385" s="35"/>
      <c r="U385" s="35"/>
      <c r="V385" s="35"/>
      <c r="W385" s="35"/>
      <c r="X385" s="35"/>
      <c r="Y385" s="35"/>
      <c r="Z385" s="35"/>
    </row>
    <row r="386" ht="12.75" customHeight="1">
      <c r="A386" s="35"/>
      <c r="B386" s="35"/>
      <c r="C386" s="35"/>
      <c r="D386" s="35"/>
      <c r="E386" s="35"/>
      <c r="F386" s="35"/>
      <c r="G386" s="35"/>
      <c r="H386" s="35"/>
      <c r="I386" s="35"/>
      <c r="J386" s="35"/>
      <c r="K386" s="35"/>
      <c r="L386" s="35"/>
      <c r="M386" s="35"/>
      <c r="N386" s="35"/>
      <c r="O386" s="35"/>
      <c r="P386" s="35"/>
      <c r="Q386" s="35"/>
      <c r="R386" s="35"/>
      <c r="S386" s="35"/>
      <c r="T386" s="35"/>
      <c r="U386" s="35"/>
      <c r="V386" s="35"/>
      <c r="W386" s="35"/>
      <c r="X386" s="35"/>
      <c r="Y386" s="35"/>
      <c r="Z386" s="35"/>
    </row>
    <row r="387" ht="12.75" customHeight="1">
      <c r="A387" s="35"/>
      <c r="B387" s="35"/>
      <c r="C387" s="35"/>
      <c r="D387" s="35"/>
      <c r="E387" s="35"/>
      <c r="F387" s="35"/>
      <c r="G387" s="35"/>
      <c r="H387" s="35"/>
      <c r="I387" s="35"/>
      <c r="J387" s="35"/>
      <c r="K387" s="35"/>
      <c r="L387" s="35"/>
      <c r="M387" s="35"/>
      <c r="N387" s="35"/>
      <c r="O387" s="35"/>
      <c r="P387" s="35"/>
      <c r="Q387" s="35"/>
      <c r="R387" s="35"/>
      <c r="S387" s="35"/>
      <c r="T387" s="35"/>
      <c r="U387" s="35"/>
      <c r="V387" s="35"/>
      <c r="W387" s="35"/>
      <c r="X387" s="35"/>
      <c r="Y387" s="35"/>
      <c r="Z387" s="35"/>
    </row>
    <row r="388" ht="12.75" customHeight="1">
      <c r="A388" s="35"/>
      <c r="B388" s="35"/>
      <c r="C388" s="35"/>
      <c r="D388" s="35"/>
      <c r="E388" s="35"/>
      <c r="F388" s="35"/>
      <c r="G388" s="35"/>
      <c r="H388" s="35"/>
      <c r="I388" s="35"/>
      <c r="J388" s="35"/>
      <c r="K388" s="35"/>
      <c r="L388" s="35"/>
      <c r="M388" s="35"/>
      <c r="N388" s="35"/>
      <c r="O388" s="35"/>
      <c r="P388" s="35"/>
      <c r="Q388" s="35"/>
      <c r="R388" s="35"/>
      <c r="S388" s="35"/>
      <c r="T388" s="35"/>
      <c r="U388" s="35"/>
      <c r="V388" s="35"/>
      <c r="W388" s="35"/>
      <c r="X388" s="35"/>
      <c r="Y388" s="35"/>
      <c r="Z388" s="35"/>
    </row>
    <row r="389" ht="12.75" customHeight="1">
      <c r="A389" s="35"/>
      <c r="B389" s="35"/>
      <c r="C389" s="35"/>
      <c r="D389" s="35"/>
      <c r="E389" s="35"/>
      <c r="F389" s="35"/>
      <c r="G389" s="35"/>
      <c r="H389" s="35"/>
      <c r="I389" s="35"/>
      <c r="J389" s="35"/>
      <c r="K389" s="35"/>
      <c r="L389" s="35"/>
      <c r="M389" s="35"/>
      <c r="N389" s="35"/>
      <c r="O389" s="35"/>
      <c r="P389" s="35"/>
      <c r="Q389" s="35"/>
      <c r="R389" s="35"/>
      <c r="S389" s="35"/>
      <c r="T389" s="35"/>
      <c r="U389" s="35"/>
      <c r="V389" s="35"/>
      <c r="W389" s="35"/>
      <c r="X389" s="35"/>
      <c r="Y389" s="35"/>
      <c r="Z389" s="35"/>
    </row>
    <row r="390" ht="12.75" customHeight="1">
      <c r="A390" s="35"/>
      <c r="B390" s="35"/>
      <c r="C390" s="35"/>
      <c r="D390" s="35"/>
      <c r="E390" s="35"/>
      <c r="F390" s="35"/>
      <c r="G390" s="35"/>
      <c r="H390" s="35"/>
      <c r="I390" s="35"/>
      <c r="J390" s="35"/>
      <c r="K390" s="35"/>
      <c r="L390" s="35"/>
      <c r="M390" s="35"/>
      <c r="N390" s="35"/>
      <c r="O390" s="35"/>
      <c r="P390" s="35"/>
      <c r="Q390" s="35"/>
      <c r="R390" s="35"/>
      <c r="S390" s="35"/>
      <c r="T390" s="35"/>
      <c r="U390" s="35"/>
      <c r="V390" s="35"/>
      <c r="W390" s="35"/>
      <c r="X390" s="35"/>
      <c r="Y390" s="35"/>
      <c r="Z390" s="35"/>
    </row>
    <row r="391" ht="12.75" customHeight="1">
      <c r="A391" s="35"/>
      <c r="B391" s="35"/>
      <c r="C391" s="35"/>
      <c r="D391" s="35"/>
      <c r="E391" s="35"/>
      <c r="F391" s="35"/>
      <c r="G391" s="35"/>
      <c r="H391" s="35"/>
      <c r="I391" s="35"/>
      <c r="J391" s="35"/>
      <c r="K391" s="35"/>
      <c r="L391" s="35"/>
      <c r="M391" s="35"/>
      <c r="N391" s="35"/>
      <c r="O391" s="35"/>
      <c r="P391" s="35"/>
      <c r="Q391" s="35"/>
      <c r="R391" s="35"/>
      <c r="S391" s="35"/>
      <c r="T391" s="35"/>
      <c r="U391" s="35"/>
      <c r="V391" s="35"/>
      <c r="W391" s="35"/>
      <c r="X391" s="35"/>
      <c r="Y391" s="35"/>
      <c r="Z391" s="35"/>
    </row>
    <row r="392" ht="12.75" customHeight="1">
      <c r="A392" s="35"/>
      <c r="B392" s="35"/>
      <c r="C392" s="35"/>
      <c r="D392" s="35"/>
      <c r="E392" s="35"/>
      <c r="F392" s="35"/>
      <c r="G392" s="35"/>
      <c r="H392" s="35"/>
      <c r="I392" s="35"/>
      <c r="J392" s="35"/>
      <c r="K392" s="35"/>
      <c r="L392" s="35"/>
      <c r="M392" s="35"/>
      <c r="N392" s="35"/>
      <c r="O392" s="35"/>
      <c r="P392" s="35"/>
      <c r="Q392" s="35"/>
      <c r="R392" s="35"/>
      <c r="S392" s="35"/>
      <c r="T392" s="35"/>
      <c r="U392" s="35"/>
      <c r="V392" s="35"/>
      <c r="W392" s="35"/>
      <c r="X392" s="35"/>
      <c r="Y392" s="35"/>
      <c r="Z392" s="35"/>
    </row>
    <row r="393" ht="12.75" customHeight="1">
      <c r="A393" s="35"/>
      <c r="B393" s="35"/>
      <c r="C393" s="35"/>
      <c r="D393" s="35"/>
      <c r="E393" s="35"/>
      <c r="F393" s="35"/>
      <c r="G393" s="35"/>
      <c r="H393" s="35"/>
      <c r="I393" s="35"/>
      <c r="J393" s="35"/>
      <c r="K393" s="35"/>
      <c r="L393" s="35"/>
      <c r="M393" s="35"/>
      <c r="N393" s="35"/>
      <c r="O393" s="35"/>
      <c r="P393" s="35"/>
      <c r="Q393" s="35"/>
      <c r="R393" s="35"/>
      <c r="S393" s="35"/>
      <c r="T393" s="35"/>
      <c r="U393" s="35"/>
      <c r="V393" s="35"/>
      <c r="W393" s="35"/>
      <c r="X393" s="35"/>
      <c r="Y393" s="35"/>
      <c r="Z393" s="35"/>
    </row>
    <row r="394" ht="12.75" customHeight="1">
      <c r="A394" s="35"/>
      <c r="B394" s="35"/>
      <c r="C394" s="35"/>
      <c r="D394" s="35"/>
      <c r="E394" s="35"/>
      <c r="F394" s="35"/>
      <c r="G394" s="35"/>
      <c r="H394" s="35"/>
      <c r="I394" s="35"/>
      <c r="J394" s="35"/>
      <c r="K394" s="35"/>
      <c r="L394" s="35"/>
      <c r="M394" s="35"/>
      <c r="N394" s="35"/>
      <c r="O394" s="35"/>
      <c r="P394" s="35"/>
      <c r="Q394" s="35"/>
      <c r="R394" s="35"/>
      <c r="S394" s="35"/>
      <c r="T394" s="35"/>
      <c r="U394" s="35"/>
      <c r="V394" s="35"/>
      <c r="W394" s="35"/>
      <c r="X394" s="35"/>
      <c r="Y394" s="35"/>
      <c r="Z394" s="35"/>
    </row>
    <row r="395" ht="12.75" customHeight="1">
      <c r="A395" s="35"/>
      <c r="B395" s="35"/>
      <c r="C395" s="35"/>
      <c r="D395" s="35"/>
      <c r="E395" s="35"/>
      <c r="F395" s="35"/>
      <c r="G395" s="35"/>
      <c r="H395" s="35"/>
      <c r="I395" s="35"/>
      <c r="J395" s="35"/>
      <c r="K395" s="35"/>
      <c r="L395" s="35"/>
      <c r="M395" s="35"/>
      <c r="N395" s="35"/>
      <c r="O395" s="35"/>
      <c r="P395" s="35"/>
      <c r="Q395" s="35"/>
      <c r="R395" s="35"/>
      <c r="S395" s="35"/>
      <c r="T395" s="35"/>
      <c r="U395" s="35"/>
      <c r="V395" s="35"/>
      <c r="W395" s="35"/>
      <c r="X395" s="35"/>
      <c r="Y395" s="35"/>
      <c r="Z395" s="35"/>
    </row>
    <row r="396" ht="12.75" customHeight="1">
      <c r="A396" s="35"/>
      <c r="B396" s="35"/>
      <c r="C396" s="35"/>
      <c r="D396" s="35"/>
      <c r="E396" s="35"/>
      <c r="F396" s="35"/>
      <c r="G396" s="35"/>
      <c r="H396" s="35"/>
      <c r="I396" s="35"/>
      <c r="J396" s="35"/>
      <c r="K396" s="35"/>
      <c r="L396" s="35"/>
      <c r="M396" s="35"/>
      <c r="N396" s="35"/>
      <c r="O396" s="35"/>
      <c r="P396" s="35"/>
      <c r="Q396" s="35"/>
      <c r="R396" s="35"/>
      <c r="S396" s="35"/>
      <c r="T396" s="35"/>
      <c r="U396" s="35"/>
      <c r="V396" s="35"/>
      <c r="W396" s="35"/>
      <c r="X396" s="35"/>
      <c r="Y396" s="35"/>
      <c r="Z396" s="35"/>
    </row>
    <row r="397" ht="12.75" customHeight="1">
      <c r="A397" s="35"/>
      <c r="B397" s="35"/>
      <c r="C397" s="35"/>
      <c r="D397" s="35"/>
      <c r="E397" s="35"/>
      <c r="F397" s="35"/>
      <c r="G397" s="35"/>
      <c r="H397" s="35"/>
      <c r="I397" s="35"/>
      <c r="J397" s="35"/>
      <c r="K397" s="35"/>
      <c r="L397" s="35"/>
      <c r="M397" s="35"/>
      <c r="N397" s="35"/>
      <c r="O397" s="35"/>
      <c r="P397" s="35"/>
      <c r="Q397" s="35"/>
      <c r="R397" s="35"/>
      <c r="S397" s="35"/>
      <c r="T397" s="35"/>
      <c r="U397" s="35"/>
      <c r="V397" s="35"/>
      <c r="W397" s="35"/>
      <c r="X397" s="35"/>
      <c r="Y397" s="35"/>
      <c r="Z397" s="35"/>
    </row>
    <row r="398" ht="12.75" customHeight="1">
      <c r="A398" s="35"/>
      <c r="B398" s="35"/>
      <c r="C398" s="35"/>
      <c r="D398" s="35"/>
      <c r="E398" s="35"/>
      <c r="F398" s="35"/>
      <c r="G398" s="35"/>
      <c r="H398" s="35"/>
      <c r="I398" s="35"/>
      <c r="J398" s="35"/>
      <c r="K398" s="35"/>
      <c r="L398" s="35"/>
      <c r="M398" s="35"/>
      <c r="N398" s="35"/>
      <c r="O398" s="35"/>
      <c r="P398" s="35"/>
      <c r="Q398" s="35"/>
      <c r="R398" s="35"/>
      <c r="S398" s="35"/>
      <c r="T398" s="35"/>
      <c r="U398" s="35"/>
      <c r="V398" s="35"/>
      <c r="W398" s="35"/>
      <c r="X398" s="35"/>
      <c r="Y398" s="35"/>
      <c r="Z398" s="35"/>
    </row>
    <row r="399" ht="12.75" customHeight="1">
      <c r="A399" s="35"/>
      <c r="B399" s="35"/>
      <c r="C399" s="35"/>
      <c r="D399" s="35"/>
      <c r="E399" s="35"/>
      <c r="F399" s="35"/>
      <c r="G399" s="35"/>
      <c r="H399" s="35"/>
      <c r="I399" s="35"/>
      <c r="J399" s="35"/>
      <c r="K399" s="35"/>
      <c r="L399" s="35"/>
      <c r="M399" s="35"/>
      <c r="N399" s="35"/>
      <c r="O399" s="35"/>
      <c r="P399" s="35"/>
      <c r="Q399" s="35"/>
      <c r="R399" s="35"/>
      <c r="S399" s="35"/>
      <c r="T399" s="35"/>
      <c r="U399" s="35"/>
      <c r="V399" s="35"/>
      <c r="W399" s="35"/>
      <c r="X399" s="35"/>
      <c r="Y399" s="35"/>
      <c r="Z399" s="35"/>
    </row>
    <row r="400" ht="12.75" customHeight="1">
      <c r="A400" s="35"/>
      <c r="B400" s="35"/>
      <c r="C400" s="35"/>
      <c r="D400" s="35"/>
      <c r="E400" s="35"/>
      <c r="F400" s="35"/>
      <c r="G400" s="35"/>
      <c r="H400" s="35"/>
      <c r="I400" s="35"/>
      <c r="J400" s="35"/>
      <c r="K400" s="35"/>
      <c r="L400" s="35"/>
      <c r="M400" s="35"/>
      <c r="N400" s="35"/>
      <c r="O400" s="35"/>
      <c r="P400" s="35"/>
      <c r="Q400" s="35"/>
      <c r="R400" s="35"/>
      <c r="S400" s="35"/>
      <c r="T400" s="35"/>
      <c r="U400" s="35"/>
      <c r="V400" s="35"/>
      <c r="W400" s="35"/>
      <c r="X400" s="35"/>
      <c r="Y400" s="35"/>
      <c r="Z400" s="35"/>
    </row>
    <row r="401" ht="12.75" customHeight="1">
      <c r="A401" s="35"/>
      <c r="B401" s="35"/>
      <c r="C401" s="35"/>
      <c r="D401" s="35"/>
      <c r="E401" s="35"/>
      <c r="F401" s="35"/>
      <c r="G401" s="35"/>
      <c r="H401" s="35"/>
      <c r="I401" s="35"/>
      <c r="J401" s="35"/>
      <c r="K401" s="35"/>
      <c r="L401" s="35"/>
      <c r="M401" s="35"/>
      <c r="N401" s="35"/>
      <c r="O401" s="35"/>
      <c r="P401" s="35"/>
      <c r="Q401" s="35"/>
      <c r="R401" s="35"/>
      <c r="S401" s="35"/>
      <c r="T401" s="35"/>
      <c r="U401" s="35"/>
      <c r="V401" s="35"/>
      <c r="W401" s="35"/>
      <c r="X401" s="35"/>
      <c r="Y401" s="35"/>
      <c r="Z401" s="35"/>
    </row>
    <row r="402" ht="12.75" customHeight="1">
      <c r="A402" s="35"/>
      <c r="B402" s="35"/>
      <c r="C402" s="35"/>
      <c r="D402" s="35"/>
      <c r="E402" s="35"/>
      <c r="F402" s="35"/>
      <c r="G402" s="35"/>
      <c r="H402" s="35"/>
      <c r="I402" s="35"/>
      <c r="J402" s="35"/>
      <c r="K402" s="35"/>
      <c r="L402" s="35"/>
      <c r="M402" s="35"/>
      <c r="N402" s="35"/>
      <c r="O402" s="35"/>
      <c r="P402" s="35"/>
      <c r="Q402" s="35"/>
      <c r="R402" s="35"/>
      <c r="S402" s="35"/>
      <c r="T402" s="35"/>
      <c r="U402" s="35"/>
      <c r="V402" s="35"/>
      <c r="W402" s="35"/>
      <c r="X402" s="35"/>
      <c r="Y402" s="35"/>
      <c r="Z402" s="35"/>
    </row>
    <row r="403" ht="12.75" customHeight="1">
      <c r="A403" s="35"/>
      <c r="B403" s="35"/>
      <c r="C403" s="35"/>
      <c r="D403" s="35"/>
      <c r="E403" s="35"/>
      <c r="F403" s="35"/>
      <c r="G403" s="35"/>
      <c r="H403" s="35"/>
      <c r="I403" s="35"/>
      <c r="J403" s="35"/>
      <c r="K403" s="35"/>
      <c r="L403" s="35"/>
      <c r="M403" s="35"/>
      <c r="N403" s="35"/>
      <c r="O403" s="35"/>
      <c r="P403" s="35"/>
      <c r="Q403" s="35"/>
      <c r="R403" s="35"/>
      <c r="S403" s="35"/>
      <c r="T403" s="35"/>
      <c r="U403" s="35"/>
      <c r="V403" s="35"/>
      <c r="W403" s="35"/>
      <c r="X403" s="35"/>
      <c r="Y403" s="35"/>
      <c r="Z403" s="35"/>
    </row>
    <row r="404" ht="12.75" customHeight="1">
      <c r="A404" s="35"/>
      <c r="B404" s="35"/>
      <c r="C404" s="35"/>
      <c r="D404" s="35"/>
      <c r="E404" s="35"/>
      <c r="F404" s="35"/>
      <c r="G404" s="35"/>
      <c r="H404" s="35"/>
      <c r="I404" s="35"/>
      <c r="J404" s="35"/>
      <c r="K404" s="35"/>
      <c r="L404" s="35"/>
      <c r="M404" s="35"/>
      <c r="N404" s="35"/>
      <c r="O404" s="35"/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5"/>
    </row>
    <row r="405" ht="12.75" customHeight="1">
      <c r="A405" s="35"/>
      <c r="B405" s="35"/>
      <c r="C405" s="35"/>
      <c r="D405" s="35"/>
      <c r="E405" s="35"/>
      <c r="F405" s="35"/>
      <c r="G405" s="35"/>
      <c r="H405" s="35"/>
      <c r="I405" s="35"/>
      <c r="J405" s="35"/>
      <c r="K405" s="35"/>
      <c r="L405" s="35"/>
      <c r="M405" s="35"/>
      <c r="N405" s="35"/>
      <c r="O405" s="35"/>
      <c r="P405" s="35"/>
      <c r="Q405" s="35"/>
      <c r="R405" s="35"/>
      <c r="S405" s="35"/>
      <c r="T405" s="35"/>
      <c r="U405" s="35"/>
      <c r="V405" s="35"/>
      <c r="W405" s="35"/>
      <c r="X405" s="35"/>
      <c r="Y405" s="35"/>
      <c r="Z405" s="35"/>
    </row>
    <row r="406" ht="12.75" customHeight="1">
      <c r="A406" s="35"/>
      <c r="B406" s="35"/>
      <c r="C406" s="35"/>
      <c r="D406" s="35"/>
      <c r="E406" s="35"/>
      <c r="F406" s="35"/>
      <c r="G406" s="35"/>
      <c r="H406" s="35"/>
      <c r="I406" s="35"/>
      <c r="J406" s="35"/>
      <c r="K406" s="35"/>
      <c r="L406" s="35"/>
      <c r="M406" s="35"/>
      <c r="N406" s="35"/>
      <c r="O406" s="35"/>
      <c r="P406" s="35"/>
      <c r="Q406" s="35"/>
      <c r="R406" s="35"/>
      <c r="S406" s="35"/>
      <c r="T406" s="35"/>
      <c r="U406" s="35"/>
      <c r="V406" s="35"/>
      <c r="W406" s="35"/>
      <c r="X406" s="35"/>
      <c r="Y406" s="35"/>
      <c r="Z406" s="35"/>
    </row>
    <row r="407" ht="12.75" customHeight="1">
      <c r="A407" s="35"/>
      <c r="B407" s="35"/>
      <c r="C407" s="35"/>
      <c r="D407" s="35"/>
      <c r="E407" s="35"/>
      <c r="F407" s="35"/>
      <c r="G407" s="35"/>
      <c r="H407" s="35"/>
      <c r="I407" s="35"/>
      <c r="J407" s="35"/>
      <c r="K407" s="35"/>
      <c r="L407" s="35"/>
      <c r="M407" s="35"/>
      <c r="N407" s="35"/>
      <c r="O407" s="35"/>
      <c r="P407" s="35"/>
      <c r="Q407" s="35"/>
      <c r="R407" s="35"/>
      <c r="S407" s="35"/>
      <c r="T407" s="35"/>
      <c r="U407" s="35"/>
      <c r="V407" s="35"/>
      <c r="W407" s="35"/>
      <c r="X407" s="35"/>
      <c r="Y407" s="35"/>
      <c r="Z407" s="35"/>
    </row>
    <row r="408" ht="12.75" customHeight="1">
      <c r="A408" s="35"/>
      <c r="B408" s="35"/>
      <c r="C408" s="35"/>
      <c r="D408" s="35"/>
      <c r="E408" s="35"/>
      <c r="F408" s="35"/>
      <c r="G408" s="35"/>
      <c r="H408" s="35"/>
      <c r="I408" s="35"/>
      <c r="J408" s="35"/>
      <c r="K408" s="35"/>
      <c r="L408" s="35"/>
      <c r="M408" s="35"/>
      <c r="N408" s="35"/>
      <c r="O408" s="35"/>
      <c r="P408" s="35"/>
      <c r="Q408" s="35"/>
      <c r="R408" s="35"/>
      <c r="S408" s="35"/>
      <c r="T408" s="35"/>
      <c r="U408" s="35"/>
      <c r="V408" s="35"/>
      <c r="W408" s="35"/>
      <c r="X408" s="35"/>
      <c r="Y408" s="35"/>
      <c r="Z408" s="35"/>
    </row>
    <row r="409" ht="12.75" customHeight="1">
      <c r="A409" s="35"/>
      <c r="B409" s="35"/>
      <c r="C409" s="35"/>
      <c r="D409" s="35"/>
      <c r="E409" s="35"/>
      <c r="F409" s="35"/>
      <c r="G409" s="35"/>
      <c r="H409" s="35"/>
      <c r="I409" s="35"/>
      <c r="J409" s="35"/>
      <c r="K409" s="35"/>
      <c r="L409" s="35"/>
      <c r="M409" s="35"/>
      <c r="N409" s="35"/>
      <c r="O409" s="35"/>
      <c r="P409" s="35"/>
      <c r="Q409" s="35"/>
      <c r="R409" s="35"/>
      <c r="S409" s="35"/>
      <c r="T409" s="35"/>
      <c r="U409" s="35"/>
      <c r="V409" s="35"/>
      <c r="W409" s="35"/>
      <c r="X409" s="35"/>
      <c r="Y409" s="35"/>
      <c r="Z409" s="35"/>
    </row>
    <row r="410" ht="12.75" customHeight="1">
      <c r="A410" s="35"/>
      <c r="B410" s="35"/>
      <c r="C410" s="35"/>
      <c r="D410" s="35"/>
      <c r="E410" s="35"/>
      <c r="F410" s="35"/>
      <c r="G410" s="35"/>
      <c r="H410" s="35"/>
      <c r="I410" s="35"/>
      <c r="J410" s="35"/>
      <c r="K410" s="35"/>
      <c r="L410" s="35"/>
      <c r="M410" s="35"/>
      <c r="N410" s="35"/>
      <c r="O410" s="35"/>
      <c r="P410" s="35"/>
      <c r="Q410" s="35"/>
      <c r="R410" s="35"/>
      <c r="S410" s="35"/>
      <c r="T410" s="35"/>
      <c r="U410" s="35"/>
      <c r="V410" s="35"/>
      <c r="W410" s="35"/>
      <c r="X410" s="35"/>
      <c r="Y410" s="35"/>
      <c r="Z410" s="35"/>
    </row>
    <row r="411" ht="12.75" customHeight="1">
      <c r="A411" s="35"/>
      <c r="B411" s="35"/>
      <c r="C411" s="35"/>
      <c r="D411" s="35"/>
      <c r="E411" s="35"/>
      <c r="F411" s="35"/>
      <c r="G411" s="35"/>
      <c r="H411" s="35"/>
      <c r="I411" s="35"/>
      <c r="J411" s="35"/>
      <c r="K411" s="35"/>
      <c r="L411" s="35"/>
      <c r="M411" s="35"/>
      <c r="N411" s="35"/>
      <c r="O411" s="35"/>
      <c r="P411" s="35"/>
      <c r="Q411" s="35"/>
      <c r="R411" s="35"/>
      <c r="S411" s="35"/>
      <c r="T411" s="35"/>
      <c r="U411" s="35"/>
      <c r="V411" s="35"/>
      <c r="W411" s="35"/>
      <c r="X411" s="35"/>
      <c r="Y411" s="35"/>
      <c r="Z411" s="35"/>
    </row>
    <row r="412" ht="12.75" customHeight="1">
      <c r="A412" s="35"/>
      <c r="B412" s="35"/>
      <c r="C412" s="35"/>
      <c r="D412" s="35"/>
      <c r="E412" s="35"/>
      <c r="F412" s="35"/>
      <c r="G412" s="35"/>
      <c r="H412" s="35"/>
      <c r="I412" s="35"/>
      <c r="J412" s="35"/>
      <c r="K412" s="35"/>
      <c r="L412" s="35"/>
      <c r="M412" s="35"/>
      <c r="N412" s="35"/>
      <c r="O412" s="35"/>
      <c r="P412" s="35"/>
      <c r="Q412" s="35"/>
      <c r="R412" s="35"/>
      <c r="S412" s="35"/>
      <c r="T412" s="35"/>
      <c r="U412" s="35"/>
      <c r="V412" s="35"/>
      <c r="W412" s="35"/>
      <c r="X412" s="35"/>
      <c r="Y412" s="35"/>
      <c r="Z412" s="35"/>
    </row>
    <row r="413" ht="12.75" customHeight="1">
      <c r="A413" s="35"/>
      <c r="B413" s="35"/>
      <c r="C413" s="35"/>
      <c r="D413" s="35"/>
      <c r="E413" s="35"/>
      <c r="F413" s="35"/>
      <c r="G413" s="35"/>
      <c r="H413" s="35"/>
      <c r="I413" s="35"/>
      <c r="J413" s="35"/>
      <c r="K413" s="35"/>
      <c r="L413" s="35"/>
      <c r="M413" s="35"/>
      <c r="N413" s="35"/>
      <c r="O413" s="35"/>
      <c r="P413" s="35"/>
      <c r="Q413" s="35"/>
      <c r="R413" s="35"/>
      <c r="S413" s="35"/>
      <c r="T413" s="35"/>
      <c r="U413" s="35"/>
      <c r="V413" s="35"/>
      <c r="W413" s="35"/>
      <c r="X413" s="35"/>
      <c r="Y413" s="35"/>
      <c r="Z413" s="35"/>
    </row>
    <row r="414" ht="12.75" customHeight="1">
      <c r="A414" s="35"/>
      <c r="B414" s="35"/>
      <c r="C414" s="35"/>
      <c r="D414" s="35"/>
      <c r="E414" s="35"/>
      <c r="F414" s="35"/>
      <c r="G414" s="35"/>
      <c r="H414" s="35"/>
      <c r="I414" s="35"/>
      <c r="J414" s="35"/>
      <c r="K414" s="35"/>
      <c r="L414" s="35"/>
      <c r="M414" s="35"/>
      <c r="N414" s="35"/>
      <c r="O414" s="35"/>
      <c r="P414" s="35"/>
      <c r="Q414" s="35"/>
      <c r="R414" s="35"/>
      <c r="S414" s="35"/>
      <c r="T414" s="35"/>
      <c r="U414" s="35"/>
      <c r="V414" s="35"/>
      <c r="W414" s="35"/>
      <c r="X414" s="35"/>
      <c r="Y414" s="35"/>
      <c r="Z414" s="35"/>
    </row>
    <row r="415" ht="12.75" customHeight="1">
      <c r="A415" s="35"/>
      <c r="B415" s="35"/>
      <c r="C415" s="35"/>
      <c r="D415" s="35"/>
      <c r="E415" s="35"/>
      <c r="F415" s="35"/>
      <c r="G415" s="35"/>
      <c r="H415" s="35"/>
      <c r="I415" s="35"/>
      <c r="J415" s="35"/>
      <c r="K415" s="35"/>
      <c r="L415" s="35"/>
      <c r="M415" s="35"/>
      <c r="N415" s="35"/>
      <c r="O415" s="35"/>
      <c r="P415" s="35"/>
      <c r="Q415" s="35"/>
      <c r="R415" s="35"/>
      <c r="S415" s="35"/>
      <c r="T415" s="35"/>
      <c r="U415" s="35"/>
      <c r="V415" s="35"/>
      <c r="W415" s="35"/>
      <c r="X415" s="35"/>
      <c r="Y415" s="35"/>
      <c r="Z415" s="35"/>
    </row>
    <row r="416" ht="12.75" customHeight="1">
      <c r="A416" s="35"/>
      <c r="B416" s="35"/>
      <c r="C416" s="35"/>
      <c r="D416" s="35"/>
      <c r="E416" s="35"/>
      <c r="F416" s="35"/>
      <c r="G416" s="35"/>
      <c r="H416" s="35"/>
      <c r="I416" s="35"/>
      <c r="J416" s="35"/>
      <c r="K416" s="35"/>
      <c r="L416" s="35"/>
      <c r="M416" s="35"/>
      <c r="N416" s="35"/>
      <c r="O416" s="35"/>
      <c r="P416" s="35"/>
      <c r="Q416" s="35"/>
      <c r="R416" s="35"/>
      <c r="S416" s="35"/>
      <c r="T416" s="35"/>
      <c r="U416" s="35"/>
      <c r="V416" s="35"/>
      <c r="W416" s="35"/>
      <c r="X416" s="35"/>
      <c r="Y416" s="35"/>
      <c r="Z416" s="35"/>
    </row>
    <row r="417" ht="12.75" customHeight="1">
      <c r="A417" s="35"/>
      <c r="B417" s="35"/>
      <c r="C417" s="35"/>
      <c r="D417" s="35"/>
      <c r="E417" s="35"/>
      <c r="F417" s="35"/>
      <c r="G417" s="35"/>
      <c r="H417" s="35"/>
      <c r="I417" s="35"/>
      <c r="J417" s="35"/>
      <c r="K417" s="35"/>
      <c r="L417" s="35"/>
      <c r="M417" s="35"/>
      <c r="N417" s="35"/>
      <c r="O417" s="35"/>
      <c r="P417" s="35"/>
      <c r="Q417" s="35"/>
      <c r="R417" s="35"/>
      <c r="S417" s="35"/>
      <c r="T417" s="35"/>
      <c r="U417" s="35"/>
      <c r="V417" s="35"/>
      <c r="W417" s="35"/>
      <c r="X417" s="35"/>
      <c r="Y417" s="35"/>
      <c r="Z417" s="35"/>
    </row>
    <row r="418" ht="12.75" customHeight="1">
      <c r="A418" s="35"/>
      <c r="B418" s="35"/>
      <c r="C418" s="35"/>
      <c r="D418" s="35"/>
      <c r="E418" s="35"/>
      <c r="F418" s="35"/>
      <c r="G418" s="35"/>
      <c r="H418" s="35"/>
      <c r="I418" s="35"/>
      <c r="J418" s="35"/>
      <c r="K418" s="35"/>
      <c r="L418" s="35"/>
      <c r="M418" s="35"/>
      <c r="N418" s="35"/>
      <c r="O418" s="35"/>
      <c r="P418" s="35"/>
      <c r="Q418" s="35"/>
      <c r="R418" s="35"/>
      <c r="S418" s="35"/>
      <c r="T418" s="35"/>
      <c r="U418" s="35"/>
      <c r="V418" s="35"/>
      <c r="W418" s="35"/>
      <c r="X418" s="35"/>
      <c r="Y418" s="35"/>
      <c r="Z418" s="35"/>
    </row>
    <row r="419" ht="12.75" customHeight="1">
      <c r="A419" s="35"/>
      <c r="B419" s="35"/>
      <c r="C419" s="35"/>
      <c r="D419" s="35"/>
      <c r="E419" s="35"/>
      <c r="F419" s="35"/>
      <c r="G419" s="35"/>
      <c r="H419" s="35"/>
      <c r="I419" s="35"/>
      <c r="J419" s="35"/>
      <c r="K419" s="35"/>
      <c r="L419" s="35"/>
      <c r="M419" s="35"/>
      <c r="N419" s="35"/>
      <c r="O419" s="35"/>
      <c r="P419" s="35"/>
      <c r="Q419" s="35"/>
      <c r="R419" s="35"/>
      <c r="S419" s="35"/>
      <c r="T419" s="35"/>
      <c r="U419" s="35"/>
      <c r="V419" s="35"/>
      <c r="W419" s="35"/>
      <c r="X419" s="35"/>
      <c r="Y419" s="35"/>
      <c r="Z419" s="35"/>
    </row>
    <row r="420" ht="12.75" customHeight="1">
      <c r="A420" s="35"/>
      <c r="B420" s="35"/>
      <c r="C420" s="35"/>
      <c r="D420" s="35"/>
      <c r="E420" s="35"/>
      <c r="F420" s="35"/>
      <c r="G420" s="35"/>
      <c r="H420" s="35"/>
      <c r="I420" s="35"/>
      <c r="J420" s="35"/>
      <c r="K420" s="35"/>
      <c r="L420" s="35"/>
      <c r="M420" s="35"/>
      <c r="N420" s="35"/>
      <c r="O420" s="35"/>
      <c r="P420" s="35"/>
      <c r="Q420" s="35"/>
      <c r="R420" s="35"/>
      <c r="S420" s="35"/>
      <c r="T420" s="35"/>
      <c r="U420" s="35"/>
      <c r="V420" s="35"/>
      <c r="W420" s="35"/>
      <c r="X420" s="35"/>
      <c r="Y420" s="35"/>
      <c r="Z420" s="35"/>
    </row>
    <row r="421" ht="12.75" customHeight="1">
      <c r="A421" s="35"/>
      <c r="B421" s="35"/>
      <c r="C421" s="35"/>
      <c r="D421" s="35"/>
      <c r="E421" s="35"/>
      <c r="F421" s="35"/>
      <c r="G421" s="35"/>
      <c r="H421" s="35"/>
      <c r="I421" s="35"/>
      <c r="J421" s="35"/>
      <c r="K421" s="35"/>
      <c r="L421" s="35"/>
      <c r="M421" s="35"/>
      <c r="N421" s="35"/>
      <c r="O421" s="35"/>
      <c r="P421" s="35"/>
      <c r="Q421" s="35"/>
      <c r="R421" s="35"/>
      <c r="S421" s="35"/>
      <c r="T421" s="35"/>
      <c r="U421" s="35"/>
      <c r="V421" s="35"/>
      <c r="W421" s="35"/>
      <c r="X421" s="35"/>
      <c r="Y421" s="35"/>
      <c r="Z421" s="35"/>
    </row>
    <row r="422" ht="12.75" customHeight="1">
      <c r="A422" s="35"/>
      <c r="B422" s="35"/>
      <c r="C422" s="35"/>
      <c r="D422" s="35"/>
      <c r="E422" s="35"/>
      <c r="F422" s="35"/>
      <c r="G422" s="35"/>
      <c r="H422" s="35"/>
      <c r="I422" s="35"/>
      <c r="J422" s="35"/>
      <c r="K422" s="35"/>
      <c r="L422" s="35"/>
      <c r="M422" s="35"/>
      <c r="N422" s="35"/>
      <c r="O422" s="35"/>
      <c r="P422" s="35"/>
      <c r="Q422" s="35"/>
      <c r="R422" s="35"/>
      <c r="S422" s="35"/>
      <c r="T422" s="35"/>
      <c r="U422" s="35"/>
      <c r="V422" s="35"/>
      <c r="W422" s="35"/>
      <c r="X422" s="35"/>
      <c r="Y422" s="35"/>
      <c r="Z422" s="35"/>
    </row>
    <row r="423" ht="12.75" customHeight="1">
      <c r="A423" s="35"/>
      <c r="B423" s="35"/>
      <c r="C423" s="35"/>
      <c r="D423" s="35"/>
      <c r="E423" s="35"/>
      <c r="F423" s="35"/>
      <c r="G423" s="35"/>
      <c r="H423" s="35"/>
      <c r="I423" s="35"/>
      <c r="J423" s="35"/>
      <c r="K423" s="35"/>
      <c r="L423" s="35"/>
      <c r="M423" s="35"/>
      <c r="N423" s="35"/>
      <c r="O423" s="35"/>
      <c r="P423" s="35"/>
      <c r="Q423" s="35"/>
      <c r="R423" s="35"/>
      <c r="S423" s="35"/>
      <c r="T423" s="35"/>
      <c r="U423" s="35"/>
      <c r="V423" s="35"/>
      <c r="W423" s="35"/>
      <c r="X423" s="35"/>
      <c r="Y423" s="35"/>
      <c r="Z423" s="35"/>
    </row>
    <row r="424" ht="12.75" customHeight="1">
      <c r="A424" s="35"/>
      <c r="B424" s="35"/>
      <c r="C424" s="35"/>
      <c r="D424" s="35"/>
      <c r="E424" s="35"/>
      <c r="F424" s="35"/>
      <c r="G424" s="35"/>
      <c r="H424" s="35"/>
      <c r="I424" s="35"/>
      <c r="J424" s="35"/>
      <c r="K424" s="35"/>
      <c r="L424" s="35"/>
      <c r="M424" s="35"/>
      <c r="N424" s="35"/>
      <c r="O424" s="35"/>
      <c r="P424" s="35"/>
      <c r="Q424" s="35"/>
      <c r="R424" s="35"/>
      <c r="S424" s="35"/>
      <c r="T424" s="35"/>
      <c r="U424" s="35"/>
      <c r="V424" s="35"/>
      <c r="W424" s="35"/>
      <c r="X424" s="35"/>
      <c r="Y424" s="35"/>
      <c r="Z424" s="35"/>
    </row>
    <row r="425" ht="12.75" customHeight="1">
      <c r="A425" s="35"/>
      <c r="B425" s="35"/>
      <c r="C425" s="35"/>
      <c r="D425" s="35"/>
      <c r="E425" s="35"/>
      <c r="F425" s="35"/>
      <c r="G425" s="35"/>
      <c r="H425" s="35"/>
      <c r="I425" s="35"/>
      <c r="J425" s="35"/>
      <c r="K425" s="35"/>
      <c r="L425" s="35"/>
      <c r="M425" s="35"/>
      <c r="N425" s="35"/>
      <c r="O425" s="35"/>
      <c r="P425" s="35"/>
      <c r="Q425" s="35"/>
      <c r="R425" s="35"/>
      <c r="S425" s="35"/>
      <c r="T425" s="35"/>
      <c r="U425" s="35"/>
      <c r="V425" s="35"/>
      <c r="W425" s="35"/>
      <c r="X425" s="35"/>
      <c r="Y425" s="35"/>
      <c r="Z425" s="35"/>
    </row>
    <row r="426" ht="12.75" customHeight="1">
      <c r="A426" s="35"/>
      <c r="B426" s="35"/>
      <c r="C426" s="35"/>
      <c r="D426" s="35"/>
      <c r="E426" s="35"/>
      <c r="F426" s="35"/>
      <c r="G426" s="35"/>
      <c r="H426" s="35"/>
      <c r="I426" s="35"/>
      <c r="J426" s="35"/>
      <c r="K426" s="35"/>
      <c r="L426" s="35"/>
      <c r="M426" s="35"/>
      <c r="N426" s="35"/>
      <c r="O426" s="35"/>
      <c r="P426" s="35"/>
      <c r="Q426" s="35"/>
      <c r="R426" s="35"/>
      <c r="S426" s="35"/>
      <c r="T426" s="35"/>
      <c r="U426" s="35"/>
      <c r="V426" s="35"/>
      <c r="W426" s="35"/>
      <c r="X426" s="35"/>
      <c r="Y426" s="35"/>
      <c r="Z426" s="35"/>
    </row>
    <row r="427" ht="12.75" customHeight="1">
      <c r="A427" s="35"/>
      <c r="B427" s="35"/>
      <c r="C427" s="35"/>
      <c r="D427" s="35"/>
      <c r="E427" s="35"/>
      <c r="F427" s="35"/>
      <c r="G427" s="35"/>
      <c r="H427" s="35"/>
      <c r="I427" s="35"/>
      <c r="J427" s="35"/>
      <c r="K427" s="35"/>
      <c r="L427" s="35"/>
      <c r="M427" s="35"/>
      <c r="N427" s="35"/>
      <c r="O427" s="35"/>
      <c r="P427" s="35"/>
      <c r="Q427" s="35"/>
      <c r="R427" s="35"/>
      <c r="S427" s="35"/>
      <c r="T427" s="35"/>
      <c r="U427" s="35"/>
      <c r="V427" s="35"/>
      <c r="W427" s="35"/>
      <c r="X427" s="35"/>
      <c r="Y427" s="35"/>
      <c r="Z427" s="35"/>
    </row>
    <row r="428" ht="12.75" customHeight="1">
      <c r="A428" s="35"/>
      <c r="B428" s="35"/>
      <c r="C428" s="35"/>
      <c r="D428" s="35"/>
      <c r="E428" s="35"/>
      <c r="F428" s="35"/>
      <c r="G428" s="35"/>
      <c r="H428" s="35"/>
      <c r="I428" s="35"/>
      <c r="J428" s="35"/>
      <c r="K428" s="35"/>
      <c r="L428" s="35"/>
      <c r="M428" s="35"/>
      <c r="N428" s="35"/>
      <c r="O428" s="35"/>
      <c r="P428" s="35"/>
      <c r="Q428" s="35"/>
      <c r="R428" s="35"/>
      <c r="S428" s="35"/>
      <c r="T428" s="35"/>
      <c r="U428" s="35"/>
      <c r="V428" s="35"/>
      <c r="W428" s="35"/>
      <c r="X428" s="35"/>
      <c r="Y428" s="35"/>
      <c r="Z428" s="35"/>
    </row>
    <row r="429" ht="12.75" customHeight="1">
      <c r="A429" s="35"/>
      <c r="B429" s="35"/>
      <c r="C429" s="35"/>
      <c r="D429" s="35"/>
      <c r="E429" s="35"/>
      <c r="F429" s="35"/>
      <c r="G429" s="35"/>
      <c r="H429" s="35"/>
      <c r="I429" s="35"/>
      <c r="J429" s="35"/>
      <c r="K429" s="35"/>
      <c r="L429" s="35"/>
      <c r="M429" s="35"/>
      <c r="N429" s="35"/>
      <c r="O429" s="35"/>
      <c r="P429" s="35"/>
      <c r="Q429" s="35"/>
      <c r="R429" s="35"/>
      <c r="S429" s="35"/>
      <c r="T429" s="35"/>
      <c r="U429" s="35"/>
      <c r="V429" s="35"/>
      <c r="W429" s="35"/>
      <c r="X429" s="35"/>
      <c r="Y429" s="35"/>
      <c r="Z429" s="35"/>
    </row>
    <row r="430" ht="12.75" customHeight="1">
      <c r="A430" s="35"/>
      <c r="B430" s="35"/>
      <c r="C430" s="35"/>
      <c r="D430" s="35"/>
      <c r="E430" s="35"/>
      <c r="F430" s="35"/>
      <c r="G430" s="35"/>
      <c r="H430" s="35"/>
      <c r="I430" s="35"/>
      <c r="J430" s="35"/>
      <c r="K430" s="35"/>
      <c r="L430" s="35"/>
      <c r="M430" s="35"/>
      <c r="N430" s="35"/>
      <c r="O430" s="35"/>
      <c r="P430" s="35"/>
      <c r="Q430" s="35"/>
      <c r="R430" s="35"/>
      <c r="S430" s="35"/>
      <c r="T430" s="35"/>
      <c r="U430" s="35"/>
      <c r="V430" s="35"/>
      <c r="W430" s="35"/>
      <c r="X430" s="35"/>
      <c r="Y430" s="35"/>
      <c r="Z430" s="35"/>
    </row>
    <row r="431" ht="12.75" customHeight="1">
      <c r="A431" s="35"/>
      <c r="B431" s="35"/>
      <c r="C431" s="35"/>
      <c r="D431" s="35"/>
      <c r="E431" s="35"/>
      <c r="F431" s="35"/>
      <c r="G431" s="35"/>
      <c r="H431" s="35"/>
      <c r="I431" s="35"/>
      <c r="J431" s="35"/>
      <c r="K431" s="35"/>
      <c r="L431" s="35"/>
      <c r="M431" s="35"/>
      <c r="N431" s="35"/>
      <c r="O431" s="35"/>
      <c r="P431" s="35"/>
      <c r="Q431" s="35"/>
      <c r="R431" s="35"/>
      <c r="S431" s="35"/>
      <c r="T431" s="35"/>
      <c r="U431" s="35"/>
      <c r="V431" s="35"/>
      <c r="W431" s="35"/>
      <c r="X431" s="35"/>
      <c r="Y431" s="35"/>
      <c r="Z431" s="35"/>
    </row>
    <row r="432" ht="12.75" customHeight="1">
      <c r="A432" s="35"/>
      <c r="B432" s="35"/>
      <c r="C432" s="35"/>
      <c r="D432" s="35"/>
      <c r="E432" s="35"/>
      <c r="F432" s="35"/>
      <c r="G432" s="35"/>
      <c r="H432" s="35"/>
      <c r="I432" s="35"/>
      <c r="J432" s="35"/>
      <c r="K432" s="35"/>
      <c r="L432" s="35"/>
      <c r="M432" s="35"/>
      <c r="N432" s="35"/>
      <c r="O432" s="35"/>
      <c r="P432" s="35"/>
      <c r="Q432" s="35"/>
      <c r="R432" s="35"/>
      <c r="S432" s="35"/>
      <c r="T432" s="35"/>
      <c r="U432" s="35"/>
      <c r="V432" s="35"/>
      <c r="W432" s="35"/>
      <c r="X432" s="35"/>
      <c r="Y432" s="35"/>
      <c r="Z432" s="35"/>
    </row>
    <row r="433" ht="12.75" customHeight="1">
      <c r="A433" s="35"/>
      <c r="B433" s="35"/>
      <c r="C433" s="35"/>
      <c r="D433" s="35"/>
      <c r="E433" s="35"/>
      <c r="F433" s="35"/>
      <c r="G433" s="35"/>
      <c r="H433" s="35"/>
      <c r="I433" s="35"/>
      <c r="J433" s="35"/>
      <c r="K433" s="35"/>
      <c r="L433" s="35"/>
      <c r="M433" s="35"/>
      <c r="N433" s="35"/>
      <c r="O433" s="35"/>
      <c r="P433" s="35"/>
      <c r="Q433" s="35"/>
      <c r="R433" s="35"/>
      <c r="S433" s="35"/>
      <c r="T433" s="35"/>
      <c r="U433" s="35"/>
      <c r="V433" s="35"/>
      <c r="W433" s="35"/>
      <c r="X433" s="35"/>
      <c r="Y433" s="35"/>
      <c r="Z433" s="35"/>
    </row>
    <row r="434" ht="12.75" customHeight="1">
      <c r="A434" s="35"/>
      <c r="B434" s="35"/>
      <c r="C434" s="35"/>
      <c r="D434" s="35"/>
      <c r="E434" s="35"/>
      <c r="F434" s="35"/>
      <c r="G434" s="35"/>
      <c r="H434" s="35"/>
      <c r="I434" s="35"/>
      <c r="J434" s="35"/>
      <c r="K434" s="35"/>
      <c r="L434" s="35"/>
      <c r="M434" s="35"/>
      <c r="N434" s="35"/>
      <c r="O434" s="35"/>
      <c r="P434" s="35"/>
      <c r="Q434" s="35"/>
      <c r="R434" s="35"/>
      <c r="S434" s="35"/>
      <c r="T434" s="35"/>
      <c r="U434" s="35"/>
      <c r="V434" s="35"/>
      <c r="W434" s="35"/>
      <c r="X434" s="35"/>
      <c r="Y434" s="35"/>
      <c r="Z434" s="35"/>
    </row>
    <row r="435" ht="12.75" customHeight="1">
      <c r="A435" s="35"/>
      <c r="B435" s="35"/>
      <c r="C435" s="35"/>
      <c r="D435" s="35"/>
      <c r="E435" s="35"/>
      <c r="F435" s="35"/>
      <c r="G435" s="35"/>
      <c r="H435" s="35"/>
      <c r="I435" s="35"/>
      <c r="J435" s="35"/>
      <c r="K435" s="35"/>
      <c r="L435" s="35"/>
      <c r="M435" s="35"/>
      <c r="N435" s="35"/>
      <c r="O435" s="35"/>
      <c r="P435" s="35"/>
      <c r="Q435" s="35"/>
      <c r="R435" s="35"/>
      <c r="S435" s="35"/>
      <c r="T435" s="35"/>
      <c r="U435" s="35"/>
      <c r="V435" s="35"/>
      <c r="W435" s="35"/>
      <c r="X435" s="35"/>
      <c r="Y435" s="35"/>
      <c r="Z435" s="35"/>
    </row>
    <row r="436" ht="12.75" customHeight="1">
      <c r="A436" s="35"/>
      <c r="B436" s="35"/>
      <c r="C436" s="35"/>
      <c r="D436" s="35"/>
      <c r="E436" s="35"/>
      <c r="F436" s="35"/>
      <c r="G436" s="35"/>
      <c r="H436" s="35"/>
      <c r="I436" s="35"/>
      <c r="J436" s="35"/>
      <c r="K436" s="35"/>
      <c r="L436" s="35"/>
      <c r="M436" s="35"/>
      <c r="N436" s="35"/>
      <c r="O436" s="35"/>
      <c r="P436" s="35"/>
      <c r="Q436" s="35"/>
      <c r="R436" s="35"/>
      <c r="S436" s="35"/>
      <c r="T436" s="35"/>
      <c r="U436" s="35"/>
      <c r="V436" s="35"/>
      <c r="W436" s="35"/>
      <c r="X436" s="35"/>
      <c r="Y436" s="35"/>
      <c r="Z436" s="35"/>
    </row>
    <row r="437" ht="12.75" customHeight="1">
      <c r="A437" s="35"/>
      <c r="B437" s="35"/>
      <c r="C437" s="35"/>
      <c r="D437" s="35"/>
      <c r="E437" s="35"/>
      <c r="F437" s="35"/>
      <c r="G437" s="35"/>
      <c r="H437" s="35"/>
      <c r="I437" s="35"/>
      <c r="J437" s="35"/>
      <c r="K437" s="35"/>
      <c r="L437" s="35"/>
      <c r="M437" s="35"/>
      <c r="N437" s="35"/>
      <c r="O437" s="35"/>
      <c r="P437" s="35"/>
      <c r="Q437" s="35"/>
      <c r="R437" s="35"/>
      <c r="S437" s="35"/>
      <c r="T437" s="35"/>
      <c r="U437" s="35"/>
      <c r="V437" s="35"/>
      <c r="W437" s="35"/>
      <c r="X437" s="35"/>
      <c r="Y437" s="35"/>
      <c r="Z437" s="35"/>
    </row>
    <row r="438" ht="12.75" customHeight="1">
      <c r="A438" s="35"/>
      <c r="B438" s="35"/>
      <c r="C438" s="35"/>
      <c r="D438" s="35"/>
      <c r="E438" s="35"/>
      <c r="F438" s="35"/>
      <c r="G438" s="35"/>
      <c r="H438" s="35"/>
      <c r="I438" s="35"/>
      <c r="J438" s="35"/>
      <c r="K438" s="35"/>
      <c r="L438" s="35"/>
      <c r="M438" s="35"/>
      <c r="N438" s="35"/>
      <c r="O438" s="35"/>
      <c r="P438" s="35"/>
      <c r="Q438" s="35"/>
      <c r="R438" s="35"/>
      <c r="S438" s="35"/>
      <c r="T438" s="35"/>
      <c r="U438" s="35"/>
      <c r="V438" s="35"/>
      <c r="W438" s="35"/>
      <c r="X438" s="35"/>
      <c r="Y438" s="35"/>
      <c r="Z438" s="35"/>
    </row>
    <row r="439" ht="12.75" customHeight="1">
      <c r="A439" s="35"/>
      <c r="B439" s="35"/>
      <c r="C439" s="35"/>
      <c r="D439" s="35"/>
      <c r="E439" s="35"/>
      <c r="F439" s="35"/>
      <c r="G439" s="35"/>
      <c r="H439" s="35"/>
      <c r="I439" s="35"/>
      <c r="J439" s="35"/>
      <c r="K439" s="35"/>
      <c r="L439" s="35"/>
      <c r="M439" s="35"/>
      <c r="N439" s="35"/>
      <c r="O439" s="35"/>
      <c r="P439" s="35"/>
      <c r="Q439" s="35"/>
      <c r="R439" s="35"/>
      <c r="S439" s="35"/>
      <c r="T439" s="35"/>
      <c r="U439" s="35"/>
      <c r="V439" s="35"/>
      <c r="W439" s="35"/>
      <c r="X439" s="35"/>
      <c r="Y439" s="35"/>
      <c r="Z439" s="35"/>
    </row>
    <row r="440" ht="12.75" customHeight="1">
      <c r="A440" s="35"/>
      <c r="B440" s="35"/>
      <c r="C440" s="35"/>
      <c r="D440" s="35"/>
      <c r="E440" s="35"/>
      <c r="F440" s="35"/>
      <c r="G440" s="35"/>
      <c r="H440" s="35"/>
      <c r="I440" s="35"/>
      <c r="J440" s="35"/>
      <c r="K440" s="35"/>
      <c r="L440" s="35"/>
      <c r="M440" s="35"/>
      <c r="N440" s="35"/>
      <c r="O440" s="35"/>
      <c r="P440" s="35"/>
      <c r="Q440" s="35"/>
      <c r="R440" s="35"/>
      <c r="S440" s="35"/>
      <c r="T440" s="35"/>
      <c r="U440" s="35"/>
      <c r="V440" s="35"/>
      <c r="W440" s="35"/>
      <c r="X440" s="35"/>
      <c r="Y440" s="35"/>
      <c r="Z440" s="35"/>
    </row>
    <row r="441" ht="12.75" customHeight="1">
      <c r="A441" s="35"/>
      <c r="B441" s="35"/>
      <c r="C441" s="35"/>
      <c r="D441" s="35"/>
      <c r="E441" s="35"/>
      <c r="F441" s="35"/>
      <c r="G441" s="35"/>
      <c r="H441" s="35"/>
      <c r="I441" s="35"/>
      <c r="J441" s="35"/>
      <c r="K441" s="35"/>
      <c r="L441" s="35"/>
      <c r="M441" s="35"/>
      <c r="N441" s="35"/>
      <c r="O441" s="35"/>
      <c r="P441" s="35"/>
      <c r="Q441" s="35"/>
      <c r="R441" s="35"/>
      <c r="S441" s="35"/>
      <c r="T441" s="35"/>
      <c r="U441" s="35"/>
      <c r="V441" s="35"/>
      <c r="W441" s="35"/>
      <c r="X441" s="35"/>
      <c r="Y441" s="35"/>
      <c r="Z441" s="35"/>
    </row>
    <row r="442" ht="12.75" customHeight="1">
      <c r="A442" s="35"/>
      <c r="B442" s="35"/>
      <c r="C442" s="35"/>
      <c r="D442" s="35"/>
      <c r="E442" s="35"/>
      <c r="F442" s="35"/>
      <c r="G442" s="35"/>
      <c r="H442" s="35"/>
      <c r="I442" s="35"/>
      <c r="J442" s="35"/>
      <c r="K442" s="35"/>
      <c r="L442" s="35"/>
      <c r="M442" s="35"/>
      <c r="N442" s="35"/>
      <c r="O442" s="35"/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5"/>
    </row>
    <row r="443" ht="12.75" customHeight="1">
      <c r="A443" s="35"/>
      <c r="B443" s="35"/>
      <c r="C443" s="35"/>
      <c r="D443" s="35"/>
      <c r="E443" s="35"/>
      <c r="F443" s="35"/>
      <c r="G443" s="35"/>
      <c r="H443" s="35"/>
      <c r="I443" s="35"/>
      <c r="J443" s="35"/>
      <c r="K443" s="35"/>
      <c r="L443" s="35"/>
      <c r="M443" s="35"/>
      <c r="N443" s="35"/>
      <c r="O443" s="35"/>
      <c r="P443" s="35"/>
      <c r="Q443" s="35"/>
      <c r="R443" s="35"/>
      <c r="S443" s="35"/>
      <c r="T443" s="35"/>
      <c r="U443" s="35"/>
      <c r="V443" s="35"/>
      <c r="W443" s="35"/>
      <c r="X443" s="35"/>
      <c r="Y443" s="35"/>
      <c r="Z443" s="35"/>
    </row>
    <row r="444" ht="12.75" customHeight="1">
      <c r="A444" s="35"/>
      <c r="B444" s="35"/>
      <c r="C444" s="35"/>
      <c r="D444" s="35"/>
      <c r="E444" s="35"/>
      <c r="F444" s="35"/>
      <c r="G444" s="35"/>
      <c r="H444" s="35"/>
      <c r="I444" s="35"/>
      <c r="J444" s="35"/>
      <c r="K444" s="35"/>
      <c r="L444" s="35"/>
      <c r="M444" s="35"/>
      <c r="N444" s="35"/>
      <c r="O444" s="35"/>
      <c r="P444" s="35"/>
      <c r="Q444" s="35"/>
      <c r="R444" s="35"/>
      <c r="S444" s="35"/>
      <c r="T444" s="35"/>
      <c r="U444" s="35"/>
      <c r="V444" s="35"/>
      <c r="W444" s="35"/>
      <c r="X444" s="35"/>
      <c r="Y444" s="35"/>
      <c r="Z444" s="35"/>
    </row>
    <row r="445" ht="12.75" customHeight="1">
      <c r="A445" s="35"/>
      <c r="B445" s="35"/>
      <c r="C445" s="35"/>
      <c r="D445" s="35"/>
      <c r="E445" s="35"/>
      <c r="F445" s="35"/>
      <c r="G445" s="35"/>
      <c r="H445" s="35"/>
      <c r="I445" s="35"/>
      <c r="J445" s="35"/>
      <c r="K445" s="35"/>
      <c r="L445" s="35"/>
      <c r="M445" s="35"/>
      <c r="N445" s="35"/>
      <c r="O445" s="35"/>
      <c r="P445" s="35"/>
      <c r="Q445" s="35"/>
      <c r="R445" s="35"/>
      <c r="S445" s="35"/>
      <c r="T445" s="35"/>
      <c r="U445" s="35"/>
      <c r="V445" s="35"/>
      <c r="W445" s="35"/>
      <c r="X445" s="35"/>
      <c r="Y445" s="35"/>
      <c r="Z445" s="35"/>
    </row>
    <row r="446" ht="12.75" customHeight="1">
      <c r="A446" s="35"/>
      <c r="B446" s="35"/>
      <c r="C446" s="35"/>
      <c r="D446" s="35"/>
      <c r="E446" s="35"/>
      <c r="F446" s="35"/>
      <c r="G446" s="35"/>
      <c r="H446" s="35"/>
      <c r="I446" s="35"/>
      <c r="J446" s="35"/>
      <c r="K446" s="35"/>
      <c r="L446" s="35"/>
      <c r="M446" s="35"/>
      <c r="N446" s="35"/>
      <c r="O446" s="35"/>
      <c r="P446" s="35"/>
      <c r="Q446" s="35"/>
      <c r="R446" s="35"/>
      <c r="S446" s="35"/>
      <c r="T446" s="35"/>
      <c r="U446" s="35"/>
      <c r="V446" s="35"/>
      <c r="W446" s="35"/>
      <c r="X446" s="35"/>
      <c r="Y446" s="35"/>
      <c r="Z446" s="35"/>
    </row>
    <row r="447" ht="12.75" customHeight="1">
      <c r="A447" s="35"/>
      <c r="B447" s="35"/>
      <c r="C447" s="35"/>
      <c r="D447" s="35"/>
      <c r="E447" s="35"/>
      <c r="F447" s="35"/>
      <c r="G447" s="35"/>
      <c r="H447" s="35"/>
      <c r="I447" s="35"/>
      <c r="J447" s="35"/>
      <c r="K447" s="35"/>
      <c r="L447" s="35"/>
      <c r="M447" s="35"/>
      <c r="N447" s="35"/>
      <c r="O447" s="35"/>
      <c r="P447" s="35"/>
      <c r="Q447" s="35"/>
      <c r="R447" s="35"/>
      <c r="S447" s="35"/>
      <c r="T447" s="35"/>
      <c r="U447" s="35"/>
      <c r="V447" s="35"/>
      <c r="W447" s="35"/>
      <c r="X447" s="35"/>
      <c r="Y447" s="35"/>
      <c r="Z447" s="35"/>
    </row>
    <row r="448" ht="12.75" customHeight="1">
      <c r="A448" s="35"/>
      <c r="B448" s="35"/>
      <c r="C448" s="35"/>
      <c r="D448" s="35"/>
      <c r="E448" s="35"/>
      <c r="F448" s="35"/>
      <c r="G448" s="35"/>
      <c r="H448" s="35"/>
      <c r="I448" s="35"/>
      <c r="J448" s="35"/>
      <c r="K448" s="35"/>
      <c r="L448" s="35"/>
      <c r="M448" s="35"/>
      <c r="N448" s="35"/>
      <c r="O448" s="35"/>
      <c r="P448" s="35"/>
      <c r="Q448" s="35"/>
      <c r="R448" s="35"/>
      <c r="S448" s="35"/>
      <c r="T448" s="35"/>
      <c r="U448" s="35"/>
      <c r="V448" s="35"/>
      <c r="W448" s="35"/>
      <c r="X448" s="35"/>
      <c r="Y448" s="35"/>
      <c r="Z448" s="35"/>
    </row>
    <row r="449" ht="12.75" customHeight="1">
      <c r="A449" s="35"/>
      <c r="B449" s="35"/>
      <c r="C449" s="35"/>
      <c r="D449" s="35"/>
      <c r="E449" s="35"/>
      <c r="F449" s="35"/>
      <c r="G449" s="35"/>
      <c r="H449" s="35"/>
      <c r="I449" s="35"/>
      <c r="J449" s="35"/>
      <c r="K449" s="35"/>
      <c r="L449" s="35"/>
      <c r="M449" s="35"/>
      <c r="N449" s="35"/>
      <c r="O449" s="35"/>
      <c r="P449" s="35"/>
      <c r="Q449" s="35"/>
      <c r="R449" s="35"/>
      <c r="S449" s="35"/>
      <c r="T449" s="35"/>
      <c r="U449" s="35"/>
      <c r="V449" s="35"/>
      <c r="W449" s="35"/>
      <c r="X449" s="35"/>
      <c r="Y449" s="35"/>
      <c r="Z449" s="35"/>
    </row>
    <row r="450" ht="12.75" customHeight="1">
      <c r="A450" s="35"/>
      <c r="B450" s="35"/>
      <c r="C450" s="35"/>
      <c r="D450" s="35"/>
      <c r="E450" s="35"/>
      <c r="F450" s="35"/>
      <c r="G450" s="35"/>
      <c r="H450" s="35"/>
      <c r="I450" s="35"/>
      <c r="J450" s="35"/>
      <c r="K450" s="35"/>
      <c r="L450" s="35"/>
      <c r="M450" s="35"/>
      <c r="N450" s="35"/>
      <c r="O450" s="35"/>
      <c r="P450" s="35"/>
      <c r="Q450" s="35"/>
      <c r="R450" s="35"/>
      <c r="S450" s="35"/>
      <c r="T450" s="35"/>
      <c r="U450" s="35"/>
      <c r="V450" s="35"/>
      <c r="W450" s="35"/>
      <c r="X450" s="35"/>
      <c r="Y450" s="35"/>
      <c r="Z450" s="35"/>
    </row>
    <row r="451" ht="12.75" customHeight="1">
      <c r="A451" s="35"/>
      <c r="B451" s="35"/>
      <c r="C451" s="35"/>
      <c r="D451" s="35"/>
      <c r="E451" s="35"/>
      <c r="F451" s="35"/>
      <c r="G451" s="35"/>
      <c r="H451" s="35"/>
      <c r="I451" s="35"/>
      <c r="J451" s="35"/>
      <c r="K451" s="35"/>
      <c r="L451" s="35"/>
      <c r="M451" s="35"/>
      <c r="N451" s="35"/>
      <c r="O451" s="35"/>
      <c r="P451" s="35"/>
      <c r="Q451" s="35"/>
      <c r="R451" s="35"/>
      <c r="S451" s="35"/>
      <c r="T451" s="35"/>
      <c r="U451" s="35"/>
      <c r="V451" s="35"/>
      <c r="W451" s="35"/>
      <c r="X451" s="35"/>
      <c r="Y451" s="35"/>
      <c r="Z451" s="35"/>
    </row>
    <row r="452" ht="12.75" customHeight="1">
      <c r="A452" s="35"/>
      <c r="B452" s="35"/>
      <c r="C452" s="35"/>
      <c r="D452" s="35"/>
      <c r="E452" s="35"/>
      <c r="F452" s="35"/>
      <c r="G452" s="35"/>
      <c r="H452" s="35"/>
      <c r="I452" s="35"/>
      <c r="J452" s="35"/>
      <c r="K452" s="35"/>
      <c r="L452" s="35"/>
      <c r="M452" s="35"/>
      <c r="N452" s="35"/>
      <c r="O452" s="35"/>
      <c r="P452" s="35"/>
      <c r="Q452" s="35"/>
      <c r="R452" s="35"/>
      <c r="S452" s="35"/>
      <c r="T452" s="35"/>
      <c r="U452" s="35"/>
      <c r="V452" s="35"/>
      <c r="W452" s="35"/>
      <c r="X452" s="35"/>
      <c r="Y452" s="35"/>
      <c r="Z452" s="35"/>
    </row>
    <row r="453" ht="12.75" customHeight="1">
      <c r="A453" s="35"/>
      <c r="B453" s="35"/>
      <c r="C453" s="35"/>
      <c r="D453" s="35"/>
      <c r="E453" s="35"/>
      <c r="F453" s="35"/>
      <c r="G453" s="35"/>
      <c r="H453" s="35"/>
      <c r="I453" s="35"/>
      <c r="J453" s="35"/>
      <c r="K453" s="35"/>
      <c r="L453" s="35"/>
      <c r="M453" s="35"/>
      <c r="N453" s="35"/>
      <c r="O453" s="35"/>
      <c r="P453" s="35"/>
      <c r="Q453" s="35"/>
      <c r="R453" s="35"/>
      <c r="S453" s="35"/>
      <c r="T453" s="35"/>
      <c r="U453" s="35"/>
      <c r="V453" s="35"/>
      <c r="W453" s="35"/>
      <c r="X453" s="35"/>
      <c r="Y453" s="35"/>
      <c r="Z453" s="35"/>
    </row>
    <row r="454" ht="12.75" customHeight="1">
      <c r="A454" s="35"/>
      <c r="B454" s="35"/>
      <c r="C454" s="35"/>
      <c r="D454" s="35"/>
      <c r="E454" s="35"/>
      <c r="F454" s="35"/>
      <c r="G454" s="35"/>
      <c r="H454" s="35"/>
      <c r="I454" s="35"/>
      <c r="J454" s="35"/>
      <c r="K454" s="35"/>
      <c r="L454" s="35"/>
      <c r="M454" s="35"/>
      <c r="N454" s="35"/>
      <c r="O454" s="35"/>
      <c r="P454" s="35"/>
      <c r="Q454" s="35"/>
      <c r="R454" s="35"/>
      <c r="S454" s="35"/>
      <c r="T454" s="35"/>
      <c r="U454" s="35"/>
      <c r="V454" s="35"/>
      <c r="W454" s="35"/>
      <c r="X454" s="35"/>
      <c r="Y454" s="35"/>
      <c r="Z454" s="35"/>
    </row>
    <row r="455" ht="12.75" customHeight="1">
      <c r="A455" s="35"/>
      <c r="B455" s="35"/>
      <c r="C455" s="35"/>
      <c r="D455" s="35"/>
      <c r="E455" s="35"/>
      <c r="F455" s="35"/>
      <c r="G455" s="35"/>
      <c r="H455" s="35"/>
      <c r="I455" s="35"/>
      <c r="J455" s="35"/>
      <c r="K455" s="35"/>
      <c r="L455" s="35"/>
      <c r="M455" s="35"/>
      <c r="N455" s="35"/>
      <c r="O455" s="35"/>
      <c r="P455" s="35"/>
      <c r="Q455" s="35"/>
      <c r="R455" s="35"/>
      <c r="S455" s="35"/>
      <c r="T455" s="35"/>
      <c r="U455" s="35"/>
      <c r="V455" s="35"/>
      <c r="W455" s="35"/>
      <c r="X455" s="35"/>
      <c r="Y455" s="35"/>
      <c r="Z455" s="35"/>
    </row>
    <row r="456" ht="12.75" customHeight="1">
      <c r="A456" s="35"/>
      <c r="B456" s="35"/>
      <c r="C456" s="35"/>
      <c r="D456" s="35"/>
      <c r="E456" s="35"/>
      <c r="F456" s="35"/>
      <c r="G456" s="35"/>
      <c r="H456" s="35"/>
      <c r="I456" s="35"/>
      <c r="J456" s="35"/>
      <c r="K456" s="35"/>
      <c r="L456" s="35"/>
      <c r="M456" s="35"/>
      <c r="N456" s="35"/>
      <c r="O456" s="35"/>
      <c r="P456" s="35"/>
      <c r="Q456" s="35"/>
      <c r="R456" s="35"/>
      <c r="S456" s="35"/>
      <c r="T456" s="35"/>
      <c r="U456" s="35"/>
      <c r="V456" s="35"/>
      <c r="W456" s="35"/>
      <c r="X456" s="35"/>
      <c r="Y456" s="35"/>
      <c r="Z456" s="35"/>
    </row>
    <row r="457" ht="12.75" customHeight="1">
      <c r="A457" s="35"/>
      <c r="B457" s="35"/>
      <c r="C457" s="35"/>
      <c r="D457" s="35"/>
      <c r="E457" s="35"/>
      <c r="F457" s="35"/>
      <c r="G457" s="35"/>
      <c r="H457" s="35"/>
      <c r="I457" s="35"/>
      <c r="J457" s="35"/>
      <c r="K457" s="35"/>
      <c r="L457" s="35"/>
      <c r="M457" s="35"/>
      <c r="N457" s="35"/>
      <c r="O457" s="35"/>
      <c r="P457" s="35"/>
      <c r="Q457" s="35"/>
      <c r="R457" s="35"/>
      <c r="S457" s="35"/>
      <c r="T457" s="35"/>
      <c r="U457" s="35"/>
      <c r="V457" s="35"/>
      <c r="W457" s="35"/>
      <c r="X457" s="35"/>
      <c r="Y457" s="35"/>
      <c r="Z457" s="35"/>
    </row>
    <row r="458" ht="12.75" customHeight="1">
      <c r="A458" s="35"/>
      <c r="B458" s="35"/>
      <c r="C458" s="35"/>
      <c r="D458" s="35"/>
      <c r="E458" s="35"/>
      <c r="F458" s="35"/>
      <c r="G458" s="35"/>
      <c r="H458" s="35"/>
      <c r="I458" s="35"/>
      <c r="J458" s="35"/>
      <c r="K458" s="35"/>
      <c r="L458" s="35"/>
      <c r="M458" s="35"/>
      <c r="N458" s="35"/>
      <c r="O458" s="35"/>
      <c r="P458" s="35"/>
      <c r="Q458" s="35"/>
      <c r="R458" s="35"/>
      <c r="S458" s="35"/>
      <c r="T458" s="35"/>
      <c r="U458" s="35"/>
      <c r="V458" s="35"/>
      <c r="W458" s="35"/>
      <c r="X458" s="35"/>
      <c r="Y458" s="35"/>
      <c r="Z458" s="35"/>
    </row>
    <row r="459" ht="12.75" customHeight="1">
      <c r="A459" s="35"/>
      <c r="B459" s="35"/>
      <c r="C459" s="35"/>
      <c r="D459" s="35"/>
      <c r="E459" s="35"/>
      <c r="F459" s="35"/>
      <c r="G459" s="35"/>
      <c r="H459" s="35"/>
      <c r="I459" s="35"/>
      <c r="J459" s="35"/>
      <c r="K459" s="35"/>
      <c r="L459" s="35"/>
      <c r="M459" s="35"/>
      <c r="N459" s="35"/>
      <c r="O459" s="35"/>
      <c r="P459" s="35"/>
      <c r="Q459" s="35"/>
      <c r="R459" s="35"/>
      <c r="S459" s="35"/>
      <c r="T459" s="35"/>
      <c r="U459" s="35"/>
      <c r="V459" s="35"/>
      <c r="W459" s="35"/>
      <c r="X459" s="35"/>
      <c r="Y459" s="35"/>
      <c r="Z459" s="35"/>
    </row>
    <row r="460" ht="12.75" customHeight="1">
      <c r="A460" s="35"/>
      <c r="B460" s="35"/>
      <c r="C460" s="35"/>
      <c r="D460" s="35"/>
      <c r="E460" s="35"/>
      <c r="F460" s="35"/>
      <c r="G460" s="35"/>
      <c r="H460" s="35"/>
      <c r="I460" s="35"/>
      <c r="J460" s="35"/>
      <c r="K460" s="35"/>
      <c r="L460" s="35"/>
      <c r="M460" s="35"/>
      <c r="N460" s="35"/>
      <c r="O460" s="35"/>
      <c r="P460" s="35"/>
      <c r="Q460" s="35"/>
      <c r="R460" s="35"/>
      <c r="S460" s="35"/>
      <c r="T460" s="35"/>
      <c r="U460" s="35"/>
      <c r="V460" s="35"/>
      <c r="W460" s="35"/>
      <c r="X460" s="35"/>
      <c r="Y460" s="35"/>
      <c r="Z460" s="35"/>
    </row>
    <row r="461" ht="12.75" customHeight="1">
      <c r="A461" s="35"/>
      <c r="B461" s="35"/>
      <c r="C461" s="35"/>
      <c r="D461" s="35"/>
      <c r="E461" s="35"/>
      <c r="F461" s="35"/>
      <c r="G461" s="35"/>
      <c r="H461" s="35"/>
      <c r="I461" s="35"/>
      <c r="J461" s="35"/>
      <c r="K461" s="35"/>
      <c r="L461" s="35"/>
      <c r="M461" s="35"/>
      <c r="N461" s="35"/>
      <c r="O461" s="35"/>
      <c r="P461" s="35"/>
      <c r="Q461" s="35"/>
      <c r="R461" s="35"/>
      <c r="S461" s="35"/>
      <c r="T461" s="35"/>
      <c r="U461" s="35"/>
      <c r="V461" s="35"/>
      <c r="W461" s="35"/>
      <c r="X461" s="35"/>
      <c r="Y461" s="35"/>
      <c r="Z461" s="35"/>
    </row>
    <row r="462" ht="12.75" customHeight="1">
      <c r="A462" s="35"/>
      <c r="B462" s="35"/>
      <c r="C462" s="35"/>
      <c r="D462" s="35"/>
      <c r="E462" s="35"/>
      <c r="F462" s="35"/>
      <c r="G462" s="35"/>
      <c r="H462" s="35"/>
      <c r="I462" s="35"/>
      <c r="J462" s="35"/>
      <c r="K462" s="35"/>
      <c r="L462" s="35"/>
      <c r="M462" s="35"/>
      <c r="N462" s="35"/>
      <c r="O462" s="35"/>
      <c r="P462" s="35"/>
      <c r="Q462" s="35"/>
      <c r="R462" s="35"/>
      <c r="S462" s="35"/>
      <c r="T462" s="35"/>
      <c r="U462" s="35"/>
      <c r="V462" s="35"/>
      <c r="W462" s="35"/>
      <c r="X462" s="35"/>
      <c r="Y462" s="35"/>
      <c r="Z462" s="35"/>
    </row>
    <row r="463" ht="12.75" customHeight="1">
      <c r="A463" s="35"/>
      <c r="B463" s="35"/>
      <c r="C463" s="35"/>
      <c r="D463" s="35"/>
      <c r="E463" s="35"/>
      <c r="F463" s="35"/>
      <c r="G463" s="35"/>
      <c r="H463" s="35"/>
      <c r="I463" s="35"/>
      <c r="J463" s="35"/>
      <c r="K463" s="35"/>
      <c r="L463" s="35"/>
      <c r="M463" s="35"/>
      <c r="N463" s="35"/>
      <c r="O463" s="35"/>
      <c r="P463" s="35"/>
      <c r="Q463" s="35"/>
      <c r="R463" s="35"/>
      <c r="S463" s="35"/>
      <c r="T463" s="35"/>
      <c r="U463" s="35"/>
      <c r="V463" s="35"/>
      <c r="W463" s="35"/>
      <c r="X463" s="35"/>
      <c r="Y463" s="35"/>
      <c r="Z463" s="35"/>
    </row>
    <row r="464" ht="12.75" customHeight="1">
      <c r="A464" s="35"/>
      <c r="B464" s="35"/>
      <c r="C464" s="35"/>
      <c r="D464" s="35"/>
      <c r="E464" s="35"/>
      <c r="F464" s="35"/>
      <c r="G464" s="35"/>
      <c r="H464" s="35"/>
      <c r="I464" s="35"/>
      <c r="J464" s="35"/>
      <c r="K464" s="35"/>
      <c r="L464" s="35"/>
      <c r="M464" s="35"/>
      <c r="N464" s="35"/>
      <c r="O464" s="35"/>
      <c r="P464" s="35"/>
      <c r="Q464" s="35"/>
      <c r="R464" s="35"/>
      <c r="S464" s="35"/>
      <c r="T464" s="35"/>
      <c r="U464" s="35"/>
      <c r="V464" s="35"/>
      <c r="W464" s="35"/>
      <c r="X464" s="35"/>
      <c r="Y464" s="35"/>
      <c r="Z464" s="35"/>
    </row>
    <row r="465" ht="12.75" customHeight="1">
      <c r="A465" s="35"/>
      <c r="B465" s="35"/>
      <c r="C465" s="35"/>
      <c r="D465" s="35"/>
      <c r="E465" s="35"/>
      <c r="F465" s="35"/>
      <c r="G465" s="35"/>
      <c r="H465" s="35"/>
      <c r="I465" s="35"/>
      <c r="J465" s="35"/>
      <c r="K465" s="35"/>
      <c r="L465" s="35"/>
      <c r="M465" s="35"/>
      <c r="N465" s="35"/>
      <c r="O465" s="35"/>
      <c r="P465" s="35"/>
      <c r="Q465" s="35"/>
      <c r="R465" s="35"/>
      <c r="S465" s="35"/>
      <c r="T465" s="35"/>
      <c r="U465" s="35"/>
      <c r="V465" s="35"/>
      <c r="W465" s="35"/>
      <c r="X465" s="35"/>
      <c r="Y465" s="35"/>
      <c r="Z465" s="35"/>
    </row>
    <row r="466" ht="12.75" customHeight="1">
      <c r="A466" s="35"/>
      <c r="B466" s="35"/>
      <c r="C466" s="35"/>
      <c r="D466" s="35"/>
      <c r="E466" s="35"/>
      <c r="F466" s="35"/>
      <c r="G466" s="35"/>
      <c r="H466" s="35"/>
      <c r="I466" s="35"/>
      <c r="J466" s="35"/>
      <c r="K466" s="35"/>
      <c r="L466" s="35"/>
      <c r="M466" s="35"/>
      <c r="N466" s="35"/>
      <c r="O466" s="35"/>
      <c r="P466" s="35"/>
      <c r="Q466" s="35"/>
      <c r="R466" s="35"/>
      <c r="S466" s="35"/>
      <c r="T466" s="35"/>
      <c r="U466" s="35"/>
      <c r="V466" s="35"/>
      <c r="W466" s="35"/>
      <c r="X466" s="35"/>
      <c r="Y466" s="35"/>
      <c r="Z466" s="35"/>
    </row>
    <row r="467" ht="12.75" customHeight="1">
      <c r="A467" s="35"/>
      <c r="B467" s="35"/>
      <c r="C467" s="35"/>
      <c r="D467" s="35"/>
      <c r="E467" s="35"/>
      <c r="F467" s="35"/>
      <c r="G467" s="35"/>
      <c r="H467" s="35"/>
      <c r="I467" s="35"/>
      <c r="J467" s="35"/>
      <c r="K467" s="35"/>
      <c r="L467" s="35"/>
      <c r="M467" s="35"/>
      <c r="N467" s="35"/>
      <c r="O467" s="35"/>
      <c r="P467" s="35"/>
      <c r="Q467" s="35"/>
      <c r="R467" s="35"/>
      <c r="S467" s="35"/>
      <c r="T467" s="35"/>
      <c r="U467" s="35"/>
      <c r="V467" s="35"/>
      <c r="W467" s="35"/>
      <c r="X467" s="35"/>
      <c r="Y467" s="35"/>
      <c r="Z467" s="35"/>
    </row>
    <row r="468" ht="12.75" customHeight="1">
      <c r="A468" s="35"/>
      <c r="B468" s="35"/>
      <c r="C468" s="35"/>
      <c r="D468" s="35"/>
      <c r="E468" s="35"/>
      <c r="F468" s="35"/>
      <c r="G468" s="35"/>
      <c r="H468" s="35"/>
      <c r="I468" s="35"/>
      <c r="J468" s="35"/>
      <c r="K468" s="35"/>
      <c r="L468" s="35"/>
      <c r="M468" s="35"/>
      <c r="N468" s="35"/>
      <c r="O468" s="35"/>
      <c r="P468" s="35"/>
      <c r="Q468" s="35"/>
      <c r="R468" s="35"/>
      <c r="S468" s="35"/>
      <c r="T468" s="35"/>
      <c r="U468" s="35"/>
      <c r="V468" s="35"/>
      <c r="W468" s="35"/>
      <c r="X468" s="35"/>
      <c r="Y468" s="35"/>
      <c r="Z468" s="35"/>
    </row>
    <row r="469" ht="12.75" customHeight="1">
      <c r="A469" s="35"/>
      <c r="B469" s="35"/>
      <c r="C469" s="35"/>
      <c r="D469" s="35"/>
      <c r="E469" s="35"/>
      <c r="F469" s="35"/>
      <c r="G469" s="35"/>
      <c r="H469" s="35"/>
      <c r="I469" s="35"/>
      <c r="J469" s="35"/>
      <c r="K469" s="35"/>
      <c r="L469" s="35"/>
      <c r="M469" s="35"/>
      <c r="N469" s="35"/>
      <c r="O469" s="35"/>
      <c r="P469" s="35"/>
      <c r="Q469" s="35"/>
      <c r="R469" s="35"/>
      <c r="S469" s="35"/>
      <c r="T469" s="35"/>
      <c r="U469" s="35"/>
      <c r="V469" s="35"/>
      <c r="W469" s="35"/>
      <c r="X469" s="35"/>
      <c r="Y469" s="35"/>
      <c r="Z469" s="35"/>
    </row>
    <row r="470" ht="12.75" customHeight="1">
      <c r="A470" s="35"/>
      <c r="B470" s="35"/>
      <c r="C470" s="35"/>
      <c r="D470" s="35"/>
      <c r="E470" s="35"/>
      <c r="F470" s="35"/>
      <c r="G470" s="35"/>
      <c r="H470" s="35"/>
      <c r="I470" s="35"/>
      <c r="J470" s="35"/>
      <c r="K470" s="35"/>
      <c r="L470" s="35"/>
      <c r="M470" s="35"/>
      <c r="N470" s="35"/>
      <c r="O470" s="35"/>
      <c r="P470" s="35"/>
      <c r="Q470" s="35"/>
      <c r="R470" s="35"/>
      <c r="S470" s="35"/>
      <c r="T470" s="35"/>
      <c r="U470" s="35"/>
      <c r="V470" s="35"/>
      <c r="W470" s="35"/>
      <c r="X470" s="35"/>
      <c r="Y470" s="35"/>
      <c r="Z470" s="35"/>
    </row>
    <row r="471" ht="12.75" customHeight="1">
      <c r="A471" s="35"/>
      <c r="B471" s="35"/>
      <c r="C471" s="35"/>
      <c r="D471" s="35"/>
      <c r="E471" s="35"/>
      <c r="F471" s="35"/>
      <c r="G471" s="35"/>
      <c r="H471" s="35"/>
      <c r="I471" s="35"/>
      <c r="J471" s="35"/>
      <c r="K471" s="35"/>
      <c r="L471" s="35"/>
      <c r="M471" s="35"/>
      <c r="N471" s="35"/>
      <c r="O471" s="35"/>
      <c r="P471" s="35"/>
      <c r="Q471" s="35"/>
      <c r="R471" s="35"/>
      <c r="S471" s="35"/>
      <c r="T471" s="35"/>
      <c r="U471" s="35"/>
      <c r="V471" s="35"/>
      <c r="W471" s="35"/>
      <c r="X471" s="35"/>
      <c r="Y471" s="35"/>
      <c r="Z471" s="35"/>
    </row>
    <row r="472" ht="12.75" customHeight="1">
      <c r="A472" s="35"/>
      <c r="B472" s="35"/>
      <c r="C472" s="35"/>
      <c r="D472" s="35"/>
      <c r="E472" s="35"/>
      <c r="F472" s="35"/>
      <c r="G472" s="35"/>
      <c r="H472" s="35"/>
      <c r="I472" s="35"/>
      <c r="J472" s="35"/>
      <c r="K472" s="35"/>
      <c r="L472" s="35"/>
      <c r="M472" s="35"/>
      <c r="N472" s="35"/>
      <c r="O472" s="35"/>
      <c r="P472" s="35"/>
      <c r="Q472" s="35"/>
      <c r="R472" s="35"/>
      <c r="S472" s="35"/>
      <c r="T472" s="35"/>
      <c r="U472" s="35"/>
      <c r="V472" s="35"/>
      <c r="W472" s="35"/>
      <c r="X472" s="35"/>
      <c r="Y472" s="35"/>
      <c r="Z472" s="35"/>
    </row>
    <row r="473" ht="12.75" customHeight="1">
      <c r="A473" s="35"/>
      <c r="B473" s="35"/>
      <c r="C473" s="35"/>
      <c r="D473" s="35"/>
      <c r="E473" s="35"/>
      <c r="F473" s="35"/>
      <c r="G473" s="35"/>
      <c r="H473" s="35"/>
      <c r="I473" s="35"/>
      <c r="J473" s="35"/>
      <c r="K473" s="35"/>
      <c r="L473" s="35"/>
      <c r="M473" s="35"/>
      <c r="N473" s="35"/>
      <c r="O473" s="35"/>
      <c r="P473" s="35"/>
      <c r="Q473" s="35"/>
      <c r="R473" s="35"/>
      <c r="S473" s="35"/>
      <c r="T473" s="35"/>
      <c r="U473" s="35"/>
      <c r="V473" s="35"/>
      <c r="W473" s="35"/>
      <c r="X473" s="35"/>
      <c r="Y473" s="35"/>
      <c r="Z473" s="35"/>
    </row>
    <row r="474" ht="12.75" customHeight="1">
      <c r="A474" s="35"/>
      <c r="B474" s="35"/>
      <c r="C474" s="35"/>
      <c r="D474" s="35"/>
      <c r="E474" s="35"/>
      <c r="F474" s="35"/>
      <c r="G474" s="35"/>
      <c r="H474" s="35"/>
      <c r="I474" s="35"/>
      <c r="J474" s="35"/>
      <c r="K474" s="35"/>
      <c r="L474" s="35"/>
      <c r="M474" s="35"/>
      <c r="N474" s="35"/>
      <c r="O474" s="35"/>
      <c r="P474" s="35"/>
      <c r="Q474" s="35"/>
      <c r="R474" s="35"/>
      <c r="S474" s="35"/>
      <c r="T474" s="35"/>
      <c r="U474" s="35"/>
      <c r="V474" s="35"/>
      <c r="W474" s="35"/>
      <c r="X474" s="35"/>
      <c r="Y474" s="35"/>
      <c r="Z474" s="35"/>
    </row>
    <row r="475" ht="12.75" customHeight="1">
      <c r="A475" s="35"/>
      <c r="B475" s="35"/>
      <c r="C475" s="35"/>
      <c r="D475" s="35"/>
      <c r="E475" s="35"/>
      <c r="F475" s="35"/>
      <c r="G475" s="35"/>
      <c r="H475" s="35"/>
      <c r="I475" s="35"/>
      <c r="J475" s="35"/>
      <c r="K475" s="35"/>
      <c r="L475" s="35"/>
      <c r="M475" s="35"/>
      <c r="N475" s="35"/>
      <c r="O475" s="35"/>
      <c r="P475" s="35"/>
      <c r="Q475" s="35"/>
      <c r="R475" s="35"/>
      <c r="S475" s="35"/>
      <c r="T475" s="35"/>
      <c r="U475" s="35"/>
      <c r="V475" s="35"/>
      <c r="W475" s="35"/>
      <c r="X475" s="35"/>
      <c r="Y475" s="35"/>
      <c r="Z475" s="35"/>
    </row>
    <row r="476" ht="12.75" customHeight="1">
      <c r="A476" s="35"/>
      <c r="B476" s="35"/>
      <c r="C476" s="35"/>
      <c r="D476" s="35"/>
      <c r="E476" s="35"/>
      <c r="F476" s="35"/>
      <c r="G476" s="35"/>
      <c r="H476" s="35"/>
      <c r="I476" s="35"/>
      <c r="J476" s="35"/>
      <c r="K476" s="35"/>
      <c r="L476" s="35"/>
      <c r="M476" s="35"/>
      <c r="N476" s="35"/>
      <c r="O476" s="35"/>
      <c r="P476" s="35"/>
      <c r="Q476" s="35"/>
      <c r="R476" s="35"/>
      <c r="S476" s="35"/>
      <c r="T476" s="35"/>
      <c r="U476" s="35"/>
      <c r="V476" s="35"/>
      <c r="W476" s="35"/>
      <c r="X476" s="35"/>
      <c r="Y476" s="35"/>
      <c r="Z476" s="35"/>
    </row>
    <row r="477" ht="12.75" customHeight="1">
      <c r="A477" s="35"/>
      <c r="B477" s="35"/>
      <c r="C477" s="35"/>
      <c r="D477" s="35"/>
      <c r="E477" s="35"/>
      <c r="F477" s="35"/>
      <c r="G477" s="35"/>
      <c r="H477" s="35"/>
      <c r="I477" s="35"/>
      <c r="J477" s="35"/>
      <c r="K477" s="35"/>
      <c r="L477" s="35"/>
      <c r="M477" s="35"/>
      <c r="N477" s="35"/>
      <c r="O477" s="35"/>
      <c r="P477" s="35"/>
      <c r="Q477" s="35"/>
      <c r="R477" s="35"/>
      <c r="S477" s="35"/>
      <c r="T477" s="35"/>
      <c r="U477" s="35"/>
      <c r="V477" s="35"/>
      <c r="W477" s="35"/>
      <c r="X477" s="35"/>
      <c r="Y477" s="35"/>
      <c r="Z477" s="35"/>
    </row>
    <row r="478" ht="12.75" customHeight="1">
      <c r="A478" s="35"/>
      <c r="B478" s="35"/>
      <c r="C478" s="35"/>
      <c r="D478" s="35"/>
      <c r="E478" s="35"/>
      <c r="F478" s="35"/>
      <c r="G478" s="35"/>
      <c r="H478" s="35"/>
      <c r="I478" s="35"/>
      <c r="J478" s="35"/>
      <c r="K478" s="35"/>
      <c r="L478" s="35"/>
      <c r="M478" s="35"/>
      <c r="N478" s="35"/>
      <c r="O478" s="35"/>
      <c r="P478" s="35"/>
      <c r="Q478" s="35"/>
      <c r="R478" s="35"/>
      <c r="S478" s="35"/>
      <c r="T478" s="35"/>
      <c r="U478" s="35"/>
      <c r="V478" s="35"/>
      <c r="W478" s="35"/>
      <c r="X478" s="35"/>
      <c r="Y478" s="35"/>
      <c r="Z478" s="35"/>
    </row>
    <row r="479" ht="12.75" customHeight="1">
      <c r="A479" s="35"/>
      <c r="B479" s="35"/>
      <c r="C479" s="35"/>
      <c r="D479" s="35"/>
      <c r="E479" s="35"/>
      <c r="F479" s="35"/>
      <c r="G479" s="35"/>
      <c r="H479" s="35"/>
      <c r="I479" s="35"/>
      <c r="J479" s="35"/>
      <c r="K479" s="35"/>
      <c r="L479" s="35"/>
      <c r="M479" s="35"/>
      <c r="N479" s="35"/>
      <c r="O479" s="35"/>
      <c r="P479" s="35"/>
      <c r="Q479" s="35"/>
      <c r="R479" s="35"/>
      <c r="S479" s="35"/>
      <c r="T479" s="35"/>
      <c r="U479" s="35"/>
      <c r="V479" s="35"/>
      <c r="W479" s="35"/>
      <c r="X479" s="35"/>
      <c r="Y479" s="35"/>
      <c r="Z479" s="35"/>
    </row>
    <row r="480" ht="12.75" customHeight="1">
      <c r="A480" s="35"/>
      <c r="B480" s="35"/>
      <c r="C480" s="35"/>
      <c r="D480" s="35"/>
      <c r="E480" s="35"/>
      <c r="F480" s="35"/>
      <c r="G480" s="35"/>
      <c r="H480" s="35"/>
      <c r="I480" s="35"/>
      <c r="J480" s="35"/>
      <c r="K480" s="35"/>
      <c r="L480" s="35"/>
      <c r="M480" s="35"/>
      <c r="N480" s="35"/>
      <c r="O480" s="35"/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5"/>
    </row>
    <row r="481" ht="12.75" customHeight="1">
      <c r="A481" s="35"/>
      <c r="B481" s="35"/>
      <c r="C481" s="35"/>
      <c r="D481" s="35"/>
      <c r="E481" s="35"/>
      <c r="F481" s="35"/>
      <c r="G481" s="35"/>
      <c r="H481" s="35"/>
      <c r="I481" s="35"/>
      <c r="J481" s="35"/>
      <c r="K481" s="35"/>
      <c r="L481" s="35"/>
      <c r="M481" s="35"/>
      <c r="N481" s="35"/>
      <c r="O481" s="35"/>
      <c r="P481" s="35"/>
      <c r="Q481" s="35"/>
      <c r="R481" s="35"/>
      <c r="S481" s="35"/>
      <c r="T481" s="35"/>
      <c r="U481" s="35"/>
      <c r="V481" s="35"/>
      <c r="W481" s="35"/>
      <c r="X481" s="35"/>
      <c r="Y481" s="35"/>
      <c r="Z481" s="35"/>
    </row>
    <row r="482" ht="12.75" customHeight="1">
      <c r="A482" s="35"/>
      <c r="B482" s="35"/>
      <c r="C482" s="35"/>
      <c r="D482" s="35"/>
      <c r="E482" s="35"/>
      <c r="F482" s="35"/>
      <c r="G482" s="35"/>
      <c r="H482" s="35"/>
      <c r="I482" s="35"/>
      <c r="J482" s="35"/>
      <c r="K482" s="35"/>
      <c r="L482" s="35"/>
      <c r="M482" s="35"/>
      <c r="N482" s="35"/>
      <c r="O482" s="35"/>
      <c r="P482" s="35"/>
      <c r="Q482" s="35"/>
      <c r="R482" s="35"/>
      <c r="S482" s="35"/>
      <c r="T482" s="35"/>
      <c r="U482" s="35"/>
      <c r="V482" s="35"/>
      <c r="W482" s="35"/>
      <c r="X482" s="35"/>
      <c r="Y482" s="35"/>
      <c r="Z482" s="35"/>
    </row>
    <row r="483" ht="12.75" customHeight="1">
      <c r="A483" s="35"/>
      <c r="B483" s="35"/>
      <c r="C483" s="35"/>
      <c r="D483" s="35"/>
      <c r="E483" s="35"/>
      <c r="F483" s="35"/>
      <c r="G483" s="35"/>
      <c r="H483" s="35"/>
      <c r="I483" s="35"/>
      <c r="J483" s="35"/>
      <c r="K483" s="35"/>
      <c r="L483" s="35"/>
      <c r="M483" s="35"/>
      <c r="N483" s="35"/>
      <c r="O483" s="35"/>
      <c r="P483" s="35"/>
      <c r="Q483" s="35"/>
      <c r="R483" s="35"/>
      <c r="S483" s="35"/>
      <c r="T483" s="35"/>
      <c r="U483" s="35"/>
      <c r="V483" s="35"/>
      <c r="W483" s="35"/>
      <c r="X483" s="35"/>
      <c r="Y483" s="35"/>
      <c r="Z483" s="35"/>
    </row>
    <row r="484" ht="12.75" customHeight="1">
      <c r="A484" s="35"/>
      <c r="B484" s="35"/>
      <c r="C484" s="35"/>
      <c r="D484" s="35"/>
      <c r="E484" s="35"/>
      <c r="F484" s="35"/>
      <c r="G484" s="35"/>
      <c r="H484" s="35"/>
      <c r="I484" s="35"/>
      <c r="J484" s="35"/>
      <c r="K484" s="35"/>
      <c r="L484" s="35"/>
      <c r="M484" s="35"/>
      <c r="N484" s="35"/>
      <c r="O484" s="35"/>
      <c r="P484" s="35"/>
      <c r="Q484" s="35"/>
      <c r="R484" s="35"/>
      <c r="S484" s="35"/>
      <c r="T484" s="35"/>
      <c r="U484" s="35"/>
      <c r="V484" s="35"/>
      <c r="W484" s="35"/>
      <c r="X484" s="35"/>
      <c r="Y484" s="35"/>
      <c r="Z484" s="35"/>
    </row>
    <row r="485" ht="12.75" customHeight="1">
      <c r="A485" s="35"/>
      <c r="B485" s="35"/>
      <c r="C485" s="35"/>
      <c r="D485" s="35"/>
      <c r="E485" s="35"/>
      <c r="F485" s="35"/>
      <c r="G485" s="35"/>
      <c r="H485" s="35"/>
      <c r="I485" s="35"/>
      <c r="J485" s="35"/>
      <c r="K485" s="35"/>
      <c r="L485" s="35"/>
      <c r="M485" s="35"/>
      <c r="N485" s="35"/>
      <c r="O485" s="35"/>
      <c r="P485" s="35"/>
      <c r="Q485" s="35"/>
      <c r="R485" s="35"/>
      <c r="S485" s="35"/>
      <c r="T485" s="35"/>
      <c r="U485" s="35"/>
      <c r="V485" s="35"/>
      <c r="W485" s="35"/>
      <c r="X485" s="35"/>
      <c r="Y485" s="35"/>
      <c r="Z485" s="35"/>
    </row>
    <row r="486" ht="12.75" customHeight="1">
      <c r="A486" s="35"/>
      <c r="B486" s="35"/>
      <c r="C486" s="35"/>
      <c r="D486" s="35"/>
      <c r="E486" s="35"/>
      <c r="F486" s="35"/>
      <c r="G486" s="35"/>
      <c r="H486" s="35"/>
      <c r="I486" s="35"/>
      <c r="J486" s="35"/>
      <c r="K486" s="35"/>
      <c r="L486" s="35"/>
      <c r="M486" s="35"/>
      <c r="N486" s="35"/>
      <c r="O486" s="35"/>
      <c r="P486" s="35"/>
      <c r="Q486" s="35"/>
      <c r="R486" s="35"/>
      <c r="S486" s="35"/>
      <c r="T486" s="35"/>
      <c r="U486" s="35"/>
      <c r="V486" s="35"/>
      <c r="W486" s="35"/>
      <c r="X486" s="35"/>
      <c r="Y486" s="35"/>
      <c r="Z486" s="35"/>
    </row>
    <row r="487" ht="12.75" customHeight="1">
      <c r="A487" s="35"/>
      <c r="B487" s="35"/>
      <c r="C487" s="35"/>
      <c r="D487" s="35"/>
      <c r="E487" s="35"/>
      <c r="F487" s="35"/>
      <c r="G487" s="35"/>
      <c r="H487" s="35"/>
      <c r="I487" s="35"/>
      <c r="J487" s="35"/>
      <c r="K487" s="35"/>
      <c r="L487" s="35"/>
      <c r="M487" s="35"/>
      <c r="N487" s="35"/>
      <c r="O487" s="35"/>
      <c r="P487" s="35"/>
      <c r="Q487" s="35"/>
      <c r="R487" s="35"/>
      <c r="S487" s="35"/>
      <c r="T487" s="35"/>
      <c r="U487" s="35"/>
      <c r="V487" s="35"/>
      <c r="W487" s="35"/>
      <c r="X487" s="35"/>
      <c r="Y487" s="35"/>
      <c r="Z487" s="35"/>
    </row>
    <row r="488" ht="12.75" customHeight="1">
      <c r="A488" s="35"/>
      <c r="B488" s="35"/>
      <c r="C488" s="35"/>
      <c r="D488" s="35"/>
      <c r="E488" s="35"/>
      <c r="F488" s="35"/>
      <c r="G488" s="35"/>
      <c r="H488" s="35"/>
      <c r="I488" s="35"/>
      <c r="J488" s="35"/>
      <c r="K488" s="35"/>
      <c r="L488" s="35"/>
      <c r="M488" s="35"/>
      <c r="N488" s="35"/>
      <c r="O488" s="35"/>
      <c r="P488" s="35"/>
      <c r="Q488" s="35"/>
      <c r="R488" s="35"/>
      <c r="S488" s="35"/>
      <c r="T488" s="35"/>
      <c r="U488" s="35"/>
      <c r="V488" s="35"/>
      <c r="W488" s="35"/>
      <c r="X488" s="35"/>
      <c r="Y488" s="35"/>
      <c r="Z488" s="35"/>
    </row>
    <row r="489" ht="12.75" customHeight="1">
      <c r="A489" s="35"/>
      <c r="B489" s="35"/>
      <c r="C489" s="35"/>
      <c r="D489" s="35"/>
      <c r="E489" s="35"/>
      <c r="F489" s="35"/>
      <c r="G489" s="35"/>
      <c r="H489" s="35"/>
      <c r="I489" s="35"/>
      <c r="J489" s="35"/>
      <c r="K489" s="35"/>
      <c r="L489" s="35"/>
      <c r="M489" s="35"/>
      <c r="N489" s="35"/>
      <c r="O489" s="35"/>
      <c r="P489" s="35"/>
      <c r="Q489" s="35"/>
      <c r="R489" s="35"/>
      <c r="S489" s="35"/>
      <c r="T489" s="35"/>
      <c r="U489" s="35"/>
      <c r="V489" s="35"/>
      <c r="W489" s="35"/>
      <c r="X489" s="35"/>
      <c r="Y489" s="35"/>
      <c r="Z489" s="35"/>
    </row>
    <row r="490" ht="12.75" customHeight="1">
      <c r="A490" s="35"/>
      <c r="B490" s="35"/>
      <c r="C490" s="35"/>
      <c r="D490" s="35"/>
      <c r="E490" s="35"/>
      <c r="F490" s="35"/>
      <c r="G490" s="35"/>
      <c r="H490" s="35"/>
      <c r="I490" s="35"/>
      <c r="J490" s="35"/>
      <c r="K490" s="35"/>
      <c r="L490" s="35"/>
      <c r="M490" s="35"/>
      <c r="N490" s="35"/>
      <c r="O490" s="35"/>
      <c r="P490" s="35"/>
      <c r="Q490" s="35"/>
      <c r="R490" s="35"/>
      <c r="S490" s="35"/>
      <c r="T490" s="35"/>
      <c r="U490" s="35"/>
      <c r="V490" s="35"/>
      <c r="W490" s="35"/>
      <c r="X490" s="35"/>
      <c r="Y490" s="35"/>
      <c r="Z490" s="35"/>
    </row>
    <row r="491" ht="12.75" customHeight="1">
      <c r="A491" s="35"/>
      <c r="B491" s="35"/>
      <c r="C491" s="35"/>
      <c r="D491" s="35"/>
      <c r="E491" s="35"/>
      <c r="F491" s="35"/>
      <c r="G491" s="35"/>
      <c r="H491" s="35"/>
      <c r="I491" s="35"/>
      <c r="J491" s="35"/>
      <c r="K491" s="35"/>
      <c r="L491" s="35"/>
      <c r="M491" s="35"/>
      <c r="N491" s="35"/>
      <c r="O491" s="35"/>
      <c r="P491" s="35"/>
      <c r="Q491" s="35"/>
      <c r="R491" s="35"/>
      <c r="S491" s="35"/>
      <c r="T491" s="35"/>
      <c r="U491" s="35"/>
      <c r="V491" s="35"/>
      <c r="W491" s="35"/>
      <c r="X491" s="35"/>
      <c r="Y491" s="35"/>
      <c r="Z491" s="35"/>
    </row>
    <row r="492" ht="12.75" customHeight="1">
      <c r="A492" s="35"/>
      <c r="B492" s="35"/>
      <c r="C492" s="35"/>
      <c r="D492" s="35"/>
      <c r="E492" s="35"/>
      <c r="F492" s="35"/>
      <c r="G492" s="35"/>
      <c r="H492" s="35"/>
      <c r="I492" s="35"/>
      <c r="J492" s="35"/>
      <c r="K492" s="35"/>
      <c r="L492" s="35"/>
      <c r="M492" s="35"/>
      <c r="N492" s="35"/>
      <c r="O492" s="35"/>
      <c r="P492" s="35"/>
      <c r="Q492" s="35"/>
      <c r="R492" s="35"/>
      <c r="S492" s="35"/>
      <c r="T492" s="35"/>
      <c r="U492" s="35"/>
      <c r="V492" s="35"/>
      <c r="W492" s="35"/>
      <c r="X492" s="35"/>
      <c r="Y492" s="35"/>
      <c r="Z492" s="35"/>
    </row>
    <row r="493" ht="12.75" customHeight="1">
      <c r="A493" s="35"/>
      <c r="B493" s="35"/>
      <c r="C493" s="35"/>
      <c r="D493" s="35"/>
      <c r="E493" s="35"/>
      <c r="F493" s="35"/>
      <c r="G493" s="35"/>
      <c r="H493" s="35"/>
      <c r="I493" s="35"/>
      <c r="J493" s="35"/>
      <c r="K493" s="35"/>
      <c r="L493" s="35"/>
      <c r="M493" s="35"/>
      <c r="N493" s="35"/>
      <c r="O493" s="35"/>
      <c r="P493" s="35"/>
      <c r="Q493" s="35"/>
      <c r="R493" s="35"/>
      <c r="S493" s="35"/>
      <c r="T493" s="35"/>
      <c r="U493" s="35"/>
      <c r="V493" s="35"/>
      <c r="W493" s="35"/>
      <c r="X493" s="35"/>
      <c r="Y493" s="35"/>
      <c r="Z493" s="35"/>
    </row>
    <row r="494" ht="12.75" customHeight="1">
      <c r="A494" s="35"/>
      <c r="B494" s="35"/>
      <c r="C494" s="35"/>
      <c r="D494" s="35"/>
      <c r="E494" s="35"/>
      <c r="F494" s="35"/>
      <c r="G494" s="35"/>
      <c r="H494" s="35"/>
      <c r="I494" s="35"/>
      <c r="J494" s="35"/>
      <c r="K494" s="35"/>
      <c r="L494" s="35"/>
      <c r="M494" s="35"/>
      <c r="N494" s="35"/>
      <c r="O494" s="35"/>
      <c r="P494" s="35"/>
      <c r="Q494" s="35"/>
      <c r="R494" s="35"/>
      <c r="S494" s="35"/>
      <c r="T494" s="35"/>
      <c r="U494" s="35"/>
      <c r="V494" s="35"/>
      <c r="W494" s="35"/>
      <c r="X494" s="35"/>
      <c r="Y494" s="35"/>
      <c r="Z494" s="35"/>
    </row>
    <row r="495" ht="12.75" customHeight="1">
      <c r="A495" s="35"/>
      <c r="B495" s="35"/>
      <c r="C495" s="35"/>
      <c r="D495" s="35"/>
      <c r="E495" s="35"/>
      <c r="F495" s="35"/>
      <c r="G495" s="35"/>
      <c r="H495" s="35"/>
      <c r="I495" s="35"/>
      <c r="J495" s="35"/>
      <c r="K495" s="35"/>
      <c r="L495" s="35"/>
      <c r="M495" s="35"/>
      <c r="N495" s="35"/>
      <c r="O495" s="35"/>
      <c r="P495" s="35"/>
      <c r="Q495" s="35"/>
      <c r="R495" s="35"/>
      <c r="S495" s="35"/>
      <c r="T495" s="35"/>
      <c r="U495" s="35"/>
      <c r="V495" s="35"/>
      <c r="W495" s="35"/>
      <c r="X495" s="35"/>
      <c r="Y495" s="35"/>
      <c r="Z495" s="35"/>
    </row>
    <row r="496" ht="12.75" customHeight="1">
      <c r="A496" s="35"/>
      <c r="B496" s="35"/>
      <c r="C496" s="35"/>
      <c r="D496" s="35"/>
      <c r="E496" s="35"/>
      <c r="F496" s="35"/>
      <c r="G496" s="35"/>
      <c r="H496" s="35"/>
      <c r="I496" s="35"/>
      <c r="J496" s="35"/>
      <c r="K496" s="35"/>
      <c r="L496" s="35"/>
      <c r="M496" s="35"/>
      <c r="N496" s="35"/>
      <c r="O496" s="35"/>
      <c r="P496" s="35"/>
      <c r="Q496" s="35"/>
      <c r="R496" s="35"/>
      <c r="S496" s="35"/>
      <c r="T496" s="35"/>
      <c r="U496" s="35"/>
      <c r="V496" s="35"/>
      <c r="W496" s="35"/>
      <c r="X496" s="35"/>
      <c r="Y496" s="35"/>
      <c r="Z496" s="35"/>
    </row>
    <row r="497" ht="12.75" customHeight="1">
      <c r="A497" s="35"/>
      <c r="B497" s="35"/>
      <c r="C497" s="35"/>
      <c r="D497" s="35"/>
      <c r="E497" s="35"/>
      <c r="F497" s="35"/>
      <c r="G497" s="35"/>
      <c r="H497" s="35"/>
      <c r="I497" s="35"/>
      <c r="J497" s="35"/>
      <c r="K497" s="35"/>
      <c r="L497" s="35"/>
      <c r="M497" s="35"/>
      <c r="N497" s="35"/>
      <c r="O497" s="35"/>
      <c r="P497" s="35"/>
      <c r="Q497" s="35"/>
      <c r="R497" s="35"/>
      <c r="S497" s="35"/>
      <c r="T497" s="35"/>
      <c r="U497" s="35"/>
      <c r="V497" s="35"/>
      <c r="W497" s="35"/>
      <c r="X497" s="35"/>
      <c r="Y497" s="35"/>
      <c r="Z497" s="35"/>
    </row>
    <row r="498" ht="12.75" customHeight="1">
      <c r="A498" s="35"/>
      <c r="B498" s="35"/>
      <c r="C498" s="35"/>
      <c r="D498" s="35"/>
      <c r="E498" s="35"/>
      <c r="F498" s="35"/>
      <c r="G498" s="35"/>
      <c r="H498" s="35"/>
      <c r="I498" s="35"/>
      <c r="J498" s="35"/>
      <c r="K498" s="35"/>
      <c r="L498" s="35"/>
      <c r="M498" s="35"/>
      <c r="N498" s="35"/>
      <c r="O498" s="35"/>
      <c r="P498" s="35"/>
      <c r="Q498" s="35"/>
      <c r="R498" s="35"/>
      <c r="S498" s="35"/>
      <c r="T498" s="35"/>
      <c r="U498" s="35"/>
      <c r="V498" s="35"/>
      <c r="W498" s="35"/>
      <c r="X498" s="35"/>
      <c r="Y498" s="35"/>
      <c r="Z498" s="35"/>
    </row>
    <row r="499" ht="12.75" customHeight="1">
      <c r="A499" s="35"/>
      <c r="B499" s="35"/>
      <c r="C499" s="35"/>
      <c r="D499" s="35"/>
      <c r="E499" s="35"/>
      <c r="F499" s="35"/>
      <c r="G499" s="35"/>
      <c r="H499" s="35"/>
      <c r="I499" s="35"/>
      <c r="J499" s="35"/>
      <c r="K499" s="35"/>
      <c r="L499" s="35"/>
      <c r="M499" s="35"/>
      <c r="N499" s="35"/>
      <c r="O499" s="35"/>
      <c r="P499" s="35"/>
      <c r="Q499" s="35"/>
      <c r="R499" s="35"/>
      <c r="S499" s="35"/>
      <c r="T499" s="35"/>
      <c r="U499" s="35"/>
      <c r="V499" s="35"/>
      <c r="W499" s="35"/>
      <c r="X499" s="35"/>
      <c r="Y499" s="35"/>
      <c r="Z499" s="35"/>
    </row>
    <row r="500" ht="12.75" customHeight="1">
      <c r="A500" s="35"/>
      <c r="B500" s="35"/>
      <c r="C500" s="35"/>
      <c r="D500" s="35"/>
      <c r="E500" s="35"/>
      <c r="F500" s="35"/>
      <c r="G500" s="35"/>
      <c r="H500" s="35"/>
      <c r="I500" s="35"/>
      <c r="J500" s="35"/>
      <c r="K500" s="35"/>
      <c r="L500" s="35"/>
      <c r="M500" s="35"/>
      <c r="N500" s="35"/>
      <c r="O500" s="35"/>
      <c r="P500" s="35"/>
      <c r="Q500" s="35"/>
      <c r="R500" s="35"/>
      <c r="S500" s="35"/>
      <c r="T500" s="35"/>
      <c r="U500" s="35"/>
      <c r="V500" s="35"/>
      <c r="W500" s="35"/>
      <c r="X500" s="35"/>
      <c r="Y500" s="35"/>
      <c r="Z500" s="35"/>
    </row>
    <row r="501" ht="12.75" customHeight="1">
      <c r="A501" s="35"/>
      <c r="B501" s="35"/>
      <c r="C501" s="35"/>
      <c r="D501" s="35"/>
      <c r="E501" s="35"/>
      <c r="F501" s="35"/>
      <c r="G501" s="35"/>
      <c r="H501" s="35"/>
      <c r="I501" s="35"/>
      <c r="J501" s="35"/>
      <c r="K501" s="35"/>
      <c r="L501" s="35"/>
      <c r="M501" s="35"/>
      <c r="N501" s="35"/>
      <c r="O501" s="35"/>
      <c r="P501" s="35"/>
      <c r="Q501" s="35"/>
      <c r="R501" s="35"/>
      <c r="S501" s="35"/>
      <c r="T501" s="35"/>
      <c r="U501" s="35"/>
      <c r="V501" s="35"/>
      <c r="W501" s="35"/>
      <c r="X501" s="35"/>
      <c r="Y501" s="35"/>
      <c r="Z501" s="35"/>
    </row>
    <row r="502" ht="12.75" customHeight="1">
      <c r="A502" s="35"/>
      <c r="B502" s="35"/>
      <c r="C502" s="35"/>
      <c r="D502" s="35"/>
      <c r="E502" s="35"/>
      <c r="F502" s="35"/>
      <c r="G502" s="35"/>
      <c r="H502" s="35"/>
      <c r="I502" s="35"/>
      <c r="J502" s="35"/>
      <c r="K502" s="35"/>
      <c r="L502" s="35"/>
      <c r="M502" s="35"/>
      <c r="N502" s="35"/>
      <c r="O502" s="35"/>
      <c r="P502" s="35"/>
      <c r="Q502" s="35"/>
      <c r="R502" s="35"/>
      <c r="S502" s="35"/>
      <c r="T502" s="35"/>
      <c r="U502" s="35"/>
      <c r="V502" s="35"/>
      <c r="W502" s="35"/>
      <c r="X502" s="35"/>
      <c r="Y502" s="35"/>
      <c r="Z502" s="35"/>
    </row>
    <row r="503" ht="12.75" customHeight="1">
      <c r="A503" s="35"/>
      <c r="B503" s="35"/>
      <c r="C503" s="35"/>
      <c r="D503" s="35"/>
      <c r="E503" s="35"/>
      <c r="F503" s="35"/>
      <c r="G503" s="35"/>
      <c r="H503" s="35"/>
      <c r="I503" s="35"/>
      <c r="J503" s="35"/>
      <c r="K503" s="35"/>
      <c r="L503" s="35"/>
      <c r="M503" s="35"/>
      <c r="N503" s="35"/>
      <c r="O503" s="35"/>
      <c r="P503" s="35"/>
      <c r="Q503" s="35"/>
      <c r="R503" s="35"/>
      <c r="S503" s="35"/>
      <c r="T503" s="35"/>
      <c r="U503" s="35"/>
      <c r="V503" s="35"/>
      <c r="W503" s="35"/>
      <c r="X503" s="35"/>
      <c r="Y503" s="35"/>
      <c r="Z503" s="35"/>
    </row>
    <row r="504" ht="12.75" customHeight="1">
      <c r="A504" s="35"/>
      <c r="B504" s="35"/>
      <c r="C504" s="35"/>
      <c r="D504" s="35"/>
      <c r="E504" s="35"/>
      <c r="F504" s="35"/>
      <c r="G504" s="35"/>
      <c r="H504" s="35"/>
      <c r="I504" s="35"/>
      <c r="J504" s="35"/>
      <c r="K504" s="35"/>
      <c r="L504" s="35"/>
      <c r="M504" s="35"/>
      <c r="N504" s="35"/>
      <c r="O504" s="35"/>
      <c r="P504" s="35"/>
      <c r="Q504" s="35"/>
      <c r="R504" s="35"/>
      <c r="S504" s="35"/>
      <c r="T504" s="35"/>
      <c r="U504" s="35"/>
      <c r="V504" s="35"/>
      <c r="W504" s="35"/>
      <c r="X504" s="35"/>
      <c r="Y504" s="35"/>
      <c r="Z504" s="35"/>
    </row>
    <row r="505" ht="12.75" customHeight="1">
      <c r="A505" s="35"/>
      <c r="B505" s="35"/>
      <c r="C505" s="35"/>
      <c r="D505" s="35"/>
      <c r="E505" s="35"/>
      <c r="F505" s="35"/>
      <c r="G505" s="35"/>
      <c r="H505" s="35"/>
      <c r="I505" s="35"/>
      <c r="J505" s="35"/>
      <c r="K505" s="35"/>
      <c r="L505" s="35"/>
      <c r="M505" s="35"/>
      <c r="N505" s="35"/>
      <c r="O505" s="35"/>
      <c r="P505" s="35"/>
      <c r="Q505" s="35"/>
      <c r="R505" s="35"/>
      <c r="S505" s="35"/>
      <c r="T505" s="35"/>
      <c r="U505" s="35"/>
      <c r="V505" s="35"/>
      <c r="W505" s="35"/>
      <c r="X505" s="35"/>
      <c r="Y505" s="35"/>
      <c r="Z505" s="35"/>
    </row>
    <row r="506" ht="12.75" customHeight="1">
      <c r="A506" s="35"/>
      <c r="B506" s="35"/>
      <c r="C506" s="35"/>
      <c r="D506" s="35"/>
      <c r="E506" s="35"/>
      <c r="F506" s="35"/>
      <c r="G506" s="35"/>
      <c r="H506" s="35"/>
      <c r="I506" s="35"/>
      <c r="J506" s="35"/>
      <c r="K506" s="35"/>
      <c r="L506" s="35"/>
      <c r="M506" s="35"/>
      <c r="N506" s="35"/>
      <c r="O506" s="35"/>
      <c r="P506" s="35"/>
      <c r="Q506" s="35"/>
      <c r="R506" s="35"/>
      <c r="S506" s="35"/>
      <c r="T506" s="35"/>
      <c r="U506" s="35"/>
      <c r="V506" s="35"/>
      <c r="W506" s="35"/>
      <c r="X506" s="35"/>
      <c r="Y506" s="35"/>
      <c r="Z506" s="35"/>
    </row>
    <row r="507" ht="12.75" customHeight="1">
      <c r="A507" s="35"/>
      <c r="B507" s="35"/>
      <c r="C507" s="35"/>
      <c r="D507" s="35"/>
      <c r="E507" s="35"/>
      <c r="F507" s="35"/>
      <c r="G507" s="35"/>
      <c r="H507" s="35"/>
      <c r="I507" s="35"/>
      <c r="J507" s="35"/>
      <c r="K507" s="35"/>
      <c r="L507" s="35"/>
      <c r="M507" s="35"/>
      <c r="N507" s="35"/>
      <c r="O507" s="35"/>
      <c r="P507" s="35"/>
      <c r="Q507" s="35"/>
      <c r="R507" s="35"/>
      <c r="S507" s="35"/>
      <c r="T507" s="35"/>
      <c r="U507" s="35"/>
      <c r="V507" s="35"/>
      <c r="W507" s="35"/>
      <c r="X507" s="35"/>
      <c r="Y507" s="35"/>
      <c r="Z507" s="35"/>
    </row>
    <row r="508" ht="12.75" customHeight="1">
      <c r="A508" s="35"/>
      <c r="B508" s="35"/>
      <c r="C508" s="35"/>
      <c r="D508" s="35"/>
      <c r="E508" s="35"/>
      <c r="F508" s="35"/>
      <c r="G508" s="35"/>
      <c r="H508" s="35"/>
      <c r="I508" s="35"/>
      <c r="J508" s="35"/>
      <c r="K508" s="35"/>
      <c r="L508" s="35"/>
      <c r="M508" s="35"/>
      <c r="N508" s="35"/>
      <c r="O508" s="35"/>
      <c r="P508" s="35"/>
      <c r="Q508" s="35"/>
      <c r="R508" s="35"/>
      <c r="S508" s="35"/>
      <c r="T508" s="35"/>
      <c r="U508" s="35"/>
      <c r="V508" s="35"/>
      <c r="W508" s="35"/>
      <c r="X508" s="35"/>
      <c r="Y508" s="35"/>
      <c r="Z508" s="35"/>
    </row>
    <row r="509" ht="12.75" customHeight="1">
      <c r="A509" s="35"/>
      <c r="B509" s="35"/>
      <c r="C509" s="35"/>
      <c r="D509" s="35"/>
      <c r="E509" s="35"/>
      <c r="F509" s="35"/>
      <c r="G509" s="35"/>
      <c r="H509" s="35"/>
      <c r="I509" s="35"/>
      <c r="J509" s="35"/>
      <c r="K509" s="35"/>
      <c r="L509" s="35"/>
      <c r="M509" s="35"/>
      <c r="N509" s="35"/>
      <c r="O509" s="35"/>
      <c r="P509" s="35"/>
      <c r="Q509" s="35"/>
      <c r="R509" s="35"/>
      <c r="S509" s="35"/>
      <c r="T509" s="35"/>
      <c r="U509" s="35"/>
      <c r="V509" s="35"/>
      <c r="W509" s="35"/>
      <c r="X509" s="35"/>
      <c r="Y509" s="35"/>
      <c r="Z509" s="35"/>
    </row>
    <row r="510" ht="12.75" customHeight="1">
      <c r="A510" s="35"/>
      <c r="B510" s="35"/>
      <c r="C510" s="35"/>
      <c r="D510" s="35"/>
      <c r="E510" s="35"/>
      <c r="F510" s="35"/>
      <c r="G510" s="35"/>
      <c r="H510" s="35"/>
      <c r="I510" s="35"/>
      <c r="J510" s="35"/>
      <c r="K510" s="35"/>
      <c r="L510" s="35"/>
      <c r="M510" s="35"/>
      <c r="N510" s="35"/>
      <c r="O510" s="35"/>
      <c r="P510" s="35"/>
      <c r="Q510" s="35"/>
      <c r="R510" s="35"/>
      <c r="S510" s="35"/>
      <c r="T510" s="35"/>
      <c r="U510" s="35"/>
      <c r="V510" s="35"/>
      <c r="W510" s="35"/>
      <c r="X510" s="35"/>
      <c r="Y510" s="35"/>
      <c r="Z510" s="35"/>
    </row>
    <row r="511" ht="12.75" customHeight="1">
      <c r="A511" s="35"/>
      <c r="B511" s="35"/>
      <c r="C511" s="35"/>
      <c r="D511" s="35"/>
      <c r="E511" s="35"/>
      <c r="F511" s="35"/>
      <c r="G511" s="35"/>
      <c r="H511" s="35"/>
      <c r="I511" s="35"/>
      <c r="J511" s="35"/>
      <c r="K511" s="35"/>
      <c r="L511" s="35"/>
      <c r="M511" s="35"/>
      <c r="N511" s="35"/>
      <c r="O511" s="35"/>
      <c r="P511" s="35"/>
      <c r="Q511" s="35"/>
      <c r="R511" s="35"/>
      <c r="S511" s="35"/>
      <c r="T511" s="35"/>
      <c r="U511" s="35"/>
      <c r="V511" s="35"/>
      <c r="W511" s="35"/>
      <c r="X511" s="35"/>
      <c r="Y511" s="35"/>
      <c r="Z511" s="35"/>
    </row>
    <row r="512" ht="12.75" customHeight="1">
      <c r="A512" s="35"/>
      <c r="B512" s="35"/>
      <c r="C512" s="35"/>
      <c r="D512" s="35"/>
      <c r="E512" s="35"/>
      <c r="F512" s="35"/>
      <c r="G512" s="35"/>
      <c r="H512" s="35"/>
      <c r="I512" s="35"/>
      <c r="J512" s="35"/>
      <c r="K512" s="35"/>
      <c r="L512" s="35"/>
      <c r="M512" s="35"/>
      <c r="N512" s="35"/>
      <c r="O512" s="35"/>
      <c r="P512" s="35"/>
      <c r="Q512" s="35"/>
      <c r="R512" s="35"/>
      <c r="S512" s="35"/>
      <c r="T512" s="35"/>
      <c r="U512" s="35"/>
      <c r="V512" s="35"/>
      <c r="W512" s="35"/>
      <c r="X512" s="35"/>
      <c r="Y512" s="35"/>
      <c r="Z512" s="35"/>
    </row>
    <row r="513" ht="12.75" customHeight="1">
      <c r="A513" s="35"/>
      <c r="B513" s="35"/>
      <c r="C513" s="35"/>
      <c r="D513" s="35"/>
      <c r="E513" s="35"/>
      <c r="F513" s="35"/>
      <c r="G513" s="35"/>
      <c r="H513" s="35"/>
      <c r="I513" s="35"/>
      <c r="J513" s="35"/>
      <c r="K513" s="35"/>
      <c r="L513" s="35"/>
      <c r="M513" s="35"/>
      <c r="N513" s="35"/>
      <c r="O513" s="35"/>
      <c r="P513" s="35"/>
      <c r="Q513" s="35"/>
      <c r="R513" s="35"/>
      <c r="S513" s="35"/>
      <c r="T513" s="35"/>
      <c r="U513" s="35"/>
      <c r="V513" s="35"/>
      <c r="W513" s="35"/>
      <c r="X513" s="35"/>
      <c r="Y513" s="35"/>
      <c r="Z513" s="35"/>
    </row>
    <row r="514" ht="12.75" customHeight="1">
      <c r="A514" s="35"/>
      <c r="B514" s="35"/>
      <c r="C514" s="35"/>
      <c r="D514" s="35"/>
      <c r="E514" s="35"/>
      <c r="F514" s="35"/>
      <c r="G514" s="35"/>
      <c r="H514" s="35"/>
      <c r="I514" s="35"/>
      <c r="J514" s="35"/>
      <c r="K514" s="35"/>
      <c r="L514" s="35"/>
      <c r="M514" s="35"/>
      <c r="N514" s="35"/>
      <c r="O514" s="35"/>
      <c r="P514" s="35"/>
      <c r="Q514" s="35"/>
      <c r="R514" s="35"/>
      <c r="S514" s="35"/>
      <c r="T514" s="35"/>
      <c r="U514" s="35"/>
      <c r="V514" s="35"/>
      <c r="W514" s="35"/>
      <c r="X514" s="35"/>
      <c r="Y514" s="35"/>
      <c r="Z514" s="35"/>
    </row>
    <row r="515" ht="12.75" customHeight="1">
      <c r="A515" s="35"/>
      <c r="B515" s="35"/>
      <c r="C515" s="35"/>
      <c r="D515" s="35"/>
      <c r="E515" s="35"/>
      <c r="F515" s="35"/>
      <c r="G515" s="35"/>
      <c r="H515" s="35"/>
      <c r="I515" s="35"/>
      <c r="J515" s="35"/>
      <c r="K515" s="35"/>
      <c r="L515" s="35"/>
      <c r="M515" s="35"/>
      <c r="N515" s="35"/>
      <c r="O515" s="35"/>
      <c r="P515" s="35"/>
      <c r="Q515" s="35"/>
      <c r="R515" s="35"/>
      <c r="S515" s="35"/>
      <c r="T515" s="35"/>
      <c r="U515" s="35"/>
      <c r="V515" s="35"/>
      <c r="W515" s="35"/>
      <c r="X515" s="35"/>
      <c r="Y515" s="35"/>
      <c r="Z515" s="35"/>
    </row>
    <row r="516" ht="12.75" customHeight="1">
      <c r="A516" s="35"/>
      <c r="B516" s="35"/>
      <c r="C516" s="35"/>
      <c r="D516" s="35"/>
      <c r="E516" s="35"/>
      <c r="F516" s="35"/>
      <c r="G516" s="35"/>
      <c r="H516" s="35"/>
      <c r="I516" s="35"/>
      <c r="J516" s="35"/>
      <c r="K516" s="35"/>
      <c r="L516" s="35"/>
      <c r="M516" s="35"/>
      <c r="N516" s="35"/>
      <c r="O516" s="35"/>
      <c r="P516" s="35"/>
      <c r="Q516" s="35"/>
      <c r="R516" s="35"/>
      <c r="S516" s="35"/>
      <c r="T516" s="35"/>
      <c r="U516" s="35"/>
      <c r="V516" s="35"/>
      <c r="W516" s="35"/>
      <c r="X516" s="35"/>
      <c r="Y516" s="35"/>
      <c r="Z516" s="35"/>
    </row>
    <row r="517" ht="12.75" customHeight="1">
      <c r="A517" s="35"/>
      <c r="B517" s="35"/>
      <c r="C517" s="35"/>
      <c r="D517" s="35"/>
      <c r="E517" s="35"/>
      <c r="F517" s="35"/>
      <c r="G517" s="35"/>
      <c r="H517" s="35"/>
      <c r="I517" s="35"/>
      <c r="J517" s="35"/>
      <c r="K517" s="35"/>
      <c r="L517" s="35"/>
      <c r="M517" s="35"/>
      <c r="N517" s="35"/>
      <c r="O517" s="35"/>
      <c r="P517" s="35"/>
      <c r="Q517" s="35"/>
      <c r="R517" s="35"/>
      <c r="S517" s="35"/>
      <c r="T517" s="35"/>
      <c r="U517" s="35"/>
      <c r="V517" s="35"/>
      <c r="W517" s="35"/>
      <c r="X517" s="35"/>
      <c r="Y517" s="35"/>
      <c r="Z517" s="35"/>
    </row>
    <row r="518" ht="12.75" customHeight="1">
      <c r="A518" s="35"/>
      <c r="B518" s="35"/>
      <c r="C518" s="35"/>
      <c r="D518" s="35"/>
      <c r="E518" s="35"/>
      <c r="F518" s="35"/>
      <c r="G518" s="35"/>
      <c r="H518" s="35"/>
      <c r="I518" s="35"/>
      <c r="J518" s="35"/>
      <c r="K518" s="35"/>
      <c r="L518" s="35"/>
      <c r="M518" s="35"/>
      <c r="N518" s="35"/>
      <c r="O518" s="35"/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5"/>
    </row>
    <row r="519" ht="12.75" customHeight="1">
      <c r="A519" s="35"/>
      <c r="B519" s="35"/>
      <c r="C519" s="35"/>
      <c r="D519" s="35"/>
      <c r="E519" s="35"/>
      <c r="F519" s="35"/>
      <c r="G519" s="35"/>
      <c r="H519" s="35"/>
      <c r="I519" s="35"/>
      <c r="J519" s="35"/>
      <c r="K519" s="35"/>
      <c r="L519" s="35"/>
      <c r="M519" s="35"/>
      <c r="N519" s="35"/>
      <c r="O519" s="35"/>
      <c r="P519" s="35"/>
      <c r="Q519" s="35"/>
      <c r="R519" s="35"/>
      <c r="S519" s="35"/>
      <c r="T519" s="35"/>
      <c r="U519" s="35"/>
      <c r="V519" s="35"/>
      <c r="W519" s="35"/>
      <c r="X519" s="35"/>
      <c r="Y519" s="35"/>
      <c r="Z519" s="35"/>
    </row>
    <row r="520" ht="12.75" customHeight="1">
      <c r="A520" s="35"/>
      <c r="B520" s="35"/>
      <c r="C520" s="35"/>
      <c r="D520" s="35"/>
      <c r="E520" s="35"/>
      <c r="F520" s="35"/>
      <c r="G520" s="35"/>
      <c r="H520" s="35"/>
      <c r="I520" s="35"/>
      <c r="J520" s="35"/>
      <c r="K520" s="35"/>
      <c r="L520" s="35"/>
      <c r="M520" s="35"/>
      <c r="N520" s="35"/>
      <c r="O520" s="35"/>
      <c r="P520" s="35"/>
      <c r="Q520" s="35"/>
      <c r="R520" s="35"/>
      <c r="S520" s="35"/>
      <c r="T520" s="35"/>
      <c r="U520" s="35"/>
      <c r="V520" s="35"/>
      <c r="W520" s="35"/>
      <c r="X520" s="35"/>
      <c r="Y520" s="35"/>
      <c r="Z520" s="35"/>
    </row>
    <row r="521" ht="12.75" customHeight="1">
      <c r="A521" s="35"/>
      <c r="B521" s="35"/>
      <c r="C521" s="35"/>
      <c r="D521" s="35"/>
      <c r="E521" s="35"/>
      <c r="F521" s="35"/>
      <c r="G521" s="35"/>
      <c r="H521" s="35"/>
      <c r="I521" s="35"/>
      <c r="J521" s="35"/>
      <c r="K521" s="35"/>
      <c r="L521" s="35"/>
      <c r="M521" s="35"/>
      <c r="N521" s="35"/>
      <c r="O521" s="35"/>
      <c r="P521" s="35"/>
      <c r="Q521" s="35"/>
      <c r="R521" s="35"/>
      <c r="S521" s="35"/>
      <c r="T521" s="35"/>
      <c r="U521" s="35"/>
      <c r="V521" s="35"/>
      <c r="W521" s="35"/>
      <c r="X521" s="35"/>
      <c r="Y521" s="35"/>
      <c r="Z521" s="35"/>
    </row>
    <row r="522" ht="12.75" customHeight="1">
      <c r="A522" s="35"/>
      <c r="B522" s="35"/>
      <c r="C522" s="35"/>
      <c r="D522" s="35"/>
      <c r="E522" s="35"/>
      <c r="F522" s="35"/>
      <c r="G522" s="35"/>
      <c r="H522" s="35"/>
      <c r="I522" s="35"/>
      <c r="J522" s="35"/>
      <c r="K522" s="35"/>
      <c r="L522" s="35"/>
      <c r="M522" s="35"/>
      <c r="N522" s="35"/>
      <c r="O522" s="35"/>
      <c r="P522" s="35"/>
      <c r="Q522" s="35"/>
      <c r="R522" s="35"/>
      <c r="S522" s="35"/>
      <c r="T522" s="35"/>
      <c r="U522" s="35"/>
      <c r="V522" s="35"/>
      <c r="W522" s="35"/>
      <c r="X522" s="35"/>
      <c r="Y522" s="35"/>
      <c r="Z522" s="35"/>
    </row>
    <row r="523" ht="12.75" customHeight="1">
      <c r="A523" s="35"/>
      <c r="B523" s="35"/>
      <c r="C523" s="35"/>
      <c r="D523" s="35"/>
      <c r="E523" s="35"/>
      <c r="F523" s="35"/>
      <c r="G523" s="35"/>
      <c r="H523" s="35"/>
      <c r="I523" s="35"/>
      <c r="J523" s="35"/>
      <c r="K523" s="35"/>
      <c r="L523" s="35"/>
      <c r="M523" s="35"/>
      <c r="N523" s="35"/>
      <c r="O523" s="35"/>
      <c r="P523" s="35"/>
      <c r="Q523" s="35"/>
      <c r="R523" s="35"/>
      <c r="S523" s="35"/>
      <c r="T523" s="35"/>
      <c r="U523" s="35"/>
      <c r="V523" s="35"/>
      <c r="W523" s="35"/>
      <c r="X523" s="35"/>
      <c r="Y523" s="35"/>
      <c r="Z523" s="35"/>
    </row>
    <row r="524" ht="12.75" customHeight="1">
      <c r="A524" s="35"/>
      <c r="B524" s="35"/>
      <c r="C524" s="35"/>
      <c r="D524" s="35"/>
      <c r="E524" s="35"/>
      <c r="F524" s="35"/>
      <c r="G524" s="35"/>
      <c r="H524" s="35"/>
      <c r="I524" s="35"/>
      <c r="J524" s="35"/>
      <c r="K524" s="35"/>
      <c r="L524" s="35"/>
      <c r="M524" s="35"/>
      <c r="N524" s="35"/>
      <c r="O524" s="35"/>
      <c r="P524" s="35"/>
      <c r="Q524" s="35"/>
      <c r="R524" s="35"/>
      <c r="S524" s="35"/>
      <c r="T524" s="35"/>
      <c r="U524" s="35"/>
      <c r="V524" s="35"/>
      <c r="W524" s="35"/>
      <c r="X524" s="35"/>
      <c r="Y524" s="35"/>
      <c r="Z524" s="35"/>
    </row>
    <row r="525" ht="12.75" customHeight="1">
      <c r="A525" s="35"/>
      <c r="B525" s="35"/>
      <c r="C525" s="35"/>
      <c r="D525" s="35"/>
      <c r="E525" s="35"/>
      <c r="F525" s="35"/>
      <c r="G525" s="35"/>
      <c r="H525" s="35"/>
      <c r="I525" s="35"/>
      <c r="J525" s="35"/>
      <c r="K525" s="35"/>
      <c r="L525" s="35"/>
      <c r="M525" s="35"/>
      <c r="N525" s="35"/>
      <c r="O525" s="35"/>
      <c r="P525" s="35"/>
      <c r="Q525" s="35"/>
      <c r="R525" s="35"/>
      <c r="S525" s="35"/>
      <c r="T525" s="35"/>
      <c r="U525" s="35"/>
      <c r="V525" s="35"/>
      <c r="W525" s="35"/>
      <c r="X525" s="35"/>
      <c r="Y525" s="35"/>
      <c r="Z525" s="35"/>
    </row>
    <row r="526" ht="12.75" customHeight="1">
      <c r="A526" s="35"/>
      <c r="B526" s="35"/>
      <c r="C526" s="35"/>
      <c r="D526" s="35"/>
      <c r="E526" s="35"/>
      <c r="F526" s="35"/>
      <c r="G526" s="35"/>
      <c r="H526" s="35"/>
      <c r="I526" s="35"/>
      <c r="J526" s="35"/>
      <c r="K526" s="35"/>
      <c r="L526" s="35"/>
      <c r="M526" s="35"/>
      <c r="N526" s="35"/>
      <c r="O526" s="35"/>
      <c r="P526" s="35"/>
      <c r="Q526" s="35"/>
      <c r="R526" s="35"/>
      <c r="S526" s="35"/>
      <c r="T526" s="35"/>
      <c r="U526" s="35"/>
      <c r="V526" s="35"/>
      <c r="W526" s="35"/>
      <c r="X526" s="35"/>
      <c r="Y526" s="35"/>
      <c r="Z526" s="35"/>
    </row>
    <row r="527" ht="12.75" customHeight="1">
      <c r="A527" s="35"/>
      <c r="B527" s="35"/>
      <c r="C527" s="35"/>
      <c r="D527" s="35"/>
      <c r="E527" s="35"/>
      <c r="F527" s="35"/>
      <c r="G527" s="35"/>
      <c r="H527" s="35"/>
      <c r="I527" s="35"/>
      <c r="J527" s="35"/>
      <c r="K527" s="35"/>
      <c r="L527" s="35"/>
      <c r="M527" s="35"/>
      <c r="N527" s="35"/>
      <c r="O527" s="35"/>
      <c r="P527" s="35"/>
      <c r="Q527" s="35"/>
      <c r="R527" s="35"/>
      <c r="S527" s="35"/>
      <c r="T527" s="35"/>
      <c r="U527" s="35"/>
      <c r="V527" s="35"/>
      <c r="W527" s="35"/>
      <c r="X527" s="35"/>
      <c r="Y527" s="35"/>
      <c r="Z527" s="35"/>
    </row>
    <row r="528" ht="12.75" customHeight="1">
      <c r="A528" s="35"/>
      <c r="B528" s="35"/>
      <c r="C528" s="35"/>
      <c r="D528" s="35"/>
      <c r="E528" s="35"/>
      <c r="F528" s="35"/>
      <c r="G528" s="35"/>
      <c r="H528" s="35"/>
      <c r="I528" s="35"/>
      <c r="J528" s="35"/>
      <c r="K528" s="35"/>
      <c r="L528" s="35"/>
      <c r="M528" s="35"/>
      <c r="N528" s="35"/>
      <c r="O528" s="35"/>
      <c r="P528" s="35"/>
      <c r="Q528" s="35"/>
      <c r="R528" s="35"/>
      <c r="S528" s="35"/>
      <c r="T528" s="35"/>
      <c r="U528" s="35"/>
      <c r="V528" s="35"/>
      <c r="W528" s="35"/>
      <c r="X528" s="35"/>
      <c r="Y528" s="35"/>
      <c r="Z528" s="35"/>
    </row>
    <row r="529" ht="12.75" customHeight="1">
      <c r="A529" s="35"/>
      <c r="B529" s="35"/>
      <c r="C529" s="35"/>
      <c r="D529" s="35"/>
      <c r="E529" s="35"/>
      <c r="F529" s="35"/>
      <c r="G529" s="35"/>
      <c r="H529" s="35"/>
      <c r="I529" s="35"/>
      <c r="J529" s="35"/>
      <c r="K529" s="35"/>
      <c r="L529" s="35"/>
      <c r="M529" s="35"/>
      <c r="N529" s="35"/>
      <c r="O529" s="35"/>
      <c r="P529" s="35"/>
      <c r="Q529" s="35"/>
      <c r="R529" s="35"/>
      <c r="S529" s="35"/>
      <c r="T529" s="35"/>
      <c r="U529" s="35"/>
      <c r="V529" s="35"/>
      <c r="W529" s="35"/>
      <c r="X529" s="35"/>
      <c r="Y529" s="35"/>
      <c r="Z529" s="35"/>
    </row>
    <row r="530" ht="12.75" customHeight="1">
      <c r="A530" s="35"/>
      <c r="B530" s="35"/>
      <c r="C530" s="35"/>
      <c r="D530" s="35"/>
      <c r="E530" s="35"/>
      <c r="F530" s="35"/>
      <c r="G530" s="35"/>
      <c r="H530" s="35"/>
      <c r="I530" s="35"/>
      <c r="J530" s="35"/>
      <c r="K530" s="35"/>
      <c r="L530" s="35"/>
      <c r="M530" s="35"/>
      <c r="N530" s="35"/>
      <c r="O530" s="35"/>
      <c r="P530" s="35"/>
      <c r="Q530" s="35"/>
      <c r="R530" s="35"/>
      <c r="S530" s="35"/>
      <c r="T530" s="35"/>
      <c r="U530" s="35"/>
      <c r="V530" s="35"/>
      <c r="W530" s="35"/>
      <c r="X530" s="35"/>
      <c r="Y530" s="35"/>
      <c r="Z530" s="35"/>
    </row>
    <row r="531" ht="12.75" customHeight="1">
      <c r="A531" s="35"/>
      <c r="B531" s="35"/>
      <c r="C531" s="35"/>
      <c r="D531" s="35"/>
      <c r="E531" s="35"/>
      <c r="F531" s="35"/>
      <c r="G531" s="35"/>
      <c r="H531" s="35"/>
      <c r="I531" s="35"/>
      <c r="J531" s="35"/>
      <c r="K531" s="35"/>
      <c r="L531" s="35"/>
      <c r="M531" s="35"/>
      <c r="N531" s="35"/>
      <c r="O531" s="35"/>
      <c r="P531" s="35"/>
      <c r="Q531" s="35"/>
      <c r="R531" s="35"/>
      <c r="S531" s="35"/>
      <c r="T531" s="35"/>
      <c r="U531" s="35"/>
      <c r="V531" s="35"/>
      <c r="W531" s="35"/>
      <c r="X531" s="35"/>
      <c r="Y531" s="35"/>
      <c r="Z531" s="35"/>
    </row>
    <row r="532" ht="12.75" customHeight="1">
      <c r="A532" s="35"/>
      <c r="B532" s="35"/>
      <c r="C532" s="35"/>
      <c r="D532" s="35"/>
      <c r="E532" s="35"/>
      <c r="F532" s="35"/>
      <c r="G532" s="35"/>
      <c r="H532" s="35"/>
      <c r="I532" s="35"/>
      <c r="J532" s="35"/>
      <c r="K532" s="35"/>
      <c r="L532" s="35"/>
      <c r="M532" s="35"/>
      <c r="N532" s="35"/>
      <c r="O532" s="35"/>
      <c r="P532" s="35"/>
      <c r="Q532" s="35"/>
      <c r="R532" s="35"/>
      <c r="S532" s="35"/>
      <c r="T532" s="35"/>
      <c r="U532" s="35"/>
      <c r="V532" s="35"/>
      <c r="W532" s="35"/>
      <c r="X532" s="35"/>
      <c r="Y532" s="35"/>
      <c r="Z532" s="35"/>
    </row>
    <row r="533" ht="12.75" customHeight="1">
      <c r="A533" s="35"/>
      <c r="B533" s="35"/>
      <c r="C533" s="35"/>
      <c r="D533" s="35"/>
      <c r="E533" s="35"/>
      <c r="F533" s="35"/>
      <c r="G533" s="35"/>
      <c r="H533" s="35"/>
      <c r="I533" s="35"/>
      <c r="J533" s="35"/>
      <c r="K533" s="35"/>
      <c r="L533" s="35"/>
      <c r="M533" s="35"/>
      <c r="N533" s="35"/>
      <c r="O533" s="35"/>
      <c r="P533" s="35"/>
      <c r="Q533" s="35"/>
      <c r="R533" s="35"/>
      <c r="S533" s="35"/>
      <c r="T533" s="35"/>
      <c r="U533" s="35"/>
      <c r="V533" s="35"/>
      <c r="W533" s="35"/>
      <c r="X533" s="35"/>
      <c r="Y533" s="35"/>
      <c r="Z533" s="35"/>
    </row>
    <row r="534" ht="12.75" customHeight="1">
      <c r="A534" s="35"/>
      <c r="B534" s="35"/>
      <c r="C534" s="35"/>
      <c r="D534" s="35"/>
      <c r="E534" s="35"/>
      <c r="F534" s="35"/>
      <c r="G534" s="35"/>
      <c r="H534" s="35"/>
      <c r="I534" s="35"/>
      <c r="J534" s="35"/>
      <c r="K534" s="35"/>
      <c r="L534" s="35"/>
      <c r="M534" s="35"/>
      <c r="N534" s="35"/>
      <c r="O534" s="35"/>
      <c r="P534" s="35"/>
      <c r="Q534" s="35"/>
      <c r="R534" s="35"/>
      <c r="S534" s="35"/>
      <c r="T534" s="35"/>
      <c r="U534" s="35"/>
      <c r="V534" s="35"/>
      <c r="W534" s="35"/>
      <c r="X534" s="35"/>
      <c r="Y534" s="35"/>
      <c r="Z534" s="35"/>
    </row>
    <row r="535" ht="12.75" customHeight="1">
      <c r="A535" s="35"/>
      <c r="B535" s="35"/>
      <c r="C535" s="35"/>
      <c r="D535" s="35"/>
      <c r="E535" s="35"/>
      <c r="F535" s="35"/>
      <c r="G535" s="35"/>
      <c r="H535" s="35"/>
      <c r="I535" s="35"/>
      <c r="J535" s="35"/>
      <c r="K535" s="35"/>
      <c r="L535" s="35"/>
      <c r="M535" s="35"/>
      <c r="N535" s="35"/>
      <c r="O535" s="35"/>
      <c r="P535" s="35"/>
      <c r="Q535" s="35"/>
      <c r="R535" s="35"/>
      <c r="S535" s="35"/>
      <c r="T535" s="35"/>
      <c r="U535" s="35"/>
      <c r="V535" s="35"/>
      <c r="W535" s="35"/>
      <c r="X535" s="35"/>
      <c r="Y535" s="35"/>
      <c r="Z535" s="35"/>
    </row>
    <row r="536" ht="12.75" customHeight="1">
      <c r="A536" s="35"/>
      <c r="B536" s="35"/>
      <c r="C536" s="35"/>
      <c r="D536" s="35"/>
      <c r="E536" s="35"/>
      <c r="F536" s="35"/>
      <c r="G536" s="35"/>
      <c r="H536" s="35"/>
      <c r="I536" s="35"/>
      <c r="J536" s="35"/>
      <c r="K536" s="35"/>
      <c r="L536" s="35"/>
      <c r="M536" s="35"/>
      <c r="N536" s="35"/>
      <c r="O536" s="35"/>
      <c r="P536" s="35"/>
      <c r="Q536" s="35"/>
      <c r="R536" s="35"/>
      <c r="S536" s="35"/>
      <c r="T536" s="35"/>
      <c r="U536" s="35"/>
      <c r="V536" s="35"/>
      <c r="W536" s="35"/>
      <c r="X536" s="35"/>
      <c r="Y536" s="35"/>
      <c r="Z536" s="35"/>
    </row>
    <row r="537" ht="12.75" customHeight="1">
      <c r="A537" s="35"/>
      <c r="B537" s="35"/>
      <c r="C537" s="35"/>
      <c r="D537" s="35"/>
      <c r="E537" s="35"/>
      <c r="F537" s="35"/>
      <c r="G537" s="35"/>
      <c r="H537" s="35"/>
      <c r="I537" s="35"/>
      <c r="J537" s="35"/>
      <c r="K537" s="35"/>
      <c r="L537" s="35"/>
      <c r="M537" s="35"/>
      <c r="N537" s="35"/>
      <c r="O537" s="35"/>
      <c r="P537" s="35"/>
      <c r="Q537" s="35"/>
      <c r="R537" s="35"/>
      <c r="S537" s="35"/>
      <c r="T537" s="35"/>
      <c r="U537" s="35"/>
      <c r="V537" s="35"/>
      <c r="W537" s="35"/>
      <c r="X537" s="35"/>
      <c r="Y537" s="35"/>
      <c r="Z537" s="35"/>
    </row>
    <row r="538" ht="12.75" customHeight="1">
      <c r="A538" s="35"/>
      <c r="B538" s="35"/>
      <c r="C538" s="35"/>
      <c r="D538" s="35"/>
      <c r="E538" s="35"/>
      <c r="F538" s="35"/>
      <c r="G538" s="35"/>
      <c r="H538" s="35"/>
      <c r="I538" s="35"/>
      <c r="J538" s="35"/>
      <c r="K538" s="35"/>
      <c r="L538" s="35"/>
      <c r="M538" s="35"/>
      <c r="N538" s="35"/>
      <c r="O538" s="35"/>
      <c r="P538" s="35"/>
      <c r="Q538" s="35"/>
      <c r="R538" s="35"/>
      <c r="S538" s="35"/>
      <c r="T538" s="35"/>
      <c r="U538" s="35"/>
      <c r="V538" s="35"/>
      <c r="W538" s="35"/>
      <c r="X538" s="35"/>
      <c r="Y538" s="35"/>
      <c r="Z538" s="35"/>
    </row>
    <row r="539" ht="12.75" customHeight="1">
      <c r="A539" s="35"/>
      <c r="B539" s="35"/>
      <c r="C539" s="35"/>
      <c r="D539" s="35"/>
      <c r="E539" s="35"/>
      <c r="F539" s="35"/>
      <c r="G539" s="35"/>
      <c r="H539" s="35"/>
      <c r="I539" s="35"/>
      <c r="J539" s="35"/>
      <c r="K539" s="35"/>
      <c r="L539" s="35"/>
      <c r="M539" s="35"/>
      <c r="N539" s="35"/>
      <c r="O539" s="35"/>
      <c r="P539" s="35"/>
      <c r="Q539" s="35"/>
      <c r="R539" s="35"/>
      <c r="S539" s="35"/>
      <c r="T539" s="35"/>
      <c r="U539" s="35"/>
      <c r="V539" s="35"/>
      <c r="W539" s="35"/>
      <c r="X539" s="35"/>
      <c r="Y539" s="35"/>
      <c r="Z539" s="35"/>
    </row>
    <row r="540" ht="12.75" customHeight="1">
      <c r="A540" s="35"/>
      <c r="B540" s="35"/>
      <c r="C540" s="35"/>
      <c r="D540" s="35"/>
      <c r="E540" s="35"/>
      <c r="F540" s="35"/>
      <c r="G540" s="35"/>
      <c r="H540" s="35"/>
      <c r="I540" s="35"/>
      <c r="J540" s="35"/>
      <c r="K540" s="35"/>
      <c r="L540" s="35"/>
      <c r="M540" s="35"/>
      <c r="N540" s="35"/>
      <c r="O540" s="35"/>
      <c r="P540" s="35"/>
      <c r="Q540" s="35"/>
      <c r="R540" s="35"/>
      <c r="S540" s="35"/>
      <c r="T540" s="35"/>
      <c r="U540" s="35"/>
      <c r="V540" s="35"/>
      <c r="W540" s="35"/>
      <c r="X540" s="35"/>
      <c r="Y540" s="35"/>
      <c r="Z540" s="35"/>
    </row>
    <row r="541" ht="12.75" customHeight="1">
      <c r="A541" s="35"/>
      <c r="B541" s="35"/>
      <c r="C541" s="35"/>
      <c r="D541" s="35"/>
      <c r="E541" s="35"/>
      <c r="F541" s="35"/>
      <c r="G541" s="35"/>
      <c r="H541" s="35"/>
      <c r="I541" s="35"/>
      <c r="J541" s="35"/>
      <c r="K541" s="35"/>
      <c r="L541" s="35"/>
      <c r="M541" s="35"/>
      <c r="N541" s="35"/>
      <c r="O541" s="35"/>
      <c r="P541" s="35"/>
      <c r="Q541" s="35"/>
      <c r="R541" s="35"/>
      <c r="S541" s="35"/>
      <c r="T541" s="35"/>
      <c r="U541" s="35"/>
      <c r="V541" s="35"/>
      <c r="W541" s="35"/>
      <c r="X541" s="35"/>
      <c r="Y541" s="35"/>
      <c r="Z541" s="35"/>
    </row>
    <row r="542" ht="12.75" customHeight="1">
      <c r="A542" s="35"/>
      <c r="B542" s="35"/>
      <c r="C542" s="35"/>
      <c r="D542" s="35"/>
      <c r="E542" s="35"/>
      <c r="F542" s="35"/>
      <c r="G542" s="35"/>
      <c r="H542" s="35"/>
      <c r="I542" s="35"/>
      <c r="J542" s="35"/>
      <c r="K542" s="35"/>
      <c r="L542" s="35"/>
      <c r="M542" s="35"/>
      <c r="N542" s="35"/>
      <c r="O542" s="35"/>
      <c r="P542" s="35"/>
      <c r="Q542" s="35"/>
      <c r="R542" s="35"/>
      <c r="S542" s="35"/>
      <c r="T542" s="35"/>
      <c r="U542" s="35"/>
      <c r="V542" s="35"/>
      <c r="W542" s="35"/>
      <c r="X542" s="35"/>
      <c r="Y542" s="35"/>
      <c r="Z542" s="35"/>
    </row>
    <row r="543" ht="12.75" customHeight="1">
      <c r="A543" s="35"/>
      <c r="B543" s="35"/>
      <c r="C543" s="35"/>
      <c r="D543" s="35"/>
      <c r="E543" s="35"/>
      <c r="F543" s="35"/>
      <c r="G543" s="35"/>
      <c r="H543" s="35"/>
      <c r="I543" s="35"/>
      <c r="J543" s="35"/>
      <c r="K543" s="35"/>
      <c r="L543" s="35"/>
      <c r="M543" s="35"/>
      <c r="N543" s="35"/>
      <c r="O543" s="35"/>
      <c r="P543" s="35"/>
      <c r="Q543" s="35"/>
      <c r="R543" s="35"/>
      <c r="S543" s="35"/>
      <c r="T543" s="35"/>
      <c r="U543" s="35"/>
      <c r="V543" s="35"/>
      <c r="W543" s="35"/>
      <c r="X543" s="35"/>
      <c r="Y543" s="35"/>
      <c r="Z543" s="35"/>
    </row>
    <row r="544" ht="12.75" customHeight="1">
      <c r="A544" s="35"/>
      <c r="B544" s="35"/>
      <c r="C544" s="35"/>
      <c r="D544" s="35"/>
      <c r="E544" s="35"/>
      <c r="F544" s="35"/>
      <c r="G544" s="35"/>
      <c r="H544" s="35"/>
      <c r="I544" s="35"/>
      <c r="J544" s="35"/>
      <c r="K544" s="35"/>
      <c r="L544" s="35"/>
      <c r="M544" s="35"/>
      <c r="N544" s="35"/>
      <c r="O544" s="35"/>
      <c r="P544" s="35"/>
      <c r="Q544" s="35"/>
      <c r="R544" s="35"/>
      <c r="S544" s="35"/>
      <c r="T544" s="35"/>
      <c r="U544" s="35"/>
      <c r="V544" s="35"/>
      <c r="W544" s="35"/>
      <c r="X544" s="35"/>
      <c r="Y544" s="35"/>
      <c r="Z544" s="35"/>
    </row>
    <row r="545" ht="12.75" customHeight="1">
      <c r="A545" s="35"/>
      <c r="B545" s="35"/>
      <c r="C545" s="35"/>
      <c r="D545" s="35"/>
      <c r="E545" s="35"/>
      <c r="F545" s="35"/>
      <c r="G545" s="35"/>
      <c r="H545" s="35"/>
      <c r="I545" s="35"/>
      <c r="J545" s="35"/>
      <c r="K545" s="35"/>
      <c r="L545" s="35"/>
      <c r="M545" s="35"/>
      <c r="N545" s="35"/>
      <c r="O545" s="35"/>
      <c r="P545" s="35"/>
      <c r="Q545" s="35"/>
      <c r="R545" s="35"/>
      <c r="S545" s="35"/>
      <c r="T545" s="35"/>
      <c r="U545" s="35"/>
      <c r="V545" s="35"/>
      <c r="W545" s="35"/>
      <c r="X545" s="35"/>
      <c r="Y545" s="35"/>
      <c r="Z545" s="35"/>
    </row>
    <row r="546" ht="12.75" customHeight="1">
      <c r="A546" s="35"/>
      <c r="B546" s="35"/>
      <c r="C546" s="35"/>
      <c r="D546" s="35"/>
      <c r="E546" s="35"/>
      <c r="F546" s="35"/>
      <c r="G546" s="35"/>
      <c r="H546" s="35"/>
      <c r="I546" s="35"/>
      <c r="J546" s="35"/>
      <c r="K546" s="35"/>
      <c r="L546" s="35"/>
      <c r="M546" s="35"/>
      <c r="N546" s="35"/>
      <c r="O546" s="35"/>
      <c r="P546" s="35"/>
      <c r="Q546" s="35"/>
      <c r="R546" s="35"/>
      <c r="S546" s="35"/>
      <c r="T546" s="35"/>
      <c r="U546" s="35"/>
      <c r="V546" s="35"/>
      <c r="W546" s="35"/>
      <c r="X546" s="35"/>
      <c r="Y546" s="35"/>
      <c r="Z546" s="35"/>
    </row>
    <row r="547" ht="12.75" customHeight="1">
      <c r="A547" s="35"/>
      <c r="B547" s="35"/>
      <c r="C547" s="35"/>
      <c r="D547" s="35"/>
      <c r="E547" s="35"/>
      <c r="F547" s="35"/>
      <c r="G547" s="35"/>
      <c r="H547" s="35"/>
      <c r="I547" s="35"/>
      <c r="J547" s="35"/>
      <c r="K547" s="35"/>
      <c r="L547" s="35"/>
      <c r="M547" s="35"/>
      <c r="N547" s="35"/>
      <c r="O547" s="35"/>
      <c r="P547" s="35"/>
      <c r="Q547" s="35"/>
      <c r="R547" s="35"/>
      <c r="S547" s="35"/>
      <c r="T547" s="35"/>
      <c r="U547" s="35"/>
      <c r="V547" s="35"/>
      <c r="W547" s="35"/>
      <c r="X547" s="35"/>
      <c r="Y547" s="35"/>
      <c r="Z547" s="35"/>
    </row>
    <row r="548" ht="12.75" customHeight="1">
      <c r="A548" s="35"/>
      <c r="B548" s="35"/>
      <c r="C548" s="35"/>
      <c r="D548" s="35"/>
      <c r="E548" s="35"/>
      <c r="F548" s="35"/>
      <c r="G548" s="35"/>
      <c r="H548" s="35"/>
      <c r="I548" s="35"/>
      <c r="J548" s="35"/>
      <c r="K548" s="35"/>
      <c r="L548" s="35"/>
      <c r="M548" s="35"/>
      <c r="N548" s="35"/>
      <c r="O548" s="35"/>
      <c r="P548" s="35"/>
      <c r="Q548" s="35"/>
      <c r="R548" s="35"/>
      <c r="S548" s="35"/>
      <c r="T548" s="35"/>
      <c r="U548" s="35"/>
      <c r="V548" s="35"/>
      <c r="W548" s="35"/>
      <c r="X548" s="35"/>
      <c r="Y548" s="35"/>
      <c r="Z548" s="35"/>
    </row>
    <row r="549" ht="12.75" customHeight="1">
      <c r="A549" s="35"/>
      <c r="B549" s="35"/>
      <c r="C549" s="35"/>
      <c r="D549" s="35"/>
      <c r="E549" s="35"/>
      <c r="F549" s="35"/>
      <c r="G549" s="35"/>
      <c r="H549" s="35"/>
      <c r="I549" s="35"/>
      <c r="J549" s="35"/>
      <c r="K549" s="35"/>
      <c r="L549" s="35"/>
      <c r="M549" s="35"/>
      <c r="N549" s="35"/>
      <c r="O549" s="35"/>
      <c r="P549" s="35"/>
      <c r="Q549" s="35"/>
      <c r="R549" s="35"/>
      <c r="S549" s="35"/>
      <c r="T549" s="35"/>
      <c r="U549" s="35"/>
      <c r="V549" s="35"/>
      <c r="W549" s="35"/>
      <c r="X549" s="35"/>
      <c r="Y549" s="35"/>
      <c r="Z549" s="35"/>
    </row>
    <row r="550" ht="12.75" customHeight="1">
      <c r="A550" s="35"/>
      <c r="B550" s="35"/>
      <c r="C550" s="35"/>
      <c r="D550" s="35"/>
      <c r="E550" s="35"/>
      <c r="F550" s="35"/>
      <c r="G550" s="35"/>
      <c r="H550" s="35"/>
      <c r="I550" s="35"/>
      <c r="J550" s="35"/>
      <c r="K550" s="35"/>
      <c r="L550" s="35"/>
      <c r="M550" s="35"/>
      <c r="N550" s="35"/>
      <c r="O550" s="35"/>
      <c r="P550" s="35"/>
      <c r="Q550" s="35"/>
      <c r="R550" s="35"/>
      <c r="S550" s="35"/>
      <c r="T550" s="35"/>
      <c r="U550" s="35"/>
      <c r="V550" s="35"/>
      <c r="W550" s="35"/>
      <c r="X550" s="35"/>
      <c r="Y550" s="35"/>
      <c r="Z550" s="35"/>
    </row>
    <row r="551" ht="12.75" customHeight="1">
      <c r="A551" s="35"/>
      <c r="B551" s="35"/>
      <c r="C551" s="35"/>
      <c r="D551" s="35"/>
      <c r="E551" s="35"/>
      <c r="F551" s="35"/>
      <c r="G551" s="35"/>
      <c r="H551" s="35"/>
      <c r="I551" s="35"/>
      <c r="J551" s="35"/>
      <c r="K551" s="35"/>
      <c r="L551" s="35"/>
      <c r="M551" s="35"/>
      <c r="N551" s="35"/>
      <c r="O551" s="35"/>
      <c r="P551" s="35"/>
      <c r="Q551" s="35"/>
      <c r="R551" s="35"/>
      <c r="S551" s="35"/>
      <c r="T551" s="35"/>
      <c r="U551" s="35"/>
      <c r="V551" s="35"/>
      <c r="W551" s="35"/>
      <c r="X551" s="35"/>
      <c r="Y551" s="35"/>
      <c r="Z551" s="35"/>
    </row>
    <row r="552" ht="12.75" customHeight="1">
      <c r="A552" s="35"/>
      <c r="B552" s="35"/>
      <c r="C552" s="35"/>
      <c r="D552" s="35"/>
      <c r="E552" s="35"/>
      <c r="F552" s="35"/>
      <c r="G552" s="35"/>
      <c r="H552" s="35"/>
      <c r="I552" s="35"/>
      <c r="J552" s="35"/>
      <c r="K552" s="35"/>
      <c r="L552" s="35"/>
      <c r="M552" s="35"/>
      <c r="N552" s="35"/>
      <c r="O552" s="35"/>
      <c r="P552" s="35"/>
      <c r="Q552" s="35"/>
      <c r="R552" s="35"/>
      <c r="S552" s="35"/>
      <c r="T552" s="35"/>
      <c r="U552" s="35"/>
      <c r="V552" s="35"/>
      <c r="W552" s="35"/>
      <c r="X552" s="35"/>
      <c r="Y552" s="35"/>
      <c r="Z552" s="35"/>
    </row>
    <row r="553" ht="12.75" customHeight="1">
      <c r="A553" s="35"/>
      <c r="B553" s="35"/>
      <c r="C553" s="35"/>
      <c r="D553" s="35"/>
      <c r="E553" s="35"/>
      <c r="F553" s="35"/>
      <c r="G553" s="35"/>
      <c r="H553" s="35"/>
      <c r="I553" s="35"/>
      <c r="J553" s="35"/>
      <c r="K553" s="35"/>
      <c r="L553" s="35"/>
      <c r="M553" s="35"/>
      <c r="N553" s="35"/>
      <c r="O553" s="35"/>
      <c r="P553" s="35"/>
      <c r="Q553" s="35"/>
      <c r="R553" s="35"/>
      <c r="S553" s="35"/>
      <c r="T553" s="35"/>
      <c r="U553" s="35"/>
      <c r="V553" s="35"/>
      <c r="W553" s="35"/>
      <c r="X553" s="35"/>
      <c r="Y553" s="35"/>
      <c r="Z553" s="35"/>
    </row>
    <row r="554" ht="12.75" customHeight="1">
      <c r="A554" s="35"/>
      <c r="B554" s="35"/>
      <c r="C554" s="35"/>
      <c r="D554" s="35"/>
      <c r="E554" s="35"/>
      <c r="F554" s="35"/>
      <c r="G554" s="35"/>
      <c r="H554" s="35"/>
      <c r="I554" s="35"/>
      <c r="J554" s="35"/>
      <c r="K554" s="35"/>
      <c r="L554" s="35"/>
      <c r="M554" s="35"/>
      <c r="N554" s="35"/>
      <c r="O554" s="35"/>
      <c r="P554" s="35"/>
      <c r="Q554" s="35"/>
      <c r="R554" s="35"/>
      <c r="S554" s="35"/>
      <c r="T554" s="35"/>
      <c r="U554" s="35"/>
      <c r="V554" s="35"/>
      <c r="W554" s="35"/>
      <c r="X554" s="35"/>
      <c r="Y554" s="35"/>
      <c r="Z554" s="35"/>
    </row>
    <row r="555" ht="12.75" customHeight="1">
      <c r="A555" s="35"/>
      <c r="B555" s="35"/>
      <c r="C555" s="35"/>
      <c r="D555" s="35"/>
      <c r="E555" s="35"/>
      <c r="F555" s="35"/>
      <c r="G555" s="35"/>
      <c r="H555" s="35"/>
      <c r="I555" s="35"/>
      <c r="J555" s="35"/>
      <c r="K555" s="35"/>
      <c r="L555" s="35"/>
      <c r="M555" s="35"/>
      <c r="N555" s="35"/>
      <c r="O555" s="35"/>
      <c r="P555" s="35"/>
      <c r="Q555" s="35"/>
      <c r="R555" s="35"/>
      <c r="S555" s="35"/>
      <c r="T555" s="35"/>
      <c r="U555" s="35"/>
      <c r="V555" s="35"/>
      <c r="W555" s="35"/>
      <c r="X555" s="35"/>
      <c r="Y555" s="35"/>
      <c r="Z555" s="35"/>
    </row>
    <row r="556" ht="12.75" customHeight="1">
      <c r="A556" s="35"/>
      <c r="B556" s="35"/>
      <c r="C556" s="35"/>
      <c r="D556" s="35"/>
      <c r="E556" s="35"/>
      <c r="F556" s="35"/>
      <c r="G556" s="35"/>
      <c r="H556" s="35"/>
      <c r="I556" s="35"/>
      <c r="J556" s="35"/>
      <c r="K556" s="35"/>
      <c r="L556" s="35"/>
      <c r="M556" s="35"/>
      <c r="N556" s="35"/>
      <c r="O556" s="35"/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5"/>
    </row>
    <row r="557" ht="12.75" customHeight="1">
      <c r="A557" s="35"/>
      <c r="B557" s="35"/>
      <c r="C557" s="35"/>
      <c r="D557" s="35"/>
      <c r="E557" s="35"/>
      <c r="F557" s="35"/>
      <c r="G557" s="35"/>
      <c r="H557" s="35"/>
      <c r="I557" s="35"/>
      <c r="J557" s="35"/>
      <c r="K557" s="35"/>
      <c r="L557" s="35"/>
      <c r="M557" s="35"/>
      <c r="N557" s="35"/>
      <c r="O557" s="35"/>
      <c r="P557" s="35"/>
      <c r="Q557" s="35"/>
      <c r="R557" s="35"/>
      <c r="S557" s="35"/>
      <c r="T557" s="35"/>
      <c r="U557" s="35"/>
      <c r="V557" s="35"/>
      <c r="W557" s="35"/>
      <c r="X557" s="35"/>
      <c r="Y557" s="35"/>
      <c r="Z557" s="35"/>
    </row>
    <row r="558" ht="12.75" customHeight="1">
      <c r="A558" s="35"/>
      <c r="B558" s="35"/>
      <c r="C558" s="35"/>
      <c r="D558" s="35"/>
      <c r="E558" s="35"/>
      <c r="F558" s="35"/>
      <c r="G558" s="35"/>
      <c r="H558" s="35"/>
      <c r="I558" s="35"/>
      <c r="J558" s="35"/>
      <c r="K558" s="35"/>
      <c r="L558" s="35"/>
      <c r="M558" s="35"/>
      <c r="N558" s="35"/>
      <c r="O558" s="35"/>
      <c r="P558" s="35"/>
      <c r="Q558" s="35"/>
      <c r="R558" s="35"/>
      <c r="S558" s="35"/>
      <c r="T558" s="35"/>
      <c r="U558" s="35"/>
      <c r="V558" s="35"/>
      <c r="W558" s="35"/>
      <c r="X558" s="35"/>
      <c r="Y558" s="35"/>
      <c r="Z558" s="35"/>
    </row>
    <row r="559" ht="12.75" customHeight="1">
      <c r="A559" s="35"/>
      <c r="B559" s="35"/>
      <c r="C559" s="35"/>
      <c r="D559" s="35"/>
      <c r="E559" s="35"/>
      <c r="F559" s="35"/>
      <c r="G559" s="35"/>
      <c r="H559" s="35"/>
      <c r="I559" s="35"/>
      <c r="J559" s="35"/>
      <c r="K559" s="35"/>
      <c r="L559" s="35"/>
      <c r="M559" s="35"/>
      <c r="N559" s="35"/>
      <c r="O559" s="35"/>
      <c r="P559" s="35"/>
      <c r="Q559" s="35"/>
      <c r="R559" s="35"/>
      <c r="S559" s="35"/>
      <c r="T559" s="35"/>
      <c r="U559" s="35"/>
      <c r="V559" s="35"/>
      <c r="W559" s="35"/>
      <c r="X559" s="35"/>
      <c r="Y559" s="35"/>
      <c r="Z559" s="35"/>
    </row>
    <row r="560" ht="12.75" customHeight="1">
      <c r="A560" s="35"/>
      <c r="B560" s="35"/>
      <c r="C560" s="35"/>
      <c r="D560" s="35"/>
      <c r="E560" s="35"/>
      <c r="F560" s="35"/>
      <c r="G560" s="35"/>
      <c r="H560" s="35"/>
      <c r="I560" s="35"/>
      <c r="J560" s="35"/>
      <c r="K560" s="35"/>
      <c r="L560" s="35"/>
      <c r="M560" s="35"/>
      <c r="N560" s="35"/>
      <c r="O560" s="35"/>
      <c r="P560" s="35"/>
      <c r="Q560" s="35"/>
      <c r="R560" s="35"/>
      <c r="S560" s="35"/>
      <c r="T560" s="35"/>
      <c r="U560" s="35"/>
      <c r="V560" s="35"/>
      <c r="W560" s="35"/>
      <c r="X560" s="35"/>
      <c r="Y560" s="35"/>
      <c r="Z560" s="35"/>
    </row>
    <row r="561" ht="12.75" customHeight="1">
      <c r="A561" s="35"/>
      <c r="B561" s="35"/>
      <c r="C561" s="35"/>
      <c r="D561" s="35"/>
      <c r="E561" s="35"/>
      <c r="F561" s="35"/>
      <c r="G561" s="35"/>
      <c r="H561" s="35"/>
      <c r="I561" s="35"/>
      <c r="J561" s="35"/>
      <c r="K561" s="35"/>
      <c r="L561" s="35"/>
      <c r="M561" s="35"/>
      <c r="N561" s="35"/>
      <c r="O561" s="35"/>
      <c r="P561" s="35"/>
      <c r="Q561" s="35"/>
      <c r="R561" s="35"/>
      <c r="S561" s="35"/>
      <c r="T561" s="35"/>
      <c r="U561" s="35"/>
      <c r="V561" s="35"/>
      <c r="W561" s="35"/>
      <c r="X561" s="35"/>
      <c r="Y561" s="35"/>
      <c r="Z561" s="35"/>
    </row>
    <row r="562" ht="12.75" customHeight="1">
      <c r="A562" s="35"/>
      <c r="B562" s="35"/>
      <c r="C562" s="35"/>
      <c r="D562" s="35"/>
      <c r="E562" s="35"/>
      <c r="F562" s="35"/>
      <c r="G562" s="35"/>
      <c r="H562" s="35"/>
      <c r="I562" s="35"/>
      <c r="J562" s="35"/>
      <c r="K562" s="35"/>
      <c r="L562" s="35"/>
      <c r="M562" s="35"/>
      <c r="N562" s="35"/>
      <c r="O562" s="35"/>
      <c r="P562" s="35"/>
      <c r="Q562" s="35"/>
      <c r="R562" s="35"/>
      <c r="S562" s="35"/>
      <c r="T562" s="35"/>
      <c r="U562" s="35"/>
      <c r="V562" s="35"/>
      <c r="W562" s="35"/>
      <c r="X562" s="35"/>
      <c r="Y562" s="35"/>
      <c r="Z562" s="35"/>
    </row>
    <row r="563" ht="12.75" customHeight="1">
      <c r="A563" s="35"/>
      <c r="B563" s="35"/>
      <c r="C563" s="35"/>
      <c r="D563" s="35"/>
      <c r="E563" s="35"/>
      <c r="F563" s="35"/>
      <c r="G563" s="35"/>
      <c r="H563" s="35"/>
      <c r="I563" s="35"/>
      <c r="J563" s="35"/>
      <c r="K563" s="35"/>
      <c r="L563" s="35"/>
      <c r="M563" s="35"/>
      <c r="N563" s="35"/>
      <c r="O563" s="35"/>
      <c r="P563" s="35"/>
      <c r="Q563" s="35"/>
      <c r="R563" s="35"/>
      <c r="S563" s="35"/>
      <c r="T563" s="35"/>
      <c r="U563" s="35"/>
      <c r="V563" s="35"/>
      <c r="W563" s="35"/>
      <c r="X563" s="35"/>
      <c r="Y563" s="35"/>
      <c r="Z563" s="35"/>
    </row>
    <row r="564" ht="12.75" customHeight="1">
      <c r="A564" s="35"/>
      <c r="B564" s="35"/>
      <c r="C564" s="35"/>
      <c r="D564" s="35"/>
      <c r="E564" s="35"/>
      <c r="F564" s="35"/>
      <c r="G564" s="35"/>
      <c r="H564" s="35"/>
      <c r="I564" s="35"/>
      <c r="J564" s="35"/>
      <c r="K564" s="35"/>
      <c r="L564" s="35"/>
      <c r="M564" s="35"/>
      <c r="N564" s="35"/>
      <c r="O564" s="35"/>
      <c r="P564" s="35"/>
      <c r="Q564" s="35"/>
      <c r="R564" s="35"/>
      <c r="S564" s="35"/>
      <c r="T564" s="35"/>
      <c r="U564" s="35"/>
      <c r="V564" s="35"/>
      <c r="W564" s="35"/>
      <c r="X564" s="35"/>
      <c r="Y564" s="35"/>
      <c r="Z564" s="35"/>
    </row>
    <row r="565" ht="12.75" customHeight="1">
      <c r="A565" s="35"/>
      <c r="B565" s="35"/>
      <c r="C565" s="35"/>
      <c r="D565" s="35"/>
      <c r="E565" s="35"/>
      <c r="F565" s="35"/>
      <c r="G565" s="35"/>
      <c r="H565" s="35"/>
      <c r="I565" s="35"/>
      <c r="J565" s="35"/>
      <c r="K565" s="35"/>
      <c r="L565" s="35"/>
      <c r="M565" s="35"/>
      <c r="N565" s="35"/>
      <c r="O565" s="35"/>
      <c r="P565" s="35"/>
      <c r="Q565" s="35"/>
      <c r="R565" s="35"/>
      <c r="S565" s="35"/>
      <c r="T565" s="35"/>
      <c r="U565" s="35"/>
      <c r="V565" s="35"/>
      <c r="W565" s="35"/>
      <c r="X565" s="35"/>
      <c r="Y565" s="35"/>
      <c r="Z565" s="35"/>
    </row>
    <row r="566" ht="12.75" customHeight="1">
      <c r="A566" s="35"/>
      <c r="B566" s="35"/>
      <c r="C566" s="35"/>
      <c r="D566" s="35"/>
      <c r="E566" s="35"/>
      <c r="F566" s="35"/>
      <c r="G566" s="35"/>
      <c r="H566" s="35"/>
      <c r="I566" s="35"/>
      <c r="J566" s="35"/>
      <c r="K566" s="35"/>
      <c r="L566" s="35"/>
      <c r="M566" s="35"/>
      <c r="N566" s="35"/>
      <c r="O566" s="35"/>
      <c r="P566" s="35"/>
      <c r="Q566" s="35"/>
      <c r="R566" s="35"/>
      <c r="S566" s="35"/>
      <c r="T566" s="35"/>
      <c r="U566" s="35"/>
      <c r="V566" s="35"/>
      <c r="W566" s="35"/>
      <c r="X566" s="35"/>
      <c r="Y566" s="35"/>
      <c r="Z566" s="35"/>
    </row>
    <row r="567" ht="12.75" customHeight="1">
      <c r="A567" s="35"/>
      <c r="B567" s="35"/>
      <c r="C567" s="35"/>
      <c r="D567" s="35"/>
      <c r="E567" s="35"/>
      <c r="F567" s="35"/>
      <c r="G567" s="35"/>
      <c r="H567" s="35"/>
      <c r="I567" s="35"/>
      <c r="J567" s="35"/>
      <c r="K567" s="35"/>
      <c r="L567" s="35"/>
      <c r="M567" s="35"/>
      <c r="N567" s="35"/>
      <c r="O567" s="35"/>
      <c r="P567" s="35"/>
      <c r="Q567" s="35"/>
      <c r="R567" s="35"/>
      <c r="S567" s="35"/>
      <c r="T567" s="35"/>
      <c r="U567" s="35"/>
      <c r="V567" s="35"/>
      <c r="W567" s="35"/>
      <c r="X567" s="35"/>
      <c r="Y567" s="35"/>
      <c r="Z567" s="35"/>
    </row>
    <row r="568" ht="12.75" customHeight="1">
      <c r="A568" s="35"/>
      <c r="B568" s="35"/>
      <c r="C568" s="35"/>
      <c r="D568" s="35"/>
      <c r="E568" s="35"/>
      <c r="F568" s="35"/>
      <c r="G568" s="35"/>
      <c r="H568" s="35"/>
      <c r="I568" s="35"/>
      <c r="J568" s="35"/>
      <c r="K568" s="35"/>
      <c r="L568" s="35"/>
      <c r="M568" s="35"/>
      <c r="N568" s="35"/>
      <c r="O568" s="35"/>
      <c r="P568" s="35"/>
      <c r="Q568" s="35"/>
      <c r="R568" s="35"/>
      <c r="S568" s="35"/>
      <c r="T568" s="35"/>
      <c r="U568" s="35"/>
      <c r="V568" s="35"/>
      <c r="W568" s="35"/>
      <c r="X568" s="35"/>
      <c r="Y568" s="35"/>
      <c r="Z568" s="35"/>
    </row>
    <row r="569" ht="12.75" customHeight="1">
      <c r="A569" s="35"/>
      <c r="B569" s="35"/>
      <c r="C569" s="35"/>
      <c r="D569" s="35"/>
      <c r="E569" s="35"/>
      <c r="F569" s="35"/>
      <c r="G569" s="35"/>
      <c r="H569" s="35"/>
      <c r="I569" s="35"/>
      <c r="J569" s="35"/>
      <c r="K569" s="35"/>
      <c r="L569" s="35"/>
      <c r="M569" s="35"/>
      <c r="N569" s="35"/>
      <c r="O569" s="35"/>
      <c r="P569" s="35"/>
      <c r="Q569" s="35"/>
      <c r="R569" s="35"/>
      <c r="S569" s="35"/>
      <c r="T569" s="35"/>
      <c r="U569" s="35"/>
      <c r="V569" s="35"/>
      <c r="W569" s="35"/>
      <c r="X569" s="35"/>
      <c r="Y569" s="35"/>
      <c r="Z569" s="35"/>
    </row>
    <row r="570" ht="12.75" customHeight="1">
      <c r="A570" s="35"/>
      <c r="B570" s="35"/>
      <c r="C570" s="35"/>
      <c r="D570" s="35"/>
      <c r="E570" s="35"/>
      <c r="F570" s="35"/>
      <c r="G570" s="35"/>
      <c r="H570" s="35"/>
      <c r="I570" s="35"/>
      <c r="J570" s="35"/>
      <c r="K570" s="35"/>
      <c r="L570" s="35"/>
      <c r="M570" s="35"/>
      <c r="N570" s="35"/>
      <c r="O570" s="35"/>
      <c r="P570" s="35"/>
      <c r="Q570" s="35"/>
      <c r="R570" s="35"/>
      <c r="S570" s="35"/>
      <c r="T570" s="35"/>
      <c r="U570" s="35"/>
      <c r="V570" s="35"/>
      <c r="W570" s="35"/>
      <c r="X570" s="35"/>
      <c r="Y570" s="35"/>
      <c r="Z570" s="35"/>
    </row>
    <row r="571" ht="12.75" customHeight="1">
      <c r="A571" s="35"/>
      <c r="B571" s="35"/>
      <c r="C571" s="35"/>
      <c r="D571" s="35"/>
      <c r="E571" s="35"/>
      <c r="F571" s="35"/>
      <c r="G571" s="35"/>
      <c r="H571" s="35"/>
      <c r="I571" s="35"/>
      <c r="J571" s="35"/>
      <c r="K571" s="35"/>
      <c r="L571" s="35"/>
      <c r="M571" s="35"/>
      <c r="N571" s="35"/>
      <c r="O571" s="35"/>
      <c r="P571" s="35"/>
      <c r="Q571" s="35"/>
      <c r="R571" s="35"/>
      <c r="S571" s="35"/>
      <c r="T571" s="35"/>
      <c r="U571" s="35"/>
      <c r="V571" s="35"/>
      <c r="W571" s="35"/>
      <c r="X571" s="35"/>
      <c r="Y571" s="35"/>
      <c r="Z571" s="35"/>
    </row>
    <row r="572" ht="12.75" customHeight="1">
      <c r="A572" s="35"/>
      <c r="B572" s="35"/>
      <c r="C572" s="35"/>
      <c r="D572" s="35"/>
      <c r="E572" s="35"/>
      <c r="F572" s="35"/>
      <c r="G572" s="35"/>
      <c r="H572" s="35"/>
      <c r="I572" s="35"/>
      <c r="J572" s="35"/>
      <c r="K572" s="35"/>
      <c r="L572" s="35"/>
      <c r="M572" s="35"/>
      <c r="N572" s="35"/>
      <c r="O572" s="35"/>
      <c r="P572" s="35"/>
      <c r="Q572" s="35"/>
      <c r="R572" s="35"/>
      <c r="S572" s="35"/>
      <c r="T572" s="35"/>
      <c r="U572" s="35"/>
      <c r="V572" s="35"/>
      <c r="W572" s="35"/>
      <c r="X572" s="35"/>
      <c r="Y572" s="35"/>
      <c r="Z572" s="35"/>
    </row>
    <row r="573" ht="12.75" customHeight="1">
      <c r="A573" s="35"/>
      <c r="B573" s="35"/>
      <c r="C573" s="35"/>
      <c r="D573" s="35"/>
      <c r="E573" s="35"/>
      <c r="F573" s="35"/>
      <c r="G573" s="35"/>
      <c r="H573" s="35"/>
      <c r="I573" s="35"/>
      <c r="J573" s="35"/>
      <c r="K573" s="35"/>
      <c r="L573" s="35"/>
      <c r="M573" s="35"/>
      <c r="N573" s="35"/>
      <c r="O573" s="35"/>
      <c r="P573" s="35"/>
      <c r="Q573" s="35"/>
      <c r="R573" s="35"/>
      <c r="S573" s="35"/>
      <c r="T573" s="35"/>
      <c r="U573" s="35"/>
      <c r="V573" s="35"/>
      <c r="W573" s="35"/>
      <c r="X573" s="35"/>
      <c r="Y573" s="35"/>
      <c r="Z573" s="35"/>
    </row>
    <row r="574" ht="12.75" customHeight="1">
      <c r="A574" s="35"/>
      <c r="B574" s="35"/>
      <c r="C574" s="35"/>
      <c r="D574" s="35"/>
      <c r="E574" s="35"/>
      <c r="F574" s="35"/>
      <c r="G574" s="35"/>
      <c r="H574" s="35"/>
      <c r="I574" s="35"/>
      <c r="J574" s="35"/>
      <c r="K574" s="35"/>
      <c r="L574" s="35"/>
      <c r="M574" s="35"/>
      <c r="N574" s="35"/>
      <c r="O574" s="35"/>
      <c r="P574" s="35"/>
      <c r="Q574" s="35"/>
      <c r="R574" s="35"/>
      <c r="S574" s="35"/>
      <c r="T574" s="35"/>
      <c r="U574" s="35"/>
      <c r="V574" s="35"/>
      <c r="W574" s="35"/>
      <c r="X574" s="35"/>
      <c r="Y574" s="35"/>
      <c r="Z574" s="35"/>
    </row>
    <row r="575" ht="12.75" customHeight="1">
      <c r="A575" s="35"/>
      <c r="B575" s="35"/>
      <c r="C575" s="35"/>
      <c r="D575" s="35"/>
      <c r="E575" s="35"/>
      <c r="F575" s="35"/>
      <c r="G575" s="35"/>
      <c r="H575" s="35"/>
      <c r="I575" s="35"/>
      <c r="J575" s="35"/>
      <c r="K575" s="35"/>
      <c r="L575" s="35"/>
      <c r="M575" s="35"/>
      <c r="N575" s="35"/>
      <c r="O575" s="35"/>
      <c r="P575" s="35"/>
      <c r="Q575" s="35"/>
      <c r="R575" s="35"/>
      <c r="S575" s="35"/>
      <c r="T575" s="35"/>
      <c r="U575" s="35"/>
      <c r="V575" s="35"/>
      <c r="W575" s="35"/>
      <c r="X575" s="35"/>
      <c r="Y575" s="35"/>
      <c r="Z575" s="35"/>
    </row>
    <row r="576" ht="12.75" customHeight="1">
      <c r="A576" s="35"/>
      <c r="B576" s="35"/>
      <c r="C576" s="35"/>
      <c r="D576" s="35"/>
      <c r="E576" s="35"/>
      <c r="F576" s="35"/>
      <c r="G576" s="35"/>
      <c r="H576" s="35"/>
      <c r="I576" s="35"/>
      <c r="J576" s="35"/>
      <c r="K576" s="35"/>
      <c r="L576" s="35"/>
      <c r="M576" s="35"/>
      <c r="N576" s="35"/>
      <c r="O576" s="35"/>
      <c r="P576" s="35"/>
      <c r="Q576" s="35"/>
      <c r="R576" s="35"/>
      <c r="S576" s="35"/>
      <c r="T576" s="35"/>
      <c r="U576" s="35"/>
      <c r="V576" s="35"/>
      <c r="W576" s="35"/>
      <c r="X576" s="35"/>
      <c r="Y576" s="35"/>
      <c r="Z576" s="35"/>
    </row>
    <row r="577" ht="12.75" customHeight="1">
      <c r="A577" s="35"/>
      <c r="B577" s="35"/>
      <c r="C577" s="35"/>
      <c r="D577" s="35"/>
      <c r="E577" s="35"/>
      <c r="F577" s="35"/>
      <c r="G577" s="35"/>
      <c r="H577" s="35"/>
      <c r="I577" s="35"/>
      <c r="J577" s="35"/>
      <c r="K577" s="35"/>
      <c r="L577" s="35"/>
      <c r="M577" s="35"/>
      <c r="N577" s="35"/>
      <c r="O577" s="35"/>
      <c r="P577" s="35"/>
      <c r="Q577" s="35"/>
      <c r="R577" s="35"/>
      <c r="S577" s="35"/>
      <c r="T577" s="35"/>
      <c r="U577" s="35"/>
      <c r="V577" s="35"/>
      <c r="W577" s="35"/>
      <c r="X577" s="35"/>
      <c r="Y577" s="35"/>
      <c r="Z577" s="35"/>
    </row>
    <row r="578" ht="12.75" customHeight="1">
      <c r="A578" s="35"/>
      <c r="B578" s="35"/>
      <c r="C578" s="35"/>
      <c r="D578" s="35"/>
      <c r="E578" s="35"/>
      <c r="F578" s="35"/>
      <c r="G578" s="35"/>
      <c r="H578" s="35"/>
      <c r="I578" s="35"/>
      <c r="J578" s="35"/>
      <c r="K578" s="35"/>
      <c r="L578" s="35"/>
      <c r="M578" s="35"/>
      <c r="N578" s="35"/>
      <c r="O578" s="35"/>
      <c r="P578" s="35"/>
      <c r="Q578" s="35"/>
      <c r="R578" s="35"/>
      <c r="S578" s="35"/>
      <c r="T578" s="35"/>
      <c r="U578" s="35"/>
      <c r="V578" s="35"/>
      <c r="W578" s="35"/>
      <c r="X578" s="35"/>
      <c r="Y578" s="35"/>
      <c r="Z578" s="35"/>
    </row>
    <row r="579" ht="12.75" customHeight="1">
      <c r="A579" s="35"/>
      <c r="B579" s="35"/>
      <c r="C579" s="35"/>
      <c r="D579" s="35"/>
      <c r="E579" s="35"/>
      <c r="F579" s="35"/>
      <c r="G579" s="35"/>
      <c r="H579" s="35"/>
      <c r="I579" s="35"/>
      <c r="J579" s="35"/>
      <c r="K579" s="35"/>
      <c r="L579" s="35"/>
      <c r="M579" s="35"/>
      <c r="N579" s="35"/>
      <c r="O579" s="35"/>
      <c r="P579" s="35"/>
      <c r="Q579" s="35"/>
      <c r="R579" s="35"/>
      <c r="S579" s="35"/>
      <c r="T579" s="35"/>
      <c r="U579" s="35"/>
      <c r="V579" s="35"/>
      <c r="W579" s="35"/>
      <c r="X579" s="35"/>
      <c r="Y579" s="35"/>
      <c r="Z579" s="35"/>
    </row>
    <row r="580" ht="12.75" customHeight="1">
      <c r="A580" s="35"/>
      <c r="B580" s="35"/>
      <c r="C580" s="35"/>
      <c r="D580" s="35"/>
      <c r="E580" s="35"/>
      <c r="F580" s="35"/>
      <c r="G580" s="35"/>
      <c r="H580" s="35"/>
      <c r="I580" s="35"/>
      <c r="J580" s="35"/>
      <c r="K580" s="35"/>
      <c r="L580" s="35"/>
      <c r="M580" s="35"/>
      <c r="N580" s="35"/>
      <c r="O580" s="35"/>
      <c r="P580" s="35"/>
      <c r="Q580" s="35"/>
      <c r="R580" s="35"/>
      <c r="S580" s="35"/>
      <c r="T580" s="35"/>
      <c r="U580" s="35"/>
      <c r="V580" s="35"/>
      <c r="W580" s="35"/>
      <c r="X580" s="35"/>
      <c r="Y580" s="35"/>
      <c r="Z580" s="35"/>
    </row>
    <row r="581" ht="12.75" customHeight="1">
      <c r="A581" s="35"/>
      <c r="B581" s="35"/>
      <c r="C581" s="35"/>
      <c r="D581" s="35"/>
      <c r="E581" s="35"/>
      <c r="F581" s="35"/>
      <c r="G581" s="35"/>
      <c r="H581" s="35"/>
      <c r="I581" s="35"/>
      <c r="J581" s="35"/>
      <c r="K581" s="35"/>
      <c r="L581" s="35"/>
      <c r="M581" s="35"/>
      <c r="N581" s="35"/>
      <c r="O581" s="35"/>
      <c r="P581" s="35"/>
      <c r="Q581" s="35"/>
      <c r="R581" s="35"/>
      <c r="S581" s="35"/>
      <c r="T581" s="35"/>
      <c r="U581" s="35"/>
      <c r="V581" s="35"/>
      <c r="W581" s="35"/>
      <c r="X581" s="35"/>
      <c r="Y581" s="35"/>
      <c r="Z581" s="35"/>
    </row>
    <row r="582" ht="12.75" customHeight="1">
      <c r="A582" s="35"/>
      <c r="B582" s="35"/>
      <c r="C582" s="35"/>
      <c r="D582" s="35"/>
      <c r="E582" s="35"/>
      <c r="F582" s="35"/>
      <c r="G582" s="35"/>
      <c r="H582" s="35"/>
      <c r="I582" s="35"/>
      <c r="J582" s="35"/>
      <c r="K582" s="35"/>
      <c r="L582" s="35"/>
      <c r="M582" s="35"/>
      <c r="N582" s="35"/>
      <c r="O582" s="35"/>
      <c r="P582" s="35"/>
      <c r="Q582" s="35"/>
      <c r="R582" s="35"/>
      <c r="S582" s="35"/>
      <c r="T582" s="35"/>
      <c r="U582" s="35"/>
      <c r="V582" s="35"/>
      <c r="W582" s="35"/>
      <c r="X582" s="35"/>
      <c r="Y582" s="35"/>
      <c r="Z582" s="35"/>
    </row>
    <row r="583" ht="12.75" customHeight="1">
      <c r="A583" s="35"/>
      <c r="B583" s="35"/>
      <c r="C583" s="35"/>
      <c r="D583" s="35"/>
      <c r="E583" s="35"/>
      <c r="F583" s="35"/>
      <c r="G583" s="35"/>
      <c r="H583" s="35"/>
      <c r="I583" s="35"/>
      <c r="J583" s="35"/>
      <c r="K583" s="35"/>
      <c r="L583" s="35"/>
      <c r="M583" s="35"/>
      <c r="N583" s="35"/>
      <c r="O583" s="35"/>
      <c r="P583" s="35"/>
      <c r="Q583" s="35"/>
      <c r="R583" s="35"/>
      <c r="S583" s="35"/>
      <c r="T583" s="35"/>
      <c r="U583" s="35"/>
      <c r="V583" s="35"/>
      <c r="W583" s="35"/>
      <c r="X583" s="35"/>
      <c r="Y583" s="35"/>
      <c r="Z583" s="35"/>
    </row>
    <row r="584" ht="12.75" customHeight="1">
      <c r="A584" s="35"/>
      <c r="B584" s="35"/>
      <c r="C584" s="35"/>
      <c r="D584" s="35"/>
      <c r="E584" s="35"/>
      <c r="F584" s="35"/>
      <c r="G584" s="35"/>
      <c r="H584" s="35"/>
      <c r="I584" s="35"/>
      <c r="J584" s="35"/>
      <c r="K584" s="35"/>
      <c r="L584" s="35"/>
      <c r="M584" s="35"/>
      <c r="N584" s="35"/>
      <c r="O584" s="35"/>
      <c r="P584" s="35"/>
      <c r="Q584" s="35"/>
      <c r="R584" s="35"/>
      <c r="S584" s="35"/>
      <c r="T584" s="35"/>
      <c r="U584" s="35"/>
      <c r="V584" s="35"/>
      <c r="W584" s="35"/>
      <c r="X584" s="35"/>
      <c r="Y584" s="35"/>
      <c r="Z584" s="35"/>
    </row>
    <row r="585" ht="12.75" customHeight="1">
      <c r="A585" s="35"/>
      <c r="B585" s="35"/>
      <c r="C585" s="35"/>
      <c r="D585" s="35"/>
      <c r="E585" s="35"/>
      <c r="F585" s="35"/>
      <c r="G585" s="35"/>
      <c r="H585" s="35"/>
      <c r="I585" s="35"/>
      <c r="J585" s="35"/>
      <c r="K585" s="35"/>
      <c r="L585" s="35"/>
      <c r="M585" s="35"/>
      <c r="N585" s="35"/>
      <c r="O585" s="35"/>
      <c r="P585" s="35"/>
      <c r="Q585" s="35"/>
      <c r="R585" s="35"/>
      <c r="S585" s="35"/>
      <c r="T585" s="35"/>
      <c r="U585" s="35"/>
      <c r="V585" s="35"/>
      <c r="W585" s="35"/>
      <c r="X585" s="35"/>
      <c r="Y585" s="35"/>
      <c r="Z585" s="35"/>
    </row>
    <row r="586" ht="12.75" customHeight="1">
      <c r="A586" s="35"/>
      <c r="B586" s="35"/>
      <c r="C586" s="35"/>
      <c r="D586" s="35"/>
      <c r="E586" s="35"/>
      <c r="F586" s="35"/>
      <c r="G586" s="35"/>
      <c r="H586" s="35"/>
      <c r="I586" s="35"/>
      <c r="J586" s="35"/>
      <c r="K586" s="35"/>
      <c r="L586" s="35"/>
      <c r="M586" s="35"/>
      <c r="N586" s="35"/>
      <c r="O586" s="35"/>
      <c r="P586" s="35"/>
      <c r="Q586" s="35"/>
      <c r="R586" s="35"/>
      <c r="S586" s="35"/>
      <c r="T586" s="35"/>
      <c r="U586" s="35"/>
      <c r="V586" s="35"/>
      <c r="W586" s="35"/>
      <c r="X586" s="35"/>
      <c r="Y586" s="35"/>
      <c r="Z586" s="35"/>
    </row>
    <row r="587" ht="12.75" customHeight="1">
      <c r="A587" s="35"/>
      <c r="B587" s="35"/>
      <c r="C587" s="35"/>
      <c r="D587" s="35"/>
      <c r="E587" s="35"/>
      <c r="F587" s="35"/>
      <c r="G587" s="35"/>
      <c r="H587" s="35"/>
      <c r="I587" s="35"/>
      <c r="J587" s="35"/>
      <c r="K587" s="35"/>
      <c r="L587" s="35"/>
      <c r="M587" s="35"/>
      <c r="N587" s="35"/>
      <c r="O587" s="35"/>
      <c r="P587" s="35"/>
      <c r="Q587" s="35"/>
      <c r="R587" s="35"/>
      <c r="S587" s="35"/>
      <c r="T587" s="35"/>
      <c r="U587" s="35"/>
      <c r="V587" s="35"/>
      <c r="W587" s="35"/>
      <c r="X587" s="35"/>
      <c r="Y587" s="35"/>
      <c r="Z587" s="35"/>
    </row>
    <row r="588" ht="12.75" customHeight="1">
      <c r="A588" s="35"/>
      <c r="B588" s="35"/>
      <c r="C588" s="35"/>
      <c r="D588" s="35"/>
      <c r="E588" s="35"/>
      <c r="F588" s="35"/>
      <c r="G588" s="35"/>
      <c r="H588" s="35"/>
      <c r="I588" s="35"/>
      <c r="J588" s="35"/>
      <c r="K588" s="35"/>
      <c r="L588" s="35"/>
      <c r="M588" s="35"/>
      <c r="N588" s="35"/>
      <c r="O588" s="35"/>
      <c r="P588" s="35"/>
      <c r="Q588" s="35"/>
      <c r="R588" s="35"/>
      <c r="S588" s="35"/>
      <c r="T588" s="35"/>
      <c r="U588" s="35"/>
      <c r="V588" s="35"/>
      <c r="W588" s="35"/>
      <c r="X588" s="35"/>
      <c r="Y588" s="35"/>
      <c r="Z588" s="35"/>
    </row>
    <row r="589" ht="12.75" customHeight="1">
      <c r="A589" s="35"/>
      <c r="B589" s="35"/>
      <c r="C589" s="35"/>
      <c r="D589" s="35"/>
      <c r="E589" s="35"/>
      <c r="F589" s="35"/>
      <c r="G589" s="35"/>
      <c r="H589" s="35"/>
      <c r="I589" s="35"/>
      <c r="J589" s="35"/>
      <c r="K589" s="35"/>
      <c r="L589" s="35"/>
      <c r="M589" s="35"/>
      <c r="N589" s="35"/>
      <c r="O589" s="35"/>
      <c r="P589" s="35"/>
      <c r="Q589" s="35"/>
      <c r="R589" s="35"/>
      <c r="S589" s="35"/>
      <c r="T589" s="35"/>
      <c r="U589" s="35"/>
      <c r="V589" s="35"/>
      <c r="W589" s="35"/>
      <c r="X589" s="35"/>
      <c r="Y589" s="35"/>
      <c r="Z589" s="35"/>
    </row>
    <row r="590" ht="12.75" customHeight="1">
      <c r="A590" s="35"/>
      <c r="B590" s="35"/>
      <c r="C590" s="35"/>
      <c r="D590" s="35"/>
      <c r="E590" s="35"/>
      <c r="F590" s="35"/>
      <c r="G590" s="35"/>
      <c r="H590" s="35"/>
      <c r="I590" s="35"/>
      <c r="J590" s="35"/>
      <c r="K590" s="35"/>
      <c r="L590" s="35"/>
      <c r="M590" s="35"/>
      <c r="N590" s="35"/>
      <c r="O590" s="35"/>
      <c r="P590" s="35"/>
      <c r="Q590" s="35"/>
      <c r="R590" s="35"/>
      <c r="S590" s="35"/>
      <c r="T590" s="35"/>
      <c r="U590" s="35"/>
      <c r="V590" s="35"/>
      <c r="W590" s="35"/>
      <c r="X590" s="35"/>
      <c r="Y590" s="35"/>
      <c r="Z590" s="35"/>
    </row>
    <row r="591" ht="12.75" customHeight="1">
      <c r="A591" s="35"/>
      <c r="B591" s="35"/>
      <c r="C591" s="35"/>
      <c r="D591" s="35"/>
      <c r="E591" s="35"/>
      <c r="F591" s="35"/>
      <c r="G591" s="35"/>
      <c r="H591" s="35"/>
      <c r="I591" s="35"/>
      <c r="J591" s="35"/>
      <c r="K591" s="35"/>
      <c r="L591" s="35"/>
      <c r="M591" s="35"/>
      <c r="N591" s="35"/>
      <c r="O591" s="35"/>
      <c r="P591" s="35"/>
      <c r="Q591" s="35"/>
      <c r="R591" s="35"/>
      <c r="S591" s="35"/>
      <c r="T591" s="35"/>
      <c r="U591" s="35"/>
      <c r="V591" s="35"/>
      <c r="W591" s="35"/>
      <c r="X591" s="35"/>
      <c r="Y591" s="35"/>
      <c r="Z591" s="35"/>
    </row>
    <row r="592" ht="12.75" customHeight="1">
      <c r="A592" s="35"/>
      <c r="B592" s="35"/>
      <c r="C592" s="35"/>
      <c r="D592" s="35"/>
      <c r="E592" s="35"/>
      <c r="F592" s="35"/>
      <c r="G592" s="35"/>
      <c r="H592" s="35"/>
      <c r="I592" s="35"/>
      <c r="J592" s="35"/>
      <c r="K592" s="35"/>
      <c r="L592" s="35"/>
      <c r="M592" s="35"/>
      <c r="N592" s="35"/>
      <c r="O592" s="35"/>
      <c r="P592" s="35"/>
      <c r="Q592" s="35"/>
      <c r="R592" s="35"/>
      <c r="S592" s="35"/>
      <c r="T592" s="35"/>
      <c r="U592" s="35"/>
      <c r="V592" s="35"/>
      <c r="W592" s="35"/>
      <c r="X592" s="35"/>
      <c r="Y592" s="35"/>
      <c r="Z592" s="35"/>
    </row>
    <row r="593" ht="12.75" customHeight="1">
      <c r="A593" s="35"/>
      <c r="B593" s="35"/>
      <c r="C593" s="35"/>
      <c r="D593" s="35"/>
      <c r="E593" s="35"/>
      <c r="F593" s="35"/>
      <c r="G593" s="35"/>
      <c r="H593" s="35"/>
      <c r="I593" s="35"/>
      <c r="J593" s="35"/>
      <c r="K593" s="35"/>
      <c r="L593" s="35"/>
      <c r="M593" s="35"/>
      <c r="N593" s="35"/>
      <c r="O593" s="35"/>
      <c r="P593" s="35"/>
      <c r="Q593" s="35"/>
      <c r="R593" s="35"/>
      <c r="S593" s="35"/>
      <c r="T593" s="35"/>
      <c r="U593" s="35"/>
      <c r="V593" s="35"/>
      <c r="W593" s="35"/>
      <c r="X593" s="35"/>
      <c r="Y593" s="35"/>
      <c r="Z593" s="35"/>
    </row>
    <row r="594" ht="12.75" customHeight="1">
      <c r="A594" s="35"/>
      <c r="B594" s="35"/>
      <c r="C594" s="35"/>
      <c r="D594" s="35"/>
      <c r="E594" s="35"/>
      <c r="F594" s="35"/>
      <c r="G594" s="35"/>
      <c r="H594" s="35"/>
      <c r="I594" s="35"/>
      <c r="J594" s="35"/>
      <c r="K594" s="35"/>
      <c r="L594" s="35"/>
      <c r="M594" s="35"/>
      <c r="N594" s="35"/>
      <c r="O594" s="35"/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5"/>
    </row>
    <row r="595" ht="12.75" customHeight="1">
      <c r="A595" s="35"/>
      <c r="B595" s="35"/>
      <c r="C595" s="35"/>
      <c r="D595" s="35"/>
      <c r="E595" s="35"/>
      <c r="F595" s="35"/>
      <c r="G595" s="35"/>
      <c r="H595" s="35"/>
      <c r="I595" s="35"/>
      <c r="J595" s="35"/>
      <c r="K595" s="35"/>
      <c r="L595" s="35"/>
      <c r="M595" s="35"/>
      <c r="N595" s="35"/>
      <c r="O595" s="35"/>
      <c r="P595" s="35"/>
      <c r="Q595" s="35"/>
      <c r="R595" s="35"/>
      <c r="S595" s="35"/>
      <c r="T595" s="35"/>
      <c r="U595" s="35"/>
      <c r="V595" s="35"/>
      <c r="W595" s="35"/>
      <c r="X595" s="35"/>
      <c r="Y595" s="35"/>
      <c r="Z595" s="35"/>
    </row>
    <row r="596" ht="12.75" customHeight="1">
      <c r="A596" s="35"/>
      <c r="B596" s="35"/>
      <c r="C596" s="35"/>
      <c r="D596" s="35"/>
      <c r="E596" s="35"/>
      <c r="F596" s="35"/>
      <c r="G596" s="35"/>
      <c r="H596" s="35"/>
      <c r="I596" s="35"/>
      <c r="J596" s="35"/>
      <c r="K596" s="35"/>
      <c r="L596" s="35"/>
      <c r="M596" s="35"/>
      <c r="N596" s="35"/>
      <c r="O596" s="35"/>
      <c r="P596" s="35"/>
      <c r="Q596" s="35"/>
      <c r="R596" s="35"/>
      <c r="S596" s="35"/>
      <c r="T596" s="35"/>
      <c r="U596" s="35"/>
      <c r="V596" s="35"/>
      <c r="W596" s="35"/>
      <c r="X596" s="35"/>
      <c r="Y596" s="35"/>
      <c r="Z596" s="35"/>
    </row>
    <row r="597" ht="12.75" customHeight="1">
      <c r="A597" s="35"/>
      <c r="B597" s="35"/>
      <c r="C597" s="35"/>
      <c r="D597" s="35"/>
      <c r="E597" s="35"/>
      <c r="F597" s="35"/>
      <c r="G597" s="35"/>
      <c r="H597" s="35"/>
      <c r="I597" s="35"/>
      <c r="J597" s="35"/>
      <c r="K597" s="35"/>
      <c r="L597" s="35"/>
      <c r="M597" s="35"/>
      <c r="N597" s="35"/>
      <c r="O597" s="35"/>
      <c r="P597" s="35"/>
      <c r="Q597" s="35"/>
      <c r="R597" s="35"/>
      <c r="S597" s="35"/>
      <c r="T597" s="35"/>
      <c r="U597" s="35"/>
      <c r="V597" s="35"/>
      <c r="W597" s="35"/>
      <c r="X597" s="35"/>
      <c r="Y597" s="35"/>
      <c r="Z597" s="35"/>
    </row>
    <row r="598" ht="12.75" customHeight="1">
      <c r="A598" s="35"/>
      <c r="B598" s="35"/>
      <c r="C598" s="35"/>
      <c r="D598" s="35"/>
      <c r="E598" s="35"/>
      <c r="F598" s="35"/>
      <c r="G598" s="35"/>
      <c r="H598" s="35"/>
      <c r="I598" s="35"/>
      <c r="J598" s="35"/>
      <c r="K598" s="35"/>
      <c r="L598" s="35"/>
      <c r="M598" s="35"/>
      <c r="N598" s="35"/>
      <c r="O598" s="35"/>
      <c r="P598" s="35"/>
      <c r="Q598" s="35"/>
      <c r="R598" s="35"/>
      <c r="S598" s="35"/>
      <c r="T598" s="35"/>
      <c r="U598" s="35"/>
      <c r="V598" s="35"/>
      <c r="W598" s="35"/>
      <c r="X598" s="35"/>
      <c r="Y598" s="35"/>
      <c r="Z598" s="35"/>
    </row>
    <row r="599" ht="12.75" customHeight="1">
      <c r="A599" s="35"/>
      <c r="B599" s="35"/>
      <c r="C599" s="35"/>
      <c r="D599" s="35"/>
      <c r="E599" s="35"/>
      <c r="F599" s="35"/>
      <c r="G599" s="35"/>
      <c r="H599" s="35"/>
      <c r="I599" s="35"/>
      <c r="J599" s="35"/>
      <c r="K599" s="35"/>
      <c r="L599" s="35"/>
      <c r="M599" s="35"/>
      <c r="N599" s="35"/>
      <c r="O599" s="35"/>
      <c r="P599" s="35"/>
      <c r="Q599" s="35"/>
      <c r="R599" s="35"/>
      <c r="S599" s="35"/>
      <c r="T599" s="35"/>
      <c r="U599" s="35"/>
      <c r="V599" s="35"/>
      <c r="W599" s="35"/>
      <c r="X599" s="35"/>
      <c r="Y599" s="35"/>
      <c r="Z599" s="35"/>
    </row>
    <row r="600" ht="12.75" customHeight="1">
      <c r="A600" s="35"/>
      <c r="B600" s="35"/>
      <c r="C600" s="35"/>
      <c r="D600" s="35"/>
      <c r="E600" s="35"/>
      <c r="F600" s="35"/>
      <c r="G600" s="35"/>
      <c r="H600" s="35"/>
      <c r="I600" s="35"/>
      <c r="J600" s="35"/>
      <c r="K600" s="35"/>
      <c r="L600" s="35"/>
      <c r="M600" s="35"/>
      <c r="N600" s="35"/>
      <c r="O600" s="35"/>
      <c r="P600" s="35"/>
      <c r="Q600" s="35"/>
      <c r="R600" s="35"/>
      <c r="S600" s="35"/>
      <c r="T600" s="35"/>
      <c r="U600" s="35"/>
      <c r="V600" s="35"/>
      <c r="W600" s="35"/>
      <c r="X600" s="35"/>
      <c r="Y600" s="35"/>
      <c r="Z600" s="35"/>
    </row>
    <row r="601" ht="12.75" customHeight="1">
      <c r="A601" s="35"/>
      <c r="B601" s="35"/>
      <c r="C601" s="35"/>
      <c r="D601" s="35"/>
      <c r="E601" s="35"/>
      <c r="F601" s="35"/>
      <c r="G601" s="35"/>
      <c r="H601" s="35"/>
      <c r="I601" s="35"/>
      <c r="J601" s="35"/>
      <c r="K601" s="35"/>
      <c r="L601" s="35"/>
      <c r="M601" s="35"/>
      <c r="N601" s="35"/>
      <c r="O601" s="35"/>
      <c r="P601" s="35"/>
      <c r="Q601" s="35"/>
      <c r="R601" s="35"/>
      <c r="S601" s="35"/>
      <c r="T601" s="35"/>
      <c r="U601" s="35"/>
      <c r="V601" s="35"/>
      <c r="W601" s="35"/>
      <c r="X601" s="35"/>
      <c r="Y601" s="35"/>
      <c r="Z601" s="35"/>
    </row>
    <row r="602" ht="12.75" customHeight="1">
      <c r="A602" s="35"/>
      <c r="B602" s="35"/>
      <c r="C602" s="35"/>
      <c r="D602" s="35"/>
      <c r="E602" s="35"/>
      <c r="F602" s="35"/>
      <c r="G602" s="35"/>
      <c r="H602" s="35"/>
      <c r="I602" s="35"/>
      <c r="J602" s="35"/>
      <c r="K602" s="35"/>
      <c r="L602" s="35"/>
      <c r="M602" s="35"/>
      <c r="N602" s="35"/>
      <c r="O602" s="35"/>
      <c r="P602" s="35"/>
      <c r="Q602" s="35"/>
      <c r="R602" s="35"/>
      <c r="S602" s="35"/>
      <c r="T602" s="35"/>
      <c r="U602" s="35"/>
      <c r="V602" s="35"/>
      <c r="W602" s="35"/>
      <c r="X602" s="35"/>
      <c r="Y602" s="35"/>
      <c r="Z602" s="35"/>
    </row>
    <row r="603" ht="12.75" customHeight="1">
      <c r="A603" s="35"/>
      <c r="B603" s="35"/>
      <c r="C603" s="35"/>
      <c r="D603" s="35"/>
      <c r="E603" s="35"/>
      <c r="F603" s="35"/>
      <c r="G603" s="35"/>
      <c r="H603" s="35"/>
      <c r="I603" s="35"/>
      <c r="J603" s="35"/>
      <c r="K603" s="35"/>
      <c r="L603" s="35"/>
      <c r="M603" s="35"/>
      <c r="N603" s="35"/>
      <c r="O603" s="35"/>
      <c r="P603" s="35"/>
      <c r="Q603" s="35"/>
      <c r="R603" s="35"/>
      <c r="S603" s="35"/>
      <c r="T603" s="35"/>
      <c r="U603" s="35"/>
      <c r="V603" s="35"/>
      <c r="W603" s="35"/>
      <c r="X603" s="35"/>
      <c r="Y603" s="35"/>
      <c r="Z603" s="35"/>
    </row>
    <row r="604" ht="12.75" customHeight="1">
      <c r="A604" s="35"/>
      <c r="B604" s="35"/>
      <c r="C604" s="35"/>
      <c r="D604" s="35"/>
      <c r="E604" s="35"/>
      <c r="F604" s="35"/>
      <c r="G604" s="35"/>
      <c r="H604" s="35"/>
      <c r="I604" s="35"/>
      <c r="J604" s="35"/>
      <c r="K604" s="35"/>
      <c r="L604" s="35"/>
      <c r="M604" s="35"/>
      <c r="N604" s="35"/>
      <c r="O604" s="35"/>
      <c r="P604" s="35"/>
      <c r="Q604" s="35"/>
      <c r="R604" s="35"/>
      <c r="S604" s="35"/>
      <c r="T604" s="35"/>
      <c r="U604" s="35"/>
      <c r="V604" s="35"/>
      <c r="W604" s="35"/>
      <c r="X604" s="35"/>
      <c r="Y604" s="35"/>
      <c r="Z604" s="35"/>
    </row>
    <row r="605" ht="12.75" customHeight="1">
      <c r="A605" s="35"/>
      <c r="B605" s="35"/>
      <c r="C605" s="35"/>
      <c r="D605" s="35"/>
      <c r="E605" s="35"/>
      <c r="F605" s="35"/>
      <c r="G605" s="35"/>
      <c r="H605" s="35"/>
      <c r="I605" s="35"/>
      <c r="J605" s="35"/>
      <c r="K605" s="35"/>
      <c r="L605" s="35"/>
      <c r="M605" s="35"/>
      <c r="N605" s="35"/>
      <c r="O605" s="35"/>
      <c r="P605" s="35"/>
      <c r="Q605" s="35"/>
      <c r="R605" s="35"/>
      <c r="S605" s="35"/>
      <c r="T605" s="35"/>
      <c r="U605" s="35"/>
      <c r="V605" s="35"/>
      <c r="W605" s="35"/>
      <c r="X605" s="35"/>
      <c r="Y605" s="35"/>
      <c r="Z605" s="35"/>
    </row>
    <row r="606" ht="12.75" customHeight="1">
      <c r="A606" s="35"/>
      <c r="B606" s="35"/>
      <c r="C606" s="35"/>
      <c r="D606" s="35"/>
      <c r="E606" s="35"/>
      <c r="F606" s="35"/>
      <c r="G606" s="35"/>
      <c r="H606" s="35"/>
      <c r="I606" s="35"/>
      <c r="J606" s="35"/>
      <c r="K606" s="35"/>
      <c r="L606" s="35"/>
      <c r="M606" s="35"/>
      <c r="N606" s="35"/>
      <c r="O606" s="35"/>
      <c r="P606" s="35"/>
      <c r="Q606" s="35"/>
      <c r="R606" s="35"/>
      <c r="S606" s="35"/>
      <c r="T606" s="35"/>
      <c r="U606" s="35"/>
      <c r="V606" s="35"/>
      <c r="W606" s="35"/>
      <c r="X606" s="35"/>
      <c r="Y606" s="35"/>
      <c r="Z606" s="35"/>
    </row>
    <row r="607" ht="12.75" customHeight="1">
      <c r="A607" s="35"/>
      <c r="B607" s="35"/>
      <c r="C607" s="35"/>
      <c r="D607" s="35"/>
      <c r="E607" s="35"/>
      <c r="F607" s="35"/>
      <c r="G607" s="35"/>
      <c r="H607" s="35"/>
      <c r="I607" s="35"/>
      <c r="J607" s="35"/>
      <c r="K607" s="35"/>
      <c r="L607" s="35"/>
      <c r="M607" s="35"/>
      <c r="N607" s="35"/>
      <c r="O607" s="35"/>
      <c r="P607" s="35"/>
      <c r="Q607" s="35"/>
      <c r="R607" s="35"/>
      <c r="S607" s="35"/>
      <c r="T607" s="35"/>
      <c r="U607" s="35"/>
      <c r="V607" s="35"/>
      <c r="W607" s="35"/>
      <c r="X607" s="35"/>
      <c r="Y607" s="35"/>
      <c r="Z607" s="35"/>
    </row>
    <row r="608" ht="12.75" customHeight="1">
      <c r="A608" s="35"/>
      <c r="B608" s="35"/>
      <c r="C608" s="35"/>
      <c r="D608" s="35"/>
      <c r="E608" s="35"/>
      <c r="F608" s="35"/>
      <c r="G608" s="35"/>
      <c r="H608" s="35"/>
      <c r="I608" s="35"/>
      <c r="J608" s="35"/>
      <c r="K608" s="35"/>
      <c r="L608" s="35"/>
      <c r="M608" s="35"/>
      <c r="N608" s="35"/>
      <c r="O608" s="35"/>
      <c r="P608" s="35"/>
      <c r="Q608" s="35"/>
      <c r="R608" s="35"/>
      <c r="S608" s="35"/>
      <c r="T608" s="35"/>
      <c r="U608" s="35"/>
      <c r="V608" s="35"/>
      <c r="W608" s="35"/>
      <c r="X608" s="35"/>
      <c r="Y608" s="35"/>
      <c r="Z608" s="35"/>
    </row>
    <row r="609" ht="12.75" customHeight="1">
      <c r="A609" s="35"/>
      <c r="B609" s="35"/>
      <c r="C609" s="35"/>
      <c r="D609" s="35"/>
      <c r="E609" s="35"/>
      <c r="F609" s="35"/>
      <c r="G609" s="35"/>
      <c r="H609" s="35"/>
      <c r="I609" s="35"/>
      <c r="J609" s="35"/>
      <c r="K609" s="35"/>
      <c r="L609" s="35"/>
      <c r="M609" s="35"/>
      <c r="N609" s="35"/>
      <c r="O609" s="35"/>
      <c r="P609" s="35"/>
      <c r="Q609" s="35"/>
      <c r="R609" s="35"/>
      <c r="S609" s="35"/>
      <c r="T609" s="35"/>
      <c r="U609" s="35"/>
      <c r="V609" s="35"/>
      <c r="W609" s="35"/>
      <c r="X609" s="35"/>
      <c r="Y609" s="35"/>
      <c r="Z609" s="35"/>
    </row>
    <row r="610" ht="12.75" customHeight="1">
      <c r="A610" s="35"/>
      <c r="B610" s="35"/>
      <c r="C610" s="35"/>
      <c r="D610" s="35"/>
      <c r="E610" s="35"/>
      <c r="F610" s="35"/>
      <c r="G610" s="35"/>
      <c r="H610" s="35"/>
      <c r="I610" s="35"/>
      <c r="J610" s="35"/>
      <c r="K610" s="35"/>
      <c r="L610" s="35"/>
      <c r="M610" s="35"/>
      <c r="N610" s="35"/>
      <c r="O610" s="35"/>
      <c r="P610" s="35"/>
      <c r="Q610" s="35"/>
      <c r="R610" s="35"/>
      <c r="S610" s="35"/>
      <c r="T610" s="35"/>
      <c r="U610" s="35"/>
      <c r="V610" s="35"/>
      <c r="W610" s="35"/>
      <c r="X610" s="35"/>
      <c r="Y610" s="35"/>
      <c r="Z610" s="35"/>
    </row>
    <row r="611" ht="12.75" customHeight="1">
      <c r="A611" s="35"/>
      <c r="B611" s="35"/>
      <c r="C611" s="35"/>
      <c r="D611" s="35"/>
      <c r="E611" s="35"/>
      <c r="F611" s="35"/>
      <c r="G611" s="35"/>
      <c r="H611" s="35"/>
      <c r="I611" s="35"/>
      <c r="J611" s="35"/>
      <c r="K611" s="35"/>
      <c r="L611" s="35"/>
      <c r="M611" s="35"/>
      <c r="N611" s="35"/>
      <c r="O611" s="35"/>
      <c r="P611" s="35"/>
      <c r="Q611" s="35"/>
      <c r="R611" s="35"/>
      <c r="S611" s="35"/>
      <c r="T611" s="35"/>
      <c r="U611" s="35"/>
      <c r="V611" s="35"/>
      <c r="W611" s="35"/>
      <c r="X611" s="35"/>
      <c r="Y611" s="35"/>
      <c r="Z611" s="35"/>
    </row>
    <row r="612" ht="12.75" customHeight="1">
      <c r="A612" s="35"/>
      <c r="B612" s="35"/>
      <c r="C612" s="35"/>
      <c r="D612" s="35"/>
      <c r="E612" s="35"/>
      <c r="F612" s="35"/>
      <c r="G612" s="35"/>
      <c r="H612" s="35"/>
      <c r="I612" s="35"/>
      <c r="J612" s="35"/>
      <c r="K612" s="35"/>
      <c r="L612" s="35"/>
      <c r="M612" s="35"/>
      <c r="N612" s="35"/>
      <c r="O612" s="35"/>
      <c r="P612" s="35"/>
      <c r="Q612" s="35"/>
      <c r="R612" s="35"/>
      <c r="S612" s="35"/>
      <c r="T612" s="35"/>
      <c r="U612" s="35"/>
      <c r="V612" s="35"/>
      <c r="W612" s="35"/>
      <c r="X612" s="35"/>
      <c r="Y612" s="35"/>
      <c r="Z612" s="35"/>
    </row>
    <row r="613" ht="12.75" customHeight="1">
      <c r="A613" s="35"/>
      <c r="B613" s="35"/>
      <c r="C613" s="35"/>
      <c r="D613" s="35"/>
      <c r="E613" s="35"/>
      <c r="F613" s="35"/>
      <c r="G613" s="35"/>
      <c r="H613" s="35"/>
      <c r="I613" s="35"/>
      <c r="J613" s="35"/>
      <c r="K613" s="35"/>
      <c r="L613" s="35"/>
      <c r="M613" s="35"/>
      <c r="N613" s="35"/>
      <c r="O613" s="35"/>
      <c r="P613" s="35"/>
      <c r="Q613" s="35"/>
      <c r="R613" s="35"/>
      <c r="S613" s="35"/>
      <c r="T613" s="35"/>
      <c r="U613" s="35"/>
      <c r="V613" s="35"/>
      <c r="W613" s="35"/>
      <c r="X613" s="35"/>
      <c r="Y613" s="35"/>
      <c r="Z613" s="35"/>
    </row>
    <row r="614" ht="12.75" customHeight="1">
      <c r="A614" s="35"/>
      <c r="B614" s="35"/>
      <c r="C614" s="35"/>
      <c r="D614" s="35"/>
      <c r="E614" s="35"/>
      <c r="F614" s="35"/>
      <c r="G614" s="35"/>
      <c r="H614" s="35"/>
      <c r="I614" s="35"/>
      <c r="J614" s="35"/>
      <c r="K614" s="35"/>
      <c r="L614" s="35"/>
      <c r="M614" s="35"/>
      <c r="N614" s="35"/>
      <c r="O614" s="35"/>
      <c r="P614" s="35"/>
      <c r="Q614" s="35"/>
      <c r="R614" s="35"/>
      <c r="S614" s="35"/>
      <c r="T614" s="35"/>
      <c r="U614" s="35"/>
      <c r="V614" s="35"/>
      <c r="W614" s="35"/>
      <c r="X614" s="35"/>
      <c r="Y614" s="35"/>
      <c r="Z614" s="35"/>
    </row>
    <row r="615" ht="12.75" customHeight="1">
      <c r="A615" s="35"/>
      <c r="B615" s="35"/>
      <c r="C615" s="35"/>
      <c r="D615" s="35"/>
      <c r="E615" s="35"/>
      <c r="F615" s="35"/>
      <c r="G615" s="35"/>
      <c r="H615" s="35"/>
      <c r="I615" s="35"/>
      <c r="J615" s="35"/>
      <c r="K615" s="35"/>
      <c r="L615" s="35"/>
      <c r="M615" s="35"/>
      <c r="N615" s="35"/>
      <c r="O615" s="35"/>
      <c r="P615" s="35"/>
      <c r="Q615" s="35"/>
      <c r="R615" s="35"/>
      <c r="S615" s="35"/>
      <c r="T615" s="35"/>
      <c r="U615" s="35"/>
      <c r="V615" s="35"/>
      <c r="W615" s="35"/>
      <c r="X615" s="35"/>
      <c r="Y615" s="35"/>
      <c r="Z615" s="35"/>
    </row>
    <row r="616" ht="12.75" customHeight="1">
      <c r="A616" s="35"/>
      <c r="B616" s="35"/>
      <c r="C616" s="35"/>
      <c r="D616" s="35"/>
      <c r="E616" s="35"/>
      <c r="F616" s="35"/>
      <c r="G616" s="35"/>
      <c r="H616" s="35"/>
      <c r="I616" s="35"/>
      <c r="J616" s="35"/>
      <c r="K616" s="35"/>
      <c r="L616" s="35"/>
      <c r="M616" s="35"/>
      <c r="N616" s="35"/>
      <c r="O616" s="35"/>
      <c r="P616" s="35"/>
      <c r="Q616" s="35"/>
      <c r="R616" s="35"/>
      <c r="S616" s="35"/>
      <c r="T616" s="35"/>
      <c r="U616" s="35"/>
      <c r="V616" s="35"/>
      <c r="W616" s="35"/>
      <c r="X616" s="35"/>
      <c r="Y616" s="35"/>
      <c r="Z616" s="35"/>
    </row>
    <row r="617" ht="12.75" customHeight="1">
      <c r="A617" s="35"/>
      <c r="B617" s="35"/>
      <c r="C617" s="35"/>
      <c r="D617" s="35"/>
      <c r="E617" s="35"/>
      <c r="F617" s="35"/>
      <c r="G617" s="35"/>
      <c r="H617" s="35"/>
      <c r="I617" s="35"/>
      <c r="J617" s="35"/>
      <c r="K617" s="35"/>
      <c r="L617" s="35"/>
      <c r="M617" s="35"/>
      <c r="N617" s="35"/>
      <c r="O617" s="35"/>
      <c r="P617" s="35"/>
      <c r="Q617" s="35"/>
      <c r="R617" s="35"/>
      <c r="S617" s="35"/>
      <c r="T617" s="35"/>
      <c r="U617" s="35"/>
      <c r="V617" s="35"/>
      <c r="W617" s="35"/>
      <c r="X617" s="35"/>
      <c r="Y617" s="35"/>
      <c r="Z617" s="35"/>
    </row>
    <row r="618" ht="12.75" customHeight="1">
      <c r="A618" s="35"/>
      <c r="B618" s="35"/>
      <c r="C618" s="35"/>
      <c r="D618" s="35"/>
      <c r="E618" s="35"/>
      <c r="F618" s="35"/>
      <c r="G618" s="35"/>
      <c r="H618" s="35"/>
      <c r="I618" s="35"/>
      <c r="J618" s="35"/>
      <c r="K618" s="35"/>
      <c r="L618" s="35"/>
      <c r="M618" s="35"/>
      <c r="N618" s="35"/>
      <c r="O618" s="35"/>
      <c r="P618" s="35"/>
      <c r="Q618" s="35"/>
      <c r="R618" s="35"/>
      <c r="S618" s="35"/>
      <c r="T618" s="35"/>
      <c r="U618" s="35"/>
      <c r="V618" s="35"/>
      <c r="W618" s="35"/>
      <c r="X618" s="35"/>
      <c r="Y618" s="35"/>
      <c r="Z618" s="35"/>
    </row>
    <row r="619" ht="12.75" customHeight="1">
      <c r="A619" s="35"/>
      <c r="B619" s="35"/>
      <c r="C619" s="35"/>
      <c r="D619" s="35"/>
      <c r="E619" s="35"/>
      <c r="F619" s="35"/>
      <c r="G619" s="35"/>
      <c r="H619" s="35"/>
      <c r="I619" s="35"/>
      <c r="J619" s="35"/>
      <c r="K619" s="35"/>
      <c r="L619" s="35"/>
      <c r="M619" s="35"/>
      <c r="N619" s="35"/>
      <c r="O619" s="35"/>
      <c r="P619" s="35"/>
      <c r="Q619" s="35"/>
      <c r="R619" s="35"/>
      <c r="S619" s="35"/>
      <c r="T619" s="35"/>
      <c r="U619" s="35"/>
      <c r="V619" s="35"/>
      <c r="W619" s="35"/>
      <c r="X619" s="35"/>
      <c r="Y619" s="35"/>
      <c r="Z619" s="35"/>
    </row>
    <row r="620" ht="12.75" customHeight="1">
      <c r="A620" s="35"/>
      <c r="B620" s="35"/>
      <c r="C620" s="35"/>
      <c r="D620" s="35"/>
      <c r="E620" s="35"/>
      <c r="F620" s="35"/>
      <c r="G620" s="35"/>
      <c r="H620" s="35"/>
      <c r="I620" s="35"/>
      <c r="J620" s="35"/>
      <c r="K620" s="35"/>
      <c r="L620" s="35"/>
      <c r="M620" s="35"/>
      <c r="N620" s="35"/>
      <c r="O620" s="35"/>
      <c r="P620" s="35"/>
      <c r="Q620" s="35"/>
      <c r="R620" s="35"/>
      <c r="S620" s="35"/>
      <c r="T620" s="35"/>
      <c r="U620" s="35"/>
      <c r="V620" s="35"/>
      <c r="W620" s="35"/>
      <c r="X620" s="35"/>
      <c r="Y620" s="35"/>
      <c r="Z620" s="35"/>
    </row>
    <row r="621" ht="12.75" customHeight="1">
      <c r="A621" s="35"/>
      <c r="B621" s="35"/>
      <c r="C621" s="35"/>
      <c r="D621" s="35"/>
      <c r="E621" s="35"/>
      <c r="F621" s="35"/>
      <c r="G621" s="35"/>
      <c r="H621" s="35"/>
      <c r="I621" s="35"/>
      <c r="J621" s="35"/>
      <c r="K621" s="35"/>
      <c r="L621" s="35"/>
      <c r="M621" s="35"/>
      <c r="N621" s="35"/>
      <c r="O621" s="35"/>
      <c r="P621" s="35"/>
      <c r="Q621" s="35"/>
      <c r="R621" s="35"/>
      <c r="S621" s="35"/>
      <c r="T621" s="35"/>
      <c r="U621" s="35"/>
      <c r="V621" s="35"/>
      <c r="W621" s="35"/>
      <c r="X621" s="35"/>
      <c r="Y621" s="35"/>
      <c r="Z621" s="35"/>
    </row>
    <row r="622" ht="12.75" customHeight="1">
      <c r="A622" s="35"/>
      <c r="B622" s="35"/>
      <c r="C622" s="35"/>
      <c r="D622" s="35"/>
      <c r="E622" s="35"/>
      <c r="F622" s="35"/>
      <c r="G622" s="35"/>
      <c r="H622" s="35"/>
      <c r="I622" s="35"/>
      <c r="J622" s="35"/>
      <c r="K622" s="35"/>
      <c r="L622" s="35"/>
      <c r="M622" s="35"/>
      <c r="N622" s="35"/>
      <c r="O622" s="35"/>
      <c r="P622" s="35"/>
      <c r="Q622" s="35"/>
      <c r="R622" s="35"/>
      <c r="S622" s="35"/>
      <c r="T622" s="35"/>
      <c r="U622" s="35"/>
      <c r="V622" s="35"/>
      <c r="W622" s="35"/>
      <c r="X622" s="35"/>
      <c r="Y622" s="35"/>
      <c r="Z622" s="35"/>
    </row>
    <row r="623" ht="12.75" customHeight="1">
      <c r="A623" s="35"/>
      <c r="B623" s="35"/>
      <c r="C623" s="35"/>
      <c r="D623" s="35"/>
      <c r="E623" s="35"/>
      <c r="F623" s="35"/>
      <c r="G623" s="35"/>
      <c r="H623" s="35"/>
      <c r="I623" s="35"/>
      <c r="J623" s="35"/>
      <c r="K623" s="35"/>
      <c r="L623" s="35"/>
      <c r="M623" s="35"/>
      <c r="N623" s="35"/>
      <c r="O623" s="35"/>
      <c r="P623" s="35"/>
      <c r="Q623" s="35"/>
      <c r="R623" s="35"/>
      <c r="S623" s="35"/>
      <c r="T623" s="35"/>
      <c r="U623" s="35"/>
      <c r="V623" s="35"/>
      <c r="W623" s="35"/>
      <c r="X623" s="35"/>
      <c r="Y623" s="35"/>
      <c r="Z623" s="35"/>
    </row>
    <row r="624" ht="12.75" customHeight="1">
      <c r="A624" s="35"/>
      <c r="B624" s="35"/>
      <c r="C624" s="35"/>
      <c r="D624" s="35"/>
      <c r="E624" s="35"/>
      <c r="F624" s="35"/>
      <c r="G624" s="35"/>
      <c r="H624" s="35"/>
      <c r="I624" s="35"/>
      <c r="J624" s="35"/>
      <c r="K624" s="35"/>
      <c r="L624" s="35"/>
      <c r="M624" s="35"/>
      <c r="N624" s="35"/>
      <c r="O624" s="35"/>
      <c r="P624" s="35"/>
      <c r="Q624" s="35"/>
      <c r="R624" s="35"/>
      <c r="S624" s="35"/>
      <c r="T624" s="35"/>
      <c r="U624" s="35"/>
      <c r="V624" s="35"/>
      <c r="W624" s="35"/>
      <c r="X624" s="35"/>
      <c r="Y624" s="35"/>
      <c r="Z624" s="35"/>
    </row>
    <row r="625" ht="12.75" customHeight="1">
      <c r="A625" s="35"/>
      <c r="B625" s="35"/>
      <c r="C625" s="35"/>
      <c r="D625" s="35"/>
      <c r="E625" s="35"/>
      <c r="F625" s="35"/>
      <c r="G625" s="35"/>
      <c r="H625" s="35"/>
      <c r="I625" s="35"/>
      <c r="J625" s="35"/>
      <c r="K625" s="35"/>
      <c r="L625" s="35"/>
      <c r="M625" s="35"/>
      <c r="N625" s="35"/>
      <c r="O625" s="35"/>
      <c r="P625" s="35"/>
      <c r="Q625" s="35"/>
      <c r="R625" s="35"/>
      <c r="S625" s="35"/>
      <c r="T625" s="35"/>
      <c r="U625" s="35"/>
      <c r="V625" s="35"/>
      <c r="W625" s="35"/>
      <c r="X625" s="35"/>
      <c r="Y625" s="35"/>
      <c r="Z625" s="35"/>
    </row>
    <row r="626" ht="12.75" customHeight="1">
      <c r="A626" s="35"/>
      <c r="B626" s="35"/>
      <c r="C626" s="35"/>
      <c r="D626" s="35"/>
      <c r="E626" s="35"/>
      <c r="F626" s="35"/>
      <c r="G626" s="35"/>
      <c r="H626" s="35"/>
      <c r="I626" s="35"/>
      <c r="J626" s="35"/>
      <c r="K626" s="35"/>
      <c r="L626" s="35"/>
      <c r="M626" s="35"/>
      <c r="N626" s="35"/>
      <c r="O626" s="35"/>
      <c r="P626" s="35"/>
      <c r="Q626" s="35"/>
      <c r="R626" s="35"/>
      <c r="S626" s="35"/>
      <c r="T626" s="35"/>
      <c r="U626" s="35"/>
      <c r="V626" s="35"/>
      <c r="W626" s="35"/>
      <c r="X626" s="35"/>
      <c r="Y626" s="35"/>
      <c r="Z626" s="35"/>
    </row>
    <row r="627" ht="12.75" customHeight="1">
      <c r="A627" s="35"/>
      <c r="B627" s="35"/>
      <c r="C627" s="35"/>
      <c r="D627" s="35"/>
      <c r="E627" s="35"/>
      <c r="F627" s="35"/>
      <c r="G627" s="35"/>
      <c r="H627" s="35"/>
      <c r="I627" s="35"/>
      <c r="J627" s="35"/>
      <c r="K627" s="35"/>
      <c r="L627" s="35"/>
      <c r="M627" s="35"/>
      <c r="N627" s="35"/>
      <c r="O627" s="35"/>
      <c r="P627" s="35"/>
      <c r="Q627" s="35"/>
      <c r="R627" s="35"/>
      <c r="S627" s="35"/>
      <c r="T627" s="35"/>
      <c r="U627" s="35"/>
      <c r="V627" s="35"/>
      <c r="W627" s="35"/>
      <c r="X627" s="35"/>
      <c r="Y627" s="35"/>
      <c r="Z627" s="35"/>
    </row>
    <row r="628" ht="12.75" customHeight="1">
      <c r="A628" s="35"/>
      <c r="B628" s="35"/>
      <c r="C628" s="35"/>
      <c r="D628" s="35"/>
      <c r="E628" s="35"/>
      <c r="F628" s="35"/>
      <c r="G628" s="35"/>
      <c r="H628" s="35"/>
      <c r="I628" s="35"/>
      <c r="J628" s="35"/>
      <c r="K628" s="35"/>
      <c r="L628" s="35"/>
      <c r="M628" s="35"/>
      <c r="N628" s="35"/>
      <c r="O628" s="35"/>
      <c r="P628" s="35"/>
      <c r="Q628" s="35"/>
      <c r="R628" s="35"/>
      <c r="S628" s="35"/>
      <c r="T628" s="35"/>
      <c r="U628" s="35"/>
      <c r="V628" s="35"/>
      <c r="W628" s="35"/>
      <c r="X628" s="35"/>
      <c r="Y628" s="35"/>
      <c r="Z628" s="35"/>
    </row>
    <row r="629" ht="12.75" customHeight="1">
      <c r="A629" s="35"/>
      <c r="B629" s="35"/>
      <c r="C629" s="35"/>
      <c r="D629" s="35"/>
      <c r="E629" s="35"/>
      <c r="F629" s="35"/>
      <c r="G629" s="35"/>
      <c r="H629" s="35"/>
      <c r="I629" s="35"/>
      <c r="J629" s="35"/>
      <c r="K629" s="35"/>
      <c r="L629" s="35"/>
      <c r="M629" s="35"/>
      <c r="N629" s="35"/>
      <c r="O629" s="35"/>
      <c r="P629" s="35"/>
      <c r="Q629" s="35"/>
      <c r="R629" s="35"/>
      <c r="S629" s="35"/>
      <c r="T629" s="35"/>
      <c r="U629" s="35"/>
      <c r="V629" s="35"/>
      <c r="W629" s="35"/>
      <c r="X629" s="35"/>
      <c r="Y629" s="35"/>
      <c r="Z629" s="35"/>
    </row>
    <row r="630" ht="12.75" customHeight="1">
      <c r="A630" s="35"/>
      <c r="B630" s="35"/>
      <c r="C630" s="35"/>
      <c r="D630" s="35"/>
      <c r="E630" s="35"/>
      <c r="F630" s="35"/>
      <c r="G630" s="35"/>
      <c r="H630" s="35"/>
      <c r="I630" s="35"/>
      <c r="J630" s="35"/>
      <c r="K630" s="35"/>
      <c r="L630" s="35"/>
      <c r="M630" s="35"/>
      <c r="N630" s="35"/>
      <c r="O630" s="35"/>
      <c r="P630" s="35"/>
      <c r="Q630" s="35"/>
      <c r="R630" s="35"/>
      <c r="S630" s="35"/>
      <c r="T630" s="35"/>
      <c r="U630" s="35"/>
      <c r="V630" s="35"/>
      <c r="W630" s="35"/>
      <c r="X630" s="35"/>
      <c r="Y630" s="35"/>
      <c r="Z630" s="35"/>
    </row>
    <row r="631" ht="12.75" customHeight="1">
      <c r="A631" s="35"/>
      <c r="B631" s="35"/>
      <c r="C631" s="35"/>
      <c r="D631" s="35"/>
      <c r="E631" s="35"/>
      <c r="F631" s="35"/>
      <c r="G631" s="35"/>
      <c r="H631" s="35"/>
      <c r="I631" s="35"/>
      <c r="J631" s="35"/>
      <c r="K631" s="35"/>
      <c r="L631" s="35"/>
      <c r="M631" s="35"/>
      <c r="N631" s="35"/>
      <c r="O631" s="35"/>
      <c r="P631" s="35"/>
      <c r="Q631" s="35"/>
      <c r="R631" s="35"/>
      <c r="S631" s="35"/>
      <c r="T631" s="35"/>
      <c r="U631" s="35"/>
      <c r="V631" s="35"/>
      <c r="W631" s="35"/>
      <c r="X631" s="35"/>
      <c r="Y631" s="35"/>
      <c r="Z631" s="35"/>
    </row>
    <row r="632" ht="12.75" customHeight="1">
      <c r="A632" s="35"/>
      <c r="B632" s="35"/>
      <c r="C632" s="35"/>
      <c r="D632" s="35"/>
      <c r="E632" s="35"/>
      <c r="F632" s="35"/>
      <c r="G632" s="35"/>
      <c r="H632" s="35"/>
      <c r="I632" s="35"/>
      <c r="J632" s="35"/>
      <c r="K632" s="35"/>
      <c r="L632" s="35"/>
      <c r="M632" s="35"/>
      <c r="N632" s="35"/>
      <c r="O632" s="35"/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5"/>
    </row>
    <row r="633" ht="12.75" customHeight="1">
      <c r="A633" s="35"/>
      <c r="B633" s="35"/>
      <c r="C633" s="35"/>
      <c r="D633" s="35"/>
      <c r="E633" s="35"/>
      <c r="F633" s="35"/>
      <c r="G633" s="35"/>
      <c r="H633" s="35"/>
      <c r="I633" s="35"/>
      <c r="J633" s="35"/>
      <c r="K633" s="35"/>
      <c r="L633" s="35"/>
      <c r="M633" s="35"/>
      <c r="N633" s="35"/>
      <c r="O633" s="35"/>
      <c r="P633" s="35"/>
      <c r="Q633" s="35"/>
      <c r="R633" s="35"/>
      <c r="S633" s="35"/>
      <c r="T633" s="35"/>
      <c r="U633" s="35"/>
      <c r="V633" s="35"/>
      <c r="W633" s="35"/>
      <c r="X633" s="35"/>
      <c r="Y633" s="35"/>
      <c r="Z633" s="35"/>
    </row>
    <row r="634" ht="12.75" customHeight="1">
      <c r="A634" s="35"/>
      <c r="B634" s="35"/>
      <c r="C634" s="35"/>
      <c r="D634" s="35"/>
      <c r="E634" s="35"/>
      <c r="F634" s="35"/>
      <c r="G634" s="35"/>
      <c r="H634" s="35"/>
      <c r="I634" s="35"/>
      <c r="J634" s="35"/>
      <c r="K634" s="35"/>
      <c r="L634" s="35"/>
      <c r="M634" s="35"/>
      <c r="N634" s="35"/>
      <c r="O634" s="35"/>
      <c r="P634" s="35"/>
      <c r="Q634" s="35"/>
      <c r="R634" s="35"/>
      <c r="S634" s="35"/>
      <c r="T634" s="35"/>
      <c r="U634" s="35"/>
      <c r="V634" s="35"/>
      <c r="W634" s="35"/>
      <c r="X634" s="35"/>
      <c r="Y634" s="35"/>
      <c r="Z634" s="35"/>
    </row>
    <row r="635" ht="12.75" customHeight="1">
      <c r="A635" s="35"/>
      <c r="B635" s="35"/>
      <c r="C635" s="35"/>
      <c r="D635" s="35"/>
      <c r="E635" s="35"/>
      <c r="F635" s="35"/>
      <c r="G635" s="35"/>
      <c r="H635" s="35"/>
      <c r="I635" s="35"/>
      <c r="J635" s="35"/>
      <c r="K635" s="35"/>
      <c r="L635" s="35"/>
      <c r="M635" s="35"/>
      <c r="N635" s="35"/>
      <c r="O635" s="35"/>
      <c r="P635" s="35"/>
      <c r="Q635" s="35"/>
      <c r="R635" s="35"/>
      <c r="S635" s="35"/>
      <c r="T635" s="35"/>
      <c r="U635" s="35"/>
      <c r="V635" s="35"/>
      <c r="W635" s="35"/>
      <c r="X635" s="35"/>
      <c r="Y635" s="35"/>
      <c r="Z635" s="35"/>
    </row>
    <row r="636" ht="12.75" customHeight="1">
      <c r="A636" s="35"/>
      <c r="B636" s="35"/>
      <c r="C636" s="35"/>
      <c r="D636" s="35"/>
      <c r="E636" s="35"/>
      <c r="F636" s="35"/>
      <c r="G636" s="35"/>
      <c r="H636" s="35"/>
      <c r="I636" s="35"/>
      <c r="J636" s="35"/>
      <c r="K636" s="35"/>
      <c r="L636" s="35"/>
      <c r="M636" s="35"/>
      <c r="N636" s="35"/>
      <c r="O636" s="35"/>
      <c r="P636" s="35"/>
      <c r="Q636" s="35"/>
      <c r="R636" s="35"/>
      <c r="S636" s="35"/>
      <c r="T636" s="35"/>
      <c r="U636" s="35"/>
      <c r="V636" s="35"/>
      <c r="W636" s="35"/>
      <c r="X636" s="35"/>
      <c r="Y636" s="35"/>
      <c r="Z636" s="35"/>
    </row>
    <row r="637" ht="12.75" customHeight="1">
      <c r="A637" s="35"/>
      <c r="B637" s="35"/>
      <c r="C637" s="35"/>
      <c r="D637" s="35"/>
      <c r="E637" s="35"/>
      <c r="F637" s="35"/>
      <c r="G637" s="35"/>
      <c r="H637" s="35"/>
      <c r="I637" s="35"/>
      <c r="J637" s="35"/>
      <c r="K637" s="35"/>
      <c r="L637" s="35"/>
      <c r="M637" s="35"/>
      <c r="N637" s="35"/>
      <c r="O637" s="35"/>
      <c r="P637" s="35"/>
      <c r="Q637" s="35"/>
      <c r="R637" s="35"/>
      <c r="S637" s="35"/>
      <c r="T637" s="35"/>
      <c r="U637" s="35"/>
      <c r="V637" s="35"/>
      <c r="W637" s="35"/>
      <c r="X637" s="35"/>
      <c r="Y637" s="35"/>
      <c r="Z637" s="35"/>
    </row>
    <row r="638" ht="12.75" customHeight="1">
      <c r="A638" s="35"/>
      <c r="B638" s="35"/>
      <c r="C638" s="35"/>
      <c r="D638" s="35"/>
      <c r="E638" s="35"/>
      <c r="F638" s="35"/>
      <c r="G638" s="35"/>
      <c r="H638" s="35"/>
      <c r="I638" s="35"/>
      <c r="J638" s="35"/>
      <c r="K638" s="35"/>
      <c r="L638" s="35"/>
      <c r="M638" s="35"/>
      <c r="N638" s="35"/>
      <c r="O638" s="35"/>
      <c r="P638" s="35"/>
      <c r="Q638" s="35"/>
      <c r="R638" s="35"/>
      <c r="S638" s="35"/>
      <c r="T638" s="35"/>
      <c r="U638" s="35"/>
      <c r="V638" s="35"/>
      <c r="W638" s="35"/>
      <c r="X638" s="35"/>
      <c r="Y638" s="35"/>
      <c r="Z638" s="35"/>
    </row>
    <row r="639" ht="12.75" customHeight="1">
      <c r="A639" s="35"/>
      <c r="B639" s="35"/>
      <c r="C639" s="35"/>
      <c r="D639" s="35"/>
      <c r="E639" s="35"/>
      <c r="F639" s="35"/>
      <c r="G639" s="35"/>
      <c r="H639" s="35"/>
      <c r="I639" s="35"/>
      <c r="J639" s="35"/>
      <c r="K639" s="35"/>
      <c r="L639" s="35"/>
      <c r="M639" s="35"/>
      <c r="N639" s="35"/>
      <c r="O639" s="35"/>
      <c r="P639" s="35"/>
      <c r="Q639" s="35"/>
      <c r="R639" s="35"/>
      <c r="S639" s="35"/>
      <c r="T639" s="35"/>
      <c r="U639" s="35"/>
      <c r="V639" s="35"/>
      <c r="W639" s="35"/>
      <c r="X639" s="35"/>
      <c r="Y639" s="35"/>
      <c r="Z639" s="35"/>
    </row>
    <row r="640" ht="12.75" customHeight="1">
      <c r="A640" s="35"/>
      <c r="B640" s="35"/>
      <c r="C640" s="35"/>
      <c r="D640" s="35"/>
      <c r="E640" s="35"/>
      <c r="F640" s="35"/>
      <c r="G640" s="35"/>
      <c r="H640" s="35"/>
      <c r="I640" s="35"/>
      <c r="J640" s="35"/>
      <c r="K640" s="35"/>
      <c r="L640" s="35"/>
      <c r="M640" s="35"/>
      <c r="N640" s="35"/>
      <c r="O640" s="35"/>
      <c r="P640" s="35"/>
      <c r="Q640" s="35"/>
      <c r="R640" s="35"/>
      <c r="S640" s="35"/>
      <c r="T640" s="35"/>
      <c r="U640" s="35"/>
      <c r="V640" s="35"/>
      <c r="W640" s="35"/>
      <c r="X640" s="35"/>
      <c r="Y640" s="35"/>
      <c r="Z640" s="35"/>
    </row>
    <row r="641" ht="12.75" customHeight="1">
      <c r="A641" s="35"/>
      <c r="B641" s="35"/>
      <c r="C641" s="35"/>
      <c r="D641" s="35"/>
      <c r="E641" s="35"/>
      <c r="F641" s="35"/>
      <c r="G641" s="35"/>
      <c r="H641" s="35"/>
      <c r="I641" s="35"/>
      <c r="J641" s="35"/>
      <c r="K641" s="35"/>
      <c r="L641" s="35"/>
      <c r="M641" s="35"/>
      <c r="N641" s="35"/>
      <c r="O641" s="35"/>
      <c r="P641" s="35"/>
      <c r="Q641" s="35"/>
      <c r="R641" s="35"/>
      <c r="S641" s="35"/>
      <c r="T641" s="35"/>
      <c r="U641" s="35"/>
      <c r="V641" s="35"/>
      <c r="W641" s="35"/>
      <c r="X641" s="35"/>
      <c r="Y641" s="35"/>
      <c r="Z641" s="35"/>
    </row>
    <row r="642" ht="12.75" customHeight="1">
      <c r="A642" s="35"/>
      <c r="B642" s="35"/>
      <c r="C642" s="35"/>
      <c r="D642" s="35"/>
      <c r="E642" s="35"/>
      <c r="F642" s="35"/>
      <c r="G642" s="35"/>
      <c r="H642" s="35"/>
      <c r="I642" s="35"/>
      <c r="J642" s="35"/>
      <c r="K642" s="35"/>
      <c r="L642" s="35"/>
      <c r="M642" s="35"/>
      <c r="N642" s="35"/>
      <c r="O642" s="35"/>
      <c r="P642" s="35"/>
      <c r="Q642" s="35"/>
      <c r="R642" s="35"/>
      <c r="S642" s="35"/>
      <c r="T642" s="35"/>
      <c r="U642" s="35"/>
      <c r="V642" s="35"/>
      <c r="W642" s="35"/>
      <c r="X642" s="35"/>
      <c r="Y642" s="35"/>
      <c r="Z642" s="35"/>
    </row>
    <row r="643" ht="12.75" customHeight="1">
      <c r="A643" s="35"/>
      <c r="B643" s="35"/>
      <c r="C643" s="35"/>
      <c r="D643" s="35"/>
      <c r="E643" s="35"/>
      <c r="F643" s="35"/>
      <c r="G643" s="35"/>
      <c r="H643" s="35"/>
      <c r="I643" s="35"/>
      <c r="J643" s="35"/>
      <c r="K643" s="35"/>
      <c r="L643" s="35"/>
      <c r="M643" s="35"/>
      <c r="N643" s="35"/>
      <c r="O643" s="35"/>
      <c r="P643" s="35"/>
      <c r="Q643" s="35"/>
      <c r="R643" s="35"/>
      <c r="S643" s="35"/>
      <c r="T643" s="35"/>
      <c r="U643" s="35"/>
      <c r="V643" s="35"/>
      <c r="W643" s="35"/>
      <c r="X643" s="35"/>
      <c r="Y643" s="35"/>
      <c r="Z643" s="35"/>
    </row>
    <row r="644" ht="12.75" customHeight="1">
      <c r="A644" s="35"/>
      <c r="B644" s="35"/>
      <c r="C644" s="35"/>
      <c r="D644" s="35"/>
      <c r="E644" s="35"/>
      <c r="F644" s="35"/>
      <c r="G644" s="35"/>
      <c r="H644" s="35"/>
      <c r="I644" s="35"/>
      <c r="J644" s="35"/>
      <c r="K644" s="35"/>
      <c r="L644" s="35"/>
      <c r="M644" s="35"/>
      <c r="N644" s="35"/>
      <c r="O644" s="35"/>
      <c r="P644" s="35"/>
      <c r="Q644" s="35"/>
      <c r="R644" s="35"/>
      <c r="S644" s="35"/>
      <c r="T644" s="35"/>
      <c r="U644" s="35"/>
      <c r="V644" s="35"/>
      <c r="W644" s="35"/>
      <c r="X644" s="35"/>
      <c r="Y644" s="35"/>
      <c r="Z644" s="35"/>
    </row>
    <row r="645" ht="12.75" customHeight="1">
      <c r="A645" s="35"/>
      <c r="B645" s="35"/>
      <c r="C645" s="35"/>
      <c r="D645" s="35"/>
      <c r="E645" s="35"/>
      <c r="F645" s="35"/>
      <c r="G645" s="35"/>
      <c r="H645" s="35"/>
      <c r="I645" s="35"/>
      <c r="J645" s="35"/>
      <c r="K645" s="35"/>
      <c r="L645" s="35"/>
      <c r="M645" s="35"/>
      <c r="N645" s="35"/>
      <c r="O645" s="35"/>
      <c r="P645" s="35"/>
      <c r="Q645" s="35"/>
      <c r="R645" s="35"/>
      <c r="S645" s="35"/>
      <c r="T645" s="35"/>
      <c r="U645" s="35"/>
      <c r="V645" s="35"/>
      <c r="W645" s="35"/>
      <c r="X645" s="35"/>
      <c r="Y645" s="35"/>
      <c r="Z645" s="35"/>
    </row>
    <row r="646" ht="12.75" customHeight="1">
      <c r="A646" s="35"/>
      <c r="B646" s="35"/>
      <c r="C646" s="35"/>
      <c r="D646" s="35"/>
      <c r="E646" s="35"/>
      <c r="F646" s="35"/>
      <c r="G646" s="35"/>
      <c r="H646" s="35"/>
      <c r="I646" s="35"/>
      <c r="J646" s="35"/>
      <c r="K646" s="35"/>
      <c r="L646" s="35"/>
      <c r="M646" s="35"/>
      <c r="N646" s="35"/>
      <c r="O646" s="35"/>
      <c r="P646" s="35"/>
      <c r="Q646" s="35"/>
      <c r="R646" s="35"/>
      <c r="S646" s="35"/>
      <c r="T646" s="35"/>
      <c r="U646" s="35"/>
      <c r="V646" s="35"/>
      <c r="W646" s="35"/>
      <c r="X646" s="35"/>
      <c r="Y646" s="35"/>
      <c r="Z646" s="35"/>
    </row>
    <row r="647" ht="12.75" customHeight="1">
      <c r="A647" s="35"/>
      <c r="B647" s="35"/>
      <c r="C647" s="35"/>
      <c r="D647" s="35"/>
      <c r="E647" s="35"/>
      <c r="F647" s="35"/>
      <c r="G647" s="35"/>
      <c r="H647" s="35"/>
      <c r="I647" s="35"/>
      <c r="J647" s="35"/>
      <c r="K647" s="35"/>
      <c r="L647" s="35"/>
      <c r="M647" s="35"/>
      <c r="N647" s="35"/>
      <c r="O647" s="35"/>
      <c r="P647" s="35"/>
      <c r="Q647" s="35"/>
      <c r="R647" s="35"/>
      <c r="S647" s="35"/>
      <c r="T647" s="35"/>
      <c r="U647" s="35"/>
      <c r="V647" s="35"/>
      <c r="W647" s="35"/>
      <c r="X647" s="35"/>
      <c r="Y647" s="35"/>
      <c r="Z647" s="35"/>
    </row>
    <row r="648" ht="12.75" customHeight="1">
      <c r="A648" s="35"/>
      <c r="B648" s="35"/>
      <c r="C648" s="35"/>
      <c r="D648" s="35"/>
      <c r="E648" s="35"/>
      <c r="F648" s="35"/>
      <c r="G648" s="35"/>
      <c r="H648" s="35"/>
      <c r="I648" s="35"/>
      <c r="J648" s="35"/>
      <c r="K648" s="35"/>
      <c r="L648" s="35"/>
      <c r="M648" s="35"/>
      <c r="N648" s="35"/>
      <c r="O648" s="35"/>
      <c r="P648" s="35"/>
      <c r="Q648" s="35"/>
      <c r="R648" s="35"/>
      <c r="S648" s="35"/>
      <c r="T648" s="35"/>
      <c r="U648" s="35"/>
      <c r="V648" s="35"/>
      <c r="W648" s="35"/>
      <c r="X648" s="35"/>
      <c r="Y648" s="35"/>
      <c r="Z648" s="35"/>
    </row>
    <row r="649" ht="12.75" customHeight="1">
      <c r="A649" s="35"/>
      <c r="B649" s="35"/>
      <c r="C649" s="35"/>
      <c r="D649" s="35"/>
      <c r="E649" s="35"/>
      <c r="F649" s="35"/>
      <c r="G649" s="35"/>
      <c r="H649" s="35"/>
      <c r="I649" s="35"/>
      <c r="J649" s="35"/>
      <c r="K649" s="35"/>
      <c r="L649" s="35"/>
      <c r="M649" s="35"/>
      <c r="N649" s="35"/>
      <c r="O649" s="35"/>
      <c r="P649" s="35"/>
      <c r="Q649" s="35"/>
      <c r="R649" s="35"/>
      <c r="S649" s="35"/>
      <c r="T649" s="35"/>
      <c r="U649" s="35"/>
      <c r="V649" s="35"/>
      <c r="W649" s="35"/>
      <c r="X649" s="35"/>
      <c r="Y649" s="35"/>
      <c r="Z649" s="35"/>
    </row>
    <row r="650" ht="12.75" customHeight="1">
      <c r="A650" s="35"/>
      <c r="B650" s="35"/>
      <c r="C650" s="35"/>
      <c r="D650" s="35"/>
      <c r="E650" s="35"/>
      <c r="F650" s="35"/>
      <c r="G650" s="35"/>
      <c r="H650" s="35"/>
      <c r="I650" s="35"/>
      <c r="J650" s="35"/>
      <c r="K650" s="35"/>
      <c r="L650" s="35"/>
      <c r="M650" s="35"/>
      <c r="N650" s="35"/>
      <c r="O650" s="35"/>
      <c r="P650" s="35"/>
      <c r="Q650" s="35"/>
      <c r="R650" s="35"/>
      <c r="S650" s="35"/>
      <c r="T650" s="35"/>
      <c r="U650" s="35"/>
      <c r="V650" s="35"/>
      <c r="W650" s="35"/>
      <c r="X650" s="35"/>
      <c r="Y650" s="35"/>
      <c r="Z650" s="35"/>
    </row>
    <row r="651" ht="12.75" customHeight="1">
      <c r="A651" s="35"/>
      <c r="B651" s="35"/>
      <c r="C651" s="35"/>
      <c r="D651" s="35"/>
      <c r="E651" s="35"/>
      <c r="F651" s="35"/>
      <c r="G651" s="35"/>
      <c r="H651" s="35"/>
      <c r="I651" s="35"/>
      <c r="J651" s="35"/>
      <c r="K651" s="35"/>
      <c r="L651" s="35"/>
      <c r="M651" s="35"/>
      <c r="N651" s="35"/>
      <c r="O651" s="35"/>
      <c r="P651" s="35"/>
      <c r="Q651" s="35"/>
      <c r="R651" s="35"/>
      <c r="S651" s="35"/>
      <c r="T651" s="35"/>
      <c r="U651" s="35"/>
      <c r="V651" s="35"/>
      <c r="W651" s="35"/>
      <c r="X651" s="35"/>
      <c r="Y651" s="35"/>
      <c r="Z651" s="35"/>
    </row>
    <row r="652" ht="12.75" customHeight="1">
      <c r="A652" s="35"/>
      <c r="B652" s="35"/>
      <c r="C652" s="35"/>
      <c r="D652" s="35"/>
      <c r="E652" s="35"/>
      <c r="F652" s="35"/>
      <c r="G652" s="35"/>
      <c r="H652" s="35"/>
      <c r="I652" s="35"/>
      <c r="J652" s="35"/>
      <c r="K652" s="35"/>
      <c r="L652" s="35"/>
      <c r="M652" s="35"/>
      <c r="N652" s="35"/>
      <c r="O652" s="35"/>
      <c r="P652" s="35"/>
      <c r="Q652" s="35"/>
      <c r="R652" s="35"/>
      <c r="S652" s="35"/>
      <c r="T652" s="35"/>
      <c r="U652" s="35"/>
      <c r="V652" s="35"/>
      <c r="W652" s="35"/>
      <c r="X652" s="35"/>
      <c r="Y652" s="35"/>
      <c r="Z652" s="35"/>
    </row>
    <row r="653" ht="12.75" customHeight="1">
      <c r="A653" s="35"/>
      <c r="B653" s="35"/>
      <c r="C653" s="35"/>
      <c r="D653" s="35"/>
      <c r="E653" s="35"/>
      <c r="F653" s="35"/>
      <c r="G653" s="35"/>
      <c r="H653" s="35"/>
      <c r="I653" s="35"/>
      <c r="J653" s="35"/>
      <c r="K653" s="35"/>
      <c r="L653" s="35"/>
      <c r="M653" s="35"/>
      <c r="N653" s="35"/>
      <c r="O653" s="35"/>
      <c r="P653" s="35"/>
      <c r="Q653" s="35"/>
      <c r="R653" s="35"/>
      <c r="S653" s="35"/>
      <c r="T653" s="35"/>
      <c r="U653" s="35"/>
      <c r="V653" s="35"/>
      <c r="W653" s="35"/>
      <c r="X653" s="35"/>
      <c r="Y653" s="35"/>
      <c r="Z653" s="35"/>
    </row>
    <row r="654" ht="12.75" customHeight="1">
      <c r="A654" s="35"/>
      <c r="B654" s="35"/>
      <c r="C654" s="35"/>
      <c r="D654" s="35"/>
      <c r="E654" s="35"/>
      <c r="F654" s="35"/>
      <c r="G654" s="35"/>
      <c r="H654" s="35"/>
      <c r="I654" s="35"/>
      <c r="J654" s="35"/>
      <c r="K654" s="35"/>
      <c r="L654" s="35"/>
      <c r="M654" s="35"/>
      <c r="N654" s="35"/>
      <c r="O654" s="35"/>
      <c r="P654" s="35"/>
      <c r="Q654" s="35"/>
      <c r="R654" s="35"/>
      <c r="S654" s="35"/>
      <c r="T654" s="35"/>
      <c r="U654" s="35"/>
      <c r="V654" s="35"/>
      <c r="W654" s="35"/>
      <c r="X654" s="35"/>
      <c r="Y654" s="35"/>
      <c r="Z654" s="35"/>
    </row>
    <row r="655" ht="12.75" customHeight="1">
      <c r="A655" s="35"/>
      <c r="B655" s="35"/>
      <c r="C655" s="35"/>
      <c r="D655" s="35"/>
      <c r="E655" s="35"/>
      <c r="F655" s="35"/>
      <c r="G655" s="35"/>
      <c r="H655" s="35"/>
      <c r="I655" s="35"/>
      <c r="J655" s="35"/>
      <c r="K655" s="35"/>
      <c r="L655" s="35"/>
      <c r="M655" s="35"/>
      <c r="N655" s="35"/>
      <c r="O655" s="35"/>
      <c r="P655" s="35"/>
      <c r="Q655" s="35"/>
      <c r="R655" s="35"/>
      <c r="S655" s="35"/>
      <c r="T655" s="35"/>
      <c r="U655" s="35"/>
      <c r="V655" s="35"/>
      <c r="W655" s="35"/>
      <c r="X655" s="35"/>
      <c r="Y655" s="35"/>
      <c r="Z655" s="35"/>
    </row>
    <row r="656" ht="12.75" customHeight="1">
      <c r="A656" s="35"/>
      <c r="B656" s="35"/>
      <c r="C656" s="35"/>
      <c r="D656" s="35"/>
      <c r="E656" s="35"/>
      <c r="F656" s="35"/>
      <c r="G656" s="35"/>
      <c r="H656" s="35"/>
      <c r="I656" s="35"/>
      <c r="J656" s="35"/>
      <c r="K656" s="35"/>
      <c r="L656" s="35"/>
      <c r="M656" s="35"/>
      <c r="N656" s="35"/>
      <c r="O656" s="35"/>
      <c r="P656" s="35"/>
      <c r="Q656" s="35"/>
      <c r="R656" s="35"/>
      <c r="S656" s="35"/>
      <c r="T656" s="35"/>
      <c r="U656" s="35"/>
      <c r="V656" s="35"/>
      <c r="W656" s="35"/>
      <c r="X656" s="35"/>
      <c r="Y656" s="35"/>
      <c r="Z656" s="35"/>
    </row>
    <row r="657" ht="12.75" customHeight="1">
      <c r="A657" s="35"/>
      <c r="B657" s="35"/>
      <c r="C657" s="35"/>
      <c r="D657" s="35"/>
      <c r="E657" s="35"/>
      <c r="F657" s="35"/>
      <c r="G657" s="35"/>
      <c r="H657" s="35"/>
      <c r="I657" s="35"/>
      <c r="J657" s="35"/>
      <c r="K657" s="35"/>
      <c r="L657" s="35"/>
      <c r="M657" s="35"/>
      <c r="N657" s="35"/>
      <c r="O657" s="35"/>
      <c r="P657" s="35"/>
      <c r="Q657" s="35"/>
      <c r="R657" s="35"/>
      <c r="S657" s="35"/>
      <c r="T657" s="35"/>
      <c r="U657" s="35"/>
      <c r="V657" s="35"/>
      <c r="W657" s="35"/>
      <c r="X657" s="35"/>
      <c r="Y657" s="35"/>
      <c r="Z657" s="35"/>
    </row>
    <row r="658" ht="12.75" customHeight="1">
      <c r="A658" s="35"/>
      <c r="B658" s="35"/>
      <c r="C658" s="35"/>
      <c r="D658" s="35"/>
      <c r="E658" s="35"/>
      <c r="F658" s="35"/>
      <c r="G658" s="35"/>
      <c r="H658" s="35"/>
      <c r="I658" s="35"/>
      <c r="J658" s="35"/>
      <c r="K658" s="35"/>
      <c r="L658" s="35"/>
      <c r="M658" s="35"/>
      <c r="N658" s="35"/>
      <c r="O658" s="35"/>
      <c r="P658" s="35"/>
      <c r="Q658" s="35"/>
      <c r="R658" s="35"/>
      <c r="S658" s="35"/>
      <c r="T658" s="35"/>
      <c r="U658" s="35"/>
      <c r="V658" s="35"/>
      <c r="W658" s="35"/>
      <c r="X658" s="35"/>
      <c r="Y658" s="35"/>
      <c r="Z658" s="35"/>
    </row>
    <row r="659" ht="12.75" customHeight="1">
      <c r="A659" s="35"/>
      <c r="B659" s="35"/>
      <c r="C659" s="35"/>
      <c r="D659" s="35"/>
      <c r="E659" s="35"/>
      <c r="F659" s="35"/>
      <c r="G659" s="35"/>
      <c r="H659" s="35"/>
      <c r="I659" s="35"/>
      <c r="J659" s="35"/>
      <c r="K659" s="35"/>
      <c r="L659" s="35"/>
      <c r="M659" s="35"/>
      <c r="N659" s="35"/>
      <c r="O659" s="35"/>
      <c r="P659" s="35"/>
      <c r="Q659" s="35"/>
      <c r="R659" s="35"/>
      <c r="S659" s="35"/>
      <c r="T659" s="35"/>
      <c r="U659" s="35"/>
      <c r="V659" s="35"/>
      <c r="W659" s="35"/>
      <c r="X659" s="35"/>
      <c r="Y659" s="35"/>
      <c r="Z659" s="35"/>
    </row>
    <row r="660" ht="12.75" customHeight="1">
      <c r="A660" s="35"/>
      <c r="B660" s="35"/>
      <c r="C660" s="35"/>
      <c r="D660" s="35"/>
      <c r="E660" s="35"/>
      <c r="F660" s="35"/>
      <c r="G660" s="35"/>
      <c r="H660" s="35"/>
      <c r="I660" s="35"/>
      <c r="J660" s="35"/>
      <c r="K660" s="35"/>
      <c r="L660" s="35"/>
      <c r="M660" s="35"/>
      <c r="N660" s="35"/>
      <c r="O660" s="35"/>
      <c r="P660" s="35"/>
      <c r="Q660" s="35"/>
      <c r="R660" s="35"/>
      <c r="S660" s="35"/>
      <c r="T660" s="35"/>
      <c r="U660" s="35"/>
      <c r="V660" s="35"/>
      <c r="W660" s="35"/>
      <c r="X660" s="35"/>
      <c r="Y660" s="35"/>
      <c r="Z660" s="35"/>
    </row>
    <row r="661" ht="12.75" customHeight="1">
      <c r="A661" s="35"/>
      <c r="B661" s="35"/>
      <c r="C661" s="35"/>
      <c r="D661" s="35"/>
      <c r="E661" s="35"/>
      <c r="F661" s="35"/>
      <c r="G661" s="35"/>
      <c r="H661" s="35"/>
      <c r="I661" s="35"/>
      <c r="J661" s="35"/>
      <c r="K661" s="35"/>
      <c r="L661" s="35"/>
      <c r="M661" s="35"/>
      <c r="N661" s="35"/>
      <c r="O661" s="35"/>
      <c r="P661" s="35"/>
      <c r="Q661" s="35"/>
      <c r="R661" s="35"/>
      <c r="S661" s="35"/>
      <c r="T661" s="35"/>
      <c r="U661" s="35"/>
      <c r="V661" s="35"/>
      <c r="W661" s="35"/>
      <c r="X661" s="35"/>
      <c r="Y661" s="35"/>
      <c r="Z661" s="35"/>
    </row>
    <row r="662" ht="12.75" customHeight="1">
      <c r="A662" s="35"/>
      <c r="B662" s="35"/>
      <c r="C662" s="35"/>
      <c r="D662" s="35"/>
      <c r="E662" s="35"/>
      <c r="F662" s="35"/>
      <c r="G662" s="35"/>
      <c r="H662" s="35"/>
      <c r="I662" s="35"/>
      <c r="J662" s="35"/>
      <c r="K662" s="35"/>
      <c r="L662" s="35"/>
      <c r="M662" s="35"/>
      <c r="N662" s="35"/>
      <c r="O662" s="35"/>
      <c r="P662" s="35"/>
      <c r="Q662" s="35"/>
      <c r="R662" s="35"/>
      <c r="S662" s="35"/>
      <c r="T662" s="35"/>
      <c r="U662" s="35"/>
      <c r="V662" s="35"/>
      <c r="W662" s="35"/>
      <c r="X662" s="35"/>
      <c r="Y662" s="35"/>
      <c r="Z662" s="35"/>
    </row>
    <row r="663" ht="12.75" customHeight="1">
      <c r="A663" s="35"/>
      <c r="B663" s="35"/>
      <c r="C663" s="35"/>
      <c r="D663" s="35"/>
      <c r="E663" s="35"/>
      <c r="F663" s="35"/>
      <c r="G663" s="35"/>
      <c r="H663" s="35"/>
      <c r="I663" s="35"/>
      <c r="J663" s="35"/>
      <c r="K663" s="35"/>
      <c r="L663" s="35"/>
      <c r="M663" s="35"/>
      <c r="N663" s="35"/>
      <c r="O663" s="35"/>
      <c r="P663" s="35"/>
      <c r="Q663" s="35"/>
      <c r="R663" s="35"/>
      <c r="S663" s="35"/>
      <c r="T663" s="35"/>
      <c r="U663" s="35"/>
      <c r="V663" s="35"/>
      <c r="W663" s="35"/>
      <c r="X663" s="35"/>
      <c r="Y663" s="35"/>
      <c r="Z663" s="35"/>
    </row>
    <row r="664" ht="12.75" customHeight="1">
      <c r="A664" s="35"/>
      <c r="B664" s="35"/>
      <c r="C664" s="35"/>
      <c r="D664" s="35"/>
      <c r="E664" s="35"/>
      <c r="F664" s="35"/>
      <c r="G664" s="35"/>
      <c r="H664" s="35"/>
      <c r="I664" s="35"/>
      <c r="J664" s="35"/>
      <c r="K664" s="35"/>
      <c r="L664" s="35"/>
      <c r="M664" s="35"/>
      <c r="N664" s="35"/>
      <c r="O664" s="35"/>
      <c r="P664" s="35"/>
      <c r="Q664" s="35"/>
      <c r="R664" s="35"/>
      <c r="S664" s="35"/>
      <c r="T664" s="35"/>
      <c r="U664" s="35"/>
      <c r="V664" s="35"/>
      <c r="W664" s="35"/>
      <c r="X664" s="35"/>
      <c r="Y664" s="35"/>
      <c r="Z664" s="35"/>
    </row>
    <row r="665" ht="12.75" customHeight="1">
      <c r="A665" s="35"/>
      <c r="B665" s="35"/>
      <c r="C665" s="35"/>
      <c r="D665" s="35"/>
      <c r="E665" s="35"/>
      <c r="F665" s="35"/>
      <c r="G665" s="35"/>
      <c r="H665" s="35"/>
      <c r="I665" s="35"/>
      <c r="J665" s="35"/>
      <c r="K665" s="35"/>
      <c r="L665" s="35"/>
      <c r="M665" s="35"/>
      <c r="N665" s="35"/>
      <c r="O665" s="35"/>
      <c r="P665" s="35"/>
      <c r="Q665" s="35"/>
      <c r="R665" s="35"/>
      <c r="S665" s="35"/>
      <c r="T665" s="35"/>
      <c r="U665" s="35"/>
      <c r="V665" s="35"/>
      <c r="W665" s="35"/>
      <c r="X665" s="35"/>
      <c r="Y665" s="35"/>
      <c r="Z665" s="35"/>
    </row>
    <row r="666" ht="12.75" customHeight="1">
      <c r="A666" s="35"/>
      <c r="B666" s="35"/>
      <c r="C666" s="35"/>
      <c r="D666" s="35"/>
      <c r="E666" s="35"/>
      <c r="F666" s="35"/>
      <c r="G666" s="35"/>
      <c r="H666" s="35"/>
      <c r="I666" s="35"/>
      <c r="J666" s="35"/>
      <c r="K666" s="35"/>
      <c r="L666" s="35"/>
      <c r="M666" s="35"/>
      <c r="N666" s="35"/>
      <c r="O666" s="35"/>
      <c r="P666" s="35"/>
      <c r="Q666" s="35"/>
      <c r="R666" s="35"/>
      <c r="S666" s="35"/>
      <c r="T666" s="35"/>
      <c r="U666" s="35"/>
      <c r="V666" s="35"/>
      <c r="W666" s="35"/>
      <c r="X666" s="35"/>
      <c r="Y666" s="35"/>
      <c r="Z666" s="35"/>
    </row>
    <row r="667" ht="12.75" customHeight="1">
      <c r="A667" s="35"/>
      <c r="B667" s="35"/>
      <c r="C667" s="35"/>
      <c r="D667" s="35"/>
      <c r="E667" s="35"/>
      <c r="F667" s="35"/>
      <c r="G667" s="35"/>
      <c r="H667" s="35"/>
      <c r="I667" s="35"/>
      <c r="J667" s="35"/>
      <c r="K667" s="35"/>
      <c r="L667" s="35"/>
      <c r="M667" s="35"/>
      <c r="N667" s="35"/>
      <c r="O667" s="35"/>
      <c r="P667" s="35"/>
      <c r="Q667" s="35"/>
      <c r="R667" s="35"/>
      <c r="S667" s="35"/>
      <c r="T667" s="35"/>
      <c r="U667" s="35"/>
      <c r="V667" s="35"/>
      <c r="W667" s="35"/>
      <c r="X667" s="35"/>
      <c r="Y667" s="35"/>
      <c r="Z667" s="35"/>
    </row>
    <row r="668" ht="12.75" customHeight="1">
      <c r="A668" s="35"/>
      <c r="B668" s="35"/>
      <c r="C668" s="35"/>
      <c r="D668" s="35"/>
      <c r="E668" s="35"/>
      <c r="F668" s="35"/>
      <c r="G668" s="35"/>
      <c r="H668" s="35"/>
      <c r="I668" s="35"/>
      <c r="J668" s="35"/>
      <c r="K668" s="35"/>
      <c r="L668" s="35"/>
      <c r="M668" s="35"/>
      <c r="N668" s="35"/>
      <c r="O668" s="35"/>
      <c r="P668" s="35"/>
      <c r="Q668" s="35"/>
      <c r="R668" s="35"/>
      <c r="S668" s="35"/>
      <c r="T668" s="35"/>
      <c r="U668" s="35"/>
      <c r="V668" s="35"/>
      <c r="W668" s="35"/>
      <c r="X668" s="35"/>
      <c r="Y668" s="35"/>
      <c r="Z668" s="35"/>
    </row>
    <row r="669" ht="12.75" customHeight="1">
      <c r="A669" s="35"/>
      <c r="B669" s="35"/>
      <c r="C669" s="35"/>
      <c r="D669" s="35"/>
      <c r="E669" s="35"/>
      <c r="F669" s="35"/>
      <c r="G669" s="35"/>
      <c r="H669" s="35"/>
      <c r="I669" s="35"/>
      <c r="J669" s="35"/>
      <c r="K669" s="35"/>
      <c r="L669" s="35"/>
      <c r="M669" s="35"/>
      <c r="N669" s="35"/>
      <c r="O669" s="35"/>
      <c r="P669" s="35"/>
      <c r="Q669" s="35"/>
      <c r="R669" s="35"/>
      <c r="S669" s="35"/>
      <c r="T669" s="35"/>
      <c r="U669" s="35"/>
      <c r="V669" s="35"/>
      <c r="W669" s="35"/>
      <c r="X669" s="35"/>
      <c r="Y669" s="35"/>
      <c r="Z669" s="35"/>
    </row>
    <row r="670" ht="12.75" customHeight="1">
      <c r="A670" s="35"/>
      <c r="B670" s="35"/>
      <c r="C670" s="35"/>
      <c r="D670" s="35"/>
      <c r="E670" s="35"/>
      <c r="F670" s="35"/>
      <c r="G670" s="35"/>
      <c r="H670" s="35"/>
      <c r="I670" s="35"/>
      <c r="J670" s="35"/>
      <c r="K670" s="35"/>
      <c r="L670" s="35"/>
      <c r="M670" s="35"/>
      <c r="N670" s="35"/>
      <c r="O670" s="35"/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5"/>
    </row>
    <row r="671" ht="12.75" customHeight="1">
      <c r="A671" s="35"/>
      <c r="B671" s="35"/>
      <c r="C671" s="35"/>
      <c r="D671" s="35"/>
      <c r="E671" s="35"/>
      <c r="F671" s="35"/>
      <c r="G671" s="35"/>
      <c r="H671" s="35"/>
      <c r="I671" s="35"/>
      <c r="J671" s="35"/>
      <c r="K671" s="35"/>
      <c r="L671" s="35"/>
      <c r="M671" s="35"/>
      <c r="N671" s="35"/>
      <c r="O671" s="35"/>
      <c r="P671" s="35"/>
      <c r="Q671" s="35"/>
      <c r="R671" s="35"/>
      <c r="S671" s="35"/>
      <c r="T671" s="35"/>
      <c r="U671" s="35"/>
      <c r="V671" s="35"/>
      <c r="W671" s="35"/>
      <c r="X671" s="35"/>
      <c r="Y671" s="35"/>
      <c r="Z671" s="35"/>
    </row>
    <row r="672" ht="12.75" customHeight="1">
      <c r="A672" s="35"/>
      <c r="B672" s="35"/>
      <c r="C672" s="35"/>
      <c r="D672" s="35"/>
      <c r="E672" s="35"/>
      <c r="F672" s="35"/>
      <c r="G672" s="35"/>
      <c r="H672" s="35"/>
      <c r="I672" s="35"/>
      <c r="J672" s="35"/>
      <c r="K672" s="35"/>
      <c r="L672" s="35"/>
      <c r="M672" s="35"/>
      <c r="N672" s="35"/>
      <c r="O672" s="35"/>
      <c r="P672" s="35"/>
      <c r="Q672" s="35"/>
      <c r="R672" s="35"/>
      <c r="S672" s="35"/>
      <c r="T672" s="35"/>
      <c r="U672" s="35"/>
      <c r="V672" s="35"/>
      <c r="W672" s="35"/>
      <c r="X672" s="35"/>
      <c r="Y672" s="35"/>
      <c r="Z672" s="35"/>
    </row>
    <row r="673" ht="12.75" customHeight="1">
      <c r="A673" s="35"/>
      <c r="B673" s="35"/>
      <c r="C673" s="35"/>
      <c r="D673" s="35"/>
      <c r="E673" s="35"/>
      <c r="F673" s="35"/>
      <c r="G673" s="35"/>
      <c r="H673" s="35"/>
      <c r="I673" s="35"/>
      <c r="J673" s="35"/>
      <c r="K673" s="35"/>
      <c r="L673" s="35"/>
      <c r="M673" s="35"/>
      <c r="N673" s="35"/>
      <c r="O673" s="35"/>
      <c r="P673" s="35"/>
      <c r="Q673" s="35"/>
      <c r="R673" s="35"/>
      <c r="S673" s="35"/>
      <c r="T673" s="35"/>
      <c r="U673" s="35"/>
      <c r="V673" s="35"/>
      <c r="W673" s="35"/>
      <c r="X673" s="35"/>
      <c r="Y673" s="35"/>
      <c r="Z673" s="35"/>
    </row>
    <row r="674" ht="12.75" customHeight="1">
      <c r="A674" s="35"/>
      <c r="B674" s="35"/>
      <c r="C674" s="35"/>
      <c r="D674" s="35"/>
      <c r="E674" s="35"/>
      <c r="F674" s="35"/>
      <c r="G674" s="35"/>
      <c r="H674" s="35"/>
      <c r="I674" s="35"/>
      <c r="J674" s="35"/>
      <c r="K674" s="35"/>
      <c r="L674" s="35"/>
      <c r="M674" s="35"/>
      <c r="N674" s="35"/>
      <c r="O674" s="35"/>
      <c r="P674" s="35"/>
      <c r="Q674" s="35"/>
      <c r="R674" s="35"/>
      <c r="S674" s="35"/>
      <c r="T674" s="35"/>
      <c r="U674" s="35"/>
      <c r="V674" s="35"/>
      <c r="W674" s="35"/>
      <c r="X674" s="35"/>
      <c r="Y674" s="35"/>
      <c r="Z674" s="35"/>
    </row>
    <row r="675" ht="12.75" customHeight="1">
      <c r="A675" s="35"/>
      <c r="B675" s="35"/>
      <c r="C675" s="35"/>
      <c r="D675" s="35"/>
      <c r="E675" s="35"/>
      <c r="F675" s="35"/>
      <c r="G675" s="35"/>
      <c r="H675" s="35"/>
      <c r="I675" s="35"/>
      <c r="J675" s="35"/>
      <c r="K675" s="35"/>
      <c r="L675" s="35"/>
      <c r="M675" s="35"/>
      <c r="N675" s="35"/>
      <c r="O675" s="35"/>
      <c r="P675" s="35"/>
      <c r="Q675" s="35"/>
      <c r="R675" s="35"/>
      <c r="S675" s="35"/>
      <c r="T675" s="35"/>
      <c r="U675" s="35"/>
      <c r="V675" s="35"/>
      <c r="W675" s="35"/>
      <c r="X675" s="35"/>
      <c r="Y675" s="35"/>
      <c r="Z675" s="35"/>
    </row>
    <row r="676" ht="12.75" customHeight="1">
      <c r="A676" s="35"/>
      <c r="B676" s="35"/>
      <c r="C676" s="35"/>
      <c r="D676" s="35"/>
      <c r="E676" s="35"/>
      <c r="F676" s="35"/>
      <c r="G676" s="35"/>
      <c r="H676" s="35"/>
      <c r="I676" s="35"/>
      <c r="J676" s="35"/>
      <c r="K676" s="35"/>
      <c r="L676" s="35"/>
      <c r="M676" s="35"/>
      <c r="N676" s="35"/>
      <c r="O676" s="35"/>
      <c r="P676" s="35"/>
      <c r="Q676" s="35"/>
      <c r="R676" s="35"/>
      <c r="S676" s="35"/>
      <c r="T676" s="35"/>
      <c r="U676" s="35"/>
      <c r="V676" s="35"/>
      <c r="W676" s="35"/>
      <c r="X676" s="35"/>
      <c r="Y676" s="35"/>
      <c r="Z676" s="35"/>
    </row>
    <row r="677" ht="12.75" customHeight="1">
      <c r="A677" s="35"/>
      <c r="B677" s="35"/>
      <c r="C677" s="35"/>
      <c r="D677" s="35"/>
      <c r="E677" s="35"/>
      <c r="F677" s="35"/>
      <c r="G677" s="35"/>
      <c r="H677" s="35"/>
      <c r="I677" s="35"/>
      <c r="J677" s="35"/>
      <c r="K677" s="35"/>
      <c r="L677" s="35"/>
      <c r="M677" s="35"/>
      <c r="N677" s="35"/>
      <c r="O677" s="35"/>
      <c r="P677" s="35"/>
      <c r="Q677" s="35"/>
      <c r="R677" s="35"/>
      <c r="S677" s="35"/>
      <c r="T677" s="35"/>
      <c r="U677" s="35"/>
      <c r="V677" s="35"/>
      <c r="W677" s="35"/>
      <c r="X677" s="35"/>
      <c r="Y677" s="35"/>
      <c r="Z677" s="35"/>
    </row>
    <row r="678" ht="12.75" customHeight="1">
      <c r="A678" s="35"/>
      <c r="B678" s="35"/>
      <c r="C678" s="35"/>
      <c r="D678" s="35"/>
      <c r="E678" s="35"/>
      <c r="F678" s="35"/>
      <c r="G678" s="35"/>
      <c r="H678" s="35"/>
      <c r="I678" s="35"/>
      <c r="J678" s="35"/>
      <c r="K678" s="35"/>
      <c r="L678" s="35"/>
      <c r="M678" s="35"/>
      <c r="N678" s="35"/>
      <c r="O678" s="35"/>
      <c r="P678" s="35"/>
      <c r="Q678" s="35"/>
      <c r="R678" s="35"/>
      <c r="S678" s="35"/>
      <c r="T678" s="35"/>
      <c r="U678" s="35"/>
      <c r="V678" s="35"/>
      <c r="W678" s="35"/>
      <c r="X678" s="35"/>
      <c r="Y678" s="35"/>
      <c r="Z678" s="35"/>
    </row>
    <row r="679" ht="12.75" customHeight="1">
      <c r="A679" s="35"/>
      <c r="B679" s="35"/>
      <c r="C679" s="35"/>
      <c r="D679" s="35"/>
      <c r="E679" s="35"/>
      <c r="F679" s="35"/>
      <c r="G679" s="35"/>
      <c r="H679" s="35"/>
      <c r="I679" s="35"/>
      <c r="J679" s="35"/>
      <c r="K679" s="35"/>
      <c r="L679" s="35"/>
      <c r="M679" s="35"/>
      <c r="N679" s="35"/>
      <c r="O679" s="35"/>
      <c r="P679" s="35"/>
      <c r="Q679" s="35"/>
      <c r="R679" s="35"/>
      <c r="S679" s="35"/>
      <c r="T679" s="35"/>
      <c r="U679" s="35"/>
      <c r="V679" s="35"/>
      <c r="W679" s="35"/>
      <c r="X679" s="35"/>
      <c r="Y679" s="35"/>
      <c r="Z679" s="35"/>
    </row>
    <row r="680" ht="12.75" customHeight="1">
      <c r="A680" s="35"/>
      <c r="B680" s="35"/>
      <c r="C680" s="35"/>
      <c r="D680" s="35"/>
      <c r="E680" s="35"/>
      <c r="F680" s="35"/>
      <c r="G680" s="35"/>
      <c r="H680" s="35"/>
      <c r="I680" s="35"/>
      <c r="J680" s="35"/>
      <c r="K680" s="35"/>
      <c r="L680" s="35"/>
      <c r="M680" s="35"/>
      <c r="N680" s="35"/>
      <c r="O680" s="35"/>
      <c r="P680" s="35"/>
      <c r="Q680" s="35"/>
      <c r="R680" s="35"/>
      <c r="S680" s="35"/>
      <c r="T680" s="35"/>
      <c r="U680" s="35"/>
      <c r="V680" s="35"/>
      <c r="W680" s="35"/>
      <c r="X680" s="35"/>
      <c r="Y680" s="35"/>
      <c r="Z680" s="35"/>
    </row>
    <row r="681" ht="12.75" customHeight="1">
      <c r="A681" s="35"/>
      <c r="B681" s="35"/>
      <c r="C681" s="35"/>
      <c r="D681" s="35"/>
      <c r="E681" s="35"/>
      <c r="F681" s="35"/>
      <c r="G681" s="35"/>
      <c r="H681" s="35"/>
      <c r="I681" s="35"/>
      <c r="J681" s="35"/>
      <c r="K681" s="35"/>
      <c r="L681" s="35"/>
      <c r="M681" s="35"/>
      <c r="N681" s="35"/>
      <c r="O681" s="35"/>
      <c r="P681" s="35"/>
      <c r="Q681" s="35"/>
      <c r="R681" s="35"/>
      <c r="S681" s="35"/>
      <c r="T681" s="35"/>
      <c r="U681" s="35"/>
      <c r="V681" s="35"/>
      <c r="W681" s="35"/>
      <c r="X681" s="35"/>
      <c r="Y681" s="35"/>
      <c r="Z681" s="35"/>
    </row>
    <row r="682" ht="12.75" customHeight="1">
      <c r="A682" s="35"/>
      <c r="B682" s="35"/>
      <c r="C682" s="35"/>
      <c r="D682" s="35"/>
      <c r="E682" s="35"/>
      <c r="F682" s="35"/>
      <c r="G682" s="35"/>
      <c r="H682" s="35"/>
      <c r="I682" s="35"/>
      <c r="J682" s="35"/>
      <c r="K682" s="35"/>
      <c r="L682" s="35"/>
      <c r="M682" s="35"/>
      <c r="N682" s="35"/>
      <c r="O682" s="35"/>
      <c r="P682" s="35"/>
      <c r="Q682" s="35"/>
      <c r="R682" s="35"/>
      <c r="S682" s="35"/>
      <c r="T682" s="35"/>
      <c r="U682" s="35"/>
      <c r="V682" s="35"/>
      <c r="W682" s="35"/>
      <c r="X682" s="35"/>
      <c r="Y682" s="35"/>
      <c r="Z682" s="35"/>
    </row>
    <row r="683" ht="12.75" customHeight="1">
      <c r="A683" s="35"/>
      <c r="B683" s="35"/>
      <c r="C683" s="35"/>
      <c r="D683" s="35"/>
      <c r="E683" s="35"/>
      <c r="F683" s="35"/>
      <c r="G683" s="35"/>
      <c r="H683" s="35"/>
      <c r="I683" s="35"/>
      <c r="J683" s="35"/>
      <c r="K683" s="35"/>
      <c r="L683" s="35"/>
      <c r="M683" s="35"/>
      <c r="N683" s="35"/>
      <c r="O683" s="35"/>
      <c r="P683" s="35"/>
      <c r="Q683" s="35"/>
      <c r="R683" s="35"/>
      <c r="S683" s="35"/>
      <c r="T683" s="35"/>
      <c r="U683" s="35"/>
      <c r="V683" s="35"/>
      <c r="W683" s="35"/>
      <c r="X683" s="35"/>
      <c r="Y683" s="35"/>
      <c r="Z683" s="35"/>
    </row>
    <row r="684" ht="12.75" customHeight="1">
      <c r="A684" s="35"/>
      <c r="B684" s="35"/>
      <c r="C684" s="35"/>
      <c r="D684" s="35"/>
      <c r="E684" s="35"/>
      <c r="F684" s="35"/>
      <c r="G684" s="35"/>
      <c r="H684" s="35"/>
      <c r="I684" s="35"/>
      <c r="J684" s="35"/>
      <c r="K684" s="35"/>
      <c r="L684" s="35"/>
      <c r="M684" s="35"/>
      <c r="N684" s="35"/>
      <c r="O684" s="35"/>
      <c r="P684" s="35"/>
      <c r="Q684" s="35"/>
      <c r="R684" s="35"/>
      <c r="S684" s="35"/>
      <c r="T684" s="35"/>
      <c r="U684" s="35"/>
      <c r="V684" s="35"/>
      <c r="W684" s="35"/>
      <c r="X684" s="35"/>
      <c r="Y684" s="35"/>
      <c r="Z684" s="35"/>
    </row>
    <row r="685" ht="12.75" customHeight="1">
      <c r="A685" s="35"/>
      <c r="B685" s="35"/>
      <c r="C685" s="35"/>
      <c r="D685" s="35"/>
      <c r="E685" s="35"/>
      <c r="F685" s="35"/>
      <c r="G685" s="35"/>
      <c r="H685" s="35"/>
      <c r="I685" s="35"/>
      <c r="J685" s="35"/>
      <c r="K685" s="35"/>
      <c r="L685" s="35"/>
      <c r="M685" s="35"/>
      <c r="N685" s="35"/>
      <c r="O685" s="35"/>
      <c r="P685" s="35"/>
      <c r="Q685" s="35"/>
      <c r="R685" s="35"/>
      <c r="S685" s="35"/>
      <c r="T685" s="35"/>
      <c r="U685" s="35"/>
      <c r="V685" s="35"/>
      <c r="W685" s="35"/>
      <c r="X685" s="35"/>
      <c r="Y685" s="35"/>
      <c r="Z685" s="35"/>
    </row>
    <row r="686" ht="12.75" customHeight="1">
      <c r="A686" s="35"/>
      <c r="B686" s="35"/>
      <c r="C686" s="35"/>
      <c r="D686" s="35"/>
      <c r="E686" s="35"/>
      <c r="F686" s="35"/>
      <c r="G686" s="35"/>
      <c r="H686" s="35"/>
      <c r="I686" s="35"/>
      <c r="J686" s="35"/>
      <c r="K686" s="35"/>
      <c r="L686" s="35"/>
      <c r="M686" s="35"/>
      <c r="N686" s="35"/>
      <c r="O686" s="35"/>
      <c r="P686" s="35"/>
      <c r="Q686" s="35"/>
      <c r="R686" s="35"/>
      <c r="S686" s="35"/>
      <c r="T686" s="35"/>
      <c r="U686" s="35"/>
      <c r="V686" s="35"/>
      <c r="W686" s="35"/>
      <c r="X686" s="35"/>
      <c r="Y686" s="35"/>
      <c r="Z686" s="35"/>
    </row>
    <row r="687" ht="12.75" customHeight="1">
      <c r="A687" s="35"/>
      <c r="B687" s="35"/>
      <c r="C687" s="35"/>
      <c r="D687" s="35"/>
      <c r="E687" s="35"/>
      <c r="F687" s="35"/>
      <c r="G687" s="35"/>
      <c r="H687" s="35"/>
      <c r="I687" s="35"/>
      <c r="J687" s="35"/>
      <c r="K687" s="35"/>
      <c r="L687" s="35"/>
      <c r="M687" s="35"/>
      <c r="N687" s="35"/>
      <c r="O687" s="35"/>
      <c r="P687" s="35"/>
      <c r="Q687" s="35"/>
      <c r="R687" s="35"/>
      <c r="S687" s="35"/>
      <c r="T687" s="35"/>
      <c r="U687" s="35"/>
      <c r="V687" s="35"/>
      <c r="W687" s="35"/>
      <c r="X687" s="35"/>
      <c r="Y687" s="35"/>
      <c r="Z687" s="35"/>
    </row>
    <row r="688" ht="12.75" customHeight="1">
      <c r="A688" s="35"/>
      <c r="B688" s="35"/>
      <c r="C688" s="35"/>
      <c r="D688" s="35"/>
      <c r="E688" s="35"/>
      <c r="F688" s="35"/>
      <c r="G688" s="35"/>
      <c r="H688" s="35"/>
      <c r="I688" s="35"/>
      <c r="J688" s="35"/>
      <c r="K688" s="35"/>
      <c r="L688" s="35"/>
      <c r="M688" s="35"/>
      <c r="N688" s="35"/>
      <c r="O688" s="35"/>
      <c r="P688" s="35"/>
      <c r="Q688" s="35"/>
      <c r="R688" s="35"/>
      <c r="S688" s="35"/>
      <c r="T688" s="35"/>
      <c r="U688" s="35"/>
      <c r="V688" s="35"/>
      <c r="W688" s="35"/>
      <c r="X688" s="35"/>
      <c r="Y688" s="35"/>
      <c r="Z688" s="35"/>
    </row>
    <row r="689" ht="12.75" customHeight="1">
      <c r="A689" s="35"/>
      <c r="B689" s="35"/>
      <c r="C689" s="35"/>
      <c r="D689" s="35"/>
      <c r="E689" s="35"/>
      <c r="F689" s="35"/>
      <c r="G689" s="35"/>
      <c r="H689" s="35"/>
      <c r="I689" s="35"/>
      <c r="J689" s="35"/>
      <c r="K689" s="35"/>
      <c r="L689" s="35"/>
      <c r="M689" s="35"/>
      <c r="N689" s="35"/>
      <c r="O689" s="35"/>
      <c r="P689" s="35"/>
      <c r="Q689" s="35"/>
      <c r="R689" s="35"/>
      <c r="S689" s="35"/>
      <c r="T689" s="35"/>
      <c r="U689" s="35"/>
      <c r="V689" s="35"/>
      <c r="W689" s="35"/>
      <c r="X689" s="35"/>
      <c r="Y689" s="35"/>
      <c r="Z689" s="35"/>
    </row>
    <row r="690" ht="12.75" customHeight="1">
      <c r="A690" s="35"/>
      <c r="B690" s="35"/>
      <c r="C690" s="35"/>
      <c r="D690" s="35"/>
      <c r="E690" s="35"/>
      <c r="F690" s="35"/>
      <c r="G690" s="35"/>
      <c r="H690" s="35"/>
      <c r="I690" s="35"/>
      <c r="J690" s="35"/>
      <c r="K690" s="35"/>
      <c r="L690" s="35"/>
      <c r="M690" s="35"/>
      <c r="N690" s="35"/>
      <c r="O690" s="35"/>
      <c r="P690" s="35"/>
      <c r="Q690" s="35"/>
      <c r="R690" s="35"/>
      <c r="S690" s="35"/>
      <c r="T690" s="35"/>
      <c r="U690" s="35"/>
      <c r="V690" s="35"/>
      <c r="W690" s="35"/>
      <c r="X690" s="35"/>
      <c r="Y690" s="35"/>
      <c r="Z690" s="35"/>
    </row>
    <row r="691" ht="12.75" customHeight="1">
      <c r="A691" s="35"/>
      <c r="B691" s="35"/>
      <c r="C691" s="35"/>
      <c r="D691" s="35"/>
      <c r="E691" s="35"/>
      <c r="F691" s="35"/>
      <c r="G691" s="35"/>
      <c r="H691" s="35"/>
      <c r="I691" s="35"/>
      <c r="J691" s="35"/>
      <c r="K691" s="35"/>
      <c r="L691" s="35"/>
      <c r="M691" s="35"/>
      <c r="N691" s="35"/>
      <c r="O691" s="35"/>
      <c r="P691" s="35"/>
      <c r="Q691" s="35"/>
      <c r="R691" s="35"/>
      <c r="S691" s="35"/>
      <c r="T691" s="35"/>
      <c r="U691" s="35"/>
      <c r="V691" s="35"/>
      <c r="W691" s="35"/>
      <c r="X691" s="35"/>
      <c r="Y691" s="35"/>
      <c r="Z691" s="35"/>
    </row>
    <row r="692" ht="12.75" customHeight="1">
      <c r="A692" s="35"/>
      <c r="B692" s="35"/>
      <c r="C692" s="35"/>
      <c r="D692" s="35"/>
      <c r="E692" s="35"/>
      <c r="F692" s="35"/>
      <c r="G692" s="35"/>
      <c r="H692" s="35"/>
      <c r="I692" s="35"/>
      <c r="J692" s="35"/>
      <c r="K692" s="35"/>
      <c r="L692" s="35"/>
      <c r="M692" s="35"/>
      <c r="N692" s="35"/>
      <c r="O692" s="35"/>
      <c r="P692" s="35"/>
      <c r="Q692" s="35"/>
      <c r="R692" s="35"/>
      <c r="S692" s="35"/>
      <c r="T692" s="35"/>
      <c r="U692" s="35"/>
      <c r="V692" s="35"/>
      <c r="W692" s="35"/>
      <c r="X692" s="35"/>
      <c r="Y692" s="35"/>
      <c r="Z692" s="35"/>
    </row>
    <row r="693" ht="12.75" customHeight="1">
      <c r="A693" s="35"/>
      <c r="B693" s="35"/>
      <c r="C693" s="35"/>
      <c r="D693" s="35"/>
      <c r="E693" s="35"/>
      <c r="F693" s="35"/>
      <c r="G693" s="35"/>
      <c r="H693" s="35"/>
      <c r="I693" s="35"/>
      <c r="J693" s="35"/>
      <c r="K693" s="35"/>
      <c r="L693" s="35"/>
      <c r="M693" s="35"/>
      <c r="N693" s="35"/>
      <c r="O693" s="35"/>
      <c r="P693" s="35"/>
      <c r="Q693" s="35"/>
      <c r="R693" s="35"/>
      <c r="S693" s="35"/>
      <c r="T693" s="35"/>
      <c r="U693" s="35"/>
      <c r="V693" s="35"/>
      <c r="W693" s="35"/>
      <c r="X693" s="35"/>
      <c r="Y693" s="35"/>
      <c r="Z693" s="35"/>
    </row>
    <row r="694" ht="12.75" customHeight="1">
      <c r="A694" s="35"/>
      <c r="B694" s="35"/>
      <c r="C694" s="35"/>
      <c r="D694" s="35"/>
      <c r="E694" s="35"/>
      <c r="F694" s="35"/>
      <c r="G694" s="35"/>
      <c r="H694" s="35"/>
      <c r="I694" s="35"/>
      <c r="J694" s="35"/>
      <c r="K694" s="35"/>
      <c r="L694" s="35"/>
      <c r="M694" s="35"/>
      <c r="N694" s="35"/>
      <c r="O694" s="35"/>
      <c r="P694" s="35"/>
      <c r="Q694" s="35"/>
      <c r="R694" s="35"/>
      <c r="S694" s="35"/>
      <c r="T694" s="35"/>
      <c r="U694" s="35"/>
      <c r="V694" s="35"/>
      <c r="W694" s="35"/>
      <c r="X694" s="35"/>
      <c r="Y694" s="35"/>
      <c r="Z694" s="35"/>
    </row>
    <row r="695" ht="12.75" customHeight="1">
      <c r="A695" s="35"/>
      <c r="B695" s="35"/>
      <c r="C695" s="35"/>
      <c r="D695" s="35"/>
      <c r="E695" s="35"/>
      <c r="F695" s="35"/>
      <c r="G695" s="35"/>
      <c r="H695" s="35"/>
      <c r="I695" s="35"/>
      <c r="J695" s="35"/>
      <c r="K695" s="35"/>
      <c r="L695" s="35"/>
      <c r="M695" s="35"/>
      <c r="N695" s="35"/>
      <c r="O695" s="35"/>
      <c r="P695" s="35"/>
      <c r="Q695" s="35"/>
      <c r="R695" s="35"/>
      <c r="S695" s="35"/>
      <c r="T695" s="35"/>
      <c r="U695" s="35"/>
      <c r="V695" s="35"/>
      <c r="W695" s="35"/>
      <c r="X695" s="35"/>
      <c r="Y695" s="35"/>
      <c r="Z695" s="35"/>
    </row>
    <row r="696" ht="12.75" customHeight="1">
      <c r="A696" s="35"/>
      <c r="B696" s="35"/>
      <c r="C696" s="35"/>
      <c r="D696" s="35"/>
      <c r="E696" s="35"/>
      <c r="F696" s="35"/>
      <c r="G696" s="35"/>
      <c r="H696" s="35"/>
      <c r="I696" s="35"/>
      <c r="J696" s="35"/>
      <c r="K696" s="35"/>
      <c r="L696" s="35"/>
      <c r="M696" s="35"/>
      <c r="N696" s="35"/>
      <c r="O696" s="35"/>
      <c r="P696" s="35"/>
      <c r="Q696" s="35"/>
      <c r="R696" s="35"/>
      <c r="S696" s="35"/>
      <c r="T696" s="35"/>
      <c r="U696" s="35"/>
      <c r="V696" s="35"/>
      <c r="W696" s="35"/>
      <c r="X696" s="35"/>
      <c r="Y696" s="35"/>
      <c r="Z696" s="35"/>
    </row>
    <row r="697" ht="12.75" customHeight="1">
      <c r="A697" s="35"/>
      <c r="B697" s="35"/>
      <c r="C697" s="35"/>
      <c r="D697" s="35"/>
      <c r="E697" s="35"/>
      <c r="F697" s="35"/>
      <c r="G697" s="35"/>
      <c r="H697" s="35"/>
      <c r="I697" s="35"/>
      <c r="J697" s="35"/>
      <c r="K697" s="35"/>
      <c r="L697" s="35"/>
      <c r="M697" s="35"/>
      <c r="N697" s="35"/>
      <c r="O697" s="35"/>
      <c r="P697" s="35"/>
      <c r="Q697" s="35"/>
      <c r="R697" s="35"/>
      <c r="S697" s="35"/>
      <c r="T697" s="35"/>
      <c r="U697" s="35"/>
      <c r="V697" s="35"/>
      <c r="W697" s="35"/>
      <c r="X697" s="35"/>
      <c r="Y697" s="35"/>
      <c r="Z697" s="35"/>
    </row>
    <row r="698" ht="12.75" customHeight="1">
      <c r="A698" s="35"/>
      <c r="B698" s="35"/>
      <c r="C698" s="35"/>
      <c r="D698" s="35"/>
      <c r="E698" s="35"/>
      <c r="F698" s="35"/>
      <c r="G698" s="35"/>
      <c r="H698" s="35"/>
      <c r="I698" s="35"/>
      <c r="J698" s="35"/>
      <c r="K698" s="35"/>
      <c r="L698" s="35"/>
      <c r="M698" s="35"/>
      <c r="N698" s="35"/>
      <c r="O698" s="35"/>
      <c r="P698" s="35"/>
      <c r="Q698" s="35"/>
      <c r="R698" s="35"/>
      <c r="S698" s="35"/>
      <c r="T698" s="35"/>
      <c r="U698" s="35"/>
      <c r="V698" s="35"/>
      <c r="W698" s="35"/>
      <c r="X698" s="35"/>
      <c r="Y698" s="35"/>
      <c r="Z698" s="35"/>
    </row>
    <row r="699" ht="12.75" customHeight="1">
      <c r="A699" s="35"/>
      <c r="B699" s="35"/>
      <c r="C699" s="35"/>
      <c r="D699" s="35"/>
      <c r="E699" s="35"/>
      <c r="F699" s="35"/>
      <c r="G699" s="35"/>
      <c r="H699" s="35"/>
      <c r="I699" s="35"/>
      <c r="J699" s="35"/>
      <c r="K699" s="35"/>
      <c r="L699" s="35"/>
      <c r="M699" s="35"/>
      <c r="N699" s="35"/>
      <c r="O699" s="35"/>
      <c r="P699" s="35"/>
      <c r="Q699" s="35"/>
      <c r="R699" s="35"/>
      <c r="S699" s="35"/>
      <c r="T699" s="35"/>
      <c r="U699" s="35"/>
      <c r="V699" s="35"/>
      <c r="W699" s="35"/>
      <c r="X699" s="35"/>
      <c r="Y699" s="35"/>
      <c r="Z699" s="35"/>
    </row>
    <row r="700" ht="12.75" customHeight="1">
      <c r="A700" s="35"/>
      <c r="B700" s="35"/>
      <c r="C700" s="35"/>
      <c r="D700" s="35"/>
      <c r="E700" s="35"/>
      <c r="F700" s="35"/>
      <c r="G700" s="35"/>
      <c r="H700" s="35"/>
      <c r="I700" s="35"/>
      <c r="J700" s="35"/>
      <c r="K700" s="35"/>
      <c r="L700" s="35"/>
      <c r="M700" s="35"/>
      <c r="N700" s="35"/>
      <c r="O700" s="35"/>
      <c r="P700" s="35"/>
      <c r="Q700" s="35"/>
      <c r="R700" s="35"/>
      <c r="S700" s="35"/>
      <c r="T700" s="35"/>
      <c r="U700" s="35"/>
      <c r="V700" s="35"/>
      <c r="W700" s="35"/>
      <c r="X700" s="35"/>
      <c r="Y700" s="35"/>
      <c r="Z700" s="35"/>
    </row>
    <row r="701" ht="12.75" customHeight="1">
      <c r="A701" s="35"/>
      <c r="B701" s="35"/>
      <c r="C701" s="35"/>
      <c r="D701" s="35"/>
      <c r="E701" s="35"/>
      <c r="F701" s="35"/>
      <c r="G701" s="35"/>
      <c r="H701" s="35"/>
      <c r="I701" s="35"/>
      <c r="J701" s="35"/>
      <c r="K701" s="35"/>
      <c r="L701" s="35"/>
      <c r="M701" s="35"/>
      <c r="N701" s="35"/>
      <c r="O701" s="35"/>
      <c r="P701" s="35"/>
      <c r="Q701" s="35"/>
      <c r="R701" s="35"/>
      <c r="S701" s="35"/>
      <c r="T701" s="35"/>
      <c r="U701" s="35"/>
      <c r="V701" s="35"/>
      <c r="W701" s="35"/>
      <c r="X701" s="35"/>
      <c r="Y701" s="35"/>
      <c r="Z701" s="35"/>
    </row>
    <row r="702" ht="12.75" customHeight="1">
      <c r="A702" s="35"/>
      <c r="B702" s="35"/>
      <c r="C702" s="35"/>
      <c r="D702" s="35"/>
      <c r="E702" s="35"/>
      <c r="F702" s="35"/>
      <c r="G702" s="35"/>
      <c r="H702" s="35"/>
      <c r="I702" s="35"/>
      <c r="J702" s="35"/>
      <c r="K702" s="35"/>
      <c r="L702" s="35"/>
      <c r="M702" s="35"/>
      <c r="N702" s="35"/>
      <c r="O702" s="35"/>
      <c r="P702" s="35"/>
      <c r="Q702" s="35"/>
      <c r="R702" s="35"/>
      <c r="S702" s="35"/>
      <c r="T702" s="35"/>
      <c r="U702" s="35"/>
      <c r="V702" s="35"/>
      <c r="W702" s="35"/>
      <c r="X702" s="35"/>
      <c r="Y702" s="35"/>
      <c r="Z702" s="35"/>
    </row>
    <row r="703" ht="12.75" customHeight="1">
      <c r="A703" s="35"/>
      <c r="B703" s="35"/>
      <c r="C703" s="35"/>
      <c r="D703" s="35"/>
      <c r="E703" s="35"/>
      <c r="F703" s="35"/>
      <c r="G703" s="35"/>
      <c r="H703" s="35"/>
      <c r="I703" s="35"/>
      <c r="J703" s="35"/>
      <c r="K703" s="35"/>
      <c r="L703" s="35"/>
      <c r="M703" s="35"/>
      <c r="N703" s="35"/>
      <c r="O703" s="35"/>
      <c r="P703" s="35"/>
      <c r="Q703" s="35"/>
      <c r="R703" s="35"/>
      <c r="S703" s="35"/>
      <c r="T703" s="35"/>
      <c r="U703" s="35"/>
      <c r="V703" s="35"/>
      <c r="W703" s="35"/>
      <c r="X703" s="35"/>
      <c r="Y703" s="35"/>
      <c r="Z703" s="35"/>
    </row>
    <row r="704" ht="12.75" customHeight="1">
      <c r="A704" s="35"/>
      <c r="B704" s="35"/>
      <c r="C704" s="35"/>
      <c r="D704" s="35"/>
      <c r="E704" s="35"/>
      <c r="F704" s="35"/>
      <c r="G704" s="35"/>
      <c r="H704" s="35"/>
      <c r="I704" s="35"/>
      <c r="J704" s="35"/>
      <c r="K704" s="35"/>
      <c r="L704" s="35"/>
      <c r="M704" s="35"/>
      <c r="N704" s="35"/>
      <c r="O704" s="35"/>
      <c r="P704" s="35"/>
      <c r="Q704" s="35"/>
      <c r="R704" s="35"/>
      <c r="S704" s="35"/>
      <c r="T704" s="35"/>
      <c r="U704" s="35"/>
      <c r="V704" s="35"/>
      <c r="W704" s="35"/>
      <c r="X704" s="35"/>
      <c r="Y704" s="35"/>
      <c r="Z704" s="35"/>
    </row>
    <row r="705" ht="12.75" customHeight="1">
      <c r="A705" s="35"/>
      <c r="B705" s="35"/>
      <c r="C705" s="35"/>
      <c r="D705" s="35"/>
      <c r="E705" s="35"/>
      <c r="F705" s="35"/>
      <c r="G705" s="35"/>
      <c r="H705" s="35"/>
      <c r="I705" s="35"/>
      <c r="J705" s="35"/>
      <c r="K705" s="35"/>
      <c r="L705" s="35"/>
      <c r="M705" s="35"/>
      <c r="N705" s="35"/>
      <c r="O705" s="35"/>
      <c r="P705" s="35"/>
      <c r="Q705" s="35"/>
      <c r="R705" s="35"/>
      <c r="S705" s="35"/>
      <c r="T705" s="35"/>
      <c r="U705" s="35"/>
      <c r="V705" s="35"/>
      <c r="W705" s="35"/>
      <c r="X705" s="35"/>
      <c r="Y705" s="35"/>
      <c r="Z705" s="35"/>
    </row>
    <row r="706" ht="12.75" customHeight="1">
      <c r="A706" s="35"/>
      <c r="B706" s="35"/>
      <c r="C706" s="35"/>
      <c r="D706" s="35"/>
      <c r="E706" s="35"/>
      <c r="F706" s="35"/>
      <c r="G706" s="35"/>
      <c r="H706" s="35"/>
      <c r="I706" s="35"/>
      <c r="J706" s="35"/>
      <c r="K706" s="35"/>
      <c r="L706" s="35"/>
      <c r="M706" s="35"/>
      <c r="N706" s="35"/>
      <c r="O706" s="35"/>
      <c r="P706" s="35"/>
      <c r="Q706" s="35"/>
      <c r="R706" s="35"/>
      <c r="S706" s="35"/>
      <c r="T706" s="35"/>
      <c r="U706" s="35"/>
      <c r="V706" s="35"/>
      <c r="W706" s="35"/>
      <c r="X706" s="35"/>
      <c r="Y706" s="35"/>
      <c r="Z706" s="35"/>
    </row>
    <row r="707" ht="12.75" customHeight="1">
      <c r="A707" s="35"/>
      <c r="B707" s="35"/>
      <c r="C707" s="35"/>
      <c r="D707" s="35"/>
      <c r="E707" s="35"/>
      <c r="F707" s="35"/>
      <c r="G707" s="35"/>
      <c r="H707" s="35"/>
      <c r="I707" s="35"/>
      <c r="J707" s="35"/>
      <c r="K707" s="35"/>
      <c r="L707" s="35"/>
      <c r="M707" s="35"/>
      <c r="N707" s="35"/>
      <c r="O707" s="35"/>
      <c r="P707" s="35"/>
      <c r="Q707" s="35"/>
      <c r="R707" s="35"/>
      <c r="S707" s="35"/>
      <c r="T707" s="35"/>
      <c r="U707" s="35"/>
      <c r="V707" s="35"/>
      <c r="W707" s="35"/>
      <c r="X707" s="35"/>
      <c r="Y707" s="35"/>
      <c r="Z707" s="35"/>
    </row>
    <row r="708" ht="12.75" customHeight="1">
      <c r="A708" s="35"/>
      <c r="B708" s="35"/>
      <c r="C708" s="35"/>
      <c r="D708" s="35"/>
      <c r="E708" s="35"/>
      <c r="F708" s="35"/>
      <c r="G708" s="35"/>
      <c r="H708" s="35"/>
      <c r="I708" s="35"/>
      <c r="J708" s="35"/>
      <c r="K708" s="35"/>
      <c r="L708" s="35"/>
      <c r="M708" s="35"/>
      <c r="N708" s="35"/>
      <c r="O708" s="35"/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5"/>
    </row>
    <row r="709" ht="12.75" customHeight="1">
      <c r="A709" s="35"/>
      <c r="B709" s="35"/>
      <c r="C709" s="35"/>
      <c r="D709" s="35"/>
      <c r="E709" s="35"/>
      <c r="F709" s="35"/>
      <c r="G709" s="35"/>
      <c r="H709" s="35"/>
      <c r="I709" s="35"/>
      <c r="J709" s="35"/>
      <c r="K709" s="35"/>
      <c r="L709" s="35"/>
      <c r="M709" s="35"/>
      <c r="N709" s="35"/>
      <c r="O709" s="35"/>
      <c r="P709" s="35"/>
      <c r="Q709" s="35"/>
      <c r="R709" s="35"/>
      <c r="S709" s="35"/>
      <c r="T709" s="35"/>
      <c r="U709" s="35"/>
      <c r="V709" s="35"/>
      <c r="W709" s="35"/>
      <c r="X709" s="35"/>
      <c r="Y709" s="35"/>
      <c r="Z709" s="35"/>
    </row>
    <row r="710" ht="12.75" customHeight="1">
      <c r="A710" s="35"/>
      <c r="B710" s="35"/>
      <c r="C710" s="35"/>
      <c r="D710" s="35"/>
      <c r="E710" s="35"/>
      <c r="F710" s="35"/>
      <c r="G710" s="35"/>
      <c r="H710" s="35"/>
      <c r="I710" s="35"/>
      <c r="J710" s="35"/>
      <c r="K710" s="35"/>
      <c r="L710" s="35"/>
      <c r="M710" s="35"/>
      <c r="N710" s="35"/>
      <c r="O710" s="35"/>
      <c r="P710" s="35"/>
      <c r="Q710" s="35"/>
      <c r="R710" s="35"/>
      <c r="S710" s="35"/>
      <c r="T710" s="35"/>
      <c r="U710" s="35"/>
      <c r="V710" s="35"/>
      <c r="W710" s="35"/>
      <c r="X710" s="35"/>
      <c r="Y710" s="35"/>
      <c r="Z710" s="35"/>
    </row>
    <row r="711" ht="12.75" customHeight="1">
      <c r="A711" s="35"/>
      <c r="B711" s="35"/>
      <c r="C711" s="35"/>
      <c r="D711" s="35"/>
      <c r="E711" s="35"/>
      <c r="F711" s="35"/>
      <c r="G711" s="35"/>
      <c r="H711" s="35"/>
      <c r="I711" s="35"/>
      <c r="J711" s="35"/>
      <c r="K711" s="35"/>
      <c r="L711" s="35"/>
      <c r="M711" s="35"/>
      <c r="N711" s="35"/>
      <c r="O711" s="35"/>
      <c r="P711" s="35"/>
      <c r="Q711" s="35"/>
      <c r="R711" s="35"/>
      <c r="S711" s="35"/>
      <c r="T711" s="35"/>
      <c r="U711" s="35"/>
      <c r="V711" s="35"/>
      <c r="W711" s="35"/>
      <c r="X711" s="35"/>
      <c r="Y711" s="35"/>
      <c r="Z711" s="35"/>
    </row>
    <row r="712" ht="12.75" customHeight="1">
      <c r="A712" s="35"/>
      <c r="B712" s="35"/>
      <c r="C712" s="35"/>
      <c r="D712" s="35"/>
      <c r="E712" s="35"/>
      <c r="F712" s="35"/>
      <c r="G712" s="35"/>
      <c r="H712" s="35"/>
      <c r="I712" s="35"/>
      <c r="J712" s="35"/>
      <c r="K712" s="35"/>
      <c r="L712" s="35"/>
      <c r="M712" s="35"/>
      <c r="N712" s="35"/>
      <c r="O712" s="35"/>
      <c r="P712" s="35"/>
      <c r="Q712" s="35"/>
      <c r="R712" s="35"/>
      <c r="S712" s="35"/>
      <c r="T712" s="35"/>
      <c r="U712" s="35"/>
      <c r="V712" s="35"/>
      <c r="W712" s="35"/>
      <c r="X712" s="35"/>
      <c r="Y712" s="35"/>
      <c r="Z712" s="35"/>
    </row>
    <row r="713" ht="12.75" customHeight="1">
      <c r="A713" s="35"/>
      <c r="B713" s="35"/>
      <c r="C713" s="35"/>
      <c r="D713" s="35"/>
      <c r="E713" s="35"/>
      <c r="F713" s="35"/>
      <c r="G713" s="35"/>
      <c r="H713" s="35"/>
      <c r="I713" s="35"/>
      <c r="J713" s="35"/>
      <c r="K713" s="35"/>
      <c r="L713" s="35"/>
      <c r="M713" s="35"/>
      <c r="N713" s="35"/>
      <c r="O713" s="35"/>
      <c r="P713" s="35"/>
      <c r="Q713" s="35"/>
      <c r="R713" s="35"/>
      <c r="S713" s="35"/>
      <c r="T713" s="35"/>
      <c r="U713" s="35"/>
      <c r="V713" s="35"/>
      <c r="W713" s="35"/>
      <c r="X713" s="35"/>
      <c r="Y713" s="35"/>
      <c r="Z713" s="35"/>
    </row>
    <row r="714" ht="12.75" customHeight="1">
      <c r="A714" s="35"/>
      <c r="B714" s="35"/>
      <c r="C714" s="35"/>
      <c r="D714" s="35"/>
      <c r="E714" s="35"/>
      <c r="F714" s="35"/>
      <c r="G714" s="35"/>
      <c r="H714" s="35"/>
      <c r="I714" s="35"/>
      <c r="J714" s="35"/>
      <c r="K714" s="35"/>
      <c r="L714" s="35"/>
      <c r="M714" s="35"/>
      <c r="N714" s="35"/>
      <c r="O714" s="35"/>
      <c r="P714" s="35"/>
      <c r="Q714" s="35"/>
      <c r="R714" s="35"/>
      <c r="S714" s="35"/>
      <c r="T714" s="35"/>
      <c r="U714" s="35"/>
      <c r="V714" s="35"/>
      <c r="W714" s="35"/>
      <c r="X714" s="35"/>
      <c r="Y714" s="35"/>
      <c r="Z714" s="35"/>
    </row>
    <row r="715" ht="12.75" customHeight="1">
      <c r="A715" s="35"/>
      <c r="B715" s="35"/>
      <c r="C715" s="35"/>
      <c r="D715" s="35"/>
      <c r="E715" s="35"/>
      <c r="F715" s="35"/>
      <c r="G715" s="35"/>
      <c r="H715" s="35"/>
      <c r="I715" s="35"/>
      <c r="J715" s="35"/>
      <c r="K715" s="35"/>
      <c r="L715" s="35"/>
      <c r="M715" s="35"/>
      <c r="N715" s="35"/>
      <c r="O715" s="35"/>
      <c r="P715" s="35"/>
      <c r="Q715" s="35"/>
      <c r="R715" s="35"/>
      <c r="S715" s="35"/>
      <c r="T715" s="35"/>
      <c r="U715" s="35"/>
      <c r="V715" s="35"/>
      <c r="W715" s="35"/>
      <c r="X715" s="35"/>
      <c r="Y715" s="35"/>
      <c r="Z715" s="35"/>
    </row>
    <row r="716" ht="12.75" customHeight="1">
      <c r="A716" s="35"/>
      <c r="B716" s="35"/>
      <c r="C716" s="35"/>
      <c r="D716" s="35"/>
      <c r="E716" s="35"/>
      <c r="F716" s="35"/>
      <c r="G716" s="35"/>
      <c r="H716" s="35"/>
      <c r="I716" s="35"/>
      <c r="J716" s="35"/>
      <c r="K716" s="35"/>
      <c r="L716" s="35"/>
      <c r="M716" s="35"/>
      <c r="N716" s="35"/>
      <c r="O716" s="35"/>
      <c r="P716" s="35"/>
      <c r="Q716" s="35"/>
      <c r="R716" s="35"/>
      <c r="S716" s="35"/>
      <c r="T716" s="35"/>
      <c r="U716" s="35"/>
      <c r="V716" s="35"/>
      <c r="W716" s="35"/>
      <c r="X716" s="35"/>
      <c r="Y716" s="35"/>
      <c r="Z716" s="35"/>
    </row>
    <row r="717" ht="12.75" customHeight="1">
      <c r="A717" s="35"/>
      <c r="B717" s="35"/>
      <c r="C717" s="35"/>
      <c r="D717" s="35"/>
      <c r="E717" s="35"/>
      <c r="F717" s="35"/>
      <c r="G717" s="35"/>
      <c r="H717" s="35"/>
      <c r="I717" s="35"/>
      <c r="J717" s="35"/>
      <c r="K717" s="35"/>
      <c r="L717" s="35"/>
      <c r="M717" s="35"/>
      <c r="N717" s="35"/>
      <c r="O717" s="35"/>
      <c r="P717" s="35"/>
      <c r="Q717" s="35"/>
      <c r="R717" s="35"/>
      <c r="S717" s="35"/>
      <c r="T717" s="35"/>
      <c r="U717" s="35"/>
      <c r="V717" s="35"/>
      <c r="W717" s="35"/>
      <c r="X717" s="35"/>
      <c r="Y717" s="35"/>
      <c r="Z717" s="35"/>
    </row>
    <row r="718" ht="12.75" customHeight="1">
      <c r="A718" s="35"/>
      <c r="B718" s="35"/>
      <c r="C718" s="35"/>
      <c r="D718" s="35"/>
      <c r="E718" s="35"/>
      <c r="F718" s="35"/>
      <c r="G718" s="35"/>
      <c r="H718" s="35"/>
      <c r="I718" s="35"/>
      <c r="J718" s="35"/>
      <c r="K718" s="35"/>
      <c r="L718" s="35"/>
      <c r="M718" s="35"/>
      <c r="N718" s="35"/>
      <c r="O718" s="35"/>
      <c r="P718" s="35"/>
      <c r="Q718" s="35"/>
      <c r="R718" s="35"/>
      <c r="S718" s="35"/>
      <c r="T718" s="35"/>
      <c r="U718" s="35"/>
      <c r="V718" s="35"/>
      <c r="W718" s="35"/>
      <c r="X718" s="35"/>
      <c r="Y718" s="35"/>
      <c r="Z718" s="35"/>
    </row>
    <row r="719" ht="12.75" customHeight="1">
      <c r="A719" s="35"/>
      <c r="B719" s="35"/>
      <c r="C719" s="35"/>
      <c r="D719" s="35"/>
      <c r="E719" s="35"/>
      <c r="F719" s="35"/>
      <c r="G719" s="35"/>
      <c r="H719" s="35"/>
      <c r="I719" s="35"/>
      <c r="J719" s="35"/>
      <c r="K719" s="35"/>
      <c r="L719" s="35"/>
      <c r="M719" s="35"/>
      <c r="N719" s="35"/>
      <c r="O719" s="35"/>
      <c r="P719" s="35"/>
      <c r="Q719" s="35"/>
      <c r="R719" s="35"/>
      <c r="S719" s="35"/>
      <c r="T719" s="35"/>
      <c r="U719" s="35"/>
      <c r="V719" s="35"/>
      <c r="W719" s="35"/>
      <c r="X719" s="35"/>
      <c r="Y719" s="35"/>
      <c r="Z719" s="35"/>
    </row>
    <row r="720" ht="12.75" customHeight="1">
      <c r="A720" s="35"/>
      <c r="B720" s="35"/>
      <c r="C720" s="35"/>
      <c r="D720" s="35"/>
      <c r="E720" s="35"/>
      <c r="F720" s="35"/>
      <c r="G720" s="35"/>
      <c r="H720" s="35"/>
      <c r="I720" s="35"/>
      <c r="J720" s="35"/>
      <c r="K720" s="35"/>
      <c r="L720" s="35"/>
      <c r="M720" s="35"/>
      <c r="N720" s="35"/>
      <c r="O720" s="35"/>
      <c r="P720" s="35"/>
      <c r="Q720" s="35"/>
      <c r="R720" s="35"/>
      <c r="S720" s="35"/>
      <c r="T720" s="35"/>
      <c r="U720" s="35"/>
      <c r="V720" s="35"/>
      <c r="W720" s="35"/>
      <c r="X720" s="35"/>
      <c r="Y720" s="35"/>
      <c r="Z720" s="35"/>
    </row>
    <row r="721" ht="12.75" customHeight="1">
      <c r="A721" s="35"/>
      <c r="B721" s="35"/>
      <c r="C721" s="35"/>
      <c r="D721" s="35"/>
      <c r="E721" s="35"/>
      <c r="F721" s="35"/>
      <c r="G721" s="35"/>
      <c r="H721" s="35"/>
      <c r="I721" s="35"/>
      <c r="J721" s="35"/>
      <c r="K721" s="35"/>
      <c r="L721" s="35"/>
      <c r="M721" s="35"/>
      <c r="N721" s="35"/>
      <c r="O721" s="35"/>
      <c r="P721" s="35"/>
      <c r="Q721" s="35"/>
      <c r="R721" s="35"/>
      <c r="S721" s="35"/>
      <c r="T721" s="35"/>
      <c r="U721" s="35"/>
      <c r="V721" s="35"/>
      <c r="W721" s="35"/>
      <c r="X721" s="35"/>
      <c r="Y721" s="35"/>
      <c r="Z721" s="35"/>
    </row>
    <row r="722" ht="12.75" customHeight="1">
      <c r="A722" s="35"/>
      <c r="B722" s="35"/>
      <c r="C722" s="35"/>
      <c r="D722" s="35"/>
      <c r="E722" s="35"/>
      <c r="F722" s="35"/>
      <c r="G722" s="35"/>
      <c r="H722" s="35"/>
      <c r="I722" s="35"/>
      <c r="J722" s="35"/>
      <c r="K722" s="35"/>
      <c r="L722" s="35"/>
      <c r="M722" s="35"/>
      <c r="N722" s="35"/>
      <c r="O722" s="35"/>
      <c r="P722" s="35"/>
      <c r="Q722" s="35"/>
      <c r="R722" s="35"/>
      <c r="S722" s="35"/>
      <c r="T722" s="35"/>
      <c r="U722" s="35"/>
      <c r="V722" s="35"/>
      <c r="W722" s="35"/>
      <c r="X722" s="35"/>
      <c r="Y722" s="35"/>
      <c r="Z722" s="35"/>
    </row>
    <row r="723" ht="12.75" customHeight="1">
      <c r="A723" s="35"/>
      <c r="B723" s="35"/>
      <c r="C723" s="35"/>
      <c r="D723" s="35"/>
      <c r="E723" s="35"/>
      <c r="F723" s="35"/>
      <c r="G723" s="35"/>
      <c r="H723" s="35"/>
      <c r="I723" s="35"/>
      <c r="J723" s="35"/>
      <c r="K723" s="35"/>
      <c r="L723" s="35"/>
      <c r="M723" s="35"/>
      <c r="N723" s="35"/>
      <c r="O723" s="35"/>
      <c r="P723" s="35"/>
      <c r="Q723" s="35"/>
      <c r="R723" s="35"/>
      <c r="S723" s="35"/>
      <c r="T723" s="35"/>
      <c r="U723" s="35"/>
      <c r="V723" s="35"/>
      <c r="W723" s="35"/>
      <c r="X723" s="35"/>
      <c r="Y723" s="35"/>
      <c r="Z723" s="35"/>
    </row>
    <row r="724" ht="12.75" customHeight="1">
      <c r="A724" s="35"/>
      <c r="B724" s="35"/>
      <c r="C724" s="35"/>
      <c r="D724" s="35"/>
      <c r="E724" s="35"/>
      <c r="F724" s="35"/>
      <c r="G724" s="35"/>
      <c r="H724" s="35"/>
      <c r="I724" s="35"/>
      <c r="J724" s="35"/>
      <c r="K724" s="35"/>
      <c r="L724" s="35"/>
      <c r="M724" s="35"/>
      <c r="N724" s="35"/>
      <c r="O724" s="35"/>
      <c r="P724" s="35"/>
      <c r="Q724" s="35"/>
      <c r="R724" s="35"/>
      <c r="S724" s="35"/>
      <c r="T724" s="35"/>
      <c r="U724" s="35"/>
      <c r="V724" s="35"/>
      <c r="W724" s="35"/>
      <c r="X724" s="35"/>
      <c r="Y724" s="35"/>
      <c r="Z724" s="35"/>
    </row>
    <row r="725" ht="12.75" customHeight="1">
      <c r="A725" s="35"/>
      <c r="B725" s="35"/>
      <c r="C725" s="35"/>
      <c r="D725" s="35"/>
      <c r="E725" s="35"/>
      <c r="F725" s="35"/>
      <c r="G725" s="35"/>
      <c r="H725" s="35"/>
      <c r="I725" s="35"/>
      <c r="J725" s="35"/>
      <c r="K725" s="35"/>
      <c r="L725" s="35"/>
      <c r="M725" s="35"/>
      <c r="N725" s="35"/>
      <c r="O725" s="35"/>
      <c r="P725" s="35"/>
      <c r="Q725" s="35"/>
      <c r="R725" s="35"/>
      <c r="S725" s="35"/>
      <c r="T725" s="35"/>
      <c r="U725" s="35"/>
      <c r="V725" s="35"/>
      <c r="W725" s="35"/>
      <c r="X725" s="35"/>
      <c r="Y725" s="35"/>
      <c r="Z725" s="35"/>
    </row>
    <row r="726" ht="12.75" customHeight="1">
      <c r="A726" s="35"/>
      <c r="B726" s="35"/>
      <c r="C726" s="35"/>
      <c r="D726" s="35"/>
      <c r="E726" s="35"/>
      <c r="F726" s="35"/>
      <c r="G726" s="35"/>
      <c r="H726" s="35"/>
      <c r="I726" s="35"/>
      <c r="J726" s="35"/>
      <c r="K726" s="35"/>
      <c r="L726" s="35"/>
      <c r="M726" s="35"/>
      <c r="N726" s="35"/>
      <c r="O726" s="35"/>
      <c r="P726" s="35"/>
      <c r="Q726" s="35"/>
      <c r="R726" s="35"/>
      <c r="S726" s="35"/>
      <c r="T726" s="35"/>
      <c r="U726" s="35"/>
      <c r="V726" s="35"/>
      <c r="W726" s="35"/>
      <c r="X726" s="35"/>
      <c r="Y726" s="35"/>
      <c r="Z726" s="35"/>
    </row>
    <row r="727" ht="12.75" customHeight="1">
      <c r="A727" s="35"/>
      <c r="B727" s="35"/>
      <c r="C727" s="35"/>
      <c r="D727" s="35"/>
      <c r="E727" s="35"/>
      <c r="F727" s="35"/>
      <c r="G727" s="35"/>
      <c r="H727" s="35"/>
      <c r="I727" s="35"/>
      <c r="J727" s="35"/>
      <c r="K727" s="35"/>
      <c r="L727" s="35"/>
      <c r="M727" s="35"/>
      <c r="N727" s="35"/>
      <c r="O727" s="35"/>
      <c r="P727" s="35"/>
      <c r="Q727" s="35"/>
      <c r="R727" s="35"/>
      <c r="S727" s="35"/>
      <c r="T727" s="35"/>
      <c r="U727" s="35"/>
      <c r="V727" s="35"/>
      <c r="W727" s="35"/>
      <c r="X727" s="35"/>
      <c r="Y727" s="35"/>
      <c r="Z727" s="35"/>
    </row>
    <row r="728" ht="12.75" customHeight="1">
      <c r="A728" s="35"/>
      <c r="B728" s="35"/>
      <c r="C728" s="35"/>
      <c r="D728" s="35"/>
      <c r="E728" s="35"/>
      <c r="F728" s="35"/>
      <c r="G728" s="35"/>
      <c r="H728" s="35"/>
      <c r="I728" s="35"/>
      <c r="J728" s="35"/>
      <c r="K728" s="35"/>
      <c r="L728" s="35"/>
      <c r="M728" s="35"/>
      <c r="N728" s="35"/>
      <c r="O728" s="35"/>
      <c r="P728" s="35"/>
      <c r="Q728" s="35"/>
      <c r="R728" s="35"/>
      <c r="S728" s="35"/>
      <c r="T728" s="35"/>
      <c r="U728" s="35"/>
      <c r="V728" s="35"/>
      <c r="W728" s="35"/>
      <c r="X728" s="35"/>
      <c r="Y728" s="35"/>
      <c r="Z728" s="35"/>
    </row>
    <row r="729" ht="12.75" customHeight="1">
      <c r="A729" s="35"/>
      <c r="B729" s="35"/>
      <c r="C729" s="35"/>
      <c r="D729" s="35"/>
      <c r="E729" s="35"/>
      <c r="F729" s="35"/>
      <c r="G729" s="35"/>
      <c r="H729" s="35"/>
      <c r="I729" s="35"/>
      <c r="J729" s="35"/>
      <c r="K729" s="35"/>
      <c r="L729" s="35"/>
      <c r="M729" s="35"/>
      <c r="N729" s="35"/>
      <c r="O729" s="35"/>
      <c r="P729" s="35"/>
      <c r="Q729" s="35"/>
      <c r="R729" s="35"/>
      <c r="S729" s="35"/>
      <c r="T729" s="35"/>
      <c r="U729" s="35"/>
      <c r="V729" s="35"/>
      <c r="W729" s="35"/>
      <c r="X729" s="35"/>
      <c r="Y729" s="35"/>
      <c r="Z729" s="35"/>
    </row>
    <row r="730" ht="12.75" customHeight="1">
      <c r="A730" s="35"/>
      <c r="B730" s="35"/>
      <c r="C730" s="35"/>
      <c r="D730" s="35"/>
      <c r="E730" s="35"/>
      <c r="F730" s="35"/>
      <c r="G730" s="35"/>
      <c r="H730" s="35"/>
      <c r="I730" s="35"/>
      <c r="J730" s="35"/>
      <c r="K730" s="35"/>
      <c r="L730" s="35"/>
      <c r="M730" s="35"/>
      <c r="N730" s="35"/>
      <c r="O730" s="35"/>
      <c r="P730" s="35"/>
      <c r="Q730" s="35"/>
      <c r="R730" s="35"/>
      <c r="S730" s="35"/>
      <c r="T730" s="35"/>
      <c r="U730" s="35"/>
      <c r="V730" s="35"/>
      <c r="W730" s="35"/>
      <c r="X730" s="35"/>
      <c r="Y730" s="35"/>
      <c r="Z730" s="35"/>
    </row>
    <row r="731" ht="12.75" customHeight="1">
      <c r="A731" s="35"/>
      <c r="B731" s="35"/>
      <c r="C731" s="35"/>
      <c r="D731" s="35"/>
      <c r="E731" s="35"/>
      <c r="F731" s="35"/>
      <c r="G731" s="35"/>
      <c r="H731" s="35"/>
      <c r="I731" s="35"/>
      <c r="J731" s="35"/>
      <c r="K731" s="35"/>
      <c r="L731" s="35"/>
      <c r="M731" s="35"/>
      <c r="N731" s="35"/>
      <c r="O731" s="35"/>
      <c r="P731" s="35"/>
      <c r="Q731" s="35"/>
      <c r="R731" s="35"/>
      <c r="S731" s="35"/>
      <c r="T731" s="35"/>
      <c r="U731" s="35"/>
      <c r="V731" s="35"/>
      <c r="W731" s="35"/>
      <c r="X731" s="35"/>
      <c r="Y731" s="35"/>
      <c r="Z731" s="35"/>
    </row>
    <row r="732" ht="12.75" customHeight="1">
      <c r="A732" s="35"/>
      <c r="B732" s="35"/>
      <c r="C732" s="35"/>
      <c r="D732" s="35"/>
      <c r="E732" s="35"/>
      <c r="F732" s="35"/>
      <c r="G732" s="35"/>
      <c r="H732" s="35"/>
      <c r="I732" s="35"/>
      <c r="J732" s="35"/>
      <c r="K732" s="35"/>
      <c r="L732" s="35"/>
      <c r="M732" s="35"/>
      <c r="N732" s="35"/>
      <c r="O732" s="35"/>
      <c r="P732" s="35"/>
      <c r="Q732" s="35"/>
      <c r="R732" s="35"/>
      <c r="S732" s="35"/>
      <c r="T732" s="35"/>
      <c r="U732" s="35"/>
      <c r="V732" s="35"/>
      <c r="W732" s="35"/>
      <c r="X732" s="35"/>
      <c r="Y732" s="35"/>
      <c r="Z732" s="35"/>
    </row>
    <row r="733" ht="12.75" customHeight="1">
      <c r="A733" s="35"/>
      <c r="B733" s="35"/>
      <c r="C733" s="35"/>
      <c r="D733" s="35"/>
      <c r="E733" s="35"/>
      <c r="F733" s="35"/>
      <c r="G733" s="35"/>
      <c r="H733" s="35"/>
      <c r="I733" s="35"/>
      <c r="J733" s="35"/>
      <c r="K733" s="35"/>
      <c r="L733" s="35"/>
      <c r="M733" s="35"/>
      <c r="N733" s="35"/>
      <c r="O733" s="35"/>
      <c r="P733" s="35"/>
      <c r="Q733" s="35"/>
      <c r="R733" s="35"/>
      <c r="S733" s="35"/>
      <c r="T733" s="35"/>
      <c r="U733" s="35"/>
      <c r="V733" s="35"/>
      <c r="W733" s="35"/>
      <c r="X733" s="35"/>
      <c r="Y733" s="35"/>
      <c r="Z733" s="35"/>
    </row>
    <row r="734" ht="12.75" customHeight="1">
      <c r="A734" s="35"/>
      <c r="B734" s="35"/>
      <c r="C734" s="35"/>
      <c r="D734" s="35"/>
      <c r="E734" s="35"/>
      <c r="F734" s="35"/>
      <c r="G734" s="35"/>
      <c r="H734" s="35"/>
      <c r="I734" s="35"/>
      <c r="J734" s="35"/>
      <c r="K734" s="35"/>
      <c r="L734" s="35"/>
      <c r="M734" s="35"/>
      <c r="N734" s="35"/>
      <c r="O734" s="35"/>
      <c r="P734" s="35"/>
      <c r="Q734" s="35"/>
      <c r="R734" s="35"/>
      <c r="S734" s="35"/>
      <c r="T734" s="35"/>
      <c r="U734" s="35"/>
      <c r="V734" s="35"/>
      <c r="W734" s="35"/>
      <c r="X734" s="35"/>
      <c r="Y734" s="35"/>
      <c r="Z734" s="35"/>
    </row>
    <row r="735" ht="12.75" customHeight="1">
      <c r="A735" s="35"/>
      <c r="B735" s="35"/>
      <c r="C735" s="35"/>
      <c r="D735" s="35"/>
      <c r="E735" s="35"/>
      <c r="F735" s="35"/>
      <c r="G735" s="35"/>
      <c r="H735" s="35"/>
      <c r="I735" s="35"/>
      <c r="J735" s="35"/>
      <c r="K735" s="35"/>
      <c r="L735" s="35"/>
      <c r="M735" s="35"/>
      <c r="N735" s="35"/>
      <c r="O735" s="35"/>
      <c r="P735" s="35"/>
      <c r="Q735" s="35"/>
      <c r="R735" s="35"/>
      <c r="S735" s="35"/>
      <c r="T735" s="35"/>
      <c r="U735" s="35"/>
      <c r="V735" s="35"/>
      <c r="W735" s="35"/>
      <c r="X735" s="35"/>
      <c r="Y735" s="35"/>
      <c r="Z735" s="35"/>
    </row>
    <row r="736" ht="12.75" customHeight="1">
      <c r="A736" s="35"/>
      <c r="B736" s="35"/>
      <c r="C736" s="35"/>
      <c r="D736" s="35"/>
      <c r="E736" s="35"/>
      <c r="F736" s="35"/>
      <c r="G736" s="35"/>
      <c r="H736" s="35"/>
      <c r="I736" s="35"/>
      <c r="J736" s="35"/>
      <c r="K736" s="35"/>
      <c r="L736" s="35"/>
      <c r="M736" s="35"/>
      <c r="N736" s="35"/>
      <c r="O736" s="35"/>
      <c r="P736" s="35"/>
      <c r="Q736" s="35"/>
      <c r="R736" s="35"/>
      <c r="S736" s="35"/>
      <c r="T736" s="35"/>
      <c r="U736" s="35"/>
      <c r="V736" s="35"/>
      <c r="W736" s="35"/>
      <c r="X736" s="35"/>
      <c r="Y736" s="35"/>
      <c r="Z736" s="35"/>
    </row>
    <row r="737" ht="12.75" customHeight="1">
      <c r="A737" s="35"/>
      <c r="B737" s="35"/>
      <c r="C737" s="35"/>
      <c r="D737" s="35"/>
      <c r="E737" s="35"/>
      <c r="F737" s="35"/>
      <c r="G737" s="35"/>
      <c r="H737" s="35"/>
      <c r="I737" s="35"/>
      <c r="J737" s="35"/>
      <c r="K737" s="35"/>
      <c r="L737" s="35"/>
      <c r="M737" s="35"/>
      <c r="N737" s="35"/>
      <c r="O737" s="35"/>
      <c r="P737" s="35"/>
      <c r="Q737" s="35"/>
      <c r="R737" s="35"/>
      <c r="S737" s="35"/>
      <c r="T737" s="35"/>
      <c r="U737" s="35"/>
      <c r="V737" s="35"/>
      <c r="W737" s="35"/>
      <c r="X737" s="35"/>
      <c r="Y737" s="35"/>
      <c r="Z737" s="35"/>
    </row>
    <row r="738" ht="12.75" customHeight="1">
      <c r="A738" s="35"/>
      <c r="B738" s="35"/>
      <c r="C738" s="35"/>
      <c r="D738" s="35"/>
      <c r="E738" s="35"/>
      <c r="F738" s="35"/>
      <c r="G738" s="35"/>
      <c r="H738" s="35"/>
      <c r="I738" s="35"/>
      <c r="J738" s="35"/>
      <c r="K738" s="35"/>
      <c r="L738" s="35"/>
      <c r="M738" s="35"/>
      <c r="N738" s="35"/>
      <c r="O738" s="35"/>
      <c r="P738" s="35"/>
      <c r="Q738" s="35"/>
      <c r="R738" s="35"/>
      <c r="S738" s="35"/>
      <c r="T738" s="35"/>
      <c r="U738" s="35"/>
      <c r="V738" s="35"/>
      <c r="W738" s="35"/>
      <c r="X738" s="35"/>
      <c r="Y738" s="35"/>
      <c r="Z738" s="35"/>
    </row>
    <row r="739" ht="12.75" customHeight="1">
      <c r="A739" s="35"/>
      <c r="B739" s="35"/>
      <c r="C739" s="35"/>
      <c r="D739" s="35"/>
      <c r="E739" s="35"/>
      <c r="F739" s="35"/>
      <c r="G739" s="35"/>
      <c r="H739" s="35"/>
      <c r="I739" s="35"/>
      <c r="J739" s="35"/>
      <c r="K739" s="35"/>
      <c r="L739" s="35"/>
      <c r="M739" s="35"/>
      <c r="N739" s="35"/>
      <c r="O739" s="35"/>
      <c r="P739" s="35"/>
      <c r="Q739" s="35"/>
      <c r="R739" s="35"/>
      <c r="S739" s="35"/>
      <c r="T739" s="35"/>
      <c r="U739" s="35"/>
      <c r="V739" s="35"/>
      <c r="W739" s="35"/>
      <c r="X739" s="35"/>
      <c r="Y739" s="35"/>
      <c r="Z739" s="35"/>
    </row>
    <row r="740" ht="12.75" customHeight="1">
      <c r="A740" s="35"/>
      <c r="B740" s="35"/>
      <c r="C740" s="35"/>
      <c r="D740" s="35"/>
      <c r="E740" s="35"/>
      <c r="F740" s="35"/>
      <c r="G740" s="35"/>
      <c r="H740" s="35"/>
      <c r="I740" s="35"/>
      <c r="J740" s="35"/>
      <c r="K740" s="35"/>
      <c r="L740" s="35"/>
      <c r="M740" s="35"/>
      <c r="N740" s="35"/>
      <c r="O740" s="35"/>
      <c r="P740" s="35"/>
      <c r="Q740" s="35"/>
      <c r="R740" s="35"/>
      <c r="S740" s="35"/>
      <c r="T740" s="35"/>
      <c r="U740" s="35"/>
      <c r="V740" s="35"/>
      <c r="W740" s="35"/>
      <c r="X740" s="35"/>
      <c r="Y740" s="35"/>
      <c r="Z740" s="35"/>
    </row>
    <row r="741" ht="12.75" customHeight="1">
      <c r="A741" s="35"/>
      <c r="B741" s="35"/>
      <c r="C741" s="35"/>
      <c r="D741" s="35"/>
      <c r="E741" s="35"/>
      <c r="F741" s="35"/>
      <c r="G741" s="35"/>
      <c r="H741" s="35"/>
      <c r="I741" s="35"/>
      <c r="J741" s="35"/>
      <c r="K741" s="35"/>
      <c r="L741" s="35"/>
      <c r="M741" s="35"/>
      <c r="N741" s="35"/>
      <c r="O741" s="35"/>
      <c r="P741" s="35"/>
      <c r="Q741" s="35"/>
      <c r="R741" s="35"/>
      <c r="S741" s="35"/>
      <c r="T741" s="35"/>
      <c r="U741" s="35"/>
      <c r="V741" s="35"/>
      <c r="W741" s="35"/>
      <c r="X741" s="35"/>
      <c r="Y741" s="35"/>
      <c r="Z741" s="35"/>
    </row>
    <row r="742" ht="12.75" customHeight="1">
      <c r="A742" s="35"/>
      <c r="B742" s="35"/>
      <c r="C742" s="35"/>
      <c r="D742" s="35"/>
      <c r="E742" s="35"/>
      <c r="F742" s="35"/>
      <c r="G742" s="35"/>
      <c r="H742" s="35"/>
      <c r="I742" s="35"/>
      <c r="J742" s="35"/>
      <c r="K742" s="35"/>
      <c r="L742" s="35"/>
      <c r="M742" s="35"/>
      <c r="N742" s="35"/>
      <c r="O742" s="35"/>
      <c r="P742" s="35"/>
      <c r="Q742" s="35"/>
      <c r="R742" s="35"/>
      <c r="S742" s="35"/>
      <c r="T742" s="35"/>
      <c r="U742" s="35"/>
      <c r="V742" s="35"/>
      <c r="W742" s="35"/>
      <c r="X742" s="35"/>
      <c r="Y742" s="35"/>
      <c r="Z742" s="35"/>
    </row>
    <row r="743" ht="12.75" customHeight="1">
      <c r="A743" s="35"/>
      <c r="B743" s="35"/>
      <c r="C743" s="35"/>
      <c r="D743" s="35"/>
      <c r="E743" s="35"/>
      <c r="F743" s="35"/>
      <c r="G743" s="35"/>
      <c r="H743" s="35"/>
      <c r="I743" s="35"/>
      <c r="J743" s="35"/>
      <c r="K743" s="35"/>
      <c r="L743" s="35"/>
      <c r="M743" s="35"/>
      <c r="N743" s="35"/>
      <c r="O743" s="35"/>
      <c r="P743" s="35"/>
      <c r="Q743" s="35"/>
      <c r="R743" s="35"/>
      <c r="S743" s="35"/>
      <c r="T743" s="35"/>
      <c r="U743" s="35"/>
      <c r="V743" s="35"/>
      <c r="W743" s="35"/>
      <c r="X743" s="35"/>
      <c r="Y743" s="35"/>
      <c r="Z743" s="35"/>
    </row>
    <row r="744" ht="12.75" customHeight="1">
      <c r="A744" s="35"/>
      <c r="B744" s="35"/>
      <c r="C744" s="35"/>
      <c r="D744" s="35"/>
      <c r="E744" s="35"/>
      <c r="F744" s="35"/>
      <c r="G744" s="35"/>
      <c r="H744" s="35"/>
      <c r="I744" s="35"/>
      <c r="J744" s="35"/>
      <c r="K744" s="35"/>
      <c r="L744" s="35"/>
      <c r="M744" s="35"/>
      <c r="N744" s="35"/>
      <c r="O744" s="35"/>
      <c r="P744" s="35"/>
      <c r="Q744" s="35"/>
      <c r="R744" s="35"/>
      <c r="S744" s="35"/>
      <c r="T744" s="35"/>
      <c r="U744" s="35"/>
      <c r="V744" s="35"/>
      <c r="W744" s="35"/>
      <c r="X744" s="35"/>
      <c r="Y744" s="35"/>
      <c r="Z744" s="35"/>
    </row>
    <row r="745" ht="12.75" customHeight="1">
      <c r="A745" s="35"/>
      <c r="B745" s="35"/>
      <c r="C745" s="35"/>
      <c r="D745" s="35"/>
      <c r="E745" s="35"/>
      <c r="F745" s="35"/>
      <c r="G745" s="35"/>
      <c r="H745" s="35"/>
      <c r="I745" s="35"/>
      <c r="J745" s="35"/>
      <c r="K745" s="35"/>
      <c r="L745" s="35"/>
      <c r="M745" s="35"/>
      <c r="N745" s="35"/>
      <c r="O745" s="35"/>
      <c r="P745" s="35"/>
      <c r="Q745" s="35"/>
      <c r="R745" s="35"/>
      <c r="S745" s="35"/>
      <c r="T745" s="35"/>
      <c r="U745" s="35"/>
      <c r="V745" s="35"/>
      <c r="W745" s="35"/>
      <c r="X745" s="35"/>
      <c r="Y745" s="35"/>
      <c r="Z745" s="35"/>
    </row>
    <row r="746" ht="12.75" customHeight="1">
      <c r="A746" s="35"/>
      <c r="B746" s="35"/>
      <c r="C746" s="35"/>
      <c r="D746" s="35"/>
      <c r="E746" s="35"/>
      <c r="F746" s="35"/>
      <c r="G746" s="35"/>
      <c r="H746" s="35"/>
      <c r="I746" s="35"/>
      <c r="J746" s="35"/>
      <c r="K746" s="35"/>
      <c r="L746" s="35"/>
      <c r="M746" s="35"/>
      <c r="N746" s="35"/>
      <c r="O746" s="35"/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5"/>
    </row>
    <row r="747" ht="12.75" customHeight="1">
      <c r="A747" s="35"/>
      <c r="B747" s="35"/>
      <c r="C747" s="35"/>
      <c r="D747" s="35"/>
      <c r="E747" s="35"/>
      <c r="F747" s="35"/>
      <c r="G747" s="35"/>
      <c r="H747" s="35"/>
      <c r="I747" s="35"/>
      <c r="J747" s="35"/>
      <c r="K747" s="35"/>
      <c r="L747" s="35"/>
      <c r="M747" s="35"/>
      <c r="N747" s="35"/>
      <c r="O747" s="35"/>
      <c r="P747" s="35"/>
      <c r="Q747" s="35"/>
      <c r="R747" s="35"/>
      <c r="S747" s="35"/>
      <c r="T747" s="35"/>
      <c r="U747" s="35"/>
      <c r="V747" s="35"/>
      <c r="W747" s="35"/>
      <c r="X747" s="35"/>
      <c r="Y747" s="35"/>
      <c r="Z747" s="35"/>
    </row>
    <row r="748" ht="12.75" customHeight="1">
      <c r="A748" s="35"/>
      <c r="B748" s="35"/>
      <c r="C748" s="35"/>
      <c r="D748" s="35"/>
      <c r="E748" s="35"/>
      <c r="F748" s="35"/>
      <c r="G748" s="35"/>
      <c r="H748" s="35"/>
      <c r="I748" s="35"/>
      <c r="J748" s="35"/>
      <c r="K748" s="35"/>
      <c r="L748" s="35"/>
      <c r="M748" s="35"/>
      <c r="N748" s="35"/>
      <c r="O748" s="35"/>
      <c r="P748" s="35"/>
      <c r="Q748" s="35"/>
      <c r="R748" s="35"/>
      <c r="S748" s="35"/>
      <c r="T748" s="35"/>
      <c r="U748" s="35"/>
      <c r="V748" s="35"/>
      <c r="W748" s="35"/>
      <c r="X748" s="35"/>
      <c r="Y748" s="35"/>
      <c r="Z748" s="35"/>
    </row>
    <row r="749" ht="12.75" customHeight="1">
      <c r="A749" s="35"/>
      <c r="B749" s="35"/>
      <c r="C749" s="35"/>
      <c r="D749" s="35"/>
      <c r="E749" s="35"/>
      <c r="F749" s="35"/>
      <c r="G749" s="35"/>
      <c r="H749" s="35"/>
      <c r="I749" s="35"/>
      <c r="J749" s="35"/>
      <c r="K749" s="35"/>
      <c r="L749" s="35"/>
      <c r="M749" s="35"/>
      <c r="N749" s="35"/>
      <c r="O749" s="35"/>
      <c r="P749" s="35"/>
      <c r="Q749" s="35"/>
      <c r="R749" s="35"/>
      <c r="S749" s="35"/>
      <c r="T749" s="35"/>
      <c r="U749" s="35"/>
      <c r="V749" s="35"/>
      <c r="W749" s="35"/>
      <c r="X749" s="35"/>
      <c r="Y749" s="35"/>
      <c r="Z749" s="35"/>
    </row>
    <row r="750" ht="12.75" customHeight="1">
      <c r="A750" s="35"/>
      <c r="B750" s="35"/>
      <c r="C750" s="35"/>
      <c r="D750" s="35"/>
      <c r="E750" s="35"/>
      <c r="F750" s="35"/>
      <c r="G750" s="35"/>
      <c r="H750" s="35"/>
      <c r="I750" s="35"/>
      <c r="J750" s="35"/>
      <c r="K750" s="35"/>
      <c r="L750" s="35"/>
      <c r="M750" s="35"/>
      <c r="N750" s="35"/>
      <c r="O750" s="35"/>
      <c r="P750" s="35"/>
      <c r="Q750" s="35"/>
      <c r="R750" s="35"/>
      <c r="S750" s="35"/>
      <c r="T750" s="35"/>
      <c r="U750" s="35"/>
      <c r="V750" s="35"/>
      <c r="W750" s="35"/>
      <c r="X750" s="35"/>
      <c r="Y750" s="35"/>
      <c r="Z750" s="35"/>
    </row>
    <row r="751" ht="12.75" customHeight="1">
      <c r="A751" s="35"/>
      <c r="B751" s="35"/>
      <c r="C751" s="35"/>
      <c r="D751" s="35"/>
      <c r="E751" s="35"/>
      <c r="F751" s="35"/>
      <c r="G751" s="35"/>
      <c r="H751" s="35"/>
      <c r="I751" s="35"/>
      <c r="J751" s="35"/>
      <c r="K751" s="35"/>
      <c r="L751" s="35"/>
      <c r="M751" s="35"/>
      <c r="N751" s="35"/>
      <c r="O751" s="35"/>
      <c r="P751" s="35"/>
      <c r="Q751" s="35"/>
      <c r="R751" s="35"/>
      <c r="S751" s="35"/>
      <c r="T751" s="35"/>
      <c r="U751" s="35"/>
      <c r="V751" s="35"/>
      <c r="W751" s="35"/>
      <c r="X751" s="35"/>
      <c r="Y751" s="35"/>
      <c r="Z751" s="35"/>
    </row>
    <row r="752" ht="12.75" customHeight="1">
      <c r="A752" s="35"/>
      <c r="B752" s="35"/>
      <c r="C752" s="35"/>
      <c r="D752" s="35"/>
      <c r="E752" s="35"/>
      <c r="F752" s="35"/>
      <c r="G752" s="35"/>
      <c r="H752" s="35"/>
      <c r="I752" s="35"/>
      <c r="J752" s="35"/>
      <c r="K752" s="35"/>
      <c r="L752" s="35"/>
      <c r="M752" s="35"/>
      <c r="N752" s="35"/>
      <c r="O752" s="35"/>
      <c r="P752" s="35"/>
      <c r="Q752" s="35"/>
      <c r="R752" s="35"/>
      <c r="S752" s="35"/>
      <c r="T752" s="35"/>
      <c r="U752" s="35"/>
      <c r="V752" s="35"/>
      <c r="W752" s="35"/>
      <c r="X752" s="35"/>
      <c r="Y752" s="35"/>
      <c r="Z752" s="35"/>
    </row>
    <row r="753" ht="12.75" customHeight="1">
      <c r="A753" s="35"/>
      <c r="B753" s="35"/>
      <c r="C753" s="35"/>
      <c r="D753" s="35"/>
      <c r="E753" s="35"/>
      <c r="F753" s="35"/>
      <c r="G753" s="35"/>
      <c r="H753" s="35"/>
      <c r="I753" s="35"/>
      <c r="J753" s="35"/>
      <c r="K753" s="35"/>
      <c r="L753" s="35"/>
      <c r="M753" s="35"/>
      <c r="N753" s="35"/>
      <c r="O753" s="35"/>
      <c r="P753" s="35"/>
      <c r="Q753" s="35"/>
      <c r="R753" s="35"/>
      <c r="S753" s="35"/>
      <c r="T753" s="35"/>
      <c r="U753" s="35"/>
      <c r="V753" s="35"/>
      <c r="W753" s="35"/>
      <c r="X753" s="35"/>
      <c r="Y753" s="35"/>
      <c r="Z753" s="35"/>
    </row>
    <row r="754" ht="12.75" customHeight="1">
      <c r="A754" s="35"/>
      <c r="B754" s="35"/>
      <c r="C754" s="35"/>
      <c r="D754" s="35"/>
      <c r="E754" s="35"/>
      <c r="F754" s="35"/>
      <c r="G754" s="35"/>
      <c r="H754" s="35"/>
      <c r="I754" s="35"/>
      <c r="J754" s="35"/>
      <c r="K754" s="35"/>
      <c r="L754" s="35"/>
      <c r="M754" s="35"/>
      <c r="N754" s="35"/>
      <c r="O754" s="35"/>
      <c r="P754" s="35"/>
      <c r="Q754" s="35"/>
      <c r="R754" s="35"/>
      <c r="S754" s="35"/>
      <c r="T754" s="35"/>
      <c r="U754" s="35"/>
      <c r="V754" s="35"/>
      <c r="W754" s="35"/>
      <c r="X754" s="35"/>
      <c r="Y754" s="35"/>
      <c r="Z754" s="35"/>
    </row>
    <row r="755" ht="12.75" customHeight="1">
      <c r="A755" s="35"/>
      <c r="B755" s="35"/>
      <c r="C755" s="35"/>
      <c r="D755" s="35"/>
      <c r="E755" s="35"/>
      <c r="F755" s="35"/>
      <c r="G755" s="35"/>
      <c r="H755" s="35"/>
      <c r="I755" s="35"/>
      <c r="J755" s="35"/>
      <c r="K755" s="35"/>
      <c r="L755" s="35"/>
      <c r="M755" s="35"/>
      <c r="N755" s="35"/>
      <c r="O755" s="35"/>
      <c r="P755" s="35"/>
      <c r="Q755" s="35"/>
      <c r="R755" s="35"/>
      <c r="S755" s="35"/>
      <c r="T755" s="35"/>
      <c r="U755" s="35"/>
      <c r="V755" s="35"/>
      <c r="W755" s="35"/>
      <c r="X755" s="35"/>
      <c r="Y755" s="35"/>
      <c r="Z755" s="35"/>
    </row>
    <row r="756" ht="12.75" customHeight="1">
      <c r="A756" s="35"/>
      <c r="B756" s="35"/>
      <c r="C756" s="35"/>
      <c r="D756" s="35"/>
      <c r="E756" s="35"/>
      <c r="F756" s="35"/>
      <c r="G756" s="35"/>
      <c r="H756" s="35"/>
      <c r="I756" s="35"/>
      <c r="J756" s="35"/>
      <c r="K756" s="35"/>
      <c r="L756" s="35"/>
      <c r="M756" s="35"/>
      <c r="N756" s="35"/>
      <c r="O756" s="35"/>
      <c r="P756" s="35"/>
      <c r="Q756" s="35"/>
      <c r="R756" s="35"/>
      <c r="S756" s="35"/>
      <c r="T756" s="35"/>
      <c r="U756" s="35"/>
      <c r="V756" s="35"/>
      <c r="W756" s="35"/>
      <c r="X756" s="35"/>
      <c r="Y756" s="35"/>
      <c r="Z756" s="35"/>
    </row>
    <row r="757" ht="12.75" customHeight="1">
      <c r="A757" s="35"/>
      <c r="B757" s="35"/>
      <c r="C757" s="35"/>
      <c r="D757" s="35"/>
      <c r="E757" s="35"/>
      <c r="F757" s="35"/>
      <c r="G757" s="35"/>
      <c r="H757" s="35"/>
      <c r="I757" s="35"/>
      <c r="J757" s="35"/>
      <c r="K757" s="35"/>
      <c r="L757" s="35"/>
      <c r="M757" s="35"/>
      <c r="N757" s="35"/>
      <c r="O757" s="35"/>
      <c r="P757" s="35"/>
      <c r="Q757" s="35"/>
      <c r="R757" s="35"/>
      <c r="S757" s="35"/>
      <c r="T757" s="35"/>
      <c r="U757" s="35"/>
      <c r="V757" s="35"/>
      <c r="W757" s="35"/>
      <c r="X757" s="35"/>
      <c r="Y757" s="35"/>
      <c r="Z757" s="35"/>
    </row>
    <row r="758" ht="12.75" customHeight="1">
      <c r="A758" s="35"/>
      <c r="B758" s="35"/>
      <c r="C758" s="35"/>
      <c r="D758" s="35"/>
      <c r="E758" s="35"/>
      <c r="F758" s="35"/>
      <c r="G758" s="35"/>
      <c r="H758" s="35"/>
      <c r="I758" s="35"/>
      <c r="J758" s="35"/>
      <c r="K758" s="35"/>
      <c r="L758" s="35"/>
      <c r="M758" s="35"/>
      <c r="N758" s="35"/>
      <c r="O758" s="35"/>
      <c r="P758" s="35"/>
      <c r="Q758" s="35"/>
      <c r="R758" s="35"/>
      <c r="S758" s="35"/>
      <c r="T758" s="35"/>
      <c r="U758" s="35"/>
      <c r="V758" s="35"/>
      <c r="W758" s="35"/>
      <c r="X758" s="35"/>
      <c r="Y758" s="35"/>
      <c r="Z758" s="35"/>
    </row>
    <row r="759" ht="12.75" customHeight="1">
      <c r="A759" s="35"/>
      <c r="B759" s="35"/>
      <c r="C759" s="35"/>
      <c r="D759" s="35"/>
      <c r="E759" s="35"/>
      <c r="F759" s="35"/>
      <c r="G759" s="35"/>
      <c r="H759" s="35"/>
      <c r="I759" s="35"/>
      <c r="J759" s="35"/>
      <c r="K759" s="35"/>
      <c r="L759" s="35"/>
      <c r="M759" s="35"/>
      <c r="N759" s="35"/>
      <c r="O759" s="35"/>
      <c r="P759" s="35"/>
      <c r="Q759" s="35"/>
      <c r="R759" s="35"/>
      <c r="S759" s="35"/>
      <c r="T759" s="35"/>
      <c r="U759" s="35"/>
      <c r="V759" s="35"/>
      <c r="W759" s="35"/>
      <c r="X759" s="35"/>
      <c r="Y759" s="35"/>
      <c r="Z759" s="35"/>
    </row>
    <row r="760" ht="12.75" customHeight="1">
      <c r="A760" s="35"/>
      <c r="B760" s="35"/>
      <c r="C760" s="35"/>
      <c r="D760" s="35"/>
      <c r="E760" s="35"/>
      <c r="F760" s="35"/>
      <c r="G760" s="35"/>
      <c r="H760" s="35"/>
      <c r="I760" s="35"/>
      <c r="J760" s="35"/>
      <c r="K760" s="35"/>
      <c r="L760" s="35"/>
      <c r="M760" s="35"/>
      <c r="N760" s="35"/>
      <c r="O760" s="35"/>
      <c r="P760" s="35"/>
      <c r="Q760" s="35"/>
      <c r="R760" s="35"/>
      <c r="S760" s="35"/>
      <c r="T760" s="35"/>
      <c r="U760" s="35"/>
      <c r="V760" s="35"/>
      <c r="W760" s="35"/>
      <c r="X760" s="35"/>
      <c r="Y760" s="35"/>
      <c r="Z760" s="35"/>
    </row>
    <row r="761" ht="12.75" customHeight="1">
      <c r="A761" s="35"/>
      <c r="B761" s="35"/>
      <c r="C761" s="35"/>
      <c r="D761" s="35"/>
      <c r="E761" s="35"/>
      <c r="F761" s="35"/>
      <c r="G761" s="35"/>
      <c r="H761" s="35"/>
      <c r="I761" s="35"/>
      <c r="J761" s="35"/>
      <c r="K761" s="35"/>
      <c r="L761" s="35"/>
      <c r="M761" s="35"/>
      <c r="N761" s="35"/>
      <c r="O761" s="35"/>
      <c r="P761" s="35"/>
      <c r="Q761" s="35"/>
      <c r="R761" s="35"/>
      <c r="S761" s="35"/>
      <c r="T761" s="35"/>
      <c r="U761" s="35"/>
      <c r="V761" s="35"/>
      <c r="W761" s="35"/>
      <c r="X761" s="35"/>
      <c r="Y761" s="35"/>
      <c r="Z761" s="35"/>
    </row>
    <row r="762" ht="12.75" customHeight="1">
      <c r="A762" s="35"/>
      <c r="B762" s="35"/>
      <c r="C762" s="35"/>
      <c r="D762" s="35"/>
      <c r="E762" s="35"/>
      <c r="F762" s="35"/>
      <c r="G762" s="35"/>
      <c r="H762" s="35"/>
      <c r="I762" s="35"/>
      <c r="J762" s="35"/>
      <c r="K762" s="35"/>
      <c r="L762" s="35"/>
      <c r="M762" s="35"/>
      <c r="N762" s="35"/>
      <c r="O762" s="35"/>
      <c r="P762" s="35"/>
      <c r="Q762" s="35"/>
      <c r="R762" s="35"/>
      <c r="S762" s="35"/>
      <c r="T762" s="35"/>
      <c r="U762" s="35"/>
      <c r="V762" s="35"/>
      <c r="W762" s="35"/>
      <c r="X762" s="35"/>
      <c r="Y762" s="35"/>
      <c r="Z762" s="35"/>
    </row>
    <row r="763" ht="12.75" customHeight="1">
      <c r="A763" s="35"/>
      <c r="B763" s="35"/>
      <c r="C763" s="35"/>
      <c r="D763" s="35"/>
      <c r="E763" s="35"/>
      <c r="F763" s="35"/>
      <c r="G763" s="35"/>
      <c r="H763" s="35"/>
      <c r="I763" s="35"/>
      <c r="J763" s="35"/>
      <c r="K763" s="35"/>
      <c r="L763" s="35"/>
      <c r="M763" s="35"/>
      <c r="N763" s="35"/>
      <c r="O763" s="35"/>
      <c r="P763" s="35"/>
      <c r="Q763" s="35"/>
      <c r="R763" s="35"/>
      <c r="S763" s="35"/>
      <c r="T763" s="35"/>
      <c r="U763" s="35"/>
      <c r="V763" s="35"/>
      <c r="W763" s="35"/>
      <c r="X763" s="35"/>
      <c r="Y763" s="35"/>
      <c r="Z763" s="35"/>
    </row>
    <row r="764" ht="12.75" customHeight="1">
      <c r="A764" s="35"/>
      <c r="B764" s="35"/>
      <c r="C764" s="35"/>
      <c r="D764" s="35"/>
      <c r="E764" s="35"/>
      <c r="F764" s="35"/>
      <c r="G764" s="35"/>
      <c r="H764" s="35"/>
      <c r="I764" s="35"/>
      <c r="J764" s="35"/>
      <c r="K764" s="35"/>
      <c r="L764" s="35"/>
      <c r="M764" s="35"/>
      <c r="N764" s="35"/>
      <c r="O764" s="35"/>
      <c r="P764" s="35"/>
      <c r="Q764" s="35"/>
      <c r="R764" s="35"/>
      <c r="S764" s="35"/>
      <c r="T764" s="35"/>
      <c r="U764" s="35"/>
      <c r="V764" s="35"/>
      <c r="W764" s="35"/>
      <c r="X764" s="35"/>
      <c r="Y764" s="35"/>
      <c r="Z764" s="35"/>
    </row>
    <row r="765" ht="12.75" customHeight="1">
      <c r="A765" s="35"/>
      <c r="B765" s="35"/>
      <c r="C765" s="35"/>
      <c r="D765" s="35"/>
      <c r="E765" s="35"/>
      <c r="F765" s="35"/>
      <c r="G765" s="35"/>
      <c r="H765" s="35"/>
      <c r="I765" s="35"/>
      <c r="J765" s="35"/>
      <c r="K765" s="35"/>
      <c r="L765" s="35"/>
      <c r="M765" s="35"/>
      <c r="N765" s="35"/>
      <c r="O765" s="35"/>
      <c r="P765" s="35"/>
      <c r="Q765" s="35"/>
      <c r="R765" s="35"/>
      <c r="S765" s="35"/>
      <c r="T765" s="35"/>
      <c r="U765" s="35"/>
      <c r="V765" s="35"/>
      <c r="W765" s="35"/>
      <c r="X765" s="35"/>
      <c r="Y765" s="35"/>
      <c r="Z765" s="35"/>
    </row>
    <row r="766" ht="12.75" customHeight="1">
      <c r="A766" s="35"/>
      <c r="B766" s="35"/>
      <c r="C766" s="35"/>
      <c r="D766" s="35"/>
      <c r="E766" s="35"/>
      <c r="F766" s="35"/>
      <c r="G766" s="35"/>
      <c r="H766" s="35"/>
      <c r="I766" s="35"/>
      <c r="J766" s="35"/>
      <c r="K766" s="35"/>
      <c r="L766" s="35"/>
      <c r="M766" s="35"/>
      <c r="N766" s="35"/>
      <c r="O766" s="35"/>
      <c r="P766" s="35"/>
      <c r="Q766" s="35"/>
      <c r="R766" s="35"/>
      <c r="S766" s="35"/>
      <c r="T766" s="35"/>
      <c r="U766" s="35"/>
      <c r="V766" s="35"/>
      <c r="W766" s="35"/>
      <c r="X766" s="35"/>
      <c r="Y766" s="35"/>
      <c r="Z766" s="35"/>
    </row>
    <row r="767" ht="12.75" customHeight="1">
      <c r="A767" s="35"/>
      <c r="B767" s="35"/>
      <c r="C767" s="35"/>
      <c r="D767" s="35"/>
      <c r="E767" s="35"/>
      <c r="F767" s="35"/>
      <c r="G767" s="35"/>
      <c r="H767" s="35"/>
      <c r="I767" s="35"/>
      <c r="J767" s="35"/>
      <c r="K767" s="35"/>
      <c r="L767" s="35"/>
      <c r="M767" s="35"/>
      <c r="N767" s="35"/>
      <c r="O767" s="35"/>
      <c r="P767" s="35"/>
      <c r="Q767" s="35"/>
      <c r="R767" s="35"/>
      <c r="S767" s="35"/>
      <c r="T767" s="35"/>
      <c r="U767" s="35"/>
      <c r="V767" s="35"/>
      <c r="W767" s="35"/>
      <c r="X767" s="35"/>
      <c r="Y767" s="35"/>
      <c r="Z767" s="35"/>
    </row>
    <row r="768" ht="12.75" customHeight="1">
      <c r="A768" s="35"/>
      <c r="B768" s="35"/>
      <c r="C768" s="35"/>
      <c r="D768" s="35"/>
      <c r="E768" s="35"/>
      <c r="F768" s="35"/>
      <c r="G768" s="35"/>
      <c r="H768" s="35"/>
      <c r="I768" s="35"/>
      <c r="J768" s="35"/>
      <c r="K768" s="35"/>
      <c r="L768" s="35"/>
      <c r="M768" s="35"/>
      <c r="N768" s="35"/>
      <c r="O768" s="35"/>
      <c r="P768" s="35"/>
      <c r="Q768" s="35"/>
      <c r="R768" s="35"/>
      <c r="S768" s="35"/>
      <c r="T768" s="35"/>
      <c r="U768" s="35"/>
      <c r="V768" s="35"/>
      <c r="W768" s="35"/>
      <c r="X768" s="35"/>
      <c r="Y768" s="35"/>
      <c r="Z768" s="35"/>
    </row>
    <row r="769" ht="12.75" customHeight="1">
      <c r="A769" s="35"/>
      <c r="B769" s="35"/>
      <c r="C769" s="35"/>
      <c r="D769" s="35"/>
      <c r="E769" s="35"/>
      <c r="F769" s="35"/>
      <c r="G769" s="35"/>
      <c r="H769" s="35"/>
      <c r="I769" s="35"/>
      <c r="J769" s="35"/>
      <c r="K769" s="35"/>
      <c r="L769" s="35"/>
      <c r="M769" s="35"/>
      <c r="N769" s="35"/>
      <c r="O769" s="35"/>
      <c r="P769" s="35"/>
      <c r="Q769" s="35"/>
      <c r="R769" s="35"/>
      <c r="S769" s="35"/>
      <c r="T769" s="35"/>
      <c r="U769" s="35"/>
      <c r="V769" s="35"/>
      <c r="W769" s="35"/>
      <c r="X769" s="35"/>
      <c r="Y769" s="35"/>
      <c r="Z769" s="35"/>
    </row>
    <row r="770" ht="12.75" customHeight="1">
      <c r="A770" s="35"/>
      <c r="B770" s="35"/>
      <c r="C770" s="35"/>
      <c r="D770" s="35"/>
      <c r="E770" s="35"/>
      <c r="F770" s="35"/>
      <c r="G770" s="35"/>
      <c r="H770" s="35"/>
      <c r="I770" s="35"/>
      <c r="J770" s="35"/>
      <c r="K770" s="35"/>
      <c r="L770" s="35"/>
      <c r="M770" s="35"/>
      <c r="N770" s="35"/>
      <c r="O770" s="35"/>
      <c r="P770" s="35"/>
      <c r="Q770" s="35"/>
      <c r="R770" s="35"/>
      <c r="S770" s="35"/>
      <c r="T770" s="35"/>
      <c r="U770" s="35"/>
      <c r="V770" s="35"/>
      <c r="W770" s="35"/>
      <c r="X770" s="35"/>
      <c r="Y770" s="35"/>
      <c r="Z770" s="35"/>
    </row>
    <row r="771" ht="12.75" customHeight="1">
      <c r="A771" s="35"/>
      <c r="B771" s="35"/>
      <c r="C771" s="35"/>
      <c r="D771" s="35"/>
      <c r="E771" s="35"/>
      <c r="F771" s="35"/>
      <c r="G771" s="35"/>
      <c r="H771" s="35"/>
      <c r="I771" s="35"/>
      <c r="J771" s="35"/>
      <c r="K771" s="35"/>
      <c r="L771" s="35"/>
      <c r="M771" s="35"/>
      <c r="N771" s="35"/>
      <c r="O771" s="35"/>
      <c r="P771" s="35"/>
      <c r="Q771" s="35"/>
      <c r="R771" s="35"/>
      <c r="S771" s="35"/>
      <c r="T771" s="35"/>
      <c r="U771" s="35"/>
      <c r="V771" s="35"/>
      <c r="W771" s="35"/>
      <c r="X771" s="35"/>
      <c r="Y771" s="35"/>
      <c r="Z771" s="35"/>
    </row>
    <row r="772" ht="12.75" customHeight="1">
      <c r="A772" s="35"/>
      <c r="B772" s="35"/>
      <c r="C772" s="35"/>
      <c r="D772" s="35"/>
      <c r="E772" s="35"/>
      <c r="F772" s="35"/>
      <c r="G772" s="35"/>
      <c r="H772" s="35"/>
      <c r="I772" s="35"/>
      <c r="J772" s="35"/>
      <c r="K772" s="35"/>
      <c r="L772" s="35"/>
      <c r="M772" s="35"/>
      <c r="N772" s="35"/>
      <c r="O772" s="35"/>
      <c r="P772" s="35"/>
      <c r="Q772" s="35"/>
      <c r="R772" s="35"/>
      <c r="S772" s="35"/>
      <c r="T772" s="35"/>
      <c r="U772" s="35"/>
      <c r="V772" s="35"/>
      <c r="W772" s="35"/>
      <c r="X772" s="35"/>
      <c r="Y772" s="35"/>
      <c r="Z772" s="35"/>
    </row>
    <row r="773" ht="12.75" customHeight="1">
      <c r="A773" s="35"/>
      <c r="B773" s="35"/>
      <c r="C773" s="35"/>
      <c r="D773" s="35"/>
      <c r="E773" s="35"/>
      <c r="F773" s="35"/>
      <c r="G773" s="35"/>
      <c r="H773" s="35"/>
      <c r="I773" s="35"/>
      <c r="J773" s="35"/>
      <c r="K773" s="35"/>
      <c r="L773" s="35"/>
      <c r="M773" s="35"/>
      <c r="N773" s="35"/>
      <c r="O773" s="35"/>
      <c r="P773" s="35"/>
      <c r="Q773" s="35"/>
      <c r="R773" s="35"/>
      <c r="S773" s="35"/>
      <c r="T773" s="35"/>
      <c r="U773" s="35"/>
      <c r="V773" s="35"/>
      <c r="W773" s="35"/>
      <c r="X773" s="35"/>
      <c r="Y773" s="35"/>
      <c r="Z773" s="35"/>
    </row>
    <row r="774" ht="12.75" customHeight="1">
      <c r="A774" s="35"/>
      <c r="B774" s="35"/>
      <c r="C774" s="35"/>
      <c r="D774" s="35"/>
      <c r="E774" s="35"/>
      <c r="F774" s="35"/>
      <c r="G774" s="35"/>
      <c r="H774" s="35"/>
      <c r="I774" s="35"/>
      <c r="J774" s="35"/>
      <c r="K774" s="35"/>
      <c r="L774" s="35"/>
      <c r="M774" s="35"/>
      <c r="N774" s="35"/>
      <c r="O774" s="35"/>
      <c r="P774" s="35"/>
      <c r="Q774" s="35"/>
      <c r="R774" s="35"/>
      <c r="S774" s="35"/>
      <c r="T774" s="35"/>
      <c r="U774" s="35"/>
      <c r="V774" s="35"/>
      <c r="W774" s="35"/>
      <c r="X774" s="35"/>
      <c r="Y774" s="35"/>
      <c r="Z774" s="35"/>
    </row>
    <row r="775" ht="12.75" customHeight="1">
      <c r="A775" s="35"/>
      <c r="B775" s="35"/>
      <c r="C775" s="35"/>
      <c r="D775" s="35"/>
      <c r="E775" s="35"/>
      <c r="F775" s="35"/>
      <c r="G775" s="35"/>
      <c r="H775" s="35"/>
      <c r="I775" s="35"/>
      <c r="J775" s="35"/>
      <c r="K775" s="35"/>
      <c r="L775" s="35"/>
      <c r="M775" s="35"/>
      <c r="N775" s="35"/>
      <c r="O775" s="35"/>
      <c r="P775" s="35"/>
      <c r="Q775" s="35"/>
      <c r="R775" s="35"/>
      <c r="S775" s="35"/>
      <c r="T775" s="35"/>
      <c r="U775" s="35"/>
      <c r="V775" s="35"/>
      <c r="W775" s="35"/>
      <c r="X775" s="35"/>
      <c r="Y775" s="35"/>
      <c r="Z775" s="35"/>
    </row>
    <row r="776" ht="12.75" customHeight="1">
      <c r="A776" s="35"/>
      <c r="B776" s="35"/>
      <c r="C776" s="35"/>
      <c r="D776" s="35"/>
      <c r="E776" s="35"/>
      <c r="F776" s="35"/>
      <c r="G776" s="35"/>
      <c r="H776" s="35"/>
      <c r="I776" s="35"/>
      <c r="J776" s="35"/>
      <c r="K776" s="35"/>
      <c r="L776" s="35"/>
      <c r="M776" s="35"/>
      <c r="N776" s="35"/>
      <c r="O776" s="35"/>
      <c r="P776" s="35"/>
      <c r="Q776" s="35"/>
      <c r="R776" s="35"/>
      <c r="S776" s="35"/>
      <c r="T776" s="35"/>
      <c r="U776" s="35"/>
      <c r="V776" s="35"/>
      <c r="W776" s="35"/>
      <c r="X776" s="35"/>
      <c r="Y776" s="35"/>
      <c r="Z776" s="35"/>
    </row>
    <row r="777" ht="12.75" customHeight="1">
      <c r="A777" s="35"/>
      <c r="B777" s="35"/>
      <c r="C777" s="35"/>
      <c r="D777" s="35"/>
      <c r="E777" s="35"/>
      <c r="F777" s="35"/>
      <c r="G777" s="35"/>
      <c r="H777" s="35"/>
      <c r="I777" s="35"/>
      <c r="J777" s="35"/>
      <c r="K777" s="35"/>
      <c r="L777" s="35"/>
      <c r="M777" s="35"/>
      <c r="N777" s="35"/>
      <c r="O777" s="35"/>
      <c r="P777" s="35"/>
      <c r="Q777" s="35"/>
      <c r="R777" s="35"/>
      <c r="S777" s="35"/>
      <c r="T777" s="35"/>
      <c r="U777" s="35"/>
      <c r="V777" s="35"/>
      <c r="W777" s="35"/>
      <c r="X777" s="35"/>
      <c r="Y777" s="35"/>
      <c r="Z777" s="35"/>
    </row>
    <row r="778" ht="12.75" customHeight="1">
      <c r="A778" s="35"/>
      <c r="B778" s="35"/>
      <c r="C778" s="35"/>
      <c r="D778" s="35"/>
      <c r="E778" s="35"/>
      <c r="F778" s="35"/>
      <c r="G778" s="35"/>
      <c r="H778" s="35"/>
      <c r="I778" s="35"/>
      <c r="J778" s="35"/>
      <c r="K778" s="35"/>
      <c r="L778" s="35"/>
      <c r="M778" s="35"/>
      <c r="N778" s="35"/>
      <c r="O778" s="35"/>
      <c r="P778" s="35"/>
      <c r="Q778" s="35"/>
      <c r="R778" s="35"/>
      <c r="S778" s="35"/>
      <c r="T778" s="35"/>
      <c r="U778" s="35"/>
      <c r="V778" s="35"/>
      <c r="W778" s="35"/>
      <c r="X778" s="35"/>
      <c r="Y778" s="35"/>
      <c r="Z778" s="35"/>
    </row>
    <row r="779" ht="12.75" customHeight="1">
      <c r="A779" s="35"/>
      <c r="B779" s="35"/>
      <c r="C779" s="35"/>
      <c r="D779" s="35"/>
      <c r="E779" s="35"/>
      <c r="F779" s="35"/>
      <c r="G779" s="35"/>
      <c r="H779" s="35"/>
      <c r="I779" s="35"/>
      <c r="J779" s="35"/>
      <c r="K779" s="35"/>
      <c r="L779" s="35"/>
      <c r="M779" s="35"/>
      <c r="N779" s="35"/>
      <c r="O779" s="35"/>
      <c r="P779" s="35"/>
      <c r="Q779" s="35"/>
      <c r="R779" s="35"/>
      <c r="S779" s="35"/>
      <c r="T779" s="35"/>
      <c r="U779" s="35"/>
      <c r="V779" s="35"/>
      <c r="W779" s="35"/>
      <c r="X779" s="35"/>
      <c r="Y779" s="35"/>
      <c r="Z779" s="35"/>
    </row>
    <row r="780" ht="12.75" customHeight="1">
      <c r="A780" s="35"/>
      <c r="B780" s="35"/>
      <c r="C780" s="35"/>
      <c r="D780" s="35"/>
      <c r="E780" s="35"/>
      <c r="F780" s="35"/>
      <c r="G780" s="35"/>
      <c r="H780" s="35"/>
      <c r="I780" s="35"/>
      <c r="J780" s="35"/>
      <c r="K780" s="35"/>
      <c r="L780" s="35"/>
      <c r="M780" s="35"/>
      <c r="N780" s="35"/>
      <c r="O780" s="35"/>
      <c r="P780" s="35"/>
      <c r="Q780" s="35"/>
      <c r="R780" s="35"/>
      <c r="S780" s="35"/>
      <c r="T780" s="35"/>
      <c r="U780" s="35"/>
      <c r="V780" s="35"/>
      <c r="W780" s="35"/>
      <c r="X780" s="35"/>
      <c r="Y780" s="35"/>
      <c r="Z780" s="35"/>
    </row>
    <row r="781" ht="12.75" customHeight="1">
      <c r="A781" s="35"/>
      <c r="B781" s="35"/>
      <c r="C781" s="35"/>
      <c r="D781" s="35"/>
      <c r="E781" s="35"/>
      <c r="F781" s="35"/>
      <c r="G781" s="35"/>
      <c r="H781" s="35"/>
      <c r="I781" s="35"/>
      <c r="J781" s="35"/>
      <c r="K781" s="35"/>
      <c r="L781" s="35"/>
      <c r="M781" s="35"/>
      <c r="N781" s="35"/>
      <c r="O781" s="35"/>
      <c r="P781" s="35"/>
      <c r="Q781" s="35"/>
      <c r="R781" s="35"/>
      <c r="S781" s="35"/>
      <c r="T781" s="35"/>
      <c r="U781" s="35"/>
      <c r="V781" s="35"/>
      <c r="W781" s="35"/>
      <c r="X781" s="35"/>
      <c r="Y781" s="35"/>
      <c r="Z781" s="35"/>
    </row>
    <row r="782" ht="12.75" customHeight="1">
      <c r="A782" s="35"/>
      <c r="B782" s="35"/>
      <c r="C782" s="35"/>
      <c r="D782" s="35"/>
      <c r="E782" s="35"/>
      <c r="F782" s="35"/>
      <c r="G782" s="35"/>
      <c r="H782" s="35"/>
      <c r="I782" s="35"/>
      <c r="J782" s="35"/>
      <c r="K782" s="35"/>
      <c r="L782" s="35"/>
      <c r="M782" s="35"/>
      <c r="N782" s="35"/>
      <c r="O782" s="35"/>
      <c r="P782" s="35"/>
      <c r="Q782" s="35"/>
      <c r="R782" s="35"/>
      <c r="S782" s="35"/>
      <c r="T782" s="35"/>
      <c r="U782" s="35"/>
      <c r="V782" s="35"/>
      <c r="W782" s="35"/>
      <c r="X782" s="35"/>
      <c r="Y782" s="35"/>
      <c r="Z782" s="35"/>
    </row>
    <row r="783" ht="12.75" customHeight="1">
      <c r="A783" s="35"/>
      <c r="B783" s="35"/>
      <c r="C783" s="35"/>
      <c r="D783" s="35"/>
      <c r="E783" s="35"/>
      <c r="F783" s="35"/>
      <c r="G783" s="35"/>
      <c r="H783" s="35"/>
      <c r="I783" s="35"/>
      <c r="J783" s="35"/>
      <c r="K783" s="35"/>
      <c r="L783" s="35"/>
      <c r="M783" s="35"/>
      <c r="N783" s="35"/>
      <c r="O783" s="35"/>
      <c r="P783" s="35"/>
      <c r="Q783" s="35"/>
      <c r="R783" s="35"/>
      <c r="S783" s="35"/>
      <c r="T783" s="35"/>
      <c r="U783" s="35"/>
      <c r="V783" s="35"/>
      <c r="W783" s="35"/>
      <c r="X783" s="35"/>
      <c r="Y783" s="35"/>
      <c r="Z783" s="35"/>
    </row>
    <row r="784" ht="12.75" customHeight="1">
      <c r="A784" s="35"/>
      <c r="B784" s="35"/>
      <c r="C784" s="35"/>
      <c r="D784" s="35"/>
      <c r="E784" s="35"/>
      <c r="F784" s="35"/>
      <c r="G784" s="35"/>
      <c r="H784" s="35"/>
      <c r="I784" s="35"/>
      <c r="J784" s="35"/>
      <c r="K784" s="35"/>
      <c r="L784" s="35"/>
      <c r="M784" s="35"/>
      <c r="N784" s="35"/>
      <c r="O784" s="35"/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5"/>
    </row>
    <row r="785" ht="12.75" customHeight="1">
      <c r="A785" s="35"/>
      <c r="B785" s="35"/>
      <c r="C785" s="35"/>
      <c r="D785" s="35"/>
      <c r="E785" s="35"/>
      <c r="F785" s="35"/>
      <c r="G785" s="35"/>
      <c r="H785" s="35"/>
      <c r="I785" s="35"/>
      <c r="J785" s="35"/>
      <c r="K785" s="35"/>
      <c r="L785" s="35"/>
      <c r="M785" s="35"/>
      <c r="N785" s="35"/>
      <c r="O785" s="35"/>
      <c r="P785" s="35"/>
      <c r="Q785" s="35"/>
      <c r="R785" s="35"/>
      <c r="S785" s="35"/>
      <c r="T785" s="35"/>
      <c r="U785" s="35"/>
      <c r="V785" s="35"/>
      <c r="W785" s="35"/>
      <c r="X785" s="35"/>
      <c r="Y785" s="35"/>
      <c r="Z785" s="35"/>
    </row>
    <row r="786" ht="12.75" customHeight="1">
      <c r="A786" s="35"/>
      <c r="B786" s="35"/>
      <c r="C786" s="35"/>
      <c r="D786" s="35"/>
      <c r="E786" s="35"/>
      <c r="F786" s="35"/>
      <c r="G786" s="35"/>
      <c r="H786" s="35"/>
      <c r="I786" s="35"/>
      <c r="J786" s="35"/>
      <c r="K786" s="35"/>
      <c r="L786" s="35"/>
      <c r="M786" s="35"/>
      <c r="N786" s="35"/>
      <c r="O786" s="35"/>
      <c r="P786" s="35"/>
      <c r="Q786" s="35"/>
      <c r="R786" s="35"/>
      <c r="S786" s="35"/>
      <c r="T786" s="35"/>
      <c r="U786" s="35"/>
      <c r="V786" s="35"/>
      <c r="W786" s="35"/>
      <c r="X786" s="35"/>
      <c r="Y786" s="35"/>
      <c r="Z786" s="35"/>
    </row>
    <row r="787" ht="12.75" customHeight="1">
      <c r="A787" s="35"/>
      <c r="B787" s="35"/>
      <c r="C787" s="35"/>
      <c r="D787" s="35"/>
      <c r="E787" s="35"/>
      <c r="F787" s="35"/>
      <c r="G787" s="35"/>
      <c r="H787" s="35"/>
      <c r="I787" s="35"/>
      <c r="J787" s="35"/>
      <c r="K787" s="35"/>
      <c r="L787" s="35"/>
      <c r="M787" s="35"/>
      <c r="N787" s="35"/>
      <c r="O787" s="35"/>
      <c r="P787" s="35"/>
      <c r="Q787" s="35"/>
      <c r="R787" s="35"/>
      <c r="S787" s="35"/>
      <c r="T787" s="35"/>
      <c r="U787" s="35"/>
      <c r="V787" s="35"/>
      <c r="W787" s="35"/>
      <c r="X787" s="35"/>
      <c r="Y787" s="35"/>
      <c r="Z787" s="35"/>
    </row>
    <row r="788" ht="12.75" customHeight="1">
      <c r="A788" s="35"/>
      <c r="B788" s="35"/>
      <c r="C788" s="35"/>
      <c r="D788" s="35"/>
      <c r="E788" s="35"/>
      <c r="F788" s="35"/>
      <c r="G788" s="35"/>
      <c r="H788" s="35"/>
      <c r="I788" s="35"/>
      <c r="J788" s="35"/>
      <c r="K788" s="35"/>
      <c r="L788" s="35"/>
      <c r="M788" s="35"/>
      <c r="N788" s="35"/>
      <c r="O788" s="35"/>
      <c r="P788" s="35"/>
      <c r="Q788" s="35"/>
      <c r="R788" s="35"/>
      <c r="S788" s="35"/>
      <c r="T788" s="35"/>
      <c r="U788" s="35"/>
      <c r="V788" s="35"/>
      <c r="W788" s="35"/>
      <c r="X788" s="35"/>
      <c r="Y788" s="35"/>
      <c r="Z788" s="35"/>
    </row>
    <row r="789" ht="12.75" customHeight="1">
      <c r="A789" s="35"/>
      <c r="B789" s="35"/>
      <c r="C789" s="35"/>
      <c r="D789" s="35"/>
      <c r="E789" s="35"/>
      <c r="F789" s="35"/>
      <c r="G789" s="35"/>
      <c r="H789" s="35"/>
      <c r="I789" s="35"/>
      <c r="J789" s="35"/>
      <c r="K789" s="35"/>
      <c r="L789" s="35"/>
      <c r="M789" s="35"/>
      <c r="N789" s="35"/>
      <c r="O789" s="35"/>
      <c r="P789" s="35"/>
      <c r="Q789" s="35"/>
      <c r="R789" s="35"/>
      <c r="S789" s="35"/>
      <c r="T789" s="35"/>
      <c r="U789" s="35"/>
      <c r="V789" s="35"/>
      <c r="W789" s="35"/>
      <c r="X789" s="35"/>
      <c r="Y789" s="35"/>
      <c r="Z789" s="35"/>
    </row>
    <row r="790" ht="12.75" customHeight="1">
      <c r="A790" s="35"/>
      <c r="B790" s="35"/>
      <c r="C790" s="35"/>
      <c r="D790" s="35"/>
      <c r="E790" s="35"/>
      <c r="F790" s="35"/>
      <c r="G790" s="35"/>
      <c r="H790" s="35"/>
      <c r="I790" s="35"/>
      <c r="J790" s="35"/>
      <c r="K790" s="35"/>
      <c r="L790" s="35"/>
      <c r="M790" s="35"/>
      <c r="N790" s="35"/>
      <c r="O790" s="35"/>
      <c r="P790" s="35"/>
      <c r="Q790" s="35"/>
      <c r="R790" s="35"/>
      <c r="S790" s="35"/>
      <c r="T790" s="35"/>
      <c r="U790" s="35"/>
      <c r="V790" s="35"/>
      <c r="W790" s="35"/>
      <c r="X790" s="35"/>
      <c r="Y790" s="35"/>
      <c r="Z790" s="35"/>
    </row>
    <row r="791" ht="12.75" customHeight="1">
      <c r="A791" s="35"/>
      <c r="B791" s="35"/>
      <c r="C791" s="35"/>
      <c r="D791" s="35"/>
      <c r="E791" s="35"/>
      <c r="F791" s="35"/>
      <c r="G791" s="35"/>
      <c r="H791" s="35"/>
      <c r="I791" s="35"/>
      <c r="J791" s="35"/>
      <c r="K791" s="35"/>
      <c r="L791" s="35"/>
      <c r="M791" s="35"/>
      <c r="N791" s="35"/>
      <c r="O791" s="35"/>
      <c r="P791" s="35"/>
      <c r="Q791" s="35"/>
      <c r="R791" s="35"/>
      <c r="S791" s="35"/>
      <c r="T791" s="35"/>
      <c r="U791" s="35"/>
      <c r="V791" s="35"/>
      <c r="W791" s="35"/>
      <c r="X791" s="35"/>
      <c r="Y791" s="35"/>
      <c r="Z791" s="35"/>
    </row>
    <row r="792" ht="12.75" customHeight="1">
      <c r="A792" s="35"/>
      <c r="B792" s="35"/>
      <c r="C792" s="35"/>
      <c r="D792" s="35"/>
      <c r="E792" s="35"/>
      <c r="F792" s="35"/>
      <c r="G792" s="35"/>
      <c r="H792" s="35"/>
      <c r="I792" s="35"/>
      <c r="J792" s="35"/>
      <c r="K792" s="35"/>
      <c r="L792" s="35"/>
      <c r="M792" s="35"/>
      <c r="N792" s="35"/>
      <c r="O792" s="35"/>
      <c r="P792" s="35"/>
      <c r="Q792" s="35"/>
      <c r="R792" s="35"/>
      <c r="S792" s="35"/>
      <c r="T792" s="35"/>
      <c r="U792" s="35"/>
      <c r="V792" s="35"/>
      <c r="W792" s="35"/>
      <c r="X792" s="35"/>
      <c r="Y792" s="35"/>
      <c r="Z792" s="35"/>
    </row>
    <row r="793" ht="12.75" customHeight="1">
      <c r="A793" s="35"/>
      <c r="B793" s="35"/>
      <c r="C793" s="35"/>
      <c r="D793" s="35"/>
      <c r="E793" s="35"/>
      <c r="F793" s="35"/>
      <c r="G793" s="35"/>
      <c r="H793" s="35"/>
      <c r="I793" s="35"/>
      <c r="J793" s="35"/>
      <c r="K793" s="35"/>
      <c r="L793" s="35"/>
      <c r="M793" s="35"/>
      <c r="N793" s="35"/>
      <c r="O793" s="35"/>
      <c r="P793" s="35"/>
      <c r="Q793" s="35"/>
      <c r="R793" s="35"/>
      <c r="S793" s="35"/>
      <c r="T793" s="35"/>
      <c r="U793" s="35"/>
      <c r="V793" s="35"/>
      <c r="W793" s="35"/>
      <c r="X793" s="35"/>
      <c r="Y793" s="35"/>
      <c r="Z793" s="35"/>
    </row>
    <row r="794" ht="12.75" customHeight="1">
      <c r="A794" s="35"/>
      <c r="B794" s="35"/>
      <c r="C794" s="35"/>
      <c r="D794" s="35"/>
      <c r="E794" s="35"/>
      <c r="F794" s="35"/>
      <c r="G794" s="35"/>
      <c r="H794" s="35"/>
      <c r="I794" s="35"/>
      <c r="J794" s="35"/>
      <c r="K794" s="35"/>
      <c r="L794" s="35"/>
      <c r="M794" s="35"/>
      <c r="N794" s="35"/>
      <c r="O794" s="35"/>
      <c r="P794" s="35"/>
      <c r="Q794" s="35"/>
      <c r="R794" s="35"/>
      <c r="S794" s="35"/>
      <c r="T794" s="35"/>
      <c r="U794" s="35"/>
      <c r="V794" s="35"/>
      <c r="W794" s="35"/>
      <c r="X794" s="35"/>
      <c r="Y794" s="35"/>
      <c r="Z794" s="35"/>
    </row>
    <row r="795" ht="12.75" customHeight="1">
      <c r="A795" s="35"/>
      <c r="B795" s="35"/>
      <c r="C795" s="35"/>
      <c r="D795" s="35"/>
      <c r="E795" s="35"/>
      <c r="F795" s="35"/>
      <c r="G795" s="35"/>
      <c r="H795" s="35"/>
      <c r="I795" s="35"/>
      <c r="J795" s="35"/>
      <c r="K795" s="35"/>
      <c r="L795" s="35"/>
      <c r="M795" s="35"/>
      <c r="N795" s="35"/>
      <c r="O795" s="35"/>
      <c r="P795" s="35"/>
      <c r="Q795" s="35"/>
      <c r="R795" s="35"/>
      <c r="S795" s="35"/>
      <c r="T795" s="35"/>
      <c r="U795" s="35"/>
      <c r="V795" s="35"/>
      <c r="W795" s="35"/>
      <c r="X795" s="35"/>
      <c r="Y795" s="35"/>
      <c r="Z795" s="35"/>
    </row>
    <row r="796" ht="12.75" customHeight="1">
      <c r="A796" s="35"/>
      <c r="B796" s="35"/>
      <c r="C796" s="35"/>
      <c r="D796" s="35"/>
      <c r="E796" s="35"/>
      <c r="F796" s="35"/>
      <c r="G796" s="35"/>
      <c r="H796" s="35"/>
      <c r="I796" s="35"/>
      <c r="J796" s="35"/>
      <c r="K796" s="35"/>
      <c r="L796" s="35"/>
      <c r="M796" s="35"/>
      <c r="N796" s="35"/>
      <c r="O796" s="35"/>
      <c r="P796" s="35"/>
      <c r="Q796" s="35"/>
      <c r="R796" s="35"/>
      <c r="S796" s="35"/>
      <c r="T796" s="35"/>
      <c r="U796" s="35"/>
      <c r="V796" s="35"/>
      <c r="W796" s="35"/>
      <c r="X796" s="35"/>
      <c r="Y796" s="35"/>
      <c r="Z796" s="35"/>
    </row>
    <row r="797" ht="12.75" customHeight="1">
      <c r="A797" s="35"/>
      <c r="B797" s="35"/>
      <c r="C797" s="35"/>
      <c r="D797" s="35"/>
      <c r="E797" s="35"/>
      <c r="F797" s="35"/>
      <c r="G797" s="35"/>
      <c r="H797" s="35"/>
      <c r="I797" s="35"/>
      <c r="J797" s="35"/>
      <c r="K797" s="35"/>
      <c r="L797" s="35"/>
      <c r="M797" s="35"/>
      <c r="N797" s="35"/>
      <c r="O797" s="35"/>
      <c r="P797" s="35"/>
      <c r="Q797" s="35"/>
      <c r="R797" s="35"/>
      <c r="S797" s="35"/>
      <c r="T797" s="35"/>
      <c r="U797" s="35"/>
      <c r="V797" s="35"/>
      <c r="W797" s="35"/>
      <c r="X797" s="35"/>
      <c r="Y797" s="35"/>
      <c r="Z797" s="35"/>
    </row>
    <row r="798" ht="12.75" customHeight="1">
      <c r="A798" s="35"/>
      <c r="B798" s="35"/>
      <c r="C798" s="35"/>
      <c r="D798" s="35"/>
      <c r="E798" s="35"/>
      <c r="F798" s="35"/>
      <c r="G798" s="35"/>
      <c r="H798" s="35"/>
      <c r="I798" s="35"/>
      <c r="J798" s="35"/>
      <c r="K798" s="35"/>
      <c r="L798" s="35"/>
      <c r="M798" s="35"/>
      <c r="N798" s="35"/>
      <c r="O798" s="35"/>
      <c r="P798" s="35"/>
      <c r="Q798" s="35"/>
      <c r="R798" s="35"/>
      <c r="S798" s="35"/>
      <c r="T798" s="35"/>
      <c r="U798" s="35"/>
      <c r="V798" s="35"/>
      <c r="W798" s="35"/>
      <c r="X798" s="35"/>
      <c r="Y798" s="35"/>
      <c r="Z798" s="35"/>
    </row>
    <row r="799" ht="12.75" customHeight="1">
      <c r="A799" s="35"/>
      <c r="B799" s="35"/>
      <c r="C799" s="35"/>
      <c r="D799" s="35"/>
      <c r="E799" s="35"/>
      <c r="F799" s="35"/>
      <c r="G799" s="35"/>
      <c r="H799" s="35"/>
      <c r="I799" s="35"/>
      <c r="J799" s="35"/>
      <c r="K799" s="35"/>
      <c r="L799" s="35"/>
      <c r="M799" s="35"/>
      <c r="N799" s="35"/>
      <c r="O799" s="35"/>
      <c r="P799" s="35"/>
      <c r="Q799" s="35"/>
      <c r="R799" s="35"/>
      <c r="S799" s="35"/>
      <c r="T799" s="35"/>
      <c r="U799" s="35"/>
      <c r="V799" s="35"/>
      <c r="W799" s="35"/>
      <c r="X799" s="35"/>
      <c r="Y799" s="35"/>
      <c r="Z799" s="35"/>
    </row>
    <row r="800" ht="12.75" customHeight="1">
      <c r="A800" s="35"/>
      <c r="B800" s="35"/>
      <c r="C800" s="35"/>
      <c r="D800" s="35"/>
      <c r="E800" s="35"/>
      <c r="F800" s="35"/>
      <c r="G800" s="35"/>
      <c r="H800" s="35"/>
      <c r="I800" s="35"/>
      <c r="J800" s="35"/>
      <c r="K800" s="35"/>
      <c r="L800" s="35"/>
      <c r="M800" s="35"/>
      <c r="N800" s="35"/>
      <c r="O800" s="35"/>
      <c r="P800" s="35"/>
      <c r="Q800" s="35"/>
      <c r="R800" s="35"/>
      <c r="S800" s="35"/>
      <c r="T800" s="35"/>
      <c r="U800" s="35"/>
      <c r="V800" s="35"/>
      <c r="W800" s="35"/>
      <c r="X800" s="35"/>
      <c r="Y800" s="35"/>
      <c r="Z800" s="35"/>
    </row>
    <row r="801" ht="12.75" customHeight="1">
      <c r="A801" s="35"/>
      <c r="B801" s="35"/>
      <c r="C801" s="35"/>
      <c r="D801" s="35"/>
      <c r="E801" s="35"/>
      <c r="F801" s="35"/>
      <c r="G801" s="35"/>
      <c r="H801" s="35"/>
      <c r="I801" s="35"/>
      <c r="J801" s="35"/>
      <c r="K801" s="35"/>
      <c r="L801" s="35"/>
      <c r="M801" s="35"/>
      <c r="N801" s="35"/>
      <c r="O801" s="35"/>
      <c r="P801" s="35"/>
      <c r="Q801" s="35"/>
      <c r="R801" s="35"/>
      <c r="S801" s="35"/>
      <c r="T801" s="35"/>
      <c r="U801" s="35"/>
      <c r="V801" s="35"/>
      <c r="W801" s="35"/>
      <c r="X801" s="35"/>
      <c r="Y801" s="35"/>
      <c r="Z801" s="35"/>
    </row>
    <row r="802" ht="12.75" customHeight="1">
      <c r="A802" s="35"/>
      <c r="B802" s="35"/>
      <c r="C802" s="35"/>
      <c r="D802" s="35"/>
      <c r="E802" s="35"/>
      <c r="F802" s="35"/>
      <c r="G802" s="35"/>
      <c r="H802" s="35"/>
      <c r="I802" s="35"/>
      <c r="J802" s="35"/>
      <c r="K802" s="35"/>
      <c r="L802" s="35"/>
      <c r="M802" s="35"/>
      <c r="N802" s="35"/>
      <c r="O802" s="35"/>
      <c r="P802" s="35"/>
      <c r="Q802" s="35"/>
      <c r="R802" s="35"/>
      <c r="S802" s="35"/>
      <c r="T802" s="35"/>
      <c r="U802" s="35"/>
      <c r="V802" s="35"/>
      <c r="W802" s="35"/>
      <c r="X802" s="35"/>
      <c r="Y802" s="35"/>
      <c r="Z802" s="35"/>
    </row>
    <row r="803" ht="12.75" customHeight="1">
      <c r="A803" s="35"/>
      <c r="B803" s="35"/>
      <c r="C803" s="35"/>
      <c r="D803" s="35"/>
      <c r="E803" s="35"/>
      <c r="F803" s="35"/>
      <c r="G803" s="35"/>
      <c r="H803" s="35"/>
      <c r="I803" s="35"/>
      <c r="J803" s="35"/>
      <c r="K803" s="35"/>
      <c r="L803" s="35"/>
      <c r="M803" s="35"/>
      <c r="N803" s="35"/>
      <c r="O803" s="35"/>
      <c r="P803" s="35"/>
      <c r="Q803" s="35"/>
      <c r="R803" s="35"/>
      <c r="S803" s="35"/>
      <c r="T803" s="35"/>
      <c r="U803" s="35"/>
      <c r="V803" s="35"/>
      <c r="W803" s="35"/>
      <c r="X803" s="35"/>
      <c r="Y803" s="35"/>
      <c r="Z803" s="35"/>
    </row>
    <row r="804" ht="12.75" customHeight="1">
      <c r="A804" s="35"/>
      <c r="B804" s="35"/>
      <c r="C804" s="35"/>
      <c r="D804" s="35"/>
      <c r="E804" s="35"/>
      <c r="F804" s="35"/>
      <c r="G804" s="35"/>
      <c r="H804" s="35"/>
      <c r="I804" s="35"/>
      <c r="J804" s="35"/>
      <c r="K804" s="35"/>
      <c r="L804" s="35"/>
      <c r="M804" s="35"/>
      <c r="N804" s="35"/>
      <c r="O804" s="35"/>
      <c r="P804" s="35"/>
      <c r="Q804" s="35"/>
      <c r="R804" s="35"/>
      <c r="S804" s="35"/>
      <c r="T804" s="35"/>
      <c r="U804" s="35"/>
      <c r="V804" s="35"/>
      <c r="W804" s="35"/>
      <c r="X804" s="35"/>
      <c r="Y804" s="35"/>
      <c r="Z804" s="35"/>
    </row>
    <row r="805" ht="12.75" customHeight="1">
      <c r="A805" s="35"/>
      <c r="B805" s="35"/>
      <c r="C805" s="35"/>
      <c r="D805" s="35"/>
      <c r="E805" s="35"/>
      <c r="F805" s="35"/>
      <c r="G805" s="35"/>
      <c r="H805" s="35"/>
      <c r="I805" s="35"/>
      <c r="J805" s="35"/>
      <c r="K805" s="35"/>
      <c r="L805" s="35"/>
      <c r="M805" s="35"/>
      <c r="N805" s="35"/>
      <c r="O805" s="35"/>
      <c r="P805" s="35"/>
      <c r="Q805" s="35"/>
      <c r="R805" s="35"/>
      <c r="S805" s="35"/>
      <c r="T805" s="35"/>
      <c r="U805" s="35"/>
      <c r="V805" s="35"/>
      <c r="W805" s="35"/>
      <c r="X805" s="35"/>
      <c r="Y805" s="35"/>
      <c r="Z805" s="35"/>
    </row>
    <row r="806" ht="12.75" customHeight="1">
      <c r="A806" s="35"/>
      <c r="B806" s="35"/>
      <c r="C806" s="35"/>
      <c r="D806" s="35"/>
      <c r="E806" s="35"/>
      <c r="F806" s="35"/>
      <c r="G806" s="35"/>
      <c r="H806" s="35"/>
      <c r="I806" s="35"/>
      <c r="J806" s="35"/>
      <c r="K806" s="35"/>
      <c r="L806" s="35"/>
      <c r="M806" s="35"/>
      <c r="N806" s="35"/>
      <c r="O806" s="35"/>
      <c r="P806" s="35"/>
      <c r="Q806" s="35"/>
      <c r="R806" s="35"/>
      <c r="S806" s="35"/>
      <c r="T806" s="35"/>
      <c r="U806" s="35"/>
      <c r="V806" s="35"/>
      <c r="W806" s="35"/>
      <c r="X806" s="35"/>
      <c r="Y806" s="35"/>
      <c r="Z806" s="35"/>
    </row>
    <row r="807" ht="12.75" customHeight="1">
      <c r="A807" s="35"/>
      <c r="B807" s="35"/>
      <c r="C807" s="35"/>
      <c r="D807" s="35"/>
      <c r="E807" s="35"/>
      <c r="F807" s="35"/>
      <c r="G807" s="35"/>
      <c r="H807" s="35"/>
      <c r="I807" s="35"/>
      <c r="J807" s="35"/>
      <c r="K807" s="35"/>
      <c r="L807" s="35"/>
      <c r="M807" s="35"/>
      <c r="N807" s="35"/>
      <c r="O807" s="35"/>
      <c r="P807" s="35"/>
      <c r="Q807" s="35"/>
      <c r="R807" s="35"/>
      <c r="S807" s="35"/>
      <c r="T807" s="35"/>
      <c r="U807" s="35"/>
      <c r="V807" s="35"/>
      <c r="W807" s="35"/>
      <c r="X807" s="35"/>
      <c r="Y807" s="35"/>
      <c r="Z807" s="35"/>
    </row>
    <row r="808" ht="12.75" customHeight="1">
      <c r="A808" s="35"/>
      <c r="B808" s="35"/>
      <c r="C808" s="35"/>
      <c r="D808" s="35"/>
      <c r="E808" s="35"/>
      <c r="F808" s="35"/>
      <c r="G808" s="35"/>
      <c r="H808" s="35"/>
      <c r="I808" s="35"/>
      <c r="J808" s="35"/>
      <c r="K808" s="35"/>
      <c r="L808" s="35"/>
      <c r="M808" s="35"/>
      <c r="N808" s="35"/>
      <c r="O808" s="35"/>
      <c r="P808" s="35"/>
      <c r="Q808" s="35"/>
      <c r="R808" s="35"/>
      <c r="S808" s="35"/>
      <c r="T808" s="35"/>
      <c r="U808" s="35"/>
      <c r="V808" s="35"/>
      <c r="W808" s="35"/>
      <c r="X808" s="35"/>
      <c r="Y808" s="35"/>
      <c r="Z808" s="35"/>
    </row>
    <row r="809" ht="12.75" customHeight="1">
      <c r="A809" s="35"/>
      <c r="B809" s="35"/>
      <c r="C809" s="35"/>
      <c r="D809" s="35"/>
      <c r="E809" s="35"/>
      <c r="F809" s="35"/>
      <c r="G809" s="35"/>
      <c r="H809" s="35"/>
      <c r="I809" s="35"/>
      <c r="J809" s="35"/>
      <c r="K809" s="35"/>
      <c r="L809" s="35"/>
      <c r="M809" s="35"/>
      <c r="N809" s="35"/>
      <c r="O809" s="35"/>
      <c r="P809" s="35"/>
      <c r="Q809" s="35"/>
      <c r="R809" s="35"/>
      <c r="S809" s="35"/>
      <c r="T809" s="35"/>
      <c r="U809" s="35"/>
      <c r="V809" s="35"/>
      <c r="W809" s="35"/>
      <c r="X809" s="35"/>
      <c r="Y809" s="35"/>
      <c r="Z809" s="35"/>
    </row>
    <row r="810" ht="12.75" customHeight="1">
      <c r="A810" s="35"/>
      <c r="B810" s="35"/>
      <c r="C810" s="35"/>
      <c r="D810" s="35"/>
      <c r="E810" s="35"/>
      <c r="F810" s="35"/>
      <c r="G810" s="35"/>
      <c r="H810" s="35"/>
      <c r="I810" s="35"/>
      <c r="J810" s="35"/>
      <c r="K810" s="35"/>
      <c r="L810" s="35"/>
      <c r="M810" s="35"/>
      <c r="N810" s="35"/>
      <c r="O810" s="35"/>
      <c r="P810" s="35"/>
      <c r="Q810" s="35"/>
      <c r="R810" s="35"/>
      <c r="S810" s="35"/>
      <c r="T810" s="35"/>
      <c r="U810" s="35"/>
      <c r="V810" s="35"/>
      <c r="W810" s="35"/>
      <c r="X810" s="35"/>
      <c r="Y810" s="35"/>
      <c r="Z810" s="35"/>
    </row>
    <row r="811" ht="12.75" customHeight="1">
      <c r="A811" s="35"/>
      <c r="B811" s="35"/>
      <c r="C811" s="35"/>
      <c r="D811" s="35"/>
      <c r="E811" s="35"/>
      <c r="F811" s="35"/>
      <c r="G811" s="35"/>
      <c r="H811" s="35"/>
      <c r="I811" s="35"/>
      <c r="J811" s="35"/>
      <c r="K811" s="35"/>
      <c r="L811" s="35"/>
      <c r="M811" s="35"/>
      <c r="N811" s="35"/>
      <c r="O811" s="35"/>
      <c r="P811" s="35"/>
      <c r="Q811" s="35"/>
      <c r="R811" s="35"/>
      <c r="S811" s="35"/>
      <c r="T811" s="35"/>
      <c r="U811" s="35"/>
      <c r="V811" s="35"/>
      <c r="W811" s="35"/>
      <c r="X811" s="35"/>
      <c r="Y811" s="35"/>
      <c r="Z811" s="35"/>
    </row>
    <row r="812" ht="12.75" customHeight="1">
      <c r="A812" s="35"/>
      <c r="B812" s="35"/>
      <c r="C812" s="35"/>
      <c r="D812" s="35"/>
      <c r="E812" s="35"/>
      <c r="F812" s="35"/>
      <c r="G812" s="35"/>
      <c r="H812" s="35"/>
      <c r="I812" s="35"/>
      <c r="J812" s="35"/>
      <c r="K812" s="35"/>
      <c r="L812" s="35"/>
      <c r="M812" s="35"/>
      <c r="N812" s="35"/>
      <c r="O812" s="35"/>
      <c r="P812" s="35"/>
      <c r="Q812" s="35"/>
      <c r="R812" s="35"/>
      <c r="S812" s="35"/>
      <c r="T812" s="35"/>
      <c r="U812" s="35"/>
      <c r="V812" s="35"/>
      <c r="W812" s="35"/>
      <c r="X812" s="35"/>
      <c r="Y812" s="35"/>
      <c r="Z812" s="35"/>
    </row>
    <row r="813" ht="12.75" customHeight="1">
      <c r="A813" s="35"/>
      <c r="B813" s="35"/>
      <c r="C813" s="35"/>
      <c r="D813" s="35"/>
      <c r="E813" s="35"/>
      <c r="F813" s="35"/>
      <c r="G813" s="35"/>
      <c r="H813" s="35"/>
      <c r="I813" s="35"/>
      <c r="J813" s="35"/>
      <c r="K813" s="35"/>
      <c r="L813" s="35"/>
      <c r="M813" s="35"/>
      <c r="N813" s="35"/>
      <c r="O813" s="35"/>
      <c r="P813" s="35"/>
      <c r="Q813" s="35"/>
      <c r="R813" s="35"/>
      <c r="S813" s="35"/>
      <c r="T813" s="35"/>
      <c r="U813" s="35"/>
      <c r="V813" s="35"/>
      <c r="W813" s="35"/>
      <c r="X813" s="35"/>
      <c r="Y813" s="35"/>
      <c r="Z813" s="35"/>
    </row>
    <row r="814" ht="12.75" customHeight="1">
      <c r="A814" s="35"/>
      <c r="B814" s="35"/>
      <c r="C814" s="35"/>
      <c r="D814" s="35"/>
      <c r="E814" s="35"/>
      <c r="F814" s="35"/>
      <c r="G814" s="35"/>
      <c r="H814" s="35"/>
      <c r="I814" s="35"/>
      <c r="J814" s="35"/>
      <c r="K814" s="35"/>
      <c r="L814" s="35"/>
      <c r="M814" s="35"/>
      <c r="N814" s="35"/>
      <c r="O814" s="35"/>
      <c r="P814" s="35"/>
      <c r="Q814" s="35"/>
      <c r="R814" s="35"/>
      <c r="S814" s="35"/>
      <c r="T814" s="35"/>
      <c r="U814" s="35"/>
      <c r="V814" s="35"/>
      <c r="W814" s="35"/>
      <c r="X814" s="35"/>
      <c r="Y814" s="35"/>
      <c r="Z814" s="35"/>
    </row>
    <row r="815" ht="12.75" customHeight="1">
      <c r="A815" s="35"/>
      <c r="B815" s="35"/>
      <c r="C815" s="35"/>
      <c r="D815" s="35"/>
      <c r="E815" s="35"/>
      <c r="F815" s="35"/>
      <c r="G815" s="35"/>
      <c r="H815" s="35"/>
      <c r="I815" s="35"/>
      <c r="J815" s="35"/>
      <c r="K815" s="35"/>
      <c r="L815" s="35"/>
      <c r="M815" s="35"/>
      <c r="N815" s="35"/>
      <c r="O815" s="35"/>
      <c r="P815" s="35"/>
      <c r="Q815" s="35"/>
      <c r="R815" s="35"/>
      <c r="S815" s="35"/>
      <c r="T815" s="35"/>
      <c r="U815" s="35"/>
      <c r="V815" s="35"/>
      <c r="W815" s="35"/>
      <c r="X815" s="35"/>
      <c r="Y815" s="35"/>
      <c r="Z815" s="35"/>
    </row>
    <row r="816" ht="12.75" customHeight="1">
      <c r="A816" s="35"/>
      <c r="B816" s="35"/>
      <c r="C816" s="35"/>
      <c r="D816" s="35"/>
      <c r="E816" s="35"/>
      <c r="F816" s="35"/>
      <c r="G816" s="35"/>
      <c r="H816" s="35"/>
      <c r="I816" s="35"/>
      <c r="J816" s="35"/>
      <c r="K816" s="35"/>
      <c r="L816" s="35"/>
      <c r="M816" s="35"/>
      <c r="N816" s="35"/>
      <c r="O816" s="35"/>
      <c r="P816" s="35"/>
      <c r="Q816" s="35"/>
      <c r="R816" s="35"/>
      <c r="S816" s="35"/>
      <c r="T816" s="35"/>
      <c r="U816" s="35"/>
      <c r="V816" s="35"/>
      <c r="W816" s="35"/>
      <c r="X816" s="35"/>
      <c r="Y816" s="35"/>
      <c r="Z816" s="35"/>
    </row>
    <row r="817" ht="12.75" customHeight="1">
      <c r="A817" s="35"/>
      <c r="B817" s="35"/>
      <c r="C817" s="35"/>
      <c r="D817" s="35"/>
      <c r="E817" s="35"/>
      <c r="F817" s="35"/>
      <c r="G817" s="35"/>
      <c r="H817" s="35"/>
      <c r="I817" s="35"/>
      <c r="J817" s="35"/>
      <c r="K817" s="35"/>
      <c r="L817" s="35"/>
      <c r="M817" s="35"/>
      <c r="N817" s="35"/>
      <c r="O817" s="35"/>
      <c r="P817" s="35"/>
      <c r="Q817" s="35"/>
      <c r="R817" s="35"/>
      <c r="S817" s="35"/>
      <c r="T817" s="35"/>
      <c r="U817" s="35"/>
      <c r="V817" s="35"/>
      <c r="W817" s="35"/>
      <c r="X817" s="35"/>
      <c r="Y817" s="35"/>
      <c r="Z817" s="35"/>
    </row>
    <row r="818" ht="12.75" customHeight="1">
      <c r="A818" s="35"/>
      <c r="B818" s="35"/>
      <c r="C818" s="35"/>
      <c r="D818" s="35"/>
      <c r="E818" s="35"/>
      <c r="F818" s="35"/>
      <c r="G818" s="35"/>
      <c r="H818" s="35"/>
      <c r="I818" s="35"/>
      <c r="J818" s="35"/>
      <c r="K818" s="35"/>
      <c r="L818" s="35"/>
      <c r="M818" s="35"/>
      <c r="N818" s="35"/>
      <c r="O818" s="35"/>
      <c r="P818" s="35"/>
      <c r="Q818" s="35"/>
      <c r="R818" s="35"/>
      <c r="S818" s="35"/>
      <c r="T818" s="35"/>
      <c r="U818" s="35"/>
      <c r="V818" s="35"/>
      <c r="W818" s="35"/>
      <c r="X818" s="35"/>
      <c r="Y818" s="35"/>
      <c r="Z818" s="35"/>
    </row>
    <row r="819" ht="12.75" customHeight="1">
      <c r="A819" s="35"/>
      <c r="B819" s="35"/>
      <c r="C819" s="35"/>
      <c r="D819" s="35"/>
      <c r="E819" s="35"/>
      <c r="F819" s="35"/>
      <c r="G819" s="35"/>
      <c r="H819" s="35"/>
      <c r="I819" s="35"/>
      <c r="J819" s="35"/>
      <c r="K819" s="35"/>
      <c r="L819" s="35"/>
      <c r="M819" s="35"/>
      <c r="N819" s="35"/>
      <c r="O819" s="35"/>
      <c r="P819" s="35"/>
      <c r="Q819" s="35"/>
      <c r="R819" s="35"/>
      <c r="S819" s="35"/>
      <c r="T819" s="35"/>
      <c r="U819" s="35"/>
      <c r="V819" s="35"/>
      <c r="W819" s="35"/>
      <c r="X819" s="35"/>
      <c r="Y819" s="35"/>
      <c r="Z819" s="35"/>
    </row>
    <row r="820" ht="12.75" customHeight="1">
      <c r="A820" s="35"/>
      <c r="B820" s="35"/>
      <c r="C820" s="35"/>
      <c r="D820" s="35"/>
      <c r="E820" s="35"/>
      <c r="F820" s="35"/>
      <c r="G820" s="35"/>
      <c r="H820" s="35"/>
      <c r="I820" s="35"/>
      <c r="J820" s="35"/>
      <c r="K820" s="35"/>
      <c r="L820" s="35"/>
      <c r="M820" s="35"/>
      <c r="N820" s="35"/>
      <c r="O820" s="35"/>
      <c r="P820" s="35"/>
      <c r="Q820" s="35"/>
      <c r="R820" s="35"/>
      <c r="S820" s="35"/>
      <c r="T820" s="35"/>
      <c r="U820" s="35"/>
      <c r="V820" s="35"/>
      <c r="W820" s="35"/>
      <c r="X820" s="35"/>
      <c r="Y820" s="35"/>
      <c r="Z820" s="35"/>
    </row>
    <row r="821" ht="12.75" customHeight="1">
      <c r="A821" s="35"/>
      <c r="B821" s="35"/>
      <c r="C821" s="35"/>
      <c r="D821" s="35"/>
      <c r="E821" s="35"/>
      <c r="F821" s="35"/>
      <c r="G821" s="35"/>
      <c r="H821" s="35"/>
      <c r="I821" s="35"/>
      <c r="J821" s="35"/>
      <c r="K821" s="35"/>
      <c r="L821" s="35"/>
      <c r="M821" s="35"/>
      <c r="N821" s="35"/>
      <c r="O821" s="35"/>
      <c r="P821" s="35"/>
      <c r="Q821" s="35"/>
      <c r="R821" s="35"/>
      <c r="S821" s="35"/>
      <c r="T821" s="35"/>
      <c r="U821" s="35"/>
      <c r="V821" s="35"/>
      <c r="W821" s="35"/>
      <c r="X821" s="35"/>
      <c r="Y821" s="35"/>
      <c r="Z821" s="35"/>
    </row>
    <row r="822" ht="12.75" customHeight="1">
      <c r="A822" s="35"/>
      <c r="B822" s="35"/>
      <c r="C822" s="35"/>
      <c r="D822" s="35"/>
      <c r="E822" s="35"/>
      <c r="F822" s="35"/>
      <c r="G822" s="35"/>
      <c r="H822" s="35"/>
      <c r="I822" s="35"/>
      <c r="J822" s="35"/>
      <c r="K822" s="35"/>
      <c r="L822" s="35"/>
      <c r="M822" s="35"/>
      <c r="N822" s="35"/>
      <c r="O822" s="35"/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5"/>
    </row>
    <row r="823" ht="12.75" customHeight="1">
      <c r="A823" s="35"/>
      <c r="B823" s="35"/>
      <c r="C823" s="35"/>
      <c r="D823" s="35"/>
      <c r="E823" s="35"/>
      <c r="F823" s="35"/>
      <c r="G823" s="35"/>
      <c r="H823" s="35"/>
      <c r="I823" s="35"/>
      <c r="J823" s="35"/>
      <c r="K823" s="35"/>
      <c r="L823" s="35"/>
      <c r="M823" s="35"/>
      <c r="N823" s="35"/>
      <c r="O823" s="35"/>
      <c r="P823" s="35"/>
      <c r="Q823" s="35"/>
      <c r="R823" s="35"/>
      <c r="S823" s="35"/>
      <c r="T823" s="35"/>
      <c r="U823" s="35"/>
      <c r="V823" s="35"/>
      <c r="W823" s="35"/>
      <c r="X823" s="35"/>
      <c r="Y823" s="35"/>
      <c r="Z823" s="35"/>
    </row>
    <row r="824" ht="12.75" customHeight="1">
      <c r="A824" s="35"/>
      <c r="B824" s="35"/>
      <c r="C824" s="35"/>
      <c r="D824" s="35"/>
      <c r="E824" s="35"/>
      <c r="F824" s="35"/>
      <c r="G824" s="35"/>
      <c r="H824" s="35"/>
      <c r="I824" s="35"/>
      <c r="J824" s="35"/>
      <c r="K824" s="35"/>
      <c r="L824" s="35"/>
      <c r="M824" s="35"/>
      <c r="N824" s="35"/>
      <c r="O824" s="35"/>
      <c r="P824" s="35"/>
      <c r="Q824" s="35"/>
      <c r="R824" s="35"/>
      <c r="S824" s="35"/>
      <c r="T824" s="35"/>
      <c r="U824" s="35"/>
      <c r="V824" s="35"/>
      <c r="W824" s="35"/>
      <c r="X824" s="35"/>
      <c r="Y824" s="35"/>
      <c r="Z824" s="35"/>
    </row>
    <row r="825" ht="12.75" customHeight="1">
      <c r="A825" s="35"/>
      <c r="B825" s="35"/>
      <c r="C825" s="35"/>
      <c r="D825" s="35"/>
      <c r="E825" s="35"/>
      <c r="F825" s="35"/>
      <c r="G825" s="35"/>
      <c r="H825" s="35"/>
      <c r="I825" s="35"/>
      <c r="J825" s="35"/>
      <c r="K825" s="35"/>
      <c r="L825" s="35"/>
      <c r="M825" s="35"/>
      <c r="N825" s="35"/>
      <c r="O825" s="35"/>
      <c r="P825" s="35"/>
      <c r="Q825" s="35"/>
      <c r="R825" s="35"/>
      <c r="S825" s="35"/>
      <c r="T825" s="35"/>
      <c r="U825" s="35"/>
      <c r="V825" s="35"/>
      <c r="W825" s="35"/>
      <c r="X825" s="35"/>
      <c r="Y825" s="35"/>
      <c r="Z825" s="35"/>
    </row>
    <row r="826" ht="12.75" customHeight="1">
      <c r="A826" s="35"/>
      <c r="B826" s="35"/>
      <c r="C826" s="35"/>
      <c r="D826" s="35"/>
      <c r="E826" s="35"/>
      <c r="F826" s="35"/>
      <c r="G826" s="35"/>
      <c r="H826" s="35"/>
      <c r="I826" s="35"/>
      <c r="J826" s="35"/>
      <c r="K826" s="35"/>
      <c r="L826" s="35"/>
      <c r="M826" s="35"/>
      <c r="N826" s="35"/>
      <c r="O826" s="35"/>
      <c r="P826" s="35"/>
      <c r="Q826" s="35"/>
      <c r="R826" s="35"/>
      <c r="S826" s="35"/>
      <c r="T826" s="35"/>
      <c r="U826" s="35"/>
      <c r="V826" s="35"/>
      <c r="W826" s="35"/>
      <c r="X826" s="35"/>
      <c r="Y826" s="35"/>
      <c r="Z826" s="35"/>
    </row>
    <row r="827" ht="12.75" customHeight="1">
      <c r="A827" s="35"/>
      <c r="B827" s="35"/>
      <c r="C827" s="35"/>
      <c r="D827" s="35"/>
      <c r="E827" s="35"/>
      <c r="F827" s="35"/>
      <c r="G827" s="35"/>
      <c r="H827" s="35"/>
      <c r="I827" s="35"/>
      <c r="J827" s="35"/>
      <c r="K827" s="35"/>
      <c r="L827" s="35"/>
      <c r="M827" s="35"/>
      <c r="N827" s="35"/>
      <c r="O827" s="35"/>
      <c r="P827" s="35"/>
      <c r="Q827" s="35"/>
      <c r="R827" s="35"/>
      <c r="S827" s="35"/>
      <c r="T827" s="35"/>
      <c r="U827" s="35"/>
      <c r="V827" s="35"/>
      <c r="W827" s="35"/>
      <c r="X827" s="35"/>
      <c r="Y827" s="35"/>
      <c r="Z827" s="35"/>
    </row>
    <row r="828" ht="12.75" customHeight="1">
      <c r="A828" s="35"/>
      <c r="B828" s="35"/>
      <c r="C828" s="35"/>
      <c r="D828" s="35"/>
      <c r="E828" s="35"/>
      <c r="F828" s="35"/>
      <c r="G828" s="35"/>
      <c r="H828" s="35"/>
      <c r="I828" s="35"/>
      <c r="J828" s="35"/>
      <c r="K828" s="35"/>
      <c r="L828" s="35"/>
      <c r="M828" s="35"/>
      <c r="N828" s="35"/>
      <c r="O828" s="35"/>
      <c r="P828" s="35"/>
      <c r="Q828" s="35"/>
      <c r="R828" s="35"/>
      <c r="S828" s="35"/>
      <c r="T828" s="35"/>
      <c r="U828" s="35"/>
      <c r="V828" s="35"/>
      <c r="W828" s="35"/>
      <c r="X828" s="35"/>
      <c r="Y828" s="35"/>
      <c r="Z828" s="35"/>
    </row>
    <row r="829" ht="12.75" customHeight="1">
      <c r="A829" s="35"/>
      <c r="B829" s="35"/>
      <c r="C829" s="35"/>
      <c r="D829" s="35"/>
      <c r="E829" s="35"/>
      <c r="F829" s="35"/>
      <c r="G829" s="35"/>
      <c r="H829" s="35"/>
      <c r="I829" s="35"/>
      <c r="J829" s="35"/>
      <c r="K829" s="35"/>
      <c r="L829" s="35"/>
      <c r="M829" s="35"/>
      <c r="N829" s="35"/>
      <c r="O829" s="35"/>
      <c r="P829" s="35"/>
      <c r="Q829" s="35"/>
      <c r="R829" s="35"/>
      <c r="S829" s="35"/>
      <c r="T829" s="35"/>
      <c r="U829" s="35"/>
      <c r="V829" s="35"/>
      <c r="W829" s="35"/>
      <c r="X829" s="35"/>
      <c r="Y829" s="35"/>
      <c r="Z829" s="35"/>
    </row>
    <row r="830" ht="12.75" customHeight="1">
      <c r="A830" s="35"/>
      <c r="B830" s="35"/>
      <c r="C830" s="35"/>
      <c r="D830" s="35"/>
      <c r="E830" s="35"/>
      <c r="F830" s="35"/>
      <c r="G830" s="35"/>
      <c r="H830" s="35"/>
      <c r="I830" s="35"/>
      <c r="J830" s="35"/>
      <c r="K830" s="35"/>
      <c r="L830" s="35"/>
      <c r="M830" s="35"/>
      <c r="N830" s="35"/>
      <c r="O830" s="35"/>
      <c r="P830" s="35"/>
      <c r="Q830" s="35"/>
      <c r="R830" s="35"/>
      <c r="S830" s="35"/>
      <c r="T830" s="35"/>
      <c r="U830" s="35"/>
      <c r="V830" s="35"/>
      <c r="W830" s="35"/>
      <c r="X830" s="35"/>
      <c r="Y830" s="35"/>
      <c r="Z830" s="35"/>
    </row>
    <row r="831" ht="12.75" customHeight="1">
      <c r="A831" s="35"/>
      <c r="B831" s="35"/>
      <c r="C831" s="35"/>
      <c r="D831" s="35"/>
      <c r="E831" s="35"/>
      <c r="F831" s="35"/>
      <c r="G831" s="35"/>
      <c r="H831" s="35"/>
      <c r="I831" s="35"/>
      <c r="J831" s="35"/>
      <c r="K831" s="35"/>
      <c r="L831" s="35"/>
      <c r="M831" s="35"/>
      <c r="N831" s="35"/>
      <c r="O831" s="35"/>
      <c r="P831" s="35"/>
      <c r="Q831" s="35"/>
      <c r="R831" s="35"/>
      <c r="S831" s="35"/>
      <c r="T831" s="35"/>
      <c r="U831" s="35"/>
      <c r="V831" s="35"/>
      <c r="W831" s="35"/>
      <c r="X831" s="35"/>
      <c r="Y831" s="35"/>
      <c r="Z831" s="35"/>
    </row>
    <row r="832" ht="12.75" customHeight="1">
      <c r="A832" s="35"/>
      <c r="B832" s="35"/>
      <c r="C832" s="35"/>
      <c r="D832" s="35"/>
      <c r="E832" s="35"/>
      <c r="F832" s="35"/>
      <c r="G832" s="35"/>
      <c r="H832" s="35"/>
      <c r="I832" s="35"/>
      <c r="J832" s="35"/>
      <c r="K832" s="35"/>
      <c r="L832" s="35"/>
      <c r="M832" s="35"/>
      <c r="N832" s="35"/>
      <c r="O832" s="35"/>
      <c r="P832" s="35"/>
      <c r="Q832" s="35"/>
      <c r="R832" s="35"/>
      <c r="S832" s="35"/>
      <c r="T832" s="35"/>
      <c r="U832" s="35"/>
      <c r="V832" s="35"/>
      <c r="W832" s="35"/>
      <c r="X832" s="35"/>
      <c r="Y832" s="35"/>
      <c r="Z832" s="35"/>
    </row>
    <row r="833" ht="12.75" customHeight="1">
      <c r="A833" s="35"/>
      <c r="B833" s="35"/>
      <c r="C833" s="35"/>
      <c r="D833" s="35"/>
      <c r="E833" s="35"/>
      <c r="F833" s="35"/>
      <c r="G833" s="35"/>
      <c r="H833" s="35"/>
      <c r="I833" s="35"/>
      <c r="J833" s="35"/>
      <c r="K833" s="35"/>
      <c r="L833" s="35"/>
      <c r="M833" s="35"/>
      <c r="N833" s="35"/>
      <c r="O833" s="35"/>
      <c r="P833" s="35"/>
      <c r="Q833" s="35"/>
      <c r="R833" s="35"/>
      <c r="S833" s="35"/>
      <c r="T833" s="35"/>
      <c r="U833" s="35"/>
      <c r="V833" s="35"/>
      <c r="W833" s="35"/>
      <c r="X833" s="35"/>
      <c r="Y833" s="35"/>
      <c r="Z833" s="35"/>
    </row>
    <row r="834" ht="12.75" customHeight="1">
      <c r="A834" s="35"/>
      <c r="B834" s="35"/>
      <c r="C834" s="35"/>
      <c r="D834" s="35"/>
      <c r="E834" s="35"/>
      <c r="F834" s="35"/>
      <c r="G834" s="35"/>
      <c r="H834" s="35"/>
      <c r="I834" s="35"/>
      <c r="J834" s="35"/>
      <c r="K834" s="35"/>
      <c r="L834" s="35"/>
      <c r="M834" s="35"/>
      <c r="N834" s="35"/>
      <c r="O834" s="35"/>
      <c r="P834" s="35"/>
      <c r="Q834" s="35"/>
      <c r="R834" s="35"/>
      <c r="S834" s="35"/>
      <c r="T834" s="35"/>
      <c r="U834" s="35"/>
      <c r="V834" s="35"/>
      <c r="W834" s="35"/>
      <c r="X834" s="35"/>
      <c r="Y834" s="35"/>
      <c r="Z834" s="35"/>
    </row>
    <row r="835" ht="12.75" customHeight="1">
      <c r="A835" s="35"/>
      <c r="B835" s="35"/>
      <c r="C835" s="35"/>
      <c r="D835" s="35"/>
      <c r="E835" s="35"/>
      <c r="F835" s="35"/>
      <c r="G835" s="35"/>
      <c r="H835" s="35"/>
      <c r="I835" s="35"/>
      <c r="J835" s="35"/>
      <c r="K835" s="35"/>
      <c r="L835" s="35"/>
      <c r="M835" s="35"/>
      <c r="N835" s="35"/>
      <c r="O835" s="35"/>
      <c r="P835" s="35"/>
      <c r="Q835" s="35"/>
      <c r="R835" s="35"/>
      <c r="S835" s="35"/>
      <c r="T835" s="35"/>
      <c r="U835" s="35"/>
      <c r="V835" s="35"/>
      <c r="W835" s="35"/>
      <c r="X835" s="35"/>
      <c r="Y835" s="35"/>
      <c r="Z835" s="35"/>
    </row>
    <row r="836" ht="12.75" customHeight="1">
      <c r="A836" s="35"/>
      <c r="B836" s="35"/>
      <c r="C836" s="35"/>
      <c r="D836" s="35"/>
      <c r="E836" s="35"/>
      <c r="F836" s="35"/>
      <c r="G836" s="35"/>
      <c r="H836" s="35"/>
      <c r="I836" s="35"/>
      <c r="J836" s="35"/>
      <c r="K836" s="35"/>
      <c r="L836" s="35"/>
      <c r="M836" s="35"/>
      <c r="N836" s="35"/>
      <c r="O836" s="35"/>
      <c r="P836" s="35"/>
      <c r="Q836" s="35"/>
      <c r="R836" s="35"/>
      <c r="S836" s="35"/>
      <c r="T836" s="35"/>
      <c r="U836" s="35"/>
      <c r="V836" s="35"/>
      <c r="W836" s="35"/>
      <c r="X836" s="35"/>
      <c r="Y836" s="35"/>
      <c r="Z836" s="35"/>
    </row>
    <row r="837" ht="12.75" customHeight="1">
      <c r="A837" s="35"/>
      <c r="B837" s="35"/>
      <c r="C837" s="35"/>
      <c r="D837" s="35"/>
      <c r="E837" s="35"/>
      <c r="F837" s="35"/>
      <c r="G837" s="35"/>
      <c r="H837" s="35"/>
      <c r="I837" s="35"/>
      <c r="J837" s="35"/>
      <c r="K837" s="35"/>
      <c r="L837" s="35"/>
      <c r="M837" s="35"/>
      <c r="N837" s="35"/>
      <c r="O837" s="35"/>
      <c r="P837" s="35"/>
      <c r="Q837" s="35"/>
      <c r="R837" s="35"/>
      <c r="S837" s="35"/>
      <c r="T837" s="35"/>
      <c r="U837" s="35"/>
      <c r="V837" s="35"/>
      <c r="W837" s="35"/>
      <c r="X837" s="35"/>
      <c r="Y837" s="35"/>
      <c r="Z837" s="35"/>
    </row>
    <row r="838" ht="12.75" customHeight="1">
      <c r="A838" s="35"/>
      <c r="B838" s="35"/>
      <c r="C838" s="35"/>
      <c r="D838" s="35"/>
      <c r="E838" s="35"/>
      <c r="F838" s="35"/>
      <c r="G838" s="35"/>
      <c r="H838" s="35"/>
      <c r="I838" s="35"/>
      <c r="J838" s="35"/>
      <c r="K838" s="35"/>
      <c r="L838" s="35"/>
      <c r="M838" s="35"/>
      <c r="N838" s="35"/>
      <c r="O838" s="35"/>
      <c r="P838" s="35"/>
      <c r="Q838" s="35"/>
      <c r="R838" s="35"/>
      <c r="S838" s="35"/>
      <c r="T838" s="35"/>
      <c r="U838" s="35"/>
      <c r="V838" s="35"/>
      <c r="W838" s="35"/>
      <c r="X838" s="35"/>
      <c r="Y838" s="35"/>
      <c r="Z838" s="35"/>
    </row>
    <row r="839" ht="12.75" customHeight="1">
      <c r="A839" s="35"/>
      <c r="B839" s="35"/>
      <c r="C839" s="35"/>
      <c r="D839" s="35"/>
      <c r="E839" s="35"/>
      <c r="F839" s="35"/>
      <c r="G839" s="35"/>
      <c r="H839" s="35"/>
      <c r="I839" s="35"/>
      <c r="J839" s="35"/>
      <c r="K839" s="35"/>
      <c r="L839" s="35"/>
      <c r="M839" s="35"/>
      <c r="N839" s="35"/>
      <c r="O839" s="35"/>
      <c r="P839" s="35"/>
      <c r="Q839" s="35"/>
      <c r="R839" s="35"/>
      <c r="S839" s="35"/>
      <c r="T839" s="35"/>
      <c r="U839" s="35"/>
      <c r="V839" s="35"/>
      <c r="W839" s="35"/>
      <c r="X839" s="35"/>
      <c r="Y839" s="35"/>
      <c r="Z839" s="35"/>
    </row>
    <row r="840" ht="12.75" customHeight="1">
      <c r="A840" s="35"/>
      <c r="B840" s="35"/>
      <c r="C840" s="35"/>
      <c r="D840" s="35"/>
      <c r="E840" s="35"/>
      <c r="F840" s="35"/>
      <c r="G840" s="35"/>
      <c r="H840" s="35"/>
      <c r="I840" s="35"/>
      <c r="J840" s="35"/>
      <c r="K840" s="35"/>
      <c r="L840" s="35"/>
      <c r="M840" s="35"/>
      <c r="N840" s="35"/>
      <c r="O840" s="35"/>
      <c r="P840" s="35"/>
      <c r="Q840" s="35"/>
      <c r="R840" s="35"/>
      <c r="S840" s="35"/>
      <c r="T840" s="35"/>
      <c r="U840" s="35"/>
      <c r="V840" s="35"/>
      <c r="W840" s="35"/>
      <c r="X840" s="35"/>
      <c r="Y840" s="35"/>
      <c r="Z840" s="35"/>
    </row>
    <row r="841" ht="12.75" customHeight="1">
      <c r="A841" s="35"/>
      <c r="B841" s="35"/>
      <c r="C841" s="35"/>
      <c r="D841" s="35"/>
      <c r="E841" s="35"/>
      <c r="F841" s="35"/>
      <c r="G841" s="35"/>
      <c r="H841" s="35"/>
      <c r="I841" s="35"/>
      <c r="J841" s="35"/>
      <c r="K841" s="35"/>
      <c r="L841" s="35"/>
      <c r="M841" s="35"/>
      <c r="N841" s="35"/>
      <c r="O841" s="35"/>
      <c r="P841" s="35"/>
      <c r="Q841" s="35"/>
      <c r="R841" s="35"/>
      <c r="S841" s="35"/>
      <c r="T841" s="35"/>
      <c r="U841" s="35"/>
      <c r="V841" s="35"/>
      <c r="W841" s="35"/>
      <c r="X841" s="35"/>
      <c r="Y841" s="35"/>
      <c r="Z841" s="35"/>
    </row>
    <row r="842" ht="12.75" customHeight="1">
      <c r="A842" s="35"/>
      <c r="B842" s="35"/>
      <c r="C842" s="35"/>
      <c r="D842" s="35"/>
      <c r="E842" s="35"/>
      <c r="F842" s="35"/>
      <c r="G842" s="35"/>
      <c r="H842" s="35"/>
      <c r="I842" s="35"/>
      <c r="J842" s="35"/>
      <c r="K842" s="35"/>
      <c r="L842" s="35"/>
      <c r="M842" s="35"/>
      <c r="N842" s="35"/>
      <c r="O842" s="35"/>
      <c r="P842" s="35"/>
      <c r="Q842" s="35"/>
      <c r="R842" s="35"/>
      <c r="S842" s="35"/>
      <c r="T842" s="35"/>
      <c r="U842" s="35"/>
      <c r="V842" s="35"/>
      <c r="W842" s="35"/>
      <c r="X842" s="35"/>
      <c r="Y842" s="35"/>
      <c r="Z842" s="35"/>
    </row>
    <row r="843" ht="12.75" customHeight="1">
      <c r="A843" s="35"/>
      <c r="B843" s="35"/>
      <c r="C843" s="35"/>
      <c r="D843" s="35"/>
      <c r="E843" s="35"/>
      <c r="F843" s="35"/>
      <c r="G843" s="35"/>
      <c r="H843" s="35"/>
      <c r="I843" s="35"/>
      <c r="J843" s="35"/>
      <c r="K843" s="35"/>
      <c r="L843" s="35"/>
      <c r="M843" s="35"/>
      <c r="N843" s="35"/>
      <c r="O843" s="35"/>
      <c r="P843" s="35"/>
      <c r="Q843" s="35"/>
      <c r="R843" s="35"/>
      <c r="S843" s="35"/>
      <c r="T843" s="35"/>
      <c r="U843" s="35"/>
      <c r="V843" s="35"/>
      <c r="W843" s="35"/>
      <c r="X843" s="35"/>
      <c r="Y843" s="35"/>
      <c r="Z843" s="35"/>
    </row>
    <row r="844" ht="12.75" customHeight="1">
      <c r="A844" s="35"/>
      <c r="B844" s="35"/>
      <c r="C844" s="35"/>
      <c r="D844" s="35"/>
      <c r="E844" s="35"/>
      <c r="F844" s="35"/>
      <c r="G844" s="35"/>
      <c r="H844" s="35"/>
      <c r="I844" s="35"/>
      <c r="J844" s="35"/>
      <c r="K844" s="35"/>
      <c r="L844" s="35"/>
      <c r="M844" s="35"/>
      <c r="N844" s="35"/>
      <c r="O844" s="35"/>
      <c r="P844" s="35"/>
      <c r="Q844" s="35"/>
      <c r="R844" s="35"/>
      <c r="S844" s="35"/>
      <c r="T844" s="35"/>
      <c r="U844" s="35"/>
      <c r="V844" s="35"/>
      <c r="W844" s="35"/>
      <c r="X844" s="35"/>
      <c r="Y844" s="35"/>
      <c r="Z844" s="35"/>
    </row>
    <row r="845" ht="12.75" customHeight="1">
      <c r="A845" s="35"/>
      <c r="B845" s="35"/>
      <c r="C845" s="35"/>
      <c r="D845" s="35"/>
      <c r="E845" s="35"/>
      <c r="F845" s="35"/>
      <c r="G845" s="35"/>
      <c r="H845" s="35"/>
      <c r="I845" s="35"/>
      <c r="J845" s="35"/>
      <c r="K845" s="35"/>
      <c r="L845" s="35"/>
      <c r="M845" s="35"/>
      <c r="N845" s="35"/>
      <c r="O845" s="35"/>
      <c r="P845" s="35"/>
      <c r="Q845" s="35"/>
      <c r="R845" s="35"/>
      <c r="S845" s="35"/>
      <c r="T845" s="35"/>
      <c r="U845" s="35"/>
      <c r="V845" s="35"/>
      <c r="W845" s="35"/>
      <c r="X845" s="35"/>
      <c r="Y845" s="35"/>
      <c r="Z845" s="35"/>
    </row>
    <row r="846" ht="12.75" customHeight="1">
      <c r="A846" s="35"/>
      <c r="B846" s="35"/>
      <c r="C846" s="35"/>
      <c r="D846" s="35"/>
      <c r="E846" s="35"/>
      <c r="F846" s="35"/>
      <c r="G846" s="35"/>
      <c r="H846" s="35"/>
      <c r="I846" s="35"/>
      <c r="J846" s="35"/>
      <c r="K846" s="35"/>
      <c r="L846" s="35"/>
      <c r="M846" s="35"/>
      <c r="N846" s="35"/>
      <c r="O846" s="35"/>
      <c r="P846" s="35"/>
      <c r="Q846" s="35"/>
      <c r="R846" s="35"/>
      <c r="S846" s="35"/>
      <c r="T846" s="35"/>
      <c r="U846" s="35"/>
      <c r="V846" s="35"/>
      <c r="W846" s="35"/>
      <c r="X846" s="35"/>
      <c r="Y846" s="35"/>
      <c r="Z846" s="35"/>
    </row>
    <row r="847" ht="12.75" customHeight="1">
      <c r="A847" s="35"/>
      <c r="B847" s="35"/>
      <c r="C847" s="35"/>
      <c r="D847" s="35"/>
      <c r="E847" s="35"/>
      <c r="F847" s="35"/>
      <c r="G847" s="35"/>
      <c r="H847" s="35"/>
      <c r="I847" s="35"/>
      <c r="J847" s="35"/>
      <c r="K847" s="35"/>
      <c r="L847" s="35"/>
      <c r="M847" s="35"/>
      <c r="N847" s="35"/>
      <c r="O847" s="35"/>
      <c r="P847" s="35"/>
      <c r="Q847" s="35"/>
      <c r="R847" s="35"/>
      <c r="S847" s="35"/>
      <c r="T847" s="35"/>
      <c r="U847" s="35"/>
      <c r="V847" s="35"/>
      <c r="W847" s="35"/>
      <c r="X847" s="35"/>
      <c r="Y847" s="35"/>
      <c r="Z847" s="35"/>
    </row>
    <row r="848" ht="12.75" customHeight="1">
      <c r="A848" s="35"/>
      <c r="B848" s="35"/>
      <c r="C848" s="35"/>
      <c r="D848" s="35"/>
      <c r="E848" s="35"/>
      <c r="F848" s="35"/>
      <c r="G848" s="35"/>
      <c r="H848" s="35"/>
      <c r="I848" s="35"/>
      <c r="J848" s="35"/>
      <c r="K848" s="35"/>
      <c r="L848" s="35"/>
      <c r="M848" s="35"/>
      <c r="N848" s="35"/>
      <c r="O848" s="35"/>
      <c r="P848" s="35"/>
      <c r="Q848" s="35"/>
      <c r="R848" s="35"/>
      <c r="S848" s="35"/>
      <c r="T848" s="35"/>
      <c r="U848" s="35"/>
      <c r="V848" s="35"/>
      <c r="W848" s="35"/>
      <c r="X848" s="35"/>
      <c r="Y848" s="35"/>
      <c r="Z848" s="35"/>
    </row>
    <row r="849" ht="12.75" customHeight="1">
      <c r="A849" s="35"/>
      <c r="B849" s="35"/>
      <c r="C849" s="35"/>
      <c r="D849" s="35"/>
      <c r="E849" s="35"/>
      <c r="F849" s="35"/>
      <c r="G849" s="35"/>
      <c r="H849" s="35"/>
      <c r="I849" s="35"/>
      <c r="J849" s="35"/>
      <c r="K849" s="35"/>
      <c r="L849" s="35"/>
      <c r="M849" s="35"/>
      <c r="N849" s="35"/>
      <c r="O849" s="35"/>
      <c r="P849" s="35"/>
      <c r="Q849" s="35"/>
      <c r="R849" s="35"/>
      <c r="S849" s="35"/>
      <c r="T849" s="35"/>
      <c r="U849" s="35"/>
      <c r="V849" s="35"/>
      <c r="W849" s="35"/>
      <c r="X849" s="35"/>
      <c r="Y849" s="35"/>
      <c r="Z849" s="35"/>
    </row>
    <row r="850" ht="12.75" customHeight="1">
      <c r="A850" s="35"/>
      <c r="B850" s="35"/>
      <c r="C850" s="35"/>
      <c r="D850" s="35"/>
      <c r="E850" s="35"/>
      <c r="F850" s="35"/>
      <c r="G850" s="35"/>
      <c r="H850" s="35"/>
      <c r="I850" s="35"/>
      <c r="J850" s="35"/>
      <c r="K850" s="35"/>
      <c r="L850" s="35"/>
      <c r="M850" s="35"/>
      <c r="N850" s="35"/>
      <c r="O850" s="35"/>
      <c r="P850" s="35"/>
      <c r="Q850" s="35"/>
      <c r="R850" s="35"/>
      <c r="S850" s="35"/>
      <c r="T850" s="35"/>
      <c r="U850" s="35"/>
      <c r="V850" s="35"/>
      <c r="W850" s="35"/>
      <c r="X850" s="35"/>
      <c r="Y850" s="35"/>
      <c r="Z850" s="35"/>
    </row>
    <row r="851" ht="12.75" customHeight="1">
      <c r="A851" s="35"/>
      <c r="B851" s="35"/>
      <c r="C851" s="35"/>
      <c r="D851" s="35"/>
      <c r="E851" s="35"/>
      <c r="F851" s="35"/>
      <c r="G851" s="35"/>
      <c r="H851" s="35"/>
      <c r="I851" s="35"/>
      <c r="J851" s="35"/>
      <c r="K851" s="35"/>
      <c r="L851" s="35"/>
      <c r="M851" s="35"/>
      <c r="N851" s="35"/>
      <c r="O851" s="35"/>
      <c r="P851" s="35"/>
      <c r="Q851" s="35"/>
      <c r="R851" s="35"/>
      <c r="S851" s="35"/>
      <c r="T851" s="35"/>
      <c r="U851" s="35"/>
      <c r="V851" s="35"/>
      <c r="W851" s="35"/>
      <c r="X851" s="35"/>
      <c r="Y851" s="35"/>
      <c r="Z851" s="35"/>
    </row>
    <row r="852" ht="12.75" customHeight="1">
      <c r="A852" s="35"/>
      <c r="B852" s="35"/>
      <c r="C852" s="35"/>
      <c r="D852" s="35"/>
      <c r="E852" s="35"/>
      <c r="F852" s="35"/>
      <c r="G852" s="35"/>
      <c r="H852" s="35"/>
      <c r="I852" s="35"/>
      <c r="J852" s="35"/>
      <c r="K852" s="35"/>
      <c r="L852" s="35"/>
      <c r="M852" s="35"/>
      <c r="N852" s="35"/>
      <c r="O852" s="35"/>
      <c r="P852" s="35"/>
      <c r="Q852" s="35"/>
      <c r="R852" s="35"/>
      <c r="S852" s="35"/>
      <c r="T852" s="35"/>
      <c r="U852" s="35"/>
      <c r="V852" s="35"/>
      <c r="W852" s="35"/>
      <c r="X852" s="35"/>
      <c r="Y852" s="35"/>
      <c r="Z852" s="35"/>
    </row>
    <row r="853" ht="12.75" customHeight="1">
      <c r="A853" s="35"/>
      <c r="B853" s="35"/>
      <c r="C853" s="35"/>
      <c r="D853" s="35"/>
      <c r="E853" s="35"/>
      <c r="F853" s="35"/>
      <c r="G853" s="35"/>
      <c r="H853" s="35"/>
      <c r="I853" s="35"/>
      <c r="J853" s="35"/>
      <c r="K853" s="35"/>
      <c r="L853" s="35"/>
      <c r="M853" s="35"/>
      <c r="N853" s="35"/>
      <c r="O853" s="35"/>
      <c r="P853" s="35"/>
      <c r="Q853" s="35"/>
      <c r="R853" s="35"/>
      <c r="S853" s="35"/>
      <c r="T853" s="35"/>
      <c r="U853" s="35"/>
      <c r="V853" s="35"/>
      <c r="W853" s="35"/>
      <c r="X853" s="35"/>
      <c r="Y853" s="35"/>
      <c r="Z853" s="35"/>
    </row>
    <row r="854" ht="12.75" customHeight="1">
      <c r="A854" s="35"/>
      <c r="B854" s="35"/>
      <c r="C854" s="35"/>
      <c r="D854" s="35"/>
      <c r="E854" s="35"/>
      <c r="F854" s="35"/>
      <c r="G854" s="35"/>
      <c r="H854" s="35"/>
      <c r="I854" s="35"/>
      <c r="J854" s="35"/>
      <c r="K854" s="35"/>
      <c r="L854" s="35"/>
      <c r="M854" s="35"/>
      <c r="N854" s="35"/>
      <c r="O854" s="35"/>
      <c r="P854" s="35"/>
      <c r="Q854" s="35"/>
      <c r="R854" s="35"/>
      <c r="S854" s="35"/>
      <c r="T854" s="35"/>
      <c r="U854" s="35"/>
      <c r="V854" s="35"/>
      <c r="W854" s="35"/>
      <c r="X854" s="35"/>
      <c r="Y854" s="35"/>
      <c r="Z854" s="35"/>
    </row>
    <row r="855" ht="12.75" customHeight="1">
      <c r="A855" s="35"/>
      <c r="B855" s="35"/>
      <c r="C855" s="35"/>
      <c r="D855" s="35"/>
      <c r="E855" s="35"/>
      <c r="F855" s="35"/>
      <c r="G855" s="35"/>
      <c r="H855" s="35"/>
      <c r="I855" s="35"/>
      <c r="J855" s="35"/>
      <c r="K855" s="35"/>
      <c r="L855" s="35"/>
      <c r="M855" s="35"/>
      <c r="N855" s="35"/>
      <c r="O855" s="35"/>
      <c r="P855" s="35"/>
      <c r="Q855" s="35"/>
      <c r="R855" s="35"/>
      <c r="S855" s="35"/>
      <c r="T855" s="35"/>
      <c r="U855" s="35"/>
      <c r="V855" s="35"/>
      <c r="W855" s="35"/>
      <c r="X855" s="35"/>
      <c r="Y855" s="35"/>
      <c r="Z855" s="35"/>
    </row>
    <row r="856" ht="12.75" customHeight="1">
      <c r="A856" s="35"/>
      <c r="B856" s="35"/>
      <c r="C856" s="35"/>
      <c r="D856" s="35"/>
      <c r="E856" s="35"/>
      <c r="F856" s="35"/>
      <c r="G856" s="35"/>
      <c r="H856" s="35"/>
      <c r="I856" s="35"/>
      <c r="J856" s="35"/>
      <c r="K856" s="35"/>
      <c r="L856" s="35"/>
      <c r="M856" s="35"/>
      <c r="N856" s="35"/>
      <c r="O856" s="35"/>
      <c r="P856" s="35"/>
      <c r="Q856" s="35"/>
      <c r="R856" s="35"/>
      <c r="S856" s="35"/>
      <c r="T856" s="35"/>
      <c r="U856" s="35"/>
      <c r="V856" s="35"/>
      <c r="W856" s="35"/>
      <c r="X856" s="35"/>
      <c r="Y856" s="35"/>
      <c r="Z856" s="35"/>
    </row>
    <row r="857" ht="12.75" customHeight="1">
      <c r="A857" s="35"/>
      <c r="B857" s="35"/>
      <c r="C857" s="35"/>
      <c r="D857" s="35"/>
      <c r="E857" s="35"/>
      <c r="F857" s="35"/>
      <c r="G857" s="35"/>
      <c r="H857" s="35"/>
      <c r="I857" s="35"/>
      <c r="J857" s="35"/>
      <c r="K857" s="35"/>
      <c r="L857" s="35"/>
      <c r="M857" s="35"/>
      <c r="N857" s="35"/>
      <c r="O857" s="35"/>
      <c r="P857" s="35"/>
      <c r="Q857" s="35"/>
      <c r="R857" s="35"/>
      <c r="S857" s="35"/>
      <c r="T857" s="35"/>
      <c r="U857" s="35"/>
      <c r="V857" s="35"/>
      <c r="W857" s="35"/>
      <c r="X857" s="35"/>
      <c r="Y857" s="35"/>
      <c r="Z857" s="35"/>
    </row>
    <row r="858" ht="12.75" customHeight="1">
      <c r="A858" s="35"/>
      <c r="B858" s="35"/>
      <c r="C858" s="35"/>
      <c r="D858" s="35"/>
      <c r="E858" s="35"/>
      <c r="F858" s="35"/>
      <c r="G858" s="35"/>
      <c r="H858" s="35"/>
      <c r="I858" s="35"/>
      <c r="J858" s="35"/>
      <c r="K858" s="35"/>
      <c r="L858" s="35"/>
      <c r="M858" s="35"/>
      <c r="N858" s="35"/>
      <c r="O858" s="35"/>
      <c r="P858" s="35"/>
      <c r="Q858" s="35"/>
      <c r="R858" s="35"/>
      <c r="S858" s="35"/>
      <c r="T858" s="35"/>
      <c r="U858" s="35"/>
      <c r="V858" s="35"/>
      <c r="W858" s="35"/>
      <c r="X858" s="35"/>
      <c r="Y858" s="35"/>
      <c r="Z858" s="35"/>
    </row>
    <row r="859" ht="12.75" customHeight="1">
      <c r="A859" s="35"/>
      <c r="B859" s="35"/>
      <c r="C859" s="35"/>
      <c r="D859" s="35"/>
      <c r="E859" s="35"/>
      <c r="F859" s="35"/>
      <c r="G859" s="35"/>
      <c r="H859" s="35"/>
      <c r="I859" s="35"/>
      <c r="J859" s="35"/>
      <c r="K859" s="35"/>
      <c r="L859" s="35"/>
      <c r="M859" s="35"/>
      <c r="N859" s="35"/>
      <c r="O859" s="35"/>
      <c r="P859" s="35"/>
      <c r="Q859" s="35"/>
      <c r="R859" s="35"/>
      <c r="S859" s="35"/>
      <c r="T859" s="35"/>
      <c r="U859" s="35"/>
      <c r="V859" s="35"/>
      <c r="W859" s="35"/>
      <c r="X859" s="35"/>
      <c r="Y859" s="35"/>
      <c r="Z859" s="35"/>
    </row>
    <row r="860" ht="12.75" customHeight="1">
      <c r="A860" s="35"/>
      <c r="B860" s="35"/>
      <c r="C860" s="35"/>
      <c r="D860" s="35"/>
      <c r="E860" s="35"/>
      <c r="F860" s="35"/>
      <c r="G860" s="35"/>
      <c r="H860" s="35"/>
      <c r="I860" s="35"/>
      <c r="J860" s="35"/>
      <c r="K860" s="35"/>
      <c r="L860" s="35"/>
      <c r="M860" s="35"/>
      <c r="N860" s="35"/>
      <c r="O860" s="35"/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5"/>
    </row>
    <row r="861" ht="12.75" customHeight="1">
      <c r="A861" s="35"/>
      <c r="B861" s="35"/>
      <c r="C861" s="35"/>
      <c r="D861" s="35"/>
      <c r="E861" s="35"/>
      <c r="F861" s="35"/>
      <c r="G861" s="35"/>
      <c r="H861" s="35"/>
      <c r="I861" s="35"/>
      <c r="J861" s="35"/>
      <c r="K861" s="35"/>
      <c r="L861" s="35"/>
      <c r="M861" s="35"/>
      <c r="N861" s="35"/>
      <c r="O861" s="35"/>
      <c r="P861" s="35"/>
      <c r="Q861" s="35"/>
      <c r="R861" s="35"/>
      <c r="S861" s="35"/>
      <c r="T861" s="35"/>
      <c r="U861" s="35"/>
      <c r="V861" s="35"/>
      <c r="W861" s="35"/>
      <c r="X861" s="35"/>
      <c r="Y861" s="35"/>
      <c r="Z861" s="35"/>
    </row>
    <row r="862" ht="12.75" customHeight="1">
      <c r="A862" s="35"/>
      <c r="B862" s="35"/>
      <c r="C862" s="35"/>
      <c r="D862" s="35"/>
      <c r="E862" s="35"/>
      <c r="F862" s="35"/>
      <c r="G862" s="35"/>
      <c r="H862" s="35"/>
      <c r="I862" s="35"/>
      <c r="J862" s="35"/>
      <c r="K862" s="35"/>
      <c r="L862" s="35"/>
      <c r="M862" s="35"/>
      <c r="N862" s="35"/>
      <c r="O862" s="35"/>
      <c r="P862" s="35"/>
      <c r="Q862" s="35"/>
      <c r="R862" s="35"/>
      <c r="S862" s="35"/>
      <c r="T862" s="35"/>
      <c r="U862" s="35"/>
      <c r="V862" s="35"/>
      <c r="W862" s="35"/>
      <c r="X862" s="35"/>
      <c r="Y862" s="35"/>
      <c r="Z862" s="35"/>
    </row>
    <row r="863" ht="12.75" customHeight="1">
      <c r="A863" s="35"/>
      <c r="B863" s="35"/>
      <c r="C863" s="35"/>
      <c r="D863" s="35"/>
      <c r="E863" s="35"/>
      <c r="F863" s="35"/>
      <c r="G863" s="35"/>
      <c r="H863" s="35"/>
      <c r="I863" s="35"/>
      <c r="J863" s="35"/>
      <c r="K863" s="35"/>
      <c r="L863" s="35"/>
      <c r="M863" s="35"/>
      <c r="N863" s="35"/>
      <c r="O863" s="35"/>
      <c r="P863" s="35"/>
      <c r="Q863" s="35"/>
      <c r="R863" s="35"/>
      <c r="S863" s="35"/>
      <c r="T863" s="35"/>
      <c r="U863" s="35"/>
      <c r="V863" s="35"/>
      <c r="W863" s="35"/>
      <c r="X863" s="35"/>
      <c r="Y863" s="35"/>
      <c r="Z863" s="35"/>
    </row>
    <row r="864" ht="12.75" customHeight="1">
      <c r="A864" s="35"/>
      <c r="B864" s="35"/>
      <c r="C864" s="35"/>
      <c r="D864" s="35"/>
      <c r="E864" s="35"/>
      <c r="F864" s="35"/>
      <c r="G864" s="35"/>
      <c r="H864" s="35"/>
      <c r="I864" s="35"/>
      <c r="J864" s="35"/>
      <c r="K864" s="35"/>
      <c r="L864" s="35"/>
      <c r="M864" s="35"/>
      <c r="N864" s="35"/>
      <c r="O864" s="35"/>
      <c r="P864" s="35"/>
      <c r="Q864" s="35"/>
      <c r="R864" s="35"/>
      <c r="S864" s="35"/>
      <c r="T864" s="35"/>
      <c r="U864" s="35"/>
      <c r="V864" s="35"/>
      <c r="W864" s="35"/>
      <c r="X864" s="35"/>
      <c r="Y864" s="35"/>
      <c r="Z864" s="35"/>
    </row>
    <row r="865" ht="12.75" customHeight="1">
      <c r="A865" s="35"/>
      <c r="B865" s="35"/>
      <c r="C865" s="35"/>
      <c r="D865" s="35"/>
      <c r="E865" s="35"/>
      <c r="F865" s="35"/>
      <c r="G865" s="35"/>
      <c r="H865" s="35"/>
      <c r="I865" s="35"/>
      <c r="J865" s="35"/>
      <c r="K865" s="35"/>
      <c r="L865" s="35"/>
      <c r="M865" s="35"/>
      <c r="N865" s="35"/>
      <c r="O865" s="35"/>
      <c r="P865" s="35"/>
      <c r="Q865" s="35"/>
      <c r="R865" s="35"/>
      <c r="S865" s="35"/>
      <c r="T865" s="35"/>
      <c r="U865" s="35"/>
      <c r="V865" s="35"/>
      <c r="W865" s="35"/>
      <c r="X865" s="35"/>
      <c r="Y865" s="35"/>
      <c r="Z865" s="35"/>
    </row>
    <row r="866" ht="12.75" customHeight="1">
      <c r="A866" s="35"/>
      <c r="B866" s="35"/>
      <c r="C866" s="35"/>
      <c r="D866" s="35"/>
      <c r="E866" s="35"/>
      <c r="F866" s="35"/>
      <c r="G866" s="35"/>
      <c r="H866" s="35"/>
      <c r="I866" s="35"/>
      <c r="J866" s="35"/>
      <c r="K866" s="35"/>
      <c r="L866" s="35"/>
      <c r="M866" s="35"/>
      <c r="N866" s="35"/>
      <c r="O866" s="35"/>
      <c r="P866" s="35"/>
      <c r="Q866" s="35"/>
      <c r="R866" s="35"/>
      <c r="S866" s="35"/>
      <c r="T866" s="35"/>
      <c r="U866" s="35"/>
      <c r="V866" s="35"/>
      <c r="W866" s="35"/>
      <c r="X866" s="35"/>
      <c r="Y866" s="35"/>
      <c r="Z866" s="35"/>
    </row>
    <row r="867" ht="12.75" customHeight="1">
      <c r="A867" s="35"/>
      <c r="B867" s="35"/>
      <c r="C867" s="35"/>
      <c r="D867" s="35"/>
      <c r="E867" s="35"/>
      <c r="F867" s="35"/>
      <c r="G867" s="35"/>
      <c r="H867" s="35"/>
      <c r="I867" s="35"/>
      <c r="J867" s="35"/>
      <c r="K867" s="35"/>
      <c r="L867" s="35"/>
      <c r="M867" s="35"/>
      <c r="N867" s="35"/>
      <c r="O867" s="35"/>
      <c r="P867" s="35"/>
      <c r="Q867" s="35"/>
      <c r="R867" s="35"/>
      <c r="S867" s="35"/>
      <c r="T867" s="35"/>
      <c r="U867" s="35"/>
      <c r="V867" s="35"/>
      <c r="W867" s="35"/>
      <c r="X867" s="35"/>
      <c r="Y867" s="35"/>
      <c r="Z867" s="35"/>
    </row>
    <row r="868" ht="12.75" customHeight="1">
      <c r="A868" s="35"/>
      <c r="B868" s="35"/>
      <c r="C868" s="35"/>
      <c r="D868" s="35"/>
      <c r="E868" s="35"/>
      <c r="F868" s="35"/>
      <c r="G868" s="35"/>
      <c r="H868" s="35"/>
      <c r="I868" s="35"/>
      <c r="J868" s="35"/>
      <c r="K868" s="35"/>
      <c r="L868" s="35"/>
      <c r="M868" s="35"/>
      <c r="N868" s="35"/>
      <c r="O868" s="35"/>
      <c r="P868" s="35"/>
      <c r="Q868" s="35"/>
      <c r="R868" s="35"/>
      <c r="S868" s="35"/>
      <c r="T868" s="35"/>
      <c r="U868" s="35"/>
      <c r="V868" s="35"/>
      <c r="W868" s="35"/>
      <c r="X868" s="35"/>
      <c r="Y868" s="35"/>
      <c r="Z868" s="35"/>
    </row>
    <row r="869" ht="12.75" customHeight="1">
      <c r="A869" s="35"/>
      <c r="B869" s="35"/>
      <c r="C869" s="35"/>
      <c r="D869" s="35"/>
      <c r="E869" s="35"/>
      <c r="F869" s="35"/>
      <c r="G869" s="35"/>
      <c r="H869" s="35"/>
      <c r="I869" s="35"/>
      <c r="J869" s="35"/>
      <c r="K869" s="35"/>
      <c r="L869" s="35"/>
      <c r="M869" s="35"/>
      <c r="N869" s="35"/>
      <c r="O869" s="35"/>
      <c r="P869" s="35"/>
      <c r="Q869" s="35"/>
      <c r="R869" s="35"/>
      <c r="S869" s="35"/>
      <c r="T869" s="35"/>
      <c r="U869" s="35"/>
      <c r="V869" s="35"/>
      <c r="W869" s="35"/>
      <c r="X869" s="35"/>
      <c r="Y869" s="35"/>
      <c r="Z869" s="35"/>
    </row>
    <row r="870" ht="12.75" customHeight="1">
      <c r="A870" s="35"/>
      <c r="B870" s="35"/>
      <c r="C870" s="35"/>
      <c r="D870" s="35"/>
      <c r="E870" s="35"/>
      <c r="F870" s="35"/>
      <c r="G870" s="35"/>
      <c r="H870" s="35"/>
      <c r="I870" s="35"/>
      <c r="J870" s="35"/>
      <c r="K870" s="35"/>
      <c r="L870" s="35"/>
      <c r="M870" s="35"/>
      <c r="N870" s="35"/>
      <c r="O870" s="35"/>
      <c r="P870" s="35"/>
      <c r="Q870" s="35"/>
      <c r="R870" s="35"/>
      <c r="S870" s="35"/>
      <c r="T870" s="35"/>
      <c r="U870" s="35"/>
      <c r="V870" s="35"/>
      <c r="W870" s="35"/>
      <c r="X870" s="35"/>
      <c r="Y870" s="35"/>
      <c r="Z870" s="35"/>
    </row>
    <row r="871" ht="12.75" customHeight="1">
      <c r="A871" s="35"/>
      <c r="B871" s="35"/>
      <c r="C871" s="35"/>
      <c r="D871" s="35"/>
      <c r="E871" s="35"/>
      <c r="F871" s="35"/>
      <c r="G871" s="35"/>
      <c r="H871" s="35"/>
      <c r="I871" s="35"/>
      <c r="J871" s="35"/>
      <c r="K871" s="35"/>
      <c r="L871" s="35"/>
      <c r="M871" s="35"/>
      <c r="N871" s="35"/>
      <c r="O871" s="35"/>
      <c r="P871" s="35"/>
      <c r="Q871" s="35"/>
      <c r="R871" s="35"/>
      <c r="S871" s="35"/>
      <c r="T871" s="35"/>
      <c r="U871" s="35"/>
      <c r="V871" s="35"/>
      <c r="W871" s="35"/>
      <c r="X871" s="35"/>
      <c r="Y871" s="35"/>
      <c r="Z871" s="35"/>
    </row>
    <row r="872" ht="12.75" customHeight="1">
      <c r="A872" s="35"/>
      <c r="B872" s="35"/>
      <c r="C872" s="35"/>
      <c r="D872" s="35"/>
      <c r="E872" s="35"/>
      <c r="F872" s="35"/>
      <c r="G872" s="35"/>
      <c r="H872" s="35"/>
      <c r="I872" s="35"/>
      <c r="J872" s="35"/>
      <c r="K872" s="35"/>
      <c r="L872" s="35"/>
      <c r="M872" s="35"/>
      <c r="N872" s="35"/>
      <c r="O872" s="35"/>
      <c r="P872" s="35"/>
      <c r="Q872" s="35"/>
      <c r="R872" s="35"/>
      <c r="S872" s="35"/>
      <c r="T872" s="35"/>
      <c r="U872" s="35"/>
      <c r="V872" s="35"/>
      <c r="W872" s="35"/>
      <c r="X872" s="35"/>
      <c r="Y872" s="35"/>
      <c r="Z872" s="35"/>
    </row>
    <row r="873" ht="12.75" customHeight="1">
      <c r="A873" s="35"/>
      <c r="B873" s="35"/>
      <c r="C873" s="35"/>
      <c r="D873" s="35"/>
      <c r="E873" s="35"/>
      <c r="F873" s="35"/>
      <c r="G873" s="35"/>
      <c r="H873" s="35"/>
      <c r="I873" s="35"/>
      <c r="J873" s="35"/>
      <c r="K873" s="35"/>
      <c r="L873" s="35"/>
      <c r="M873" s="35"/>
      <c r="N873" s="35"/>
      <c r="O873" s="35"/>
      <c r="P873" s="35"/>
      <c r="Q873" s="35"/>
      <c r="R873" s="35"/>
      <c r="S873" s="35"/>
      <c r="T873" s="35"/>
      <c r="U873" s="35"/>
      <c r="V873" s="35"/>
      <c r="W873" s="35"/>
      <c r="X873" s="35"/>
      <c r="Y873" s="35"/>
      <c r="Z873" s="35"/>
    </row>
    <row r="874" ht="12.75" customHeight="1">
      <c r="A874" s="35"/>
      <c r="B874" s="35"/>
      <c r="C874" s="35"/>
      <c r="D874" s="35"/>
      <c r="E874" s="35"/>
      <c r="F874" s="35"/>
      <c r="G874" s="35"/>
      <c r="H874" s="35"/>
      <c r="I874" s="35"/>
      <c r="J874" s="35"/>
      <c r="K874" s="35"/>
      <c r="L874" s="35"/>
      <c r="M874" s="35"/>
      <c r="N874" s="35"/>
      <c r="O874" s="35"/>
      <c r="P874" s="35"/>
      <c r="Q874" s="35"/>
      <c r="R874" s="35"/>
      <c r="S874" s="35"/>
      <c r="T874" s="35"/>
      <c r="U874" s="35"/>
      <c r="V874" s="35"/>
      <c r="W874" s="35"/>
      <c r="X874" s="35"/>
      <c r="Y874" s="35"/>
      <c r="Z874" s="35"/>
    </row>
    <row r="875" ht="12.75" customHeight="1">
      <c r="A875" s="35"/>
      <c r="B875" s="35"/>
      <c r="C875" s="35"/>
      <c r="D875" s="35"/>
      <c r="E875" s="35"/>
      <c r="F875" s="35"/>
      <c r="G875" s="35"/>
      <c r="H875" s="35"/>
      <c r="I875" s="35"/>
      <c r="J875" s="35"/>
      <c r="K875" s="35"/>
      <c r="L875" s="35"/>
      <c r="M875" s="35"/>
      <c r="N875" s="35"/>
      <c r="O875" s="35"/>
      <c r="P875" s="35"/>
      <c r="Q875" s="35"/>
      <c r="R875" s="35"/>
      <c r="S875" s="35"/>
      <c r="T875" s="35"/>
      <c r="U875" s="35"/>
      <c r="V875" s="35"/>
      <c r="W875" s="35"/>
      <c r="X875" s="35"/>
      <c r="Y875" s="35"/>
      <c r="Z875" s="35"/>
    </row>
    <row r="876" ht="12.75" customHeight="1">
      <c r="A876" s="35"/>
      <c r="B876" s="35"/>
      <c r="C876" s="35"/>
      <c r="D876" s="35"/>
      <c r="E876" s="35"/>
      <c r="F876" s="35"/>
      <c r="G876" s="35"/>
      <c r="H876" s="35"/>
      <c r="I876" s="35"/>
      <c r="J876" s="35"/>
      <c r="K876" s="35"/>
      <c r="L876" s="35"/>
      <c r="M876" s="35"/>
      <c r="N876" s="35"/>
      <c r="O876" s="35"/>
      <c r="P876" s="35"/>
      <c r="Q876" s="35"/>
      <c r="R876" s="35"/>
      <c r="S876" s="35"/>
      <c r="T876" s="35"/>
      <c r="U876" s="35"/>
      <c r="V876" s="35"/>
      <c r="W876" s="35"/>
      <c r="X876" s="35"/>
      <c r="Y876" s="35"/>
      <c r="Z876" s="35"/>
    </row>
    <row r="877" ht="12.75" customHeight="1">
      <c r="A877" s="35"/>
      <c r="B877" s="35"/>
      <c r="C877" s="35"/>
      <c r="D877" s="35"/>
      <c r="E877" s="35"/>
      <c r="F877" s="35"/>
      <c r="G877" s="35"/>
      <c r="H877" s="35"/>
      <c r="I877" s="35"/>
      <c r="J877" s="35"/>
      <c r="K877" s="35"/>
      <c r="L877" s="35"/>
      <c r="M877" s="35"/>
      <c r="N877" s="35"/>
      <c r="O877" s="35"/>
      <c r="P877" s="35"/>
      <c r="Q877" s="35"/>
      <c r="R877" s="35"/>
      <c r="S877" s="35"/>
      <c r="T877" s="35"/>
      <c r="U877" s="35"/>
      <c r="V877" s="35"/>
      <c r="W877" s="35"/>
      <c r="X877" s="35"/>
      <c r="Y877" s="35"/>
      <c r="Z877" s="35"/>
    </row>
    <row r="878" ht="12.75" customHeight="1">
      <c r="A878" s="35"/>
      <c r="B878" s="35"/>
      <c r="C878" s="35"/>
      <c r="D878" s="35"/>
      <c r="E878" s="35"/>
      <c r="F878" s="35"/>
      <c r="G878" s="35"/>
      <c r="H878" s="35"/>
      <c r="I878" s="35"/>
      <c r="J878" s="35"/>
      <c r="K878" s="35"/>
      <c r="L878" s="35"/>
      <c r="M878" s="35"/>
      <c r="N878" s="35"/>
      <c r="O878" s="35"/>
      <c r="P878" s="35"/>
      <c r="Q878" s="35"/>
      <c r="R878" s="35"/>
      <c r="S878" s="35"/>
      <c r="T878" s="35"/>
      <c r="U878" s="35"/>
      <c r="V878" s="35"/>
      <c r="W878" s="35"/>
      <c r="X878" s="35"/>
      <c r="Y878" s="35"/>
      <c r="Z878" s="35"/>
    </row>
    <row r="879" ht="12.75" customHeight="1">
      <c r="A879" s="35"/>
      <c r="B879" s="35"/>
      <c r="C879" s="35"/>
      <c r="D879" s="35"/>
      <c r="E879" s="35"/>
      <c r="F879" s="35"/>
      <c r="G879" s="35"/>
      <c r="H879" s="35"/>
      <c r="I879" s="35"/>
      <c r="J879" s="35"/>
      <c r="K879" s="35"/>
      <c r="L879" s="35"/>
      <c r="M879" s="35"/>
      <c r="N879" s="35"/>
      <c r="O879" s="35"/>
      <c r="P879" s="35"/>
      <c r="Q879" s="35"/>
      <c r="R879" s="35"/>
      <c r="S879" s="35"/>
      <c r="T879" s="35"/>
      <c r="U879" s="35"/>
      <c r="V879" s="35"/>
      <c r="W879" s="35"/>
      <c r="X879" s="35"/>
      <c r="Y879" s="35"/>
      <c r="Z879" s="35"/>
    </row>
    <row r="880" ht="12.75" customHeight="1">
      <c r="A880" s="35"/>
      <c r="B880" s="35"/>
      <c r="C880" s="35"/>
      <c r="D880" s="35"/>
      <c r="E880" s="35"/>
      <c r="F880" s="35"/>
      <c r="G880" s="35"/>
      <c r="H880" s="35"/>
      <c r="I880" s="35"/>
      <c r="J880" s="35"/>
      <c r="K880" s="35"/>
      <c r="L880" s="35"/>
      <c r="M880" s="35"/>
      <c r="N880" s="35"/>
      <c r="O880" s="35"/>
      <c r="P880" s="35"/>
      <c r="Q880" s="35"/>
      <c r="R880" s="35"/>
      <c r="S880" s="35"/>
      <c r="T880" s="35"/>
      <c r="U880" s="35"/>
      <c r="V880" s="35"/>
      <c r="W880" s="35"/>
      <c r="X880" s="35"/>
      <c r="Y880" s="35"/>
      <c r="Z880" s="35"/>
    </row>
    <row r="881" ht="12.75" customHeight="1">
      <c r="A881" s="35"/>
      <c r="B881" s="35"/>
      <c r="C881" s="35"/>
      <c r="D881" s="35"/>
      <c r="E881" s="35"/>
      <c r="F881" s="35"/>
      <c r="G881" s="35"/>
      <c r="H881" s="35"/>
      <c r="I881" s="35"/>
      <c r="J881" s="35"/>
      <c r="K881" s="35"/>
      <c r="L881" s="35"/>
      <c r="M881" s="35"/>
      <c r="N881" s="35"/>
      <c r="O881" s="35"/>
      <c r="P881" s="35"/>
      <c r="Q881" s="35"/>
      <c r="R881" s="35"/>
      <c r="S881" s="35"/>
      <c r="T881" s="35"/>
      <c r="U881" s="35"/>
      <c r="V881" s="35"/>
      <c r="W881" s="35"/>
      <c r="X881" s="35"/>
      <c r="Y881" s="35"/>
      <c r="Z881" s="35"/>
    </row>
    <row r="882" ht="12.75" customHeight="1">
      <c r="A882" s="35"/>
      <c r="B882" s="35"/>
      <c r="C882" s="35"/>
      <c r="D882" s="35"/>
      <c r="E882" s="35"/>
      <c r="F882" s="35"/>
      <c r="G882" s="35"/>
      <c r="H882" s="35"/>
      <c r="I882" s="35"/>
      <c r="J882" s="35"/>
      <c r="K882" s="35"/>
      <c r="L882" s="35"/>
      <c r="M882" s="35"/>
      <c r="N882" s="35"/>
      <c r="O882" s="35"/>
      <c r="P882" s="35"/>
      <c r="Q882" s="35"/>
      <c r="R882" s="35"/>
      <c r="S882" s="35"/>
      <c r="T882" s="35"/>
      <c r="U882" s="35"/>
      <c r="V882" s="35"/>
      <c r="W882" s="35"/>
      <c r="X882" s="35"/>
      <c r="Y882" s="35"/>
      <c r="Z882" s="35"/>
    </row>
    <row r="883" ht="12.75" customHeight="1">
      <c r="A883" s="35"/>
      <c r="B883" s="35"/>
      <c r="C883" s="35"/>
      <c r="D883" s="35"/>
      <c r="E883" s="35"/>
      <c r="F883" s="35"/>
      <c r="G883" s="35"/>
      <c r="H883" s="35"/>
      <c r="I883" s="35"/>
      <c r="J883" s="35"/>
      <c r="K883" s="35"/>
      <c r="L883" s="35"/>
      <c r="M883" s="35"/>
      <c r="N883" s="35"/>
      <c r="O883" s="35"/>
      <c r="P883" s="35"/>
      <c r="Q883" s="35"/>
      <c r="R883" s="35"/>
      <c r="S883" s="35"/>
      <c r="T883" s="35"/>
      <c r="U883" s="35"/>
      <c r="V883" s="35"/>
      <c r="W883" s="35"/>
      <c r="X883" s="35"/>
      <c r="Y883" s="35"/>
      <c r="Z883" s="35"/>
    </row>
    <row r="884" ht="12.75" customHeight="1">
      <c r="A884" s="35"/>
      <c r="B884" s="35"/>
      <c r="C884" s="35"/>
      <c r="D884" s="35"/>
      <c r="E884" s="35"/>
      <c r="F884" s="35"/>
      <c r="G884" s="35"/>
      <c r="H884" s="35"/>
      <c r="I884" s="35"/>
      <c r="J884" s="35"/>
      <c r="K884" s="35"/>
      <c r="L884" s="35"/>
      <c r="M884" s="35"/>
      <c r="N884" s="35"/>
      <c r="O884" s="35"/>
      <c r="P884" s="35"/>
      <c r="Q884" s="35"/>
      <c r="R884" s="35"/>
      <c r="S884" s="35"/>
      <c r="T884" s="35"/>
      <c r="U884" s="35"/>
      <c r="V884" s="35"/>
      <c r="W884" s="35"/>
      <c r="X884" s="35"/>
      <c r="Y884" s="35"/>
      <c r="Z884" s="35"/>
    </row>
    <row r="885" ht="12.75" customHeight="1">
      <c r="A885" s="35"/>
      <c r="B885" s="35"/>
      <c r="C885" s="35"/>
      <c r="D885" s="35"/>
      <c r="E885" s="35"/>
      <c r="F885" s="35"/>
      <c r="G885" s="35"/>
      <c r="H885" s="35"/>
      <c r="I885" s="35"/>
      <c r="J885" s="35"/>
      <c r="K885" s="35"/>
      <c r="L885" s="35"/>
      <c r="M885" s="35"/>
      <c r="N885" s="35"/>
      <c r="O885" s="35"/>
      <c r="P885" s="35"/>
      <c r="Q885" s="35"/>
      <c r="R885" s="35"/>
      <c r="S885" s="35"/>
      <c r="T885" s="35"/>
      <c r="U885" s="35"/>
      <c r="V885" s="35"/>
      <c r="W885" s="35"/>
      <c r="X885" s="35"/>
      <c r="Y885" s="35"/>
      <c r="Z885" s="35"/>
    </row>
    <row r="886" ht="12.75" customHeight="1">
      <c r="A886" s="35"/>
      <c r="B886" s="35"/>
      <c r="C886" s="35"/>
      <c r="D886" s="35"/>
      <c r="E886" s="35"/>
      <c r="F886" s="35"/>
      <c r="G886" s="35"/>
      <c r="H886" s="35"/>
      <c r="I886" s="35"/>
      <c r="J886" s="35"/>
      <c r="K886" s="35"/>
      <c r="L886" s="35"/>
      <c r="M886" s="35"/>
      <c r="N886" s="35"/>
      <c r="O886" s="35"/>
      <c r="P886" s="35"/>
      <c r="Q886" s="35"/>
      <c r="R886" s="35"/>
      <c r="S886" s="35"/>
      <c r="T886" s="35"/>
      <c r="U886" s="35"/>
      <c r="V886" s="35"/>
      <c r="W886" s="35"/>
      <c r="X886" s="35"/>
      <c r="Y886" s="35"/>
      <c r="Z886" s="35"/>
    </row>
    <row r="887" ht="12.75" customHeight="1">
      <c r="A887" s="35"/>
      <c r="B887" s="35"/>
      <c r="C887" s="35"/>
      <c r="D887" s="35"/>
      <c r="E887" s="35"/>
      <c r="F887" s="35"/>
      <c r="G887" s="35"/>
      <c r="H887" s="35"/>
      <c r="I887" s="35"/>
      <c r="J887" s="35"/>
      <c r="K887" s="35"/>
      <c r="L887" s="35"/>
      <c r="M887" s="35"/>
      <c r="N887" s="35"/>
      <c r="O887" s="35"/>
      <c r="P887" s="35"/>
      <c r="Q887" s="35"/>
      <c r="R887" s="35"/>
      <c r="S887" s="35"/>
      <c r="T887" s="35"/>
      <c r="U887" s="35"/>
      <c r="V887" s="35"/>
      <c r="W887" s="35"/>
      <c r="X887" s="35"/>
      <c r="Y887" s="35"/>
      <c r="Z887" s="35"/>
    </row>
    <row r="888" ht="12.75" customHeight="1">
      <c r="A888" s="35"/>
      <c r="B888" s="35"/>
      <c r="C888" s="35"/>
      <c r="D888" s="35"/>
      <c r="E888" s="35"/>
      <c r="F888" s="35"/>
      <c r="G888" s="35"/>
      <c r="H888" s="35"/>
      <c r="I888" s="35"/>
      <c r="J888" s="35"/>
      <c r="K888" s="35"/>
      <c r="L888" s="35"/>
      <c r="M888" s="35"/>
      <c r="N888" s="35"/>
      <c r="O888" s="35"/>
      <c r="P888" s="35"/>
      <c r="Q888" s="35"/>
      <c r="R888" s="35"/>
      <c r="S888" s="35"/>
      <c r="T888" s="35"/>
      <c r="U888" s="35"/>
      <c r="V888" s="35"/>
      <c r="W888" s="35"/>
      <c r="X888" s="35"/>
      <c r="Y888" s="35"/>
      <c r="Z888" s="35"/>
    </row>
    <row r="889" ht="12.75" customHeight="1">
      <c r="A889" s="35"/>
      <c r="B889" s="35"/>
      <c r="C889" s="35"/>
      <c r="D889" s="35"/>
      <c r="E889" s="35"/>
      <c r="F889" s="35"/>
      <c r="G889" s="35"/>
      <c r="H889" s="35"/>
      <c r="I889" s="35"/>
      <c r="J889" s="35"/>
      <c r="K889" s="35"/>
      <c r="L889" s="35"/>
      <c r="M889" s="35"/>
      <c r="N889" s="35"/>
      <c r="O889" s="35"/>
      <c r="P889" s="35"/>
      <c r="Q889" s="35"/>
      <c r="R889" s="35"/>
      <c r="S889" s="35"/>
      <c r="T889" s="35"/>
      <c r="U889" s="35"/>
      <c r="V889" s="35"/>
      <c r="W889" s="35"/>
      <c r="X889" s="35"/>
      <c r="Y889" s="35"/>
      <c r="Z889" s="35"/>
    </row>
    <row r="890" ht="12.75" customHeight="1">
      <c r="A890" s="35"/>
      <c r="B890" s="35"/>
      <c r="C890" s="35"/>
      <c r="D890" s="35"/>
      <c r="E890" s="35"/>
      <c r="F890" s="35"/>
      <c r="G890" s="35"/>
      <c r="H890" s="35"/>
      <c r="I890" s="35"/>
      <c r="J890" s="35"/>
      <c r="K890" s="35"/>
      <c r="L890" s="35"/>
      <c r="M890" s="35"/>
      <c r="N890" s="35"/>
      <c r="O890" s="35"/>
      <c r="P890" s="35"/>
      <c r="Q890" s="35"/>
      <c r="R890" s="35"/>
      <c r="S890" s="35"/>
      <c r="T890" s="35"/>
      <c r="U890" s="35"/>
      <c r="V890" s="35"/>
      <c r="W890" s="35"/>
      <c r="X890" s="35"/>
      <c r="Y890" s="35"/>
      <c r="Z890" s="35"/>
    </row>
    <row r="891" ht="12.75" customHeight="1">
      <c r="A891" s="35"/>
      <c r="B891" s="35"/>
      <c r="C891" s="35"/>
      <c r="D891" s="35"/>
      <c r="E891" s="35"/>
      <c r="F891" s="35"/>
      <c r="G891" s="35"/>
      <c r="H891" s="35"/>
      <c r="I891" s="35"/>
      <c r="J891" s="35"/>
      <c r="K891" s="35"/>
      <c r="L891" s="35"/>
      <c r="M891" s="35"/>
      <c r="N891" s="35"/>
      <c r="O891" s="35"/>
      <c r="P891" s="35"/>
      <c r="Q891" s="35"/>
      <c r="R891" s="35"/>
      <c r="S891" s="35"/>
      <c r="T891" s="35"/>
      <c r="U891" s="35"/>
      <c r="V891" s="35"/>
      <c r="W891" s="35"/>
      <c r="X891" s="35"/>
      <c r="Y891" s="35"/>
      <c r="Z891" s="35"/>
    </row>
    <row r="892" ht="12.75" customHeight="1">
      <c r="A892" s="35"/>
      <c r="B892" s="35"/>
      <c r="C892" s="35"/>
      <c r="D892" s="35"/>
      <c r="E892" s="35"/>
      <c r="F892" s="35"/>
      <c r="G892" s="35"/>
      <c r="H892" s="35"/>
      <c r="I892" s="35"/>
      <c r="J892" s="35"/>
      <c r="K892" s="35"/>
      <c r="L892" s="35"/>
      <c r="M892" s="35"/>
      <c r="N892" s="35"/>
      <c r="O892" s="35"/>
      <c r="P892" s="35"/>
      <c r="Q892" s="35"/>
      <c r="R892" s="35"/>
      <c r="S892" s="35"/>
      <c r="T892" s="35"/>
      <c r="U892" s="35"/>
      <c r="V892" s="35"/>
      <c r="W892" s="35"/>
      <c r="X892" s="35"/>
      <c r="Y892" s="35"/>
      <c r="Z892" s="35"/>
    </row>
    <row r="893" ht="12.75" customHeight="1">
      <c r="A893" s="35"/>
      <c r="B893" s="35"/>
      <c r="C893" s="35"/>
      <c r="D893" s="35"/>
      <c r="E893" s="35"/>
      <c r="F893" s="35"/>
      <c r="G893" s="35"/>
      <c r="H893" s="35"/>
      <c r="I893" s="35"/>
      <c r="J893" s="35"/>
      <c r="K893" s="35"/>
      <c r="L893" s="35"/>
      <c r="M893" s="35"/>
      <c r="N893" s="35"/>
      <c r="O893" s="35"/>
      <c r="P893" s="35"/>
      <c r="Q893" s="35"/>
      <c r="R893" s="35"/>
      <c r="S893" s="35"/>
      <c r="T893" s="35"/>
      <c r="U893" s="35"/>
      <c r="V893" s="35"/>
      <c r="W893" s="35"/>
      <c r="X893" s="35"/>
      <c r="Y893" s="35"/>
      <c r="Z893" s="35"/>
    </row>
    <row r="894" ht="12.75" customHeight="1">
      <c r="A894" s="35"/>
      <c r="B894" s="35"/>
      <c r="C894" s="35"/>
      <c r="D894" s="35"/>
      <c r="E894" s="35"/>
      <c r="F894" s="35"/>
      <c r="G894" s="35"/>
      <c r="H894" s="35"/>
      <c r="I894" s="35"/>
      <c r="J894" s="35"/>
      <c r="K894" s="35"/>
      <c r="L894" s="35"/>
      <c r="M894" s="35"/>
      <c r="N894" s="35"/>
      <c r="O894" s="35"/>
      <c r="P894" s="35"/>
      <c r="Q894" s="35"/>
      <c r="R894" s="35"/>
      <c r="S894" s="35"/>
      <c r="T894" s="35"/>
      <c r="U894" s="35"/>
      <c r="V894" s="35"/>
      <c r="W894" s="35"/>
      <c r="X894" s="35"/>
      <c r="Y894" s="35"/>
      <c r="Z894" s="35"/>
    </row>
    <row r="895" ht="12.75" customHeight="1">
      <c r="A895" s="35"/>
      <c r="B895" s="35"/>
      <c r="C895" s="35"/>
      <c r="D895" s="35"/>
      <c r="E895" s="35"/>
      <c r="F895" s="35"/>
      <c r="G895" s="35"/>
      <c r="H895" s="35"/>
      <c r="I895" s="35"/>
      <c r="J895" s="35"/>
      <c r="K895" s="35"/>
      <c r="L895" s="35"/>
      <c r="M895" s="35"/>
      <c r="N895" s="35"/>
      <c r="O895" s="35"/>
      <c r="P895" s="35"/>
      <c r="Q895" s="35"/>
      <c r="R895" s="35"/>
      <c r="S895" s="35"/>
      <c r="T895" s="35"/>
      <c r="U895" s="35"/>
      <c r="V895" s="35"/>
      <c r="W895" s="35"/>
      <c r="X895" s="35"/>
      <c r="Y895" s="35"/>
      <c r="Z895" s="35"/>
    </row>
    <row r="896" ht="12.75" customHeight="1">
      <c r="A896" s="35"/>
      <c r="B896" s="35"/>
      <c r="C896" s="35"/>
      <c r="D896" s="35"/>
      <c r="E896" s="35"/>
      <c r="F896" s="35"/>
      <c r="G896" s="35"/>
      <c r="H896" s="35"/>
      <c r="I896" s="35"/>
      <c r="J896" s="35"/>
      <c r="K896" s="35"/>
      <c r="L896" s="35"/>
      <c r="M896" s="35"/>
      <c r="N896" s="35"/>
      <c r="O896" s="35"/>
      <c r="P896" s="35"/>
      <c r="Q896" s="35"/>
      <c r="R896" s="35"/>
      <c r="S896" s="35"/>
      <c r="T896" s="35"/>
      <c r="U896" s="35"/>
      <c r="V896" s="35"/>
      <c r="W896" s="35"/>
      <c r="X896" s="35"/>
      <c r="Y896" s="35"/>
      <c r="Z896" s="35"/>
    </row>
    <row r="897" ht="12.75" customHeight="1">
      <c r="A897" s="35"/>
      <c r="B897" s="35"/>
      <c r="C897" s="35"/>
      <c r="D897" s="35"/>
      <c r="E897" s="35"/>
      <c r="F897" s="35"/>
      <c r="G897" s="35"/>
      <c r="H897" s="35"/>
      <c r="I897" s="35"/>
      <c r="J897" s="35"/>
      <c r="K897" s="35"/>
      <c r="L897" s="35"/>
      <c r="M897" s="35"/>
      <c r="N897" s="35"/>
      <c r="O897" s="35"/>
      <c r="P897" s="35"/>
      <c r="Q897" s="35"/>
      <c r="R897" s="35"/>
      <c r="S897" s="35"/>
      <c r="T897" s="35"/>
      <c r="U897" s="35"/>
      <c r="V897" s="35"/>
      <c r="W897" s="35"/>
      <c r="X897" s="35"/>
      <c r="Y897" s="35"/>
      <c r="Z897" s="35"/>
    </row>
    <row r="898" ht="12.75" customHeight="1">
      <c r="A898" s="35"/>
      <c r="B898" s="35"/>
      <c r="C898" s="35"/>
      <c r="D898" s="35"/>
      <c r="E898" s="35"/>
      <c r="F898" s="35"/>
      <c r="G898" s="35"/>
      <c r="H898" s="35"/>
      <c r="I898" s="35"/>
      <c r="J898" s="35"/>
      <c r="K898" s="35"/>
      <c r="L898" s="35"/>
      <c r="M898" s="35"/>
      <c r="N898" s="35"/>
      <c r="O898" s="35"/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5"/>
    </row>
    <row r="899" ht="12.75" customHeight="1">
      <c r="A899" s="35"/>
      <c r="B899" s="35"/>
      <c r="C899" s="35"/>
      <c r="D899" s="35"/>
      <c r="E899" s="35"/>
      <c r="F899" s="35"/>
      <c r="G899" s="35"/>
      <c r="H899" s="35"/>
      <c r="I899" s="35"/>
      <c r="J899" s="35"/>
      <c r="K899" s="35"/>
      <c r="L899" s="35"/>
      <c r="M899" s="35"/>
      <c r="N899" s="35"/>
      <c r="O899" s="35"/>
      <c r="P899" s="35"/>
      <c r="Q899" s="35"/>
      <c r="R899" s="35"/>
      <c r="S899" s="35"/>
      <c r="T899" s="35"/>
      <c r="U899" s="35"/>
      <c r="V899" s="35"/>
      <c r="W899" s="35"/>
      <c r="X899" s="35"/>
      <c r="Y899" s="35"/>
      <c r="Z899" s="35"/>
    </row>
    <row r="900" ht="12.75" customHeight="1">
      <c r="A900" s="35"/>
      <c r="B900" s="35"/>
      <c r="C900" s="35"/>
      <c r="D900" s="35"/>
      <c r="E900" s="35"/>
      <c r="F900" s="35"/>
      <c r="G900" s="35"/>
      <c r="H900" s="35"/>
      <c r="I900" s="35"/>
      <c r="J900" s="35"/>
      <c r="K900" s="35"/>
      <c r="L900" s="35"/>
      <c r="M900" s="35"/>
      <c r="N900" s="35"/>
      <c r="O900" s="35"/>
      <c r="P900" s="35"/>
      <c r="Q900" s="35"/>
      <c r="R900" s="35"/>
      <c r="S900" s="35"/>
      <c r="T900" s="35"/>
      <c r="U900" s="35"/>
      <c r="V900" s="35"/>
      <c r="W900" s="35"/>
      <c r="X900" s="35"/>
      <c r="Y900" s="35"/>
      <c r="Z900" s="35"/>
    </row>
    <row r="901" ht="12.75" customHeight="1">
      <c r="A901" s="35"/>
      <c r="B901" s="35"/>
      <c r="C901" s="35"/>
      <c r="D901" s="35"/>
      <c r="E901" s="35"/>
      <c r="F901" s="35"/>
      <c r="G901" s="35"/>
      <c r="H901" s="35"/>
      <c r="I901" s="35"/>
      <c r="J901" s="35"/>
      <c r="K901" s="35"/>
      <c r="L901" s="35"/>
      <c r="M901" s="35"/>
      <c r="N901" s="35"/>
      <c r="O901" s="35"/>
      <c r="P901" s="35"/>
      <c r="Q901" s="35"/>
      <c r="R901" s="35"/>
      <c r="S901" s="35"/>
      <c r="T901" s="35"/>
      <c r="U901" s="35"/>
      <c r="V901" s="35"/>
      <c r="W901" s="35"/>
      <c r="X901" s="35"/>
      <c r="Y901" s="35"/>
      <c r="Z901" s="35"/>
    </row>
    <row r="902" ht="12.75" customHeight="1">
      <c r="A902" s="35"/>
      <c r="B902" s="35"/>
      <c r="C902" s="35"/>
      <c r="D902" s="35"/>
      <c r="E902" s="35"/>
      <c r="F902" s="35"/>
      <c r="G902" s="35"/>
      <c r="H902" s="35"/>
      <c r="I902" s="35"/>
      <c r="J902" s="35"/>
      <c r="K902" s="35"/>
      <c r="L902" s="35"/>
      <c r="M902" s="35"/>
      <c r="N902" s="35"/>
      <c r="O902" s="35"/>
      <c r="P902" s="35"/>
      <c r="Q902" s="35"/>
      <c r="R902" s="35"/>
      <c r="S902" s="35"/>
      <c r="T902" s="35"/>
      <c r="U902" s="35"/>
      <c r="V902" s="35"/>
      <c r="W902" s="35"/>
      <c r="X902" s="35"/>
      <c r="Y902" s="35"/>
      <c r="Z902" s="35"/>
    </row>
    <row r="903" ht="12.75" customHeight="1">
      <c r="A903" s="35"/>
      <c r="B903" s="35"/>
      <c r="C903" s="35"/>
      <c r="D903" s="35"/>
      <c r="E903" s="35"/>
      <c r="F903" s="35"/>
      <c r="G903" s="35"/>
      <c r="H903" s="35"/>
      <c r="I903" s="35"/>
      <c r="J903" s="35"/>
      <c r="K903" s="35"/>
      <c r="L903" s="35"/>
      <c r="M903" s="35"/>
      <c r="N903" s="35"/>
      <c r="O903" s="35"/>
      <c r="P903" s="35"/>
      <c r="Q903" s="35"/>
      <c r="R903" s="35"/>
      <c r="S903" s="35"/>
      <c r="T903" s="35"/>
      <c r="U903" s="35"/>
      <c r="V903" s="35"/>
      <c r="W903" s="35"/>
      <c r="X903" s="35"/>
      <c r="Y903" s="35"/>
      <c r="Z903" s="35"/>
    </row>
    <row r="904" ht="12.75" customHeight="1">
      <c r="A904" s="35"/>
      <c r="B904" s="35"/>
      <c r="C904" s="35"/>
      <c r="D904" s="35"/>
      <c r="E904" s="35"/>
      <c r="F904" s="35"/>
      <c r="G904" s="35"/>
      <c r="H904" s="35"/>
      <c r="I904" s="35"/>
      <c r="J904" s="35"/>
      <c r="K904" s="35"/>
      <c r="L904" s="35"/>
      <c r="M904" s="35"/>
      <c r="N904" s="35"/>
      <c r="O904" s="35"/>
      <c r="P904" s="35"/>
      <c r="Q904" s="35"/>
      <c r="R904" s="35"/>
      <c r="S904" s="35"/>
      <c r="T904" s="35"/>
      <c r="U904" s="35"/>
      <c r="V904" s="35"/>
      <c r="W904" s="35"/>
      <c r="X904" s="35"/>
      <c r="Y904" s="35"/>
      <c r="Z904" s="35"/>
    </row>
    <row r="905" ht="12.75" customHeight="1">
      <c r="A905" s="35"/>
      <c r="B905" s="35"/>
      <c r="C905" s="35"/>
      <c r="D905" s="35"/>
      <c r="E905" s="35"/>
      <c r="F905" s="35"/>
      <c r="G905" s="35"/>
      <c r="H905" s="35"/>
      <c r="I905" s="35"/>
      <c r="J905" s="35"/>
      <c r="K905" s="35"/>
      <c r="L905" s="35"/>
      <c r="M905" s="35"/>
      <c r="N905" s="35"/>
      <c r="O905" s="35"/>
      <c r="P905" s="35"/>
      <c r="Q905" s="35"/>
      <c r="R905" s="35"/>
      <c r="S905" s="35"/>
      <c r="T905" s="35"/>
      <c r="U905" s="35"/>
      <c r="V905" s="35"/>
      <c r="W905" s="35"/>
      <c r="X905" s="35"/>
      <c r="Y905" s="35"/>
      <c r="Z905" s="35"/>
    </row>
    <row r="906" ht="12.75" customHeight="1">
      <c r="A906" s="35"/>
      <c r="B906" s="35"/>
      <c r="C906" s="35"/>
      <c r="D906" s="35"/>
      <c r="E906" s="35"/>
      <c r="F906" s="35"/>
      <c r="G906" s="35"/>
      <c r="H906" s="35"/>
      <c r="I906" s="35"/>
      <c r="J906" s="35"/>
      <c r="K906" s="35"/>
      <c r="L906" s="35"/>
      <c r="M906" s="35"/>
      <c r="N906" s="35"/>
      <c r="O906" s="35"/>
      <c r="P906" s="35"/>
      <c r="Q906" s="35"/>
      <c r="R906" s="35"/>
      <c r="S906" s="35"/>
      <c r="T906" s="35"/>
      <c r="U906" s="35"/>
      <c r="V906" s="35"/>
      <c r="W906" s="35"/>
      <c r="X906" s="35"/>
      <c r="Y906" s="35"/>
      <c r="Z906" s="35"/>
    </row>
    <row r="907" ht="12.75" customHeight="1">
      <c r="A907" s="35"/>
      <c r="B907" s="35"/>
      <c r="C907" s="35"/>
      <c r="D907" s="35"/>
      <c r="E907" s="35"/>
      <c r="F907" s="35"/>
      <c r="G907" s="35"/>
      <c r="H907" s="35"/>
      <c r="I907" s="35"/>
      <c r="J907" s="35"/>
      <c r="K907" s="35"/>
      <c r="L907" s="35"/>
      <c r="M907" s="35"/>
      <c r="N907" s="35"/>
      <c r="O907" s="35"/>
      <c r="P907" s="35"/>
      <c r="Q907" s="35"/>
      <c r="R907" s="35"/>
      <c r="S907" s="35"/>
      <c r="T907" s="35"/>
      <c r="U907" s="35"/>
      <c r="V907" s="35"/>
      <c r="W907" s="35"/>
      <c r="X907" s="35"/>
      <c r="Y907" s="35"/>
      <c r="Z907" s="35"/>
    </row>
    <row r="908" ht="12.75" customHeight="1">
      <c r="A908" s="35"/>
      <c r="B908" s="35"/>
      <c r="C908" s="35"/>
      <c r="D908" s="35"/>
      <c r="E908" s="35"/>
      <c r="F908" s="35"/>
      <c r="G908" s="35"/>
      <c r="H908" s="35"/>
      <c r="I908" s="35"/>
      <c r="J908" s="35"/>
      <c r="K908" s="35"/>
      <c r="L908" s="35"/>
      <c r="M908" s="35"/>
      <c r="N908" s="35"/>
      <c r="O908" s="35"/>
      <c r="P908" s="35"/>
      <c r="Q908" s="35"/>
      <c r="R908" s="35"/>
      <c r="S908" s="35"/>
      <c r="T908" s="35"/>
      <c r="U908" s="35"/>
      <c r="V908" s="35"/>
      <c r="W908" s="35"/>
      <c r="X908" s="35"/>
      <c r="Y908" s="35"/>
      <c r="Z908" s="35"/>
    </row>
    <row r="909" ht="12.75" customHeight="1">
      <c r="A909" s="35"/>
      <c r="B909" s="35"/>
      <c r="C909" s="35"/>
      <c r="D909" s="35"/>
      <c r="E909" s="35"/>
      <c r="F909" s="35"/>
      <c r="G909" s="35"/>
      <c r="H909" s="35"/>
      <c r="I909" s="35"/>
      <c r="J909" s="35"/>
      <c r="K909" s="35"/>
      <c r="L909" s="35"/>
      <c r="M909" s="35"/>
      <c r="N909" s="35"/>
      <c r="O909" s="35"/>
      <c r="P909" s="35"/>
      <c r="Q909" s="35"/>
      <c r="R909" s="35"/>
      <c r="S909" s="35"/>
      <c r="T909" s="35"/>
      <c r="U909" s="35"/>
      <c r="V909" s="35"/>
      <c r="W909" s="35"/>
      <c r="X909" s="35"/>
      <c r="Y909" s="35"/>
      <c r="Z909" s="35"/>
    </row>
    <row r="910" ht="12.75" customHeight="1">
      <c r="A910" s="35"/>
      <c r="B910" s="35"/>
      <c r="C910" s="35"/>
      <c r="D910" s="35"/>
      <c r="E910" s="35"/>
      <c r="F910" s="35"/>
      <c r="G910" s="35"/>
      <c r="H910" s="35"/>
      <c r="I910" s="35"/>
      <c r="J910" s="35"/>
      <c r="K910" s="35"/>
      <c r="L910" s="35"/>
      <c r="M910" s="35"/>
      <c r="N910" s="35"/>
      <c r="O910" s="35"/>
      <c r="P910" s="35"/>
      <c r="Q910" s="35"/>
      <c r="R910" s="35"/>
      <c r="S910" s="35"/>
      <c r="T910" s="35"/>
      <c r="U910" s="35"/>
      <c r="V910" s="35"/>
      <c r="W910" s="35"/>
      <c r="X910" s="35"/>
      <c r="Y910" s="35"/>
      <c r="Z910" s="35"/>
    </row>
    <row r="911" ht="12.75" customHeight="1">
      <c r="A911" s="35"/>
      <c r="B911" s="35"/>
      <c r="C911" s="35"/>
      <c r="D911" s="35"/>
      <c r="E911" s="35"/>
      <c r="F911" s="35"/>
      <c r="G911" s="35"/>
      <c r="H911" s="35"/>
      <c r="I911" s="35"/>
      <c r="J911" s="35"/>
      <c r="K911" s="35"/>
      <c r="L911" s="35"/>
      <c r="M911" s="35"/>
      <c r="N911" s="35"/>
      <c r="O911" s="35"/>
      <c r="P911" s="35"/>
      <c r="Q911" s="35"/>
      <c r="R911" s="35"/>
      <c r="S911" s="35"/>
      <c r="T911" s="35"/>
      <c r="U911" s="35"/>
      <c r="V911" s="35"/>
      <c r="W911" s="35"/>
      <c r="X911" s="35"/>
      <c r="Y911" s="35"/>
      <c r="Z911" s="35"/>
    </row>
    <row r="912" ht="12.75" customHeight="1">
      <c r="A912" s="35"/>
      <c r="B912" s="35"/>
      <c r="C912" s="35"/>
      <c r="D912" s="35"/>
      <c r="E912" s="35"/>
      <c r="F912" s="35"/>
      <c r="G912" s="35"/>
      <c r="H912" s="35"/>
      <c r="I912" s="35"/>
      <c r="J912" s="35"/>
      <c r="K912" s="35"/>
      <c r="L912" s="35"/>
      <c r="M912" s="35"/>
      <c r="N912" s="35"/>
      <c r="O912" s="35"/>
      <c r="P912" s="35"/>
      <c r="Q912" s="35"/>
      <c r="R912" s="35"/>
      <c r="S912" s="35"/>
      <c r="T912" s="35"/>
      <c r="U912" s="35"/>
      <c r="V912" s="35"/>
      <c r="W912" s="35"/>
      <c r="X912" s="35"/>
      <c r="Y912" s="35"/>
      <c r="Z912" s="35"/>
    </row>
    <row r="913" ht="12.75" customHeight="1">
      <c r="A913" s="35"/>
      <c r="B913" s="35"/>
      <c r="C913" s="35"/>
      <c r="D913" s="35"/>
      <c r="E913" s="35"/>
      <c r="F913" s="35"/>
      <c r="G913" s="35"/>
      <c r="H913" s="35"/>
      <c r="I913" s="35"/>
      <c r="J913" s="35"/>
      <c r="K913" s="35"/>
      <c r="L913" s="35"/>
      <c r="M913" s="35"/>
      <c r="N913" s="35"/>
      <c r="O913" s="35"/>
      <c r="P913" s="35"/>
      <c r="Q913" s="35"/>
      <c r="R913" s="35"/>
      <c r="S913" s="35"/>
      <c r="T913" s="35"/>
      <c r="U913" s="35"/>
      <c r="V913" s="35"/>
      <c r="W913" s="35"/>
      <c r="X913" s="35"/>
      <c r="Y913" s="35"/>
      <c r="Z913" s="35"/>
    </row>
    <row r="914" ht="12.75" customHeight="1">
      <c r="A914" s="35"/>
      <c r="B914" s="35"/>
      <c r="C914" s="35"/>
      <c r="D914" s="35"/>
      <c r="E914" s="35"/>
      <c r="F914" s="35"/>
      <c r="G914" s="35"/>
      <c r="H914" s="35"/>
      <c r="I914" s="35"/>
      <c r="J914" s="35"/>
      <c r="K914" s="35"/>
      <c r="L914" s="35"/>
      <c r="M914" s="35"/>
      <c r="N914" s="35"/>
      <c r="O914" s="35"/>
      <c r="P914" s="35"/>
      <c r="Q914" s="35"/>
      <c r="R914" s="35"/>
      <c r="S914" s="35"/>
      <c r="T914" s="35"/>
      <c r="U914" s="35"/>
      <c r="V914" s="35"/>
      <c r="W914" s="35"/>
      <c r="X914" s="35"/>
      <c r="Y914" s="35"/>
      <c r="Z914" s="35"/>
    </row>
    <row r="915" ht="12.75" customHeight="1">
      <c r="A915" s="35"/>
      <c r="B915" s="35"/>
      <c r="C915" s="35"/>
      <c r="D915" s="35"/>
      <c r="E915" s="35"/>
      <c r="F915" s="35"/>
      <c r="G915" s="35"/>
      <c r="H915" s="35"/>
      <c r="I915" s="35"/>
      <c r="J915" s="35"/>
      <c r="K915" s="35"/>
      <c r="L915" s="35"/>
      <c r="M915" s="35"/>
      <c r="N915" s="35"/>
      <c r="O915" s="35"/>
      <c r="P915" s="35"/>
      <c r="Q915" s="35"/>
      <c r="R915" s="35"/>
      <c r="S915" s="35"/>
      <c r="T915" s="35"/>
      <c r="U915" s="35"/>
      <c r="V915" s="35"/>
      <c r="W915" s="35"/>
      <c r="X915" s="35"/>
      <c r="Y915" s="35"/>
      <c r="Z915" s="35"/>
    </row>
    <row r="916" ht="12.75" customHeight="1">
      <c r="A916" s="35"/>
      <c r="B916" s="35"/>
      <c r="C916" s="35"/>
      <c r="D916" s="35"/>
      <c r="E916" s="35"/>
      <c r="F916" s="35"/>
      <c r="G916" s="35"/>
      <c r="H916" s="35"/>
      <c r="I916" s="35"/>
      <c r="J916" s="35"/>
      <c r="K916" s="35"/>
      <c r="L916" s="35"/>
      <c r="M916" s="35"/>
      <c r="N916" s="35"/>
      <c r="O916" s="35"/>
      <c r="P916" s="35"/>
      <c r="Q916" s="35"/>
      <c r="R916" s="35"/>
      <c r="S916" s="35"/>
      <c r="T916" s="35"/>
      <c r="U916" s="35"/>
      <c r="V916" s="35"/>
      <c r="W916" s="35"/>
      <c r="X916" s="35"/>
      <c r="Y916" s="35"/>
      <c r="Z916" s="35"/>
    </row>
    <row r="917" ht="12.75" customHeight="1">
      <c r="A917" s="35"/>
      <c r="B917" s="35"/>
      <c r="C917" s="35"/>
      <c r="D917" s="35"/>
      <c r="E917" s="35"/>
      <c r="F917" s="35"/>
      <c r="G917" s="35"/>
      <c r="H917" s="35"/>
      <c r="I917" s="35"/>
      <c r="J917" s="35"/>
      <c r="K917" s="35"/>
      <c r="L917" s="35"/>
      <c r="M917" s="35"/>
      <c r="N917" s="35"/>
      <c r="O917" s="35"/>
      <c r="P917" s="35"/>
      <c r="Q917" s="35"/>
      <c r="R917" s="35"/>
      <c r="S917" s="35"/>
      <c r="T917" s="35"/>
      <c r="U917" s="35"/>
      <c r="V917" s="35"/>
      <c r="W917" s="35"/>
      <c r="X917" s="35"/>
      <c r="Y917" s="35"/>
      <c r="Z917" s="35"/>
    </row>
    <row r="918" ht="12.75" customHeight="1">
      <c r="A918" s="35"/>
      <c r="B918" s="35"/>
      <c r="C918" s="35"/>
      <c r="D918" s="35"/>
      <c r="E918" s="35"/>
      <c r="F918" s="35"/>
      <c r="G918" s="35"/>
      <c r="H918" s="35"/>
      <c r="I918" s="35"/>
      <c r="J918" s="35"/>
      <c r="K918" s="35"/>
      <c r="L918" s="35"/>
      <c r="M918" s="35"/>
      <c r="N918" s="35"/>
      <c r="O918" s="35"/>
      <c r="P918" s="35"/>
      <c r="Q918" s="35"/>
      <c r="R918" s="35"/>
      <c r="S918" s="35"/>
      <c r="T918" s="35"/>
      <c r="U918" s="35"/>
      <c r="V918" s="35"/>
      <c r="W918" s="35"/>
      <c r="X918" s="35"/>
      <c r="Y918" s="35"/>
      <c r="Z918" s="35"/>
    </row>
    <row r="919" ht="12.75" customHeight="1">
      <c r="A919" s="35"/>
      <c r="B919" s="35"/>
      <c r="C919" s="35"/>
      <c r="D919" s="35"/>
      <c r="E919" s="35"/>
      <c r="F919" s="35"/>
      <c r="G919" s="35"/>
      <c r="H919" s="35"/>
      <c r="I919" s="35"/>
      <c r="J919" s="35"/>
      <c r="K919" s="35"/>
      <c r="L919" s="35"/>
      <c r="M919" s="35"/>
      <c r="N919" s="35"/>
      <c r="O919" s="35"/>
      <c r="P919" s="35"/>
      <c r="Q919" s="35"/>
      <c r="R919" s="35"/>
      <c r="S919" s="35"/>
      <c r="T919" s="35"/>
      <c r="U919" s="35"/>
      <c r="V919" s="35"/>
      <c r="W919" s="35"/>
      <c r="X919" s="35"/>
      <c r="Y919" s="35"/>
      <c r="Z919" s="35"/>
    </row>
    <row r="920" ht="12.75" customHeight="1">
      <c r="A920" s="35"/>
      <c r="B920" s="35"/>
      <c r="C920" s="35"/>
      <c r="D920" s="35"/>
      <c r="E920" s="35"/>
      <c r="F920" s="35"/>
      <c r="G920" s="35"/>
      <c r="H920" s="35"/>
      <c r="I920" s="35"/>
      <c r="J920" s="35"/>
      <c r="K920" s="35"/>
      <c r="L920" s="35"/>
      <c r="M920" s="35"/>
      <c r="N920" s="35"/>
      <c r="O920" s="35"/>
      <c r="P920" s="35"/>
      <c r="Q920" s="35"/>
      <c r="R920" s="35"/>
      <c r="S920" s="35"/>
      <c r="T920" s="35"/>
      <c r="U920" s="35"/>
      <c r="V920" s="35"/>
      <c r="W920" s="35"/>
      <c r="X920" s="35"/>
      <c r="Y920" s="35"/>
      <c r="Z920" s="35"/>
    </row>
    <row r="921" ht="12.75" customHeight="1">
      <c r="A921" s="35"/>
      <c r="B921" s="35"/>
      <c r="C921" s="35"/>
      <c r="D921" s="35"/>
      <c r="E921" s="35"/>
      <c r="F921" s="35"/>
      <c r="G921" s="35"/>
      <c r="H921" s="35"/>
      <c r="I921" s="35"/>
      <c r="J921" s="35"/>
      <c r="K921" s="35"/>
      <c r="L921" s="35"/>
      <c r="M921" s="35"/>
      <c r="N921" s="35"/>
      <c r="O921" s="35"/>
      <c r="P921" s="35"/>
      <c r="Q921" s="35"/>
      <c r="R921" s="35"/>
      <c r="S921" s="35"/>
      <c r="T921" s="35"/>
      <c r="U921" s="35"/>
      <c r="V921" s="35"/>
      <c r="W921" s="35"/>
      <c r="X921" s="35"/>
      <c r="Y921" s="35"/>
      <c r="Z921" s="35"/>
    </row>
    <row r="922" ht="12.75" customHeight="1">
      <c r="A922" s="35"/>
      <c r="B922" s="35"/>
      <c r="C922" s="35"/>
      <c r="D922" s="35"/>
      <c r="E922" s="35"/>
      <c r="F922" s="35"/>
      <c r="G922" s="35"/>
      <c r="H922" s="35"/>
      <c r="I922" s="35"/>
      <c r="J922" s="35"/>
      <c r="K922" s="35"/>
      <c r="L922" s="35"/>
      <c r="M922" s="35"/>
      <c r="N922" s="35"/>
      <c r="O922" s="35"/>
      <c r="P922" s="35"/>
      <c r="Q922" s="35"/>
      <c r="R922" s="35"/>
      <c r="S922" s="35"/>
      <c r="T922" s="35"/>
      <c r="U922" s="35"/>
      <c r="V922" s="35"/>
      <c r="W922" s="35"/>
      <c r="X922" s="35"/>
      <c r="Y922" s="35"/>
      <c r="Z922" s="35"/>
    </row>
    <row r="923" ht="12.75" customHeight="1">
      <c r="A923" s="35"/>
      <c r="B923" s="35"/>
      <c r="C923" s="35"/>
      <c r="D923" s="35"/>
      <c r="E923" s="35"/>
      <c r="F923" s="35"/>
      <c r="G923" s="35"/>
      <c r="H923" s="35"/>
      <c r="I923" s="35"/>
      <c r="J923" s="35"/>
      <c r="K923" s="35"/>
      <c r="L923" s="35"/>
      <c r="M923" s="35"/>
      <c r="N923" s="35"/>
      <c r="O923" s="35"/>
      <c r="P923" s="35"/>
      <c r="Q923" s="35"/>
      <c r="R923" s="35"/>
      <c r="S923" s="35"/>
      <c r="T923" s="35"/>
      <c r="U923" s="35"/>
      <c r="V923" s="35"/>
      <c r="W923" s="35"/>
      <c r="X923" s="35"/>
      <c r="Y923" s="35"/>
      <c r="Z923" s="35"/>
    </row>
    <row r="924" ht="12.75" customHeight="1">
      <c r="A924" s="35"/>
      <c r="B924" s="35"/>
      <c r="C924" s="35"/>
      <c r="D924" s="35"/>
      <c r="E924" s="35"/>
      <c r="F924" s="35"/>
      <c r="G924" s="35"/>
      <c r="H924" s="35"/>
      <c r="I924" s="35"/>
      <c r="J924" s="35"/>
      <c r="K924" s="35"/>
      <c r="L924" s="35"/>
      <c r="M924" s="35"/>
      <c r="N924" s="35"/>
      <c r="O924" s="35"/>
      <c r="P924" s="35"/>
      <c r="Q924" s="35"/>
      <c r="R924" s="35"/>
      <c r="S924" s="35"/>
      <c r="T924" s="35"/>
      <c r="U924" s="35"/>
      <c r="V924" s="35"/>
      <c r="W924" s="35"/>
      <c r="X924" s="35"/>
      <c r="Y924" s="35"/>
      <c r="Z924" s="35"/>
    </row>
    <row r="925" ht="12.75" customHeight="1">
      <c r="A925" s="35"/>
      <c r="B925" s="35"/>
      <c r="C925" s="35"/>
      <c r="D925" s="35"/>
      <c r="E925" s="35"/>
      <c r="F925" s="35"/>
      <c r="G925" s="35"/>
      <c r="H925" s="35"/>
      <c r="I925" s="35"/>
      <c r="J925" s="35"/>
      <c r="K925" s="35"/>
      <c r="L925" s="35"/>
      <c r="M925" s="35"/>
      <c r="N925" s="35"/>
      <c r="O925" s="35"/>
      <c r="P925" s="35"/>
      <c r="Q925" s="35"/>
      <c r="R925" s="35"/>
      <c r="S925" s="35"/>
      <c r="T925" s="35"/>
      <c r="U925" s="35"/>
      <c r="V925" s="35"/>
      <c r="W925" s="35"/>
      <c r="X925" s="35"/>
      <c r="Y925" s="35"/>
      <c r="Z925" s="35"/>
    </row>
    <row r="926" ht="12.75" customHeight="1">
      <c r="A926" s="35"/>
      <c r="B926" s="35"/>
      <c r="C926" s="35"/>
      <c r="D926" s="35"/>
      <c r="E926" s="35"/>
      <c r="F926" s="35"/>
      <c r="G926" s="35"/>
      <c r="H926" s="35"/>
      <c r="I926" s="35"/>
      <c r="J926" s="35"/>
      <c r="K926" s="35"/>
      <c r="L926" s="35"/>
      <c r="M926" s="35"/>
      <c r="N926" s="35"/>
      <c r="O926" s="35"/>
      <c r="P926" s="35"/>
      <c r="Q926" s="35"/>
      <c r="R926" s="35"/>
      <c r="S926" s="35"/>
      <c r="T926" s="35"/>
      <c r="U926" s="35"/>
      <c r="V926" s="35"/>
      <c r="W926" s="35"/>
      <c r="X926" s="35"/>
      <c r="Y926" s="35"/>
      <c r="Z926" s="35"/>
    </row>
    <row r="927" ht="12.75" customHeight="1">
      <c r="A927" s="35"/>
      <c r="B927" s="35"/>
      <c r="C927" s="35"/>
      <c r="D927" s="35"/>
      <c r="E927" s="35"/>
      <c r="F927" s="35"/>
      <c r="G927" s="35"/>
      <c r="H927" s="35"/>
      <c r="I927" s="35"/>
      <c r="J927" s="35"/>
      <c r="K927" s="35"/>
      <c r="L927" s="35"/>
      <c r="M927" s="35"/>
      <c r="N927" s="35"/>
      <c r="O927" s="35"/>
      <c r="P927" s="35"/>
      <c r="Q927" s="35"/>
      <c r="R927" s="35"/>
      <c r="S927" s="35"/>
      <c r="T927" s="35"/>
      <c r="U927" s="35"/>
      <c r="V927" s="35"/>
      <c r="W927" s="35"/>
      <c r="X927" s="35"/>
      <c r="Y927" s="35"/>
      <c r="Z927" s="35"/>
    </row>
    <row r="928" ht="12.75" customHeight="1">
      <c r="A928" s="35"/>
      <c r="B928" s="35"/>
      <c r="C928" s="35"/>
      <c r="D928" s="35"/>
      <c r="E928" s="35"/>
      <c r="F928" s="35"/>
      <c r="G928" s="35"/>
      <c r="H928" s="35"/>
      <c r="I928" s="35"/>
      <c r="J928" s="35"/>
      <c r="K928" s="35"/>
      <c r="L928" s="35"/>
      <c r="M928" s="35"/>
      <c r="N928" s="35"/>
      <c r="O928" s="35"/>
      <c r="P928" s="35"/>
      <c r="Q928" s="35"/>
      <c r="R928" s="35"/>
      <c r="S928" s="35"/>
      <c r="T928" s="35"/>
      <c r="U928" s="35"/>
      <c r="V928" s="35"/>
      <c r="W928" s="35"/>
      <c r="X928" s="35"/>
      <c r="Y928" s="35"/>
      <c r="Z928" s="35"/>
    </row>
    <row r="929" ht="12.75" customHeight="1">
      <c r="A929" s="35"/>
      <c r="B929" s="35"/>
      <c r="C929" s="35"/>
      <c r="D929" s="35"/>
      <c r="E929" s="35"/>
      <c r="F929" s="35"/>
      <c r="G929" s="35"/>
      <c r="H929" s="35"/>
      <c r="I929" s="35"/>
      <c r="J929" s="35"/>
      <c r="K929" s="35"/>
      <c r="L929" s="35"/>
      <c r="M929" s="35"/>
      <c r="N929" s="35"/>
      <c r="O929" s="35"/>
      <c r="P929" s="35"/>
      <c r="Q929" s="35"/>
      <c r="R929" s="35"/>
      <c r="S929" s="35"/>
      <c r="T929" s="35"/>
      <c r="U929" s="35"/>
      <c r="V929" s="35"/>
      <c r="W929" s="35"/>
      <c r="X929" s="35"/>
      <c r="Y929" s="35"/>
      <c r="Z929" s="35"/>
    </row>
    <row r="930" ht="12.75" customHeight="1">
      <c r="A930" s="35"/>
      <c r="B930" s="35"/>
      <c r="C930" s="35"/>
      <c r="D930" s="35"/>
      <c r="E930" s="35"/>
      <c r="F930" s="35"/>
      <c r="G930" s="35"/>
      <c r="H930" s="35"/>
      <c r="I930" s="35"/>
      <c r="J930" s="35"/>
      <c r="K930" s="35"/>
      <c r="L930" s="35"/>
      <c r="M930" s="35"/>
      <c r="N930" s="35"/>
      <c r="O930" s="35"/>
      <c r="P930" s="35"/>
      <c r="Q930" s="35"/>
      <c r="R930" s="35"/>
      <c r="S930" s="35"/>
      <c r="T930" s="35"/>
      <c r="U930" s="35"/>
      <c r="V930" s="35"/>
      <c r="W930" s="35"/>
      <c r="X930" s="35"/>
      <c r="Y930" s="35"/>
      <c r="Z930" s="35"/>
    </row>
    <row r="931" ht="12.75" customHeight="1">
      <c r="A931" s="35"/>
      <c r="B931" s="35"/>
      <c r="C931" s="35"/>
      <c r="D931" s="35"/>
      <c r="E931" s="35"/>
      <c r="F931" s="35"/>
      <c r="G931" s="35"/>
      <c r="H931" s="35"/>
      <c r="I931" s="35"/>
      <c r="J931" s="35"/>
      <c r="K931" s="35"/>
      <c r="L931" s="35"/>
      <c r="M931" s="35"/>
      <c r="N931" s="35"/>
      <c r="O931" s="35"/>
      <c r="P931" s="35"/>
      <c r="Q931" s="35"/>
      <c r="R931" s="35"/>
      <c r="S931" s="35"/>
      <c r="T931" s="35"/>
      <c r="U931" s="35"/>
      <c r="V931" s="35"/>
      <c r="W931" s="35"/>
      <c r="X931" s="35"/>
      <c r="Y931" s="35"/>
      <c r="Z931" s="35"/>
    </row>
    <row r="932" ht="12.75" customHeight="1">
      <c r="A932" s="35"/>
      <c r="B932" s="35"/>
      <c r="C932" s="35"/>
      <c r="D932" s="35"/>
      <c r="E932" s="35"/>
      <c r="F932" s="35"/>
      <c r="G932" s="35"/>
      <c r="H932" s="35"/>
      <c r="I932" s="35"/>
      <c r="J932" s="35"/>
      <c r="K932" s="35"/>
      <c r="L932" s="35"/>
      <c r="M932" s="35"/>
      <c r="N932" s="35"/>
      <c r="O932" s="35"/>
      <c r="P932" s="35"/>
      <c r="Q932" s="35"/>
      <c r="R932" s="35"/>
      <c r="S932" s="35"/>
      <c r="T932" s="35"/>
      <c r="U932" s="35"/>
      <c r="V932" s="35"/>
      <c r="W932" s="35"/>
      <c r="X932" s="35"/>
      <c r="Y932" s="35"/>
      <c r="Z932" s="35"/>
    </row>
    <row r="933" ht="12.75" customHeight="1">
      <c r="A933" s="35"/>
      <c r="B933" s="35"/>
      <c r="C933" s="35"/>
      <c r="D933" s="35"/>
      <c r="E933" s="35"/>
      <c r="F933" s="35"/>
      <c r="G933" s="35"/>
      <c r="H933" s="35"/>
      <c r="I933" s="35"/>
      <c r="J933" s="35"/>
      <c r="K933" s="35"/>
      <c r="L933" s="35"/>
      <c r="M933" s="35"/>
      <c r="N933" s="35"/>
      <c r="O933" s="35"/>
      <c r="P933" s="35"/>
      <c r="Q933" s="35"/>
      <c r="R933" s="35"/>
      <c r="S933" s="35"/>
      <c r="T933" s="35"/>
      <c r="U933" s="35"/>
      <c r="V933" s="35"/>
      <c r="W933" s="35"/>
      <c r="X933" s="35"/>
      <c r="Y933" s="35"/>
      <c r="Z933" s="35"/>
    </row>
    <row r="934" ht="12.75" customHeight="1">
      <c r="A934" s="35"/>
      <c r="B934" s="35"/>
      <c r="C934" s="35"/>
      <c r="D934" s="35"/>
      <c r="E934" s="35"/>
      <c r="F934" s="35"/>
      <c r="G934" s="35"/>
      <c r="H934" s="35"/>
      <c r="I934" s="35"/>
      <c r="J934" s="35"/>
      <c r="K934" s="35"/>
      <c r="L934" s="35"/>
      <c r="M934" s="35"/>
      <c r="N934" s="35"/>
      <c r="O934" s="35"/>
      <c r="P934" s="35"/>
      <c r="Q934" s="35"/>
      <c r="R934" s="35"/>
      <c r="S934" s="35"/>
      <c r="T934" s="35"/>
      <c r="U934" s="35"/>
      <c r="V934" s="35"/>
      <c r="W934" s="35"/>
      <c r="X934" s="35"/>
      <c r="Y934" s="35"/>
      <c r="Z934" s="35"/>
    </row>
    <row r="935" ht="12.75" customHeight="1">
      <c r="A935" s="35"/>
      <c r="B935" s="35"/>
      <c r="C935" s="35"/>
      <c r="D935" s="35"/>
      <c r="E935" s="35"/>
      <c r="F935" s="35"/>
      <c r="G935" s="35"/>
      <c r="H935" s="35"/>
      <c r="I935" s="35"/>
      <c r="J935" s="35"/>
      <c r="K935" s="35"/>
      <c r="L935" s="35"/>
      <c r="M935" s="35"/>
      <c r="N935" s="35"/>
      <c r="O935" s="35"/>
      <c r="P935" s="35"/>
      <c r="Q935" s="35"/>
      <c r="R935" s="35"/>
      <c r="S935" s="35"/>
      <c r="T935" s="35"/>
      <c r="U935" s="35"/>
      <c r="V935" s="35"/>
      <c r="W935" s="35"/>
      <c r="X935" s="35"/>
      <c r="Y935" s="35"/>
      <c r="Z935" s="35"/>
    </row>
    <row r="936" ht="12.75" customHeight="1">
      <c r="A936" s="35"/>
      <c r="B936" s="35"/>
      <c r="C936" s="35"/>
      <c r="D936" s="35"/>
      <c r="E936" s="35"/>
      <c r="F936" s="35"/>
      <c r="G936" s="35"/>
      <c r="H936" s="35"/>
      <c r="I936" s="35"/>
      <c r="J936" s="35"/>
      <c r="K936" s="35"/>
      <c r="L936" s="35"/>
      <c r="M936" s="35"/>
      <c r="N936" s="35"/>
      <c r="O936" s="35"/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5"/>
    </row>
    <row r="937" ht="12.75" customHeight="1">
      <c r="A937" s="35"/>
      <c r="B937" s="35"/>
      <c r="C937" s="35"/>
      <c r="D937" s="35"/>
      <c r="E937" s="35"/>
      <c r="F937" s="35"/>
      <c r="G937" s="35"/>
      <c r="H937" s="35"/>
      <c r="I937" s="35"/>
      <c r="J937" s="35"/>
      <c r="K937" s="35"/>
      <c r="L937" s="35"/>
      <c r="M937" s="35"/>
      <c r="N937" s="35"/>
      <c r="O937" s="35"/>
      <c r="P937" s="35"/>
      <c r="Q937" s="35"/>
      <c r="R937" s="35"/>
      <c r="S937" s="35"/>
      <c r="T937" s="35"/>
      <c r="U937" s="35"/>
      <c r="V937" s="35"/>
      <c r="W937" s="35"/>
      <c r="X937" s="35"/>
      <c r="Y937" s="35"/>
      <c r="Z937" s="35"/>
    </row>
    <row r="938" ht="12.75" customHeight="1">
      <c r="A938" s="35"/>
      <c r="B938" s="35"/>
      <c r="C938" s="35"/>
      <c r="D938" s="35"/>
      <c r="E938" s="35"/>
      <c r="F938" s="35"/>
      <c r="G938" s="35"/>
      <c r="H938" s="35"/>
      <c r="I938" s="35"/>
      <c r="J938" s="35"/>
      <c r="K938" s="35"/>
      <c r="L938" s="35"/>
      <c r="M938" s="35"/>
      <c r="N938" s="35"/>
      <c r="O938" s="35"/>
      <c r="P938" s="35"/>
      <c r="Q938" s="35"/>
      <c r="R938" s="35"/>
      <c r="S938" s="35"/>
      <c r="T938" s="35"/>
      <c r="U938" s="35"/>
      <c r="V938" s="35"/>
      <c r="W938" s="35"/>
      <c r="X938" s="35"/>
      <c r="Y938" s="35"/>
      <c r="Z938" s="35"/>
    </row>
    <row r="939" ht="12.75" customHeight="1">
      <c r="A939" s="35"/>
      <c r="B939" s="35"/>
      <c r="C939" s="35"/>
      <c r="D939" s="35"/>
      <c r="E939" s="35"/>
      <c r="F939" s="35"/>
      <c r="G939" s="35"/>
      <c r="H939" s="35"/>
      <c r="I939" s="35"/>
      <c r="J939" s="35"/>
      <c r="K939" s="35"/>
      <c r="L939" s="35"/>
      <c r="M939" s="35"/>
      <c r="N939" s="35"/>
      <c r="O939" s="35"/>
      <c r="P939" s="35"/>
      <c r="Q939" s="35"/>
      <c r="R939" s="35"/>
      <c r="S939" s="35"/>
      <c r="T939" s="35"/>
      <c r="U939" s="35"/>
      <c r="V939" s="35"/>
      <c r="W939" s="35"/>
      <c r="X939" s="35"/>
      <c r="Y939" s="35"/>
      <c r="Z939" s="35"/>
    </row>
    <row r="940" ht="12.75" customHeight="1">
      <c r="A940" s="35"/>
      <c r="B940" s="35"/>
      <c r="C940" s="35"/>
      <c r="D940" s="35"/>
      <c r="E940" s="35"/>
      <c r="F940" s="35"/>
      <c r="G940" s="35"/>
      <c r="H940" s="35"/>
      <c r="I940" s="35"/>
      <c r="J940" s="35"/>
      <c r="K940" s="35"/>
      <c r="L940" s="35"/>
      <c r="M940" s="35"/>
      <c r="N940" s="35"/>
      <c r="O940" s="35"/>
      <c r="P940" s="35"/>
      <c r="Q940" s="35"/>
      <c r="R940" s="35"/>
      <c r="S940" s="35"/>
      <c r="T940" s="35"/>
      <c r="U940" s="35"/>
      <c r="V940" s="35"/>
      <c r="W940" s="35"/>
      <c r="X940" s="35"/>
      <c r="Y940" s="35"/>
      <c r="Z940" s="35"/>
    </row>
    <row r="941" ht="12.75" customHeight="1">
      <c r="A941" s="35"/>
      <c r="B941" s="35"/>
      <c r="C941" s="35"/>
      <c r="D941" s="35"/>
      <c r="E941" s="35"/>
      <c r="F941" s="35"/>
      <c r="G941" s="35"/>
      <c r="H941" s="35"/>
      <c r="I941" s="35"/>
      <c r="J941" s="35"/>
      <c r="K941" s="35"/>
      <c r="L941" s="35"/>
      <c r="M941" s="35"/>
      <c r="N941" s="35"/>
      <c r="O941" s="35"/>
      <c r="P941" s="35"/>
      <c r="Q941" s="35"/>
      <c r="R941" s="35"/>
      <c r="S941" s="35"/>
      <c r="T941" s="35"/>
      <c r="U941" s="35"/>
      <c r="V941" s="35"/>
      <c r="W941" s="35"/>
      <c r="X941" s="35"/>
      <c r="Y941" s="35"/>
      <c r="Z941" s="35"/>
    </row>
    <row r="942" ht="12.75" customHeight="1">
      <c r="A942" s="35"/>
      <c r="B942" s="35"/>
      <c r="C942" s="35"/>
      <c r="D942" s="35"/>
      <c r="E942" s="35"/>
      <c r="F942" s="35"/>
      <c r="G942" s="35"/>
      <c r="H942" s="35"/>
      <c r="I942" s="35"/>
      <c r="J942" s="35"/>
      <c r="K942" s="35"/>
      <c r="L942" s="35"/>
      <c r="M942" s="35"/>
      <c r="N942" s="35"/>
      <c r="O942" s="35"/>
      <c r="P942" s="35"/>
      <c r="Q942" s="35"/>
      <c r="R942" s="35"/>
      <c r="S942" s="35"/>
      <c r="T942" s="35"/>
      <c r="U942" s="35"/>
      <c r="V942" s="35"/>
      <c r="W942" s="35"/>
      <c r="X942" s="35"/>
      <c r="Y942" s="35"/>
      <c r="Z942" s="35"/>
    </row>
    <row r="943" ht="12.75" customHeight="1">
      <c r="A943" s="35"/>
      <c r="B943" s="35"/>
      <c r="C943" s="35"/>
      <c r="D943" s="35"/>
      <c r="E943" s="35"/>
      <c r="F943" s="35"/>
      <c r="G943" s="35"/>
      <c r="H943" s="35"/>
      <c r="I943" s="35"/>
      <c r="J943" s="35"/>
      <c r="K943" s="35"/>
      <c r="L943" s="35"/>
      <c r="M943" s="35"/>
      <c r="N943" s="35"/>
      <c r="O943" s="35"/>
      <c r="P943" s="35"/>
      <c r="Q943" s="35"/>
      <c r="R943" s="35"/>
      <c r="S943" s="35"/>
      <c r="T943" s="35"/>
      <c r="U943" s="35"/>
      <c r="V943" s="35"/>
      <c r="W943" s="35"/>
      <c r="X943" s="35"/>
      <c r="Y943" s="35"/>
      <c r="Z943" s="35"/>
    </row>
    <row r="944" ht="12.75" customHeight="1">
      <c r="A944" s="35"/>
      <c r="B944" s="35"/>
      <c r="C944" s="35"/>
      <c r="D944" s="35"/>
      <c r="E944" s="35"/>
      <c r="F944" s="35"/>
      <c r="G944" s="35"/>
      <c r="H944" s="35"/>
      <c r="I944" s="35"/>
      <c r="J944" s="35"/>
      <c r="K944" s="35"/>
      <c r="L944" s="35"/>
      <c r="M944" s="35"/>
      <c r="N944" s="35"/>
      <c r="O944" s="35"/>
      <c r="P944" s="35"/>
      <c r="Q944" s="35"/>
      <c r="R944" s="35"/>
      <c r="S944" s="35"/>
      <c r="T944" s="35"/>
      <c r="U944" s="35"/>
      <c r="V944" s="35"/>
      <c r="W944" s="35"/>
      <c r="X944" s="35"/>
      <c r="Y944" s="35"/>
      <c r="Z944" s="35"/>
    </row>
    <row r="945" ht="12.75" customHeight="1">
      <c r="A945" s="35"/>
      <c r="B945" s="35"/>
      <c r="C945" s="35"/>
      <c r="D945" s="35"/>
      <c r="E945" s="35"/>
      <c r="F945" s="35"/>
      <c r="G945" s="35"/>
      <c r="H945" s="35"/>
      <c r="I945" s="35"/>
      <c r="J945" s="35"/>
      <c r="K945" s="35"/>
      <c r="L945" s="35"/>
      <c r="M945" s="35"/>
      <c r="N945" s="35"/>
      <c r="O945" s="35"/>
      <c r="P945" s="35"/>
      <c r="Q945" s="35"/>
      <c r="R945" s="35"/>
      <c r="S945" s="35"/>
      <c r="T945" s="35"/>
      <c r="U945" s="35"/>
      <c r="V945" s="35"/>
      <c r="W945" s="35"/>
      <c r="X945" s="35"/>
      <c r="Y945" s="35"/>
      <c r="Z945" s="35"/>
    </row>
    <row r="946" ht="12.75" customHeight="1">
      <c r="A946" s="35"/>
      <c r="B946" s="35"/>
      <c r="C946" s="35"/>
      <c r="D946" s="35"/>
      <c r="E946" s="35"/>
      <c r="F946" s="35"/>
      <c r="G946" s="35"/>
      <c r="H946" s="35"/>
      <c r="I946" s="35"/>
      <c r="J946" s="35"/>
      <c r="K946" s="35"/>
      <c r="L946" s="35"/>
      <c r="M946" s="35"/>
      <c r="N946" s="35"/>
      <c r="O946" s="35"/>
      <c r="P946" s="35"/>
      <c r="Q946" s="35"/>
      <c r="R946" s="35"/>
      <c r="S946" s="35"/>
      <c r="T946" s="35"/>
      <c r="U946" s="35"/>
      <c r="V946" s="35"/>
      <c r="W946" s="35"/>
      <c r="X946" s="35"/>
      <c r="Y946" s="35"/>
      <c r="Z946" s="35"/>
    </row>
    <row r="947" ht="12.75" customHeight="1">
      <c r="A947" s="35"/>
      <c r="B947" s="35"/>
      <c r="C947" s="35"/>
      <c r="D947" s="35"/>
      <c r="E947" s="35"/>
      <c r="F947" s="35"/>
      <c r="G947" s="35"/>
      <c r="H947" s="35"/>
      <c r="I947" s="35"/>
      <c r="J947" s="35"/>
      <c r="K947" s="35"/>
      <c r="L947" s="35"/>
      <c r="M947" s="35"/>
      <c r="N947" s="35"/>
      <c r="O947" s="35"/>
      <c r="P947" s="35"/>
      <c r="Q947" s="35"/>
      <c r="R947" s="35"/>
      <c r="S947" s="35"/>
      <c r="T947" s="35"/>
      <c r="U947" s="35"/>
      <c r="V947" s="35"/>
      <c r="W947" s="35"/>
      <c r="X947" s="35"/>
      <c r="Y947" s="35"/>
      <c r="Z947" s="35"/>
    </row>
    <row r="948" ht="12.75" customHeight="1">
      <c r="A948" s="35"/>
      <c r="B948" s="35"/>
      <c r="C948" s="35"/>
      <c r="D948" s="35"/>
      <c r="E948" s="35"/>
      <c r="F948" s="35"/>
      <c r="G948" s="35"/>
      <c r="H948" s="35"/>
      <c r="I948" s="35"/>
      <c r="J948" s="35"/>
      <c r="K948" s="35"/>
      <c r="L948" s="35"/>
      <c r="M948" s="35"/>
      <c r="N948" s="35"/>
      <c r="O948" s="35"/>
      <c r="P948" s="35"/>
      <c r="Q948" s="35"/>
      <c r="R948" s="35"/>
      <c r="S948" s="35"/>
      <c r="T948" s="35"/>
      <c r="U948" s="35"/>
      <c r="V948" s="35"/>
      <c r="W948" s="35"/>
      <c r="X948" s="35"/>
      <c r="Y948" s="35"/>
      <c r="Z948" s="35"/>
    </row>
    <row r="949" ht="12.75" customHeight="1">
      <c r="A949" s="35"/>
      <c r="B949" s="35"/>
      <c r="C949" s="35"/>
      <c r="D949" s="35"/>
      <c r="E949" s="35"/>
      <c r="F949" s="35"/>
      <c r="G949" s="35"/>
      <c r="H949" s="35"/>
      <c r="I949" s="35"/>
      <c r="J949" s="35"/>
      <c r="K949" s="35"/>
      <c r="L949" s="35"/>
      <c r="M949" s="35"/>
      <c r="N949" s="35"/>
      <c r="O949" s="35"/>
      <c r="P949" s="35"/>
      <c r="Q949" s="35"/>
      <c r="R949" s="35"/>
      <c r="S949" s="35"/>
      <c r="T949" s="35"/>
      <c r="U949" s="35"/>
      <c r="V949" s="35"/>
      <c r="W949" s="35"/>
      <c r="X949" s="35"/>
      <c r="Y949" s="35"/>
      <c r="Z949" s="35"/>
    </row>
    <row r="950" ht="12.75" customHeight="1">
      <c r="A950" s="35"/>
      <c r="B950" s="35"/>
      <c r="C950" s="35"/>
      <c r="D950" s="35"/>
      <c r="E950" s="35"/>
      <c r="F950" s="35"/>
      <c r="G950" s="35"/>
      <c r="H950" s="35"/>
      <c r="I950" s="35"/>
      <c r="J950" s="35"/>
      <c r="K950" s="35"/>
      <c r="L950" s="35"/>
      <c r="M950" s="35"/>
      <c r="N950" s="35"/>
      <c r="O950" s="35"/>
      <c r="P950" s="35"/>
      <c r="Q950" s="35"/>
      <c r="R950" s="35"/>
      <c r="S950" s="35"/>
      <c r="T950" s="35"/>
      <c r="U950" s="35"/>
      <c r="V950" s="35"/>
      <c r="W950" s="35"/>
      <c r="X950" s="35"/>
      <c r="Y950" s="35"/>
      <c r="Z950" s="35"/>
    </row>
    <row r="951" ht="12.75" customHeight="1">
      <c r="A951" s="35"/>
      <c r="B951" s="35"/>
      <c r="C951" s="35"/>
      <c r="D951" s="35"/>
      <c r="E951" s="35"/>
      <c r="F951" s="35"/>
      <c r="G951" s="35"/>
      <c r="H951" s="35"/>
      <c r="I951" s="35"/>
      <c r="J951" s="35"/>
      <c r="K951" s="35"/>
      <c r="L951" s="35"/>
      <c r="M951" s="35"/>
      <c r="N951" s="35"/>
      <c r="O951" s="35"/>
      <c r="P951" s="35"/>
      <c r="Q951" s="35"/>
      <c r="R951" s="35"/>
      <c r="S951" s="35"/>
      <c r="T951" s="35"/>
      <c r="U951" s="35"/>
      <c r="V951" s="35"/>
      <c r="W951" s="35"/>
      <c r="X951" s="35"/>
      <c r="Y951" s="35"/>
      <c r="Z951" s="35"/>
    </row>
    <row r="952" ht="12.75" customHeight="1">
      <c r="A952" s="35"/>
      <c r="B952" s="35"/>
      <c r="C952" s="35"/>
      <c r="D952" s="35"/>
      <c r="E952" s="35"/>
      <c r="F952" s="35"/>
      <c r="G952" s="35"/>
      <c r="H952" s="35"/>
      <c r="I952" s="35"/>
      <c r="J952" s="35"/>
      <c r="K952" s="35"/>
      <c r="L952" s="35"/>
      <c r="M952" s="35"/>
      <c r="N952" s="35"/>
      <c r="O952" s="35"/>
      <c r="P952" s="35"/>
      <c r="Q952" s="35"/>
      <c r="R952" s="35"/>
      <c r="S952" s="35"/>
      <c r="T952" s="35"/>
      <c r="U952" s="35"/>
      <c r="V952" s="35"/>
      <c r="W952" s="35"/>
      <c r="X952" s="35"/>
      <c r="Y952" s="35"/>
      <c r="Z952" s="35"/>
    </row>
    <row r="953" ht="12.75" customHeight="1">
      <c r="A953" s="35"/>
      <c r="B953" s="35"/>
      <c r="C953" s="35"/>
      <c r="D953" s="35"/>
      <c r="E953" s="35"/>
      <c r="F953" s="35"/>
      <c r="G953" s="35"/>
      <c r="H953" s="35"/>
      <c r="I953" s="35"/>
      <c r="J953" s="35"/>
      <c r="K953" s="35"/>
      <c r="L953" s="35"/>
      <c r="M953" s="35"/>
      <c r="N953" s="35"/>
      <c r="O953" s="35"/>
      <c r="P953" s="35"/>
      <c r="Q953" s="35"/>
      <c r="R953" s="35"/>
      <c r="S953" s="35"/>
      <c r="T953" s="35"/>
      <c r="U953" s="35"/>
      <c r="V953" s="35"/>
      <c r="W953" s="35"/>
      <c r="X953" s="35"/>
      <c r="Y953" s="35"/>
      <c r="Z953" s="35"/>
    </row>
    <row r="954" ht="12.75" customHeight="1">
      <c r="A954" s="35"/>
      <c r="B954" s="35"/>
      <c r="C954" s="35"/>
      <c r="D954" s="35"/>
      <c r="E954" s="35"/>
      <c r="F954" s="35"/>
      <c r="G954" s="35"/>
      <c r="H954" s="35"/>
      <c r="I954" s="35"/>
      <c r="J954" s="35"/>
      <c r="K954" s="35"/>
      <c r="L954" s="35"/>
      <c r="M954" s="35"/>
      <c r="N954" s="35"/>
      <c r="O954" s="35"/>
      <c r="P954" s="35"/>
      <c r="Q954" s="35"/>
      <c r="R954" s="35"/>
      <c r="S954" s="35"/>
      <c r="T954" s="35"/>
      <c r="U954" s="35"/>
      <c r="V954" s="35"/>
      <c r="W954" s="35"/>
      <c r="X954" s="35"/>
      <c r="Y954" s="35"/>
      <c r="Z954" s="35"/>
    </row>
    <row r="955" ht="12.75" customHeight="1">
      <c r="A955" s="35"/>
      <c r="B955" s="35"/>
      <c r="C955" s="35"/>
      <c r="D955" s="35"/>
      <c r="E955" s="35"/>
      <c r="F955" s="35"/>
      <c r="G955" s="35"/>
      <c r="H955" s="35"/>
      <c r="I955" s="35"/>
      <c r="J955" s="35"/>
      <c r="K955" s="35"/>
      <c r="L955" s="35"/>
      <c r="M955" s="35"/>
      <c r="N955" s="35"/>
      <c r="O955" s="35"/>
      <c r="P955" s="35"/>
      <c r="Q955" s="35"/>
      <c r="R955" s="35"/>
      <c r="S955" s="35"/>
      <c r="T955" s="35"/>
      <c r="U955" s="35"/>
      <c r="V955" s="35"/>
      <c r="W955" s="35"/>
      <c r="X955" s="35"/>
      <c r="Y955" s="35"/>
      <c r="Z955" s="35"/>
    </row>
    <row r="956" ht="12.75" customHeight="1">
      <c r="A956" s="35"/>
      <c r="B956" s="35"/>
      <c r="C956" s="35"/>
      <c r="D956" s="35"/>
      <c r="E956" s="35"/>
      <c r="F956" s="35"/>
      <c r="G956" s="35"/>
      <c r="H956" s="35"/>
      <c r="I956" s="35"/>
      <c r="J956" s="35"/>
      <c r="K956" s="35"/>
      <c r="L956" s="35"/>
      <c r="M956" s="35"/>
      <c r="N956" s="35"/>
      <c r="O956" s="35"/>
      <c r="P956" s="35"/>
      <c r="Q956" s="35"/>
      <c r="R956" s="35"/>
      <c r="S956" s="35"/>
      <c r="T956" s="35"/>
      <c r="U956" s="35"/>
      <c r="V956" s="35"/>
      <c r="W956" s="35"/>
      <c r="X956" s="35"/>
      <c r="Y956" s="35"/>
      <c r="Z956" s="35"/>
    </row>
    <row r="957" ht="12.75" customHeight="1">
      <c r="A957" s="35"/>
      <c r="B957" s="35"/>
      <c r="C957" s="35"/>
      <c r="D957" s="35"/>
      <c r="E957" s="35"/>
      <c r="F957" s="35"/>
      <c r="G957" s="35"/>
      <c r="H957" s="35"/>
      <c r="I957" s="35"/>
      <c r="J957" s="35"/>
      <c r="K957" s="35"/>
      <c r="L957" s="35"/>
      <c r="M957" s="35"/>
      <c r="N957" s="35"/>
      <c r="O957" s="35"/>
      <c r="P957" s="35"/>
      <c r="Q957" s="35"/>
      <c r="R957" s="35"/>
      <c r="S957" s="35"/>
      <c r="T957" s="35"/>
      <c r="U957" s="35"/>
      <c r="V957" s="35"/>
      <c r="W957" s="35"/>
      <c r="X957" s="35"/>
      <c r="Y957" s="35"/>
      <c r="Z957" s="35"/>
    </row>
    <row r="958" ht="12.75" customHeight="1">
      <c r="A958" s="35"/>
      <c r="B958" s="35"/>
      <c r="C958" s="35"/>
      <c r="D958" s="35"/>
      <c r="E958" s="35"/>
      <c r="F958" s="35"/>
      <c r="G958" s="35"/>
      <c r="H958" s="35"/>
      <c r="I958" s="35"/>
      <c r="J958" s="35"/>
      <c r="K958" s="35"/>
      <c r="L958" s="35"/>
      <c r="M958" s="35"/>
      <c r="N958" s="35"/>
      <c r="O958" s="35"/>
      <c r="P958" s="35"/>
      <c r="Q958" s="35"/>
      <c r="R958" s="35"/>
      <c r="S958" s="35"/>
      <c r="T958" s="35"/>
      <c r="U958" s="35"/>
      <c r="V958" s="35"/>
      <c r="W958" s="35"/>
      <c r="X958" s="35"/>
      <c r="Y958" s="35"/>
      <c r="Z958" s="35"/>
    </row>
    <row r="959" ht="12.75" customHeight="1">
      <c r="A959" s="35"/>
      <c r="B959" s="35"/>
      <c r="C959" s="35"/>
      <c r="D959" s="35"/>
      <c r="E959" s="35"/>
      <c r="F959" s="35"/>
      <c r="G959" s="35"/>
      <c r="H959" s="35"/>
      <c r="I959" s="35"/>
      <c r="J959" s="35"/>
      <c r="K959" s="35"/>
      <c r="L959" s="35"/>
      <c r="M959" s="35"/>
      <c r="N959" s="35"/>
      <c r="O959" s="35"/>
      <c r="P959" s="35"/>
      <c r="Q959" s="35"/>
      <c r="R959" s="35"/>
      <c r="S959" s="35"/>
      <c r="T959" s="35"/>
      <c r="U959" s="35"/>
      <c r="V959" s="35"/>
      <c r="W959" s="35"/>
      <c r="X959" s="35"/>
      <c r="Y959" s="35"/>
      <c r="Z959" s="35"/>
    </row>
    <row r="960" ht="12.75" customHeight="1">
      <c r="A960" s="35"/>
      <c r="B960" s="35"/>
      <c r="C960" s="35"/>
      <c r="D960" s="35"/>
      <c r="E960" s="35"/>
      <c r="F960" s="35"/>
      <c r="G960" s="35"/>
      <c r="H960" s="35"/>
      <c r="I960" s="35"/>
      <c r="J960" s="35"/>
      <c r="K960" s="35"/>
      <c r="L960" s="35"/>
      <c r="M960" s="35"/>
      <c r="N960" s="35"/>
      <c r="O960" s="35"/>
      <c r="P960" s="35"/>
      <c r="Q960" s="35"/>
      <c r="R960" s="35"/>
      <c r="S960" s="35"/>
      <c r="T960" s="35"/>
      <c r="U960" s="35"/>
      <c r="V960" s="35"/>
      <c r="W960" s="35"/>
      <c r="X960" s="35"/>
      <c r="Y960" s="35"/>
      <c r="Z960" s="35"/>
    </row>
    <row r="961" ht="12.75" customHeight="1">
      <c r="A961" s="35"/>
      <c r="B961" s="35"/>
      <c r="C961" s="35"/>
      <c r="D961" s="35"/>
      <c r="E961" s="35"/>
      <c r="F961" s="35"/>
      <c r="G961" s="35"/>
      <c r="H961" s="35"/>
      <c r="I961" s="35"/>
      <c r="J961" s="35"/>
      <c r="K961" s="35"/>
      <c r="L961" s="35"/>
      <c r="M961" s="35"/>
      <c r="N961" s="35"/>
      <c r="O961" s="35"/>
      <c r="P961" s="35"/>
      <c r="Q961" s="35"/>
      <c r="R961" s="35"/>
      <c r="S961" s="35"/>
      <c r="T961" s="35"/>
      <c r="U961" s="35"/>
      <c r="V961" s="35"/>
      <c r="W961" s="35"/>
      <c r="X961" s="35"/>
      <c r="Y961" s="35"/>
      <c r="Z961" s="35"/>
    </row>
    <row r="962" ht="12.75" customHeight="1">
      <c r="A962" s="35"/>
      <c r="B962" s="35"/>
      <c r="C962" s="35"/>
      <c r="D962" s="35"/>
      <c r="E962" s="35"/>
      <c r="F962" s="35"/>
      <c r="G962" s="35"/>
      <c r="H962" s="35"/>
      <c r="I962" s="35"/>
      <c r="J962" s="35"/>
      <c r="K962" s="35"/>
      <c r="L962" s="35"/>
      <c r="M962" s="35"/>
      <c r="N962" s="35"/>
      <c r="O962" s="35"/>
      <c r="P962" s="35"/>
      <c r="Q962" s="35"/>
      <c r="R962" s="35"/>
      <c r="S962" s="35"/>
      <c r="T962" s="35"/>
      <c r="U962" s="35"/>
      <c r="V962" s="35"/>
      <c r="W962" s="35"/>
      <c r="X962" s="35"/>
      <c r="Y962" s="35"/>
      <c r="Z962" s="35"/>
    </row>
    <row r="963" ht="12.75" customHeight="1">
      <c r="A963" s="35"/>
      <c r="B963" s="35"/>
      <c r="C963" s="35"/>
      <c r="D963" s="35"/>
      <c r="E963" s="35"/>
      <c r="F963" s="35"/>
      <c r="G963" s="35"/>
      <c r="H963" s="35"/>
      <c r="I963" s="35"/>
      <c r="J963" s="35"/>
      <c r="K963" s="35"/>
      <c r="L963" s="35"/>
      <c r="M963" s="35"/>
      <c r="N963" s="35"/>
      <c r="O963" s="35"/>
      <c r="P963" s="35"/>
      <c r="Q963" s="35"/>
      <c r="R963" s="35"/>
      <c r="S963" s="35"/>
      <c r="T963" s="35"/>
      <c r="U963" s="35"/>
      <c r="V963" s="35"/>
      <c r="W963" s="35"/>
      <c r="X963" s="35"/>
      <c r="Y963" s="35"/>
      <c r="Z963" s="35"/>
    </row>
    <row r="964" ht="12.75" customHeight="1">
      <c r="A964" s="35"/>
      <c r="B964" s="35"/>
      <c r="C964" s="35"/>
      <c r="D964" s="35"/>
      <c r="E964" s="35"/>
      <c r="F964" s="35"/>
      <c r="G964" s="35"/>
      <c r="H964" s="35"/>
      <c r="I964" s="35"/>
      <c r="J964" s="35"/>
      <c r="K964" s="35"/>
      <c r="L964" s="35"/>
      <c r="M964" s="35"/>
      <c r="N964" s="35"/>
      <c r="O964" s="35"/>
      <c r="P964" s="35"/>
      <c r="Q964" s="35"/>
      <c r="R964" s="35"/>
      <c r="S964" s="35"/>
      <c r="T964" s="35"/>
      <c r="U964" s="35"/>
      <c r="V964" s="35"/>
      <c r="W964" s="35"/>
      <c r="X964" s="35"/>
      <c r="Y964" s="35"/>
      <c r="Z964" s="35"/>
    </row>
    <row r="965" ht="12.75" customHeight="1">
      <c r="A965" s="35"/>
      <c r="B965" s="35"/>
      <c r="C965" s="35"/>
      <c r="D965" s="35"/>
      <c r="E965" s="35"/>
      <c r="F965" s="35"/>
      <c r="G965" s="35"/>
      <c r="H965" s="35"/>
      <c r="I965" s="35"/>
      <c r="J965" s="35"/>
      <c r="K965" s="35"/>
      <c r="L965" s="35"/>
      <c r="M965" s="35"/>
      <c r="N965" s="35"/>
      <c r="O965" s="35"/>
      <c r="P965" s="35"/>
      <c r="Q965" s="35"/>
      <c r="R965" s="35"/>
      <c r="S965" s="35"/>
      <c r="T965" s="35"/>
      <c r="U965" s="35"/>
      <c r="V965" s="35"/>
      <c r="W965" s="35"/>
      <c r="X965" s="35"/>
      <c r="Y965" s="35"/>
      <c r="Z965" s="35"/>
    </row>
    <row r="966" ht="12.75" customHeight="1">
      <c r="A966" s="35"/>
      <c r="B966" s="35"/>
      <c r="C966" s="35"/>
      <c r="D966" s="35"/>
      <c r="E966" s="35"/>
      <c r="F966" s="35"/>
      <c r="G966" s="35"/>
      <c r="H966" s="35"/>
      <c r="I966" s="35"/>
      <c r="J966" s="35"/>
      <c r="K966" s="35"/>
      <c r="L966" s="35"/>
      <c r="M966" s="35"/>
      <c r="N966" s="35"/>
      <c r="O966" s="35"/>
      <c r="P966" s="35"/>
      <c r="Q966" s="35"/>
      <c r="R966" s="35"/>
      <c r="S966" s="35"/>
      <c r="T966" s="35"/>
      <c r="U966" s="35"/>
      <c r="V966" s="35"/>
      <c r="W966" s="35"/>
      <c r="X966" s="35"/>
      <c r="Y966" s="35"/>
      <c r="Z966" s="35"/>
    </row>
    <row r="967" ht="12.75" customHeight="1">
      <c r="A967" s="35"/>
      <c r="B967" s="35"/>
      <c r="C967" s="35"/>
      <c r="D967" s="35"/>
      <c r="E967" s="35"/>
      <c r="F967" s="35"/>
      <c r="G967" s="35"/>
      <c r="H967" s="35"/>
      <c r="I967" s="35"/>
      <c r="J967" s="35"/>
      <c r="K967" s="35"/>
      <c r="L967" s="35"/>
      <c r="M967" s="35"/>
      <c r="N967" s="35"/>
      <c r="O967" s="35"/>
      <c r="P967" s="35"/>
      <c r="Q967" s="35"/>
      <c r="R967" s="35"/>
      <c r="S967" s="35"/>
      <c r="T967" s="35"/>
      <c r="U967" s="35"/>
      <c r="V967" s="35"/>
      <c r="W967" s="35"/>
      <c r="X967" s="35"/>
      <c r="Y967" s="35"/>
      <c r="Z967" s="35"/>
    </row>
    <row r="968" ht="12.75" customHeight="1">
      <c r="A968" s="35"/>
      <c r="B968" s="35"/>
      <c r="C968" s="35"/>
      <c r="D968" s="35"/>
      <c r="E968" s="35"/>
      <c r="F968" s="35"/>
      <c r="G968" s="35"/>
      <c r="H968" s="35"/>
      <c r="I968" s="35"/>
      <c r="J968" s="35"/>
      <c r="K968" s="35"/>
      <c r="L968" s="35"/>
      <c r="M968" s="35"/>
      <c r="N968" s="35"/>
      <c r="O968" s="35"/>
      <c r="P968" s="35"/>
      <c r="Q968" s="35"/>
      <c r="R968" s="35"/>
      <c r="S968" s="35"/>
      <c r="T968" s="35"/>
      <c r="U968" s="35"/>
      <c r="V968" s="35"/>
      <c r="W968" s="35"/>
      <c r="X968" s="35"/>
      <c r="Y968" s="35"/>
      <c r="Z968" s="35"/>
    </row>
    <row r="969" ht="12.75" customHeight="1">
      <c r="A969" s="35"/>
      <c r="B969" s="35"/>
      <c r="C969" s="35"/>
      <c r="D969" s="35"/>
      <c r="E969" s="35"/>
      <c r="F969" s="35"/>
      <c r="G969" s="35"/>
      <c r="H969" s="35"/>
      <c r="I969" s="35"/>
      <c r="J969" s="35"/>
      <c r="K969" s="35"/>
      <c r="L969" s="35"/>
      <c r="M969" s="35"/>
      <c r="N969" s="35"/>
      <c r="O969" s="35"/>
      <c r="P969" s="35"/>
      <c r="Q969" s="35"/>
      <c r="R969" s="35"/>
      <c r="S969" s="35"/>
      <c r="T969" s="35"/>
      <c r="U969" s="35"/>
      <c r="V969" s="35"/>
      <c r="W969" s="35"/>
      <c r="X969" s="35"/>
      <c r="Y969" s="35"/>
      <c r="Z969" s="35"/>
    </row>
    <row r="970" ht="12.75" customHeight="1">
      <c r="A970" s="35"/>
      <c r="B970" s="35"/>
      <c r="C970" s="35"/>
      <c r="D970" s="35"/>
      <c r="E970" s="35"/>
      <c r="F970" s="35"/>
      <c r="G970" s="35"/>
      <c r="H970" s="35"/>
      <c r="I970" s="35"/>
      <c r="J970" s="35"/>
      <c r="K970" s="35"/>
      <c r="L970" s="35"/>
      <c r="M970" s="35"/>
      <c r="N970" s="35"/>
      <c r="O970" s="35"/>
      <c r="P970" s="35"/>
      <c r="Q970" s="35"/>
      <c r="R970" s="35"/>
      <c r="S970" s="35"/>
      <c r="T970" s="35"/>
      <c r="U970" s="35"/>
      <c r="V970" s="35"/>
      <c r="W970" s="35"/>
      <c r="X970" s="35"/>
      <c r="Y970" s="35"/>
      <c r="Z970" s="35"/>
    </row>
    <row r="971" ht="12.75" customHeight="1">
      <c r="A971" s="35"/>
      <c r="B971" s="35"/>
      <c r="C971" s="35"/>
      <c r="D971" s="35"/>
      <c r="E971" s="35"/>
      <c r="F971" s="35"/>
      <c r="G971" s="35"/>
      <c r="H971" s="35"/>
      <c r="I971" s="35"/>
      <c r="J971" s="35"/>
      <c r="K971" s="35"/>
      <c r="L971" s="35"/>
      <c r="M971" s="35"/>
      <c r="N971" s="35"/>
      <c r="O971" s="35"/>
      <c r="P971" s="35"/>
      <c r="Q971" s="35"/>
      <c r="R971" s="35"/>
      <c r="S971" s="35"/>
      <c r="T971" s="35"/>
      <c r="U971" s="35"/>
      <c r="V971" s="35"/>
      <c r="W971" s="35"/>
      <c r="X971" s="35"/>
      <c r="Y971" s="35"/>
      <c r="Z971" s="35"/>
    </row>
    <row r="972" ht="12.75" customHeight="1">
      <c r="A972" s="35"/>
      <c r="B972" s="35"/>
      <c r="C972" s="35"/>
      <c r="D972" s="35"/>
      <c r="E972" s="35"/>
      <c r="F972" s="35"/>
      <c r="G972" s="35"/>
      <c r="H972" s="35"/>
      <c r="I972" s="35"/>
      <c r="J972" s="35"/>
      <c r="K972" s="35"/>
      <c r="L972" s="35"/>
      <c r="M972" s="35"/>
      <c r="N972" s="35"/>
      <c r="O972" s="35"/>
      <c r="P972" s="35"/>
      <c r="Q972" s="35"/>
      <c r="R972" s="35"/>
      <c r="S972" s="35"/>
      <c r="T972" s="35"/>
      <c r="U972" s="35"/>
      <c r="V972" s="35"/>
      <c r="W972" s="35"/>
      <c r="X972" s="35"/>
      <c r="Y972" s="35"/>
      <c r="Z972" s="35"/>
    </row>
    <row r="973" ht="12.75" customHeight="1">
      <c r="A973" s="35"/>
      <c r="B973" s="35"/>
      <c r="C973" s="35"/>
      <c r="D973" s="35"/>
      <c r="E973" s="35"/>
      <c r="F973" s="35"/>
      <c r="G973" s="35"/>
      <c r="H973" s="35"/>
      <c r="I973" s="35"/>
      <c r="J973" s="35"/>
      <c r="K973" s="35"/>
      <c r="L973" s="35"/>
      <c r="M973" s="35"/>
      <c r="N973" s="35"/>
      <c r="O973" s="35"/>
      <c r="P973" s="35"/>
      <c r="Q973" s="35"/>
      <c r="R973" s="35"/>
      <c r="S973" s="35"/>
      <c r="T973" s="35"/>
      <c r="U973" s="35"/>
      <c r="V973" s="35"/>
      <c r="W973" s="35"/>
      <c r="X973" s="35"/>
      <c r="Y973" s="35"/>
      <c r="Z973" s="35"/>
    </row>
    <row r="974" ht="12.75" customHeight="1">
      <c r="A974" s="35"/>
      <c r="B974" s="35"/>
      <c r="C974" s="35"/>
      <c r="D974" s="35"/>
      <c r="E974" s="35"/>
      <c r="F974" s="35"/>
      <c r="G974" s="35"/>
      <c r="H974" s="35"/>
      <c r="I974" s="35"/>
      <c r="J974" s="35"/>
      <c r="K974" s="35"/>
      <c r="L974" s="35"/>
      <c r="M974" s="35"/>
      <c r="N974" s="35"/>
      <c r="O974" s="35"/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5"/>
    </row>
    <row r="975" ht="12.75" customHeight="1">
      <c r="A975" s="35"/>
      <c r="B975" s="35"/>
      <c r="C975" s="35"/>
      <c r="D975" s="35"/>
      <c r="E975" s="35"/>
      <c r="F975" s="35"/>
      <c r="G975" s="35"/>
      <c r="H975" s="35"/>
      <c r="I975" s="35"/>
      <c r="J975" s="35"/>
      <c r="K975" s="35"/>
      <c r="L975" s="35"/>
      <c r="M975" s="35"/>
      <c r="N975" s="35"/>
      <c r="O975" s="35"/>
      <c r="P975" s="35"/>
      <c r="Q975" s="35"/>
      <c r="R975" s="35"/>
      <c r="S975" s="35"/>
      <c r="T975" s="35"/>
      <c r="U975" s="35"/>
      <c r="V975" s="35"/>
      <c r="W975" s="35"/>
      <c r="X975" s="35"/>
      <c r="Y975" s="35"/>
      <c r="Z975" s="35"/>
    </row>
    <row r="976" ht="12.75" customHeight="1">
      <c r="A976" s="35"/>
      <c r="B976" s="35"/>
      <c r="C976" s="35"/>
      <c r="D976" s="35"/>
      <c r="E976" s="35"/>
      <c r="F976" s="35"/>
      <c r="G976" s="35"/>
      <c r="H976" s="35"/>
      <c r="I976" s="35"/>
      <c r="J976" s="35"/>
      <c r="K976" s="35"/>
      <c r="L976" s="35"/>
      <c r="M976" s="35"/>
      <c r="N976" s="35"/>
      <c r="O976" s="35"/>
      <c r="P976" s="35"/>
      <c r="Q976" s="35"/>
      <c r="R976" s="35"/>
      <c r="S976" s="35"/>
      <c r="T976" s="35"/>
      <c r="U976" s="35"/>
      <c r="V976" s="35"/>
      <c r="W976" s="35"/>
      <c r="X976" s="35"/>
      <c r="Y976" s="35"/>
      <c r="Z976" s="35"/>
    </row>
    <row r="977" ht="12.75" customHeight="1">
      <c r="A977" s="35"/>
      <c r="B977" s="35"/>
      <c r="C977" s="35"/>
      <c r="D977" s="35"/>
      <c r="E977" s="35"/>
      <c r="F977" s="35"/>
      <c r="G977" s="35"/>
      <c r="H977" s="35"/>
      <c r="I977" s="35"/>
      <c r="J977" s="35"/>
      <c r="K977" s="35"/>
      <c r="L977" s="35"/>
      <c r="M977" s="35"/>
      <c r="N977" s="35"/>
      <c r="O977" s="35"/>
      <c r="P977" s="35"/>
      <c r="Q977" s="35"/>
      <c r="R977" s="35"/>
      <c r="S977" s="35"/>
      <c r="T977" s="35"/>
      <c r="U977" s="35"/>
      <c r="V977" s="35"/>
      <c r="W977" s="35"/>
      <c r="X977" s="35"/>
      <c r="Y977" s="35"/>
      <c r="Z977" s="35"/>
    </row>
    <row r="978" ht="12.75" customHeight="1">
      <c r="A978" s="35"/>
      <c r="B978" s="35"/>
      <c r="C978" s="35"/>
      <c r="D978" s="35"/>
      <c r="E978" s="35"/>
      <c r="F978" s="35"/>
      <c r="G978" s="35"/>
      <c r="H978" s="35"/>
      <c r="I978" s="35"/>
      <c r="J978" s="35"/>
      <c r="K978" s="35"/>
      <c r="L978" s="35"/>
      <c r="M978" s="35"/>
      <c r="N978" s="35"/>
      <c r="O978" s="35"/>
      <c r="P978" s="35"/>
      <c r="Q978" s="35"/>
      <c r="R978" s="35"/>
      <c r="S978" s="35"/>
      <c r="T978" s="35"/>
      <c r="U978" s="35"/>
      <c r="V978" s="35"/>
      <c r="W978" s="35"/>
      <c r="X978" s="35"/>
      <c r="Y978" s="35"/>
      <c r="Z978" s="35"/>
    </row>
    <row r="979" ht="12.75" customHeight="1">
      <c r="A979" s="35"/>
      <c r="B979" s="35"/>
      <c r="C979" s="35"/>
      <c r="D979" s="35"/>
      <c r="E979" s="35"/>
      <c r="F979" s="35"/>
      <c r="G979" s="35"/>
      <c r="H979" s="35"/>
      <c r="I979" s="35"/>
      <c r="J979" s="35"/>
      <c r="K979" s="35"/>
      <c r="L979" s="35"/>
      <c r="M979" s="35"/>
      <c r="N979" s="35"/>
      <c r="O979" s="35"/>
      <c r="P979" s="35"/>
      <c r="Q979" s="35"/>
      <c r="R979" s="35"/>
      <c r="S979" s="35"/>
      <c r="T979" s="35"/>
      <c r="U979" s="35"/>
      <c r="V979" s="35"/>
      <c r="W979" s="35"/>
      <c r="X979" s="35"/>
      <c r="Y979" s="35"/>
      <c r="Z979" s="35"/>
    </row>
    <row r="980" ht="12.75" customHeight="1">
      <c r="A980" s="35"/>
      <c r="B980" s="35"/>
      <c r="C980" s="35"/>
      <c r="D980" s="35"/>
      <c r="E980" s="35"/>
      <c r="F980" s="35"/>
      <c r="G980" s="35"/>
      <c r="H980" s="35"/>
      <c r="I980" s="35"/>
      <c r="J980" s="35"/>
      <c r="K980" s="35"/>
      <c r="L980" s="35"/>
      <c r="M980" s="35"/>
      <c r="N980" s="35"/>
      <c r="O980" s="35"/>
      <c r="P980" s="35"/>
      <c r="Q980" s="35"/>
      <c r="R980" s="35"/>
      <c r="S980" s="35"/>
      <c r="T980" s="35"/>
      <c r="U980" s="35"/>
      <c r="V980" s="35"/>
      <c r="W980" s="35"/>
      <c r="X980" s="35"/>
      <c r="Y980" s="35"/>
      <c r="Z980" s="35"/>
    </row>
    <row r="981" ht="12.75" customHeight="1">
      <c r="A981" s="35"/>
      <c r="B981" s="35"/>
      <c r="C981" s="35"/>
      <c r="D981" s="35"/>
      <c r="E981" s="35"/>
      <c r="F981" s="35"/>
      <c r="G981" s="35"/>
      <c r="H981" s="35"/>
      <c r="I981" s="35"/>
      <c r="J981" s="35"/>
      <c r="K981" s="35"/>
      <c r="L981" s="35"/>
      <c r="M981" s="35"/>
      <c r="N981" s="35"/>
      <c r="O981" s="35"/>
      <c r="P981" s="35"/>
      <c r="Q981" s="35"/>
      <c r="R981" s="35"/>
      <c r="S981" s="35"/>
      <c r="T981" s="35"/>
      <c r="U981" s="35"/>
      <c r="V981" s="35"/>
      <c r="W981" s="35"/>
      <c r="X981" s="35"/>
      <c r="Y981" s="35"/>
      <c r="Z981" s="35"/>
    </row>
    <row r="982" ht="12.75" customHeight="1">
      <c r="A982" s="35"/>
      <c r="B982" s="35"/>
      <c r="C982" s="35"/>
      <c r="D982" s="35"/>
      <c r="E982" s="35"/>
      <c r="F982" s="35"/>
      <c r="G982" s="35"/>
      <c r="H982" s="35"/>
      <c r="I982" s="35"/>
      <c r="J982" s="35"/>
      <c r="K982" s="35"/>
      <c r="L982" s="35"/>
      <c r="M982" s="35"/>
      <c r="N982" s="35"/>
      <c r="O982" s="35"/>
      <c r="P982" s="35"/>
      <c r="Q982" s="35"/>
      <c r="R982" s="35"/>
      <c r="S982" s="35"/>
      <c r="T982" s="35"/>
      <c r="U982" s="35"/>
      <c r="V982" s="35"/>
      <c r="W982" s="35"/>
      <c r="X982" s="35"/>
      <c r="Y982" s="35"/>
      <c r="Z982" s="35"/>
    </row>
    <row r="983" ht="12.75" customHeight="1">
      <c r="A983" s="35"/>
      <c r="B983" s="35"/>
      <c r="C983" s="35"/>
      <c r="D983" s="35"/>
      <c r="E983" s="35"/>
      <c r="F983" s="35"/>
      <c r="G983" s="35"/>
      <c r="H983" s="35"/>
      <c r="I983" s="35"/>
      <c r="J983" s="35"/>
      <c r="K983" s="35"/>
      <c r="L983" s="35"/>
      <c r="M983" s="35"/>
      <c r="N983" s="35"/>
      <c r="O983" s="35"/>
      <c r="P983" s="35"/>
      <c r="Q983" s="35"/>
      <c r="R983" s="35"/>
      <c r="S983" s="35"/>
      <c r="T983" s="35"/>
      <c r="U983" s="35"/>
      <c r="V983" s="35"/>
      <c r="W983" s="35"/>
      <c r="X983" s="35"/>
      <c r="Y983" s="35"/>
      <c r="Z983" s="35"/>
    </row>
    <row r="984" ht="12.75" customHeight="1">
      <c r="A984" s="35"/>
      <c r="B984" s="35"/>
      <c r="C984" s="35"/>
      <c r="D984" s="35"/>
      <c r="E984" s="35"/>
      <c r="F984" s="35"/>
      <c r="G984" s="35"/>
      <c r="H984" s="35"/>
      <c r="I984" s="35"/>
      <c r="J984" s="35"/>
      <c r="K984" s="35"/>
      <c r="L984" s="35"/>
      <c r="M984" s="35"/>
      <c r="N984" s="35"/>
      <c r="O984" s="35"/>
      <c r="P984" s="35"/>
      <c r="Q984" s="35"/>
      <c r="R984" s="35"/>
      <c r="S984" s="35"/>
      <c r="T984" s="35"/>
      <c r="U984" s="35"/>
      <c r="V984" s="35"/>
      <c r="W984" s="35"/>
      <c r="X984" s="35"/>
      <c r="Y984" s="35"/>
      <c r="Z984" s="35"/>
    </row>
    <row r="985" ht="12.75" customHeight="1">
      <c r="A985" s="35"/>
      <c r="B985" s="35"/>
      <c r="C985" s="35"/>
      <c r="D985" s="35"/>
      <c r="E985" s="35"/>
      <c r="F985" s="35"/>
      <c r="G985" s="35"/>
      <c r="H985" s="35"/>
      <c r="I985" s="35"/>
      <c r="J985" s="35"/>
      <c r="K985" s="35"/>
      <c r="L985" s="35"/>
      <c r="M985" s="35"/>
      <c r="N985" s="35"/>
      <c r="O985" s="35"/>
      <c r="P985" s="35"/>
      <c r="Q985" s="35"/>
      <c r="R985" s="35"/>
      <c r="S985" s="35"/>
      <c r="T985" s="35"/>
      <c r="U985" s="35"/>
      <c r="V985" s="35"/>
      <c r="W985" s="35"/>
      <c r="X985" s="35"/>
      <c r="Y985" s="35"/>
      <c r="Z985" s="35"/>
    </row>
    <row r="986" ht="12.75" customHeight="1">
      <c r="A986" s="35"/>
      <c r="B986" s="35"/>
      <c r="C986" s="35"/>
      <c r="D986" s="35"/>
      <c r="E986" s="35"/>
      <c r="F986" s="35"/>
      <c r="G986" s="35"/>
      <c r="H986" s="35"/>
      <c r="I986" s="35"/>
      <c r="J986" s="35"/>
      <c r="K986" s="35"/>
      <c r="L986" s="35"/>
      <c r="M986" s="35"/>
      <c r="N986" s="35"/>
      <c r="O986" s="35"/>
      <c r="P986" s="35"/>
      <c r="Q986" s="35"/>
      <c r="R986" s="35"/>
      <c r="S986" s="35"/>
      <c r="T986" s="35"/>
      <c r="U986" s="35"/>
      <c r="V986" s="35"/>
      <c r="W986" s="35"/>
      <c r="X986" s="35"/>
      <c r="Y986" s="35"/>
      <c r="Z986" s="35"/>
    </row>
    <row r="987" ht="12.75" customHeight="1">
      <c r="A987" s="35"/>
      <c r="B987" s="35"/>
      <c r="C987" s="35"/>
      <c r="D987" s="35"/>
      <c r="E987" s="35"/>
      <c r="F987" s="35"/>
      <c r="G987" s="35"/>
      <c r="H987" s="35"/>
      <c r="I987" s="35"/>
      <c r="J987" s="35"/>
      <c r="K987" s="35"/>
      <c r="L987" s="35"/>
      <c r="M987" s="35"/>
      <c r="N987" s="35"/>
      <c r="O987" s="35"/>
      <c r="P987" s="35"/>
      <c r="Q987" s="35"/>
      <c r="R987" s="35"/>
      <c r="S987" s="35"/>
      <c r="T987" s="35"/>
      <c r="U987" s="35"/>
      <c r="V987" s="35"/>
      <c r="W987" s="35"/>
      <c r="X987" s="35"/>
      <c r="Y987" s="35"/>
      <c r="Z987" s="35"/>
    </row>
    <row r="988" ht="12.75" customHeight="1">
      <c r="A988" s="35"/>
      <c r="B988" s="35"/>
      <c r="C988" s="35"/>
      <c r="D988" s="35"/>
      <c r="E988" s="35"/>
      <c r="F988" s="35"/>
      <c r="G988" s="35"/>
      <c r="H988" s="35"/>
      <c r="I988" s="35"/>
      <c r="J988" s="35"/>
      <c r="K988" s="35"/>
      <c r="L988" s="35"/>
      <c r="M988" s="35"/>
      <c r="N988" s="35"/>
      <c r="O988" s="35"/>
      <c r="P988" s="35"/>
      <c r="Q988" s="35"/>
      <c r="R988" s="35"/>
      <c r="S988" s="35"/>
      <c r="T988" s="35"/>
      <c r="U988" s="35"/>
      <c r="V988" s="35"/>
      <c r="W988" s="35"/>
      <c r="X988" s="35"/>
      <c r="Y988" s="35"/>
      <c r="Z988" s="35"/>
    </row>
    <row r="989" ht="12.75" customHeight="1">
      <c r="A989" s="35"/>
      <c r="B989" s="35"/>
      <c r="C989" s="35"/>
      <c r="D989" s="35"/>
      <c r="E989" s="35"/>
      <c r="F989" s="35"/>
      <c r="G989" s="35"/>
      <c r="H989" s="35"/>
      <c r="I989" s="35"/>
      <c r="J989" s="35"/>
      <c r="K989" s="35"/>
      <c r="L989" s="35"/>
      <c r="M989" s="35"/>
      <c r="N989" s="35"/>
      <c r="O989" s="35"/>
      <c r="P989" s="35"/>
      <c r="Q989" s="35"/>
      <c r="R989" s="35"/>
      <c r="S989" s="35"/>
      <c r="T989" s="35"/>
      <c r="U989" s="35"/>
      <c r="V989" s="35"/>
      <c r="W989" s="35"/>
      <c r="X989" s="35"/>
      <c r="Y989" s="35"/>
      <c r="Z989" s="35"/>
    </row>
    <row r="990" ht="12.75" customHeight="1">
      <c r="A990" s="35"/>
      <c r="B990" s="35"/>
      <c r="C990" s="35"/>
      <c r="D990" s="35"/>
      <c r="E990" s="35"/>
      <c r="F990" s="35"/>
      <c r="G990" s="35"/>
      <c r="H990" s="35"/>
      <c r="I990" s="35"/>
      <c r="J990" s="35"/>
      <c r="K990" s="35"/>
      <c r="L990" s="35"/>
      <c r="M990" s="35"/>
      <c r="N990" s="35"/>
      <c r="O990" s="35"/>
      <c r="P990" s="35"/>
      <c r="Q990" s="35"/>
      <c r="R990" s="35"/>
      <c r="S990" s="35"/>
      <c r="T990" s="35"/>
      <c r="U990" s="35"/>
      <c r="V990" s="35"/>
      <c r="W990" s="35"/>
      <c r="X990" s="35"/>
      <c r="Y990" s="35"/>
      <c r="Z990" s="35"/>
    </row>
    <row r="991" ht="12.75" customHeight="1">
      <c r="A991" s="35"/>
      <c r="B991" s="35"/>
      <c r="C991" s="35"/>
      <c r="D991" s="35"/>
      <c r="E991" s="35"/>
      <c r="F991" s="35"/>
      <c r="G991" s="35"/>
      <c r="H991" s="35"/>
      <c r="I991" s="35"/>
      <c r="J991" s="35"/>
      <c r="K991" s="35"/>
      <c r="L991" s="35"/>
      <c r="M991" s="35"/>
      <c r="N991" s="35"/>
      <c r="O991" s="35"/>
      <c r="P991" s="35"/>
      <c r="Q991" s="35"/>
      <c r="R991" s="35"/>
      <c r="S991" s="35"/>
      <c r="T991" s="35"/>
      <c r="U991" s="35"/>
      <c r="V991" s="35"/>
      <c r="W991" s="35"/>
      <c r="X991" s="35"/>
      <c r="Y991" s="35"/>
      <c r="Z991" s="35"/>
    </row>
    <row r="992" ht="12.75" customHeight="1">
      <c r="A992" s="35"/>
      <c r="B992" s="35"/>
      <c r="C992" s="35"/>
      <c r="D992" s="35"/>
      <c r="E992" s="35"/>
      <c r="F992" s="35"/>
      <c r="G992" s="35"/>
      <c r="H992" s="35"/>
      <c r="I992" s="35"/>
      <c r="J992" s="35"/>
      <c r="K992" s="35"/>
      <c r="L992" s="35"/>
      <c r="M992" s="35"/>
      <c r="N992" s="35"/>
      <c r="O992" s="35"/>
      <c r="P992" s="35"/>
      <c r="Q992" s="35"/>
      <c r="R992" s="35"/>
      <c r="S992" s="35"/>
      <c r="T992" s="35"/>
      <c r="U992" s="35"/>
      <c r="V992" s="35"/>
      <c r="W992" s="35"/>
      <c r="X992" s="35"/>
      <c r="Y992" s="35"/>
      <c r="Z992" s="35"/>
    </row>
    <row r="993" ht="12.75" customHeight="1">
      <c r="A993" s="35"/>
      <c r="B993" s="35"/>
      <c r="C993" s="35"/>
      <c r="D993" s="35"/>
      <c r="E993" s="35"/>
      <c r="F993" s="35"/>
      <c r="G993" s="35"/>
      <c r="H993" s="35"/>
      <c r="I993" s="35"/>
      <c r="J993" s="35"/>
      <c r="K993" s="35"/>
      <c r="L993" s="35"/>
      <c r="M993" s="35"/>
      <c r="N993" s="35"/>
      <c r="O993" s="35"/>
      <c r="P993" s="35"/>
      <c r="Q993" s="35"/>
      <c r="R993" s="35"/>
      <c r="S993" s="35"/>
      <c r="T993" s="35"/>
      <c r="U993" s="35"/>
      <c r="V993" s="35"/>
      <c r="W993" s="35"/>
      <c r="X993" s="35"/>
      <c r="Y993" s="35"/>
      <c r="Z993" s="35"/>
    </row>
    <row r="994" ht="12.75" customHeight="1">
      <c r="A994" s="35"/>
      <c r="B994" s="35"/>
      <c r="C994" s="35"/>
      <c r="D994" s="35"/>
      <c r="E994" s="35"/>
      <c r="F994" s="35"/>
      <c r="G994" s="35"/>
      <c r="H994" s="35"/>
      <c r="I994" s="35"/>
      <c r="J994" s="35"/>
      <c r="K994" s="35"/>
      <c r="L994" s="35"/>
      <c r="M994" s="35"/>
      <c r="N994" s="35"/>
      <c r="O994" s="35"/>
      <c r="P994" s="35"/>
      <c r="Q994" s="35"/>
      <c r="R994" s="35"/>
      <c r="S994" s="35"/>
      <c r="T994" s="35"/>
      <c r="U994" s="35"/>
      <c r="V994" s="35"/>
      <c r="W994" s="35"/>
      <c r="X994" s="35"/>
      <c r="Y994" s="35"/>
      <c r="Z994" s="35"/>
    </row>
    <row r="995" ht="12.75" customHeight="1">
      <c r="A995" s="35"/>
      <c r="B995" s="35"/>
      <c r="C995" s="35"/>
      <c r="D995" s="35"/>
      <c r="E995" s="35"/>
      <c r="F995" s="35"/>
      <c r="G995" s="35"/>
      <c r="H995" s="35"/>
      <c r="I995" s="35"/>
      <c r="J995" s="35"/>
      <c r="K995" s="35"/>
      <c r="L995" s="35"/>
      <c r="M995" s="35"/>
      <c r="N995" s="35"/>
      <c r="O995" s="35"/>
      <c r="P995" s="35"/>
      <c r="Q995" s="35"/>
      <c r="R995" s="35"/>
      <c r="S995" s="35"/>
      <c r="T995" s="35"/>
      <c r="U995" s="35"/>
      <c r="V995" s="35"/>
      <c r="W995" s="35"/>
      <c r="X995" s="35"/>
      <c r="Y995" s="35"/>
      <c r="Z995" s="35"/>
    </row>
    <row r="996" ht="12.75" customHeight="1">
      <c r="A996" s="35"/>
      <c r="B996" s="35"/>
      <c r="C996" s="35"/>
      <c r="D996" s="35"/>
      <c r="E996" s="35"/>
      <c r="F996" s="35"/>
      <c r="G996" s="35"/>
      <c r="H996" s="35"/>
      <c r="I996" s="35"/>
      <c r="J996" s="35"/>
      <c r="K996" s="35"/>
      <c r="L996" s="35"/>
      <c r="M996" s="35"/>
      <c r="N996" s="35"/>
      <c r="O996" s="35"/>
      <c r="P996" s="35"/>
      <c r="Q996" s="35"/>
      <c r="R996" s="35"/>
      <c r="S996" s="35"/>
      <c r="T996" s="35"/>
      <c r="U996" s="35"/>
      <c r="V996" s="35"/>
      <c r="W996" s="35"/>
      <c r="X996" s="35"/>
      <c r="Y996" s="35"/>
      <c r="Z996" s="35"/>
    </row>
    <row r="997" ht="12.75" customHeight="1">
      <c r="A997" s="35"/>
      <c r="B997" s="35"/>
      <c r="C997" s="35"/>
      <c r="D997" s="35"/>
      <c r="E997" s="35"/>
      <c r="F997" s="35"/>
      <c r="G997" s="35"/>
      <c r="H997" s="35"/>
      <c r="I997" s="35"/>
      <c r="J997" s="35"/>
      <c r="K997" s="35"/>
      <c r="L997" s="35"/>
      <c r="M997" s="35"/>
      <c r="N997" s="35"/>
      <c r="O997" s="35"/>
      <c r="P997" s="35"/>
      <c r="Q997" s="35"/>
      <c r="R997" s="35"/>
      <c r="S997" s="35"/>
      <c r="T997" s="35"/>
      <c r="U997" s="35"/>
      <c r="V997" s="35"/>
      <c r="W997" s="35"/>
      <c r="X997" s="35"/>
      <c r="Y997" s="35"/>
      <c r="Z997" s="35"/>
    </row>
    <row r="998" ht="12.75" customHeight="1">
      <c r="A998" s="35"/>
      <c r="B998" s="35"/>
      <c r="C998" s="35"/>
      <c r="D998" s="35"/>
      <c r="E998" s="35"/>
      <c r="F998" s="35"/>
      <c r="G998" s="35"/>
      <c r="H998" s="35"/>
      <c r="I998" s="35"/>
      <c r="J998" s="35"/>
      <c r="K998" s="35"/>
      <c r="L998" s="35"/>
      <c r="M998" s="35"/>
      <c r="N998" s="35"/>
      <c r="O998" s="35"/>
      <c r="P998" s="35"/>
      <c r="Q998" s="35"/>
      <c r="R998" s="35"/>
      <c r="S998" s="35"/>
      <c r="T998" s="35"/>
      <c r="U998" s="35"/>
      <c r="V998" s="35"/>
      <c r="W998" s="35"/>
      <c r="X998" s="35"/>
      <c r="Y998" s="35"/>
      <c r="Z998" s="35"/>
    </row>
    <row r="999" ht="12.75" customHeight="1">
      <c r="A999" s="35"/>
      <c r="B999" s="35"/>
      <c r="C999" s="35"/>
      <c r="D999" s="35"/>
      <c r="E999" s="35"/>
      <c r="F999" s="35"/>
      <c r="G999" s="35"/>
      <c r="H999" s="35"/>
      <c r="I999" s="35"/>
      <c r="J999" s="35"/>
      <c r="K999" s="35"/>
      <c r="L999" s="35"/>
      <c r="M999" s="35"/>
      <c r="N999" s="35"/>
      <c r="O999" s="35"/>
      <c r="P999" s="35"/>
      <c r="Q999" s="35"/>
      <c r="R999" s="35"/>
      <c r="S999" s="35"/>
      <c r="T999" s="35"/>
      <c r="U999" s="35"/>
      <c r="V999" s="35"/>
      <c r="W999" s="35"/>
      <c r="X999" s="35"/>
      <c r="Y999" s="35"/>
      <c r="Z999" s="35"/>
    </row>
    <row r="1000" ht="12.75" customHeight="1">
      <c r="A1000" s="35"/>
      <c r="B1000" s="35"/>
      <c r="C1000" s="35"/>
      <c r="D1000" s="35"/>
      <c r="E1000" s="35"/>
      <c r="F1000" s="35"/>
      <c r="G1000" s="35"/>
      <c r="H1000" s="35"/>
      <c r="I1000" s="35"/>
      <c r="J1000" s="35"/>
      <c r="K1000" s="35"/>
      <c r="L1000" s="35"/>
      <c r="M1000" s="35"/>
      <c r="N1000" s="35"/>
      <c r="O1000" s="35"/>
      <c r="P1000" s="35"/>
      <c r="Q1000" s="35"/>
      <c r="R1000" s="35"/>
      <c r="S1000" s="35"/>
      <c r="T1000" s="35"/>
      <c r="U1000" s="35"/>
      <c r="V1000" s="35"/>
      <c r="W1000" s="35"/>
      <c r="X1000" s="35"/>
      <c r="Y1000" s="35"/>
      <c r="Z1000" s="35"/>
    </row>
  </sheetData>
  <autoFilter ref="$B$16:$O$46"/>
  <mergeCells count="3">
    <mergeCell ref="A2:O2"/>
    <mergeCell ref="A3:O3"/>
    <mergeCell ref="A4:O4"/>
  </mergeCells>
  <printOptions/>
  <pageMargins bottom="0.75" footer="0.0" header="0.0" left="0.7" right="0.7" top="0.75"/>
  <pageSetup paperSize="9" orientation="portrait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workbookViewId="0"/>
  </sheetViews>
  <sheetFormatPr customHeight="1" defaultColWidth="14.43" defaultRowHeight="15.0"/>
  <cols>
    <col customWidth="1" min="1" max="1" width="5.29"/>
    <col customWidth="1" min="2" max="2" width="39.43"/>
    <col customWidth="1" min="3" max="3" width="18.71"/>
    <col customWidth="1" min="4" max="4" width="11.29"/>
    <col customWidth="1" min="5" max="5" width="9.14"/>
    <col customWidth="1" min="6" max="6" width="18.71"/>
    <col customWidth="1" min="7" max="7" width="28.86"/>
    <col customWidth="1" min="8" max="8" width="8.71"/>
    <col customWidth="1" min="9" max="9" width="10.71"/>
    <col customWidth="1" min="10" max="11" width="24.43"/>
    <col customWidth="1" min="12" max="12" width="11.29"/>
    <col customWidth="1" min="13" max="13" width="61.14"/>
    <col customWidth="1" min="14" max="14" width="24.71"/>
    <col customWidth="1" min="15" max="32" width="8.71"/>
  </cols>
  <sheetData>
    <row r="1" ht="14.25" customHeight="1"/>
    <row r="2" ht="14.25" customHeight="1"/>
    <row r="3" ht="14.25" customHeight="1">
      <c r="A3" s="1" t="s">
        <v>0</v>
      </c>
    </row>
    <row r="4" ht="14.25" customHeight="1">
      <c r="A4" s="1" t="s">
        <v>1</v>
      </c>
    </row>
    <row r="5" ht="14.25" customHeight="1"/>
    <row r="6" ht="14.25" customHeight="1"/>
    <row r="7" ht="14.25" customHeight="1">
      <c r="A7" s="2" t="s">
        <v>2</v>
      </c>
      <c r="C7" s="2" t="s">
        <v>3</v>
      </c>
    </row>
    <row r="8" ht="14.25" customHeight="1">
      <c r="A8" s="2" t="s">
        <v>4</v>
      </c>
      <c r="C8" s="2" t="s">
        <v>5</v>
      </c>
    </row>
    <row r="9" ht="14.25" customHeight="1">
      <c r="A9" s="2" t="s">
        <v>6</v>
      </c>
      <c r="C9" s="2" t="s">
        <v>4377</v>
      </c>
    </row>
    <row r="10" ht="14.25" customHeight="1">
      <c r="A10" s="124" t="s">
        <v>8</v>
      </c>
      <c r="B10" s="125" t="s">
        <v>9</v>
      </c>
      <c r="C10" s="125" t="s">
        <v>10</v>
      </c>
      <c r="D10" s="125" t="s">
        <v>11</v>
      </c>
      <c r="E10" s="125" t="s">
        <v>12</v>
      </c>
      <c r="F10" s="125" t="s">
        <v>13</v>
      </c>
      <c r="G10" s="125" t="s">
        <v>14</v>
      </c>
      <c r="H10" s="125" t="s">
        <v>15</v>
      </c>
      <c r="I10" s="125" t="s">
        <v>16</v>
      </c>
      <c r="J10" s="125" t="s">
        <v>17</v>
      </c>
      <c r="K10" s="125" t="s">
        <v>1882</v>
      </c>
      <c r="L10" s="185" t="s">
        <v>4378</v>
      </c>
      <c r="M10" s="185" t="s">
        <v>20</v>
      </c>
      <c r="N10" s="125" t="s">
        <v>1883</v>
      </c>
      <c r="O10" s="125" t="s">
        <v>2368</v>
      </c>
      <c r="P10" s="187"/>
      <c r="Q10" s="187"/>
      <c r="R10" s="187"/>
      <c r="S10" s="187"/>
      <c r="T10" s="187"/>
      <c r="U10" s="187"/>
      <c r="V10" s="187"/>
      <c r="W10" s="187"/>
      <c r="X10" s="187"/>
      <c r="Y10" s="187"/>
      <c r="Z10" s="187"/>
      <c r="AA10" s="187"/>
      <c r="AB10" s="187"/>
      <c r="AC10" s="187"/>
      <c r="AD10" s="187"/>
      <c r="AE10" s="187"/>
      <c r="AF10" s="187"/>
    </row>
    <row r="11" ht="14.25" customHeight="1">
      <c r="A11" s="577"/>
      <c r="B11" s="578" t="s">
        <v>23</v>
      </c>
      <c r="C11" s="577"/>
      <c r="D11" s="577"/>
      <c r="E11" s="577"/>
      <c r="F11" s="579">
        <v>8.057E8</v>
      </c>
      <c r="G11" s="577"/>
      <c r="H11" s="577"/>
      <c r="I11" s="577"/>
      <c r="J11" s="577"/>
      <c r="K11" s="577"/>
      <c r="L11" s="580"/>
      <c r="M11" s="581"/>
      <c r="N11" s="581"/>
      <c r="O11" s="582"/>
      <c r="P11" s="187"/>
      <c r="Q11" s="187"/>
      <c r="R11" s="187"/>
      <c r="S11" s="187"/>
      <c r="T11" s="187"/>
      <c r="U11" s="187"/>
      <c r="V11" s="187"/>
      <c r="W11" s="187"/>
      <c r="X11" s="187"/>
      <c r="Y11" s="187"/>
      <c r="Z11" s="187"/>
      <c r="AA11" s="187"/>
      <c r="AB11" s="187"/>
      <c r="AC11" s="187"/>
      <c r="AD11" s="187"/>
      <c r="AE11" s="187"/>
      <c r="AF11" s="187"/>
    </row>
    <row r="12" ht="14.25" customHeight="1">
      <c r="A12" s="583"/>
      <c r="B12" s="143" t="s">
        <v>82</v>
      </c>
      <c r="C12" s="145"/>
      <c r="D12" s="143" t="s">
        <v>26</v>
      </c>
      <c r="E12" s="143" t="s">
        <v>70</v>
      </c>
      <c r="F12" s="144">
        <v>2.998E8</v>
      </c>
      <c r="G12" s="143" t="s">
        <v>4379</v>
      </c>
      <c r="H12" s="143">
        <v>2009.0</v>
      </c>
      <c r="I12" s="143" t="s">
        <v>4380</v>
      </c>
      <c r="J12" s="143" t="s">
        <v>86</v>
      </c>
      <c r="K12" s="143" t="s">
        <v>87</v>
      </c>
      <c r="L12" s="143" t="s">
        <v>88</v>
      </c>
      <c r="M12" s="143" t="s">
        <v>4381</v>
      </c>
      <c r="N12" s="143" t="s">
        <v>4382</v>
      </c>
      <c r="O12" s="204"/>
      <c r="P12" s="187"/>
      <c r="Q12" s="187"/>
      <c r="R12" s="187"/>
      <c r="S12" s="187"/>
      <c r="T12" s="187"/>
      <c r="U12" s="187"/>
      <c r="V12" s="187"/>
      <c r="W12" s="187"/>
      <c r="X12" s="187"/>
      <c r="Y12" s="187"/>
      <c r="Z12" s="187"/>
      <c r="AA12" s="187"/>
      <c r="AB12" s="187"/>
      <c r="AC12" s="187"/>
      <c r="AD12" s="187"/>
      <c r="AE12" s="187"/>
      <c r="AF12" s="187"/>
    </row>
    <row r="13" ht="14.25" customHeight="1">
      <c r="A13" s="584">
        <v>1.0</v>
      </c>
      <c r="B13" s="202" t="s">
        <v>780</v>
      </c>
      <c r="C13" s="585"/>
      <c r="D13" s="202" t="s">
        <v>4383</v>
      </c>
      <c r="E13" s="202" t="s">
        <v>2603</v>
      </c>
      <c r="F13" s="586">
        <v>1.05E8</v>
      </c>
      <c r="G13" s="202" t="s">
        <v>3349</v>
      </c>
      <c r="H13" s="202">
        <v>2003.0</v>
      </c>
      <c r="I13" s="587" t="s">
        <v>4384</v>
      </c>
      <c r="J13" s="202" t="s">
        <v>4385</v>
      </c>
      <c r="K13" s="202" t="s">
        <v>4386</v>
      </c>
      <c r="L13" s="585"/>
      <c r="M13" s="588"/>
      <c r="N13" s="585"/>
      <c r="O13" s="202" t="s">
        <v>2362</v>
      </c>
      <c r="P13" s="187"/>
      <c r="Q13" s="187"/>
      <c r="R13" s="187"/>
      <c r="S13" s="187"/>
      <c r="T13" s="187"/>
      <c r="U13" s="187"/>
      <c r="V13" s="187"/>
      <c r="W13" s="187"/>
      <c r="X13" s="187"/>
      <c r="Y13" s="187"/>
      <c r="Z13" s="187"/>
      <c r="AA13" s="187"/>
      <c r="AB13" s="187"/>
      <c r="AC13" s="187"/>
      <c r="AD13" s="187"/>
      <c r="AE13" s="187"/>
      <c r="AF13" s="187"/>
    </row>
    <row r="14" ht="14.25" customHeight="1">
      <c r="A14" s="149">
        <v>2.0</v>
      </c>
      <c r="B14" s="143" t="s">
        <v>780</v>
      </c>
      <c r="C14" s="145"/>
      <c r="D14" s="143" t="s">
        <v>4383</v>
      </c>
      <c r="E14" s="143" t="s">
        <v>70</v>
      </c>
      <c r="F14" s="144">
        <v>2.227E8</v>
      </c>
      <c r="G14" s="143" t="s">
        <v>4387</v>
      </c>
      <c r="H14" s="143">
        <v>2012.0</v>
      </c>
      <c r="I14" s="143" t="s">
        <v>4388</v>
      </c>
      <c r="J14" s="143" t="s">
        <v>4389</v>
      </c>
      <c r="K14" s="143" t="s">
        <v>4390</v>
      </c>
      <c r="L14" s="145"/>
      <c r="M14" s="145"/>
      <c r="N14" s="143" t="s">
        <v>4391</v>
      </c>
      <c r="O14" s="204"/>
      <c r="P14" s="187"/>
      <c r="Q14" s="187"/>
      <c r="R14" s="187"/>
      <c r="S14" s="187"/>
      <c r="T14" s="187"/>
      <c r="U14" s="187"/>
      <c r="V14" s="187"/>
      <c r="W14" s="187"/>
      <c r="X14" s="187"/>
      <c r="Y14" s="187"/>
      <c r="Z14" s="187"/>
      <c r="AA14" s="187"/>
      <c r="AB14" s="187"/>
      <c r="AC14" s="187"/>
      <c r="AD14" s="187"/>
      <c r="AE14" s="187"/>
      <c r="AF14" s="187"/>
    </row>
    <row r="15" ht="14.25" customHeight="1">
      <c r="A15" s="150">
        <v>3.0</v>
      </c>
      <c r="B15" s="137" t="s">
        <v>780</v>
      </c>
      <c r="C15" s="147"/>
      <c r="D15" s="137" t="s">
        <v>4383</v>
      </c>
      <c r="E15" s="137" t="s">
        <v>70</v>
      </c>
      <c r="F15" s="138">
        <v>2.39E8</v>
      </c>
      <c r="G15" s="137" t="s">
        <v>4392</v>
      </c>
      <c r="H15" s="137">
        <v>2019.0</v>
      </c>
      <c r="I15" s="137" t="s">
        <v>4393</v>
      </c>
      <c r="J15" s="137" t="s">
        <v>4394</v>
      </c>
      <c r="K15" s="137" t="s">
        <v>4395</v>
      </c>
      <c r="L15" s="147"/>
      <c r="M15" s="147"/>
      <c r="N15" s="137" t="s">
        <v>4396</v>
      </c>
      <c r="O15" s="208"/>
      <c r="P15" s="187"/>
      <c r="Q15" s="187"/>
      <c r="R15" s="187"/>
      <c r="S15" s="187"/>
      <c r="T15" s="187"/>
      <c r="U15" s="187"/>
      <c r="V15" s="187"/>
      <c r="W15" s="187"/>
      <c r="X15" s="187"/>
      <c r="Y15" s="187"/>
      <c r="Z15" s="187"/>
      <c r="AA15" s="187"/>
      <c r="AB15" s="187"/>
      <c r="AC15" s="187"/>
      <c r="AD15" s="187"/>
      <c r="AE15" s="187"/>
      <c r="AF15" s="187"/>
    </row>
    <row r="16" ht="14.25" customHeight="1">
      <c r="A16" s="149">
        <v>4.0</v>
      </c>
      <c r="B16" s="143" t="s">
        <v>780</v>
      </c>
      <c r="C16" s="145"/>
      <c r="D16" s="143" t="s">
        <v>4383</v>
      </c>
      <c r="E16" s="143" t="s">
        <v>70</v>
      </c>
      <c r="F16" s="144">
        <v>2.39E8</v>
      </c>
      <c r="G16" s="143" t="s">
        <v>4397</v>
      </c>
      <c r="H16" s="143">
        <v>2019.0</v>
      </c>
      <c r="I16" s="143" t="s">
        <v>4398</v>
      </c>
      <c r="J16" s="143" t="s">
        <v>4399</v>
      </c>
      <c r="K16" s="143" t="s">
        <v>4400</v>
      </c>
      <c r="L16" s="145"/>
      <c r="M16" s="145"/>
      <c r="N16" s="143" t="s">
        <v>4401</v>
      </c>
      <c r="O16" s="204"/>
      <c r="P16" s="187"/>
      <c r="Q16" s="187"/>
      <c r="R16" s="187"/>
      <c r="S16" s="187"/>
      <c r="T16" s="187"/>
      <c r="U16" s="187"/>
      <c r="V16" s="187"/>
      <c r="W16" s="187"/>
      <c r="X16" s="187"/>
      <c r="Y16" s="187"/>
      <c r="Z16" s="187"/>
      <c r="AA16" s="187"/>
      <c r="AB16" s="187"/>
      <c r="AC16" s="187"/>
      <c r="AD16" s="187"/>
      <c r="AE16" s="187"/>
      <c r="AF16" s="187"/>
    </row>
    <row r="17" ht="14.25" customHeight="1">
      <c r="A17" s="444"/>
      <c r="B17" s="589" t="s">
        <v>1933</v>
      </c>
      <c r="C17" s="444"/>
      <c r="D17" s="444"/>
      <c r="E17" s="444"/>
      <c r="F17" s="590">
        <v>4.33E8</v>
      </c>
      <c r="G17" s="444"/>
      <c r="H17" s="444"/>
      <c r="I17" s="444"/>
      <c r="J17" s="444"/>
      <c r="K17" s="591"/>
      <c r="L17" s="444"/>
      <c r="M17" s="444"/>
      <c r="N17" s="444"/>
      <c r="O17" s="592"/>
      <c r="P17" s="187"/>
      <c r="Q17" s="187"/>
      <c r="R17" s="187"/>
      <c r="S17" s="187"/>
      <c r="T17" s="187"/>
      <c r="U17" s="187"/>
      <c r="V17" s="187"/>
      <c r="W17" s="187"/>
      <c r="X17" s="187"/>
      <c r="Y17" s="187"/>
      <c r="Z17" s="187"/>
      <c r="AA17" s="187"/>
      <c r="AB17" s="187"/>
      <c r="AC17" s="187"/>
      <c r="AD17" s="187"/>
      <c r="AE17" s="187"/>
      <c r="AF17" s="187"/>
    </row>
    <row r="18" ht="14.25" customHeight="1">
      <c r="A18" s="593">
        <v>5.0</v>
      </c>
      <c r="B18" s="594" t="s">
        <v>4402</v>
      </c>
      <c r="C18" s="595"/>
      <c r="D18" s="594" t="s">
        <v>4383</v>
      </c>
      <c r="E18" s="594" t="s">
        <v>70</v>
      </c>
      <c r="F18" s="596">
        <v>4.33E8</v>
      </c>
      <c r="G18" s="594" t="s">
        <v>4403</v>
      </c>
      <c r="H18" s="594">
        <v>2020.0</v>
      </c>
      <c r="I18" s="594" t="s">
        <v>4404</v>
      </c>
      <c r="J18" s="594" t="s">
        <v>4405</v>
      </c>
      <c r="K18" s="594" t="s">
        <v>4406</v>
      </c>
      <c r="L18" s="595"/>
      <c r="M18" s="594" t="s">
        <v>4407</v>
      </c>
      <c r="N18" s="595"/>
      <c r="O18" s="597"/>
      <c r="P18" s="187"/>
      <c r="Q18" s="187"/>
      <c r="R18" s="187"/>
      <c r="S18" s="187"/>
      <c r="T18" s="187"/>
      <c r="U18" s="187"/>
      <c r="V18" s="187"/>
      <c r="W18" s="187"/>
      <c r="X18" s="187"/>
      <c r="Y18" s="187"/>
      <c r="Z18" s="187"/>
      <c r="AA18" s="187"/>
      <c r="AB18" s="187"/>
      <c r="AC18" s="187"/>
      <c r="AD18" s="187"/>
      <c r="AE18" s="187"/>
      <c r="AF18" s="187"/>
    </row>
    <row r="19" ht="14.25" customHeight="1">
      <c r="A19" s="444"/>
      <c r="B19" s="589" t="s">
        <v>99</v>
      </c>
      <c r="C19" s="444"/>
      <c r="D19" s="444"/>
      <c r="E19" s="444"/>
      <c r="F19" s="590">
        <v>2.382355E8</v>
      </c>
      <c r="G19" s="444"/>
      <c r="H19" s="444"/>
      <c r="I19" s="444"/>
      <c r="J19" s="444"/>
      <c r="K19" s="444"/>
      <c r="L19" s="444"/>
      <c r="M19" s="444"/>
      <c r="N19" s="444"/>
      <c r="O19" s="592"/>
      <c r="P19" s="187"/>
      <c r="Q19" s="187"/>
      <c r="R19" s="187"/>
      <c r="S19" s="187"/>
      <c r="T19" s="187"/>
      <c r="U19" s="187"/>
      <c r="V19" s="187"/>
      <c r="W19" s="187"/>
      <c r="X19" s="187"/>
      <c r="Y19" s="187"/>
      <c r="Z19" s="187"/>
      <c r="AA19" s="187"/>
      <c r="AB19" s="187"/>
      <c r="AC19" s="187"/>
      <c r="AD19" s="187"/>
      <c r="AE19" s="187"/>
      <c r="AF19" s="187"/>
    </row>
    <row r="20" ht="14.25" customHeight="1">
      <c r="A20" s="149">
        <v>1.0</v>
      </c>
      <c r="B20" s="143" t="s">
        <v>100</v>
      </c>
      <c r="C20" s="145"/>
      <c r="D20" s="143" t="s">
        <v>4383</v>
      </c>
      <c r="E20" s="143" t="s">
        <v>70</v>
      </c>
      <c r="F20" s="144">
        <v>1.30067E7</v>
      </c>
      <c r="G20" s="143" t="s">
        <v>4408</v>
      </c>
      <c r="H20" s="143">
        <v>2012.0</v>
      </c>
      <c r="I20" s="143" t="s">
        <v>4409</v>
      </c>
      <c r="J20" s="143" t="s">
        <v>4410</v>
      </c>
      <c r="K20" s="143" t="s">
        <v>4411</v>
      </c>
      <c r="L20" s="145"/>
      <c r="M20" s="145"/>
      <c r="N20" s="143" t="s">
        <v>4412</v>
      </c>
      <c r="O20" s="204"/>
      <c r="P20" s="187"/>
      <c r="Q20" s="187"/>
      <c r="R20" s="187"/>
      <c r="S20" s="187"/>
      <c r="T20" s="187"/>
      <c r="U20" s="187"/>
      <c r="V20" s="187"/>
      <c r="W20" s="187"/>
      <c r="X20" s="187"/>
      <c r="Y20" s="187"/>
      <c r="Z20" s="187"/>
      <c r="AA20" s="187"/>
      <c r="AB20" s="187"/>
      <c r="AC20" s="187"/>
      <c r="AD20" s="187"/>
      <c r="AE20" s="187"/>
      <c r="AF20" s="187"/>
    </row>
    <row r="21" ht="14.25" customHeight="1">
      <c r="A21" s="150">
        <v>2.0</v>
      </c>
      <c r="B21" s="137" t="s">
        <v>100</v>
      </c>
      <c r="C21" s="147"/>
      <c r="D21" s="137" t="s">
        <v>4383</v>
      </c>
      <c r="E21" s="137" t="s">
        <v>70</v>
      </c>
      <c r="F21" s="138">
        <v>1.77072E7</v>
      </c>
      <c r="G21" s="137" t="s">
        <v>4408</v>
      </c>
      <c r="H21" s="459">
        <v>2012.0</v>
      </c>
      <c r="I21" s="137" t="s">
        <v>4413</v>
      </c>
      <c r="J21" s="137" t="s">
        <v>4414</v>
      </c>
      <c r="K21" s="137" t="s">
        <v>4415</v>
      </c>
      <c r="L21" s="147"/>
      <c r="M21" s="147"/>
      <c r="N21" s="137" t="s">
        <v>4416</v>
      </c>
      <c r="O21" s="208"/>
      <c r="P21" s="187"/>
      <c r="Q21" s="187"/>
      <c r="R21" s="187"/>
      <c r="S21" s="187"/>
      <c r="T21" s="187"/>
      <c r="U21" s="187"/>
      <c r="V21" s="187"/>
      <c r="W21" s="187"/>
      <c r="X21" s="187"/>
      <c r="Y21" s="187"/>
      <c r="Z21" s="187"/>
      <c r="AA21" s="187"/>
      <c r="AB21" s="187"/>
      <c r="AC21" s="187"/>
      <c r="AD21" s="187"/>
      <c r="AE21" s="187"/>
      <c r="AF21" s="187"/>
    </row>
    <row r="22" ht="14.25" customHeight="1">
      <c r="A22" s="149">
        <v>3.0</v>
      </c>
      <c r="B22" s="143" t="s">
        <v>100</v>
      </c>
      <c r="C22" s="145"/>
      <c r="D22" s="143" t="s">
        <v>4383</v>
      </c>
      <c r="E22" s="143" t="s">
        <v>70</v>
      </c>
      <c r="F22" s="144">
        <v>1.77072E7</v>
      </c>
      <c r="G22" s="143" t="s">
        <v>4408</v>
      </c>
      <c r="H22" s="143">
        <v>2012.0</v>
      </c>
      <c r="I22" s="143" t="s">
        <v>4417</v>
      </c>
      <c r="J22" s="143" t="s">
        <v>4418</v>
      </c>
      <c r="K22" s="143" t="s">
        <v>4419</v>
      </c>
      <c r="L22" s="145"/>
      <c r="M22" s="145"/>
      <c r="N22" s="143" t="s">
        <v>4420</v>
      </c>
      <c r="O22" s="204"/>
      <c r="P22" s="187"/>
      <c r="Q22" s="187"/>
      <c r="R22" s="187"/>
      <c r="S22" s="187"/>
      <c r="T22" s="187"/>
      <c r="U22" s="187"/>
      <c r="V22" s="187"/>
      <c r="W22" s="187"/>
      <c r="X22" s="187"/>
      <c r="Y22" s="187"/>
      <c r="Z22" s="187"/>
      <c r="AA22" s="187"/>
      <c r="AB22" s="187"/>
      <c r="AC22" s="187"/>
      <c r="AD22" s="187"/>
      <c r="AE22" s="187"/>
      <c r="AF22" s="187"/>
    </row>
    <row r="23" ht="14.25" customHeight="1">
      <c r="A23" s="150">
        <v>4.0</v>
      </c>
      <c r="B23" s="137" t="s">
        <v>100</v>
      </c>
      <c r="C23" s="147"/>
      <c r="D23" s="137" t="s">
        <v>4383</v>
      </c>
      <c r="E23" s="137" t="s">
        <v>70</v>
      </c>
      <c r="F23" s="138">
        <v>1.77072E7</v>
      </c>
      <c r="G23" s="137" t="s">
        <v>4408</v>
      </c>
      <c r="H23" s="137">
        <v>2012.0</v>
      </c>
      <c r="I23" s="137" t="s">
        <v>4421</v>
      </c>
      <c r="J23" s="137" t="s">
        <v>4422</v>
      </c>
      <c r="K23" s="137" t="s">
        <v>4423</v>
      </c>
      <c r="L23" s="147"/>
      <c r="M23" s="147"/>
      <c r="N23" s="137" t="s">
        <v>4424</v>
      </c>
      <c r="O23" s="208"/>
      <c r="P23" s="187"/>
      <c r="Q23" s="187"/>
      <c r="R23" s="187"/>
      <c r="S23" s="187"/>
      <c r="T23" s="187"/>
      <c r="U23" s="187"/>
      <c r="V23" s="187"/>
      <c r="W23" s="187"/>
      <c r="X23" s="187"/>
      <c r="Y23" s="187"/>
      <c r="Z23" s="187"/>
      <c r="AA23" s="187"/>
      <c r="AB23" s="187"/>
      <c r="AC23" s="187"/>
      <c r="AD23" s="187"/>
      <c r="AE23" s="187"/>
      <c r="AF23" s="187"/>
    </row>
    <row r="24" ht="14.25" customHeight="1">
      <c r="A24" s="149">
        <v>5.0</v>
      </c>
      <c r="B24" s="143" t="s">
        <v>100</v>
      </c>
      <c r="C24" s="145"/>
      <c r="D24" s="143" t="s">
        <v>4383</v>
      </c>
      <c r="E24" s="143" t="s">
        <v>70</v>
      </c>
      <c r="F24" s="144">
        <v>1.77072E7</v>
      </c>
      <c r="G24" s="143" t="s">
        <v>4408</v>
      </c>
      <c r="H24" s="459">
        <v>2012.0</v>
      </c>
      <c r="I24" s="143" t="s">
        <v>4425</v>
      </c>
      <c r="J24" s="143" t="s">
        <v>4426</v>
      </c>
      <c r="K24" s="143" t="s">
        <v>4427</v>
      </c>
      <c r="L24" s="145"/>
      <c r="M24" s="145"/>
      <c r="N24" s="143" t="s">
        <v>4428</v>
      </c>
      <c r="O24" s="204"/>
      <c r="P24" s="187"/>
      <c r="Q24" s="187"/>
      <c r="R24" s="187"/>
      <c r="S24" s="187"/>
      <c r="T24" s="187"/>
      <c r="U24" s="187"/>
      <c r="V24" s="187"/>
      <c r="W24" s="187"/>
      <c r="X24" s="187"/>
      <c r="Y24" s="187"/>
      <c r="Z24" s="187"/>
      <c r="AA24" s="187"/>
      <c r="AB24" s="187"/>
      <c r="AC24" s="187"/>
      <c r="AD24" s="187"/>
      <c r="AE24" s="187"/>
      <c r="AF24" s="187"/>
    </row>
    <row r="25" ht="14.25" customHeight="1">
      <c r="A25" s="150">
        <v>6.0</v>
      </c>
      <c r="B25" s="137" t="s">
        <v>100</v>
      </c>
      <c r="C25" s="147"/>
      <c r="D25" s="137" t="s">
        <v>4383</v>
      </c>
      <c r="E25" s="137" t="s">
        <v>70</v>
      </c>
      <c r="F25" s="138">
        <v>1.93E7</v>
      </c>
      <c r="G25" s="137" t="s">
        <v>4429</v>
      </c>
      <c r="H25" s="464">
        <v>2019.0</v>
      </c>
      <c r="I25" s="137" t="s">
        <v>4430</v>
      </c>
      <c r="J25" s="137" t="s">
        <v>4431</v>
      </c>
      <c r="K25" s="137" t="s">
        <v>4432</v>
      </c>
      <c r="L25" s="147"/>
      <c r="M25" s="147"/>
      <c r="N25" s="137" t="s">
        <v>4433</v>
      </c>
      <c r="O25" s="208"/>
      <c r="P25" s="187"/>
      <c r="Q25" s="187"/>
      <c r="R25" s="187"/>
      <c r="S25" s="187"/>
      <c r="T25" s="187"/>
      <c r="U25" s="187"/>
      <c r="V25" s="187"/>
      <c r="W25" s="187"/>
      <c r="X25" s="187"/>
      <c r="Y25" s="187"/>
      <c r="Z25" s="187"/>
      <c r="AA25" s="187"/>
      <c r="AB25" s="187"/>
      <c r="AC25" s="187"/>
      <c r="AD25" s="187"/>
      <c r="AE25" s="187"/>
      <c r="AF25" s="187"/>
    </row>
    <row r="26" ht="14.25" customHeight="1">
      <c r="A26" s="149">
        <v>7.0</v>
      </c>
      <c r="B26" s="143" t="s">
        <v>100</v>
      </c>
      <c r="C26" s="145"/>
      <c r="D26" s="143" t="s">
        <v>4383</v>
      </c>
      <c r="E26" s="143" t="s">
        <v>70</v>
      </c>
      <c r="F26" s="144">
        <v>1.93E7</v>
      </c>
      <c r="G26" s="143" t="s">
        <v>4429</v>
      </c>
      <c r="H26" s="464">
        <v>2019.0</v>
      </c>
      <c r="I26" s="143" t="s">
        <v>4434</v>
      </c>
      <c r="J26" s="143" t="s">
        <v>4435</v>
      </c>
      <c r="K26" s="143" t="s">
        <v>4436</v>
      </c>
      <c r="L26" s="145"/>
      <c r="M26" s="145"/>
      <c r="N26" s="143" t="s">
        <v>4437</v>
      </c>
      <c r="O26" s="204"/>
      <c r="P26" s="187"/>
      <c r="Q26" s="187"/>
      <c r="R26" s="187"/>
      <c r="S26" s="187"/>
      <c r="T26" s="187"/>
      <c r="U26" s="187"/>
      <c r="V26" s="187"/>
      <c r="W26" s="187"/>
      <c r="X26" s="187"/>
      <c r="Y26" s="187"/>
      <c r="Z26" s="187"/>
      <c r="AA26" s="187"/>
      <c r="AB26" s="187"/>
      <c r="AC26" s="187"/>
      <c r="AD26" s="187"/>
      <c r="AE26" s="187"/>
      <c r="AF26" s="187"/>
    </row>
    <row r="27" ht="14.25" customHeight="1">
      <c r="A27" s="150">
        <v>8.0</v>
      </c>
      <c r="B27" s="137" t="s">
        <v>100</v>
      </c>
      <c r="C27" s="147"/>
      <c r="D27" s="137" t="s">
        <v>4383</v>
      </c>
      <c r="E27" s="137" t="s">
        <v>70</v>
      </c>
      <c r="F27" s="138">
        <v>1.93E7</v>
      </c>
      <c r="G27" s="137" t="s">
        <v>4429</v>
      </c>
      <c r="H27" s="464">
        <v>2019.0</v>
      </c>
      <c r="I27" s="137" t="s">
        <v>4438</v>
      </c>
      <c r="J27" s="137" t="s">
        <v>4439</v>
      </c>
      <c r="K27" s="137" t="s">
        <v>4440</v>
      </c>
      <c r="L27" s="147"/>
      <c r="M27" s="147"/>
      <c r="N27" s="137" t="s">
        <v>4441</v>
      </c>
      <c r="O27" s="208"/>
      <c r="P27" s="187"/>
      <c r="Q27" s="187"/>
      <c r="R27" s="187"/>
      <c r="S27" s="187"/>
      <c r="T27" s="187"/>
      <c r="U27" s="187"/>
      <c r="V27" s="187"/>
      <c r="W27" s="187"/>
      <c r="X27" s="187"/>
      <c r="Y27" s="187"/>
      <c r="Z27" s="187"/>
      <c r="AA27" s="187"/>
      <c r="AB27" s="187"/>
      <c r="AC27" s="187"/>
      <c r="AD27" s="187"/>
      <c r="AE27" s="187"/>
      <c r="AF27" s="187"/>
    </row>
    <row r="28" ht="14.25" customHeight="1">
      <c r="A28" s="149">
        <v>9.0</v>
      </c>
      <c r="B28" s="143" t="s">
        <v>100</v>
      </c>
      <c r="C28" s="145"/>
      <c r="D28" s="143" t="s">
        <v>4383</v>
      </c>
      <c r="E28" s="143" t="s">
        <v>70</v>
      </c>
      <c r="F28" s="144">
        <v>1.93E7</v>
      </c>
      <c r="G28" s="143" t="s">
        <v>4429</v>
      </c>
      <c r="H28" s="464">
        <v>2019.0</v>
      </c>
      <c r="I28" s="143" t="s">
        <v>4442</v>
      </c>
      <c r="J28" s="143" t="s">
        <v>4443</v>
      </c>
      <c r="K28" s="143" t="s">
        <v>4444</v>
      </c>
      <c r="L28" s="145"/>
      <c r="M28" s="145"/>
      <c r="N28" s="143" t="s">
        <v>4445</v>
      </c>
      <c r="O28" s="204"/>
      <c r="P28" s="187"/>
      <c r="Q28" s="187"/>
      <c r="R28" s="187"/>
      <c r="S28" s="187"/>
      <c r="T28" s="187"/>
      <c r="U28" s="187"/>
      <c r="V28" s="187"/>
      <c r="W28" s="187"/>
      <c r="X28" s="187"/>
      <c r="Y28" s="187"/>
      <c r="Z28" s="187"/>
      <c r="AA28" s="187"/>
      <c r="AB28" s="187"/>
      <c r="AC28" s="187"/>
      <c r="AD28" s="187"/>
      <c r="AE28" s="187"/>
      <c r="AF28" s="187"/>
    </row>
    <row r="29" ht="14.25" customHeight="1">
      <c r="A29" s="150">
        <v>10.0</v>
      </c>
      <c r="B29" s="137" t="s">
        <v>100</v>
      </c>
      <c r="C29" s="147"/>
      <c r="D29" s="137" t="s">
        <v>4383</v>
      </c>
      <c r="E29" s="137" t="s">
        <v>70</v>
      </c>
      <c r="F29" s="138">
        <v>1.93E7</v>
      </c>
      <c r="G29" s="137" t="s">
        <v>4429</v>
      </c>
      <c r="H29" s="464">
        <v>2019.0</v>
      </c>
      <c r="I29" s="137" t="s">
        <v>4446</v>
      </c>
      <c r="J29" s="137" t="s">
        <v>4447</v>
      </c>
      <c r="K29" s="137" t="s">
        <v>4448</v>
      </c>
      <c r="L29" s="147"/>
      <c r="M29" s="147"/>
      <c r="N29" s="137" t="s">
        <v>4449</v>
      </c>
      <c r="O29" s="208"/>
      <c r="P29" s="187"/>
      <c r="Q29" s="187"/>
      <c r="R29" s="187"/>
      <c r="S29" s="187"/>
      <c r="T29" s="187"/>
      <c r="U29" s="187"/>
      <c r="V29" s="187"/>
      <c r="W29" s="187"/>
      <c r="X29" s="187"/>
      <c r="Y29" s="187"/>
      <c r="Z29" s="187"/>
      <c r="AA29" s="187"/>
      <c r="AB29" s="187"/>
      <c r="AC29" s="187"/>
      <c r="AD29" s="187"/>
      <c r="AE29" s="187"/>
      <c r="AF29" s="187"/>
    </row>
    <row r="30" ht="14.25" customHeight="1">
      <c r="A30" s="149">
        <v>11.0</v>
      </c>
      <c r="B30" s="143" t="s">
        <v>100</v>
      </c>
      <c r="C30" s="145"/>
      <c r="D30" s="143" t="s">
        <v>4383</v>
      </c>
      <c r="E30" s="143" t="s">
        <v>70</v>
      </c>
      <c r="F30" s="144">
        <v>1.93E7</v>
      </c>
      <c r="G30" s="143" t="s">
        <v>4429</v>
      </c>
      <c r="H30" s="464">
        <v>2019.0</v>
      </c>
      <c r="I30" s="143" t="s">
        <v>4450</v>
      </c>
      <c r="J30" s="143" t="s">
        <v>4451</v>
      </c>
      <c r="K30" s="143" t="s">
        <v>4452</v>
      </c>
      <c r="L30" s="145"/>
      <c r="M30" s="145"/>
      <c r="N30" s="143" t="s">
        <v>4453</v>
      </c>
      <c r="O30" s="204"/>
      <c r="P30" s="187"/>
      <c r="Q30" s="187"/>
      <c r="R30" s="187"/>
      <c r="S30" s="187"/>
      <c r="T30" s="187"/>
      <c r="U30" s="187"/>
      <c r="V30" s="187"/>
      <c r="W30" s="187"/>
      <c r="X30" s="187"/>
      <c r="Y30" s="187"/>
      <c r="Z30" s="187"/>
      <c r="AA30" s="187"/>
      <c r="AB30" s="187"/>
      <c r="AC30" s="187"/>
      <c r="AD30" s="187"/>
      <c r="AE30" s="187"/>
      <c r="AF30" s="187"/>
    </row>
    <row r="31" ht="14.25" customHeight="1">
      <c r="A31" s="150">
        <v>12.0</v>
      </c>
      <c r="B31" s="137" t="s">
        <v>100</v>
      </c>
      <c r="C31" s="147"/>
      <c r="D31" s="137" t="s">
        <v>4383</v>
      </c>
      <c r="E31" s="137" t="s">
        <v>70</v>
      </c>
      <c r="F31" s="138">
        <v>1.93E7</v>
      </c>
      <c r="G31" s="137" t="s">
        <v>4429</v>
      </c>
      <c r="H31" s="137">
        <v>2019.0</v>
      </c>
      <c r="I31" s="137" t="s">
        <v>4454</v>
      </c>
      <c r="J31" s="137" t="s">
        <v>4455</v>
      </c>
      <c r="K31" s="137" t="s">
        <v>4456</v>
      </c>
      <c r="L31" s="147"/>
      <c r="M31" s="147"/>
      <c r="N31" s="137" t="s">
        <v>4457</v>
      </c>
      <c r="O31" s="208"/>
      <c r="P31" s="187"/>
      <c r="Q31" s="187"/>
      <c r="R31" s="187"/>
      <c r="S31" s="187"/>
      <c r="T31" s="187"/>
      <c r="U31" s="187"/>
      <c r="V31" s="187"/>
      <c r="W31" s="187"/>
      <c r="X31" s="187"/>
      <c r="Y31" s="187"/>
      <c r="Z31" s="187"/>
      <c r="AA31" s="187"/>
      <c r="AB31" s="187"/>
      <c r="AC31" s="187"/>
      <c r="AD31" s="187"/>
      <c r="AE31" s="187"/>
      <c r="AF31" s="187"/>
    </row>
    <row r="32" ht="14.25" customHeight="1">
      <c r="A32" s="149">
        <v>13.0</v>
      </c>
      <c r="B32" s="143" t="s">
        <v>100</v>
      </c>
      <c r="C32" s="204"/>
      <c r="D32" s="143" t="s">
        <v>4383</v>
      </c>
      <c r="E32" s="143" t="s">
        <v>70</v>
      </c>
      <c r="F32" s="598">
        <v>1.93E7</v>
      </c>
      <c r="G32" s="143" t="s">
        <v>4429</v>
      </c>
      <c r="H32" s="464">
        <v>2019.0</v>
      </c>
      <c r="I32" s="143" t="s">
        <v>4458</v>
      </c>
      <c r="J32" s="143" t="s">
        <v>4459</v>
      </c>
      <c r="K32" s="143" t="s">
        <v>4460</v>
      </c>
      <c r="L32" s="204"/>
      <c r="M32" s="204"/>
      <c r="N32" s="143" t="s">
        <v>4461</v>
      </c>
      <c r="O32" s="204"/>
      <c r="P32" s="187"/>
      <c r="Q32" s="187"/>
      <c r="R32" s="187"/>
      <c r="S32" s="187"/>
      <c r="T32" s="187"/>
      <c r="U32" s="187"/>
      <c r="V32" s="187"/>
      <c r="W32" s="187"/>
      <c r="X32" s="187"/>
      <c r="Y32" s="187"/>
      <c r="Z32" s="187"/>
      <c r="AA32" s="187"/>
      <c r="AB32" s="187"/>
      <c r="AC32" s="187"/>
      <c r="AD32" s="187"/>
      <c r="AE32" s="187"/>
      <c r="AF32" s="187"/>
    </row>
    <row r="33" ht="14.25" customHeight="1">
      <c r="A33" s="187"/>
      <c r="B33" s="187"/>
      <c r="C33" s="187"/>
      <c r="D33" s="187"/>
      <c r="E33" s="187"/>
      <c r="F33" s="187"/>
      <c r="G33" s="187"/>
      <c r="H33" s="187"/>
      <c r="I33" s="187"/>
      <c r="J33" s="187"/>
      <c r="K33" s="187"/>
      <c r="L33" s="187"/>
      <c r="M33" s="187"/>
      <c r="N33" s="187"/>
      <c r="O33" s="187"/>
      <c r="P33" s="187"/>
      <c r="Q33" s="187"/>
      <c r="R33" s="187"/>
      <c r="S33" s="187"/>
      <c r="T33" s="187"/>
      <c r="U33" s="187"/>
      <c r="V33" s="187"/>
      <c r="W33" s="187"/>
      <c r="X33" s="187"/>
      <c r="Y33" s="187"/>
      <c r="Z33" s="187"/>
      <c r="AA33" s="187"/>
      <c r="AB33" s="187"/>
      <c r="AC33" s="187"/>
      <c r="AD33" s="187"/>
      <c r="AE33" s="187"/>
      <c r="AF33" s="187"/>
    </row>
    <row r="34" ht="14.25" customHeight="1">
      <c r="A34" s="187"/>
      <c r="B34" s="222" t="s">
        <v>4462</v>
      </c>
      <c r="E34" s="187"/>
      <c r="F34" s="187"/>
      <c r="G34" s="187"/>
      <c r="H34" s="187"/>
      <c r="I34" s="187"/>
      <c r="J34" s="187"/>
      <c r="K34" s="187"/>
      <c r="L34" s="187"/>
      <c r="M34" s="187"/>
      <c r="N34" s="187"/>
      <c r="O34" s="187"/>
      <c r="P34" s="187"/>
      <c r="Q34" s="187"/>
      <c r="R34" s="187"/>
      <c r="S34" s="187"/>
      <c r="T34" s="187"/>
      <c r="U34" s="187"/>
      <c r="V34" s="187"/>
      <c r="W34" s="187"/>
      <c r="X34" s="187"/>
      <c r="Y34" s="187"/>
      <c r="Z34" s="187"/>
      <c r="AA34" s="187"/>
      <c r="AB34" s="187"/>
      <c r="AC34" s="187"/>
      <c r="AD34" s="187"/>
      <c r="AE34" s="187"/>
      <c r="AF34" s="187"/>
    </row>
    <row r="35" ht="14.25" customHeight="1">
      <c r="A35" s="599">
        <v>284.0</v>
      </c>
      <c r="B35" s="600" t="s">
        <v>4463</v>
      </c>
      <c r="C35" s="600" t="s">
        <v>4464</v>
      </c>
      <c r="D35" s="600" t="s">
        <v>2815</v>
      </c>
      <c r="E35" s="600" t="s">
        <v>4465</v>
      </c>
      <c r="F35" s="600" t="s">
        <v>4466</v>
      </c>
      <c r="G35" s="600">
        <v>1462230.0</v>
      </c>
      <c r="H35" s="601" t="s">
        <v>4467</v>
      </c>
      <c r="I35" s="600" t="s">
        <v>3743</v>
      </c>
      <c r="J35" s="602">
        <v>3.53111E8</v>
      </c>
      <c r="K35" s="599">
        <v>0.0</v>
      </c>
      <c r="L35" s="603"/>
      <c r="M35" s="603"/>
      <c r="N35" s="603"/>
      <c r="O35" s="600">
        <v>2013.0</v>
      </c>
      <c r="P35" s="603"/>
      <c r="Q35" s="603"/>
      <c r="R35" s="600" t="s">
        <v>772</v>
      </c>
      <c r="S35" s="599">
        <v>1.0</v>
      </c>
      <c r="T35" s="599">
        <v>0.0</v>
      </c>
      <c r="U35" s="603"/>
      <c r="V35" s="600" t="s">
        <v>4468</v>
      </c>
      <c r="W35" s="603"/>
      <c r="X35" s="603"/>
      <c r="Y35" s="599">
        <v>0.0</v>
      </c>
      <c r="Z35" s="603"/>
      <c r="AA35" s="603"/>
      <c r="AB35" s="603"/>
      <c r="AC35" s="603"/>
      <c r="AD35" s="603"/>
      <c r="AE35" s="600" t="s">
        <v>4469</v>
      </c>
      <c r="AF35" s="600" t="s">
        <v>4470</v>
      </c>
    </row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A3:M3"/>
    <mergeCell ref="A4:M4"/>
    <mergeCell ref="B34:D34"/>
  </mergeCells>
  <printOptions/>
  <pageMargins bottom="0.7480314960629921" footer="0.0" header="0.0" left="0.7086614173228347" right="0.7086614173228347" top="0.7480314960629921"/>
  <pageSetup paperSize="5" scale="70" orientation="landscape"/>
  <drawing r:id="rId1"/>
  <tableParts count="1">
    <tablePart r:id="rId3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 fitToPage="1"/>
  </sheetPr>
  <sheetViews>
    <sheetView workbookViewId="0"/>
  </sheetViews>
  <sheetFormatPr customHeight="1" defaultColWidth="14.43" defaultRowHeight="15.0"/>
  <cols>
    <col customWidth="1" min="1" max="1" width="5.29"/>
    <col customWidth="1" min="2" max="2" width="39.86"/>
    <col customWidth="1" min="3" max="3" width="31.14"/>
    <col customWidth="1" min="4" max="4" width="10.57"/>
    <col customWidth="1" min="5" max="5" width="9.14"/>
    <col customWidth="1" min="6" max="6" width="15.43"/>
    <col customWidth="1" min="7" max="7" width="25.86"/>
    <col customWidth="1" min="8" max="8" width="9.57"/>
    <col customWidth="1" min="9" max="9" width="17.0"/>
    <col customWidth="1" min="10" max="10" width="33.14"/>
    <col customWidth="1" min="11" max="11" width="15.86"/>
    <col customWidth="1" min="12" max="12" width="12.43"/>
    <col customWidth="1" min="13" max="13" width="34.14"/>
    <col customWidth="1" min="14" max="14" width="37.14"/>
    <col customWidth="1" min="15" max="15" width="21.14"/>
    <col customWidth="1" min="16" max="27" width="8.71"/>
  </cols>
  <sheetData>
    <row r="1" ht="14.25" customHeight="1">
      <c r="M1" s="604"/>
    </row>
    <row r="2" ht="14.25" customHeight="1">
      <c r="M2" s="604"/>
    </row>
    <row r="3" ht="14.25" customHeight="1">
      <c r="A3" s="1" t="s">
        <v>0</v>
      </c>
    </row>
    <row r="4" ht="14.25" customHeight="1">
      <c r="A4" s="1" t="s">
        <v>1</v>
      </c>
    </row>
    <row r="5" ht="14.25" customHeight="1">
      <c r="M5" s="604"/>
    </row>
    <row r="6" ht="14.25" customHeight="1">
      <c r="M6" s="604"/>
    </row>
    <row r="7" ht="14.25" customHeight="1">
      <c r="A7" s="2" t="s">
        <v>2</v>
      </c>
      <c r="C7" s="2" t="s">
        <v>3</v>
      </c>
      <c r="M7" s="604"/>
    </row>
    <row r="8" ht="14.25" customHeight="1">
      <c r="A8" s="2" t="s">
        <v>4</v>
      </c>
      <c r="C8" s="2" t="s">
        <v>5</v>
      </c>
      <c r="M8" s="604"/>
    </row>
    <row r="9" ht="14.25" customHeight="1">
      <c r="A9" s="2" t="s">
        <v>6</v>
      </c>
      <c r="C9" s="2" t="s">
        <v>4471</v>
      </c>
      <c r="M9" s="604"/>
    </row>
    <row r="10" ht="14.25" customHeight="1">
      <c r="A10" s="124" t="s">
        <v>8</v>
      </c>
      <c r="B10" s="125" t="s">
        <v>9</v>
      </c>
      <c r="C10" s="125" t="s">
        <v>10</v>
      </c>
      <c r="D10" s="125" t="s">
        <v>11</v>
      </c>
      <c r="E10" s="125" t="s">
        <v>12</v>
      </c>
      <c r="F10" s="125" t="s">
        <v>13</v>
      </c>
      <c r="G10" s="125" t="s">
        <v>14</v>
      </c>
      <c r="H10" s="125" t="s">
        <v>15</v>
      </c>
      <c r="I10" s="125" t="s">
        <v>16</v>
      </c>
      <c r="J10" s="125" t="s">
        <v>17</v>
      </c>
      <c r="K10" s="125" t="s">
        <v>4472</v>
      </c>
      <c r="L10" s="125" t="s">
        <v>1882</v>
      </c>
      <c r="M10" s="605" t="s">
        <v>20</v>
      </c>
      <c r="N10" s="125" t="s">
        <v>1883</v>
      </c>
      <c r="O10" s="125" t="s">
        <v>2361</v>
      </c>
      <c r="P10" s="187"/>
      <c r="Q10" s="187"/>
      <c r="R10" s="187"/>
      <c r="S10" s="187"/>
      <c r="T10" s="187"/>
      <c r="U10" s="187"/>
      <c r="V10" s="187"/>
      <c r="W10" s="187"/>
      <c r="X10" s="187"/>
      <c r="Y10" s="187"/>
      <c r="Z10" s="187"/>
      <c r="AA10" s="187"/>
    </row>
    <row r="11" ht="14.25" customHeight="1">
      <c r="A11" s="606"/>
      <c r="B11" s="607" t="s">
        <v>23</v>
      </c>
      <c r="C11" s="608"/>
      <c r="D11" s="608"/>
      <c r="E11" s="608"/>
      <c r="F11" s="609">
        <v>4.889E8</v>
      </c>
      <c r="G11" s="610"/>
      <c r="H11" s="610"/>
      <c r="I11" s="610"/>
      <c r="J11" s="610"/>
      <c r="K11" s="610"/>
      <c r="L11" s="610"/>
      <c r="M11" s="611"/>
      <c r="N11" s="612"/>
      <c r="O11" s="502"/>
      <c r="P11" s="613"/>
      <c r="Q11" s="613"/>
      <c r="R11" s="613"/>
      <c r="S11" s="613"/>
      <c r="T11" s="613"/>
      <c r="U11" s="613"/>
      <c r="V11" s="613"/>
      <c r="W11" s="613"/>
      <c r="X11" s="613"/>
      <c r="Y11" s="613"/>
      <c r="Z11" s="613"/>
      <c r="AA11" s="613"/>
    </row>
    <row r="12" ht="14.25" customHeight="1">
      <c r="A12" s="614">
        <v>1.0</v>
      </c>
      <c r="B12" s="615" t="s">
        <v>780</v>
      </c>
      <c r="C12" s="615" t="s">
        <v>4473</v>
      </c>
      <c r="D12" s="615" t="s">
        <v>4474</v>
      </c>
      <c r="E12" s="615" t="s">
        <v>70</v>
      </c>
      <c r="F12" s="616">
        <v>8.5E7</v>
      </c>
      <c r="G12" s="615" t="s">
        <v>1025</v>
      </c>
      <c r="H12" s="615">
        <v>2001.0</v>
      </c>
      <c r="I12" s="617" t="s">
        <v>4475</v>
      </c>
      <c r="J12" s="615" t="s">
        <v>4476</v>
      </c>
      <c r="K12" s="615" t="s">
        <v>4477</v>
      </c>
      <c r="L12" s="615" t="s">
        <v>4478</v>
      </c>
      <c r="M12" s="618" t="s">
        <v>4479</v>
      </c>
      <c r="N12" s="619" t="s">
        <v>4480</v>
      </c>
      <c r="O12" s="615" t="s">
        <v>1904</v>
      </c>
      <c r="P12" s="620"/>
      <c r="Q12" s="620"/>
      <c r="R12" s="620"/>
      <c r="S12" s="620"/>
      <c r="T12" s="620"/>
      <c r="U12" s="620"/>
      <c r="V12" s="620"/>
      <c r="W12" s="620"/>
      <c r="X12" s="620"/>
      <c r="Y12" s="620"/>
      <c r="Z12" s="620"/>
      <c r="AA12" s="620"/>
    </row>
    <row r="13" ht="14.25" customHeight="1">
      <c r="A13" s="621">
        <v>2.0</v>
      </c>
      <c r="B13" s="622" t="s">
        <v>780</v>
      </c>
      <c r="C13" s="622" t="s">
        <v>4481</v>
      </c>
      <c r="D13" s="622" t="s">
        <v>4474</v>
      </c>
      <c r="E13" s="622" t="s">
        <v>931</v>
      </c>
      <c r="F13" s="623">
        <v>1.925E8</v>
      </c>
      <c r="G13" s="622" t="s">
        <v>4482</v>
      </c>
      <c r="H13" s="622">
        <v>2014.0</v>
      </c>
      <c r="I13" s="624" t="s">
        <v>4483</v>
      </c>
      <c r="J13" s="622" t="s">
        <v>4484</v>
      </c>
      <c r="K13" s="622" t="s">
        <v>4485</v>
      </c>
      <c r="L13" s="622" t="s">
        <v>4486</v>
      </c>
      <c r="M13" s="625" t="s">
        <v>2362</v>
      </c>
      <c r="N13" s="626"/>
      <c r="O13" s="627"/>
      <c r="P13" s="620"/>
      <c r="Q13" s="620"/>
      <c r="R13" s="620"/>
      <c r="S13" s="620"/>
      <c r="T13" s="620"/>
      <c r="U13" s="620"/>
      <c r="V13" s="620"/>
      <c r="W13" s="620"/>
      <c r="X13" s="620"/>
      <c r="Y13" s="620"/>
      <c r="Z13" s="620"/>
      <c r="AA13" s="620"/>
    </row>
    <row r="14" ht="14.25" customHeight="1">
      <c r="A14" s="628">
        <v>3.0</v>
      </c>
      <c r="B14" s="629" t="s">
        <v>1288</v>
      </c>
      <c r="C14" s="629" t="s">
        <v>4487</v>
      </c>
      <c r="D14" s="629" t="s">
        <v>4474</v>
      </c>
      <c r="E14" s="629" t="s">
        <v>70</v>
      </c>
      <c r="F14" s="630">
        <v>2.114E8</v>
      </c>
      <c r="G14" s="629" t="s">
        <v>1288</v>
      </c>
      <c r="H14" s="629">
        <v>2018.0</v>
      </c>
      <c r="I14" s="631" t="s">
        <v>4488</v>
      </c>
      <c r="J14" s="629" t="s">
        <v>4489</v>
      </c>
      <c r="K14" s="629" t="s">
        <v>4490</v>
      </c>
      <c r="L14" s="629" t="s">
        <v>4491</v>
      </c>
      <c r="M14" s="632"/>
      <c r="N14" s="633" t="s">
        <v>4492</v>
      </c>
      <c r="O14" s="629" t="s">
        <v>4493</v>
      </c>
      <c r="P14" s="620"/>
      <c r="Q14" s="634"/>
      <c r="R14" s="634"/>
      <c r="S14" s="634"/>
      <c r="T14" s="634"/>
      <c r="U14" s="634"/>
      <c r="V14" s="634"/>
      <c r="W14" s="634"/>
      <c r="X14" s="634"/>
      <c r="Y14" s="634"/>
      <c r="Z14" s="634"/>
      <c r="AA14" s="634"/>
    </row>
    <row r="15" ht="14.25" customHeight="1">
      <c r="A15" s="635"/>
      <c r="B15" s="636" t="s">
        <v>99</v>
      </c>
      <c r="C15" s="637"/>
      <c r="D15" s="637"/>
      <c r="E15" s="637"/>
      <c r="F15" s="638">
        <v>2.48337415E8</v>
      </c>
      <c r="G15" s="639"/>
      <c r="H15" s="639"/>
      <c r="I15" s="639"/>
      <c r="J15" s="639"/>
      <c r="K15" s="639"/>
      <c r="L15" s="639"/>
      <c r="M15" s="640"/>
      <c r="N15" s="641"/>
      <c r="O15" s="642"/>
      <c r="P15" s="643"/>
      <c r="Q15" s="643"/>
      <c r="R15" s="643"/>
      <c r="S15" s="643"/>
      <c r="T15" s="643"/>
      <c r="U15" s="643"/>
      <c r="V15" s="643"/>
      <c r="W15" s="643"/>
      <c r="X15" s="643"/>
      <c r="Y15" s="643"/>
      <c r="Z15" s="643"/>
      <c r="AA15" s="643"/>
    </row>
    <row r="16" ht="14.25" customHeight="1">
      <c r="A16" s="614">
        <v>1.0</v>
      </c>
      <c r="B16" s="615" t="s">
        <v>100</v>
      </c>
      <c r="C16" s="615" t="s">
        <v>4494</v>
      </c>
      <c r="D16" s="615" t="s">
        <v>4474</v>
      </c>
      <c r="E16" s="615" t="s">
        <v>70</v>
      </c>
      <c r="F16" s="616">
        <v>1.45E7</v>
      </c>
      <c r="G16" s="615" t="s">
        <v>1579</v>
      </c>
      <c r="H16" s="615">
        <v>2011.0</v>
      </c>
      <c r="I16" s="617" t="s">
        <v>4495</v>
      </c>
      <c r="J16" s="615" t="s">
        <v>4496</v>
      </c>
      <c r="K16" s="615" t="s">
        <v>4497</v>
      </c>
      <c r="L16" s="615" t="s">
        <v>4498</v>
      </c>
      <c r="M16" s="618" t="s">
        <v>4479</v>
      </c>
      <c r="N16" s="619" t="s">
        <v>4499</v>
      </c>
      <c r="O16" s="615" t="s">
        <v>4500</v>
      </c>
      <c r="P16" s="620"/>
      <c r="Q16" s="620"/>
      <c r="R16" s="620"/>
      <c r="S16" s="620"/>
      <c r="T16" s="620"/>
      <c r="U16" s="620"/>
      <c r="V16" s="620"/>
      <c r="W16" s="620"/>
      <c r="X16" s="620"/>
      <c r="Y16" s="620"/>
      <c r="Z16" s="620"/>
      <c r="AA16" s="620"/>
    </row>
    <row r="17" ht="14.25" customHeight="1">
      <c r="A17" s="644">
        <v>2.0</v>
      </c>
      <c r="B17" s="645" t="s">
        <v>100</v>
      </c>
      <c r="C17" s="645" t="s">
        <v>4501</v>
      </c>
      <c r="D17" s="645" t="s">
        <v>4474</v>
      </c>
      <c r="E17" s="645" t="s">
        <v>70</v>
      </c>
      <c r="F17" s="646">
        <v>1.4667415E7</v>
      </c>
      <c r="G17" s="645" t="s">
        <v>1579</v>
      </c>
      <c r="H17" s="645">
        <v>2013.0</v>
      </c>
      <c r="I17" s="617" t="s">
        <v>4502</v>
      </c>
      <c r="J17" s="645" t="s">
        <v>4503</v>
      </c>
      <c r="K17" s="645" t="s">
        <v>4504</v>
      </c>
      <c r="L17" s="645" t="s">
        <v>4505</v>
      </c>
      <c r="M17" s="647" t="s">
        <v>4479</v>
      </c>
      <c r="N17" s="648" t="s">
        <v>4506</v>
      </c>
      <c r="O17" s="645" t="s">
        <v>4507</v>
      </c>
      <c r="P17" s="620"/>
      <c r="Q17" s="620"/>
      <c r="R17" s="620"/>
      <c r="S17" s="620"/>
      <c r="T17" s="620"/>
      <c r="U17" s="620"/>
      <c r="V17" s="620"/>
      <c r="W17" s="620"/>
      <c r="X17" s="620"/>
      <c r="Y17" s="620"/>
      <c r="Z17" s="620"/>
      <c r="AA17" s="620"/>
    </row>
    <row r="18" ht="14.25" customHeight="1">
      <c r="A18" s="628">
        <v>3.0</v>
      </c>
      <c r="B18" s="629" t="s">
        <v>100</v>
      </c>
      <c r="C18" s="629" t="s">
        <v>4508</v>
      </c>
      <c r="D18" s="629" t="s">
        <v>4474</v>
      </c>
      <c r="E18" s="629" t="s">
        <v>70</v>
      </c>
      <c r="F18" s="630">
        <v>3.0145E7</v>
      </c>
      <c r="G18" s="629" t="s">
        <v>1260</v>
      </c>
      <c r="H18" s="629">
        <v>2022.0</v>
      </c>
      <c r="I18" s="631" t="s">
        <v>4509</v>
      </c>
      <c r="J18" s="629" t="s">
        <v>4510</v>
      </c>
      <c r="K18" s="629" t="s">
        <v>4511</v>
      </c>
      <c r="L18" s="629" t="s">
        <v>4512</v>
      </c>
      <c r="M18" s="632"/>
      <c r="N18" s="633" t="s">
        <v>4513</v>
      </c>
      <c r="O18" s="629" t="s">
        <v>4514</v>
      </c>
      <c r="P18" s="620"/>
      <c r="Q18" s="634"/>
      <c r="R18" s="634"/>
      <c r="S18" s="634"/>
      <c r="T18" s="634"/>
      <c r="U18" s="634"/>
      <c r="V18" s="634"/>
      <c r="W18" s="634"/>
      <c r="X18" s="634"/>
      <c r="Y18" s="634"/>
      <c r="Z18" s="634"/>
      <c r="AA18" s="634"/>
    </row>
    <row r="19" ht="14.25" customHeight="1">
      <c r="A19" s="649">
        <v>4.0</v>
      </c>
      <c r="B19" s="650" t="s">
        <v>100</v>
      </c>
      <c r="C19" s="650" t="s">
        <v>4508</v>
      </c>
      <c r="D19" s="650" t="s">
        <v>4474</v>
      </c>
      <c r="E19" s="650" t="s">
        <v>70</v>
      </c>
      <c r="F19" s="651">
        <v>3.0145E7</v>
      </c>
      <c r="G19" s="650" t="s">
        <v>1260</v>
      </c>
      <c r="H19" s="650">
        <v>2022.0</v>
      </c>
      <c r="I19" s="631" t="s">
        <v>4515</v>
      </c>
      <c r="J19" s="650" t="s">
        <v>4516</v>
      </c>
      <c r="K19" s="650" t="s">
        <v>4517</v>
      </c>
      <c r="L19" s="650" t="s">
        <v>4518</v>
      </c>
      <c r="M19" s="652"/>
      <c r="N19" s="653" t="s">
        <v>4519</v>
      </c>
      <c r="O19" s="650" t="s">
        <v>4500</v>
      </c>
      <c r="P19" s="634"/>
      <c r="Q19" s="634"/>
      <c r="R19" s="634"/>
      <c r="S19" s="634"/>
      <c r="T19" s="634"/>
      <c r="U19" s="634"/>
      <c r="V19" s="634"/>
      <c r="W19" s="634"/>
      <c r="X19" s="634"/>
      <c r="Y19" s="634"/>
      <c r="Z19" s="634"/>
      <c r="AA19" s="634"/>
    </row>
    <row r="20" ht="14.25" customHeight="1">
      <c r="A20" s="628">
        <v>5.0</v>
      </c>
      <c r="B20" s="629" t="s">
        <v>100</v>
      </c>
      <c r="C20" s="629" t="s">
        <v>4508</v>
      </c>
      <c r="D20" s="629" t="s">
        <v>4474</v>
      </c>
      <c r="E20" s="629" t="s">
        <v>70</v>
      </c>
      <c r="F20" s="630">
        <v>3.0145E7</v>
      </c>
      <c r="G20" s="629" t="s">
        <v>1260</v>
      </c>
      <c r="H20" s="629">
        <v>2022.0</v>
      </c>
      <c r="I20" s="631" t="s">
        <v>4520</v>
      </c>
      <c r="J20" s="629" t="s">
        <v>4521</v>
      </c>
      <c r="K20" s="629" t="s">
        <v>4522</v>
      </c>
      <c r="L20" s="629" t="s">
        <v>4523</v>
      </c>
      <c r="M20" s="632"/>
      <c r="N20" s="633" t="s">
        <v>4524</v>
      </c>
      <c r="O20" s="629" t="s">
        <v>4525</v>
      </c>
      <c r="P20" s="620"/>
      <c r="Q20" s="634"/>
      <c r="R20" s="634"/>
      <c r="S20" s="634"/>
      <c r="T20" s="634"/>
      <c r="U20" s="634"/>
      <c r="V20" s="634"/>
      <c r="W20" s="634"/>
      <c r="X20" s="634"/>
      <c r="Y20" s="634"/>
      <c r="Z20" s="634"/>
      <c r="AA20" s="634"/>
    </row>
    <row r="21" ht="14.25" customHeight="1">
      <c r="A21" s="649">
        <v>6.0</v>
      </c>
      <c r="B21" s="650" t="s">
        <v>100</v>
      </c>
      <c r="C21" s="650" t="s">
        <v>4508</v>
      </c>
      <c r="D21" s="650" t="s">
        <v>4474</v>
      </c>
      <c r="E21" s="650" t="s">
        <v>70</v>
      </c>
      <c r="F21" s="651">
        <v>3.0145E7</v>
      </c>
      <c r="G21" s="650" t="s">
        <v>1260</v>
      </c>
      <c r="H21" s="650">
        <v>2022.0</v>
      </c>
      <c r="I21" s="631" t="s">
        <v>4526</v>
      </c>
      <c r="J21" s="650" t="s">
        <v>4527</v>
      </c>
      <c r="K21" s="650" t="s">
        <v>4528</v>
      </c>
      <c r="L21" s="650" t="s">
        <v>4529</v>
      </c>
      <c r="M21" s="652"/>
      <c r="N21" s="653" t="s">
        <v>4530</v>
      </c>
      <c r="O21" s="650" t="s">
        <v>4507</v>
      </c>
      <c r="P21" s="620"/>
      <c r="Q21" s="634"/>
      <c r="R21" s="634"/>
      <c r="S21" s="634"/>
      <c r="T21" s="634"/>
      <c r="U21" s="634"/>
      <c r="V21" s="634"/>
      <c r="W21" s="634"/>
      <c r="X21" s="634"/>
      <c r="Y21" s="634"/>
      <c r="Z21" s="634"/>
      <c r="AA21" s="634"/>
    </row>
    <row r="22" ht="14.25" customHeight="1">
      <c r="A22" s="628">
        <v>7.0</v>
      </c>
      <c r="B22" s="629" t="s">
        <v>100</v>
      </c>
      <c r="C22" s="629" t="s">
        <v>4508</v>
      </c>
      <c r="D22" s="629" t="s">
        <v>4474</v>
      </c>
      <c r="E22" s="629" t="s">
        <v>70</v>
      </c>
      <c r="F22" s="630">
        <v>3.0145E7</v>
      </c>
      <c r="G22" s="629" t="s">
        <v>1260</v>
      </c>
      <c r="H22" s="629">
        <v>2022.0</v>
      </c>
      <c r="I22" s="631" t="s">
        <v>4531</v>
      </c>
      <c r="J22" s="629" t="s">
        <v>4532</v>
      </c>
      <c r="K22" s="629" t="s">
        <v>4533</v>
      </c>
      <c r="L22" s="629" t="s">
        <v>4534</v>
      </c>
      <c r="M22" s="632"/>
      <c r="N22" s="633" t="s">
        <v>4535</v>
      </c>
      <c r="O22" s="629" t="s">
        <v>4525</v>
      </c>
      <c r="P22" s="620"/>
      <c r="Q22" s="634"/>
      <c r="R22" s="634"/>
      <c r="S22" s="634"/>
      <c r="T22" s="634"/>
      <c r="U22" s="634"/>
      <c r="V22" s="634"/>
      <c r="W22" s="634"/>
      <c r="X22" s="634"/>
      <c r="Y22" s="634"/>
      <c r="Z22" s="634"/>
      <c r="AA22" s="634"/>
    </row>
    <row r="23" ht="14.25" customHeight="1">
      <c r="A23" s="649">
        <v>8.0</v>
      </c>
      <c r="B23" s="650" t="s">
        <v>4536</v>
      </c>
      <c r="C23" s="650" t="s">
        <v>4537</v>
      </c>
      <c r="D23" s="650" t="s">
        <v>4474</v>
      </c>
      <c r="E23" s="650" t="s">
        <v>70</v>
      </c>
      <c r="F23" s="651">
        <v>3.572E7</v>
      </c>
      <c r="G23" s="650" t="s">
        <v>1260</v>
      </c>
      <c r="H23" s="650">
        <v>2023.0</v>
      </c>
      <c r="I23" s="631" t="s">
        <v>4538</v>
      </c>
      <c r="J23" s="650" t="s">
        <v>4539</v>
      </c>
      <c r="K23" s="650" t="s">
        <v>4540</v>
      </c>
      <c r="L23" s="650" t="s">
        <v>4541</v>
      </c>
      <c r="M23" s="652"/>
      <c r="N23" s="653" t="s">
        <v>4542</v>
      </c>
      <c r="O23" s="650" t="s">
        <v>2947</v>
      </c>
      <c r="P23" s="620"/>
      <c r="Q23" s="634"/>
      <c r="R23" s="634"/>
      <c r="S23" s="634"/>
      <c r="T23" s="634"/>
      <c r="U23" s="634"/>
      <c r="V23" s="634"/>
      <c r="W23" s="634"/>
      <c r="X23" s="634"/>
      <c r="Y23" s="634"/>
      <c r="Z23" s="634"/>
      <c r="AA23" s="634"/>
    </row>
    <row r="24" ht="14.25" customHeight="1">
      <c r="A24" s="614">
        <v>9.0</v>
      </c>
      <c r="B24" s="615" t="s">
        <v>100</v>
      </c>
      <c r="C24" s="615" t="s">
        <v>4543</v>
      </c>
      <c r="D24" s="615" t="s">
        <v>4474</v>
      </c>
      <c r="E24" s="615" t="s">
        <v>70</v>
      </c>
      <c r="F24" s="616">
        <v>3.2725E7</v>
      </c>
      <c r="G24" s="629" t="s">
        <v>1260</v>
      </c>
      <c r="H24" s="615">
        <v>2024.0</v>
      </c>
      <c r="I24" s="654" t="s">
        <v>4544</v>
      </c>
      <c r="J24" s="615" t="s">
        <v>4545</v>
      </c>
      <c r="K24" s="615" t="s">
        <v>4546</v>
      </c>
      <c r="L24" s="615" t="s">
        <v>4547</v>
      </c>
      <c r="M24" s="655"/>
      <c r="N24" s="619" t="s">
        <v>4548</v>
      </c>
      <c r="O24" s="615" t="s">
        <v>4514</v>
      </c>
      <c r="P24" s="620"/>
      <c r="Q24" s="620"/>
      <c r="R24" s="620"/>
      <c r="S24" s="620"/>
      <c r="T24" s="620"/>
      <c r="U24" s="620"/>
      <c r="V24" s="620"/>
      <c r="W24" s="620"/>
      <c r="X24" s="620"/>
      <c r="Y24" s="620"/>
      <c r="Z24" s="620"/>
      <c r="AA24" s="620"/>
    </row>
    <row r="25" ht="14.25" customHeight="1">
      <c r="A25" s="656"/>
      <c r="B25" s="657" t="s">
        <v>2806</v>
      </c>
      <c r="C25" s="658"/>
      <c r="D25" s="658"/>
      <c r="E25" s="658"/>
      <c r="F25" s="659">
        <v>1.725E8</v>
      </c>
      <c r="G25" s="660"/>
      <c r="H25" s="660"/>
      <c r="I25" s="660"/>
      <c r="J25" s="660"/>
      <c r="K25" s="660"/>
      <c r="L25" s="660"/>
      <c r="M25" s="661"/>
      <c r="N25" s="662"/>
      <c r="O25" s="663"/>
      <c r="P25" s="643"/>
      <c r="Q25" s="643"/>
      <c r="R25" s="643"/>
      <c r="S25" s="643"/>
      <c r="T25" s="643"/>
      <c r="U25" s="643"/>
      <c r="V25" s="643"/>
      <c r="W25" s="643"/>
      <c r="X25" s="643"/>
      <c r="Y25" s="643"/>
      <c r="Z25" s="643"/>
      <c r="AA25" s="643"/>
    </row>
    <row r="26" ht="14.25" customHeight="1">
      <c r="A26" s="664">
        <v>1.0</v>
      </c>
      <c r="B26" s="615" t="s">
        <v>4549</v>
      </c>
      <c r="C26" s="615" t="s">
        <v>4550</v>
      </c>
      <c r="D26" s="615" t="s">
        <v>4474</v>
      </c>
      <c r="E26" s="615" t="s">
        <v>70</v>
      </c>
      <c r="F26" s="616">
        <v>1.725E8</v>
      </c>
      <c r="G26" s="615" t="s">
        <v>885</v>
      </c>
      <c r="H26" s="615">
        <v>2010.0</v>
      </c>
      <c r="I26" s="617" t="s">
        <v>4551</v>
      </c>
      <c r="J26" s="615" t="s">
        <v>4552</v>
      </c>
      <c r="K26" s="615" t="s">
        <v>4553</v>
      </c>
      <c r="L26" s="615" t="s">
        <v>4554</v>
      </c>
      <c r="M26" s="618" t="s">
        <v>4479</v>
      </c>
      <c r="N26" s="618" t="s">
        <v>4555</v>
      </c>
      <c r="O26" s="615" t="s">
        <v>4556</v>
      </c>
      <c r="P26" s="620"/>
      <c r="Q26" s="620"/>
      <c r="R26" s="620"/>
      <c r="S26" s="620"/>
      <c r="T26" s="620"/>
      <c r="U26" s="620"/>
      <c r="V26" s="620"/>
      <c r="W26" s="620"/>
      <c r="X26" s="620"/>
      <c r="Y26" s="620"/>
      <c r="Z26" s="620"/>
      <c r="AA26" s="620"/>
    </row>
    <row r="27" ht="14.25" customHeight="1">
      <c r="M27" s="604"/>
    </row>
    <row r="28" ht="14.25" customHeight="1">
      <c r="M28" s="604"/>
    </row>
    <row r="29" ht="14.25" customHeight="1">
      <c r="M29" s="604"/>
    </row>
    <row r="30" ht="14.25" customHeight="1">
      <c r="M30" s="604"/>
    </row>
    <row r="31" ht="14.25" customHeight="1">
      <c r="M31" s="604"/>
    </row>
    <row r="32" ht="14.25" customHeight="1">
      <c r="M32" s="604"/>
    </row>
    <row r="33" ht="14.25" customHeight="1">
      <c r="M33" s="604"/>
    </row>
    <row r="34" ht="14.25" customHeight="1">
      <c r="M34" s="604"/>
    </row>
    <row r="35" ht="14.25" customHeight="1">
      <c r="M35" s="604"/>
    </row>
    <row r="36" ht="14.25" customHeight="1">
      <c r="M36" s="604"/>
    </row>
    <row r="37" ht="14.25" customHeight="1">
      <c r="M37" s="604"/>
    </row>
    <row r="38" ht="14.25" customHeight="1">
      <c r="M38" s="604"/>
    </row>
    <row r="39" ht="14.25" customHeight="1">
      <c r="M39" s="604"/>
    </row>
    <row r="40" ht="14.25" customHeight="1">
      <c r="M40" s="604"/>
    </row>
    <row r="41" ht="14.25" customHeight="1">
      <c r="M41" s="604"/>
    </row>
    <row r="42" ht="14.25" customHeight="1">
      <c r="M42" s="604"/>
    </row>
    <row r="43" ht="14.25" customHeight="1">
      <c r="M43" s="604"/>
    </row>
    <row r="44" ht="14.25" customHeight="1">
      <c r="M44" s="604"/>
    </row>
    <row r="45" ht="14.25" customHeight="1">
      <c r="M45" s="604"/>
    </row>
    <row r="46" ht="14.25" customHeight="1">
      <c r="M46" s="604"/>
    </row>
    <row r="47" ht="14.25" customHeight="1">
      <c r="M47" s="604"/>
    </row>
    <row r="48" ht="14.25" customHeight="1">
      <c r="M48" s="604"/>
    </row>
    <row r="49" ht="14.25" customHeight="1">
      <c r="M49" s="604"/>
    </row>
    <row r="50" ht="14.25" customHeight="1">
      <c r="M50" s="604"/>
    </row>
    <row r="51" ht="14.25" customHeight="1">
      <c r="M51" s="604"/>
    </row>
    <row r="52" ht="14.25" customHeight="1">
      <c r="M52" s="604"/>
    </row>
    <row r="53" ht="14.25" customHeight="1">
      <c r="M53" s="604"/>
    </row>
    <row r="54" ht="14.25" customHeight="1">
      <c r="M54" s="604"/>
    </row>
    <row r="55" ht="14.25" customHeight="1">
      <c r="M55" s="604"/>
    </row>
    <row r="56" ht="14.25" customHeight="1">
      <c r="M56" s="604"/>
    </row>
    <row r="57" ht="14.25" customHeight="1">
      <c r="M57" s="604"/>
    </row>
    <row r="58" ht="14.25" customHeight="1">
      <c r="M58" s="604"/>
    </row>
    <row r="59" ht="14.25" customHeight="1">
      <c r="M59" s="604"/>
    </row>
    <row r="60" ht="14.25" customHeight="1">
      <c r="M60" s="604"/>
    </row>
    <row r="61" ht="14.25" customHeight="1">
      <c r="M61" s="604"/>
    </row>
    <row r="62" ht="14.25" customHeight="1">
      <c r="M62" s="604"/>
    </row>
    <row r="63" ht="14.25" customHeight="1">
      <c r="M63" s="604"/>
    </row>
    <row r="64" ht="14.25" customHeight="1">
      <c r="M64" s="604"/>
    </row>
    <row r="65" ht="14.25" customHeight="1">
      <c r="M65" s="604"/>
    </row>
    <row r="66" ht="14.25" customHeight="1">
      <c r="M66" s="604"/>
    </row>
    <row r="67" ht="14.25" customHeight="1">
      <c r="M67" s="604"/>
    </row>
    <row r="68" ht="14.25" customHeight="1">
      <c r="M68" s="604"/>
    </row>
    <row r="69" ht="14.25" customHeight="1">
      <c r="M69" s="604"/>
    </row>
    <row r="70" ht="14.25" customHeight="1">
      <c r="M70" s="604"/>
    </row>
    <row r="71" ht="14.25" customHeight="1">
      <c r="M71" s="604"/>
    </row>
    <row r="72" ht="14.25" customHeight="1">
      <c r="M72" s="604"/>
    </row>
    <row r="73" ht="14.25" customHeight="1">
      <c r="M73" s="604"/>
    </row>
    <row r="74" ht="14.25" customHeight="1">
      <c r="M74" s="604"/>
    </row>
    <row r="75" ht="14.25" customHeight="1">
      <c r="M75" s="604"/>
    </row>
    <row r="76" ht="14.25" customHeight="1">
      <c r="M76" s="604"/>
    </row>
    <row r="77" ht="14.25" customHeight="1">
      <c r="M77" s="604"/>
    </row>
    <row r="78" ht="14.25" customHeight="1">
      <c r="M78" s="604"/>
    </row>
    <row r="79" ht="14.25" customHeight="1">
      <c r="M79" s="604"/>
    </row>
    <row r="80" ht="14.25" customHeight="1">
      <c r="M80" s="604"/>
    </row>
    <row r="81" ht="14.25" customHeight="1">
      <c r="M81" s="604"/>
    </row>
    <row r="82" ht="14.25" customHeight="1">
      <c r="M82" s="604"/>
    </row>
    <row r="83" ht="14.25" customHeight="1">
      <c r="M83" s="604"/>
    </row>
    <row r="84" ht="14.25" customHeight="1">
      <c r="M84" s="604"/>
    </row>
    <row r="85" ht="14.25" customHeight="1">
      <c r="M85" s="604"/>
    </row>
    <row r="86" ht="14.25" customHeight="1">
      <c r="M86" s="604"/>
    </row>
    <row r="87" ht="14.25" customHeight="1">
      <c r="M87" s="604"/>
    </row>
    <row r="88" ht="14.25" customHeight="1">
      <c r="M88" s="604"/>
    </row>
    <row r="89" ht="14.25" customHeight="1">
      <c r="M89" s="604"/>
    </row>
    <row r="90" ht="14.25" customHeight="1">
      <c r="M90" s="604"/>
    </row>
    <row r="91" ht="14.25" customHeight="1">
      <c r="M91" s="604"/>
    </row>
    <row r="92" ht="14.25" customHeight="1">
      <c r="M92" s="604"/>
    </row>
    <row r="93" ht="14.25" customHeight="1">
      <c r="M93" s="604"/>
    </row>
    <row r="94" ht="14.25" customHeight="1">
      <c r="M94" s="604"/>
    </row>
    <row r="95" ht="14.25" customHeight="1">
      <c r="M95" s="604"/>
    </row>
    <row r="96" ht="14.25" customHeight="1">
      <c r="M96" s="604"/>
    </row>
    <row r="97" ht="14.25" customHeight="1">
      <c r="M97" s="604"/>
    </row>
    <row r="98" ht="14.25" customHeight="1">
      <c r="M98" s="604"/>
    </row>
    <row r="99" ht="14.25" customHeight="1">
      <c r="M99" s="604"/>
    </row>
    <row r="100" ht="14.25" customHeight="1">
      <c r="M100" s="604"/>
    </row>
    <row r="101" ht="14.25" customHeight="1">
      <c r="M101" s="604"/>
    </row>
    <row r="102" ht="14.25" customHeight="1">
      <c r="M102" s="604"/>
    </row>
    <row r="103" ht="14.25" customHeight="1">
      <c r="M103" s="604"/>
    </row>
    <row r="104" ht="14.25" customHeight="1">
      <c r="M104" s="604"/>
    </row>
    <row r="105" ht="14.25" customHeight="1">
      <c r="M105" s="604"/>
    </row>
    <row r="106" ht="14.25" customHeight="1">
      <c r="M106" s="604"/>
    </row>
    <row r="107" ht="14.25" customHeight="1">
      <c r="M107" s="604"/>
    </row>
    <row r="108" ht="14.25" customHeight="1">
      <c r="M108" s="604"/>
    </row>
    <row r="109" ht="14.25" customHeight="1">
      <c r="M109" s="604"/>
    </row>
    <row r="110" ht="14.25" customHeight="1">
      <c r="M110" s="604"/>
    </row>
    <row r="111" ht="14.25" customHeight="1">
      <c r="M111" s="604"/>
    </row>
    <row r="112" ht="14.25" customHeight="1">
      <c r="M112" s="604"/>
    </row>
    <row r="113" ht="14.25" customHeight="1">
      <c r="M113" s="604"/>
    </row>
    <row r="114" ht="14.25" customHeight="1">
      <c r="M114" s="604"/>
    </row>
    <row r="115" ht="14.25" customHeight="1">
      <c r="M115" s="604"/>
    </row>
    <row r="116" ht="14.25" customHeight="1">
      <c r="M116" s="604"/>
    </row>
    <row r="117" ht="14.25" customHeight="1">
      <c r="M117" s="604"/>
    </row>
    <row r="118" ht="14.25" customHeight="1">
      <c r="M118" s="604"/>
    </row>
    <row r="119" ht="14.25" customHeight="1">
      <c r="M119" s="604"/>
    </row>
    <row r="120" ht="14.25" customHeight="1">
      <c r="M120" s="604"/>
    </row>
    <row r="121" ht="14.25" customHeight="1">
      <c r="M121" s="604"/>
    </row>
    <row r="122" ht="14.25" customHeight="1">
      <c r="M122" s="604"/>
    </row>
    <row r="123" ht="14.25" customHeight="1">
      <c r="M123" s="604"/>
    </row>
    <row r="124" ht="14.25" customHeight="1">
      <c r="M124" s="604"/>
    </row>
    <row r="125" ht="14.25" customHeight="1">
      <c r="M125" s="604"/>
    </row>
    <row r="126" ht="14.25" customHeight="1">
      <c r="M126" s="604"/>
    </row>
    <row r="127" ht="14.25" customHeight="1">
      <c r="M127" s="604"/>
    </row>
    <row r="128" ht="14.25" customHeight="1">
      <c r="M128" s="604"/>
    </row>
    <row r="129" ht="14.25" customHeight="1">
      <c r="M129" s="604"/>
    </row>
    <row r="130" ht="14.25" customHeight="1">
      <c r="M130" s="604"/>
    </row>
    <row r="131" ht="14.25" customHeight="1">
      <c r="M131" s="604"/>
    </row>
    <row r="132" ht="14.25" customHeight="1">
      <c r="M132" s="604"/>
    </row>
    <row r="133" ht="14.25" customHeight="1">
      <c r="M133" s="604"/>
    </row>
    <row r="134" ht="14.25" customHeight="1">
      <c r="M134" s="604"/>
    </row>
    <row r="135" ht="14.25" customHeight="1">
      <c r="M135" s="604"/>
    </row>
    <row r="136" ht="14.25" customHeight="1">
      <c r="M136" s="604"/>
    </row>
    <row r="137" ht="14.25" customHeight="1">
      <c r="M137" s="604"/>
    </row>
    <row r="138" ht="14.25" customHeight="1">
      <c r="M138" s="604"/>
    </row>
    <row r="139" ht="14.25" customHeight="1">
      <c r="M139" s="604"/>
    </row>
    <row r="140" ht="14.25" customHeight="1">
      <c r="M140" s="604"/>
    </row>
    <row r="141" ht="14.25" customHeight="1">
      <c r="M141" s="604"/>
    </row>
    <row r="142" ht="14.25" customHeight="1">
      <c r="M142" s="604"/>
    </row>
    <row r="143" ht="14.25" customHeight="1">
      <c r="M143" s="604"/>
    </row>
    <row r="144" ht="14.25" customHeight="1">
      <c r="M144" s="604"/>
    </row>
    <row r="145" ht="14.25" customHeight="1">
      <c r="M145" s="604"/>
    </row>
    <row r="146" ht="14.25" customHeight="1">
      <c r="M146" s="604"/>
    </row>
    <row r="147" ht="14.25" customHeight="1">
      <c r="M147" s="604"/>
    </row>
    <row r="148" ht="14.25" customHeight="1">
      <c r="M148" s="604"/>
    </row>
    <row r="149" ht="14.25" customHeight="1">
      <c r="M149" s="604"/>
    </row>
    <row r="150" ht="14.25" customHeight="1">
      <c r="M150" s="604"/>
    </row>
    <row r="151" ht="14.25" customHeight="1">
      <c r="M151" s="604"/>
    </row>
    <row r="152" ht="14.25" customHeight="1">
      <c r="M152" s="604"/>
    </row>
    <row r="153" ht="14.25" customHeight="1">
      <c r="M153" s="604"/>
    </row>
    <row r="154" ht="14.25" customHeight="1">
      <c r="M154" s="604"/>
    </row>
    <row r="155" ht="14.25" customHeight="1">
      <c r="M155" s="604"/>
    </row>
    <row r="156" ht="14.25" customHeight="1">
      <c r="M156" s="604"/>
    </row>
    <row r="157" ht="14.25" customHeight="1">
      <c r="M157" s="604"/>
    </row>
    <row r="158" ht="14.25" customHeight="1">
      <c r="M158" s="604"/>
    </row>
    <row r="159" ht="14.25" customHeight="1">
      <c r="M159" s="604"/>
    </row>
    <row r="160" ht="14.25" customHeight="1">
      <c r="M160" s="604"/>
    </row>
    <row r="161" ht="14.25" customHeight="1">
      <c r="M161" s="604"/>
    </row>
    <row r="162" ht="14.25" customHeight="1">
      <c r="M162" s="604"/>
    </row>
    <row r="163" ht="14.25" customHeight="1">
      <c r="M163" s="604"/>
    </row>
    <row r="164" ht="14.25" customHeight="1">
      <c r="M164" s="604"/>
    </row>
    <row r="165" ht="14.25" customHeight="1">
      <c r="M165" s="604"/>
    </row>
    <row r="166" ht="14.25" customHeight="1">
      <c r="M166" s="604"/>
    </row>
    <row r="167" ht="14.25" customHeight="1">
      <c r="M167" s="604"/>
    </row>
    <row r="168" ht="14.25" customHeight="1">
      <c r="M168" s="604"/>
    </row>
    <row r="169" ht="14.25" customHeight="1">
      <c r="M169" s="604"/>
    </row>
    <row r="170" ht="14.25" customHeight="1">
      <c r="M170" s="604"/>
    </row>
    <row r="171" ht="14.25" customHeight="1">
      <c r="M171" s="604"/>
    </row>
    <row r="172" ht="14.25" customHeight="1">
      <c r="M172" s="604"/>
    </row>
    <row r="173" ht="14.25" customHeight="1">
      <c r="M173" s="604"/>
    </row>
    <row r="174" ht="14.25" customHeight="1">
      <c r="M174" s="604"/>
    </row>
    <row r="175" ht="14.25" customHeight="1">
      <c r="M175" s="604"/>
    </row>
    <row r="176" ht="14.25" customHeight="1">
      <c r="M176" s="604"/>
    </row>
    <row r="177" ht="14.25" customHeight="1">
      <c r="M177" s="604"/>
    </row>
    <row r="178" ht="14.25" customHeight="1">
      <c r="M178" s="604"/>
    </row>
    <row r="179" ht="14.25" customHeight="1">
      <c r="M179" s="604"/>
    </row>
    <row r="180" ht="14.25" customHeight="1">
      <c r="M180" s="604"/>
    </row>
    <row r="181" ht="14.25" customHeight="1">
      <c r="M181" s="604"/>
    </row>
    <row r="182" ht="14.25" customHeight="1">
      <c r="M182" s="604"/>
    </row>
    <row r="183" ht="14.25" customHeight="1">
      <c r="M183" s="604"/>
    </row>
    <row r="184" ht="14.25" customHeight="1">
      <c r="M184" s="604"/>
    </row>
    <row r="185" ht="14.25" customHeight="1">
      <c r="M185" s="604"/>
    </row>
    <row r="186" ht="14.25" customHeight="1">
      <c r="M186" s="604"/>
    </row>
    <row r="187" ht="14.25" customHeight="1">
      <c r="M187" s="604"/>
    </row>
    <row r="188" ht="14.25" customHeight="1">
      <c r="M188" s="604"/>
    </row>
    <row r="189" ht="14.25" customHeight="1">
      <c r="M189" s="604"/>
    </row>
    <row r="190" ht="14.25" customHeight="1">
      <c r="M190" s="604"/>
    </row>
    <row r="191" ht="14.25" customHeight="1">
      <c r="M191" s="604"/>
    </row>
    <row r="192" ht="14.25" customHeight="1">
      <c r="M192" s="604"/>
    </row>
    <row r="193" ht="14.25" customHeight="1">
      <c r="M193" s="604"/>
    </row>
    <row r="194" ht="14.25" customHeight="1">
      <c r="M194" s="604"/>
    </row>
    <row r="195" ht="14.25" customHeight="1">
      <c r="M195" s="604"/>
    </row>
    <row r="196" ht="14.25" customHeight="1">
      <c r="M196" s="604"/>
    </row>
    <row r="197" ht="14.25" customHeight="1">
      <c r="M197" s="604"/>
    </row>
    <row r="198" ht="14.25" customHeight="1">
      <c r="M198" s="604"/>
    </row>
    <row r="199" ht="14.25" customHeight="1">
      <c r="M199" s="604"/>
    </row>
    <row r="200" ht="14.25" customHeight="1">
      <c r="M200" s="604"/>
    </row>
    <row r="201" ht="14.25" customHeight="1">
      <c r="M201" s="604"/>
    </row>
    <row r="202" ht="14.25" customHeight="1">
      <c r="M202" s="604"/>
    </row>
    <row r="203" ht="14.25" customHeight="1">
      <c r="M203" s="604"/>
    </row>
    <row r="204" ht="14.25" customHeight="1">
      <c r="M204" s="604"/>
    </row>
    <row r="205" ht="14.25" customHeight="1">
      <c r="M205" s="604"/>
    </row>
    <row r="206" ht="14.25" customHeight="1">
      <c r="M206" s="604"/>
    </row>
    <row r="207" ht="14.25" customHeight="1">
      <c r="M207" s="604"/>
    </row>
    <row r="208" ht="14.25" customHeight="1">
      <c r="M208" s="604"/>
    </row>
    <row r="209" ht="14.25" customHeight="1">
      <c r="M209" s="604"/>
    </row>
    <row r="210" ht="14.25" customHeight="1">
      <c r="M210" s="604"/>
    </row>
    <row r="211" ht="14.25" customHeight="1">
      <c r="M211" s="604"/>
    </row>
    <row r="212" ht="14.25" customHeight="1">
      <c r="M212" s="604"/>
    </row>
    <row r="213" ht="14.25" customHeight="1">
      <c r="M213" s="604"/>
    </row>
    <row r="214" ht="14.25" customHeight="1">
      <c r="M214" s="604"/>
    </row>
    <row r="215" ht="14.25" customHeight="1">
      <c r="M215" s="604"/>
    </row>
    <row r="216" ht="14.25" customHeight="1">
      <c r="M216" s="604"/>
    </row>
    <row r="217" ht="14.25" customHeight="1">
      <c r="M217" s="604"/>
    </row>
    <row r="218" ht="14.25" customHeight="1">
      <c r="M218" s="604"/>
    </row>
    <row r="219" ht="14.25" customHeight="1">
      <c r="M219" s="604"/>
    </row>
    <row r="220" ht="14.25" customHeight="1">
      <c r="M220" s="604"/>
    </row>
    <row r="221" ht="14.25" customHeight="1">
      <c r="M221" s="604"/>
    </row>
    <row r="222" ht="14.25" customHeight="1">
      <c r="M222" s="604"/>
    </row>
    <row r="223" ht="14.25" customHeight="1">
      <c r="M223" s="604"/>
    </row>
    <row r="224" ht="14.25" customHeight="1">
      <c r="M224" s="604"/>
    </row>
    <row r="225" ht="14.25" customHeight="1">
      <c r="M225" s="604"/>
    </row>
    <row r="226" ht="14.25" customHeight="1">
      <c r="M226" s="604"/>
    </row>
    <row r="227" ht="14.25" customHeight="1">
      <c r="M227" s="604"/>
    </row>
    <row r="228" ht="14.25" customHeight="1">
      <c r="M228" s="604"/>
    </row>
    <row r="229" ht="14.25" customHeight="1">
      <c r="M229" s="604"/>
    </row>
    <row r="230" ht="14.25" customHeight="1">
      <c r="M230" s="604"/>
    </row>
    <row r="231" ht="14.25" customHeight="1">
      <c r="M231" s="604"/>
    </row>
    <row r="232" ht="14.25" customHeight="1">
      <c r="M232" s="604"/>
    </row>
    <row r="233" ht="14.25" customHeight="1">
      <c r="M233" s="604"/>
    </row>
    <row r="234" ht="14.25" customHeight="1">
      <c r="M234" s="604"/>
    </row>
    <row r="235" ht="14.25" customHeight="1">
      <c r="M235" s="604"/>
    </row>
    <row r="236" ht="14.25" customHeight="1">
      <c r="M236" s="604"/>
    </row>
    <row r="237" ht="14.25" customHeight="1">
      <c r="M237" s="604"/>
    </row>
    <row r="238" ht="14.25" customHeight="1">
      <c r="M238" s="604"/>
    </row>
    <row r="239" ht="14.25" customHeight="1">
      <c r="M239" s="604"/>
    </row>
    <row r="240" ht="14.25" customHeight="1">
      <c r="M240" s="604"/>
    </row>
    <row r="241" ht="14.25" customHeight="1">
      <c r="M241" s="604"/>
    </row>
    <row r="242" ht="14.25" customHeight="1">
      <c r="M242" s="604"/>
    </row>
    <row r="243" ht="14.25" customHeight="1">
      <c r="M243" s="604"/>
    </row>
    <row r="244" ht="14.25" customHeight="1">
      <c r="M244" s="604"/>
    </row>
    <row r="245" ht="14.25" customHeight="1">
      <c r="M245" s="604"/>
    </row>
    <row r="246" ht="14.25" customHeight="1">
      <c r="M246" s="604"/>
    </row>
    <row r="247" ht="14.25" customHeight="1">
      <c r="M247" s="604"/>
    </row>
    <row r="248" ht="14.25" customHeight="1">
      <c r="M248" s="604"/>
    </row>
    <row r="249" ht="14.25" customHeight="1">
      <c r="M249" s="604"/>
    </row>
    <row r="250" ht="14.25" customHeight="1">
      <c r="M250" s="604"/>
    </row>
    <row r="251" ht="14.25" customHeight="1">
      <c r="M251" s="604"/>
    </row>
    <row r="252" ht="14.25" customHeight="1">
      <c r="M252" s="604"/>
    </row>
    <row r="253" ht="14.25" customHeight="1">
      <c r="M253" s="604"/>
    </row>
    <row r="254" ht="14.25" customHeight="1">
      <c r="M254" s="604"/>
    </row>
    <row r="255" ht="14.25" customHeight="1">
      <c r="M255" s="604"/>
    </row>
    <row r="256" ht="14.25" customHeight="1">
      <c r="M256" s="604"/>
    </row>
    <row r="257" ht="14.25" customHeight="1">
      <c r="M257" s="604"/>
    </row>
    <row r="258" ht="14.25" customHeight="1">
      <c r="M258" s="604"/>
    </row>
    <row r="259" ht="14.25" customHeight="1">
      <c r="M259" s="604"/>
    </row>
    <row r="260" ht="14.25" customHeight="1">
      <c r="M260" s="604"/>
    </row>
    <row r="261" ht="14.25" customHeight="1">
      <c r="M261" s="604"/>
    </row>
    <row r="262" ht="14.25" customHeight="1">
      <c r="M262" s="604"/>
    </row>
    <row r="263" ht="14.25" customHeight="1">
      <c r="M263" s="604"/>
    </row>
    <row r="264" ht="14.25" customHeight="1">
      <c r="M264" s="604"/>
    </row>
    <row r="265" ht="14.25" customHeight="1">
      <c r="M265" s="604"/>
    </row>
    <row r="266" ht="14.25" customHeight="1">
      <c r="M266" s="604"/>
    </row>
    <row r="267" ht="14.25" customHeight="1">
      <c r="M267" s="604"/>
    </row>
    <row r="268" ht="14.25" customHeight="1">
      <c r="M268" s="604"/>
    </row>
    <row r="269" ht="14.25" customHeight="1">
      <c r="M269" s="604"/>
    </row>
    <row r="270" ht="14.25" customHeight="1">
      <c r="M270" s="604"/>
    </row>
    <row r="271" ht="14.25" customHeight="1">
      <c r="M271" s="604"/>
    </row>
    <row r="272" ht="14.25" customHeight="1">
      <c r="M272" s="604"/>
    </row>
    <row r="273" ht="14.25" customHeight="1">
      <c r="M273" s="604"/>
    </row>
    <row r="274" ht="14.25" customHeight="1">
      <c r="M274" s="604"/>
    </row>
    <row r="275" ht="14.25" customHeight="1">
      <c r="M275" s="604"/>
    </row>
    <row r="276" ht="14.25" customHeight="1">
      <c r="M276" s="604"/>
    </row>
    <row r="277" ht="14.25" customHeight="1">
      <c r="M277" s="604"/>
    </row>
    <row r="278" ht="14.25" customHeight="1">
      <c r="M278" s="604"/>
    </row>
    <row r="279" ht="14.25" customHeight="1">
      <c r="M279" s="604"/>
    </row>
    <row r="280" ht="14.25" customHeight="1">
      <c r="M280" s="604"/>
    </row>
    <row r="281" ht="14.25" customHeight="1">
      <c r="M281" s="604"/>
    </row>
    <row r="282" ht="14.25" customHeight="1">
      <c r="M282" s="604"/>
    </row>
    <row r="283" ht="14.25" customHeight="1">
      <c r="M283" s="604"/>
    </row>
    <row r="284" ht="14.25" customHeight="1">
      <c r="M284" s="604"/>
    </row>
    <row r="285" ht="14.25" customHeight="1">
      <c r="M285" s="604"/>
    </row>
    <row r="286" ht="14.25" customHeight="1">
      <c r="M286" s="604"/>
    </row>
    <row r="287" ht="14.25" customHeight="1">
      <c r="M287" s="604"/>
    </row>
    <row r="288" ht="14.25" customHeight="1">
      <c r="M288" s="604"/>
    </row>
    <row r="289" ht="14.25" customHeight="1">
      <c r="M289" s="604"/>
    </row>
    <row r="290" ht="14.25" customHeight="1">
      <c r="M290" s="604"/>
    </row>
    <row r="291" ht="14.25" customHeight="1">
      <c r="M291" s="604"/>
    </row>
    <row r="292" ht="14.25" customHeight="1">
      <c r="M292" s="604"/>
    </row>
    <row r="293" ht="14.25" customHeight="1">
      <c r="M293" s="604"/>
    </row>
    <row r="294" ht="14.25" customHeight="1">
      <c r="M294" s="604"/>
    </row>
    <row r="295" ht="14.25" customHeight="1">
      <c r="M295" s="604"/>
    </row>
    <row r="296" ht="14.25" customHeight="1">
      <c r="M296" s="604"/>
    </row>
    <row r="297" ht="14.25" customHeight="1">
      <c r="M297" s="604"/>
    </row>
    <row r="298" ht="14.25" customHeight="1">
      <c r="M298" s="604"/>
    </row>
    <row r="299" ht="14.25" customHeight="1">
      <c r="M299" s="604"/>
    </row>
    <row r="300" ht="14.25" customHeight="1">
      <c r="M300" s="604"/>
    </row>
    <row r="301" ht="14.25" customHeight="1">
      <c r="M301" s="604"/>
    </row>
    <row r="302" ht="14.25" customHeight="1">
      <c r="M302" s="604"/>
    </row>
    <row r="303" ht="14.25" customHeight="1">
      <c r="M303" s="604"/>
    </row>
    <row r="304" ht="14.25" customHeight="1">
      <c r="M304" s="604"/>
    </row>
    <row r="305" ht="14.25" customHeight="1">
      <c r="M305" s="604"/>
    </row>
    <row r="306" ht="14.25" customHeight="1">
      <c r="M306" s="604"/>
    </row>
    <row r="307" ht="14.25" customHeight="1">
      <c r="M307" s="604"/>
    </row>
    <row r="308" ht="14.25" customHeight="1">
      <c r="M308" s="604"/>
    </row>
    <row r="309" ht="14.25" customHeight="1">
      <c r="M309" s="604"/>
    </row>
    <row r="310" ht="14.25" customHeight="1">
      <c r="M310" s="604"/>
    </row>
    <row r="311" ht="14.25" customHeight="1">
      <c r="M311" s="604"/>
    </row>
    <row r="312" ht="14.25" customHeight="1">
      <c r="M312" s="604"/>
    </row>
    <row r="313" ht="14.25" customHeight="1">
      <c r="M313" s="604"/>
    </row>
    <row r="314" ht="14.25" customHeight="1">
      <c r="M314" s="604"/>
    </row>
    <row r="315" ht="14.25" customHeight="1">
      <c r="M315" s="604"/>
    </row>
    <row r="316" ht="14.25" customHeight="1">
      <c r="M316" s="604"/>
    </row>
    <row r="317" ht="14.25" customHeight="1">
      <c r="M317" s="604"/>
    </row>
    <row r="318" ht="14.25" customHeight="1">
      <c r="M318" s="604"/>
    </row>
    <row r="319" ht="14.25" customHeight="1">
      <c r="M319" s="604"/>
    </row>
    <row r="320" ht="14.25" customHeight="1">
      <c r="M320" s="604"/>
    </row>
    <row r="321" ht="14.25" customHeight="1">
      <c r="M321" s="604"/>
    </row>
    <row r="322" ht="14.25" customHeight="1">
      <c r="M322" s="604"/>
    </row>
    <row r="323" ht="14.25" customHeight="1">
      <c r="M323" s="604"/>
    </row>
    <row r="324" ht="14.25" customHeight="1">
      <c r="M324" s="604"/>
    </row>
    <row r="325" ht="14.25" customHeight="1">
      <c r="M325" s="604"/>
    </row>
    <row r="326" ht="14.25" customHeight="1">
      <c r="M326" s="604"/>
    </row>
    <row r="327" ht="14.25" customHeight="1">
      <c r="M327" s="604"/>
    </row>
    <row r="328" ht="14.25" customHeight="1">
      <c r="M328" s="604"/>
    </row>
    <row r="329" ht="14.25" customHeight="1">
      <c r="M329" s="604"/>
    </row>
    <row r="330" ht="14.25" customHeight="1">
      <c r="M330" s="604"/>
    </row>
    <row r="331" ht="14.25" customHeight="1">
      <c r="M331" s="604"/>
    </row>
    <row r="332" ht="14.25" customHeight="1">
      <c r="M332" s="604"/>
    </row>
    <row r="333" ht="14.25" customHeight="1">
      <c r="M333" s="604"/>
    </row>
    <row r="334" ht="14.25" customHeight="1">
      <c r="M334" s="604"/>
    </row>
    <row r="335" ht="14.25" customHeight="1">
      <c r="M335" s="604"/>
    </row>
    <row r="336" ht="14.25" customHeight="1">
      <c r="M336" s="604"/>
    </row>
    <row r="337" ht="14.25" customHeight="1">
      <c r="M337" s="604"/>
    </row>
    <row r="338" ht="14.25" customHeight="1">
      <c r="M338" s="604"/>
    </row>
    <row r="339" ht="14.25" customHeight="1">
      <c r="M339" s="604"/>
    </row>
    <row r="340" ht="14.25" customHeight="1">
      <c r="M340" s="604"/>
    </row>
    <row r="341" ht="14.25" customHeight="1">
      <c r="M341" s="604"/>
    </row>
    <row r="342" ht="14.25" customHeight="1">
      <c r="M342" s="604"/>
    </row>
    <row r="343" ht="14.25" customHeight="1">
      <c r="M343" s="604"/>
    </row>
    <row r="344" ht="14.25" customHeight="1">
      <c r="M344" s="604"/>
    </row>
    <row r="345" ht="14.25" customHeight="1">
      <c r="M345" s="604"/>
    </row>
    <row r="346" ht="14.25" customHeight="1">
      <c r="M346" s="604"/>
    </row>
    <row r="347" ht="14.25" customHeight="1">
      <c r="M347" s="604"/>
    </row>
    <row r="348" ht="14.25" customHeight="1">
      <c r="M348" s="604"/>
    </row>
    <row r="349" ht="14.25" customHeight="1">
      <c r="M349" s="604"/>
    </row>
    <row r="350" ht="14.25" customHeight="1">
      <c r="M350" s="604"/>
    </row>
    <row r="351" ht="14.25" customHeight="1">
      <c r="M351" s="604"/>
    </row>
    <row r="352" ht="14.25" customHeight="1">
      <c r="M352" s="604"/>
    </row>
    <row r="353" ht="14.25" customHeight="1">
      <c r="M353" s="604"/>
    </row>
    <row r="354" ht="14.25" customHeight="1">
      <c r="M354" s="604"/>
    </row>
    <row r="355" ht="14.25" customHeight="1">
      <c r="M355" s="604"/>
    </row>
    <row r="356" ht="14.25" customHeight="1">
      <c r="M356" s="604"/>
    </row>
    <row r="357" ht="14.25" customHeight="1">
      <c r="M357" s="604"/>
    </row>
    <row r="358" ht="14.25" customHeight="1">
      <c r="M358" s="604"/>
    </row>
    <row r="359" ht="14.25" customHeight="1">
      <c r="M359" s="604"/>
    </row>
    <row r="360" ht="14.25" customHeight="1">
      <c r="M360" s="604"/>
    </row>
    <row r="361" ht="14.25" customHeight="1">
      <c r="M361" s="604"/>
    </row>
    <row r="362" ht="14.25" customHeight="1">
      <c r="M362" s="604"/>
    </row>
    <row r="363" ht="14.25" customHeight="1">
      <c r="M363" s="604"/>
    </row>
    <row r="364" ht="14.25" customHeight="1">
      <c r="M364" s="604"/>
    </row>
    <row r="365" ht="14.25" customHeight="1">
      <c r="M365" s="604"/>
    </row>
    <row r="366" ht="14.25" customHeight="1">
      <c r="M366" s="604"/>
    </row>
    <row r="367" ht="14.25" customHeight="1">
      <c r="M367" s="604"/>
    </row>
    <row r="368" ht="14.25" customHeight="1">
      <c r="M368" s="604"/>
    </row>
    <row r="369" ht="14.25" customHeight="1">
      <c r="M369" s="604"/>
    </row>
    <row r="370" ht="14.25" customHeight="1">
      <c r="M370" s="604"/>
    </row>
    <row r="371" ht="14.25" customHeight="1">
      <c r="M371" s="604"/>
    </row>
    <row r="372" ht="14.25" customHeight="1">
      <c r="M372" s="604"/>
    </row>
    <row r="373" ht="14.25" customHeight="1">
      <c r="M373" s="604"/>
    </row>
    <row r="374" ht="14.25" customHeight="1">
      <c r="M374" s="604"/>
    </row>
    <row r="375" ht="14.25" customHeight="1">
      <c r="M375" s="604"/>
    </row>
    <row r="376" ht="14.25" customHeight="1">
      <c r="M376" s="604"/>
    </row>
    <row r="377" ht="14.25" customHeight="1">
      <c r="M377" s="604"/>
    </row>
    <row r="378" ht="14.25" customHeight="1">
      <c r="M378" s="604"/>
    </row>
    <row r="379" ht="14.25" customHeight="1">
      <c r="M379" s="604"/>
    </row>
    <row r="380" ht="14.25" customHeight="1">
      <c r="M380" s="604"/>
    </row>
    <row r="381" ht="14.25" customHeight="1">
      <c r="M381" s="604"/>
    </row>
    <row r="382" ht="14.25" customHeight="1">
      <c r="M382" s="604"/>
    </row>
    <row r="383" ht="14.25" customHeight="1">
      <c r="M383" s="604"/>
    </row>
    <row r="384" ht="14.25" customHeight="1">
      <c r="M384" s="604"/>
    </row>
    <row r="385" ht="14.25" customHeight="1">
      <c r="M385" s="604"/>
    </row>
    <row r="386" ht="14.25" customHeight="1">
      <c r="M386" s="604"/>
    </row>
    <row r="387" ht="14.25" customHeight="1">
      <c r="M387" s="604"/>
    </row>
    <row r="388" ht="14.25" customHeight="1">
      <c r="M388" s="604"/>
    </row>
    <row r="389" ht="14.25" customHeight="1">
      <c r="M389" s="604"/>
    </row>
    <row r="390" ht="14.25" customHeight="1">
      <c r="M390" s="604"/>
    </row>
    <row r="391" ht="14.25" customHeight="1">
      <c r="M391" s="604"/>
    </row>
    <row r="392" ht="14.25" customHeight="1">
      <c r="M392" s="604"/>
    </row>
    <row r="393" ht="14.25" customHeight="1">
      <c r="M393" s="604"/>
    </row>
    <row r="394" ht="14.25" customHeight="1">
      <c r="M394" s="604"/>
    </row>
    <row r="395" ht="14.25" customHeight="1">
      <c r="M395" s="604"/>
    </row>
    <row r="396" ht="14.25" customHeight="1">
      <c r="M396" s="604"/>
    </row>
    <row r="397" ht="14.25" customHeight="1">
      <c r="M397" s="604"/>
    </row>
    <row r="398" ht="14.25" customHeight="1">
      <c r="M398" s="604"/>
    </row>
    <row r="399" ht="14.25" customHeight="1">
      <c r="M399" s="604"/>
    </row>
    <row r="400" ht="14.25" customHeight="1">
      <c r="M400" s="604"/>
    </row>
    <row r="401" ht="14.25" customHeight="1">
      <c r="M401" s="604"/>
    </row>
    <row r="402" ht="14.25" customHeight="1">
      <c r="M402" s="604"/>
    </row>
    <row r="403" ht="14.25" customHeight="1">
      <c r="M403" s="604"/>
    </row>
    <row r="404" ht="14.25" customHeight="1">
      <c r="M404" s="604"/>
    </row>
    <row r="405" ht="14.25" customHeight="1">
      <c r="M405" s="604"/>
    </row>
    <row r="406" ht="14.25" customHeight="1">
      <c r="M406" s="604"/>
    </row>
    <row r="407" ht="14.25" customHeight="1">
      <c r="M407" s="604"/>
    </row>
    <row r="408" ht="14.25" customHeight="1">
      <c r="M408" s="604"/>
    </row>
    <row r="409" ht="14.25" customHeight="1">
      <c r="M409" s="604"/>
    </row>
    <row r="410" ht="14.25" customHeight="1">
      <c r="M410" s="604"/>
    </row>
    <row r="411" ht="14.25" customHeight="1">
      <c r="M411" s="604"/>
    </row>
    <row r="412" ht="14.25" customHeight="1">
      <c r="M412" s="604"/>
    </row>
    <row r="413" ht="14.25" customHeight="1">
      <c r="M413" s="604"/>
    </row>
    <row r="414" ht="14.25" customHeight="1">
      <c r="M414" s="604"/>
    </row>
    <row r="415" ht="14.25" customHeight="1">
      <c r="M415" s="604"/>
    </row>
    <row r="416" ht="14.25" customHeight="1">
      <c r="M416" s="604"/>
    </row>
    <row r="417" ht="14.25" customHeight="1">
      <c r="M417" s="604"/>
    </row>
    <row r="418" ht="14.25" customHeight="1">
      <c r="M418" s="604"/>
    </row>
    <row r="419" ht="14.25" customHeight="1">
      <c r="M419" s="604"/>
    </row>
    <row r="420" ht="14.25" customHeight="1">
      <c r="M420" s="604"/>
    </row>
    <row r="421" ht="14.25" customHeight="1">
      <c r="M421" s="604"/>
    </row>
    <row r="422" ht="14.25" customHeight="1">
      <c r="M422" s="604"/>
    </row>
    <row r="423" ht="14.25" customHeight="1">
      <c r="M423" s="604"/>
    </row>
    <row r="424" ht="14.25" customHeight="1">
      <c r="M424" s="604"/>
    </row>
    <row r="425" ht="14.25" customHeight="1">
      <c r="M425" s="604"/>
    </row>
    <row r="426" ht="14.25" customHeight="1">
      <c r="M426" s="604"/>
    </row>
    <row r="427" ht="14.25" customHeight="1">
      <c r="M427" s="604"/>
    </row>
    <row r="428" ht="14.25" customHeight="1">
      <c r="M428" s="604"/>
    </row>
    <row r="429" ht="14.25" customHeight="1">
      <c r="M429" s="604"/>
    </row>
    <row r="430" ht="14.25" customHeight="1">
      <c r="M430" s="604"/>
    </row>
    <row r="431" ht="14.25" customHeight="1">
      <c r="M431" s="604"/>
    </row>
    <row r="432" ht="14.25" customHeight="1">
      <c r="M432" s="604"/>
    </row>
    <row r="433" ht="14.25" customHeight="1">
      <c r="M433" s="604"/>
    </row>
    <row r="434" ht="14.25" customHeight="1">
      <c r="M434" s="604"/>
    </row>
    <row r="435" ht="14.25" customHeight="1">
      <c r="M435" s="604"/>
    </row>
    <row r="436" ht="14.25" customHeight="1">
      <c r="M436" s="604"/>
    </row>
    <row r="437" ht="14.25" customHeight="1">
      <c r="M437" s="604"/>
    </row>
    <row r="438" ht="14.25" customHeight="1">
      <c r="M438" s="604"/>
    </row>
    <row r="439" ht="14.25" customHeight="1">
      <c r="M439" s="604"/>
    </row>
    <row r="440" ht="14.25" customHeight="1">
      <c r="M440" s="604"/>
    </row>
    <row r="441" ht="14.25" customHeight="1">
      <c r="M441" s="604"/>
    </row>
    <row r="442" ht="14.25" customHeight="1">
      <c r="M442" s="604"/>
    </row>
    <row r="443" ht="14.25" customHeight="1">
      <c r="M443" s="604"/>
    </row>
    <row r="444" ht="14.25" customHeight="1">
      <c r="M444" s="604"/>
    </row>
    <row r="445" ht="14.25" customHeight="1">
      <c r="M445" s="604"/>
    </row>
    <row r="446" ht="14.25" customHeight="1">
      <c r="M446" s="604"/>
    </row>
    <row r="447" ht="14.25" customHeight="1">
      <c r="M447" s="604"/>
    </row>
    <row r="448" ht="14.25" customHeight="1">
      <c r="M448" s="604"/>
    </row>
    <row r="449" ht="14.25" customHeight="1">
      <c r="M449" s="604"/>
    </row>
    <row r="450" ht="14.25" customHeight="1">
      <c r="M450" s="604"/>
    </row>
    <row r="451" ht="14.25" customHeight="1">
      <c r="M451" s="604"/>
    </row>
    <row r="452" ht="14.25" customHeight="1">
      <c r="M452" s="604"/>
    </row>
    <row r="453" ht="14.25" customHeight="1">
      <c r="M453" s="604"/>
    </row>
    <row r="454" ht="14.25" customHeight="1">
      <c r="M454" s="604"/>
    </row>
    <row r="455" ht="14.25" customHeight="1">
      <c r="M455" s="604"/>
    </row>
    <row r="456" ht="14.25" customHeight="1">
      <c r="M456" s="604"/>
    </row>
    <row r="457" ht="14.25" customHeight="1">
      <c r="M457" s="604"/>
    </row>
    <row r="458" ht="14.25" customHeight="1">
      <c r="M458" s="604"/>
    </row>
    <row r="459" ht="14.25" customHeight="1">
      <c r="M459" s="604"/>
    </row>
    <row r="460" ht="14.25" customHeight="1">
      <c r="M460" s="604"/>
    </row>
    <row r="461" ht="14.25" customHeight="1">
      <c r="M461" s="604"/>
    </row>
    <row r="462" ht="14.25" customHeight="1">
      <c r="M462" s="604"/>
    </row>
    <row r="463" ht="14.25" customHeight="1">
      <c r="M463" s="604"/>
    </row>
    <row r="464" ht="14.25" customHeight="1">
      <c r="M464" s="604"/>
    </row>
    <row r="465" ht="14.25" customHeight="1">
      <c r="M465" s="604"/>
    </row>
    <row r="466" ht="14.25" customHeight="1">
      <c r="M466" s="604"/>
    </row>
    <row r="467" ht="14.25" customHeight="1">
      <c r="M467" s="604"/>
    </row>
    <row r="468" ht="14.25" customHeight="1">
      <c r="M468" s="604"/>
    </row>
    <row r="469" ht="14.25" customHeight="1">
      <c r="M469" s="604"/>
    </row>
    <row r="470" ht="14.25" customHeight="1">
      <c r="M470" s="604"/>
    </row>
    <row r="471" ht="14.25" customHeight="1">
      <c r="M471" s="604"/>
    </row>
    <row r="472" ht="14.25" customHeight="1">
      <c r="M472" s="604"/>
    </row>
    <row r="473" ht="14.25" customHeight="1">
      <c r="M473" s="604"/>
    </row>
    <row r="474" ht="14.25" customHeight="1">
      <c r="M474" s="604"/>
    </row>
    <row r="475" ht="14.25" customHeight="1">
      <c r="M475" s="604"/>
    </row>
    <row r="476" ht="14.25" customHeight="1">
      <c r="M476" s="604"/>
    </row>
    <row r="477" ht="14.25" customHeight="1">
      <c r="M477" s="604"/>
    </row>
    <row r="478" ht="14.25" customHeight="1">
      <c r="M478" s="604"/>
    </row>
    <row r="479" ht="14.25" customHeight="1">
      <c r="M479" s="604"/>
    </row>
    <row r="480" ht="14.25" customHeight="1">
      <c r="M480" s="604"/>
    </row>
    <row r="481" ht="14.25" customHeight="1">
      <c r="M481" s="604"/>
    </row>
    <row r="482" ht="14.25" customHeight="1">
      <c r="M482" s="604"/>
    </row>
    <row r="483" ht="14.25" customHeight="1">
      <c r="M483" s="604"/>
    </row>
    <row r="484" ht="14.25" customHeight="1">
      <c r="M484" s="604"/>
    </row>
    <row r="485" ht="14.25" customHeight="1">
      <c r="M485" s="604"/>
    </row>
    <row r="486" ht="14.25" customHeight="1">
      <c r="M486" s="604"/>
    </row>
    <row r="487" ht="14.25" customHeight="1">
      <c r="M487" s="604"/>
    </row>
    <row r="488" ht="14.25" customHeight="1">
      <c r="M488" s="604"/>
    </row>
    <row r="489" ht="14.25" customHeight="1">
      <c r="M489" s="604"/>
    </row>
    <row r="490" ht="14.25" customHeight="1">
      <c r="M490" s="604"/>
    </row>
    <row r="491" ht="14.25" customHeight="1">
      <c r="M491" s="604"/>
    </row>
    <row r="492" ht="14.25" customHeight="1">
      <c r="M492" s="604"/>
    </row>
    <row r="493" ht="14.25" customHeight="1">
      <c r="M493" s="604"/>
    </row>
    <row r="494" ht="14.25" customHeight="1">
      <c r="M494" s="604"/>
    </row>
    <row r="495" ht="14.25" customHeight="1">
      <c r="M495" s="604"/>
    </row>
    <row r="496" ht="14.25" customHeight="1">
      <c r="M496" s="604"/>
    </row>
    <row r="497" ht="14.25" customHeight="1">
      <c r="M497" s="604"/>
    </row>
    <row r="498" ht="14.25" customHeight="1">
      <c r="M498" s="604"/>
    </row>
    <row r="499" ht="14.25" customHeight="1">
      <c r="M499" s="604"/>
    </row>
    <row r="500" ht="14.25" customHeight="1">
      <c r="M500" s="604"/>
    </row>
    <row r="501" ht="14.25" customHeight="1">
      <c r="M501" s="604"/>
    </row>
    <row r="502" ht="14.25" customHeight="1">
      <c r="M502" s="604"/>
    </row>
    <row r="503" ht="14.25" customHeight="1">
      <c r="M503" s="604"/>
    </row>
    <row r="504" ht="14.25" customHeight="1">
      <c r="M504" s="604"/>
    </row>
    <row r="505" ht="14.25" customHeight="1">
      <c r="M505" s="604"/>
    </row>
    <row r="506" ht="14.25" customHeight="1">
      <c r="M506" s="604"/>
    </row>
    <row r="507" ht="14.25" customHeight="1">
      <c r="M507" s="604"/>
    </row>
    <row r="508" ht="14.25" customHeight="1">
      <c r="M508" s="604"/>
    </row>
    <row r="509" ht="14.25" customHeight="1">
      <c r="M509" s="604"/>
    </row>
    <row r="510" ht="14.25" customHeight="1">
      <c r="M510" s="604"/>
    </row>
    <row r="511" ht="14.25" customHeight="1">
      <c r="M511" s="604"/>
    </row>
    <row r="512" ht="14.25" customHeight="1">
      <c r="M512" s="604"/>
    </row>
    <row r="513" ht="14.25" customHeight="1">
      <c r="M513" s="604"/>
    </row>
    <row r="514" ht="14.25" customHeight="1">
      <c r="M514" s="604"/>
    </row>
    <row r="515" ht="14.25" customHeight="1">
      <c r="M515" s="604"/>
    </row>
    <row r="516" ht="14.25" customHeight="1">
      <c r="M516" s="604"/>
    </row>
    <row r="517" ht="14.25" customHeight="1">
      <c r="M517" s="604"/>
    </row>
    <row r="518" ht="14.25" customHeight="1">
      <c r="M518" s="604"/>
    </row>
    <row r="519" ht="14.25" customHeight="1">
      <c r="M519" s="604"/>
    </row>
    <row r="520" ht="14.25" customHeight="1">
      <c r="M520" s="604"/>
    </row>
    <row r="521" ht="14.25" customHeight="1">
      <c r="M521" s="604"/>
    </row>
    <row r="522" ht="14.25" customHeight="1">
      <c r="M522" s="604"/>
    </row>
    <row r="523" ht="14.25" customHeight="1">
      <c r="M523" s="604"/>
    </row>
    <row r="524" ht="14.25" customHeight="1">
      <c r="M524" s="604"/>
    </row>
    <row r="525" ht="14.25" customHeight="1">
      <c r="M525" s="604"/>
    </row>
    <row r="526" ht="14.25" customHeight="1">
      <c r="M526" s="604"/>
    </row>
    <row r="527" ht="14.25" customHeight="1">
      <c r="M527" s="604"/>
    </row>
    <row r="528" ht="14.25" customHeight="1">
      <c r="M528" s="604"/>
    </row>
    <row r="529" ht="14.25" customHeight="1">
      <c r="M529" s="604"/>
    </row>
    <row r="530" ht="14.25" customHeight="1">
      <c r="M530" s="604"/>
    </row>
    <row r="531" ht="14.25" customHeight="1">
      <c r="M531" s="604"/>
    </row>
    <row r="532" ht="14.25" customHeight="1">
      <c r="M532" s="604"/>
    </row>
    <row r="533" ht="14.25" customHeight="1">
      <c r="M533" s="604"/>
    </row>
    <row r="534" ht="14.25" customHeight="1">
      <c r="M534" s="604"/>
    </row>
    <row r="535" ht="14.25" customHeight="1">
      <c r="M535" s="604"/>
    </row>
    <row r="536" ht="14.25" customHeight="1">
      <c r="M536" s="604"/>
    </row>
    <row r="537" ht="14.25" customHeight="1">
      <c r="M537" s="604"/>
    </row>
    <row r="538" ht="14.25" customHeight="1">
      <c r="M538" s="604"/>
    </row>
    <row r="539" ht="14.25" customHeight="1">
      <c r="M539" s="604"/>
    </row>
    <row r="540" ht="14.25" customHeight="1">
      <c r="M540" s="604"/>
    </row>
    <row r="541" ht="14.25" customHeight="1">
      <c r="M541" s="604"/>
    </row>
    <row r="542" ht="14.25" customHeight="1">
      <c r="M542" s="604"/>
    </row>
    <row r="543" ht="14.25" customHeight="1">
      <c r="M543" s="604"/>
    </row>
    <row r="544" ht="14.25" customHeight="1">
      <c r="M544" s="604"/>
    </row>
    <row r="545" ht="14.25" customHeight="1">
      <c r="M545" s="604"/>
    </row>
    <row r="546" ht="14.25" customHeight="1">
      <c r="M546" s="604"/>
    </row>
    <row r="547" ht="14.25" customHeight="1">
      <c r="M547" s="604"/>
    </row>
    <row r="548" ht="14.25" customHeight="1">
      <c r="M548" s="604"/>
    </row>
    <row r="549" ht="14.25" customHeight="1">
      <c r="M549" s="604"/>
    </row>
    <row r="550" ht="14.25" customHeight="1">
      <c r="M550" s="604"/>
    </row>
    <row r="551" ht="14.25" customHeight="1">
      <c r="M551" s="604"/>
    </row>
    <row r="552" ht="14.25" customHeight="1">
      <c r="M552" s="604"/>
    </row>
    <row r="553" ht="14.25" customHeight="1">
      <c r="M553" s="604"/>
    </row>
    <row r="554" ht="14.25" customHeight="1">
      <c r="M554" s="604"/>
    </row>
    <row r="555" ht="14.25" customHeight="1">
      <c r="M555" s="604"/>
    </row>
    <row r="556" ht="14.25" customHeight="1">
      <c r="M556" s="604"/>
    </row>
    <row r="557" ht="14.25" customHeight="1">
      <c r="M557" s="604"/>
    </row>
    <row r="558" ht="14.25" customHeight="1">
      <c r="M558" s="604"/>
    </row>
    <row r="559" ht="14.25" customHeight="1">
      <c r="M559" s="604"/>
    </row>
    <row r="560" ht="14.25" customHeight="1">
      <c r="M560" s="604"/>
    </row>
    <row r="561" ht="14.25" customHeight="1">
      <c r="M561" s="604"/>
    </row>
    <row r="562" ht="14.25" customHeight="1">
      <c r="M562" s="604"/>
    </row>
    <row r="563" ht="14.25" customHeight="1">
      <c r="M563" s="604"/>
    </row>
    <row r="564" ht="14.25" customHeight="1">
      <c r="M564" s="604"/>
    </row>
    <row r="565" ht="14.25" customHeight="1">
      <c r="M565" s="604"/>
    </row>
    <row r="566" ht="14.25" customHeight="1">
      <c r="M566" s="604"/>
    </row>
    <row r="567" ht="14.25" customHeight="1">
      <c r="M567" s="604"/>
    </row>
    <row r="568" ht="14.25" customHeight="1">
      <c r="M568" s="604"/>
    </row>
    <row r="569" ht="14.25" customHeight="1">
      <c r="M569" s="604"/>
    </row>
    <row r="570" ht="14.25" customHeight="1">
      <c r="M570" s="604"/>
    </row>
    <row r="571" ht="14.25" customHeight="1">
      <c r="M571" s="604"/>
    </row>
    <row r="572" ht="14.25" customHeight="1">
      <c r="M572" s="604"/>
    </row>
    <row r="573" ht="14.25" customHeight="1">
      <c r="M573" s="604"/>
    </row>
    <row r="574" ht="14.25" customHeight="1">
      <c r="M574" s="604"/>
    </row>
    <row r="575" ht="14.25" customHeight="1">
      <c r="M575" s="604"/>
    </row>
    <row r="576" ht="14.25" customHeight="1">
      <c r="M576" s="604"/>
    </row>
    <row r="577" ht="14.25" customHeight="1">
      <c r="M577" s="604"/>
    </row>
    <row r="578" ht="14.25" customHeight="1">
      <c r="M578" s="604"/>
    </row>
    <row r="579" ht="14.25" customHeight="1">
      <c r="M579" s="604"/>
    </row>
    <row r="580" ht="14.25" customHeight="1">
      <c r="M580" s="604"/>
    </row>
    <row r="581" ht="14.25" customHeight="1">
      <c r="M581" s="604"/>
    </row>
    <row r="582" ht="14.25" customHeight="1">
      <c r="M582" s="604"/>
    </row>
    <row r="583" ht="14.25" customHeight="1">
      <c r="M583" s="604"/>
    </row>
    <row r="584" ht="14.25" customHeight="1">
      <c r="M584" s="604"/>
    </row>
    <row r="585" ht="14.25" customHeight="1">
      <c r="M585" s="604"/>
    </row>
    <row r="586" ht="14.25" customHeight="1">
      <c r="M586" s="604"/>
    </row>
    <row r="587" ht="14.25" customHeight="1">
      <c r="M587" s="604"/>
    </row>
    <row r="588" ht="14.25" customHeight="1">
      <c r="M588" s="604"/>
    </row>
    <row r="589" ht="14.25" customHeight="1">
      <c r="M589" s="604"/>
    </row>
    <row r="590" ht="14.25" customHeight="1">
      <c r="M590" s="604"/>
    </row>
    <row r="591" ht="14.25" customHeight="1">
      <c r="M591" s="604"/>
    </row>
    <row r="592" ht="14.25" customHeight="1">
      <c r="M592" s="604"/>
    </row>
    <row r="593" ht="14.25" customHeight="1">
      <c r="M593" s="604"/>
    </row>
    <row r="594" ht="14.25" customHeight="1">
      <c r="M594" s="604"/>
    </row>
    <row r="595" ht="14.25" customHeight="1">
      <c r="M595" s="604"/>
    </row>
    <row r="596" ht="14.25" customHeight="1">
      <c r="M596" s="604"/>
    </row>
    <row r="597" ht="14.25" customHeight="1">
      <c r="M597" s="604"/>
    </row>
    <row r="598" ht="14.25" customHeight="1">
      <c r="M598" s="604"/>
    </row>
    <row r="599" ht="14.25" customHeight="1">
      <c r="M599" s="604"/>
    </row>
    <row r="600" ht="14.25" customHeight="1">
      <c r="M600" s="604"/>
    </row>
    <row r="601" ht="14.25" customHeight="1">
      <c r="M601" s="604"/>
    </row>
    <row r="602" ht="14.25" customHeight="1">
      <c r="M602" s="604"/>
    </row>
    <row r="603" ht="14.25" customHeight="1">
      <c r="M603" s="604"/>
    </row>
    <row r="604" ht="14.25" customHeight="1">
      <c r="M604" s="604"/>
    </row>
    <row r="605" ht="14.25" customHeight="1">
      <c r="M605" s="604"/>
    </row>
    <row r="606" ht="14.25" customHeight="1">
      <c r="M606" s="604"/>
    </row>
    <row r="607" ht="14.25" customHeight="1">
      <c r="M607" s="604"/>
    </row>
    <row r="608" ht="14.25" customHeight="1">
      <c r="M608" s="604"/>
    </row>
    <row r="609" ht="14.25" customHeight="1">
      <c r="M609" s="604"/>
    </row>
    <row r="610" ht="14.25" customHeight="1">
      <c r="M610" s="604"/>
    </row>
    <row r="611" ht="14.25" customHeight="1">
      <c r="M611" s="604"/>
    </row>
    <row r="612" ht="14.25" customHeight="1">
      <c r="M612" s="604"/>
    </row>
    <row r="613" ht="14.25" customHeight="1">
      <c r="M613" s="604"/>
    </row>
    <row r="614" ht="14.25" customHeight="1">
      <c r="M614" s="604"/>
    </row>
    <row r="615" ht="14.25" customHeight="1">
      <c r="M615" s="604"/>
    </row>
    <row r="616" ht="14.25" customHeight="1">
      <c r="M616" s="604"/>
    </row>
    <row r="617" ht="14.25" customHeight="1">
      <c r="M617" s="604"/>
    </row>
    <row r="618" ht="14.25" customHeight="1">
      <c r="M618" s="604"/>
    </row>
    <row r="619" ht="14.25" customHeight="1">
      <c r="M619" s="604"/>
    </row>
    <row r="620" ht="14.25" customHeight="1">
      <c r="M620" s="604"/>
    </row>
    <row r="621" ht="14.25" customHeight="1">
      <c r="M621" s="604"/>
    </row>
    <row r="622" ht="14.25" customHeight="1">
      <c r="M622" s="604"/>
    </row>
    <row r="623" ht="14.25" customHeight="1">
      <c r="M623" s="604"/>
    </row>
    <row r="624" ht="14.25" customHeight="1">
      <c r="M624" s="604"/>
    </row>
    <row r="625" ht="14.25" customHeight="1">
      <c r="M625" s="604"/>
    </row>
    <row r="626" ht="14.25" customHeight="1">
      <c r="M626" s="604"/>
    </row>
    <row r="627" ht="14.25" customHeight="1">
      <c r="M627" s="604"/>
    </row>
    <row r="628" ht="14.25" customHeight="1">
      <c r="M628" s="604"/>
    </row>
    <row r="629" ht="14.25" customHeight="1">
      <c r="M629" s="604"/>
    </row>
    <row r="630" ht="14.25" customHeight="1">
      <c r="M630" s="604"/>
    </row>
    <row r="631" ht="14.25" customHeight="1">
      <c r="M631" s="604"/>
    </row>
    <row r="632" ht="14.25" customHeight="1">
      <c r="M632" s="604"/>
    </row>
    <row r="633" ht="14.25" customHeight="1">
      <c r="M633" s="604"/>
    </row>
    <row r="634" ht="14.25" customHeight="1">
      <c r="M634" s="604"/>
    </row>
    <row r="635" ht="14.25" customHeight="1">
      <c r="M635" s="604"/>
    </row>
    <row r="636" ht="14.25" customHeight="1">
      <c r="M636" s="604"/>
    </row>
    <row r="637" ht="14.25" customHeight="1">
      <c r="M637" s="604"/>
    </row>
    <row r="638" ht="14.25" customHeight="1">
      <c r="M638" s="604"/>
    </row>
    <row r="639" ht="14.25" customHeight="1">
      <c r="M639" s="604"/>
    </row>
    <row r="640" ht="14.25" customHeight="1">
      <c r="M640" s="604"/>
    </row>
    <row r="641" ht="14.25" customHeight="1">
      <c r="M641" s="604"/>
    </row>
    <row r="642" ht="14.25" customHeight="1">
      <c r="M642" s="604"/>
    </row>
    <row r="643" ht="14.25" customHeight="1">
      <c r="M643" s="604"/>
    </row>
    <row r="644" ht="14.25" customHeight="1">
      <c r="M644" s="604"/>
    </row>
    <row r="645" ht="14.25" customHeight="1">
      <c r="M645" s="604"/>
    </row>
    <row r="646" ht="14.25" customHeight="1">
      <c r="M646" s="604"/>
    </row>
    <row r="647" ht="14.25" customHeight="1">
      <c r="M647" s="604"/>
    </row>
    <row r="648" ht="14.25" customHeight="1">
      <c r="M648" s="604"/>
    </row>
    <row r="649" ht="14.25" customHeight="1">
      <c r="M649" s="604"/>
    </row>
    <row r="650" ht="14.25" customHeight="1">
      <c r="M650" s="604"/>
    </row>
    <row r="651" ht="14.25" customHeight="1">
      <c r="M651" s="604"/>
    </row>
    <row r="652" ht="14.25" customHeight="1">
      <c r="M652" s="604"/>
    </row>
    <row r="653" ht="14.25" customHeight="1">
      <c r="M653" s="604"/>
    </row>
    <row r="654" ht="14.25" customHeight="1">
      <c r="M654" s="604"/>
    </row>
    <row r="655" ht="14.25" customHeight="1">
      <c r="M655" s="604"/>
    </row>
    <row r="656" ht="14.25" customHeight="1">
      <c r="M656" s="604"/>
    </row>
    <row r="657" ht="14.25" customHeight="1">
      <c r="M657" s="604"/>
    </row>
    <row r="658" ht="14.25" customHeight="1">
      <c r="M658" s="604"/>
    </row>
    <row r="659" ht="14.25" customHeight="1">
      <c r="M659" s="604"/>
    </row>
    <row r="660" ht="14.25" customHeight="1">
      <c r="M660" s="604"/>
    </row>
    <row r="661" ht="14.25" customHeight="1">
      <c r="M661" s="604"/>
    </row>
    <row r="662" ht="14.25" customHeight="1">
      <c r="M662" s="604"/>
    </row>
    <row r="663" ht="14.25" customHeight="1">
      <c r="M663" s="604"/>
    </row>
    <row r="664" ht="14.25" customHeight="1">
      <c r="M664" s="604"/>
    </row>
    <row r="665" ht="14.25" customHeight="1">
      <c r="M665" s="604"/>
    </row>
    <row r="666" ht="14.25" customHeight="1">
      <c r="M666" s="604"/>
    </row>
    <row r="667" ht="14.25" customHeight="1">
      <c r="M667" s="604"/>
    </row>
    <row r="668" ht="14.25" customHeight="1">
      <c r="M668" s="604"/>
    </row>
    <row r="669" ht="14.25" customHeight="1">
      <c r="M669" s="604"/>
    </row>
    <row r="670" ht="14.25" customHeight="1">
      <c r="M670" s="604"/>
    </row>
    <row r="671" ht="14.25" customHeight="1">
      <c r="M671" s="604"/>
    </row>
    <row r="672" ht="14.25" customHeight="1">
      <c r="M672" s="604"/>
    </row>
    <row r="673" ht="14.25" customHeight="1">
      <c r="M673" s="604"/>
    </row>
    <row r="674" ht="14.25" customHeight="1">
      <c r="M674" s="604"/>
    </row>
    <row r="675" ht="14.25" customHeight="1">
      <c r="M675" s="604"/>
    </row>
    <row r="676" ht="14.25" customHeight="1">
      <c r="M676" s="604"/>
    </row>
    <row r="677" ht="14.25" customHeight="1">
      <c r="M677" s="604"/>
    </row>
    <row r="678" ht="14.25" customHeight="1">
      <c r="M678" s="604"/>
    </row>
    <row r="679" ht="14.25" customHeight="1">
      <c r="M679" s="604"/>
    </row>
    <row r="680" ht="14.25" customHeight="1">
      <c r="M680" s="604"/>
    </row>
    <row r="681" ht="14.25" customHeight="1">
      <c r="M681" s="604"/>
    </row>
    <row r="682" ht="14.25" customHeight="1">
      <c r="M682" s="604"/>
    </row>
    <row r="683" ht="14.25" customHeight="1">
      <c r="M683" s="604"/>
    </row>
    <row r="684" ht="14.25" customHeight="1">
      <c r="M684" s="604"/>
    </row>
    <row r="685" ht="14.25" customHeight="1">
      <c r="M685" s="604"/>
    </row>
    <row r="686" ht="14.25" customHeight="1">
      <c r="M686" s="604"/>
    </row>
    <row r="687" ht="14.25" customHeight="1">
      <c r="M687" s="604"/>
    </row>
    <row r="688" ht="14.25" customHeight="1">
      <c r="M688" s="604"/>
    </row>
    <row r="689" ht="14.25" customHeight="1">
      <c r="M689" s="604"/>
    </row>
    <row r="690" ht="14.25" customHeight="1">
      <c r="M690" s="604"/>
    </row>
    <row r="691" ht="14.25" customHeight="1">
      <c r="M691" s="604"/>
    </row>
    <row r="692" ht="14.25" customHeight="1">
      <c r="M692" s="604"/>
    </row>
    <row r="693" ht="14.25" customHeight="1">
      <c r="M693" s="604"/>
    </row>
    <row r="694" ht="14.25" customHeight="1">
      <c r="M694" s="604"/>
    </row>
    <row r="695" ht="14.25" customHeight="1">
      <c r="M695" s="604"/>
    </row>
    <row r="696" ht="14.25" customHeight="1">
      <c r="M696" s="604"/>
    </row>
    <row r="697" ht="14.25" customHeight="1">
      <c r="M697" s="604"/>
    </row>
    <row r="698" ht="14.25" customHeight="1">
      <c r="M698" s="604"/>
    </row>
    <row r="699" ht="14.25" customHeight="1">
      <c r="M699" s="604"/>
    </row>
    <row r="700" ht="14.25" customHeight="1">
      <c r="M700" s="604"/>
    </row>
    <row r="701" ht="14.25" customHeight="1">
      <c r="M701" s="604"/>
    </row>
    <row r="702" ht="14.25" customHeight="1">
      <c r="M702" s="604"/>
    </row>
    <row r="703" ht="14.25" customHeight="1">
      <c r="M703" s="604"/>
    </row>
    <row r="704" ht="14.25" customHeight="1">
      <c r="M704" s="604"/>
    </row>
    <row r="705" ht="14.25" customHeight="1">
      <c r="M705" s="604"/>
    </row>
    <row r="706" ht="14.25" customHeight="1">
      <c r="M706" s="604"/>
    </row>
    <row r="707" ht="14.25" customHeight="1">
      <c r="M707" s="604"/>
    </row>
    <row r="708" ht="14.25" customHeight="1">
      <c r="M708" s="604"/>
    </row>
    <row r="709" ht="14.25" customHeight="1">
      <c r="M709" s="604"/>
    </row>
    <row r="710" ht="14.25" customHeight="1">
      <c r="M710" s="604"/>
    </row>
    <row r="711" ht="14.25" customHeight="1">
      <c r="M711" s="604"/>
    </row>
    <row r="712" ht="14.25" customHeight="1">
      <c r="M712" s="604"/>
    </row>
    <row r="713" ht="14.25" customHeight="1">
      <c r="M713" s="604"/>
    </row>
    <row r="714" ht="14.25" customHeight="1">
      <c r="M714" s="604"/>
    </row>
    <row r="715" ht="14.25" customHeight="1">
      <c r="M715" s="604"/>
    </row>
    <row r="716" ht="14.25" customHeight="1">
      <c r="M716" s="604"/>
    </row>
    <row r="717" ht="14.25" customHeight="1">
      <c r="M717" s="604"/>
    </row>
    <row r="718" ht="14.25" customHeight="1">
      <c r="M718" s="604"/>
    </row>
    <row r="719" ht="14.25" customHeight="1">
      <c r="M719" s="604"/>
    </row>
    <row r="720" ht="14.25" customHeight="1">
      <c r="M720" s="604"/>
    </row>
    <row r="721" ht="14.25" customHeight="1">
      <c r="M721" s="604"/>
    </row>
    <row r="722" ht="14.25" customHeight="1">
      <c r="M722" s="604"/>
    </row>
    <row r="723" ht="14.25" customHeight="1">
      <c r="M723" s="604"/>
    </row>
    <row r="724" ht="14.25" customHeight="1">
      <c r="M724" s="604"/>
    </row>
    <row r="725" ht="14.25" customHeight="1">
      <c r="M725" s="604"/>
    </row>
    <row r="726" ht="14.25" customHeight="1">
      <c r="M726" s="604"/>
    </row>
    <row r="727" ht="14.25" customHeight="1">
      <c r="M727" s="604"/>
    </row>
    <row r="728" ht="14.25" customHeight="1">
      <c r="M728" s="604"/>
    </row>
    <row r="729" ht="14.25" customHeight="1">
      <c r="M729" s="604"/>
    </row>
    <row r="730" ht="14.25" customHeight="1">
      <c r="M730" s="604"/>
    </row>
    <row r="731" ht="14.25" customHeight="1">
      <c r="M731" s="604"/>
    </row>
    <row r="732" ht="14.25" customHeight="1">
      <c r="M732" s="604"/>
    </row>
    <row r="733" ht="14.25" customHeight="1">
      <c r="M733" s="604"/>
    </row>
    <row r="734" ht="14.25" customHeight="1">
      <c r="M734" s="604"/>
    </row>
    <row r="735" ht="14.25" customHeight="1">
      <c r="M735" s="604"/>
    </row>
    <row r="736" ht="14.25" customHeight="1">
      <c r="M736" s="604"/>
    </row>
    <row r="737" ht="14.25" customHeight="1">
      <c r="M737" s="604"/>
    </row>
    <row r="738" ht="14.25" customHeight="1">
      <c r="M738" s="604"/>
    </row>
    <row r="739" ht="14.25" customHeight="1">
      <c r="M739" s="604"/>
    </row>
    <row r="740" ht="14.25" customHeight="1">
      <c r="M740" s="604"/>
    </row>
    <row r="741" ht="14.25" customHeight="1">
      <c r="M741" s="604"/>
    </row>
    <row r="742" ht="14.25" customHeight="1">
      <c r="M742" s="604"/>
    </row>
    <row r="743" ht="14.25" customHeight="1">
      <c r="M743" s="604"/>
    </row>
    <row r="744" ht="14.25" customHeight="1">
      <c r="M744" s="604"/>
    </row>
    <row r="745" ht="14.25" customHeight="1">
      <c r="M745" s="604"/>
    </row>
    <row r="746" ht="14.25" customHeight="1">
      <c r="M746" s="604"/>
    </row>
    <row r="747" ht="14.25" customHeight="1">
      <c r="M747" s="604"/>
    </row>
    <row r="748" ht="14.25" customHeight="1">
      <c r="M748" s="604"/>
    </row>
    <row r="749" ht="14.25" customHeight="1">
      <c r="M749" s="604"/>
    </row>
    <row r="750" ht="14.25" customHeight="1">
      <c r="M750" s="604"/>
    </row>
    <row r="751" ht="14.25" customHeight="1">
      <c r="M751" s="604"/>
    </row>
    <row r="752" ht="14.25" customHeight="1">
      <c r="M752" s="604"/>
    </row>
    <row r="753" ht="14.25" customHeight="1">
      <c r="M753" s="604"/>
    </row>
    <row r="754" ht="14.25" customHeight="1">
      <c r="M754" s="604"/>
    </row>
    <row r="755" ht="14.25" customHeight="1">
      <c r="M755" s="604"/>
    </row>
    <row r="756" ht="14.25" customHeight="1">
      <c r="M756" s="604"/>
    </row>
    <row r="757" ht="14.25" customHeight="1">
      <c r="M757" s="604"/>
    </row>
    <row r="758" ht="14.25" customHeight="1">
      <c r="M758" s="604"/>
    </row>
    <row r="759" ht="14.25" customHeight="1">
      <c r="M759" s="604"/>
    </row>
    <row r="760" ht="14.25" customHeight="1">
      <c r="M760" s="604"/>
    </row>
    <row r="761" ht="14.25" customHeight="1">
      <c r="M761" s="604"/>
    </row>
    <row r="762" ht="14.25" customHeight="1">
      <c r="M762" s="604"/>
    </row>
    <row r="763" ht="14.25" customHeight="1">
      <c r="M763" s="604"/>
    </row>
    <row r="764" ht="14.25" customHeight="1">
      <c r="M764" s="604"/>
    </row>
    <row r="765" ht="14.25" customHeight="1">
      <c r="M765" s="604"/>
    </row>
    <row r="766" ht="14.25" customHeight="1">
      <c r="M766" s="604"/>
    </row>
    <row r="767" ht="14.25" customHeight="1">
      <c r="M767" s="604"/>
    </row>
    <row r="768" ht="14.25" customHeight="1">
      <c r="M768" s="604"/>
    </row>
    <row r="769" ht="14.25" customHeight="1">
      <c r="M769" s="604"/>
    </row>
    <row r="770" ht="14.25" customHeight="1">
      <c r="M770" s="604"/>
    </row>
    <row r="771" ht="14.25" customHeight="1">
      <c r="M771" s="604"/>
    </row>
    <row r="772" ht="14.25" customHeight="1">
      <c r="M772" s="604"/>
    </row>
    <row r="773" ht="14.25" customHeight="1">
      <c r="M773" s="604"/>
    </row>
    <row r="774" ht="14.25" customHeight="1">
      <c r="M774" s="604"/>
    </row>
    <row r="775" ht="14.25" customHeight="1">
      <c r="M775" s="604"/>
    </row>
    <row r="776" ht="14.25" customHeight="1">
      <c r="M776" s="604"/>
    </row>
    <row r="777" ht="14.25" customHeight="1">
      <c r="M777" s="604"/>
    </row>
    <row r="778" ht="14.25" customHeight="1">
      <c r="M778" s="604"/>
    </row>
    <row r="779" ht="14.25" customHeight="1">
      <c r="M779" s="604"/>
    </row>
    <row r="780" ht="14.25" customHeight="1">
      <c r="M780" s="604"/>
    </row>
    <row r="781" ht="14.25" customHeight="1">
      <c r="M781" s="604"/>
    </row>
    <row r="782" ht="14.25" customHeight="1">
      <c r="M782" s="604"/>
    </row>
    <row r="783" ht="14.25" customHeight="1">
      <c r="M783" s="604"/>
    </row>
    <row r="784" ht="14.25" customHeight="1">
      <c r="M784" s="604"/>
    </row>
    <row r="785" ht="14.25" customHeight="1">
      <c r="M785" s="604"/>
    </row>
    <row r="786" ht="14.25" customHeight="1">
      <c r="M786" s="604"/>
    </row>
    <row r="787" ht="14.25" customHeight="1">
      <c r="M787" s="604"/>
    </row>
    <row r="788" ht="14.25" customHeight="1">
      <c r="M788" s="604"/>
    </row>
    <row r="789" ht="14.25" customHeight="1">
      <c r="M789" s="604"/>
    </row>
    <row r="790" ht="14.25" customHeight="1">
      <c r="M790" s="604"/>
    </row>
    <row r="791" ht="14.25" customHeight="1">
      <c r="M791" s="604"/>
    </row>
    <row r="792" ht="14.25" customHeight="1">
      <c r="M792" s="604"/>
    </row>
    <row r="793" ht="14.25" customHeight="1">
      <c r="M793" s="604"/>
    </row>
    <row r="794" ht="14.25" customHeight="1">
      <c r="M794" s="604"/>
    </row>
    <row r="795" ht="14.25" customHeight="1">
      <c r="M795" s="604"/>
    </row>
    <row r="796" ht="14.25" customHeight="1">
      <c r="M796" s="604"/>
    </row>
    <row r="797" ht="14.25" customHeight="1">
      <c r="M797" s="604"/>
    </row>
    <row r="798" ht="14.25" customHeight="1">
      <c r="M798" s="604"/>
    </row>
    <row r="799" ht="14.25" customHeight="1">
      <c r="M799" s="604"/>
    </row>
    <row r="800" ht="14.25" customHeight="1">
      <c r="M800" s="604"/>
    </row>
    <row r="801" ht="14.25" customHeight="1">
      <c r="M801" s="604"/>
    </row>
    <row r="802" ht="14.25" customHeight="1">
      <c r="M802" s="604"/>
    </row>
    <row r="803" ht="14.25" customHeight="1">
      <c r="M803" s="604"/>
    </row>
    <row r="804" ht="14.25" customHeight="1">
      <c r="M804" s="604"/>
    </row>
    <row r="805" ht="14.25" customHeight="1">
      <c r="M805" s="604"/>
    </row>
    <row r="806" ht="14.25" customHeight="1">
      <c r="M806" s="604"/>
    </row>
    <row r="807" ht="14.25" customHeight="1">
      <c r="M807" s="604"/>
    </row>
    <row r="808" ht="14.25" customHeight="1">
      <c r="M808" s="604"/>
    </row>
    <row r="809" ht="14.25" customHeight="1">
      <c r="M809" s="604"/>
    </row>
    <row r="810" ht="14.25" customHeight="1">
      <c r="M810" s="604"/>
    </row>
    <row r="811" ht="14.25" customHeight="1">
      <c r="M811" s="604"/>
    </row>
    <row r="812" ht="14.25" customHeight="1">
      <c r="M812" s="604"/>
    </row>
    <row r="813" ht="14.25" customHeight="1">
      <c r="M813" s="604"/>
    </row>
    <row r="814" ht="14.25" customHeight="1">
      <c r="M814" s="604"/>
    </row>
    <row r="815" ht="14.25" customHeight="1">
      <c r="M815" s="604"/>
    </row>
    <row r="816" ht="14.25" customHeight="1">
      <c r="M816" s="604"/>
    </row>
    <row r="817" ht="14.25" customHeight="1">
      <c r="M817" s="604"/>
    </row>
    <row r="818" ht="14.25" customHeight="1">
      <c r="M818" s="604"/>
    </row>
    <row r="819" ht="14.25" customHeight="1">
      <c r="M819" s="604"/>
    </row>
    <row r="820" ht="14.25" customHeight="1">
      <c r="M820" s="604"/>
    </row>
    <row r="821" ht="14.25" customHeight="1">
      <c r="M821" s="604"/>
    </row>
    <row r="822" ht="14.25" customHeight="1">
      <c r="M822" s="604"/>
    </row>
    <row r="823" ht="14.25" customHeight="1">
      <c r="M823" s="604"/>
    </row>
    <row r="824" ht="14.25" customHeight="1">
      <c r="M824" s="604"/>
    </row>
    <row r="825" ht="14.25" customHeight="1">
      <c r="M825" s="604"/>
    </row>
    <row r="826" ht="14.25" customHeight="1">
      <c r="M826" s="604"/>
    </row>
    <row r="827" ht="14.25" customHeight="1">
      <c r="M827" s="604"/>
    </row>
    <row r="828" ht="14.25" customHeight="1">
      <c r="M828" s="604"/>
    </row>
    <row r="829" ht="14.25" customHeight="1">
      <c r="M829" s="604"/>
    </row>
    <row r="830" ht="14.25" customHeight="1">
      <c r="M830" s="604"/>
    </row>
    <row r="831" ht="14.25" customHeight="1">
      <c r="M831" s="604"/>
    </row>
    <row r="832" ht="14.25" customHeight="1">
      <c r="M832" s="604"/>
    </row>
    <row r="833" ht="14.25" customHeight="1">
      <c r="M833" s="604"/>
    </row>
    <row r="834" ht="14.25" customHeight="1">
      <c r="M834" s="604"/>
    </row>
    <row r="835" ht="14.25" customHeight="1">
      <c r="M835" s="604"/>
    </row>
    <row r="836" ht="14.25" customHeight="1">
      <c r="M836" s="604"/>
    </row>
    <row r="837" ht="14.25" customHeight="1">
      <c r="M837" s="604"/>
    </row>
    <row r="838" ht="14.25" customHeight="1">
      <c r="M838" s="604"/>
    </row>
    <row r="839" ht="14.25" customHeight="1">
      <c r="M839" s="604"/>
    </row>
    <row r="840" ht="14.25" customHeight="1">
      <c r="M840" s="604"/>
    </row>
    <row r="841" ht="14.25" customHeight="1">
      <c r="M841" s="604"/>
    </row>
    <row r="842" ht="14.25" customHeight="1">
      <c r="M842" s="604"/>
    </row>
    <row r="843" ht="14.25" customHeight="1">
      <c r="M843" s="604"/>
    </row>
    <row r="844" ht="14.25" customHeight="1">
      <c r="M844" s="604"/>
    </row>
    <row r="845" ht="14.25" customHeight="1">
      <c r="M845" s="604"/>
    </row>
    <row r="846" ht="14.25" customHeight="1">
      <c r="M846" s="604"/>
    </row>
    <row r="847" ht="14.25" customHeight="1">
      <c r="M847" s="604"/>
    </row>
    <row r="848" ht="14.25" customHeight="1">
      <c r="M848" s="604"/>
    </row>
    <row r="849" ht="14.25" customHeight="1">
      <c r="M849" s="604"/>
    </row>
    <row r="850" ht="14.25" customHeight="1">
      <c r="M850" s="604"/>
    </row>
    <row r="851" ht="14.25" customHeight="1">
      <c r="M851" s="604"/>
    </row>
    <row r="852" ht="14.25" customHeight="1">
      <c r="M852" s="604"/>
    </row>
    <row r="853" ht="14.25" customHeight="1">
      <c r="M853" s="604"/>
    </row>
    <row r="854" ht="14.25" customHeight="1">
      <c r="M854" s="604"/>
    </row>
    <row r="855" ht="14.25" customHeight="1">
      <c r="M855" s="604"/>
    </row>
    <row r="856" ht="14.25" customHeight="1">
      <c r="M856" s="604"/>
    </row>
    <row r="857" ht="14.25" customHeight="1">
      <c r="M857" s="604"/>
    </row>
    <row r="858" ht="14.25" customHeight="1">
      <c r="M858" s="604"/>
    </row>
    <row r="859" ht="14.25" customHeight="1">
      <c r="M859" s="604"/>
    </row>
    <row r="860" ht="14.25" customHeight="1">
      <c r="M860" s="604"/>
    </row>
    <row r="861" ht="14.25" customHeight="1">
      <c r="M861" s="604"/>
    </row>
    <row r="862" ht="14.25" customHeight="1">
      <c r="M862" s="604"/>
    </row>
    <row r="863" ht="14.25" customHeight="1">
      <c r="M863" s="604"/>
    </row>
    <row r="864" ht="14.25" customHeight="1">
      <c r="M864" s="604"/>
    </row>
    <row r="865" ht="14.25" customHeight="1">
      <c r="M865" s="604"/>
    </row>
    <row r="866" ht="14.25" customHeight="1">
      <c r="M866" s="604"/>
    </row>
    <row r="867" ht="14.25" customHeight="1">
      <c r="M867" s="604"/>
    </row>
    <row r="868" ht="14.25" customHeight="1">
      <c r="M868" s="604"/>
    </row>
    <row r="869" ht="14.25" customHeight="1">
      <c r="M869" s="604"/>
    </row>
    <row r="870" ht="14.25" customHeight="1">
      <c r="M870" s="604"/>
    </row>
    <row r="871" ht="14.25" customHeight="1">
      <c r="M871" s="604"/>
    </row>
    <row r="872" ht="14.25" customHeight="1">
      <c r="M872" s="604"/>
    </row>
    <row r="873" ht="14.25" customHeight="1">
      <c r="M873" s="604"/>
    </row>
    <row r="874" ht="14.25" customHeight="1">
      <c r="M874" s="604"/>
    </row>
    <row r="875" ht="14.25" customHeight="1">
      <c r="M875" s="604"/>
    </row>
    <row r="876" ht="14.25" customHeight="1">
      <c r="M876" s="604"/>
    </row>
    <row r="877" ht="14.25" customHeight="1">
      <c r="M877" s="604"/>
    </row>
    <row r="878" ht="14.25" customHeight="1">
      <c r="M878" s="604"/>
    </row>
    <row r="879" ht="14.25" customHeight="1">
      <c r="M879" s="604"/>
    </row>
    <row r="880" ht="14.25" customHeight="1">
      <c r="M880" s="604"/>
    </row>
    <row r="881" ht="14.25" customHeight="1">
      <c r="M881" s="604"/>
    </row>
    <row r="882" ht="14.25" customHeight="1">
      <c r="M882" s="604"/>
    </row>
    <row r="883" ht="14.25" customHeight="1">
      <c r="M883" s="604"/>
    </row>
    <row r="884" ht="14.25" customHeight="1">
      <c r="M884" s="604"/>
    </row>
    <row r="885" ht="14.25" customHeight="1">
      <c r="M885" s="604"/>
    </row>
    <row r="886" ht="14.25" customHeight="1">
      <c r="M886" s="604"/>
    </row>
    <row r="887" ht="14.25" customHeight="1">
      <c r="M887" s="604"/>
    </row>
    <row r="888" ht="14.25" customHeight="1">
      <c r="M888" s="604"/>
    </row>
    <row r="889" ht="14.25" customHeight="1">
      <c r="M889" s="604"/>
    </row>
    <row r="890" ht="14.25" customHeight="1">
      <c r="M890" s="604"/>
    </row>
    <row r="891" ht="14.25" customHeight="1">
      <c r="M891" s="604"/>
    </row>
    <row r="892" ht="14.25" customHeight="1">
      <c r="M892" s="604"/>
    </row>
    <row r="893" ht="14.25" customHeight="1">
      <c r="M893" s="604"/>
    </row>
    <row r="894" ht="14.25" customHeight="1">
      <c r="M894" s="604"/>
    </row>
    <row r="895" ht="14.25" customHeight="1">
      <c r="M895" s="604"/>
    </row>
    <row r="896" ht="14.25" customHeight="1">
      <c r="M896" s="604"/>
    </row>
    <row r="897" ht="14.25" customHeight="1">
      <c r="M897" s="604"/>
    </row>
    <row r="898" ht="14.25" customHeight="1">
      <c r="M898" s="604"/>
    </row>
    <row r="899" ht="14.25" customHeight="1">
      <c r="M899" s="604"/>
    </row>
    <row r="900" ht="14.25" customHeight="1">
      <c r="M900" s="604"/>
    </row>
    <row r="901" ht="14.25" customHeight="1">
      <c r="M901" s="604"/>
    </row>
    <row r="902" ht="14.25" customHeight="1">
      <c r="M902" s="604"/>
    </row>
    <row r="903" ht="14.25" customHeight="1">
      <c r="M903" s="604"/>
    </row>
    <row r="904" ht="14.25" customHeight="1">
      <c r="M904" s="604"/>
    </row>
    <row r="905" ht="14.25" customHeight="1">
      <c r="M905" s="604"/>
    </row>
    <row r="906" ht="14.25" customHeight="1">
      <c r="M906" s="604"/>
    </row>
    <row r="907" ht="14.25" customHeight="1">
      <c r="M907" s="604"/>
    </row>
    <row r="908" ht="14.25" customHeight="1">
      <c r="M908" s="604"/>
    </row>
    <row r="909" ht="14.25" customHeight="1">
      <c r="M909" s="604"/>
    </row>
    <row r="910" ht="14.25" customHeight="1">
      <c r="M910" s="604"/>
    </row>
    <row r="911" ht="14.25" customHeight="1">
      <c r="M911" s="604"/>
    </row>
    <row r="912" ht="14.25" customHeight="1">
      <c r="M912" s="604"/>
    </row>
    <row r="913" ht="14.25" customHeight="1">
      <c r="M913" s="604"/>
    </row>
    <row r="914" ht="14.25" customHeight="1">
      <c r="M914" s="604"/>
    </row>
    <row r="915" ht="14.25" customHeight="1">
      <c r="M915" s="604"/>
    </row>
    <row r="916" ht="14.25" customHeight="1">
      <c r="M916" s="604"/>
    </row>
    <row r="917" ht="14.25" customHeight="1">
      <c r="M917" s="604"/>
    </row>
    <row r="918" ht="14.25" customHeight="1">
      <c r="M918" s="604"/>
    </row>
    <row r="919" ht="14.25" customHeight="1">
      <c r="M919" s="604"/>
    </row>
    <row r="920" ht="14.25" customHeight="1">
      <c r="M920" s="604"/>
    </row>
    <row r="921" ht="14.25" customHeight="1">
      <c r="M921" s="604"/>
    </row>
    <row r="922" ht="14.25" customHeight="1">
      <c r="M922" s="604"/>
    </row>
    <row r="923" ht="14.25" customHeight="1">
      <c r="M923" s="604"/>
    </row>
    <row r="924" ht="14.25" customHeight="1">
      <c r="M924" s="604"/>
    </row>
    <row r="925" ht="14.25" customHeight="1">
      <c r="M925" s="604"/>
    </row>
    <row r="926" ht="14.25" customHeight="1">
      <c r="M926" s="604"/>
    </row>
    <row r="927" ht="14.25" customHeight="1">
      <c r="M927" s="604"/>
    </row>
    <row r="928" ht="14.25" customHeight="1">
      <c r="M928" s="604"/>
    </row>
    <row r="929" ht="14.25" customHeight="1">
      <c r="M929" s="604"/>
    </row>
    <row r="930" ht="14.25" customHeight="1">
      <c r="M930" s="604"/>
    </row>
    <row r="931" ht="14.25" customHeight="1">
      <c r="M931" s="604"/>
    </row>
    <row r="932" ht="14.25" customHeight="1">
      <c r="M932" s="604"/>
    </row>
    <row r="933" ht="14.25" customHeight="1">
      <c r="M933" s="604"/>
    </row>
    <row r="934" ht="14.25" customHeight="1">
      <c r="M934" s="604"/>
    </row>
    <row r="935" ht="14.25" customHeight="1">
      <c r="M935" s="604"/>
    </row>
    <row r="936" ht="14.25" customHeight="1">
      <c r="M936" s="604"/>
    </row>
    <row r="937" ht="14.25" customHeight="1">
      <c r="M937" s="604"/>
    </row>
    <row r="938" ht="14.25" customHeight="1">
      <c r="M938" s="604"/>
    </row>
    <row r="939" ht="14.25" customHeight="1">
      <c r="M939" s="604"/>
    </row>
    <row r="940" ht="14.25" customHeight="1">
      <c r="M940" s="604"/>
    </row>
    <row r="941" ht="14.25" customHeight="1">
      <c r="M941" s="604"/>
    </row>
    <row r="942" ht="14.25" customHeight="1">
      <c r="M942" s="604"/>
    </row>
    <row r="943" ht="14.25" customHeight="1">
      <c r="M943" s="604"/>
    </row>
    <row r="944" ht="14.25" customHeight="1">
      <c r="M944" s="604"/>
    </row>
    <row r="945" ht="14.25" customHeight="1">
      <c r="M945" s="604"/>
    </row>
    <row r="946" ht="14.25" customHeight="1">
      <c r="M946" s="604"/>
    </row>
    <row r="947" ht="14.25" customHeight="1">
      <c r="M947" s="604"/>
    </row>
    <row r="948" ht="14.25" customHeight="1">
      <c r="M948" s="604"/>
    </row>
    <row r="949" ht="14.25" customHeight="1">
      <c r="M949" s="604"/>
    </row>
    <row r="950" ht="14.25" customHeight="1">
      <c r="M950" s="604"/>
    </row>
    <row r="951" ht="14.25" customHeight="1">
      <c r="M951" s="604"/>
    </row>
    <row r="952" ht="14.25" customHeight="1">
      <c r="M952" s="604"/>
    </row>
    <row r="953" ht="14.25" customHeight="1">
      <c r="M953" s="604"/>
    </row>
    <row r="954" ht="14.25" customHeight="1">
      <c r="M954" s="604"/>
    </row>
    <row r="955" ht="14.25" customHeight="1">
      <c r="M955" s="604"/>
    </row>
    <row r="956" ht="14.25" customHeight="1">
      <c r="M956" s="604"/>
    </row>
    <row r="957" ht="14.25" customHeight="1">
      <c r="M957" s="604"/>
    </row>
    <row r="958" ht="14.25" customHeight="1">
      <c r="M958" s="604"/>
    </row>
    <row r="959" ht="14.25" customHeight="1">
      <c r="M959" s="604"/>
    </row>
    <row r="960" ht="14.25" customHeight="1">
      <c r="M960" s="604"/>
    </row>
    <row r="961" ht="14.25" customHeight="1">
      <c r="M961" s="604"/>
    </row>
    <row r="962" ht="14.25" customHeight="1">
      <c r="M962" s="604"/>
    </row>
    <row r="963" ht="14.25" customHeight="1">
      <c r="M963" s="604"/>
    </row>
    <row r="964" ht="14.25" customHeight="1">
      <c r="M964" s="604"/>
    </row>
    <row r="965" ht="14.25" customHeight="1">
      <c r="M965" s="604"/>
    </row>
    <row r="966" ht="14.25" customHeight="1">
      <c r="M966" s="604"/>
    </row>
    <row r="967" ht="14.25" customHeight="1">
      <c r="M967" s="604"/>
    </row>
    <row r="968" ht="14.25" customHeight="1">
      <c r="M968" s="604"/>
    </row>
    <row r="969" ht="14.25" customHeight="1">
      <c r="M969" s="604"/>
    </row>
    <row r="970" ht="14.25" customHeight="1">
      <c r="M970" s="604"/>
    </row>
    <row r="971" ht="14.25" customHeight="1">
      <c r="M971" s="604"/>
    </row>
    <row r="972" ht="14.25" customHeight="1">
      <c r="M972" s="604"/>
    </row>
    <row r="973" ht="14.25" customHeight="1">
      <c r="M973" s="604"/>
    </row>
    <row r="974" ht="14.25" customHeight="1">
      <c r="M974" s="604"/>
    </row>
    <row r="975" ht="14.25" customHeight="1">
      <c r="M975" s="604"/>
    </row>
    <row r="976" ht="14.25" customHeight="1">
      <c r="M976" s="604"/>
    </row>
    <row r="977" ht="14.25" customHeight="1">
      <c r="M977" s="604"/>
    </row>
    <row r="978" ht="14.25" customHeight="1">
      <c r="M978" s="604"/>
    </row>
    <row r="979" ht="14.25" customHeight="1">
      <c r="M979" s="604"/>
    </row>
    <row r="980" ht="14.25" customHeight="1">
      <c r="M980" s="604"/>
    </row>
    <row r="981" ht="14.25" customHeight="1">
      <c r="M981" s="604"/>
    </row>
    <row r="982" ht="14.25" customHeight="1">
      <c r="M982" s="604"/>
    </row>
    <row r="983" ht="14.25" customHeight="1">
      <c r="M983" s="604"/>
    </row>
    <row r="984" ht="14.25" customHeight="1">
      <c r="M984" s="604"/>
    </row>
    <row r="985" ht="14.25" customHeight="1">
      <c r="M985" s="604"/>
    </row>
    <row r="986" ht="14.25" customHeight="1">
      <c r="M986" s="604"/>
    </row>
    <row r="987" ht="14.25" customHeight="1">
      <c r="M987" s="604"/>
    </row>
    <row r="988" ht="14.25" customHeight="1">
      <c r="M988" s="604"/>
    </row>
    <row r="989" ht="14.25" customHeight="1">
      <c r="M989" s="604"/>
    </row>
    <row r="990" ht="14.25" customHeight="1">
      <c r="M990" s="604"/>
    </row>
    <row r="991" ht="14.25" customHeight="1">
      <c r="M991" s="604"/>
    </row>
    <row r="992" ht="14.25" customHeight="1">
      <c r="M992" s="604"/>
    </row>
    <row r="993" ht="14.25" customHeight="1">
      <c r="M993" s="604"/>
    </row>
    <row r="994" ht="14.25" customHeight="1">
      <c r="M994" s="604"/>
    </row>
    <row r="995" ht="14.25" customHeight="1">
      <c r="M995" s="604"/>
    </row>
    <row r="996" ht="14.25" customHeight="1">
      <c r="M996" s="604"/>
    </row>
    <row r="997" ht="14.25" customHeight="1">
      <c r="M997" s="604"/>
    </row>
    <row r="998" ht="14.25" customHeight="1">
      <c r="M998" s="604"/>
    </row>
    <row r="999" ht="14.25" customHeight="1">
      <c r="M999" s="604"/>
    </row>
    <row r="1000" ht="14.25" customHeight="1">
      <c r="M1000" s="604"/>
    </row>
  </sheetData>
  <mergeCells count="2">
    <mergeCell ref="A3:M3"/>
    <mergeCell ref="A4:M4"/>
  </mergeCells>
  <printOptions/>
  <pageMargins bottom="0.7480314960629921" footer="0.0" header="0.0" left="0.0" right="0.0" top="0.7480314960629921"/>
  <pageSetup paperSize="5" orientation="landscape"/>
  <drawing r:id="rId1"/>
  <tableParts count="1">
    <tablePart r:id="rId3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workbookViewId="0"/>
  </sheetViews>
  <sheetFormatPr customHeight="1" defaultColWidth="14.43" defaultRowHeight="15.0"/>
  <cols>
    <col customWidth="1" min="1" max="1" width="4.29"/>
    <col customWidth="1" min="2" max="2" width="47.43"/>
    <col customWidth="1" min="3" max="3" width="44.14"/>
    <col customWidth="1" min="4" max="4" width="15.71"/>
    <col customWidth="1" min="5" max="5" width="8.43"/>
    <col customWidth="1" min="6" max="6" width="22.14"/>
    <col customWidth="1" min="7" max="7" width="25.57"/>
    <col customWidth="1" min="8" max="8" width="10.71"/>
    <col customWidth="1" min="9" max="9" width="24.14"/>
    <col customWidth="1" min="10" max="10" width="21.14"/>
    <col customWidth="1" min="11" max="12" width="12.71"/>
    <col customWidth="1" min="13" max="13" width="15.57"/>
    <col customWidth="1" min="14" max="14" width="32.43"/>
    <col customWidth="1" hidden="1" min="15" max="15" width="20.29"/>
    <col customWidth="1" hidden="1" min="16" max="16" width="24.14"/>
    <col customWidth="1" hidden="1" min="17" max="17" width="30.57"/>
    <col customWidth="1" hidden="1" min="18" max="18" width="24.43"/>
    <col customWidth="1" min="19" max="19" width="35.14"/>
    <col customWidth="1" min="20" max="20" width="20.29"/>
    <col customWidth="1" min="21" max="27" width="8.71"/>
  </cols>
  <sheetData>
    <row r="1" ht="14.25" customHeight="1">
      <c r="N1" s="665"/>
      <c r="O1" s="665"/>
      <c r="P1" s="665"/>
      <c r="Q1" s="665"/>
      <c r="R1" s="665"/>
      <c r="S1" s="665"/>
      <c r="T1" s="665"/>
      <c r="U1" s="665"/>
      <c r="V1" s="665"/>
      <c r="W1" s="665"/>
      <c r="X1" s="665"/>
      <c r="Y1" s="665"/>
      <c r="Z1" s="665"/>
      <c r="AA1" s="665"/>
    </row>
    <row r="2" ht="14.25" customHeight="1">
      <c r="N2" s="665"/>
      <c r="O2" s="665"/>
      <c r="P2" s="665"/>
      <c r="Q2" s="665"/>
      <c r="R2" s="665"/>
      <c r="S2" s="665"/>
      <c r="T2" s="665"/>
      <c r="U2" s="665"/>
      <c r="V2" s="665"/>
      <c r="W2" s="665"/>
      <c r="X2" s="665"/>
      <c r="Y2" s="665"/>
      <c r="Z2" s="665"/>
      <c r="AA2" s="665"/>
    </row>
    <row r="3" ht="14.25" customHeight="1">
      <c r="A3" s="1" t="s">
        <v>0</v>
      </c>
      <c r="N3" s="666"/>
      <c r="O3" s="666"/>
      <c r="P3" s="666"/>
      <c r="Q3" s="666"/>
      <c r="R3" s="666"/>
      <c r="S3" s="666"/>
      <c r="T3" s="666"/>
      <c r="U3" s="666"/>
      <c r="V3" s="666"/>
      <c r="W3" s="666"/>
      <c r="X3" s="666"/>
      <c r="Y3" s="666"/>
      <c r="Z3" s="666"/>
      <c r="AA3" s="666"/>
    </row>
    <row r="4" ht="14.25" customHeight="1">
      <c r="A4" s="1" t="s">
        <v>1</v>
      </c>
      <c r="N4" s="666"/>
      <c r="O4" s="666"/>
      <c r="P4" s="666"/>
      <c r="Q4" s="666"/>
      <c r="R4" s="666"/>
      <c r="S4" s="666"/>
      <c r="T4" s="666"/>
      <c r="U4" s="666"/>
      <c r="V4" s="666"/>
      <c r="W4" s="666"/>
      <c r="X4" s="666"/>
      <c r="Y4" s="666"/>
      <c r="Z4" s="666"/>
      <c r="AA4" s="666"/>
    </row>
    <row r="5" ht="14.25" customHeight="1">
      <c r="N5" s="666"/>
      <c r="O5" s="666"/>
      <c r="P5" s="666"/>
      <c r="Q5" s="666"/>
      <c r="R5" s="666"/>
      <c r="S5" s="666"/>
      <c r="T5" s="666"/>
      <c r="U5" s="666"/>
      <c r="V5" s="666"/>
      <c r="W5" s="666"/>
      <c r="X5" s="666"/>
      <c r="Y5" s="666"/>
      <c r="Z5" s="666"/>
      <c r="AA5" s="666"/>
    </row>
    <row r="6" ht="14.25" customHeight="1">
      <c r="N6" s="666"/>
      <c r="O6" s="666"/>
      <c r="P6" s="666"/>
      <c r="Q6" s="666"/>
      <c r="R6" s="666"/>
      <c r="S6" s="666"/>
      <c r="T6" s="666"/>
      <c r="U6" s="666"/>
      <c r="V6" s="666"/>
      <c r="W6" s="666"/>
      <c r="X6" s="666"/>
      <c r="Y6" s="666"/>
      <c r="Z6" s="666"/>
      <c r="AA6" s="666"/>
    </row>
    <row r="7" ht="14.25" customHeight="1">
      <c r="A7" s="2" t="s">
        <v>2</v>
      </c>
      <c r="C7" s="2" t="s">
        <v>3</v>
      </c>
      <c r="N7" s="666"/>
      <c r="O7" s="666"/>
      <c r="P7" s="666"/>
      <c r="Q7" s="666"/>
      <c r="R7" s="666"/>
      <c r="S7" s="666"/>
      <c r="T7" s="666"/>
      <c r="U7" s="666"/>
      <c r="V7" s="666"/>
      <c r="W7" s="666"/>
      <c r="X7" s="666"/>
      <c r="Y7" s="666"/>
      <c r="Z7" s="666"/>
      <c r="AA7" s="666"/>
    </row>
    <row r="8" ht="14.25" customHeight="1">
      <c r="A8" s="2" t="s">
        <v>4</v>
      </c>
      <c r="C8" s="2" t="s">
        <v>5</v>
      </c>
      <c r="N8" s="666"/>
      <c r="O8" s="666"/>
      <c r="P8" s="666"/>
      <c r="Q8" s="666"/>
      <c r="R8" s="666"/>
      <c r="S8" s="666"/>
      <c r="T8" s="666"/>
      <c r="U8" s="666"/>
      <c r="V8" s="666"/>
      <c r="W8" s="666"/>
      <c r="X8" s="666"/>
      <c r="Y8" s="666"/>
      <c r="Z8" s="666"/>
      <c r="AA8" s="666"/>
    </row>
    <row r="9" ht="14.25" customHeight="1">
      <c r="A9" s="2" t="s">
        <v>6</v>
      </c>
      <c r="C9" s="2" t="s">
        <v>4557</v>
      </c>
      <c r="N9" s="666"/>
      <c r="O9" s="666"/>
      <c r="P9" s="666"/>
      <c r="Q9" s="666"/>
      <c r="R9" s="666"/>
      <c r="S9" s="666"/>
      <c r="T9" s="666"/>
      <c r="U9" s="666"/>
      <c r="V9" s="666"/>
      <c r="W9" s="666"/>
      <c r="X9" s="666"/>
      <c r="Y9" s="666"/>
      <c r="Z9" s="666"/>
      <c r="AA9" s="666"/>
    </row>
    <row r="10" ht="14.25" customHeight="1">
      <c r="A10" s="667" t="s">
        <v>8</v>
      </c>
      <c r="B10" s="668" t="s">
        <v>9</v>
      </c>
      <c r="C10" s="668" t="s">
        <v>2723</v>
      </c>
      <c r="D10" s="668" t="s">
        <v>2724</v>
      </c>
      <c r="E10" s="668" t="s">
        <v>12</v>
      </c>
      <c r="F10" s="668" t="s">
        <v>13</v>
      </c>
      <c r="G10" s="668" t="s">
        <v>14</v>
      </c>
      <c r="H10" s="668" t="s">
        <v>15</v>
      </c>
      <c r="I10" s="668" t="s">
        <v>2725</v>
      </c>
      <c r="J10" s="668" t="s">
        <v>2726</v>
      </c>
      <c r="K10" s="669" t="s">
        <v>1881</v>
      </c>
      <c r="L10" s="668" t="s">
        <v>19</v>
      </c>
      <c r="M10" s="670" t="s">
        <v>20</v>
      </c>
      <c r="N10" s="668" t="s">
        <v>1883</v>
      </c>
      <c r="O10" s="668" t="s">
        <v>4558</v>
      </c>
      <c r="P10" s="668" t="s">
        <v>4559</v>
      </c>
      <c r="Q10" s="668" t="s">
        <v>4560</v>
      </c>
      <c r="R10" s="668" t="s">
        <v>4561</v>
      </c>
      <c r="S10" s="671" t="s">
        <v>4562</v>
      </c>
      <c r="T10" s="671" t="s">
        <v>4563</v>
      </c>
    </row>
    <row r="11" ht="14.25" customHeight="1">
      <c r="A11" s="672"/>
      <c r="B11" s="673" t="s">
        <v>23</v>
      </c>
      <c r="C11" s="673"/>
      <c r="D11" s="673"/>
      <c r="E11" s="673"/>
      <c r="F11" s="674">
        <f>F12</f>
        <v>186000000</v>
      </c>
      <c r="G11" s="673"/>
      <c r="H11" s="673"/>
      <c r="I11" s="673"/>
      <c r="J11" s="673"/>
      <c r="K11" s="673"/>
      <c r="L11" s="673"/>
      <c r="M11" s="675"/>
      <c r="N11" s="676"/>
      <c r="O11" s="676"/>
      <c r="P11" s="676"/>
      <c r="Q11" s="676"/>
      <c r="R11" s="676"/>
      <c r="S11" s="677"/>
      <c r="T11" s="677"/>
      <c r="U11" s="35"/>
      <c r="V11" s="35"/>
      <c r="W11" s="35"/>
      <c r="X11" s="35"/>
      <c r="Y11" s="35"/>
      <c r="Z11" s="35"/>
      <c r="AA11" s="35"/>
    </row>
    <row r="12" ht="14.25" customHeight="1">
      <c r="A12" s="253">
        <v>1.0</v>
      </c>
      <c r="B12" s="175" t="s">
        <v>780</v>
      </c>
      <c r="C12" s="175" t="s">
        <v>780</v>
      </c>
      <c r="D12" s="175" t="s">
        <v>4564</v>
      </c>
      <c r="E12" s="175" t="s">
        <v>70</v>
      </c>
      <c r="F12" s="177">
        <v>1.86E8</v>
      </c>
      <c r="G12" s="175" t="s">
        <v>4565</v>
      </c>
      <c r="H12" s="15" t="s">
        <v>979</v>
      </c>
      <c r="I12" s="17" t="s">
        <v>4566</v>
      </c>
      <c r="J12" s="27" t="s">
        <v>4567</v>
      </c>
      <c r="K12" s="17" t="s">
        <v>4568</v>
      </c>
      <c r="L12" s="27" t="s">
        <v>4569</v>
      </c>
      <c r="M12" s="391" t="s">
        <v>4570</v>
      </c>
      <c r="N12" s="175" t="s">
        <v>4571</v>
      </c>
      <c r="O12" s="175"/>
      <c r="P12" s="175"/>
      <c r="Q12" s="175"/>
      <c r="R12" s="175"/>
      <c r="S12" s="320" t="s">
        <v>4572</v>
      </c>
      <c r="T12" s="320" t="s">
        <v>4573</v>
      </c>
    </row>
    <row r="13" ht="14.25" customHeight="1">
      <c r="A13" s="672"/>
      <c r="B13" s="673" t="s">
        <v>1933</v>
      </c>
      <c r="C13" s="673"/>
      <c r="D13" s="673"/>
      <c r="E13" s="673"/>
      <c r="F13" s="674">
        <f>SUM(F14:F19)</f>
        <v>1416874000</v>
      </c>
      <c r="G13" s="673"/>
      <c r="H13" s="673"/>
      <c r="I13" s="673"/>
      <c r="J13" s="673"/>
      <c r="K13" s="673"/>
      <c r="L13" s="673"/>
      <c r="M13" s="675"/>
      <c r="N13" s="263"/>
      <c r="O13" s="263"/>
      <c r="P13" s="263"/>
      <c r="Q13" s="263"/>
      <c r="R13" s="263"/>
      <c r="S13" s="677"/>
      <c r="T13" s="677"/>
      <c r="U13" s="35"/>
      <c r="V13" s="35"/>
      <c r="W13" s="35"/>
      <c r="X13" s="35"/>
      <c r="Y13" s="35"/>
      <c r="Z13" s="35"/>
      <c r="AA13" s="35"/>
    </row>
    <row r="14" ht="14.25" customHeight="1">
      <c r="A14" s="253">
        <v>2.0</v>
      </c>
      <c r="B14" s="175" t="s">
        <v>908</v>
      </c>
      <c r="C14" s="175" t="s">
        <v>4402</v>
      </c>
      <c r="D14" s="175" t="s">
        <v>4564</v>
      </c>
      <c r="E14" s="175" t="s">
        <v>70</v>
      </c>
      <c r="F14" s="177">
        <v>1.56E8</v>
      </c>
      <c r="G14" s="175" t="s">
        <v>4574</v>
      </c>
      <c r="H14" s="175" t="s">
        <v>37</v>
      </c>
      <c r="I14" s="17" t="s">
        <v>4575</v>
      </c>
      <c r="J14" s="27" t="s">
        <v>4576</v>
      </c>
      <c r="K14" s="17" t="s">
        <v>4577</v>
      </c>
      <c r="L14" s="27" t="s">
        <v>4578</v>
      </c>
      <c r="M14" s="391" t="s">
        <v>4579</v>
      </c>
      <c r="N14" s="175"/>
      <c r="O14" s="175"/>
      <c r="P14" s="175"/>
      <c r="Q14" s="175"/>
      <c r="R14" s="175"/>
      <c r="S14" s="678" t="s">
        <v>4580</v>
      </c>
      <c r="T14" s="321"/>
    </row>
    <row r="15" ht="14.25" customHeight="1">
      <c r="A15" s="253">
        <v>3.0</v>
      </c>
      <c r="B15" s="175" t="s">
        <v>908</v>
      </c>
      <c r="C15" s="175" t="s">
        <v>3048</v>
      </c>
      <c r="D15" s="175" t="s">
        <v>4564</v>
      </c>
      <c r="E15" s="175" t="s">
        <v>70</v>
      </c>
      <c r="F15" s="177">
        <v>1.085E8</v>
      </c>
      <c r="G15" s="175" t="s">
        <v>4581</v>
      </c>
      <c r="H15" s="15" t="s">
        <v>474</v>
      </c>
      <c r="I15" s="17" t="s">
        <v>4582</v>
      </c>
      <c r="J15" s="27" t="s">
        <v>4583</v>
      </c>
      <c r="K15" s="17" t="s">
        <v>4584</v>
      </c>
      <c r="L15" s="27" t="s">
        <v>4585</v>
      </c>
      <c r="M15" s="391" t="s">
        <v>4586</v>
      </c>
      <c r="N15" s="175" t="s">
        <v>4587</v>
      </c>
      <c r="O15" s="175"/>
      <c r="P15" s="175"/>
      <c r="Q15" s="175"/>
      <c r="R15" s="175"/>
      <c r="S15" s="320" t="s">
        <v>4588</v>
      </c>
      <c r="T15" s="321"/>
    </row>
    <row r="16" ht="14.25" customHeight="1">
      <c r="A16" s="253">
        <v>4.0</v>
      </c>
      <c r="B16" s="175" t="s">
        <v>82</v>
      </c>
      <c r="C16" s="175" t="s">
        <v>82</v>
      </c>
      <c r="D16" s="175" t="s">
        <v>4564</v>
      </c>
      <c r="E16" s="175" t="s">
        <v>70</v>
      </c>
      <c r="F16" s="177">
        <v>3.0E8</v>
      </c>
      <c r="G16" s="175" t="s">
        <v>4589</v>
      </c>
      <c r="H16" s="15" t="s">
        <v>979</v>
      </c>
      <c r="I16" s="17" t="s">
        <v>4590</v>
      </c>
      <c r="J16" s="27" t="s">
        <v>4591</v>
      </c>
      <c r="K16" s="17" t="s">
        <v>4592</v>
      </c>
      <c r="L16" s="27" t="s">
        <v>4593</v>
      </c>
      <c r="M16" s="391" t="s">
        <v>4570</v>
      </c>
      <c r="N16" s="175" t="s">
        <v>4594</v>
      </c>
      <c r="O16" s="175"/>
      <c r="P16" s="175"/>
      <c r="Q16" s="175"/>
      <c r="R16" s="175"/>
      <c r="S16" s="320" t="s">
        <v>4595</v>
      </c>
      <c r="T16" s="320" t="s">
        <v>3743</v>
      </c>
    </row>
    <row r="17" ht="14.25" customHeight="1">
      <c r="A17" s="253">
        <v>5.0</v>
      </c>
      <c r="B17" s="175" t="s">
        <v>3048</v>
      </c>
      <c r="C17" s="175" t="s">
        <v>3048</v>
      </c>
      <c r="D17" s="175" t="s">
        <v>4564</v>
      </c>
      <c r="E17" s="175" t="s">
        <v>70</v>
      </c>
      <c r="F17" s="177">
        <v>3.4765E8</v>
      </c>
      <c r="G17" s="175" t="s">
        <v>4596</v>
      </c>
      <c r="H17" s="175" t="s">
        <v>44</v>
      </c>
      <c r="I17" s="17" t="s">
        <v>4597</v>
      </c>
      <c r="J17" s="27" t="s">
        <v>4598</v>
      </c>
      <c r="K17" s="17" t="s">
        <v>4599</v>
      </c>
      <c r="L17" s="27" t="s">
        <v>4600</v>
      </c>
      <c r="M17" s="391" t="s">
        <v>4570</v>
      </c>
      <c r="N17" s="175" t="s">
        <v>4601</v>
      </c>
      <c r="O17" s="175"/>
      <c r="P17" s="175"/>
      <c r="Q17" s="175"/>
      <c r="R17" s="175"/>
      <c r="S17" s="678" t="s">
        <v>4602</v>
      </c>
      <c r="T17" s="321"/>
    </row>
    <row r="18" ht="14.25" customHeight="1">
      <c r="A18" s="253">
        <v>6.0</v>
      </c>
      <c r="B18" s="175" t="s">
        <v>4402</v>
      </c>
      <c r="C18" s="175" t="s">
        <v>4402</v>
      </c>
      <c r="D18" s="175" t="s">
        <v>4564</v>
      </c>
      <c r="E18" s="175" t="s">
        <v>70</v>
      </c>
      <c r="F18" s="177">
        <v>3.79724E8</v>
      </c>
      <c r="G18" s="175" t="s">
        <v>4603</v>
      </c>
      <c r="H18" s="175" t="s">
        <v>1040</v>
      </c>
      <c r="I18" s="17" t="s">
        <v>4604</v>
      </c>
      <c r="J18" s="27" t="s">
        <v>4605</v>
      </c>
      <c r="K18" s="17" t="s">
        <v>4606</v>
      </c>
      <c r="L18" s="27" t="s">
        <v>4607</v>
      </c>
      <c r="M18" s="679" t="s">
        <v>4570</v>
      </c>
      <c r="N18" s="175" t="s">
        <v>4608</v>
      </c>
      <c r="O18" s="175"/>
      <c r="P18" s="175"/>
      <c r="Q18" s="175"/>
      <c r="R18" s="175"/>
      <c r="S18" s="678" t="s">
        <v>4609</v>
      </c>
      <c r="T18" s="321"/>
    </row>
    <row r="19" ht="14.25" customHeight="1">
      <c r="A19" s="253">
        <v>7.0</v>
      </c>
      <c r="B19" s="175" t="s">
        <v>4610</v>
      </c>
      <c r="C19" s="175" t="s">
        <v>4610</v>
      </c>
      <c r="D19" s="175" t="s">
        <v>4564</v>
      </c>
      <c r="E19" s="175" t="s">
        <v>70</v>
      </c>
      <c r="F19" s="177">
        <v>1.25E8</v>
      </c>
      <c r="G19" s="175" t="s">
        <v>4611</v>
      </c>
      <c r="H19" s="15" t="s">
        <v>910</v>
      </c>
      <c r="I19" s="17" t="s">
        <v>4612</v>
      </c>
      <c r="J19" s="27" t="s">
        <v>4613</v>
      </c>
      <c r="K19" s="17" t="s">
        <v>4614</v>
      </c>
      <c r="L19" s="27" t="s">
        <v>4615</v>
      </c>
      <c r="M19" s="680" t="s">
        <v>4570</v>
      </c>
      <c r="N19" s="175" t="s">
        <v>4616</v>
      </c>
      <c r="O19" s="175"/>
      <c r="P19" s="175"/>
      <c r="Q19" s="175"/>
      <c r="R19" s="175"/>
      <c r="S19" s="320" t="s">
        <v>4617</v>
      </c>
      <c r="T19" s="320" t="s">
        <v>4618</v>
      </c>
    </row>
    <row r="20" ht="14.25" customHeight="1">
      <c r="A20" s="672"/>
      <c r="B20" s="673" t="s">
        <v>99</v>
      </c>
      <c r="C20" s="673"/>
      <c r="D20" s="673"/>
      <c r="E20" s="673"/>
      <c r="F20" s="674">
        <f>SUM(F21:F44)</f>
        <v>471918000</v>
      </c>
      <c r="G20" s="673"/>
      <c r="H20" s="673"/>
      <c r="I20" s="673"/>
      <c r="J20" s="673"/>
      <c r="K20" s="673"/>
      <c r="L20" s="673"/>
      <c r="M20" s="675"/>
      <c r="N20" s="263"/>
      <c r="O20" s="263"/>
      <c r="P20" s="263"/>
      <c r="Q20" s="263"/>
      <c r="R20" s="263"/>
      <c r="S20" s="677"/>
      <c r="T20" s="677"/>
      <c r="U20" s="35"/>
      <c r="V20" s="35"/>
      <c r="W20" s="35"/>
      <c r="X20" s="35"/>
      <c r="Y20" s="35"/>
      <c r="Z20" s="35"/>
      <c r="AA20" s="35"/>
    </row>
    <row r="21" ht="14.25" customHeight="1">
      <c r="A21" s="253">
        <v>1.0</v>
      </c>
      <c r="B21" s="175" t="s">
        <v>1189</v>
      </c>
      <c r="C21" s="175" t="s">
        <v>1189</v>
      </c>
      <c r="D21" s="175" t="s">
        <v>4564</v>
      </c>
      <c r="E21" s="175" t="s">
        <v>70</v>
      </c>
      <c r="F21" s="177">
        <v>4000000.0</v>
      </c>
      <c r="G21" s="175" t="s">
        <v>144</v>
      </c>
      <c r="H21" s="175" t="s">
        <v>1284</v>
      </c>
      <c r="I21" s="394" t="s">
        <v>4619</v>
      </c>
      <c r="J21" s="175" t="s">
        <v>4620</v>
      </c>
      <c r="K21" s="175"/>
      <c r="L21" s="175"/>
      <c r="M21" s="391" t="s">
        <v>4621</v>
      </c>
      <c r="N21" s="175"/>
      <c r="O21" s="175"/>
      <c r="P21" s="175"/>
      <c r="Q21" s="175"/>
      <c r="R21" s="175"/>
      <c r="S21" s="320" t="s">
        <v>4622</v>
      </c>
      <c r="T21" s="321"/>
    </row>
    <row r="22" ht="14.25" customHeight="1">
      <c r="A22" s="253">
        <v>2.0</v>
      </c>
      <c r="B22" s="175" t="s">
        <v>4623</v>
      </c>
      <c r="C22" s="175" t="s">
        <v>4623</v>
      </c>
      <c r="D22" s="175" t="s">
        <v>4564</v>
      </c>
      <c r="E22" s="175" t="s">
        <v>70</v>
      </c>
      <c r="F22" s="177">
        <v>1.74E7</v>
      </c>
      <c r="G22" s="175" t="s">
        <v>4624</v>
      </c>
      <c r="H22" s="175" t="s">
        <v>391</v>
      </c>
      <c r="I22" s="27" t="s">
        <v>4625</v>
      </c>
      <c r="J22" s="27" t="s">
        <v>4626</v>
      </c>
      <c r="K22" s="17" t="s">
        <v>4627</v>
      </c>
      <c r="L22" s="27" t="s">
        <v>4628</v>
      </c>
      <c r="M22" s="681" t="s">
        <v>4579</v>
      </c>
      <c r="N22" s="175"/>
      <c r="O22" s="175"/>
      <c r="P22" s="175"/>
      <c r="Q22" s="175"/>
      <c r="R22" s="175"/>
      <c r="S22" s="678" t="s">
        <v>4629</v>
      </c>
      <c r="T22" s="320" t="s">
        <v>4630</v>
      </c>
    </row>
    <row r="23" ht="14.25" customHeight="1">
      <c r="A23" s="253">
        <v>3.0</v>
      </c>
      <c r="B23" s="175" t="s">
        <v>4623</v>
      </c>
      <c r="C23" s="175" t="s">
        <v>4623</v>
      </c>
      <c r="D23" s="175" t="s">
        <v>4564</v>
      </c>
      <c r="E23" s="175" t="s">
        <v>70</v>
      </c>
      <c r="F23" s="177">
        <v>1.74E7</v>
      </c>
      <c r="G23" s="175" t="s">
        <v>4624</v>
      </c>
      <c r="H23" s="175" t="s">
        <v>391</v>
      </c>
      <c r="I23" s="27" t="s">
        <v>4631</v>
      </c>
      <c r="J23" s="27" t="s">
        <v>4632</v>
      </c>
      <c r="K23" s="17" t="s">
        <v>4633</v>
      </c>
      <c r="L23" s="27" t="s">
        <v>4634</v>
      </c>
      <c r="M23" s="681" t="s">
        <v>4579</v>
      </c>
      <c r="N23" s="175"/>
      <c r="O23" s="175"/>
      <c r="P23" s="175"/>
      <c r="Q23" s="175"/>
      <c r="R23" s="175"/>
      <c r="S23" s="678" t="s">
        <v>4629</v>
      </c>
      <c r="T23" s="320" t="s">
        <v>4630</v>
      </c>
    </row>
    <row r="24" ht="14.25" customHeight="1">
      <c r="A24" s="253">
        <v>4.0</v>
      </c>
      <c r="B24" s="175" t="s">
        <v>4623</v>
      </c>
      <c r="C24" s="175" t="s">
        <v>4623</v>
      </c>
      <c r="D24" s="175" t="s">
        <v>4564</v>
      </c>
      <c r="E24" s="175" t="s">
        <v>70</v>
      </c>
      <c r="F24" s="177">
        <v>1.74E7</v>
      </c>
      <c r="G24" s="175" t="s">
        <v>4624</v>
      </c>
      <c r="H24" s="15" t="s">
        <v>391</v>
      </c>
      <c r="I24" s="17" t="s">
        <v>4635</v>
      </c>
      <c r="J24" s="27" t="s">
        <v>4636</v>
      </c>
      <c r="K24" s="17" t="s">
        <v>4637</v>
      </c>
      <c r="L24" s="27" t="s">
        <v>4638</v>
      </c>
      <c r="M24" s="391" t="s">
        <v>4570</v>
      </c>
      <c r="N24" s="175" t="s">
        <v>4639</v>
      </c>
      <c r="O24" s="175"/>
      <c r="P24" s="175"/>
      <c r="Q24" s="175"/>
      <c r="R24" s="175"/>
      <c r="S24" s="320" t="s">
        <v>4640</v>
      </c>
      <c r="T24" s="321"/>
    </row>
    <row r="25" ht="14.25" customHeight="1">
      <c r="A25" s="253">
        <v>5.0</v>
      </c>
      <c r="B25" s="175" t="s">
        <v>4623</v>
      </c>
      <c r="C25" s="175" t="s">
        <v>4623</v>
      </c>
      <c r="D25" s="175" t="s">
        <v>4564</v>
      </c>
      <c r="E25" s="175" t="s">
        <v>70</v>
      </c>
      <c r="F25" s="177">
        <v>2.3E7</v>
      </c>
      <c r="G25" s="175" t="s">
        <v>3059</v>
      </c>
      <c r="H25" s="175" t="s">
        <v>391</v>
      </c>
      <c r="I25" s="17" t="s">
        <v>4641</v>
      </c>
      <c r="J25" s="27" t="s">
        <v>4642</v>
      </c>
      <c r="K25" s="17" t="s">
        <v>4643</v>
      </c>
      <c r="L25" s="27" t="s">
        <v>4644</v>
      </c>
      <c r="M25" s="391" t="s">
        <v>4570</v>
      </c>
      <c r="N25" s="175" t="s">
        <v>4645</v>
      </c>
      <c r="O25" s="175"/>
      <c r="P25" s="175"/>
      <c r="Q25" s="175"/>
      <c r="R25" s="175"/>
      <c r="S25" s="320" t="s">
        <v>4646</v>
      </c>
      <c r="T25" s="320" t="s">
        <v>315</v>
      </c>
    </row>
    <row r="26" ht="14.25" customHeight="1">
      <c r="A26" s="253">
        <v>6.0</v>
      </c>
      <c r="B26" s="175" t="s">
        <v>4623</v>
      </c>
      <c r="C26" s="175" t="s">
        <v>4623</v>
      </c>
      <c r="D26" s="175" t="s">
        <v>4564</v>
      </c>
      <c r="E26" s="175" t="s">
        <v>70</v>
      </c>
      <c r="F26" s="177">
        <v>2.3E7</v>
      </c>
      <c r="G26" s="175" t="s">
        <v>3059</v>
      </c>
      <c r="H26" s="175" t="s">
        <v>391</v>
      </c>
      <c r="I26" s="394" t="s">
        <v>4647</v>
      </c>
      <c r="J26" s="175" t="s">
        <v>4648</v>
      </c>
      <c r="K26" s="682"/>
      <c r="L26" s="682">
        <v>6255828.0</v>
      </c>
      <c r="M26" s="681" t="s">
        <v>4579</v>
      </c>
      <c r="N26" s="394"/>
      <c r="O26" s="394"/>
      <c r="P26" s="394"/>
      <c r="Q26" s="394"/>
      <c r="R26" s="394"/>
      <c r="S26" s="678" t="s">
        <v>4629</v>
      </c>
      <c r="T26" s="320" t="s">
        <v>4630</v>
      </c>
    </row>
    <row r="27" ht="14.25" customHeight="1">
      <c r="A27" s="253">
        <v>7.0</v>
      </c>
      <c r="B27" s="175" t="s">
        <v>1189</v>
      </c>
      <c r="C27" s="175" t="s">
        <v>1189</v>
      </c>
      <c r="D27" s="175" t="s">
        <v>4564</v>
      </c>
      <c r="E27" s="175" t="s">
        <v>70</v>
      </c>
      <c r="F27" s="177">
        <v>1.43E7</v>
      </c>
      <c r="G27" s="175" t="s">
        <v>2655</v>
      </c>
      <c r="H27" s="15" t="s">
        <v>979</v>
      </c>
      <c r="I27" s="17" t="s">
        <v>4649</v>
      </c>
      <c r="J27" s="27" t="s">
        <v>4650</v>
      </c>
      <c r="K27" s="17" t="s">
        <v>4651</v>
      </c>
      <c r="L27" s="27" t="s">
        <v>4652</v>
      </c>
      <c r="M27" s="391" t="s">
        <v>4570</v>
      </c>
      <c r="N27" s="175" t="s">
        <v>4653</v>
      </c>
      <c r="O27" s="175"/>
      <c r="P27" s="175"/>
      <c r="Q27" s="175"/>
      <c r="R27" s="175"/>
      <c r="S27" s="320" t="s">
        <v>4654</v>
      </c>
      <c r="T27" s="321"/>
    </row>
    <row r="28" ht="14.25" customHeight="1">
      <c r="A28" s="253">
        <v>8.0</v>
      </c>
      <c r="B28" s="175" t="s">
        <v>1189</v>
      </c>
      <c r="C28" s="175" t="s">
        <v>1189</v>
      </c>
      <c r="D28" s="175" t="s">
        <v>4564</v>
      </c>
      <c r="E28" s="175" t="s">
        <v>70</v>
      </c>
      <c r="F28" s="177">
        <v>1.43E7</v>
      </c>
      <c r="G28" s="175" t="s">
        <v>2655</v>
      </c>
      <c r="H28" s="175" t="s">
        <v>979</v>
      </c>
      <c r="I28" s="17" t="s">
        <v>4655</v>
      </c>
      <c r="J28" s="27" t="s">
        <v>4656</v>
      </c>
      <c r="K28" s="17" t="s">
        <v>4657</v>
      </c>
      <c r="L28" s="27" t="s">
        <v>4658</v>
      </c>
      <c r="M28" s="391" t="s">
        <v>4570</v>
      </c>
      <c r="N28" s="175" t="s">
        <v>4659</v>
      </c>
      <c r="O28" s="175"/>
      <c r="P28" s="175"/>
      <c r="Q28" s="175"/>
      <c r="R28" s="175"/>
      <c r="S28" s="320" t="s">
        <v>4660</v>
      </c>
      <c r="T28" s="321"/>
    </row>
    <row r="29" ht="14.25" customHeight="1">
      <c r="A29" s="253">
        <v>9.0</v>
      </c>
      <c r="B29" s="175" t="s">
        <v>1189</v>
      </c>
      <c r="C29" s="175" t="s">
        <v>1189</v>
      </c>
      <c r="D29" s="175" t="s">
        <v>4564</v>
      </c>
      <c r="E29" s="175" t="s">
        <v>70</v>
      </c>
      <c r="F29" s="177">
        <v>2.135E7</v>
      </c>
      <c r="G29" s="175" t="s">
        <v>4661</v>
      </c>
      <c r="H29" s="15" t="s">
        <v>44</v>
      </c>
      <c r="I29" s="17" t="s">
        <v>4662</v>
      </c>
      <c r="J29" s="27" t="s">
        <v>4663</v>
      </c>
      <c r="K29" s="17" t="s">
        <v>4664</v>
      </c>
      <c r="L29" s="27" t="s">
        <v>4665</v>
      </c>
      <c r="M29" s="391" t="s">
        <v>4570</v>
      </c>
      <c r="N29" s="175" t="s">
        <v>4666</v>
      </c>
      <c r="O29" s="175"/>
      <c r="P29" s="175"/>
      <c r="Q29" s="175"/>
      <c r="R29" s="175"/>
      <c r="S29" s="320" t="s">
        <v>4667</v>
      </c>
      <c r="T29" s="321"/>
    </row>
    <row r="30" ht="14.25" customHeight="1">
      <c r="A30" s="253">
        <v>10.0</v>
      </c>
      <c r="B30" s="175" t="s">
        <v>4180</v>
      </c>
      <c r="C30" s="175" t="s">
        <v>4180</v>
      </c>
      <c r="D30" s="175" t="s">
        <v>4564</v>
      </c>
      <c r="E30" s="175" t="s">
        <v>70</v>
      </c>
      <c r="F30" s="177">
        <v>1.32E7</v>
      </c>
      <c r="G30" s="175" t="s">
        <v>4668</v>
      </c>
      <c r="H30" s="175" t="s">
        <v>92</v>
      </c>
      <c r="I30" s="17" t="s">
        <v>4669</v>
      </c>
      <c r="J30" s="27" t="s">
        <v>4670</v>
      </c>
      <c r="K30" s="17" t="s">
        <v>4671</v>
      </c>
      <c r="L30" s="27" t="s">
        <v>4672</v>
      </c>
      <c r="M30" s="391" t="s">
        <v>4570</v>
      </c>
      <c r="N30" s="175" t="s">
        <v>4673</v>
      </c>
      <c r="O30" s="175"/>
      <c r="P30" s="175"/>
      <c r="Q30" s="175"/>
      <c r="R30" s="175"/>
      <c r="S30" s="320" t="s">
        <v>4674</v>
      </c>
      <c r="T30" s="320" t="s">
        <v>4675</v>
      </c>
    </row>
    <row r="31" ht="14.25" customHeight="1">
      <c r="A31" s="253">
        <v>11.0</v>
      </c>
      <c r="B31" s="175" t="s">
        <v>4180</v>
      </c>
      <c r="C31" s="175" t="s">
        <v>4180</v>
      </c>
      <c r="D31" s="175" t="s">
        <v>4564</v>
      </c>
      <c r="E31" s="175" t="s">
        <v>70</v>
      </c>
      <c r="F31" s="177">
        <v>1.32E7</v>
      </c>
      <c r="G31" s="175" t="s">
        <v>4668</v>
      </c>
      <c r="H31" s="175" t="s">
        <v>92</v>
      </c>
      <c r="I31" s="17" t="s">
        <v>4676</v>
      </c>
      <c r="J31" s="27" t="s">
        <v>4677</v>
      </c>
      <c r="K31" s="17" t="s">
        <v>4678</v>
      </c>
      <c r="L31" s="27" t="s">
        <v>4679</v>
      </c>
      <c r="M31" s="391" t="s">
        <v>4570</v>
      </c>
      <c r="N31" s="175" t="s">
        <v>4680</v>
      </c>
      <c r="O31" s="175"/>
      <c r="P31" s="175"/>
      <c r="Q31" s="175"/>
      <c r="R31" s="175"/>
      <c r="S31" s="320" t="s">
        <v>4681</v>
      </c>
      <c r="T31" s="321"/>
    </row>
    <row r="32" ht="14.25" customHeight="1">
      <c r="A32" s="253">
        <v>12.0</v>
      </c>
      <c r="B32" s="175" t="s">
        <v>4180</v>
      </c>
      <c r="C32" s="175" t="s">
        <v>4180</v>
      </c>
      <c r="D32" s="175" t="s">
        <v>4564</v>
      </c>
      <c r="E32" s="175" t="s">
        <v>70</v>
      </c>
      <c r="F32" s="177">
        <v>1.432E7</v>
      </c>
      <c r="G32" s="175" t="s">
        <v>2956</v>
      </c>
      <c r="H32" s="175" t="s">
        <v>92</v>
      </c>
      <c r="I32" s="17" t="s">
        <v>4682</v>
      </c>
      <c r="J32" s="27" t="s">
        <v>4683</v>
      </c>
      <c r="K32" s="17" t="s">
        <v>4684</v>
      </c>
      <c r="L32" s="27" t="s">
        <v>4685</v>
      </c>
      <c r="M32" s="391" t="s">
        <v>4570</v>
      </c>
      <c r="N32" s="175" t="s">
        <v>4686</v>
      </c>
      <c r="O32" s="175"/>
      <c r="P32" s="175"/>
      <c r="Q32" s="175"/>
      <c r="R32" s="175"/>
      <c r="S32" s="320" t="s">
        <v>4687</v>
      </c>
      <c r="T32" s="321"/>
    </row>
    <row r="33" ht="14.25" customHeight="1">
      <c r="A33" s="253">
        <v>13.0</v>
      </c>
      <c r="B33" s="175" t="s">
        <v>4180</v>
      </c>
      <c r="C33" s="175" t="s">
        <v>4180</v>
      </c>
      <c r="D33" s="175" t="s">
        <v>4564</v>
      </c>
      <c r="E33" s="175" t="s">
        <v>70</v>
      </c>
      <c r="F33" s="177">
        <v>1.432E7</v>
      </c>
      <c r="G33" s="175" t="s">
        <v>2956</v>
      </c>
      <c r="H33" s="175" t="s">
        <v>92</v>
      </c>
      <c r="I33" s="17" t="s">
        <v>4688</v>
      </c>
      <c r="J33" s="27" t="s">
        <v>4689</v>
      </c>
      <c r="K33" s="17" t="s">
        <v>4690</v>
      </c>
      <c r="L33" s="27" t="s">
        <v>4691</v>
      </c>
      <c r="M33" s="391" t="s">
        <v>4570</v>
      </c>
      <c r="N33" s="175" t="s">
        <v>4692</v>
      </c>
      <c r="O33" s="175"/>
      <c r="P33" s="175"/>
      <c r="Q33" s="175"/>
      <c r="R33" s="175"/>
      <c r="S33" s="320" t="s">
        <v>4693</v>
      </c>
      <c r="T33" s="320" t="s">
        <v>931</v>
      </c>
    </row>
    <row r="34" ht="14.25" customHeight="1">
      <c r="A34" s="253">
        <v>14.0</v>
      </c>
      <c r="B34" s="175" t="s">
        <v>4180</v>
      </c>
      <c r="C34" s="175" t="s">
        <v>4180</v>
      </c>
      <c r="D34" s="175" t="s">
        <v>4564</v>
      </c>
      <c r="E34" s="175" t="s">
        <v>70</v>
      </c>
      <c r="F34" s="177">
        <v>2.9075E7</v>
      </c>
      <c r="G34" s="175" t="s">
        <v>4694</v>
      </c>
      <c r="H34" s="175" t="s">
        <v>92</v>
      </c>
      <c r="I34" s="17" t="s">
        <v>4695</v>
      </c>
      <c r="J34" s="27" t="s">
        <v>4696</v>
      </c>
      <c r="K34" s="17" t="s">
        <v>4697</v>
      </c>
      <c r="L34" s="27" t="s">
        <v>4698</v>
      </c>
      <c r="M34" s="391" t="s">
        <v>4570</v>
      </c>
      <c r="N34" s="175" t="s">
        <v>4699</v>
      </c>
      <c r="O34" s="175"/>
      <c r="P34" s="175"/>
      <c r="Q34" s="175"/>
      <c r="R34" s="175"/>
      <c r="S34" s="320" t="s">
        <v>4700</v>
      </c>
      <c r="T34" s="321"/>
    </row>
    <row r="35" ht="14.25" customHeight="1">
      <c r="A35" s="253">
        <v>15.0</v>
      </c>
      <c r="B35" s="175" t="s">
        <v>4180</v>
      </c>
      <c r="C35" s="175" t="s">
        <v>4180</v>
      </c>
      <c r="D35" s="175" t="s">
        <v>4564</v>
      </c>
      <c r="E35" s="175" t="s">
        <v>70</v>
      </c>
      <c r="F35" s="177">
        <v>2.9075E7</v>
      </c>
      <c r="G35" s="175" t="s">
        <v>4694</v>
      </c>
      <c r="H35" s="175" t="s">
        <v>92</v>
      </c>
      <c r="I35" s="17" t="s">
        <v>4701</v>
      </c>
      <c r="J35" s="27" t="s">
        <v>4702</v>
      </c>
      <c r="K35" s="17" t="s">
        <v>4703</v>
      </c>
      <c r="L35" s="27" t="s">
        <v>4704</v>
      </c>
      <c r="M35" s="391" t="s">
        <v>4586</v>
      </c>
      <c r="N35" s="175" t="s">
        <v>4705</v>
      </c>
      <c r="O35" s="175"/>
      <c r="P35" s="175"/>
      <c r="Q35" s="175"/>
      <c r="R35" s="175"/>
      <c r="S35" s="320" t="s">
        <v>4706</v>
      </c>
      <c r="T35" s="321"/>
    </row>
    <row r="36" ht="14.25" customHeight="1">
      <c r="A36" s="253">
        <v>16.0</v>
      </c>
      <c r="B36" s="175" t="s">
        <v>4180</v>
      </c>
      <c r="C36" s="175" t="s">
        <v>4180</v>
      </c>
      <c r="D36" s="175" t="s">
        <v>4564</v>
      </c>
      <c r="E36" s="175" t="s">
        <v>70</v>
      </c>
      <c r="F36" s="177">
        <v>2.15E7</v>
      </c>
      <c r="G36" s="175" t="s">
        <v>2667</v>
      </c>
      <c r="H36" s="175" t="s">
        <v>92</v>
      </c>
      <c r="I36" s="394" t="s">
        <v>4707</v>
      </c>
      <c r="J36" s="175" t="s">
        <v>4708</v>
      </c>
      <c r="K36" s="175"/>
      <c r="L36" s="175" t="s">
        <v>4709</v>
      </c>
      <c r="M36" s="391" t="s">
        <v>4570</v>
      </c>
      <c r="N36" s="175" t="s">
        <v>4710</v>
      </c>
      <c r="O36" s="175"/>
      <c r="P36" s="175"/>
      <c r="Q36" s="175"/>
      <c r="R36" s="175"/>
      <c r="S36" s="320" t="s">
        <v>4711</v>
      </c>
      <c r="T36" s="321"/>
    </row>
    <row r="37" ht="14.25" customHeight="1">
      <c r="A37" s="253">
        <v>17.0</v>
      </c>
      <c r="B37" s="175" t="s">
        <v>4180</v>
      </c>
      <c r="C37" s="175" t="s">
        <v>4180</v>
      </c>
      <c r="D37" s="175" t="s">
        <v>4564</v>
      </c>
      <c r="E37" s="175" t="s">
        <v>70</v>
      </c>
      <c r="F37" s="177">
        <v>2.15E7</v>
      </c>
      <c r="G37" s="175" t="s">
        <v>2667</v>
      </c>
      <c r="H37" s="15" t="s">
        <v>92</v>
      </c>
      <c r="I37" s="17" t="s">
        <v>4712</v>
      </c>
      <c r="J37" s="27" t="s">
        <v>4713</v>
      </c>
      <c r="K37" s="17" t="s">
        <v>4714</v>
      </c>
      <c r="L37" s="17" t="s">
        <v>4715</v>
      </c>
      <c r="M37" s="391" t="s">
        <v>4570</v>
      </c>
      <c r="N37" s="175" t="s">
        <v>4716</v>
      </c>
      <c r="O37" s="175"/>
      <c r="P37" s="175"/>
      <c r="Q37" s="175"/>
      <c r="R37" s="175"/>
      <c r="S37" s="320" t="s">
        <v>4717</v>
      </c>
      <c r="T37" s="321"/>
    </row>
    <row r="38" ht="14.25" customHeight="1">
      <c r="A38" s="253">
        <v>18.0</v>
      </c>
      <c r="B38" s="175" t="s">
        <v>4180</v>
      </c>
      <c r="C38" s="175" t="s">
        <v>4180</v>
      </c>
      <c r="D38" s="175" t="s">
        <v>4564</v>
      </c>
      <c r="E38" s="175" t="s">
        <v>70</v>
      </c>
      <c r="F38" s="177">
        <v>2.15E7</v>
      </c>
      <c r="G38" s="175" t="s">
        <v>2667</v>
      </c>
      <c r="H38" s="175" t="s">
        <v>92</v>
      </c>
      <c r="I38" s="17" t="s">
        <v>4718</v>
      </c>
      <c r="J38" s="27" t="s">
        <v>4719</v>
      </c>
      <c r="K38" s="17" t="s">
        <v>4720</v>
      </c>
      <c r="L38" s="27" t="s">
        <v>4721</v>
      </c>
      <c r="M38" s="391" t="s">
        <v>4570</v>
      </c>
      <c r="N38" s="175" t="s">
        <v>4722</v>
      </c>
      <c r="O38" s="175"/>
      <c r="P38" s="175"/>
      <c r="Q38" s="175"/>
      <c r="R38" s="175"/>
      <c r="S38" s="320" t="s">
        <v>4723</v>
      </c>
      <c r="T38" s="321"/>
    </row>
    <row r="39" ht="14.25" customHeight="1">
      <c r="A39" s="253">
        <v>19.0</v>
      </c>
      <c r="B39" s="175" t="s">
        <v>4180</v>
      </c>
      <c r="C39" s="175" t="s">
        <v>4180</v>
      </c>
      <c r="D39" s="175" t="s">
        <v>4564</v>
      </c>
      <c r="E39" s="175" t="s">
        <v>70</v>
      </c>
      <c r="F39" s="177">
        <v>2.15E7</v>
      </c>
      <c r="G39" s="175" t="s">
        <v>2667</v>
      </c>
      <c r="H39" s="15" t="s">
        <v>92</v>
      </c>
      <c r="I39" s="17" t="s">
        <v>4724</v>
      </c>
      <c r="J39" s="27" t="s">
        <v>4725</v>
      </c>
      <c r="K39" s="17" t="s">
        <v>4726</v>
      </c>
      <c r="L39" s="27" t="s">
        <v>4727</v>
      </c>
      <c r="M39" s="391" t="s">
        <v>4570</v>
      </c>
      <c r="N39" s="175" t="s">
        <v>4728</v>
      </c>
      <c r="O39" s="175"/>
      <c r="P39" s="175"/>
      <c r="Q39" s="175"/>
      <c r="R39" s="175"/>
      <c r="S39" s="320" t="s">
        <v>4729</v>
      </c>
      <c r="T39" s="320" t="s">
        <v>4730</v>
      </c>
    </row>
    <row r="40" ht="14.25" customHeight="1">
      <c r="A40" s="253">
        <v>20.0</v>
      </c>
      <c r="B40" s="175" t="s">
        <v>4180</v>
      </c>
      <c r="C40" s="175" t="s">
        <v>4180</v>
      </c>
      <c r="D40" s="175" t="s">
        <v>4564</v>
      </c>
      <c r="E40" s="175" t="s">
        <v>70</v>
      </c>
      <c r="F40" s="177">
        <v>2.15E7</v>
      </c>
      <c r="G40" s="175" t="s">
        <v>2667</v>
      </c>
      <c r="H40" s="15" t="s">
        <v>92</v>
      </c>
      <c r="I40" s="17" t="s">
        <v>4731</v>
      </c>
      <c r="J40" s="27" t="s">
        <v>4732</v>
      </c>
      <c r="K40" s="17" t="s">
        <v>4733</v>
      </c>
      <c r="L40" s="27" t="s">
        <v>4734</v>
      </c>
      <c r="M40" s="391" t="s">
        <v>4570</v>
      </c>
      <c r="N40" s="175" t="s">
        <v>4735</v>
      </c>
      <c r="O40" s="175"/>
      <c r="P40" s="175"/>
      <c r="Q40" s="175"/>
      <c r="R40" s="175"/>
      <c r="S40" s="320" t="s">
        <v>4736</v>
      </c>
      <c r="T40" s="321"/>
    </row>
    <row r="41" ht="14.25" customHeight="1">
      <c r="A41" s="253">
        <v>21.0</v>
      </c>
      <c r="B41" s="175" t="s">
        <v>4180</v>
      </c>
      <c r="C41" s="175" t="s">
        <v>4180</v>
      </c>
      <c r="D41" s="175" t="s">
        <v>4564</v>
      </c>
      <c r="E41" s="175" t="s">
        <v>70</v>
      </c>
      <c r="F41" s="177">
        <v>1.3354E7</v>
      </c>
      <c r="G41" s="175" t="s">
        <v>4737</v>
      </c>
      <c r="H41" s="175" t="s">
        <v>92</v>
      </c>
      <c r="I41" s="394" t="s">
        <v>4738</v>
      </c>
      <c r="J41" s="175"/>
      <c r="K41" s="175"/>
      <c r="L41" s="175"/>
      <c r="M41" s="391" t="s">
        <v>4621</v>
      </c>
      <c r="N41" s="175"/>
      <c r="O41" s="175"/>
      <c r="P41" s="175"/>
      <c r="Q41" s="175"/>
      <c r="R41" s="175"/>
      <c r="S41" s="321"/>
      <c r="T41" s="321"/>
    </row>
    <row r="42" ht="14.25" customHeight="1">
      <c r="A42" s="271">
        <v>22.0</v>
      </c>
      <c r="B42" s="272" t="s">
        <v>2345</v>
      </c>
      <c r="C42" s="272" t="s">
        <v>1579</v>
      </c>
      <c r="D42" s="272" t="s">
        <v>4564</v>
      </c>
      <c r="E42" s="272" t="s">
        <v>70</v>
      </c>
      <c r="F42" s="273">
        <v>2.7804E7</v>
      </c>
      <c r="G42" s="272" t="s">
        <v>4739</v>
      </c>
      <c r="H42" s="272" t="s">
        <v>611</v>
      </c>
      <c r="I42" s="438" t="s">
        <v>4740</v>
      </c>
      <c r="J42" s="438" t="s">
        <v>4741</v>
      </c>
      <c r="K42" s="33" t="s">
        <v>4742</v>
      </c>
      <c r="L42" s="33" t="s">
        <v>4743</v>
      </c>
      <c r="M42" s="436" t="s">
        <v>4570</v>
      </c>
      <c r="N42" s="175" t="s">
        <v>4744</v>
      </c>
      <c r="O42" s="175"/>
      <c r="P42" s="175"/>
      <c r="Q42" s="175"/>
      <c r="R42" s="175"/>
      <c r="S42" s="320" t="s">
        <v>4745</v>
      </c>
      <c r="T42" s="321"/>
    </row>
    <row r="43" ht="14.25" customHeight="1">
      <c r="A43" s="253">
        <v>23.0</v>
      </c>
      <c r="B43" s="175" t="s">
        <v>2345</v>
      </c>
      <c r="C43" s="175" t="s">
        <v>1260</v>
      </c>
      <c r="D43" s="175" t="s">
        <v>4564</v>
      </c>
      <c r="E43" s="175" t="s">
        <v>70</v>
      </c>
      <c r="F43" s="177">
        <v>2.81E7</v>
      </c>
      <c r="G43" s="175" t="s">
        <v>4746</v>
      </c>
      <c r="H43" s="272" t="s">
        <v>887</v>
      </c>
      <c r="I43" s="27" t="s">
        <v>4747</v>
      </c>
      <c r="J43" s="27" t="s">
        <v>4748</v>
      </c>
      <c r="K43" s="17" t="s">
        <v>4749</v>
      </c>
      <c r="L43" s="27" t="s">
        <v>4750</v>
      </c>
      <c r="M43" s="391" t="s">
        <v>4570</v>
      </c>
      <c r="N43" s="175" t="s">
        <v>4751</v>
      </c>
      <c r="O43" s="175"/>
      <c r="P43" s="175"/>
      <c r="Q43" s="175"/>
      <c r="R43" s="175"/>
      <c r="S43" s="320" t="s">
        <v>4752</v>
      </c>
      <c r="T43" s="320" t="s">
        <v>4618</v>
      </c>
    </row>
    <row r="44" ht="14.25" customHeight="1">
      <c r="A44" s="271">
        <v>24.0</v>
      </c>
      <c r="B44" s="272" t="s">
        <v>2345</v>
      </c>
      <c r="C44" s="272" t="s">
        <v>1260</v>
      </c>
      <c r="D44" s="272" t="s">
        <v>4564</v>
      </c>
      <c r="E44" s="272" t="s">
        <v>70</v>
      </c>
      <c r="F44" s="273">
        <v>2.982E7</v>
      </c>
      <c r="G44" s="272" t="s">
        <v>4753</v>
      </c>
      <c r="H44" s="683" t="s">
        <v>887</v>
      </c>
      <c r="I44" s="438" t="s">
        <v>4754</v>
      </c>
      <c r="J44" s="438" t="s">
        <v>4755</v>
      </c>
      <c r="K44" s="33" t="s">
        <v>4756</v>
      </c>
      <c r="L44" s="438" t="s">
        <v>4757</v>
      </c>
      <c r="M44" s="436" t="s">
        <v>4570</v>
      </c>
      <c r="N44" s="272" t="s">
        <v>4758</v>
      </c>
      <c r="O44" s="272"/>
      <c r="P44" s="272"/>
      <c r="Q44" s="272"/>
      <c r="R44" s="272"/>
      <c r="S44" s="320" t="s">
        <v>4759</v>
      </c>
      <c r="T44" s="320" t="s">
        <v>4618</v>
      </c>
    </row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3:M3"/>
    <mergeCell ref="A4:M4"/>
  </mergeCells>
  <printOptions horizontalCentered="1"/>
  <pageMargins bottom="0.7480314960629921" footer="0.0" header="0.0" left="0.03937007874015748" right="0.03937007874015748" top="0.12"/>
  <pageSetup paperSize="5" scale="48" orientation="landscape"/>
  <drawing r:id="rId1"/>
  <tableParts count="1">
    <tablePart r:id="rId3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workbookViewId="0"/>
  </sheetViews>
  <sheetFormatPr customHeight="1" defaultColWidth="14.43" defaultRowHeight="15.0"/>
  <cols>
    <col customWidth="1" min="1" max="1" width="3.29"/>
    <col customWidth="1" min="2" max="2" width="41.0"/>
    <col customWidth="1" min="3" max="3" width="18.29"/>
    <col customWidth="1" min="4" max="4" width="11.43"/>
    <col customWidth="1" min="5" max="5" width="9.29"/>
    <col customWidth="1" min="6" max="6" width="17.29"/>
    <col customWidth="1" min="7" max="7" width="33.86"/>
    <col customWidth="1" min="8" max="8" width="8.29"/>
    <col customWidth="1" min="9" max="9" width="10.29"/>
    <col customWidth="1" min="10" max="11" width="19.29"/>
    <col customWidth="1" min="12" max="12" width="14.29"/>
    <col customWidth="1" min="13" max="13" width="12.71"/>
    <col customWidth="1" min="14" max="14" width="54.29"/>
    <col customWidth="1" min="15" max="26" width="9.0"/>
  </cols>
  <sheetData>
    <row r="1" ht="12.75" customHeight="1">
      <c r="A1" s="179"/>
      <c r="B1" s="179"/>
      <c r="C1" s="179"/>
      <c r="D1" s="179"/>
      <c r="E1" s="179"/>
      <c r="F1" s="179"/>
      <c r="G1" s="179"/>
      <c r="H1" s="179"/>
      <c r="I1" s="179"/>
      <c r="J1" s="179"/>
      <c r="K1" s="179"/>
      <c r="L1" s="179"/>
      <c r="M1" s="179"/>
      <c r="N1" s="179"/>
      <c r="O1" s="179"/>
      <c r="P1" s="179"/>
      <c r="Q1" s="179"/>
      <c r="R1" s="179"/>
      <c r="S1" s="179"/>
      <c r="T1" s="179"/>
      <c r="U1" s="179"/>
      <c r="V1" s="179"/>
      <c r="W1" s="179"/>
      <c r="X1" s="179"/>
      <c r="Y1" s="179"/>
      <c r="Z1" s="179"/>
    </row>
    <row r="2" ht="12.75" customHeight="1">
      <c r="A2" s="280" t="s">
        <v>0</v>
      </c>
      <c r="O2" s="179"/>
      <c r="P2" s="179"/>
      <c r="Q2" s="179"/>
      <c r="R2" s="179"/>
      <c r="S2" s="179"/>
      <c r="T2" s="179"/>
      <c r="U2" s="179"/>
      <c r="V2" s="179"/>
      <c r="W2" s="179"/>
      <c r="X2" s="179"/>
      <c r="Y2" s="179"/>
      <c r="Z2" s="179"/>
    </row>
    <row r="3" ht="12.75" customHeight="1">
      <c r="A3" s="280" t="s">
        <v>2714</v>
      </c>
      <c r="O3" s="179"/>
      <c r="P3" s="179"/>
      <c r="Q3" s="179"/>
      <c r="R3" s="179"/>
      <c r="S3" s="179"/>
      <c r="T3" s="179"/>
      <c r="U3" s="179"/>
      <c r="V3" s="179"/>
      <c r="W3" s="179"/>
      <c r="X3" s="179"/>
      <c r="Y3" s="179"/>
      <c r="Z3" s="179"/>
    </row>
    <row r="4" ht="12.75" customHeight="1">
      <c r="A4" s="280" t="s">
        <v>2715</v>
      </c>
      <c r="O4" s="179"/>
      <c r="P4" s="179"/>
      <c r="Q4" s="179"/>
      <c r="R4" s="179"/>
      <c r="S4" s="179"/>
      <c r="T4" s="179"/>
      <c r="U4" s="179"/>
      <c r="V4" s="179"/>
      <c r="W4" s="179"/>
      <c r="X4" s="179"/>
      <c r="Y4" s="179"/>
      <c r="Z4" s="179"/>
    </row>
    <row r="5" ht="12.75" customHeight="1">
      <c r="A5" s="179"/>
      <c r="B5" s="179"/>
      <c r="C5" s="179"/>
      <c r="D5" s="179"/>
      <c r="E5" s="179"/>
      <c r="F5" s="179"/>
      <c r="G5" s="179"/>
      <c r="H5" s="179"/>
      <c r="I5" s="179"/>
      <c r="J5" s="179"/>
      <c r="K5" s="179"/>
      <c r="L5" s="179"/>
      <c r="M5" s="179"/>
      <c r="N5" s="179"/>
      <c r="O5" s="179"/>
      <c r="P5" s="179"/>
      <c r="Q5" s="179"/>
      <c r="R5" s="179"/>
      <c r="S5" s="179"/>
      <c r="T5" s="179"/>
      <c r="U5" s="179"/>
      <c r="V5" s="179"/>
      <c r="W5" s="179"/>
      <c r="X5" s="179"/>
      <c r="Y5" s="179"/>
      <c r="Z5" s="179"/>
    </row>
    <row r="6" ht="12.75" customHeight="1">
      <c r="A6" s="179"/>
      <c r="B6" s="179"/>
      <c r="C6" s="179"/>
      <c r="D6" s="179"/>
      <c r="E6" s="179"/>
      <c r="F6" s="179"/>
      <c r="G6" s="179"/>
      <c r="H6" s="179"/>
      <c r="I6" s="179"/>
      <c r="J6" s="179"/>
      <c r="K6" s="179"/>
      <c r="L6" s="179"/>
      <c r="M6" s="179"/>
      <c r="N6" s="179"/>
      <c r="O6" s="179"/>
      <c r="P6" s="179"/>
      <c r="Q6" s="179"/>
      <c r="R6" s="179"/>
      <c r="S6" s="179"/>
      <c r="T6" s="179"/>
      <c r="U6" s="179"/>
      <c r="V6" s="179"/>
      <c r="W6" s="179"/>
      <c r="X6" s="179"/>
      <c r="Y6" s="179"/>
      <c r="Z6" s="179"/>
    </row>
    <row r="7" ht="12.75" customHeight="1">
      <c r="A7" s="179"/>
      <c r="B7" s="179"/>
      <c r="C7" s="179"/>
      <c r="D7" s="179"/>
      <c r="E7" s="179"/>
      <c r="F7" s="179"/>
      <c r="G7" s="179"/>
      <c r="H7" s="179"/>
      <c r="I7" s="179"/>
      <c r="J7" s="179"/>
      <c r="K7" s="179"/>
      <c r="L7" s="179"/>
      <c r="M7" s="179"/>
      <c r="N7" s="179"/>
      <c r="O7" s="179"/>
      <c r="P7" s="179"/>
      <c r="Q7" s="179"/>
      <c r="R7" s="179"/>
      <c r="S7" s="179"/>
      <c r="T7" s="179"/>
      <c r="U7" s="179"/>
      <c r="V7" s="179"/>
      <c r="W7" s="179"/>
      <c r="X7" s="179"/>
      <c r="Y7" s="179"/>
      <c r="Z7" s="179"/>
    </row>
    <row r="8" ht="12.75" customHeight="1">
      <c r="A8" s="179"/>
      <c r="B8" s="281" t="s">
        <v>2716</v>
      </c>
      <c r="C8" s="179" t="s">
        <v>3</v>
      </c>
      <c r="D8" s="179"/>
      <c r="E8" s="179"/>
      <c r="F8" s="179"/>
      <c r="G8" s="179"/>
      <c r="H8" s="179"/>
      <c r="I8" s="179"/>
      <c r="J8" s="179"/>
      <c r="K8" s="179"/>
      <c r="L8" s="179"/>
      <c r="M8" s="179"/>
      <c r="N8" s="179"/>
      <c r="O8" s="179"/>
      <c r="P8" s="179"/>
      <c r="Q8" s="179"/>
      <c r="R8" s="179"/>
      <c r="S8" s="179"/>
      <c r="T8" s="179"/>
      <c r="U8" s="179"/>
      <c r="V8" s="179"/>
      <c r="W8" s="179"/>
      <c r="X8" s="179"/>
      <c r="Y8" s="179"/>
      <c r="Z8" s="179"/>
    </row>
    <row r="9" ht="12.75" customHeight="1">
      <c r="A9" s="179"/>
      <c r="B9" s="281" t="s">
        <v>2717</v>
      </c>
      <c r="C9" s="179" t="s">
        <v>5</v>
      </c>
      <c r="D9" s="179"/>
      <c r="E9" s="179"/>
      <c r="F9" s="179"/>
      <c r="G9" s="179"/>
      <c r="H9" s="179"/>
      <c r="I9" s="179"/>
      <c r="J9" s="179"/>
      <c r="K9" s="179"/>
      <c r="L9" s="179"/>
      <c r="M9" s="179"/>
      <c r="N9" s="179"/>
      <c r="O9" s="179"/>
      <c r="P9" s="179"/>
      <c r="Q9" s="179"/>
      <c r="R9" s="179"/>
      <c r="S9" s="179"/>
      <c r="T9" s="179"/>
      <c r="U9" s="179"/>
      <c r="V9" s="179"/>
      <c r="W9" s="179"/>
      <c r="X9" s="179"/>
      <c r="Y9" s="179"/>
      <c r="Z9" s="179"/>
    </row>
    <row r="10" ht="12.75" customHeight="1">
      <c r="A10" s="179"/>
      <c r="B10" s="281" t="s">
        <v>2718</v>
      </c>
      <c r="C10" s="179" t="s">
        <v>2719</v>
      </c>
      <c r="D10" s="179"/>
      <c r="E10" s="179"/>
      <c r="F10" s="282"/>
      <c r="G10" s="179"/>
      <c r="H10" s="179"/>
      <c r="I10" s="179"/>
      <c r="J10" s="179"/>
      <c r="K10" s="179"/>
      <c r="L10" s="179"/>
      <c r="M10" s="179"/>
      <c r="N10" s="179"/>
      <c r="O10" s="179"/>
      <c r="P10" s="179"/>
      <c r="Q10" s="179"/>
      <c r="R10" s="179"/>
      <c r="S10" s="179"/>
      <c r="T10" s="179"/>
      <c r="U10" s="179"/>
      <c r="V10" s="179"/>
      <c r="W10" s="179"/>
      <c r="X10" s="179"/>
      <c r="Y10" s="179"/>
      <c r="Z10" s="179"/>
    </row>
    <row r="11" ht="12.75" customHeight="1">
      <c r="A11" s="179"/>
      <c r="B11" s="281" t="s">
        <v>2720</v>
      </c>
      <c r="C11" s="179" t="s">
        <v>4760</v>
      </c>
      <c r="D11" s="179"/>
      <c r="E11" s="179"/>
      <c r="F11" s="283"/>
      <c r="G11" s="179"/>
      <c r="H11" s="179"/>
      <c r="I11" s="179"/>
      <c r="J11" s="179"/>
      <c r="K11" s="179"/>
      <c r="L11" s="179"/>
      <c r="M11" s="179"/>
      <c r="N11" s="179"/>
      <c r="O11" s="179"/>
      <c r="P11" s="179"/>
      <c r="Q11" s="179"/>
      <c r="R11" s="179"/>
      <c r="S11" s="179"/>
      <c r="T11" s="179"/>
      <c r="U11" s="179"/>
      <c r="V11" s="179"/>
      <c r="W11" s="179"/>
      <c r="X11" s="179"/>
      <c r="Y11" s="179"/>
      <c r="Z11" s="179"/>
    </row>
    <row r="12" ht="12.75" customHeight="1">
      <c r="A12" s="179"/>
      <c r="B12" s="281" t="s">
        <v>6</v>
      </c>
      <c r="C12" s="179" t="s">
        <v>4761</v>
      </c>
      <c r="D12" s="179"/>
      <c r="E12" s="179"/>
      <c r="F12" s="283"/>
      <c r="G12" s="179"/>
      <c r="H12" s="179"/>
      <c r="I12" s="179"/>
      <c r="J12" s="179"/>
      <c r="K12" s="179"/>
      <c r="L12" s="179"/>
      <c r="M12" s="179"/>
      <c r="N12" s="179"/>
      <c r="O12" s="179"/>
      <c r="P12" s="179"/>
      <c r="Q12" s="179"/>
      <c r="R12" s="179"/>
      <c r="S12" s="179"/>
      <c r="T12" s="179"/>
      <c r="U12" s="179"/>
      <c r="V12" s="179"/>
      <c r="W12" s="179"/>
      <c r="X12" s="179"/>
      <c r="Y12" s="179"/>
      <c r="Z12" s="179"/>
    </row>
    <row r="13" ht="12.75" customHeight="1">
      <c r="A13" s="179"/>
      <c r="B13" s="179"/>
      <c r="C13" s="179"/>
      <c r="D13" s="179"/>
      <c r="E13" s="179"/>
      <c r="F13" s="283"/>
      <c r="G13" s="179"/>
      <c r="H13" s="179"/>
      <c r="I13" s="179"/>
      <c r="J13" s="179"/>
      <c r="K13" s="179"/>
      <c r="L13" s="179"/>
      <c r="M13" s="179"/>
      <c r="N13" s="179"/>
      <c r="O13" s="179"/>
      <c r="P13" s="179"/>
      <c r="Q13" s="179"/>
      <c r="R13" s="179"/>
      <c r="S13" s="179"/>
      <c r="T13" s="179"/>
      <c r="U13" s="179"/>
      <c r="V13" s="179"/>
      <c r="W13" s="179"/>
      <c r="X13" s="179"/>
      <c r="Y13" s="179"/>
      <c r="Z13" s="179"/>
    </row>
    <row r="14" ht="12.75" customHeight="1">
      <c r="A14" s="179"/>
      <c r="B14" s="179"/>
      <c r="C14" s="179"/>
      <c r="D14" s="179"/>
      <c r="E14" s="179"/>
      <c r="F14" s="283"/>
      <c r="G14" s="179"/>
      <c r="H14" s="179"/>
      <c r="I14" s="179"/>
      <c r="J14" s="179"/>
      <c r="K14" s="179"/>
      <c r="L14" s="179"/>
      <c r="M14" s="179"/>
      <c r="N14" s="179"/>
      <c r="O14" s="179"/>
      <c r="P14" s="179"/>
      <c r="Q14" s="179"/>
      <c r="R14" s="179"/>
      <c r="S14" s="179"/>
      <c r="T14" s="179"/>
      <c r="U14" s="179"/>
      <c r="V14" s="179"/>
      <c r="W14" s="179"/>
      <c r="X14" s="179"/>
      <c r="Y14" s="179"/>
      <c r="Z14" s="179"/>
    </row>
    <row r="15" ht="12.75" customHeight="1">
      <c r="A15" s="179"/>
      <c r="B15" s="179"/>
      <c r="C15" s="179"/>
      <c r="D15" s="179"/>
      <c r="E15" s="179"/>
      <c r="F15" s="284"/>
      <c r="G15" s="179"/>
      <c r="H15" s="179"/>
      <c r="I15" s="179"/>
      <c r="J15" s="179"/>
      <c r="K15" s="179"/>
      <c r="L15" s="179"/>
      <c r="M15" s="179"/>
      <c r="N15" s="179"/>
      <c r="O15" s="179"/>
      <c r="P15" s="179"/>
      <c r="Q15" s="179"/>
      <c r="R15" s="179"/>
      <c r="S15" s="179"/>
      <c r="T15" s="179"/>
      <c r="U15" s="179"/>
      <c r="V15" s="179"/>
      <c r="W15" s="179"/>
      <c r="X15" s="179"/>
      <c r="Y15" s="179"/>
      <c r="Z15" s="179"/>
    </row>
    <row r="16" ht="12.75" customHeight="1">
      <c r="A16" s="285" t="s">
        <v>8</v>
      </c>
      <c r="B16" s="285" t="s">
        <v>9</v>
      </c>
      <c r="C16" s="285" t="s">
        <v>2723</v>
      </c>
      <c r="D16" s="285" t="s">
        <v>2724</v>
      </c>
      <c r="E16" s="285" t="s">
        <v>12</v>
      </c>
      <c r="F16" s="285" t="s">
        <v>13</v>
      </c>
      <c r="G16" s="285" t="s">
        <v>14</v>
      </c>
      <c r="H16" s="285" t="s">
        <v>15</v>
      </c>
      <c r="I16" s="285" t="s">
        <v>2725</v>
      </c>
      <c r="J16" s="285" t="s">
        <v>2726</v>
      </c>
      <c r="K16" s="285" t="s">
        <v>766</v>
      </c>
      <c r="L16" s="285" t="s">
        <v>19</v>
      </c>
      <c r="M16" s="285" t="s">
        <v>20</v>
      </c>
      <c r="N16" s="285" t="s">
        <v>21</v>
      </c>
      <c r="O16" s="179"/>
      <c r="P16" s="179"/>
      <c r="Q16" s="179"/>
      <c r="R16" s="179"/>
      <c r="S16" s="179"/>
      <c r="T16" s="179"/>
      <c r="U16" s="179"/>
      <c r="V16" s="179"/>
      <c r="W16" s="179"/>
      <c r="X16" s="179"/>
      <c r="Y16" s="179"/>
      <c r="Z16" s="179"/>
    </row>
    <row r="17" ht="12.75" customHeight="1">
      <c r="A17" s="289"/>
      <c r="B17" s="289" t="s">
        <v>2727</v>
      </c>
      <c r="C17" s="289"/>
      <c r="D17" s="289"/>
      <c r="E17" s="289"/>
      <c r="F17" s="290">
        <f t="shared" ref="F17:F18" si="1">F18</f>
        <v>599479000</v>
      </c>
      <c r="G17" s="289"/>
      <c r="H17" s="289"/>
      <c r="I17" s="289"/>
      <c r="J17" s="289"/>
      <c r="K17" s="289"/>
      <c r="L17" s="289"/>
      <c r="M17" s="289"/>
      <c r="N17" s="289"/>
      <c r="O17" s="179"/>
      <c r="P17" s="179"/>
      <c r="Q17" s="179"/>
      <c r="R17" s="179"/>
      <c r="S17" s="179"/>
      <c r="T17" s="179"/>
      <c r="U17" s="179"/>
      <c r="V17" s="179"/>
      <c r="W17" s="179"/>
      <c r="X17" s="179"/>
      <c r="Y17" s="179"/>
      <c r="Z17" s="179"/>
    </row>
    <row r="18" ht="12.75" customHeight="1">
      <c r="A18" s="292" t="s">
        <v>22</v>
      </c>
      <c r="B18" s="292" t="s">
        <v>2728</v>
      </c>
      <c r="C18" s="292"/>
      <c r="D18" s="292"/>
      <c r="E18" s="292"/>
      <c r="F18" s="293">
        <f t="shared" si="1"/>
        <v>599479000</v>
      </c>
      <c r="G18" s="292"/>
      <c r="H18" s="292"/>
      <c r="I18" s="292"/>
      <c r="J18" s="292"/>
      <c r="K18" s="292"/>
      <c r="L18" s="292"/>
      <c r="M18" s="292"/>
      <c r="N18" s="292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</row>
    <row r="19" ht="12.75" customHeight="1">
      <c r="A19" s="295" t="s">
        <v>22</v>
      </c>
      <c r="B19" s="295" t="s">
        <v>2728</v>
      </c>
      <c r="C19" s="295"/>
      <c r="D19" s="295"/>
      <c r="E19" s="295"/>
      <c r="F19" s="296">
        <f>F20+F22+F24</f>
        <v>599479000</v>
      </c>
      <c r="G19" s="295"/>
      <c r="H19" s="295"/>
      <c r="I19" s="295"/>
      <c r="J19" s="295"/>
      <c r="K19" s="295"/>
      <c r="L19" s="295"/>
      <c r="M19" s="295"/>
      <c r="N19" s="295"/>
      <c r="O19" s="298"/>
      <c r="P19" s="298"/>
      <c r="Q19" s="298"/>
      <c r="R19" s="298"/>
      <c r="S19" s="298"/>
      <c r="T19" s="298"/>
      <c r="U19" s="298"/>
      <c r="V19" s="298"/>
      <c r="W19" s="298"/>
      <c r="X19" s="298"/>
      <c r="Y19" s="298"/>
      <c r="Z19" s="298"/>
    </row>
    <row r="20" ht="12.75" customHeight="1">
      <c r="A20" s="248"/>
      <c r="B20" s="248" t="s">
        <v>1884</v>
      </c>
      <c r="C20" s="248"/>
      <c r="D20" s="248"/>
      <c r="E20" s="248"/>
      <c r="F20" s="249">
        <f>F21</f>
        <v>285200000</v>
      </c>
      <c r="G20" s="248"/>
      <c r="H20" s="248"/>
      <c r="I20" s="248"/>
      <c r="J20" s="248"/>
      <c r="K20" s="248"/>
      <c r="L20" s="248"/>
      <c r="M20" s="248"/>
      <c r="N20" s="248"/>
      <c r="O20" s="298"/>
      <c r="P20" s="298"/>
      <c r="Q20" s="298"/>
      <c r="R20" s="298"/>
      <c r="S20" s="298"/>
      <c r="T20" s="298"/>
      <c r="U20" s="298"/>
      <c r="V20" s="298"/>
      <c r="W20" s="298"/>
      <c r="X20" s="298"/>
      <c r="Y20" s="298"/>
      <c r="Z20" s="298"/>
    </row>
    <row r="21" ht="12.75" customHeight="1">
      <c r="A21" s="300">
        <v>1.0</v>
      </c>
      <c r="B21" s="300" t="s">
        <v>1885</v>
      </c>
      <c r="C21" s="300"/>
      <c r="D21" s="300" t="s">
        <v>4762</v>
      </c>
      <c r="E21" s="300" t="s">
        <v>70</v>
      </c>
      <c r="F21" s="301">
        <v>2.852E8</v>
      </c>
      <c r="G21" s="300" t="s">
        <v>4763</v>
      </c>
      <c r="H21" s="300" t="s">
        <v>910</v>
      </c>
      <c r="I21" s="569" t="s">
        <v>4764</v>
      </c>
      <c r="J21" s="300" t="s">
        <v>4765</v>
      </c>
      <c r="K21" s="300" t="s">
        <v>4766</v>
      </c>
      <c r="L21" s="27" t="s">
        <v>4767</v>
      </c>
      <c r="M21" s="300" t="s">
        <v>4768</v>
      </c>
      <c r="N21" s="300" t="s">
        <v>4769</v>
      </c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</row>
    <row r="22" ht="12.75" customHeight="1">
      <c r="A22" s="248"/>
      <c r="B22" s="248" t="s">
        <v>23</v>
      </c>
      <c r="C22" s="248"/>
      <c r="D22" s="248"/>
      <c r="E22" s="248"/>
      <c r="F22" s="249">
        <f>F23</f>
        <v>143565000</v>
      </c>
      <c r="G22" s="248"/>
      <c r="H22" s="248"/>
      <c r="I22" s="248"/>
      <c r="J22" s="248"/>
      <c r="K22" s="248"/>
      <c r="L22" s="248"/>
      <c r="M22" s="248"/>
      <c r="N22" s="248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</row>
    <row r="23" ht="12.75" customHeight="1">
      <c r="A23" s="300">
        <v>1.0</v>
      </c>
      <c r="B23" s="300" t="s">
        <v>780</v>
      </c>
      <c r="C23" s="300"/>
      <c r="D23" s="300" t="s">
        <v>4762</v>
      </c>
      <c r="E23" s="300" t="s">
        <v>70</v>
      </c>
      <c r="F23" s="301">
        <v>1.43565E8</v>
      </c>
      <c r="G23" s="300" t="s">
        <v>4770</v>
      </c>
      <c r="H23" s="300" t="s">
        <v>84</v>
      </c>
      <c r="I23" s="569" t="s">
        <v>4771</v>
      </c>
      <c r="J23" s="300" t="s">
        <v>4772</v>
      </c>
      <c r="K23" s="300" t="s">
        <v>4773</v>
      </c>
      <c r="L23" s="27" t="s">
        <v>4774</v>
      </c>
      <c r="M23" s="300" t="s">
        <v>4775</v>
      </c>
      <c r="N23" s="300" t="s">
        <v>80</v>
      </c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</row>
    <row r="24" ht="12.75" customHeight="1">
      <c r="A24" s="248"/>
      <c r="B24" s="248" t="s">
        <v>99</v>
      </c>
      <c r="C24" s="248"/>
      <c r="D24" s="248"/>
      <c r="E24" s="248"/>
      <c r="F24" s="249">
        <f>SUM('21. Disparpora'!F25:F34)</f>
        <v>170714000</v>
      </c>
      <c r="G24" s="248"/>
      <c r="H24" s="248"/>
      <c r="I24" s="248"/>
      <c r="J24" s="248"/>
      <c r="K24" s="248"/>
      <c r="L24" s="248"/>
      <c r="M24" s="248"/>
      <c r="N24" s="248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</row>
    <row r="25" ht="12.75" customHeight="1">
      <c r="A25" s="300">
        <v>1.0</v>
      </c>
      <c r="B25" s="300" t="s">
        <v>100</v>
      </c>
      <c r="C25" s="300"/>
      <c r="D25" s="300" t="s">
        <v>4762</v>
      </c>
      <c r="E25" s="300" t="s">
        <v>27</v>
      </c>
      <c r="F25" s="301">
        <v>5500000.0</v>
      </c>
      <c r="G25" s="300" t="s">
        <v>4776</v>
      </c>
      <c r="H25" s="300" t="s">
        <v>782</v>
      </c>
      <c r="I25" s="300" t="s">
        <v>4777</v>
      </c>
      <c r="J25" s="300" t="s">
        <v>4778</v>
      </c>
      <c r="K25" s="300" t="s">
        <v>4779</v>
      </c>
      <c r="L25" s="27" t="s">
        <v>4780</v>
      </c>
      <c r="M25" s="300" t="s">
        <v>27</v>
      </c>
      <c r="N25" s="300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</row>
    <row r="26" ht="12.75" customHeight="1">
      <c r="A26" s="300">
        <v>2.0</v>
      </c>
      <c r="B26" s="300" t="s">
        <v>100</v>
      </c>
      <c r="C26" s="300"/>
      <c r="D26" s="300" t="s">
        <v>4762</v>
      </c>
      <c r="E26" s="300" t="s">
        <v>70</v>
      </c>
      <c r="F26" s="301">
        <v>9000000.0</v>
      </c>
      <c r="G26" s="300" t="s">
        <v>1379</v>
      </c>
      <c r="H26" s="300" t="s">
        <v>788</v>
      </c>
      <c r="I26" s="300" t="s">
        <v>4781</v>
      </c>
      <c r="J26" s="300" t="s">
        <v>4782</v>
      </c>
      <c r="K26" s="300" t="s">
        <v>4783</v>
      </c>
      <c r="L26" s="307" t="s">
        <v>4784</v>
      </c>
      <c r="M26" s="300"/>
      <c r="N26" s="300" t="s">
        <v>2453</v>
      </c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</row>
    <row r="27" ht="12.75" customHeight="1">
      <c r="A27" s="300">
        <v>3.0</v>
      </c>
      <c r="B27" s="300" t="s">
        <v>100</v>
      </c>
      <c r="C27" s="300"/>
      <c r="D27" s="300" t="s">
        <v>4762</v>
      </c>
      <c r="E27" s="300" t="s">
        <v>27</v>
      </c>
      <c r="F27" s="301">
        <v>1.24E7</v>
      </c>
      <c r="G27" s="300" t="s">
        <v>4785</v>
      </c>
      <c r="H27" s="300" t="s">
        <v>391</v>
      </c>
      <c r="I27" s="300" t="s">
        <v>4786</v>
      </c>
      <c r="J27" s="300" t="s">
        <v>4787</v>
      </c>
      <c r="K27" s="300" t="s">
        <v>4788</v>
      </c>
      <c r="L27" s="307" t="s">
        <v>4789</v>
      </c>
      <c r="M27" s="300" t="s">
        <v>27</v>
      </c>
      <c r="N27" s="300" t="s">
        <v>4790</v>
      </c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</row>
    <row r="28" ht="12.75" customHeight="1">
      <c r="A28" s="300">
        <v>4.0</v>
      </c>
      <c r="B28" s="300" t="s">
        <v>100</v>
      </c>
      <c r="C28" s="300"/>
      <c r="D28" s="300" t="s">
        <v>4762</v>
      </c>
      <c r="E28" s="300" t="s">
        <v>70</v>
      </c>
      <c r="F28" s="301">
        <v>1.7755E7</v>
      </c>
      <c r="G28" s="300" t="s">
        <v>2749</v>
      </c>
      <c r="H28" s="300" t="s">
        <v>474</v>
      </c>
      <c r="I28" s="300" t="s">
        <v>4791</v>
      </c>
      <c r="J28" s="300" t="s">
        <v>4792</v>
      </c>
      <c r="K28" s="300" t="s">
        <v>4793</v>
      </c>
      <c r="L28" s="27" t="s">
        <v>4794</v>
      </c>
      <c r="M28" s="300"/>
      <c r="N28" s="300" t="s">
        <v>4795</v>
      </c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</row>
    <row r="29" ht="12.75" customHeight="1">
      <c r="A29" s="300">
        <v>5.0</v>
      </c>
      <c r="B29" s="300" t="s">
        <v>100</v>
      </c>
      <c r="C29" s="300"/>
      <c r="D29" s="300" t="s">
        <v>4762</v>
      </c>
      <c r="E29" s="300" t="s">
        <v>70</v>
      </c>
      <c r="F29" s="301">
        <v>1.7755E7</v>
      </c>
      <c r="G29" s="300" t="s">
        <v>2749</v>
      </c>
      <c r="H29" s="300" t="s">
        <v>474</v>
      </c>
      <c r="I29" s="300" t="s">
        <v>4796</v>
      </c>
      <c r="J29" s="300" t="s">
        <v>4797</v>
      </c>
      <c r="K29" s="300" t="s">
        <v>4798</v>
      </c>
      <c r="L29" s="27" t="s">
        <v>4799</v>
      </c>
      <c r="M29" s="300" t="s">
        <v>3743</v>
      </c>
      <c r="N29" s="300" t="s">
        <v>4800</v>
      </c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</row>
    <row r="30" ht="12.75" customHeight="1">
      <c r="A30" s="300">
        <v>6.0</v>
      </c>
      <c r="B30" s="300" t="s">
        <v>100</v>
      </c>
      <c r="C30" s="300"/>
      <c r="D30" s="300" t="s">
        <v>4762</v>
      </c>
      <c r="E30" s="300" t="s">
        <v>27</v>
      </c>
      <c r="F30" s="301">
        <v>1.4304E7</v>
      </c>
      <c r="G30" s="300" t="s">
        <v>4801</v>
      </c>
      <c r="H30" s="300" t="s">
        <v>44</v>
      </c>
      <c r="I30" s="300" t="s">
        <v>4802</v>
      </c>
      <c r="J30" s="300" t="s">
        <v>4803</v>
      </c>
      <c r="K30" s="300" t="s">
        <v>4804</v>
      </c>
      <c r="L30" s="27" t="s">
        <v>4805</v>
      </c>
      <c r="M30" s="300" t="s">
        <v>3743</v>
      </c>
      <c r="N30" s="300" t="s">
        <v>4806</v>
      </c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</row>
    <row r="31" ht="12.75" customHeight="1">
      <c r="A31" s="300">
        <v>7.0</v>
      </c>
      <c r="B31" s="300" t="s">
        <v>100</v>
      </c>
      <c r="C31" s="300"/>
      <c r="D31" s="300" t="s">
        <v>4762</v>
      </c>
      <c r="E31" s="300" t="s">
        <v>70</v>
      </c>
      <c r="F31" s="301">
        <v>2.35E7</v>
      </c>
      <c r="G31" s="300" t="s">
        <v>4807</v>
      </c>
      <c r="H31" s="300" t="s">
        <v>862</v>
      </c>
      <c r="I31" s="300" t="s">
        <v>4808</v>
      </c>
      <c r="J31" s="300" t="s">
        <v>4809</v>
      </c>
      <c r="K31" s="300" t="s">
        <v>4810</v>
      </c>
      <c r="L31" s="27" t="s">
        <v>4811</v>
      </c>
      <c r="M31" s="300"/>
      <c r="N31" s="300" t="s">
        <v>4812</v>
      </c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</row>
    <row r="32" ht="12.75" customHeight="1">
      <c r="A32" s="300">
        <v>8.0</v>
      </c>
      <c r="B32" s="300" t="s">
        <v>100</v>
      </c>
      <c r="C32" s="300"/>
      <c r="D32" s="300" t="s">
        <v>4762</v>
      </c>
      <c r="E32" s="300" t="s">
        <v>70</v>
      </c>
      <c r="F32" s="301">
        <v>2.35E7</v>
      </c>
      <c r="G32" s="300" t="s">
        <v>4807</v>
      </c>
      <c r="H32" s="300" t="s">
        <v>862</v>
      </c>
      <c r="I32" s="300" t="s">
        <v>4813</v>
      </c>
      <c r="J32" s="300" t="s">
        <v>4814</v>
      </c>
      <c r="K32" s="300" t="s">
        <v>4815</v>
      </c>
      <c r="L32" s="27" t="s">
        <v>4816</v>
      </c>
      <c r="M32" s="300"/>
      <c r="N32" s="300" t="s">
        <v>4817</v>
      </c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</row>
    <row r="33" ht="12.75" customHeight="1">
      <c r="A33" s="300">
        <v>9.0</v>
      </c>
      <c r="B33" s="300" t="s">
        <v>100</v>
      </c>
      <c r="C33" s="300"/>
      <c r="D33" s="300" t="s">
        <v>4762</v>
      </c>
      <c r="E33" s="300" t="s">
        <v>70</v>
      </c>
      <c r="F33" s="301">
        <v>2.35E7</v>
      </c>
      <c r="G33" s="300" t="s">
        <v>4807</v>
      </c>
      <c r="H33" s="300" t="s">
        <v>862</v>
      </c>
      <c r="I33" s="300" t="s">
        <v>4818</v>
      </c>
      <c r="J33" s="300" t="s">
        <v>4819</v>
      </c>
      <c r="K33" s="300" t="s">
        <v>4820</v>
      </c>
      <c r="L33" s="27" t="s">
        <v>4821</v>
      </c>
      <c r="M33" s="300"/>
      <c r="N33" s="300" t="s">
        <v>4822</v>
      </c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</row>
    <row r="34" ht="12.75" customHeight="1">
      <c r="A34" s="300">
        <v>10.0</v>
      </c>
      <c r="B34" s="300" t="s">
        <v>100</v>
      </c>
      <c r="C34" s="300"/>
      <c r="D34" s="300" t="s">
        <v>4762</v>
      </c>
      <c r="E34" s="300" t="s">
        <v>70</v>
      </c>
      <c r="F34" s="301">
        <v>2.35E7</v>
      </c>
      <c r="G34" s="300" t="s">
        <v>4807</v>
      </c>
      <c r="H34" s="300" t="s">
        <v>862</v>
      </c>
      <c r="I34" s="300" t="s">
        <v>4823</v>
      </c>
      <c r="J34" s="300" t="s">
        <v>4824</v>
      </c>
      <c r="K34" s="300" t="s">
        <v>4825</v>
      </c>
      <c r="L34" s="27" t="s">
        <v>4826</v>
      </c>
      <c r="M34" s="300"/>
      <c r="N34" s="300" t="s">
        <v>4827</v>
      </c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</row>
    <row r="35" ht="12.75" customHeight="1">
      <c r="A35" s="309"/>
      <c r="B35" s="309"/>
      <c r="C35" s="309"/>
      <c r="D35" s="309"/>
      <c r="E35" s="309"/>
      <c r="F35" s="310">
        <f>F17</f>
        <v>599479000</v>
      </c>
      <c r="G35" s="309"/>
      <c r="H35" s="309"/>
      <c r="I35" s="309"/>
      <c r="J35" s="309"/>
      <c r="K35" s="309"/>
      <c r="L35" s="309"/>
      <c r="M35" s="309"/>
      <c r="N35" s="309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</row>
    <row r="36" ht="12.75" customHeight="1">
      <c r="A36" s="35"/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</row>
    <row r="37" ht="12.75" customHeight="1">
      <c r="A37" s="35"/>
      <c r="B37" s="35"/>
      <c r="C37" s="35"/>
      <c r="D37" s="35"/>
      <c r="E37" s="35"/>
      <c r="F37" s="284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</row>
    <row r="38" ht="12.75" customHeight="1">
      <c r="A38" s="35"/>
      <c r="B38" s="35"/>
      <c r="C38" s="35"/>
      <c r="D38" s="35"/>
      <c r="E38" s="35"/>
      <c r="F38" s="314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</row>
    <row r="39" ht="12.75" customHeight="1">
      <c r="A39" s="35"/>
      <c r="B39" s="280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</row>
    <row r="40" ht="12.75" customHeight="1">
      <c r="A40" s="35"/>
      <c r="B40" s="280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</row>
    <row r="41" ht="12.75" customHeight="1">
      <c r="A41" s="35"/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</row>
    <row r="42" ht="12.75" customHeight="1">
      <c r="A42" s="35"/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 ht="12.75" customHeight="1">
      <c r="A43" s="35"/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 ht="12.75" customHeight="1">
      <c r="A44" s="35"/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 ht="12.75" customHeight="1">
      <c r="A45" s="35"/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 ht="12.75" customHeight="1">
      <c r="A46" s="35"/>
      <c r="B46" s="280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 ht="12.75" customHeight="1">
      <c r="A47" s="35"/>
      <c r="B47" s="280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 ht="12.75" customHeight="1">
      <c r="A48" s="35"/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ht="12.75" customHeight="1">
      <c r="A49" s="35"/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ht="12.75" customHeight="1">
      <c r="A50" s="35"/>
      <c r="B50" s="35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ht="12.75" customHeight="1">
      <c r="A51" s="35"/>
      <c r="B51" s="35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ht="12.75" customHeight="1">
      <c r="A52" s="35"/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ht="12.75" customHeight="1">
      <c r="A53" s="35"/>
      <c r="B53" s="35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ht="12.75" customHeight="1">
      <c r="A54" s="35"/>
      <c r="B54" s="35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ht="12.75" customHeight="1">
      <c r="A55" s="35"/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ht="12.75" customHeight="1">
      <c r="A56" s="35"/>
      <c r="B56" s="35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ht="12.75" customHeight="1">
      <c r="A57" s="35"/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ht="12.75" customHeight="1">
      <c r="A58" s="35"/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ht="12.75" customHeight="1">
      <c r="A59" s="35"/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ht="12.75" customHeight="1">
      <c r="A60" s="35"/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ht="12.75" customHeight="1">
      <c r="A61" s="35"/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ht="12.75" customHeight="1">
      <c r="A62" s="35"/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ht="12.75" customHeight="1">
      <c r="A63" s="35"/>
      <c r="B63" s="35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2.75" customHeight="1">
      <c r="A64" s="35"/>
      <c r="B64" s="35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2.75" customHeight="1">
      <c r="A65" s="35"/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2.75" customHeight="1">
      <c r="A66" s="35"/>
      <c r="B66" s="35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2.75" customHeight="1">
      <c r="A67" s="35"/>
      <c r="B67" s="35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2.75" customHeight="1">
      <c r="A68" s="35"/>
      <c r="B68" s="35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2.75" customHeight="1">
      <c r="A69" s="35"/>
      <c r="B69" s="35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2.75" customHeight="1">
      <c r="A70" s="35"/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2.75" customHeight="1">
      <c r="A71" s="35"/>
      <c r="B71" s="35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2.75" customHeight="1">
      <c r="A72" s="35"/>
      <c r="B72" s="35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2.75" customHeight="1">
      <c r="A73" s="35"/>
      <c r="B73" s="35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2.75" customHeight="1">
      <c r="A74" s="35"/>
      <c r="B74" s="35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2.75" customHeight="1">
      <c r="A75" s="35"/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2.75" customHeight="1">
      <c r="A76" s="35"/>
      <c r="B76" s="35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2.75" customHeight="1">
      <c r="A77" s="35"/>
      <c r="B77" s="35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2.75" customHeight="1">
      <c r="A78" s="35"/>
      <c r="B78" s="35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2.75" customHeight="1">
      <c r="A79" s="35"/>
      <c r="B79" s="35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2.75" customHeight="1">
      <c r="A80" s="35"/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2.75" customHeight="1">
      <c r="A81" s="35"/>
      <c r="B81" s="35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2.75" customHeight="1">
      <c r="A82" s="35"/>
      <c r="B82" s="35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2.75" customHeight="1">
      <c r="A83" s="35"/>
      <c r="B83" s="35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2.75" customHeight="1">
      <c r="A84" s="35"/>
      <c r="B84" s="35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2.75" customHeight="1">
      <c r="A85" s="35"/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2.75" customHeight="1">
      <c r="A86" s="35"/>
      <c r="B86" s="35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2.75" customHeight="1">
      <c r="A87" s="35"/>
      <c r="B87" s="35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2.75" customHeight="1">
      <c r="A88" s="35"/>
      <c r="B88" s="35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2.75" customHeight="1">
      <c r="A89" s="35"/>
      <c r="B89" s="35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2.75" customHeight="1">
      <c r="A90" s="35"/>
      <c r="B90" s="35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2.75" customHeight="1">
      <c r="A91" s="35"/>
      <c r="B91" s="35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2.75" customHeight="1">
      <c r="A92" s="35"/>
      <c r="B92" s="35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2.75" customHeight="1">
      <c r="A93" s="35"/>
      <c r="B93" s="35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2.75" customHeight="1">
      <c r="A94" s="35"/>
      <c r="B94" s="35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2.75" customHeight="1">
      <c r="A95" s="35"/>
      <c r="B95" s="35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2.75" customHeight="1">
      <c r="A96" s="35"/>
      <c r="B96" s="35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2.75" customHeight="1">
      <c r="A97" s="35"/>
      <c r="B97" s="35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</row>
    <row r="98" ht="12.75" customHeight="1">
      <c r="A98" s="35"/>
      <c r="B98" s="35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</row>
    <row r="99" ht="12.75" customHeight="1">
      <c r="A99" s="35"/>
      <c r="B99" s="35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</row>
    <row r="100" ht="12.75" customHeight="1">
      <c r="A100" s="35"/>
      <c r="B100" s="35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</row>
    <row r="101" ht="12.75" customHeight="1">
      <c r="A101" s="35"/>
      <c r="B101" s="35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</row>
    <row r="102" ht="12.75" customHeight="1">
      <c r="A102" s="35"/>
      <c r="B102" s="35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</row>
    <row r="103" ht="12.75" customHeight="1">
      <c r="A103" s="35"/>
      <c r="B103" s="35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</row>
    <row r="104" ht="12.75" customHeight="1">
      <c r="A104" s="35"/>
      <c r="B104" s="35"/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</row>
    <row r="105" ht="12.75" customHeight="1">
      <c r="A105" s="35"/>
      <c r="B105" s="35"/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</row>
    <row r="106" ht="12.75" customHeight="1">
      <c r="A106" s="35"/>
      <c r="B106" s="35"/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</row>
    <row r="107" ht="12.75" customHeight="1">
      <c r="A107" s="35"/>
      <c r="B107" s="35"/>
      <c r="C107" s="35"/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</row>
    <row r="108" ht="12.75" customHeight="1">
      <c r="A108" s="35"/>
      <c r="B108" s="35"/>
      <c r="C108" s="35"/>
      <c r="D108" s="35"/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</row>
    <row r="109" ht="12.75" customHeight="1">
      <c r="A109" s="35"/>
      <c r="B109" s="35"/>
      <c r="C109" s="35"/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</row>
    <row r="110" ht="12.75" customHeight="1">
      <c r="A110" s="35"/>
      <c r="B110" s="35"/>
      <c r="C110" s="35"/>
      <c r="D110" s="35"/>
      <c r="E110" s="35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</row>
    <row r="111" ht="12.75" customHeight="1">
      <c r="A111" s="35"/>
      <c r="B111" s="35"/>
      <c r="C111" s="35"/>
      <c r="D111" s="35"/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</row>
    <row r="112" ht="12.75" customHeight="1">
      <c r="A112" s="35"/>
      <c r="B112" s="35"/>
      <c r="C112" s="35"/>
      <c r="D112" s="35"/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</row>
    <row r="113" ht="12.75" customHeight="1">
      <c r="A113" s="35"/>
      <c r="B113" s="35"/>
      <c r="C113" s="35"/>
      <c r="D113" s="35"/>
      <c r="E113" s="35"/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</row>
    <row r="114" ht="12.75" customHeight="1">
      <c r="A114" s="35"/>
      <c r="B114" s="35"/>
      <c r="C114" s="35"/>
      <c r="D114" s="35"/>
      <c r="E114" s="35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</row>
    <row r="115" ht="12.75" customHeight="1">
      <c r="A115" s="35"/>
      <c r="B115" s="35"/>
      <c r="C115" s="35"/>
      <c r="D115" s="35"/>
      <c r="E115" s="35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</row>
    <row r="116" ht="12.75" customHeight="1">
      <c r="A116" s="35"/>
      <c r="B116" s="35"/>
      <c r="C116" s="35"/>
      <c r="D116" s="35"/>
      <c r="E116" s="35"/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</row>
    <row r="117" ht="12.75" customHeight="1">
      <c r="A117" s="35"/>
      <c r="B117" s="35"/>
      <c r="C117" s="35"/>
      <c r="D117" s="35"/>
      <c r="E117" s="35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</row>
    <row r="118" ht="12.75" customHeight="1">
      <c r="A118" s="35"/>
      <c r="B118" s="35"/>
      <c r="C118" s="35"/>
      <c r="D118" s="35"/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</row>
    <row r="119" ht="12.75" customHeight="1">
      <c r="A119" s="35"/>
      <c r="B119" s="35"/>
      <c r="C119" s="35"/>
      <c r="D119" s="35"/>
      <c r="E119" s="35"/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</row>
    <row r="120" ht="12.75" customHeight="1">
      <c r="A120" s="35"/>
      <c r="B120" s="35"/>
      <c r="C120" s="35"/>
      <c r="D120" s="35"/>
      <c r="E120" s="35"/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</row>
    <row r="121" ht="12.75" customHeight="1">
      <c r="A121" s="35"/>
      <c r="B121" s="35"/>
      <c r="C121" s="35"/>
      <c r="D121" s="35"/>
      <c r="E121" s="35"/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</row>
    <row r="122" ht="12.75" customHeight="1">
      <c r="A122" s="35"/>
      <c r="B122" s="35"/>
      <c r="C122" s="35"/>
      <c r="D122" s="35"/>
      <c r="E122" s="35"/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</row>
    <row r="123" ht="12.75" customHeight="1">
      <c r="A123" s="35"/>
      <c r="B123" s="35"/>
      <c r="C123" s="35"/>
      <c r="D123" s="35"/>
      <c r="E123" s="35"/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</row>
    <row r="124" ht="12.75" customHeight="1">
      <c r="A124" s="35"/>
      <c r="B124" s="35"/>
      <c r="C124" s="35"/>
      <c r="D124" s="35"/>
      <c r="E124" s="35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</row>
    <row r="125" ht="12.75" customHeight="1">
      <c r="A125" s="35"/>
      <c r="B125" s="35"/>
      <c r="C125" s="35"/>
      <c r="D125" s="35"/>
      <c r="E125" s="35"/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</row>
    <row r="126" ht="12.75" customHeight="1">
      <c r="A126" s="35"/>
      <c r="B126" s="35"/>
      <c r="C126" s="35"/>
      <c r="D126" s="35"/>
      <c r="E126" s="35"/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</row>
    <row r="127" ht="12.75" customHeight="1">
      <c r="A127" s="35"/>
      <c r="B127" s="35"/>
      <c r="C127" s="35"/>
      <c r="D127" s="35"/>
      <c r="E127" s="35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</row>
    <row r="128" ht="12.75" customHeight="1">
      <c r="A128" s="35"/>
      <c r="B128" s="35"/>
      <c r="C128" s="35"/>
      <c r="D128" s="35"/>
      <c r="E128" s="35"/>
      <c r="F128" s="35"/>
      <c r="G128" s="35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</row>
    <row r="129" ht="12.75" customHeight="1">
      <c r="A129" s="35"/>
      <c r="B129" s="35"/>
      <c r="C129" s="35"/>
      <c r="D129" s="35"/>
      <c r="E129" s="35"/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</row>
    <row r="130" ht="12.75" customHeight="1">
      <c r="A130" s="35"/>
      <c r="B130" s="35"/>
      <c r="C130" s="35"/>
      <c r="D130" s="35"/>
      <c r="E130" s="35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</row>
    <row r="131" ht="12.75" customHeight="1">
      <c r="A131" s="35"/>
      <c r="B131" s="35"/>
      <c r="C131" s="35"/>
      <c r="D131" s="35"/>
      <c r="E131" s="35"/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</row>
    <row r="132" ht="12.75" customHeight="1">
      <c r="A132" s="35"/>
      <c r="B132" s="35"/>
      <c r="C132" s="35"/>
      <c r="D132" s="35"/>
      <c r="E132" s="35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</row>
    <row r="133" ht="12.75" customHeight="1">
      <c r="A133" s="35"/>
      <c r="B133" s="35"/>
      <c r="C133" s="35"/>
      <c r="D133" s="35"/>
      <c r="E133" s="35"/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</row>
    <row r="134" ht="12.75" customHeight="1">
      <c r="A134" s="35"/>
      <c r="B134" s="35"/>
      <c r="C134" s="35"/>
      <c r="D134" s="35"/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</row>
    <row r="135" ht="12.75" customHeight="1">
      <c r="A135" s="35"/>
      <c r="B135" s="35"/>
      <c r="C135" s="35"/>
      <c r="D135" s="35"/>
      <c r="E135" s="35"/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</row>
    <row r="136" ht="12.75" customHeight="1">
      <c r="A136" s="35"/>
      <c r="B136" s="35"/>
      <c r="C136" s="35"/>
      <c r="D136" s="35"/>
      <c r="E136" s="35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</row>
    <row r="137" ht="12.75" customHeight="1">
      <c r="A137" s="35"/>
      <c r="B137" s="35"/>
      <c r="C137" s="35"/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</row>
    <row r="138" ht="12.75" customHeight="1">
      <c r="A138" s="35"/>
      <c r="B138" s="35"/>
      <c r="C138" s="35"/>
      <c r="D138" s="35"/>
      <c r="E138" s="35"/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</row>
    <row r="139" ht="12.75" customHeight="1">
      <c r="A139" s="35"/>
      <c r="B139" s="35"/>
      <c r="C139" s="35"/>
      <c r="D139" s="35"/>
      <c r="E139" s="35"/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</row>
    <row r="140" ht="12.75" customHeight="1">
      <c r="A140" s="35"/>
      <c r="B140" s="35"/>
      <c r="C140" s="35"/>
      <c r="D140" s="35"/>
      <c r="E140" s="35"/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</row>
    <row r="141" ht="12.75" customHeight="1">
      <c r="A141" s="35"/>
      <c r="B141" s="35"/>
      <c r="C141" s="35"/>
      <c r="D141" s="35"/>
      <c r="E141" s="35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</row>
    <row r="142" ht="12.75" customHeight="1">
      <c r="A142" s="35"/>
      <c r="B142" s="35"/>
      <c r="C142" s="35"/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</row>
    <row r="143" ht="12.75" customHeight="1">
      <c r="A143" s="35"/>
      <c r="B143" s="35"/>
      <c r="C143" s="35"/>
      <c r="D143" s="35"/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</row>
    <row r="144" ht="12.75" customHeight="1">
      <c r="A144" s="35"/>
      <c r="B144" s="35"/>
      <c r="C144" s="35"/>
      <c r="D144" s="35"/>
      <c r="E144" s="35"/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  <c r="Z144" s="35"/>
    </row>
    <row r="145" ht="12.75" customHeight="1">
      <c r="A145" s="35"/>
      <c r="B145" s="35"/>
      <c r="C145" s="35"/>
      <c r="D145" s="35"/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</row>
    <row r="146" ht="12.75" customHeight="1">
      <c r="A146" s="35"/>
      <c r="B146" s="35"/>
      <c r="C146" s="35"/>
      <c r="D146" s="35"/>
      <c r="E146" s="35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5"/>
    </row>
    <row r="147" ht="12.75" customHeight="1">
      <c r="A147" s="35"/>
      <c r="B147" s="35"/>
      <c r="C147" s="35"/>
      <c r="D147" s="35"/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</row>
    <row r="148" ht="12.75" customHeight="1">
      <c r="A148" s="35"/>
      <c r="B148" s="35"/>
      <c r="C148" s="35"/>
      <c r="D148" s="35"/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  <c r="Z148" s="35"/>
    </row>
    <row r="149" ht="12.75" customHeight="1">
      <c r="A149" s="35"/>
      <c r="B149" s="35"/>
      <c r="C149" s="35"/>
      <c r="D149" s="35"/>
      <c r="E149" s="35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5"/>
    </row>
    <row r="150" ht="12.75" customHeight="1">
      <c r="A150" s="35"/>
      <c r="B150" s="35"/>
      <c r="C150" s="35"/>
      <c r="D150" s="35"/>
      <c r="E150" s="35"/>
      <c r="F150" s="35"/>
      <c r="G150" s="35"/>
      <c r="H150" s="35"/>
      <c r="I150" s="35"/>
      <c r="J150" s="35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5"/>
    </row>
    <row r="151" ht="12.75" customHeight="1">
      <c r="A151" s="35"/>
      <c r="B151" s="35"/>
      <c r="C151" s="35"/>
      <c r="D151" s="35"/>
      <c r="E151" s="35"/>
      <c r="F151" s="35"/>
      <c r="G151" s="35"/>
      <c r="H151" s="35"/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</row>
    <row r="152" ht="12.75" customHeight="1">
      <c r="A152" s="35"/>
      <c r="B152" s="35"/>
      <c r="C152" s="35"/>
      <c r="D152" s="35"/>
      <c r="E152" s="35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5"/>
    </row>
    <row r="153" ht="12.75" customHeight="1">
      <c r="A153" s="35"/>
      <c r="B153" s="35"/>
      <c r="C153" s="35"/>
      <c r="D153" s="35"/>
      <c r="E153" s="35"/>
      <c r="F153" s="35"/>
      <c r="G153" s="35"/>
      <c r="H153" s="35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</row>
    <row r="154" ht="12.75" customHeight="1">
      <c r="A154" s="35"/>
      <c r="B154" s="35"/>
      <c r="C154" s="35"/>
      <c r="D154" s="35"/>
      <c r="E154" s="35"/>
      <c r="F154" s="35"/>
      <c r="G154" s="35"/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</row>
    <row r="155" ht="12.75" customHeight="1">
      <c r="A155" s="35"/>
      <c r="B155" s="35"/>
      <c r="C155" s="35"/>
      <c r="D155" s="35"/>
      <c r="E155" s="35"/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</row>
    <row r="156" ht="12.75" customHeight="1">
      <c r="A156" s="35"/>
      <c r="B156" s="35"/>
      <c r="C156" s="35"/>
      <c r="D156" s="35"/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</row>
    <row r="157" ht="12.75" customHeight="1">
      <c r="A157" s="35"/>
      <c r="B157" s="35"/>
      <c r="C157" s="35"/>
      <c r="D157" s="35"/>
      <c r="E157" s="35"/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</row>
    <row r="158" ht="12.75" customHeight="1">
      <c r="A158" s="35"/>
      <c r="B158" s="35"/>
      <c r="C158" s="35"/>
      <c r="D158" s="35"/>
      <c r="E158" s="35"/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</row>
    <row r="159" ht="12.75" customHeight="1">
      <c r="A159" s="35"/>
      <c r="B159" s="35"/>
      <c r="C159" s="35"/>
      <c r="D159" s="35"/>
      <c r="E159" s="35"/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</row>
    <row r="160" ht="12.75" customHeight="1">
      <c r="A160" s="35"/>
      <c r="B160" s="35"/>
      <c r="C160" s="35"/>
      <c r="D160" s="35"/>
      <c r="E160" s="35"/>
      <c r="F160" s="35"/>
      <c r="G160" s="35"/>
      <c r="H160" s="35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</row>
    <row r="161" ht="12.75" customHeight="1">
      <c r="A161" s="35"/>
      <c r="B161" s="35"/>
      <c r="C161" s="35"/>
      <c r="D161" s="35"/>
      <c r="E161" s="35"/>
      <c r="F161" s="35"/>
      <c r="G161" s="35"/>
      <c r="H161" s="35"/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</row>
    <row r="162" ht="12.75" customHeight="1">
      <c r="A162" s="35"/>
      <c r="B162" s="35"/>
      <c r="C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5"/>
    </row>
    <row r="163" ht="12.75" customHeight="1">
      <c r="A163" s="35"/>
      <c r="B163" s="35"/>
      <c r="C163" s="35"/>
      <c r="D163" s="35"/>
      <c r="E163" s="35"/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</row>
    <row r="164" ht="12.75" customHeight="1">
      <c r="A164" s="35"/>
      <c r="B164" s="35"/>
      <c r="C164" s="35"/>
      <c r="D164" s="35"/>
      <c r="E164" s="35"/>
      <c r="F164" s="35"/>
      <c r="G164" s="35"/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</row>
    <row r="165" ht="12.75" customHeight="1">
      <c r="A165" s="35"/>
      <c r="B165" s="35"/>
      <c r="C165" s="35"/>
      <c r="D165" s="35"/>
      <c r="E165" s="35"/>
      <c r="F165" s="35"/>
      <c r="G165" s="35"/>
      <c r="H165" s="35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</row>
    <row r="166" ht="12.75" customHeight="1">
      <c r="A166" s="35"/>
      <c r="B166" s="35"/>
      <c r="C166" s="35"/>
      <c r="D166" s="35"/>
      <c r="E166" s="35"/>
      <c r="F166" s="35"/>
      <c r="G166" s="35"/>
      <c r="H166" s="35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35"/>
    </row>
    <row r="167" ht="12.75" customHeight="1">
      <c r="A167" s="35"/>
      <c r="B167" s="35"/>
      <c r="C167" s="35"/>
      <c r="D167" s="35"/>
      <c r="E167" s="35"/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</row>
    <row r="168" ht="12.75" customHeight="1">
      <c r="A168" s="35"/>
      <c r="B168" s="35"/>
      <c r="C168" s="35"/>
      <c r="D168" s="35"/>
      <c r="E168" s="35"/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  <c r="Z168" s="35"/>
    </row>
    <row r="169" ht="12.75" customHeight="1">
      <c r="A169" s="35"/>
      <c r="B169" s="35"/>
      <c r="C169" s="35"/>
      <c r="D169" s="35"/>
      <c r="E169" s="35"/>
      <c r="F169" s="35"/>
      <c r="G169" s="35"/>
      <c r="H169" s="35"/>
      <c r="I169" s="35"/>
      <c r="J169" s="35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  <c r="Z169" s="35"/>
    </row>
    <row r="170" ht="12.75" customHeight="1">
      <c r="A170" s="35"/>
      <c r="B170" s="35"/>
      <c r="C170" s="35"/>
      <c r="D170" s="35"/>
      <c r="E170" s="35"/>
      <c r="F170" s="35"/>
      <c r="G170" s="35"/>
      <c r="H170" s="35"/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35"/>
    </row>
    <row r="171" ht="12.75" customHeight="1">
      <c r="A171" s="35"/>
      <c r="B171" s="35"/>
      <c r="C171" s="35"/>
      <c r="D171" s="35"/>
      <c r="E171" s="35"/>
      <c r="F171" s="35"/>
      <c r="G171" s="35"/>
      <c r="H171" s="35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</row>
    <row r="172" ht="12.75" customHeight="1">
      <c r="A172" s="35"/>
      <c r="B172" s="35"/>
      <c r="C172" s="35"/>
      <c r="D172" s="35"/>
      <c r="E172" s="35"/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  <c r="Z172" s="35"/>
    </row>
    <row r="173" ht="12.75" customHeight="1">
      <c r="A173" s="35"/>
      <c r="B173" s="35"/>
      <c r="C173" s="35"/>
      <c r="D173" s="35"/>
      <c r="E173" s="35"/>
      <c r="F173" s="35"/>
      <c r="G173" s="35"/>
      <c r="H173" s="35"/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  <c r="Z173" s="35"/>
    </row>
    <row r="174" ht="12.75" customHeight="1">
      <c r="A174" s="35"/>
      <c r="B174" s="35"/>
      <c r="C174" s="35"/>
      <c r="D174" s="35"/>
      <c r="E174" s="35"/>
      <c r="F174" s="35"/>
      <c r="G174" s="35"/>
      <c r="H174" s="35"/>
      <c r="I174" s="35"/>
      <c r="J174" s="35"/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  <c r="Z174" s="35"/>
    </row>
    <row r="175" ht="12.75" customHeight="1">
      <c r="A175" s="35"/>
      <c r="B175" s="35"/>
      <c r="C175" s="35"/>
      <c r="D175" s="35"/>
      <c r="E175" s="35"/>
      <c r="F175" s="35"/>
      <c r="G175" s="35"/>
      <c r="H175" s="35"/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5"/>
    </row>
    <row r="176" ht="12.75" customHeight="1">
      <c r="A176" s="35"/>
      <c r="B176" s="35"/>
      <c r="C176" s="35"/>
      <c r="D176" s="35"/>
      <c r="E176" s="35"/>
      <c r="F176" s="35"/>
      <c r="G176" s="35"/>
      <c r="H176" s="35"/>
      <c r="I176" s="35"/>
      <c r="J176" s="35"/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5"/>
    </row>
    <row r="177" ht="12.75" customHeight="1">
      <c r="A177" s="35"/>
      <c r="B177" s="35"/>
      <c r="C177" s="35"/>
      <c r="D177" s="35"/>
      <c r="E177" s="35"/>
      <c r="F177" s="35"/>
      <c r="G177" s="35"/>
      <c r="H177" s="35"/>
      <c r="I177" s="35"/>
      <c r="J177" s="35"/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  <c r="Z177" s="35"/>
    </row>
    <row r="178" ht="12.75" customHeight="1">
      <c r="A178" s="35"/>
      <c r="B178" s="35"/>
      <c r="C178" s="35"/>
      <c r="D178" s="35"/>
      <c r="E178" s="35"/>
      <c r="F178" s="35"/>
      <c r="G178" s="35"/>
      <c r="H178" s="35"/>
      <c r="I178" s="35"/>
      <c r="J178" s="35"/>
      <c r="K178" s="35"/>
      <c r="L178" s="35"/>
      <c r="M178" s="35"/>
      <c r="N178" s="35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  <c r="Z178" s="35"/>
    </row>
    <row r="179" ht="12.75" customHeight="1">
      <c r="A179" s="35"/>
      <c r="B179" s="35"/>
      <c r="C179" s="35"/>
      <c r="D179" s="35"/>
      <c r="E179" s="35"/>
      <c r="F179" s="35"/>
      <c r="G179" s="35"/>
      <c r="H179" s="35"/>
      <c r="I179" s="35"/>
      <c r="J179" s="35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  <c r="Z179" s="35"/>
    </row>
    <row r="180" ht="12.75" customHeight="1">
      <c r="A180" s="35"/>
      <c r="B180" s="35"/>
      <c r="C180" s="35"/>
      <c r="D180" s="35"/>
      <c r="E180" s="35"/>
      <c r="F180" s="35"/>
      <c r="G180" s="35"/>
      <c r="H180" s="35"/>
      <c r="I180" s="35"/>
      <c r="J180" s="35"/>
      <c r="K180" s="35"/>
      <c r="L180" s="35"/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  <c r="Z180" s="35"/>
    </row>
    <row r="181" ht="12.75" customHeight="1">
      <c r="A181" s="35"/>
      <c r="B181" s="35"/>
      <c r="C181" s="35"/>
      <c r="D181" s="35"/>
      <c r="E181" s="35"/>
      <c r="F181" s="35"/>
      <c r="G181" s="35"/>
      <c r="H181" s="35"/>
      <c r="I181" s="35"/>
      <c r="J181" s="35"/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  <c r="Z181" s="35"/>
    </row>
    <row r="182" ht="12.75" customHeight="1">
      <c r="A182" s="35"/>
      <c r="B182" s="35"/>
      <c r="C182" s="35"/>
      <c r="D182" s="35"/>
      <c r="E182" s="35"/>
      <c r="F182" s="35"/>
      <c r="G182" s="35"/>
      <c r="H182" s="35"/>
      <c r="I182" s="35"/>
      <c r="J182" s="35"/>
      <c r="K182" s="35"/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  <c r="Z182" s="35"/>
    </row>
    <row r="183" ht="12.75" customHeight="1">
      <c r="A183" s="35"/>
      <c r="B183" s="35"/>
      <c r="C183" s="35"/>
      <c r="D183" s="35"/>
      <c r="E183" s="35"/>
      <c r="F183" s="35"/>
      <c r="G183" s="35"/>
      <c r="H183" s="35"/>
      <c r="I183" s="35"/>
      <c r="J183" s="35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  <c r="Z183" s="35"/>
    </row>
    <row r="184" ht="12.75" customHeight="1">
      <c r="A184" s="35"/>
      <c r="B184" s="35"/>
      <c r="C184" s="35"/>
      <c r="D184" s="35"/>
      <c r="E184" s="35"/>
      <c r="F184" s="35"/>
      <c r="G184" s="35"/>
      <c r="H184" s="35"/>
      <c r="I184" s="35"/>
      <c r="J184" s="35"/>
      <c r="K184" s="35"/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  <c r="Z184" s="35"/>
    </row>
    <row r="185" ht="12.75" customHeight="1">
      <c r="A185" s="35"/>
      <c r="B185" s="35"/>
      <c r="C185" s="35"/>
      <c r="D185" s="35"/>
      <c r="E185" s="35"/>
      <c r="F185" s="35"/>
      <c r="G185" s="35"/>
      <c r="H185" s="35"/>
      <c r="I185" s="35"/>
      <c r="J185" s="35"/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  <c r="Z185" s="35"/>
    </row>
    <row r="186" ht="12.75" customHeight="1">
      <c r="A186" s="35"/>
      <c r="B186" s="35"/>
      <c r="C186" s="35"/>
      <c r="D186" s="35"/>
      <c r="E186" s="35"/>
      <c r="F186" s="35"/>
      <c r="G186" s="35"/>
      <c r="H186" s="35"/>
      <c r="I186" s="35"/>
      <c r="J186" s="35"/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  <c r="Z186" s="35"/>
    </row>
    <row r="187" ht="12.75" customHeight="1">
      <c r="A187" s="35"/>
      <c r="B187" s="35"/>
      <c r="C187" s="35"/>
      <c r="D187" s="35"/>
      <c r="E187" s="35"/>
      <c r="F187" s="35"/>
      <c r="G187" s="35"/>
      <c r="H187" s="35"/>
      <c r="I187" s="35"/>
      <c r="J187" s="35"/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35"/>
    </row>
    <row r="188" ht="12.75" customHeight="1">
      <c r="A188" s="35"/>
      <c r="B188" s="35"/>
      <c r="C188" s="35"/>
      <c r="D188" s="35"/>
      <c r="E188" s="35"/>
      <c r="F188" s="35"/>
      <c r="G188" s="35"/>
      <c r="H188" s="35"/>
      <c r="I188" s="35"/>
      <c r="J188" s="35"/>
      <c r="K188" s="35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  <c r="Z188" s="35"/>
    </row>
    <row r="189" ht="12.75" customHeight="1">
      <c r="A189" s="35"/>
      <c r="B189" s="35"/>
      <c r="C189" s="35"/>
      <c r="D189" s="35"/>
      <c r="E189" s="35"/>
      <c r="F189" s="35"/>
      <c r="G189" s="35"/>
      <c r="H189" s="35"/>
      <c r="I189" s="35"/>
      <c r="J189" s="35"/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  <c r="Z189" s="35"/>
    </row>
    <row r="190" ht="12.75" customHeight="1">
      <c r="A190" s="35"/>
      <c r="B190" s="35"/>
      <c r="C190" s="35"/>
      <c r="D190" s="35"/>
      <c r="E190" s="35"/>
      <c r="F190" s="35"/>
      <c r="G190" s="35"/>
      <c r="H190" s="35"/>
      <c r="I190" s="35"/>
      <c r="J190" s="35"/>
      <c r="K190" s="35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  <c r="Z190" s="35"/>
    </row>
    <row r="191" ht="12.75" customHeight="1">
      <c r="A191" s="35"/>
      <c r="B191" s="35"/>
      <c r="C191" s="35"/>
      <c r="D191" s="35"/>
      <c r="E191" s="35"/>
      <c r="F191" s="35"/>
      <c r="G191" s="35"/>
      <c r="H191" s="35"/>
      <c r="I191" s="35"/>
      <c r="J191" s="35"/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  <c r="Z191" s="35"/>
    </row>
    <row r="192" ht="12.75" customHeight="1">
      <c r="A192" s="35"/>
      <c r="B192" s="35"/>
      <c r="C192" s="35"/>
      <c r="D192" s="35"/>
      <c r="E192" s="35"/>
      <c r="F192" s="35"/>
      <c r="G192" s="35"/>
      <c r="H192" s="35"/>
      <c r="I192" s="35"/>
      <c r="J192" s="35"/>
      <c r="K192" s="35"/>
      <c r="L192" s="35"/>
      <c r="M192" s="35"/>
      <c r="N192" s="35"/>
      <c r="O192" s="35"/>
      <c r="P192" s="35"/>
      <c r="Q192" s="35"/>
      <c r="R192" s="35"/>
      <c r="S192" s="35"/>
      <c r="T192" s="35"/>
      <c r="U192" s="35"/>
      <c r="V192" s="35"/>
      <c r="W192" s="35"/>
      <c r="X192" s="35"/>
      <c r="Y192" s="35"/>
      <c r="Z192" s="35"/>
    </row>
    <row r="193" ht="12.75" customHeight="1">
      <c r="A193" s="35"/>
      <c r="B193" s="35"/>
      <c r="C193" s="35"/>
      <c r="D193" s="35"/>
      <c r="E193" s="35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</row>
    <row r="194" ht="12.75" customHeight="1">
      <c r="A194" s="35"/>
      <c r="B194" s="35"/>
      <c r="C194" s="35"/>
      <c r="D194" s="35"/>
      <c r="E194" s="35"/>
      <c r="F194" s="35"/>
      <c r="G194" s="35"/>
      <c r="H194" s="35"/>
      <c r="I194" s="35"/>
      <c r="J194" s="35"/>
      <c r="K194" s="35"/>
      <c r="L194" s="35"/>
      <c r="M194" s="35"/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  <c r="Z194" s="35"/>
    </row>
    <row r="195" ht="12.75" customHeight="1">
      <c r="A195" s="35"/>
      <c r="B195" s="35"/>
      <c r="C195" s="35"/>
      <c r="D195" s="35"/>
      <c r="E195" s="35"/>
      <c r="F195" s="35"/>
      <c r="G195" s="35"/>
      <c r="H195" s="35"/>
      <c r="I195" s="35"/>
      <c r="J195" s="35"/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  <c r="Z195" s="35"/>
    </row>
    <row r="196" ht="12.75" customHeight="1">
      <c r="A196" s="35"/>
      <c r="B196" s="35"/>
      <c r="C196" s="35"/>
      <c r="D196" s="35"/>
      <c r="E196" s="35"/>
      <c r="F196" s="35"/>
      <c r="G196" s="35"/>
      <c r="H196" s="35"/>
      <c r="I196" s="35"/>
      <c r="J196" s="35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  <c r="Z196" s="35"/>
    </row>
    <row r="197" ht="12.75" customHeight="1">
      <c r="A197" s="35"/>
      <c r="B197" s="35"/>
      <c r="C197" s="35"/>
      <c r="D197" s="35"/>
      <c r="E197" s="35"/>
      <c r="F197" s="35"/>
      <c r="G197" s="35"/>
      <c r="H197" s="35"/>
      <c r="I197" s="35"/>
      <c r="J197" s="35"/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  <c r="Z197" s="35"/>
    </row>
    <row r="198" ht="12.75" customHeight="1">
      <c r="A198" s="35"/>
      <c r="B198" s="35"/>
      <c r="C198" s="35"/>
      <c r="D198" s="35"/>
      <c r="E198" s="35"/>
      <c r="F198" s="35"/>
      <c r="G198" s="35"/>
      <c r="H198" s="35"/>
      <c r="I198" s="35"/>
      <c r="J198" s="35"/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  <c r="Z198" s="35"/>
    </row>
    <row r="199" ht="12.75" customHeight="1">
      <c r="A199" s="35"/>
      <c r="B199" s="35"/>
      <c r="C199" s="35"/>
      <c r="D199" s="35"/>
      <c r="E199" s="35"/>
      <c r="F199" s="35"/>
      <c r="G199" s="35"/>
      <c r="H199" s="35"/>
      <c r="I199" s="35"/>
      <c r="J199" s="35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  <c r="Z199" s="35"/>
    </row>
    <row r="200" ht="12.75" customHeight="1">
      <c r="A200" s="35"/>
      <c r="B200" s="35"/>
      <c r="C200" s="35"/>
      <c r="D200" s="35"/>
      <c r="E200" s="35"/>
      <c r="F200" s="35"/>
      <c r="G200" s="35"/>
      <c r="H200" s="35"/>
      <c r="I200" s="35"/>
      <c r="J200" s="35"/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  <c r="Z200" s="35"/>
    </row>
    <row r="201" ht="12.75" customHeight="1">
      <c r="A201" s="35"/>
      <c r="B201" s="35"/>
      <c r="C201" s="35"/>
      <c r="D201" s="35"/>
      <c r="E201" s="35"/>
      <c r="F201" s="35"/>
      <c r="G201" s="35"/>
      <c r="H201" s="35"/>
      <c r="I201" s="35"/>
      <c r="J201" s="35"/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  <c r="Z201" s="35"/>
    </row>
    <row r="202" ht="12.75" customHeight="1">
      <c r="A202" s="35"/>
      <c r="B202" s="35"/>
      <c r="C202" s="35"/>
      <c r="D202" s="35"/>
      <c r="E202" s="35"/>
      <c r="F202" s="35"/>
      <c r="G202" s="35"/>
      <c r="H202" s="35"/>
      <c r="I202" s="35"/>
      <c r="J202" s="35"/>
      <c r="K202" s="35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  <c r="Z202" s="35"/>
    </row>
    <row r="203" ht="12.75" customHeight="1">
      <c r="A203" s="35"/>
      <c r="B203" s="35"/>
      <c r="C203" s="35"/>
      <c r="D203" s="35"/>
      <c r="E203" s="35"/>
      <c r="F203" s="35"/>
      <c r="G203" s="35"/>
      <c r="H203" s="35"/>
      <c r="I203" s="35"/>
      <c r="J203" s="35"/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  <c r="Z203" s="35"/>
    </row>
    <row r="204" ht="12.75" customHeight="1">
      <c r="A204" s="35"/>
      <c r="B204" s="35"/>
      <c r="C204" s="35"/>
      <c r="D204" s="35"/>
      <c r="E204" s="35"/>
      <c r="F204" s="35"/>
      <c r="G204" s="35"/>
      <c r="H204" s="35"/>
      <c r="I204" s="35"/>
      <c r="J204" s="35"/>
      <c r="K204" s="35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  <c r="Z204" s="35"/>
    </row>
    <row r="205" ht="12.75" customHeight="1">
      <c r="A205" s="35"/>
      <c r="B205" s="35"/>
      <c r="C205" s="35"/>
      <c r="D205" s="35"/>
      <c r="E205" s="35"/>
      <c r="F205" s="35"/>
      <c r="G205" s="35"/>
      <c r="H205" s="35"/>
      <c r="I205" s="35"/>
      <c r="J205" s="35"/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  <c r="Z205" s="35"/>
    </row>
    <row r="206" ht="12.75" customHeight="1">
      <c r="A206" s="35"/>
      <c r="B206" s="35"/>
      <c r="C206" s="35"/>
      <c r="D206" s="35"/>
      <c r="E206" s="35"/>
      <c r="F206" s="35"/>
      <c r="G206" s="35"/>
      <c r="H206" s="35"/>
      <c r="I206" s="35"/>
      <c r="J206" s="35"/>
      <c r="K206" s="35"/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  <c r="Z206" s="35"/>
    </row>
    <row r="207" ht="12.75" customHeight="1">
      <c r="A207" s="35"/>
      <c r="B207" s="35"/>
      <c r="C207" s="35"/>
      <c r="D207" s="35"/>
      <c r="E207" s="35"/>
      <c r="F207" s="35"/>
      <c r="G207" s="35"/>
      <c r="H207" s="35"/>
      <c r="I207" s="35"/>
      <c r="J207" s="35"/>
      <c r="K207" s="35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35"/>
      <c r="Z207" s="35"/>
    </row>
    <row r="208" ht="12.75" customHeight="1">
      <c r="A208" s="35"/>
      <c r="B208" s="35"/>
      <c r="C208" s="35"/>
      <c r="D208" s="35"/>
      <c r="E208" s="35"/>
      <c r="F208" s="35"/>
      <c r="G208" s="35"/>
      <c r="H208" s="35"/>
      <c r="I208" s="35"/>
      <c r="J208" s="35"/>
      <c r="K208" s="35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  <c r="Z208" s="35"/>
    </row>
    <row r="209" ht="12.75" customHeight="1">
      <c r="A209" s="35"/>
      <c r="B209" s="35"/>
      <c r="C209" s="35"/>
      <c r="D209" s="35"/>
      <c r="E209" s="35"/>
      <c r="F209" s="35"/>
      <c r="G209" s="35"/>
      <c r="H209" s="35"/>
      <c r="I209" s="35"/>
      <c r="J209" s="35"/>
      <c r="K209" s="35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5"/>
      <c r="W209" s="35"/>
      <c r="X209" s="35"/>
      <c r="Y209" s="35"/>
      <c r="Z209" s="35"/>
    </row>
    <row r="210" ht="12.75" customHeight="1">
      <c r="A210" s="35"/>
      <c r="B210" s="35"/>
      <c r="C210" s="35"/>
      <c r="D210" s="35"/>
      <c r="E210" s="35"/>
      <c r="F210" s="35"/>
      <c r="G210" s="35"/>
      <c r="H210" s="35"/>
      <c r="I210" s="35"/>
      <c r="J210" s="35"/>
      <c r="K210" s="35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35"/>
      <c r="W210" s="35"/>
      <c r="X210" s="35"/>
      <c r="Y210" s="35"/>
      <c r="Z210" s="35"/>
    </row>
    <row r="211" ht="12.75" customHeight="1">
      <c r="A211" s="35"/>
      <c r="B211" s="35"/>
      <c r="C211" s="35"/>
      <c r="D211" s="35"/>
      <c r="E211" s="35"/>
      <c r="F211" s="35"/>
      <c r="G211" s="35"/>
      <c r="H211" s="35"/>
      <c r="I211" s="35"/>
      <c r="J211" s="35"/>
      <c r="K211" s="35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  <c r="Z211" s="35"/>
    </row>
    <row r="212" ht="12.75" customHeight="1">
      <c r="A212" s="35"/>
      <c r="B212" s="35"/>
      <c r="C212" s="35"/>
      <c r="D212" s="35"/>
      <c r="E212" s="35"/>
      <c r="F212" s="35"/>
      <c r="G212" s="35"/>
      <c r="H212" s="35"/>
      <c r="I212" s="35"/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35"/>
    </row>
    <row r="213" ht="12.75" customHeight="1">
      <c r="A213" s="35"/>
      <c r="B213" s="35"/>
      <c r="C213" s="35"/>
      <c r="D213" s="35"/>
      <c r="E213" s="35"/>
      <c r="F213" s="35"/>
      <c r="G213" s="35"/>
      <c r="H213" s="35"/>
      <c r="I213" s="35"/>
      <c r="J213" s="35"/>
      <c r="K213" s="35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  <c r="Z213" s="35"/>
    </row>
    <row r="214" ht="12.75" customHeight="1">
      <c r="A214" s="35"/>
      <c r="B214" s="35"/>
      <c r="C214" s="35"/>
      <c r="D214" s="35"/>
      <c r="E214" s="35"/>
      <c r="F214" s="35"/>
      <c r="G214" s="35"/>
      <c r="H214" s="35"/>
      <c r="I214" s="35"/>
      <c r="J214" s="35"/>
      <c r="K214" s="35"/>
      <c r="L214" s="35"/>
      <c r="M214" s="35"/>
      <c r="N214" s="35"/>
      <c r="O214" s="35"/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5"/>
    </row>
    <row r="215" ht="12.75" customHeight="1">
      <c r="A215" s="35"/>
      <c r="B215" s="35"/>
      <c r="C215" s="35"/>
      <c r="D215" s="35"/>
      <c r="E215" s="35"/>
      <c r="F215" s="35"/>
      <c r="G215" s="35"/>
      <c r="H215" s="35"/>
      <c r="I215" s="35"/>
      <c r="J215" s="35"/>
      <c r="K215" s="35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  <c r="Z215" s="35"/>
    </row>
    <row r="216" ht="12.75" customHeight="1">
      <c r="A216" s="35"/>
      <c r="B216" s="35"/>
      <c r="C216" s="35"/>
      <c r="D216" s="35"/>
      <c r="E216" s="35"/>
      <c r="F216" s="35"/>
      <c r="G216" s="35"/>
      <c r="H216" s="35"/>
      <c r="I216" s="35"/>
      <c r="J216" s="35"/>
      <c r="K216" s="35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35"/>
    </row>
    <row r="217" ht="12.75" customHeight="1">
      <c r="A217" s="35"/>
      <c r="B217" s="35"/>
      <c r="C217" s="35"/>
      <c r="D217" s="35"/>
      <c r="E217" s="35"/>
      <c r="F217" s="35"/>
      <c r="G217" s="35"/>
      <c r="H217" s="35"/>
      <c r="I217" s="35"/>
      <c r="J217" s="35"/>
      <c r="K217" s="35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  <c r="Z217" s="35"/>
    </row>
    <row r="218" ht="12.75" customHeight="1">
      <c r="A218" s="35"/>
      <c r="B218" s="35"/>
      <c r="C218" s="35"/>
      <c r="D218" s="35"/>
      <c r="E218" s="35"/>
      <c r="F218" s="35"/>
      <c r="G218" s="35"/>
      <c r="H218" s="35"/>
      <c r="I218" s="35"/>
      <c r="J218" s="35"/>
      <c r="K218" s="35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35"/>
      <c r="W218" s="35"/>
      <c r="X218" s="35"/>
      <c r="Y218" s="35"/>
      <c r="Z218" s="35"/>
    </row>
    <row r="219" ht="12.75" customHeight="1">
      <c r="A219" s="35"/>
      <c r="B219" s="35"/>
      <c r="C219" s="35"/>
      <c r="D219" s="35"/>
      <c r="E219" s="35"/>
      <c r="F219" s="35"/>
      <c r="G219" s="35"/>
      <c r="H219" s="35"/>
      <c r="I219" s="35"/>
      <c r="J219" s="35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  <c r="Z219" s="35"/>
    </row>
    <row r="220" ht="12.75" customHeight="1">
      <c r="A220" s="35"/>
      <c r="B220" s="35"/>
      <c r="C220" s="35"/>
      <c r="D220" s="35"/>
      <c r="E220" s="35"/>
      <c r="F220" s="35"/>
      <c r="G220" s="35"/>
      <c r="H220" s="35"/>
      <c r="I220" s="35"/>
      <c r="J220" s="35"/>
      <c r="K220" s="35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  <c r="Z220" s="35"/>
    </row>
    <row r="221" ht="12.75" customHeight="1">
      <c r="A221" s="35"/>
      <c r="B221" s="35"/>
      <c r="C221" s="35"/>
      <c r="D221" s="35"/>
      <c r="E221" s="35"/>
      <c r="F221" s="35"/>
      <c r="G221" s="35"/>
      <c r="H221" s="35"/>
      <c r="I221" s="35"/>
      <c r="J221" s="35"/>
      <c r="K221" s="35"/>
      <c r="L221" s="35"/>
      <c r="M221" s="35"/>
      <c r="N221" s="35"/>
      <c r="O221" s="35"/>
      <c r="P221" s="35"/>
      <c r="Q221" s="35"/>
      <c r="R221" s="35"/>
      <c r="S221" s="35"/>
      <c r="T221" s="35"/>
      <c r="U221" s="35"/>
      <c r="V221" s="35"/>
      <c r="W221" s="35"/>
      <c r="X221" s="35"/>
      <c r="Y221" s="35"/>
      <c r="Z221" s="35"/>
    </row>
    <row r="222" ht="12.75" customHeight="1">
      <c r="A222" s="35"/>
      <c r="B222" s="35"/>
      <c r="C222" s="35"/>
      <c r="D222" s="35"/>
      <c r="E222" s="35"/>
      <c r="F222" s="35"/>
      <c r="G222" s="35"/>
      <c r="H222" s="35"/>
      <c r="I222" s="35"/>
      <c r="J222" s="35"/>
      <c r="K222" s="35"/>
      <c r="L222" s="35"/>
      <c r="M222" s="35"/>
      <c r="N222" s="35"/>
      <c r="O222" s="35"/>
      <c r="P222" s="35"/>
      <c r="Q222" s="35"/>
      <c r="R222" s="35"/>
      <c r="S222" s="35"/>
      <c r="T222" s="35"/>
      <c r="U222" s="35"/>
      <c r="V222" s="35"/>
      <c r="W222" s="35"/>
      <c r="X222" s="35"/>
      <c r="Y222" s="35"/>
      <c r="Z222" s="35"/>
    </row>
    <row r="223" ht="12.75" customHeight="1">
      <c r="A223" s="35"/>
      <c r="B223" s="35"/>
      <c r="C223" s="35"/>
      <c r="D223" s="35"/>
      <c r="E223" s="35"/>
      <c r="F223" s="35"/>
      <c r="G223" s="35"/>
      <c r="H223" s="35"/>
      <c r="I223" s="35"/>
      <c r="J223" s="35"/>
      <c r="K223" s="35"/>
      <c r="L223" s="35"/>
      <c r="M223" s="35"/>
      <c r="N223" s="35"/>
      <c r="O223" s="35"/>
      <c r="P223" s="35"/>
      <c r="Q223" s="35"/>
      <c r="R223" s="35"/>
      <c r="S223" s="35"/>
      <c r="T223" s="35"/>
      <c r="U223" s="35"/>
      <c r="V223" s="35"/>
      <c r="W223" s="35"/>
      <c r="X223" s="35"/>
      <c r="Y223" s="35"/>
      <c r="Z223" s="35"/>
    </row>
    <row r="224" ht="12.75" customHeight="1">
      <c r="A224" s="35"/>
      <c r="B224" s="35"/>
      <c r="C224" s="35"/>
      <c r="D224" s="35"/>
      <c r="E224" s="35"/>
      <c r="F224" s="35"/>
      <c r="G224" s="35"/>
      <c r="H224" s="35"/>
      <c r="I224" s="35"/>
      <c r="J224" s="35"/>
      <c r="K224" s="35"/>
      <c r="L224" s="35"/>
      <c r="M224" s="35"/>
      <c r="N224" s="35"/>
      <c r="O224" s="35"/>
      <c r="P224" s="35"/>
      <c r="Q224" s="35"/>
      <c r="R224" s="35"/>
      <c r="S224" s="35"/>
      <c r="T224" s="35"/>
      <c r="U224" s="35"/>
      <c r="V224" s="35"/>
      <c r="W224" s="35"/>
      <c r="X224" s="35"/>
      <c r="Y224" s="35"/>
      <c r="Z224" s="35"/>
    </row>
    <row r="225" ht="12.75" customHeight="1">
      <c r="A225" s="35"/>
      <c r="B225" s="35"/>
      <c r="C225" s="35"/>
      <c r="D225" s="35"/>
      <c r="E225" s="35"/>
      <c r="F225" s="35"/>
      <c r="G225" s="35"/>
      <c r="H225" s="35"/>
      <c r="I225" s="35"/>
      <c r="J225" s="35"/>
      <c r="K225" s="35"/>
      <c r="L225" s="35"/>
      <c r="M225" s="35"/>
      <c r="N225" s="35"/>
      <c r="O225" s="35"/>
      <c r="P225" s="35"/>
      <c r="Q225" s="35"/>
      <c r="R225" s="35"/>
      <c r="S225" s="35"/>
      <c r="T225" s="35"/>
      <c r="U225" s="35"/>
      <c r="V225" s="35"/>
      <c r="W225" s="35"/>
      <c r="X225" s="35"/>
      <c r="Y225" s="35"/>
      <c r="Z225" s="35"/>
    </row>
    <row r="226" ht="12.75" customHeight="1">
      <c r="A226" s="35"/>
      <c r="B226" s="35"/>
      <c r="C226" s="35"/>
      <c r="D226" s="35"/>
      <c r="E226" s="35"/>
      <c r="F226" s="35"/>
      <c r="G226" s="35"/>
      <c r="H226" s="35"/>
      <c r="I226" s="35"/>
      <c r="J226" s="35"/>
      <c r="K226" s="35"/>
      <c r="L226" s="35"/>
      <c r="M226" s="35"/>
      <c r="N226" s="35"/>
      <c r="O226" s="35"/>
      <c r="P226" s="35"/>
      <c r="Q226" s="35"/>
      <c r="R226" s="35"/>
      <c r="S226" s="35"/>
      <c r="T226" s="35"/>
      <c r="U226" s="35"/>
      <c r="V226" s="35"/>
      <c r="W226" s="35"/>
      <c r="X226" s="35"/>
      <c r="Y226" s="35"/>
      <c r="Z226" s="35"/>
    </row>
    <row r="227" ht="12.75" customHeight="1">
      <c r="A227" s="35"/>
      <c r="B227" s="35"/>
      <c r="C227" s="35"/>
      <c r="D227" s="35"/>
      <c r="E227" s="35"/>
      <c r="F227" s="35"/>
      <c r="G227" s="35"/>
      <c r="H227" s="35"/>
      <c r="I227" s="35"/>
      <c r="J227" s="35"/>
      <c r="K227" s="35"/>
      <c r="L227" s="35"/>
      <c r="M227" s="35"/>
      <c r="N227" s="35"/>
      <c r="O227" s="35"/>
      <c r="P227" s="35"/>
      <c r="Q227" s="35"/>
      <c r="R227" s="35"/>
      <c r="S227" s="35"/>
      <c r="T227" s="35"/>
      <c r="U227" s="35"/>
      <c r="V227" s="35"/>
      <c r="W227" s="35"/>
      <c r="X227" s="35"/>
      <c r="Y227" s="35"/>
      <c r="Z227" s="35"/>
    </row>
    <row r="228" ht="12.75" customHeight="1">
      <c r="A228" s="35"/>
      <c r="B228" s="35"/>
      <c r="C228" s="35"/>
      <c r="D228" s="35"/>
      <c r="E228" s="35"/>
      <c r="F228" s="35"/>
      <c r="G228" s="35"/>
      <c r="H228" s="35"/>
      <c r="I228" s="35"/>
      <c r="J228" s="35"/>
      <c r="K228" s="35"/>
      <c r="L228" s="35"/>
      <c r="M228" s="35"/>
      <c r="N228" s="35"/>
      <c r="O228" s="35"/>
      <c r="P228" s="35"/>
      <c r="Q228" s="35"/>
      <c r="R228" s="35"/>
      <c r="S228" s="35"/>
      <c r="T228" s="35"/>
      <c r="U228" s="35"/>
      <c r="V228" s="35"/>
      <c r="W228" s="35"/>
      <c r="X228" s="35"/>
      <c r="Y228" s="35"/>
      <c r="Z228" s="35"/>
    </row>
    <row r="229" ht="12.75" customHeight="1">
      <c r="A229" s="35"/>
      <c r="B229" s="35"/>
      <c r="C229" s="35"/>
      <c r="D229" s="35"/>
      <c r="E229" s="35"/>
      <c r="F229" s="35"/>
      <c r="G229" s="35"/>
      <c r="H229" s="35"/>
      <c r="I229" s="35"/>
      <c r="J229" s="35"/>
      <c r="K229" s="35"/>
      <c r="L229" s="35"/>
      <c r="M229" s="35"/>
      <c r="N229" s="35"/>
      <c r="O229" s="35"/>
      <c r="P229" s="35"/>
      <c r="Q229" s="35"/>
      <c r="R229" s="35"/>
      <c r="S229" s="35"/>
      <c r="T229" s="35"/>
      <c r="U229" s="35"/>
      <c r="V229" s="35"/>
      <c r="W229" s="35"/>
      <c r="X229" s="35"/>
      <c r="Y229" s="35"/>
      <c r="Z229" s="35"/>
    </row>
    <row r="230" ht="12.75" customHeight="1">
      <c r="A230" s="35"/>
      <c r="B230" s="35"/>
      <c r="C230" s="35"/>
      <c r="D230" s="35"/>
      <c r="E230" s="35"/>
      <c r="F230" s="35"/>
      <c r="G230" s="35"/>
      <c r="H230" s="35"/>
      <c r="I230" s="35"/>
      <c r="J230" s="35"/>
      <c r="K230" s="35"/>
      <c r="L230" s="35"/>
      <c r="M230" s="35"/>
      <c r="N230" s="35"/>
      <c r="O230" s="35"/>
      <c r="P230" s="35"/>
      <c r="Q230" s="35"/>
      <c r="R230" s="35"/>
      <c r="S230" s="35"/>
      <c r="T230" s="35"/>
      <c r="U230" s="35"/>
      <c r="V230" s="35"/>
      <c r="W230" s="35"/>
      <c r="X230" s="35"/>
      <c r="Y230" s="35"/>
      <c r="Z230" s="35"/>
    </row>
    <row r="231" ht="12.75" customHeight="1">
      <c r="A231" s="35"/>
      <c r="B231" s="35"/>
      <c r="C231" s="35"/>
      <c r="D231" s="35"/>
      <c r="E231" s="35"/>
      <c r="F231" s="35"/>
      <c r="G231" s="35"/>
      <c r="H231" s="35"/>
      <c r="I231" s="35"/>
      <c r="J231" s="35"/>
      <c r="K231" s="35"/>
      <c r="L231" s="35"/>
      <c r="M231" s="35"/>
      <c r="N231" s="35"/>
      <c r="O231" s="35"/>
      <c r="P231" s="35"/>
      <c r="Q231" s="35"/>
      <c r="R231" s="35"/>
      <c r="S231" s="35"/>
      <c r="T231" s="35"/>
      <c r="U231" s="35"/>
      <c r="V231" s="35"/>
      <c r="W231" s="35"/>
      <c r="X231" s="35"/>
      <c r="Y231" s="35"/>
      <c r="Z231" s="35"/>
    </row>
    <row r="232" ht="12.75" customHeight="1">
      <c r="A232" s="35"/>
      <c r="B232" s="35"/>
      <c r="C232" s="35"/>
      <c r="D232" s="35"/>
      <c r="E232" s="35"/>
      <c r="F232" s="35"/>
      <c r="G232" s="35"/>
      <c r="H232" s="35"/>
      <c r="I232" s="35"/>
      <c r="J232" s="35"/>
      <c r="K232" s="35"/>
      <c r="L232" s="35"/>
      <c r="M232" s="35"/>
      <c r="N232" s="35"/>
      <c r="O232" s="35"/>
      <c r="P232" s="35"/>
      <c r="Q232" s="35"/>
      <c r="R232" s="35"/>
      <c r="S232" s="35"/>
      <c r="T232" s="35"/>
      <c r="U232" s="35"/>
      <c r="V232" s="35"/>
      <c r="W232" s="35"/>
      <c r="X232" s="35"/>
      <c r="Y232" s="35"/>
      <c r="Z232" s="35"/>
    </row>
    <row r="233" ht="12.75" customHeight="1">
      <c r="A233" s="35"/>
      <c r="B233" s="35"/>
      <c r="C233" s="35"/>
      <c r="D233" s="35"/>
      <c r="E233" s="35"/>
      <c r="F233" s="35"/>
      <c r="G233" s="35"/>
      <c r="H233" s="35"/>
      <c r="I233" s="35"/>
      <c r="J233" s="35"/>
      <c r="K233" s="35"/>
      <c r="L233" s="35"/>
      <c r="M233" s="35"/>
      <c r="N233" s="35"/>
      <c r="O233" s="35"/>
      <c r="P233" s="35"/>
      <c r="Q233" s="35"/>
      <c r="R233" s="35"/>
      <c r="S233" s="35"/>
      <c r="T233" s="35"/>
      <c r="U233" s="35"/>
      <c r="V233" s="35"/>
      <c r="W233" s="35"/>
      <c r="X233" s="35"/>
      <c r="Y233" s="35"/>
      <c r="Z233" s="35"/>
    </row>
    <row r="234" ht="12.75" customHeight="1">
      <c r="A234" s="35"/>
      <c r="B234" s="35"/>
      <c r="C234" s="35"/>
      <c r="D234" s="35"/>
      <c r="E234" s="35"/>
      <c r="F234" s="35"/>
      <c r="G234" s="35"/>
      <c r="H234" s="35"/>
      <c r="I234" s="35"/>
      <c r="J234" s="35"/>
      <c r="K234" s="35"/>
      <c r="L234" s="35"/>
      <c r="M234" s="35"/>
      <c r="N234" s="35"/>
      <c r="O234" s="35"/>
      <c r="P234" s="35"/>
      <c r="Q234" s="35"/>
      <c r="R234" s="35"/>
      <c r="S234" s="35"/>
      <c r="T234" s="35"/>
      <c r="U234" s="35"/>
      <c r="V234" s="35"/>
      <c r="W234" s="35"/>
      <c r="X234" s="35"/>
      <c r="Y234" s="35"/>
      <c r="Z234" s="35"/>
    </row>
    <row r="235" ht="12.75" customHeight="1">
      <c r="A235" s="35"/>
      <c r="B235" s="35"/>
      <c r="C235" s="35"/>
      <c r="D235" s="35"/>
      <c r="E235" s="35"/>
      <c r="F235" s="35"/>
      <c r="G235" s="35"/>
      <c r="H235" s="35"/>
      <c r="I235" s="35"/>
      <c r="J235" s="35"/>
      <c r="K235" s="35"/>
      <c r="L235" s="35"/>
      <c r="M235" s="35"/>
      <c r="N235" s="35"/>
      <c r="O235" s="35"/>
      <c r="P235" s="35"/>
      <c r="Q235" s="35"/>
      <c r="R235" s="35"/>
      <c r="S235" s="35"/>
      <c r="T235" s="35"/>
      <c r="U235" s="35"/>
      <c r="V235" s="35"/>
      <c r="W235" s="35"/>
      <c r="X235" s="35"/>
      <c r="Y235" s="35"/>
      <c r="Z235" s="35"/>
    </row>
    <row r="236" ht="12.75" customHeight="1">
      <c r="A236" s="35"/>
      <c r="B236" s="35"/>
      <c r="C236" s="35"/>
      <c r="D236" s="35"/>
      <c r="E236" s="35"/>
      <c r="F236" s="35"/>
      <c r="G236" s="35"/>
      <c r="H236" s="35"/>
      <c r="I236" s="35"/>
      <c r="J236" s="35"/>
      <c r="K236" s="35"/>
      <c r="L236" s="35"/>
      <c r="M236" s="35"/>
      <c r="N236" s="35"/>
      <c r="O236" s="35"/>
      <c r="P236" s="35"/>
      <c r="Q236" s="35"/>
      <c r="R236" s="35"/>
      <c r="S236" s="35"/>
      <c r="T236" s="35"/>
      <c r="U236" s="35"/>
      <c r="V236" s="35"/>
      <c r="W236" s="35"/>
      <c r="X236" s="35"/>
      <c r="Y236" s="35"/>
      <c r="Z236" s="35"/>
    </row>
    <row r="237" ht="12.75" customHeight="1">
      <c r="A237" s="35"/>
      <c r="B237" s="35"/>
      <c r="C237" s="35"/>
      <c r="D237" s="35"/>
      <c r="E237" s="35"/>
      <c r="F237" s="35"/>
      <c r="G237" s="35"/>
      <c r="H237" s="35"/>
      <c r="I237" s="35"/>
      <c r="J237" s="35"/>
      <c r="K237" s="35"/>
      <c r="L237" s="35"/>
      <c r="M237" s="35"/>
      <c r="N237" s="35"/>
      <c r="O237" s="35"/>
      <c r="P237" s="35"/>
      <c r="Q237" s="35"/>
      <c r="R237" s="35"/>
      <c r="S237" s="35"/>
      <c r="T237" s="35"/>
      <c r="U237" s="35"/>
      <c r="V237" s="35"/>
      <c r="W237" s="35"/>
      <c r="X237" s="35"/>
      <c r="Y237" s="35"/>
      <c r="Z237" s="35"/>
    </row>
    <row r="238" ht="12.75" customHeight="1">
      <c r="A238" s="35"/>
      <c r="B238" s="35"/>
      <c r="C238" s="35"/>
      <c r="D238" s="35"/>
      <c r="E238" s="35"/>
      <c r="F238" s="35"/>
      <c r="G238" s="35"/>
      <c r="H238" s="35"/>
      <c r="I238" s="35"/>
      <c r="J238" s="35"/>
      <c r="K238" s="35"/>
      <c r="L238" s="35"/>
      <c r="M238" s="35"/>
      <c r="N238" s="35"/>
      <c r="O238" s="35"/>
      <c r="P238" s="35"/>
      <c r="Q238" s="35"/>
      <c r="R238" s="35"/>
      <c r="S238" s="35"/>
      <c r="T238" s="35"/>
      <c r="U238" s="35"/>
      <c r="V238" s="35"/>
      <c r="W238" s="35"/>
      <c r="X238" s="35"/>
      <c r="Y238" s="35"/>
      <c r="Z238" s="35"/>
    </row>
    <row r="239" ht="12.75" customHeight="1">
      <c r="A239" s="35"/>
      <c r="B239" s="35"/>
      <c r="C239" s="35"/>
      <c r="D239" s="35"/>
      <c r="E239" s="35"/>
      <c r="F239" s="35"/>
      <c r="G239" s="35"/>
      <c r="H239" s="35"/>
      <c r="I239" s="35"/>
      <c r="J239" s="35"/>
      <c r="K239" s="35"/>
      <c r="L239" s="35"/>
      <c r="M239" s="35"/>
      <c r="N239" s="35"/>
      <c r="O239" s="35"/>
      <c r="P239" s="35"/>
      <c r="Q239" s="35"/>
      <c r="R239" s="35"/>
      <c r="S239" s="35"/>
      <c r="T239" s="35"/>
      <c r="U239" s="35"/>
      <c r="V239" s="35"/>
      <c r="W239" s="35"/>
      <c r="X239" s="35"/>
      <c r="Y239" s="35"/>
      <c r="Z239" s="35"/>
    </row>
    <row r="240" ht="12.75" customHeight="1">
      <c r="A240" s="35"/>
      <c r="B240" s="35"/>
      <c r="C240" s="35"/>
      <c r="D240" s="35"/>
      <c r="E240" s="35"/>
      <c r="F240" s="35"/>
      <c r="G240" s="35"/>
      <c r="H240" s="35"/>
      <c r="I240" s="35"/>
      <c r="J240" s="35"/>
      <c r="K240" s="35"/>
      <c r="L240" s="35"/>
      <c r="M240" s="35"/>
      <c r="N240" s="35"/>
      <c r="O240" s="35"/>
      <c r="P240" s="35"/>
      <c r="Q240" s="35"/>
      <c r="R240" s="35"/>
      <c r="S240" s="35"/>
      <c r="T240" s="35"/>
      <c r="U240" s="35"/>
      <c r="V240" s="35"/>
      <c r="W240" s="35"/>
      <c r="X240" s="35"/>
      <c r="Y240" s="35"/>
      <c r="Z240" s="35"/>
    </row>
    <row r="241" ht="12.75" customHeight="1">
      <c r="A241" s="35"/>
      <c r="B241" s="35"/>
      <c r="C241" s="35"/>
      <c r="D241" s="35"/>
      <c r="E241" s="35"/>
      <c r="F241" s="35"/>
      <c r="G241" s="35"/>
      <c r="H241" s="35"/>
      <c r="I241" s="35"/>
      <c r="J241" s="35"/>
      <c r="K241" s="35"/>
      <c r="L241" s="35"/>
      <c r="M241" s="35"/>
      <c r="N241" s="35"/>
      <c r="O241" s="35"/>
      <c r="P241" s="35"/>
      <c r="Q241" s="35"/>
      <c r="R241" s="35"/>
      <c r="S241" s="35"/>
      <c r="T241" s="35"/>
      <c r="U241" s="35"/>
      <c r="V241" s="35"/>
      <c r="W241" s="35"/>
      <c r="X241" s="35"/>
      <c r="Y241" s="35"/>
      <c r="Z241" s="35"/>
    </row>
    <row r="242" ht="12.75" customHeight="1">
      <c r="A242" s="35"/>
      <c r="B242" s="35"/>
      <c r="C242" s="35"/>
      <c r="D242" s="35"/>
      <c r="E242" s="35"/>
      <c r="F242" s="35"/>
      <c r="G242" s="35"/>
      <c r="H242" s="35"/>
      <c r="I242" s="35"/>
      <c r="J242" s="35"/>
      <c r="K242" s="35"/>
      <c r="L242" s="35"/>
      <c r="M242" s="35"/>
      <c r="N242" s="35"/>
      <c r="O242" s="35"/>
      <c r="P242" s="35"/>
      <c r="Q242" s="35"/>
      <c r="R242" s="35"/>
      <c r="S242" s="35"/>
      <c r="T242" s="35"/>
      <c r="U242" s="35"/>
      <c r="V242" s="35"/>
      <c r="W242" s="35"/>
      <c r="X242" s="35"/>
      <c r="Y242" s="35"/>
      <c r="Z242" s="35"/>
    </row>
    <row r="243" ht="12.75" customHeight="1">
      <c r="A243" s="35"/>
      <c r="B243" s="35"/>
      <c r="C243" s="35"/>
      <c r="D243" s="35"/>
      <c r="E243" s="35"/>
      <c r="F243" s="35"/>
      <c r="G243" s="35"/>
      <c r="H243" s="35"/>
      <c r="I243" s="35"/>
      <c r="J243" s="35"/>
      <c r="K243" s="35"/>
      <c r="L243" s="35"/>
      <c r="M243" s="35"/>
      <c r="N243" s="35"/>
      <c r="O243" s="35"/>
      <c r="P243" s="35"/>
      <c r="Q243" s="35"/>
      <c r="R243" s="35"/>
      <c r="S243" s="35"/>
      <c r="T243" s="35"/>
      <c r="U243" s="35"/>
      <c r="V243" s="35"/>
      <c r="W243" s="35"/>
      <c r="X243" s="35"/>
      <c r="Y243" s="35"/>
      <c r="Z243" s="35"/>
    </row>
    <row r="244" ht="12.75" customHeight="1">
      <c r="A244" s="35"/>
      <c r="B244" s="35"/>
      <c r="C244" s="35"/>
      <c r="D244" s="35"/>
      <c r="E244" s="35"/>
      <c r="F244" s="35"/>
      <c r="G244" s="35"/>
      <c r="H244" s="35"/>
      <c r="I244" s="35"/>
      <c r="J244" s="35"/>
      <c r="K244" s="35"/>
      <c r="L244" s="35"/>
      <c r="M244" s="35"/>
      <c r="N244" s="35"/>
      <c r="O244" s="35"/>
      <c r="P244" s="35"/>
      <c r="Q244" s="35"/>
      <c r="R244" s="35"/>
      <c r="S244" s="35"/>
      <c r="T244" s="35"/>
      <c r="U244" s="35"/>
      <c r="V244" s="35"/>
      <c r="W244" s="35"/>
      <c r="X244" s="35"/>
      <c r="Y244" s="35"/>
      <c r="Z244" s="35"/>
    </row>
    <row r="245" ht="12.75" customHeight="1">
      <c r="A245" s="35"/>
      <c r="B245" s="35"/>
      <c r="C245" s="35"/>
      <c r="D245" s="35"/>
      <c r="E245" s="35"/>
      <c r="F245" s="35"/>
      <c r="G245" s="35"/>
      <c r="H245" s="35"/>
      <c r="I245" s="35"/>
      <c r="J245" s="35"/>
      <c r="K245" s="35"/>
      <c r="L245" s="35"/>
      <c r="M245" s="35"/>
      <c r="N245" s="35"/>
      <c r="O245" s="35"/>
      <c r="P245" s="35"/>
      <c r="Q245" s="35"/>
      <c r="R245" s="35"/>
      <c r="S245" s="35"/>
      <c r="T245" s="35"/>
      <c r="U245" s="35"/>
      <c r="V245" s="35"/>
      <c r="W245" s="35"/>
      <c r="X245" s="35"/>
      <c r="Y245" s="35"/>
      <c r="Z245" s="35"/>
    </row>
    <row r="246" ht="12.75" customHeight="1">
      <c r="A246" s="35"/>
      <c r="B246" s="35"/>
      <c r="C246" s="35"/>
      <c r="D246" s="35"/>
      <c r="E246" s="35"/>
      <c r="F246" s="35"/>
      <c r="G246" s="35"/>
      <c r="H246" s="35"/>
      <c r="I246" s="35"/>
      <c r="J246" s="35"/>
      <c r="K246" s="35"/>
      <c r="L246" s="35"/>
      <c r="M246" s="35"/>
      <c r="N246" s="35"/>
      <c r="O246" s="35"/>
      <c r="P246" s="35"/>
      <c r="Q246" s="35"/>
      <c r="R246" s="35"/>
      <c r="S246" s="35"/>
      <c r="T246" s="35"/>
      <c r="U246" s="35"/>
      <c r="V246" s="35"/>
      <c r="W246" s="35"/>
      <c r="X246" s="35"/>
      <c r="Y246" s="35"/>
      <c r="Z246" s="35"/>
    </row>
    <row r="247" ht="12.75" customHeight="1">
      <c r="A247" s="35"/>
      <c r="B247" s="35"/>
      <c r="C247" s="35"/>
      <c r="D247" s="35"/>
      <c r="E247" s="35"/>
      <c r="F247" s="35"/>
      <c r="G247" s="35"/>
      <c r="H247" s="35"/>
      <c r="I247" s="35"/>
      <c r="J247" s="35"/>
      <c r="K247" s="35"/>
      <c r="L247" s="35"/>
      <c r="M247" s="35"/>
      <c r="N247" s="35"/>
      <c r="O247" s="35"/>
      <c r="P247" s="35"/>
      <c r="Q247" s="35"/>
      <c r="R247" s="35"/>
      <c r="S247" s="35"/>
      <c r="T247" s="35"/>
      <c r="U247" s="35"/>
      <c r="V247" s="35"/>
      <c r="W247" s="35"/>
      <c r="X247" s="35"/>
      <c r="Y247" s="35"/>
      <c r="Z247" s="35"/>
    </row>
    <row r="248" ht="12.75" customHeight="1">
      <c r="A248" s="35"/>
      <c r="B248" s="35"/>
      <c r="C248" s="35"/>
      <c r="D248" s="35"/>
      <c r="E248" s="35"/>
      <c r="F248" s="35"/>
      <c r="G248" s="35"/>
      <c r="H248" s="35"/>
      <c r="I248" s="35"/>
      <c r="J248" s="35"/>
      <c r="K248" s="35"/>
      <c r="L248" s="35"/>
      <c r="M248" s="35"/>
      <c r="N248" s="35"/>
      <c r="O248" s="35"/>
      <c r="P248" s="35"/>
      <c r="Q248" s="35"/>
      <c r="R248" s="35"/>
      <c r="S248" s="35"/>
      <c r="T248" s="35"/>
      <c r="U248" s="35"/>
      <c r="V248" s="35"/>
      <c r="W248" s="35"/>
      <c r="X248" s="35"/>
      <c r="Y248" s="35"/>
      <c r="Z248" s="35"/>
    </row>
    <row r="249" ht="12.75" customHeight="1">
      <c r="A249" s="35"/>
      <c r="B249" s="35"/>
      <c r="C249" s="35"/>
      <c r="D249" s="35"/>
      <c r="E249" s="35"/>
      <c r="F249" s="35"/>
      <c r="G249" s="35"/>
      <c r="H249" s="35"/>
      <c r="I249" s="35"/>
      <c r="J249" s="35"/>
      <c r="K249" s="35"/>
      <c r="L249" s="35"/>
      <c r="M249" s="35"/>
      <c r="N249" s="35"/>
      <c r="O249" s="35"/>
      <c r="P249" s="35"/>
      <c r="Q249" s="35"/>
      <c r="R249" s="35"/>
      <c r="S249" s="35"/>
      <c r="T249" s="35"/>
      <c r="U249" s="35"/>
      <c r="V249" s="35"/>
      <c r="W249" s="35"/>
      <c r="X249" s="35"/>
      <c r="Y249" s="35"/>
      <c r="Z249" s="35"/>
    </row>
    <row r="250" ht="12.75" customHeight="1">
      <c r="A250" s="35"/>
      <c r="B250" s="35"/>
      <c r="C250" s="35"/>
      <c r="D250" s="35"/>
      <c r="E250" s="35"/>
      <c r="F250" s="35"/>
      <c r="G250" s="35"/>
      <c r="H250" s="35"/>
      <c r="I250" s="35"/>
      <c r="J250" s="35"/>
      <c r="K250" s="35"/>
      <c r="L250" s="35"/>
      <c r="M250" s="35"/>
      <c r="N250" s="35"/>
      <c r="O250" s="35"/>
      <c r="P250" s="35"/>
      <c r="Q250" s="35"/>
      <c r="R250" s="35"/>
      <c r="S250" s="35"/>
      <c r="T250" s="35"/>
      <c r="U250" s="35"/>
      <c r="V250" s="35"/>
      <c r="W250" s="35"/>
      <c r="X250" s="35"/>
      <c r="Y250" s="35"/>
      <c r="Z250" s="35"/>
    </row>
    <row r="251" ht="12.75" customHeight="1">
      <c r="A251" s="35"/>
      <c r="B251" s="35"/>
      <c r="C251" s="35"/>
      <c r="D251" s="35"/>
      <c r="E251" s="35"/>
      <c r="F251" s="35"/>
      <c r="G251" s="35"/>
      <c r="H251" s="35"/>
      <c r="I251" s="35"/>
      <c r="J251" s="35"/>
      <c r="K251" s="35"/>
      <c r="L251" s="35"/>
      <c r="M251" s="35"/>
      <c r="N251" s="35"/>
      <c r="O251" s="35"/>
      <c r="P251" s="35"/>
      <c r="Q251" s="35"/>
      <c r="R251" s="35"/>
      <c r="S251" s="35"/>
      <c r="T251" s="35"/>
      <c r="U251" s="35"/>
      <c r="V251" s="35"/>
      <c r="W251" s="35"/>
      <c r="X251" s="35"/>
      <c r="Y251" s="35"/>
      <c r="Z251" s="35"/>
    </row>
    <row r="252" ht="12.75" customHeight="1">
      <c r="A252" s="35"/>
      <c r="B252" s="35"/>
      <c r="C252" s="35"/>
      <c r="D252" s="35"/>
      <c r="E252" s="35"/>
      <c r="F252" s="35"/>
      <c r="G252" s="35"/>
      <c r="H252" s="35"/>
      <c r="I252" s="35"/>
      <c r="J252" s="35"/>
      <c r="K252" s="35"/>
      <c r="L252" s="35"/>
      <c r="M252" s="35"/>
      <c r="N252" s="35"/>
      <c r="O252" s="35"/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5"/>
    </row>
    <row r="253" ht="12.75" customHeight="1">
      <c r="A253" s="35"/>
      <c r="B253" s="35"/>
      <c r="C253" s="35"/>
      <c r="D253" s="35"/>
      <c r="E253" s="35"/>
      <c r="F253" s="35"/>
      <c r="G253" s="35"/>
      <c r="H253" s="35"/>
      <c r="I253" s="35"/>
      <c r="J253" s="35"/>
      <c r="K253" s="35"/>
      <c r="L253" s="35"/>
      <c r="M253" s="35"/>
      <c r="N253" s="35"/>
      <c r="O253" s="35"/>
      <c r="P253" s="35"/>
      <c r="Q253" s="35"/>
      <c r="R253" s="35"/>
      <c r="S253" s="35"/>
      <c r="T253" s="35"/>
      <c r="U253" s="35"/>
      <c r="V253" s="35"/>
      <c r="W253" s="35"/>
      <c r="X253" s="35"/>
      <c r="Y253" s="35"/>
      <c r="Z253" s="35"/>
    </row>
    <row r="254" ht="12.75" customHeight="1">
      <c r="A254" s="35"/>
      <c r="B254" s="35"/>
      <c r="C254" s="35"/>
      <c r="D254" s="35"/>
      <c r="E254" s="35"/>
      <c r="F254" s="35"/>
      <c r="G254" s="35"/>
      <c r="H254" s="35"/>
      <c r="I254" s="35"/>
      <c r="J254" s="35"/>
      <c r="K254" s="35"/>
      <c r="L254" s="35"/>
      <c r="M254" s="35"/>
      <c r="N254" s="35"/>
      <c r="O254" s="35"/>
      <c r="P254" s="35"/>
      <c r="Q254" s="35"/>
      <c r="R254" s="35"/>
      <c r="S254" s="35"/>
      <c r="T254" s="35"/>
      <c r="U254" s="35"/>
      <c r="V254" s="35"/>
      <c r="W254" s="35"/>
      <c r="X254" s="35"/>
      <c r="Y254" s="35"/>
      <c r="Z254" s="35"/>
    </row>
    <row r="255" ht="12.75" customHeight="1">
      <c r="A255" s="35"/>
      <c r="B255" s="35"/>
      <c r="C255" s="35"/>
      <c r="D255" s="35"/>
      <c r="E255" s="35"/>
      <c r="F255" s="35"/>
      <c r="G255" s="35"/>
      <c r="H255" s="35"/>
      <c r="I255" s="35"/>
      <c r="J255" s="35"/>
      <c r="K255" s="35"/>
      <c r="L255" s="35"/>
      <c r="M255" s="35"/>
      <c r="N255" s="35"/>
      <c r="O255" s="35"/>
      <c r="P255" s="35"/>
      <c r="Q255" s="35"/>
      <c r="R255" s="35"/>
      <c r="S255" s="35"/>
      <c r="T255" s="35"/>
      <c r="U255" s="35"/>
      <c r="V255" s="35"/>
      <c r="W255" s="35"/>
      <c r="X255" s="35"/>
      <c r="Y255" s="35"/>
      <c r="Z255" s="35"/>
    </row>
    <row r="256" ht="12.75" customHeight="1">
      <c r="A256" s="35"/>
      <c r="B256" s="35"/>
      <c r="C256" s="35"/>
      <c r="D256" s="35"/>
      <c r="E256" s="35"/>
      <c r="F256" s="35"/>
      <c r="G256" s="35"/>
      <c r="H256" s="35"/>
      <c r="I256" s="35"/>
      <c r="J256" s="35"/>
      <c r="K256" s="35"/>
      <c r="L256" s="35"/>
      <c r="M256" s="35"/>
      <c r="N256" s="35"/>
      <c r="O256" s="35"/>
      <c r="P256" s="35"/>
      <c r="Q256" s="35"/>
      <c r="R256" s="35"/>
      <c r="S256" s="35"/>
      <c r="T256" s="35"/>
      <c r="U256" s="35"/>
      <c r="V256" s="35"/>
      <c r="W256" s="35"/>
      <c r="X256" s="35"/>
      <c r="Y256" s="35"/>
      <c r="Z256" s="35"/>
    </row>
    <row r="257" ht="12.75" customHeight="1">
      <c r="A257" s="35"/>
      <c r="B257" s="35"/>
      <c r="C257" s="35"/>
      <c r="D257" s="35"/>
      <c r="E257" s="35"/>
      <c r="F257" s="35"/>
      <c r="G257" s="35"/>
      <c r="H257" s="35"/>
      <c r="I257" s="35"/>
      <c r="J257" s="35"/>
      <c r="K257" s="35"/>
      <c r="L257" s="35"/>
      <c r="M257" s="35"/>
      <c r="N257" s="35"/>
      <c r="O257" s="35"/>
      <c r="P257" s="35"/>
      <c r="Q257" s="35"/>
      <c r="R257" s="35"/>
      <c r="S257" s="35"/>
      <c r="T257" s="35"/>
      <c r="U257" s="35"/>
      <c r="V257" s="35"/>
      <c r="W257" s="35"/>
      <c r="X257" s="35"/>
      <c r="Y257" s="35"/>
      <c r="Z257" s="35"/>
    </row>
    <row r="258" ht="12.75" customHeight="1">
      <c r="A258" s="35"/>
      <c r="B258" s="35"/>
      <c r="C258" s="35"/>
      <c r="D258" s="35"/>
      <c r="E258" s="35"/>
      <c r="F258" s="35"/>
      <c r="G258" s="35"/>
      <c r="H258" s="35"/>
      <c r="I258" s="35"/>
      <c r="J258" s="35"/>
      <c r="K258" s="35"/>
      <c r="L258" s="35"/>
      <c r="M258" s="35"/>
      <c r="N258" s="35"/>
      <c r="O258" s="35"/>
      <c r="P258" s="35"/>
      <c r="Q258" s="35"/>
      <c r="R258" s="35"/>
      <c r="S258" s="35"/>
      <c r="T258" s="35"/>
      <c r="U258" s="35"/>
      <c r="V258" s="35"/>
      <c r="W258" s="35"/>
      <c r="X258" s="35"/>
      <c r="Y258" s="35"/>
      <c r="Z258" s="35"/>
    </row>
    <row r="259" ht="12.75" customHeight="1">
      <c r="A259" s="35"/>
      <c r="B259" s="35"/>
      <c r="C259" s="35"/>
      <c r="D259" s="35"/>
      <c r="E259" s="35"/>
      <c r="F259" s="35"/>
      <c r="G259" s="35"/>
      <c r="H259" s="35"/>
      <c r="I259" s="35"/>
      <c r="J259" s="35"/>
      <c r="K259" s="35"/>
      <c r="L259" s="35"/>
      <c r="M259" s="35"/>
      <c r="N259" s="35"/>
      <c r="O259" s="35"/>
      <c r="P259" s="35"/>
      <c r="Q259" s="35"/>
      <c r="R259" s="35"/>
      <c r="S259" s="35"/>
      <c r="T259" s="35"/>
      <c r="U259" s="35"/>
      <c r="V259" s="35"/>
      <c r="W259" s="35"/>
      <c r="X259" s="35"/>
      <c r="Y259" s="35"/>
      <c r="Z259" s="35"/>
    </row>
    <row r="260" ht="12.75" customHeight="1">
      <c r="A260" s="35"/>
      <c r="B260" s="35"/>
      <c r="C260" s="35"/>
      <c r="D260" s="35"/>
      <c r="E260" s="35"/>
      <c r="F260" s="35"/>
      <c r="G260" s="35"/>
      <c r="H260" s="35"/>
      <c r="I260" s="35"/>
      <c r="J260" s="35"/>
      <c r="K260" s="35"/>
      <c r="L260" s="35"/>
      <c r="M260" s="35"/>
      <c r="N260" s="35"/>
      <c r="O260" s="35"/>
      <c r="P260" s="35"/>
      <c r="Q260" s="35"/>
      <c r="R260" s="35"/>
      <c r="S260" s="35"/>
      <c r="T260" s="35"/>
      <c r="U260" s="35"/>
      <c r="V260" s="35"/>
      <c r="W260" s="35"/>
      <c r="X260" s="35"/>
      <c r="Y260" s="35"/>
      <c r="Z260" s="35"/>
    </row>
    <row r="261" ht="12.75" customHeight="1">
      <c r="A261" s="35"/>
      <c r="B261" s="35"/>
      <c r="C261" s="35"/>
      <c r="D261" s="35"/>
      <c r="E261" s="35"/>
      <c r="F261" s="35"/>
      <c r="G261" s="35"/>
      <c r="H261" s="35"/>
      <c r="I261" s="35"/>
      <c r="J261" s="35"/>
      <c r="K261" s="35"/>
      <c r="L261" s="35"/>
      <c r="M261" s="35"/>
      <c r="N261" s="35"/>
      <c r="O261" s="35"/>
      <c r="P261" s="35"/>
      <c r="Q261" s="35"/>
      <c r="R261" s="35"/>
      <c r="S261" s="35"/>
      <c r="T261" s="35"/>
      <c r="U261" s="35"/>
      <c r="V261" s="35"/>
      <c r="W261" s="35"/>
      <c r="X261" s="35"/>
      <c r="Y261" s="35"/>
      <c r="Z261" s="35"/>
    </row>
    <row r="262" ht="12.75" customHeight="1">
      <c r="A262" s="35"/>
      <c r="B262" s="35"/>
      <c r="C262" s="35"/>
      <c r="D262" s="35"/>
      <c r="E262" s="35"/>
      <c r="F262" s="35"/>
      <c r="G262" s="35"/>
      <c r="H262" s="35"/>
      <c r="I262" s="35"/>
      <c r="J262" s="35"/>
      <c r="K262" s="35"/>
      <c r="L262" s="35"/>
      <c r="M262" s="35"/>
      <c r="N262" s="35"/>
      <c r="O262" s="35"/>
      <c r="P262" s="35"/>
      <c r="Q262" s="35"/>
      <c r="R262" s="35"/>
      <c r="S262" s="35"/>
      <c r="T262" s="35"/>
      <c r="U262" s="35"/>
      <c r="V262" s="35"/>
      <c r="W262" s="35"/>
      <c r="X262" s="35"/>
      <c r="Y262" s="35"/>
      <c r="Z262" s="35"/>
    </row>
    <row r="263" ht="12.75" customHeight="1">
      <c r="A263" s="35"/>
      <c r="B263" s="35"/>
      <c r="C263" s="35"/>
      <c r="D263" s="35"/>
      <c r="E263" s="35"/>
      <c r="F263" s="35"/>
      <c r="G263" s="35"/>
      <c r="H263" s="35"/>
      <c r="I263" s="35"/>
      <c r="J263" s="35"/>
      <c r="K263" s="35"/>
      <c r="L263" s="35"/>
      <c r="M263" s="35"/>
      <c r="N263" s="35"/>
      <c r="O263" s="35"/>
      <c r="P263" s="35"/>
      <c r="Q263" s="35"/>
      <c r="R263" s="35"/>
      <c r="S263" s="35"/>
      <c r="T263" s="35"/>
      <c r="U263" s="35"/>
      <c r="V263" s="35"/>
      <c r="W263" s="35"/>
      <c r="X263" s="35"/>
      <c r="Y263" s="35"/>
      <c r="Z263" s="35"/>
    </row>
    <row r="264" ht="12.75" customHeight="1">
      <c r="A264" s="35"/>
      <c r="B264" s="35"/>
      <c r="C264" s="35"/>
      <c r="D264" s="35"/>
      <c r="E264" s="35"/>
      <c r="F264" s="35"/>
      <c r="G264" s="35"/>
      <c r="H264" s="35"/>
      <c r="I264" s="35"/>
      <c r="J264" s="35"/>
      <c r="K264" s="35"/>
      <c r="L264" s="35"/>
      <c r="M264" s="35"/>
      <c r="N264" s="35"/>
      <c r="O264" s="35"/>
      <c r="P264" s="35"/>
      <c r="Q264" s="35"/>
      <c r="R264" s="35"/>
      <c r="S264" s="35"/>
      <c r="T264" s="35"/>
      <c r="U264" s="35"/>
      <c r="V264" s="35"/>
      <c r="W264" s="35"/>
      <c r="X264" s="35"/>
      <c r="Y264" s="35"/>
      <c r="Z264" s="35"/>
    </row>
    <row r="265" ht="12.75" customHeight="1">
      <c r="A265" s="35"/>
      <c r="B265" s="35"/>
      <c r="C265" s="35"/>
      <c r="D265" s="35"/>
      <c r="E265" s="35"/>
      <c r="F265" s="35"/>
      <c r="G265" s="35"/>
      <c r="H265" s="35"/>
      <c r="I265" s="35"/>
      <c r="J265" s="35"/>
      <c r="K265" s="35"/>
      <c r="L265" s="35"/>
      <c r="M265" s="35"/>
      <c r="N265" s="35"/>
      <c r="O265" s="35"/>
      <c r="P265" s="35"/>
      <c r="Q265" s="35"/>
      <c r="R265" s="35"/>
      <c r="S265" s="35"/>
      <c r="T265" s="35"/>
      <c r="U265" s="35"/>
      <c r="V265" s="35"/>
      <c r="W265" s="35"/>
      <c r="X265" s="35"/>
      <c r="Y265" s="35"/>
      <c r="Z265" s="35"/>
    </row>
    <row r="266" ht="12.75" customHeight="1">
      <c r="A266" s="35"/>
      <c r="B266" s="35"/>
      <c r="C266" s="35"/>
      <c r="D266" s="35"/>
      <c r="E266" s="35"/>
      <c r="F266" s="35"/>
      <c r="G266" s="35"/>
      <c r="H266" s="35"/>
      <c r="I266" s="35"/>
      <c r="J266" s="35"/>
      <c r="K266" s="35"/>
      <c r="L266" s="35"/>
      <c r="M266" s="35"/>
      <c r="N266" s="35"/>
      <c r="O266" s="35"/>
      <c r="P266" s="35"/>
      <c r="Q266" s="35"/>
      <c r="R266" s="35"/>
      <c r="S266" s="35"/>
      <c r="T266" s="35"/>
      <c r="U266" s="35"/>
      <c r="V266" s="35"/>
      <c r="W266" s="35"/>
      <c r="X266" s="35"/>
      <c r="Y266" s="35"/>
      <c r="Z266" s="35"/>
    </row>
    <row r="267" ht="12.75" customHeight="1">
      <c r="A267" s="35"/>
      <c r="B267" s="35"/>
      <c r="C267" s="35"/>
      <c r="D267" s="35"/>
      <c r="E267" s="35"/>
      <c r="F267" s="35"/>
      <c r="G267" s="35"/>
      <c r="H267" s="35"/>
      <c r="I267" s="35"/>
      <c r="J267" s="35"/>
      <c r="K267" s="35"/>
      <c r="L267" s="35"/>
      <c r="M267" s="35"/>
      <c r="N267" s="35"/>
      <c r="O267" s="35"/>
      <c r="P267" s="35"/>
      <c r="Q267" s="35"/>
      <c r="R267" s="35"/>
      <c r="S267" s="35"/>
      <c r="T267" s="35"/>
      <c r="U267" s="35"/>
      <c r="V267" s="35"/>
      <c r="W267" s="35"/>
      <c r="X267" s="35"/>
      <c r="Y267" s="35"/>
      <c r="Z267" s="35"/>
    </row>
    <row r="268" ht="12.75" customHeight="1">
      <c r="A268" s="35"/>
      <c r="B268" s="35"/>
      <c r="C268" s="35"/>
      <c r="D268" s="35"/>
      <c r="E268" s="35"/>
      <c r="F268" s="35"/>
      <c r="G268" s="35"/>
      <c r="H268" s="35"/>
      <c r="I268" s="35"/>
      <c r="J268" s="35"/>
      <c r="K268" s="35"/>
      <c r="L268" s="35"/>
      <c r="M268" s="35"/>
      <c r="N268" s="35"/>
      <c r="O268" s="35"/>
      <c r="P268" s="35"/>
      <c r="Q268" s="35"/>
      <c r="R268" s="35"/>
      <c r="S268" s="35"/>
      <c r="T268" s="35"/>
      <c r="U268" s="35"/>
      <c r="V268" s="35"/>
      <c r="W268" s="35"/>
      <c r="X268" s="35"/>
      <c r="Y268" s="35"/>
      <c r="Z268" s="35"/>
    </row>
    <row r="269" ht="12.75" customHeight="1">
      <c r="A269" s="35"/>
      <c r="B269" s="35"/>
      <c r="C269" s="35"/>
      <c r="D269" s="35"/>
      <c r="E269" s="35"/>
      <c r="F269" s="35"/>
      <c r="G269" s="35"/>
      <c r="H269" s="35"/>
      <c r="I269" s="35"/>
      <c r="J269" s="35"/>
      <c r="K269" s="35"/>
      <c r="L269" s="35"/>
      <c r="M269" s="35"/>
      <c r="N269" s="35"/>
      <c r="O269" s="35"/>
      <c r="P269" s="35"/>
      <c r="Q269" s="35"/>
      <c r="R269" s="35"/>
      <c r="S269" s="35"/>
      <c r="T269" s="35"/>
      <c r="U269" s="35"/>
      <c r="V269" s="35"/>
      <c r="W269" s="35"/>
      <c r="X269" s="35"/>
      <c r="Y269" s="35"/>
      <c r="Z269" s="35"/>
    </row>
    <row r="270" ht="12.75" customHeight="1">
      <c r="A270" s="35"/>
      <c r="B270" s="35"/>
      <c r="C270" s="35"/>
      <c r="D270" s="35"/>
      <c r="E270" s="35"/>
      <c r="F270" s="35"/>
      <c r="G270" s="35"/>
      <c r="H270" s="35"/>
      <c r="I270" s="35"/>
      <c r="J270" s="35"/>
      <c r="K270" s="35"/>
      <c r="L270" s="35"/>
      <c r="M270" s="35"/>
      <c r="N270" s="35"/>
      <c r="O270" s="35"/>
      <c r="P270" s="35"/>
      <c r="Q270" s="35"/>
      <c r="R270" s="35"/>
      <c r="S270" s="35"/>
      <c r="T270" s="35"/>
      <c r="U270" s="35"/>
      <c r="V270" s="35"/>
      <c r="W270" s="35"/>
      <c r="X270" s="35"/>
      <c r="Y270" s="35"/>
      <c r="Z270" s="35"/>
    </row>
    <row r="271" ht="12.75" customHeight="1">
      <c r="A271" s="35"/>
      <c r="B271" s="35"/>
      <c r="C271" s="35"/>
      <c r="D271" s="35"/>
      <c r="E271" s="35"/>
      <c r="F271" s="35"/>
      <c r="G271" s="35"/>
      <c r="H271" s="35"/>
      <c r="I271" s="35"/>
      <c r="J271" s="35"/>
      <c r="K271" s="35"/>
      <c r="L271" s="35"/>
      <c r="M271" s="35"/>
      <c r="N271" s="35"/>
      <c r="O271" s="35"/>
      <c r="P271" s="35"/>
      <c r="Q271" s="35"/>
      <c r="R271" s="35"/>
      <c r="S271" s="35"/>
      <c r="T271" s="35"/>
      <c r="U271" s="35"/>
      <c r="V271" s="35"/>
      <c r="W271" s="35"/>
      <c r="X271" s="35"/>
      <c r="Y271" s="35"/>
      <c r="Z271" s="35"/>
    </row>
    <row r="272" ht="12.75" customHeight="1">
      <c r="A272" s="35"/>
      <c r="B272" s="35"/>
      <c r="C272" s="35"/>
      <c r="D272" s="35"/>
      <c r="E272" s="35"/>
      <c r="F272" s="35"/>
      <c r="G272" s="35"/>
      <c r="H272" s="35"/>
      <c r="I272" s="35"/>
      <c r="J272" s="35"/>
      <c r="K272" s="35"/>
      <c r="L272" s="35"/>
      <c r="M272" s="35"/>
      <c r="N272" s="35"/>
      <c r="O272" s="35"/>
      <c r="P272" s="35"/>
      <c r="Q272" s="35"/>
      <c r="R272" s="35"/>
      <c r="S272" s="35"/>
      <c r="T272" s="35"/>
      <c r="U272" s="35"/>
      <c r="V272" s="35"/>
      <c r="W272" s="35"/>
      <c r="X272" s="35"/>
      <c r="Y272" s="35"/>
      <c r="Z272" s="35"/>
    </row>
    <row r="273" ht="12.75" customHeight="1">
      <c r="A273" s="35"/>
      <c r="B273" s="35"/>
      <c r="C273" s="35"/>
      <c r="D273" s="35"/>
      <c r="E273" s="35"/>
      <c r="F273" s="35"/>
      <c r="G273" s="35"/>
      <c r="H273" s="35"/>
      <c r="I273" s="35"/>
      <c r="J273" s="35"/>
      <c r="K273" s="35"/>
      <c r="L273" s="35"/>
      <c r="M273" s="35"/>
      <c r="N273" s="35"/>
      <c r="O273" s="35"/>
      <c r="P273" s="35"/>
      <c r="Q273" s="35"/>
      <c r="R273" s="35"/>
      <c r="S273" s="35"/>
      <c r="T273" s="35"/>
      <c r="U273" s="35"/>
      <c r="V273" s="35"/>
      <c r="W273" s="35"/>
      <c r="X273" s="35"/>
      <c r="Y273" s="35"/>
      <c r="Z273" s="35"/>
    </row>
    <row r="274" ht="12.75" customHeight="1">
      <c r="A274" s="35"/>
      <c r="B274" s="35"/>
      <c r="C274" s="35"/>
      <c r="D274" s="35"/>
      <c r="E274" s="35"/>
      <c r="F274" s="35"/>
      <c r="G274" s="35"/>
      <c r="H274" s="35"/>
      <c r="I274" s="35"/>
      <c r="J274" s="35"/>
      <c r="K274" s="35"/>
      <c r="L274" s="35"/>
      <c r="M274" s="35"/>
      <c r="N274" s="35"/>
      <c r="O274" s="35"/>
      <c r="P274" s="35"/>
      <c r="Q274" s="35"/>
      <c r="R274" s="35"/>
      <c r="S274" s="35"/>
      <c r="T274" s="35"/>
      <c r="U274" s="35"/>
      <c r="V274" s="35"/>
      <c r="W274" s="35"/>
      <c r="X274" s="35"/>
      <c r="Y274" s="35"/>
      <c r="Z274" s="35"/>
    </row>
    <row r="275" ht="12.75" customHeight="1">
      <c r="A275" s="35"/>
      <c r="B275" s="35"/>
      <c r="C275" s="35"/>
      <c r="D275" s="35"/>
      <c r="E275" s="35"/>
      <c r="F275" s="35"/>
      <c r="G275" s="35"/>
      <c r="H275" s="35"/>
      <c r="I275" s="35"/>
      <c r="J275" s="35"/>
      <c r="K275" s="35"/>
      <c r="L275" s="35"/>
      <c r="M275" s="35"/>
      <c r="N275" s="35"/>
      <c r="O275" s="35"/>
      <c r="P275" s="35"/>
      <c r="Q275" s="35"/>
      <c r="R275" s="35"/>
      <c r="S275" s="35"/>
      <c r="T275" s="35"/>
      <c r="U275" s="35"/>
      <c r="V275" s="35"/>
      <c r="W275" s="35"/>
      <c r="X275" s="35"/>
      <c r="Y275" s="35"/>
      <c r="Z275" s="35"/>
    </row>
    <row r="276" ht="12.75" customHeight="1">
      <c r="A276" s="35"/>
      <c r="B276" s="35"/>
      <c r="C276" s="35"/>
      <c r="D276" s="35"/>
      <c r="E276" s="35"/>
      <c r="F276" s="35"/>
      <c r="G276" s="35"/>
      <c r="H276" s="35"/>
      <c r="I276" s="35"/>
      <c r="J276" s="35"/>
      <c r="K276" s="35"/>
      <c r="L276" s="35"/>
      <c r="M276" s="35"/>
      <c r="N276" s="35"/>
      <c r="O276" s="35"/>
      <c r="P276" s="35"/>
      <c r="Q276" s="35"/>
      <c r="R276" s="35"/>
      <c r="S276" s="35"/>
      <c r="T276" s="35"/>
      <c r="U276" s="35"/>
      <c r="V276" s="35"/>
      <c r="W276" s="35"/>
      <c r="X276" s="35"/>
      <c r="Y276" s="35"/>
      <c r="Z276" s="35"/>
    </row>
    <row r="277" ht="12.75" customHeight="1">
      <c r="A277" s="35"/>
      <c r="B277" s="35"/>
      <c r="C277" s="35"/>
      <c r="D277" s="35"/>
      <c r="E277" s="35"/>
      <c r="F277" s="35"/>
      <c r="G277" s="35"/>
      <c r="H277" s="35"/>
      <c r="I277" s="35"/>
      <c r="J277" s="35"/>
      <c r="K277" s="35"/>
      <c r="L277" s="35"/>
      <c r="M277" s="35"/>
      <c r="N277" s="35"/>
      <c r="O277" s="35"/>
      <c r="P277" s="35"/>
      <c r="Q277" s="35"/>
      <c r="R277" s="35"/>
      <c r="S277" s="35"/>
      <c r="T277" s="35"/>
      <c r="U277" s="35"/>
      <c r="V277" s="35"/>
      <c r="W277" s="35"/>
      <c r="X277" s="35"/>
      <c r="Y277" s="35"/>
      <c r="Z277" s="35"/>
    </row>
    <row r="278" ht="12.75" customHeight="1">
      <c r="A278" s="35"/>
      <c r="B278" s="35"/>
      <c r="C278" s="35"/>
      <c r="D278" s="35"/>
      <c r="E278" s="35"/>
      <c r="F278" s="35"/>
      <c r="G278" s="35"/>
      <c r="H278" s="35"/>
      <c r="I278" s="35"/>
      <c r="J278" s="35"/>
      <c r="K278" s="35"/>
      <c r="L278" s="35"/>
      <c r="M278" s="35"/>
      <c r="N278" s="35"/>
      <c r="O278" s="35"/>
      <c r="P278" s="35"/>
      <c r="Q278" s="35"/>
      <c r="R278" s="35"/>
      <c r="S278" s="35"/>
      <c r="T278" s="35"/>
      <c r="U278" s="35"/>
      <c r="V278" s="35"/>
      <c r="W278" s="35"/>
      <c r="X278" s="35"/>
      <c r="Y278" s="35"/>
      <c r="Z278" s="35"/>
    </row>
    <row r="279" ht="12.75" customHeight="1">
      <c r="A279" s="35"/>
      <c r="B279" s="35"/>
      <c r="C279" s="35"/>
      <c r="D279" s="35"/>
      <c r="E279" s="35"/>
      <c r="F279" s="35"/>
      <c r="G279" s="35"/>
      <c r="H279" s="35"/>
      <c r="I279" s="35"/>
      <c r="J279" s="35"/>
      <c r="K279" s="35"/>
      <c r="L279" s="35"/>
      <c r="M279" s="35"/>
      <c r="N279" s="35"/>
      <c r="O279" s="35"/>
      <c r="P279" s="35"/>
      <c r="Q279" s="35"/>
      <c r="R279" s="35"/>
      <c r="S279" s="35"/>
      <c r="T279" s="35"/>
      <c r="U279" s="35"/>
      <c r="V279" s="35"/>
      <c r="W279" s="35"/>
      <c r="X279" s="35"/>
      <c r="Y279" s="35"/>
      <c r="Z279" s="35"/>
    </row>
    <row r="280" ht="12.75" customHeight="1">
      <c r="A280" s="35"/>
      <c r="B280" s="35"/>
      <c r="C280" s="35"/>
      <c r="D280" s="35"/>
      <c r="E280" s="35"/>
      <c r="F280" s="35"/>
      <c r="G280" s="35"/>
      <c r="H280" s="35"/>
      <c r="I280" s="35"/>
      <c r="J280" s="35"/>
      <c r="K280" s="35"/>
      <c r="L280" s="35"/>
      <c r="M280" s="35"/>
      <c r="N280" s="35"/>
      <c r="O280" s="35"/>
      <c r="P280" s="35"/>
      <c r="Q280" s="35"/>
      <c r="R280" s="35"/>
      <c r="S280" s="35"/>
      <c r="T280" s="35"/>
      <c r="U280" s="35"/>
      <c r="V280" s="35"/>
      <c r="W280" s="35"/>
      <c r="X280" s="35"/>
      <c r="Y280" s="35"/>
      <c r="Z280" s="35"/>
    </row>
    <row r="281" ht="12.75" customHeight="1">
      <c r="A281" s="35"/>
      <c r="B281" s="35"/>
      <c r="C281" s="35"/>
      <c r="D281" s="35"/>
      <c r="E281" s="35"/>
      <c r="F281" s="35"/>
      <c r="G281" s="35"/>
      <c r="H281" s="35"/>
      <c r="I281" s="35"/>
      <c r="J281" s="35"/>
      <c r="K281" s="35"/>
      <c r="L281" s="35"/>
      <c r="M281" s="35"/>
      <c r="N281" s="35"/>
      <c r="O281" s="35"/>
      <c r="P281" s="35"/>
      <c r="Q281" s="35"/>
      <c r="R281" s="35"/>
      <c r="S281" s="35"/>
      <c r="T281" s="35"/>
      <c r="U281" s="35"/>
      <c r="V281" s="35"/>
      <c r="W281" s="35"/>
      <c r="X281" s="35"/>
      <c r="Y281" s="35"/>
      <c r="Z281" s="35"/>
    </row>
    <row r="282" ht="12.75" customHeight="1">
      <c r="A282" s="35"/>
      <c r="B282" s="35"/>
      <c r="C282" s="35"/>
      <c r="D282" s="35"/>
      <c r="E282" s="35"/>
      <c r="F282" s="35"/>
      <c r="G282" s="35"/>
      <c r="H282" s="35"/>
      <c r="I282" s="35"/>
      <c r="J282" s="35"/>
      <c r="K282" s="35"/>
      <c r="L282" s="35"/>
      <c r="M282" s="35"/>
      <c r="N282" s="35"/>
      <c r="O282" s="35"/>
      <c r="P282" s="35"/>
      <c r="Q282" s="35"/>
      <c r="R282" s="35"/>
      <c r="S282" s="35"/>
      <c r="T282" s="35"/>
      <c r="U282" s="35"/>
      <c r="V282" s="35"/>
      <c r="W282" s="35"/>
      <c r="X282" s="35"/>
      <c r="Y282" s="35"/>
      <c r="Z282" s="35"/>
    </row>
    <row r="283" ht="12.75" customHeight="1">
      <c r="A283" s="35"/>
      <c r="B283" s="35"/>
      <c r="C283" s="35"/>
      <c r="D283" s="35"/>
      <c r="E283" s="35"/>
      <c r="F283" s="35"/>
      <c r="G283" s="35"/>
      <c r="H283" s="35"/>
      <c r="I283" s="35"/>
      <c r="J283" s="35"/>
      <c r="K283" s="35"/>
      <c r="L283" s="35"/>
      <c r="M283" s="35"/>
      <c r="N283" s="35"/>
      <c r="O283" s="35"/>
      <c r="P283" s="35"/>
      <c r="Q283" s="35"/>
      <c r="R283" s="35"/>
      <c r="S283" s="35"/>
      <c r="T283" s="35"/>
      <c r="U283" s="35"/>
      <c r="V283" s="35"/>
      <c r="W283" s="35"/>
      <c r="X283" s="35"/>
      <c r="Y283" s="35"/>
      <c r="Z283" s="35"/>
    </row>
    <row r="284" ht="12.75" customHeight="1">
      <c r="A284" s="35"/>
      <c r="B284" s="35"/>
      <c r="C284" s="35"/>
      <c r="D284" s="35"/>
      <c r="E284" s="35"/>
      <c r="F284" s="35"/>
      <c r="G284" s="35"/>
      <c r="H284" s="35"/>
      <c r="I284" s="35"/>
      <c r="J284" s="35"/>
      <c r="K284" s="35"/>
      <c r="L284" s="35"/>
      <c r="M284" s="35"/>
      <c r="N284" s="35"/>
      <c r="O284" s="35"/>
      <c r="P284" s="35"/>
      <c r="Q284" s="35"/>
      <c r="R284" s="35"/>
      <c r="S284" s="35"/>
      <c r="T284" s="35"/>
      <c r="U284" s="35"/>
      <c r="V284" s="35"/>
      <c r="W284" s="35"/>
      <c r="X284" s="35"/>
      <c r="Y284" s="35"/>
      <c r="Z284" s="35"/>
    </row>
    <row r="285" ht="12.75" customHeight="1">
      <c r="A285" s="35"/>
      <c r="B285" s="35"/>
      <c r="C285" s="35"/>
      <c r="D285" s="35"/>
      <c r="E285" s="35"/>
      <c r="F285" s="35"/>
      <c r="G285" s="35"/>
      <c r="H285" s="35"/>
      <c r="I285" s="35"/>
      <c r="J285" s="35"/>
      <c r="K285" s="35"/>
      <c r="L285" s="35"/>
      <c r="M285" s="35"/>
      <c r="N285" s="35"/>
      <c r="O285" s="35"/>
      <c r="P285" s="35"/>
      <c r="Q285" s="35"/>
      <c r="R285" s="35"/>
      <c r="S285" s="35"/>
      <c r="T285" s="35"/>
      <c r="U285" s="35"/>
      <c r="V285" s="35"/>
      <c r="W285" s="35"/>
      <c r="X285" s="35"/>
      <c r="Y285" s="35"/>
      <c r="Z285" s="35"/>
    </row>
    <row r="286" ht="12.75" customHeight="1">
      <c r="A286" s="35"/>
      <c r="B286" s="35"/>
      <c r="C286" s="35"/>
      <c r="D286" s="35"/>
      <c r="E286" s="35"/>
      <c r="F286" s="35"/>
      <c r="G286" s="35"/>
      <c r="H286" s="35"/>
      <c r="I286" s="35"/>
      <c r="J286" s="35"/>
      <c r="K286" s="35"/>
      <c r="L286" s="35"/>
      <c r="M286" s="35"/>
      <c r="N286" s="35"/>
      <c r="O286" s="35"/>
      <c r="P286" s="35"/>
      <c r="Q286" s="35"/>
      <c r="R286" s="35"/>
      <c r="S286" s="35"/>
      <c r="T286" s="35"/>
      <c r="U286" s="35"/>
      <c r="V286" s="35"/>
      <c r="W286" s="35"/>
      <c r="X286" s="35"/>
      <c r="Y286" s="35"/>
      <c r="Z286" s="35"/>
    </row>
    <row r="287" ht="12.75" customHeight="1">
      <c r="A287" s="35"/>
      <c r="B287" s="35"/>
      <c r="C287" s="35"/>
      <c r="D287" s="35"/>
      <c r="E287" s="35"/>
      <c r="F287" s="35"/>
      <c r="G287" s="35"/>
      <c r="H287" s="35"/>
      <c r="I287" s="35"/>
      <c r="J287" s="35"/>
      <c r="K287" s="35"/>
      <c r="L287" s="35"/>
      <c r="M287" s="35"/>
      <c r="N287" s="35"/>
      <c r="O287" s="35"/>
      <c r="P287" s="35"/>
      <c r="Q287" s="35"/>
      <c r="R287" s="35"/>
      <c r="S287" s="35"/>
      <c r="T287" s="35"/>
      <c r="U287" s="35"/>
      <c r="V287" s="35"/>
      <c r="W287" s="35"/>
      <c r="X287" s="35"/>
      <c r="Y287" s="35"/>
      <c r="Z287" s="35"/>
    </row>
    <row r="288" ht="12.75" customHeight="1">
      <c r="A288" s="35"/>
      <c r="B288" s="35"/>
      <c r="C288" s="35"/>
      <c r="D288" s="35"/>
      <c r="E288" s="35"/>
      <c r="F288" s="35"/>
      <c r="G288" s="35"/>
      <c r="H288" s="35"/>
      <c r="I288" s="35"/>
      <c r="J288" s="35"/>
      <c r="K288" s="35"/>
      <c r="L288" s="35"/>
      <c r="M288" s="35"/>
      <c r="N288" s="35"/>
      <c r="O288" s="35"/>
      <c r="P288" s="35"/>
      <c r="Q288" s="35"/>
      <c r="R288" s="35"/>
      <c r="S288" s="35"/>
      <c r="T288" s="35"/>
      <c r="U288" s="35"/>
      <c r="V288" s="35"/>
      <c r="W288" s="35"/>
      <c r="X288" s="35"/>
      <c r="Y288" s="35"/>
      <c r="Z288" s="35"/>
    </row>
    <row r="289" ht="12.75" customHeight="1">
      <c r="A289" s="35"/>
      <c r="B289" s="35"/>
      <c r="C289" s="35"/>
      <c r="D289" s="35"/>
      <c r="E289" s="35"/>
      <c r="F289" s="35"/>
      <c r="G289" s="35"/>
      <c r="H289" s="35"/>
      <c r="I289" s="35"/>
      <c r="J289" s="35"/>
      <c r="K289" s="35"/>
      <c r="L289" s="35"/>
      <c r="M289" s="35"/>
      <c r="N289" s="35"/>
      <c r="O289" s="35"/>
      <c r="P289" s="35"/>
      <c r="Q289" s="35"/>
      <c r="R289" s="35"/>
      <c r="S289" s="35"/>
      <c r="T289" s="35"/>
      <c r="U289" s="35"/>
      <c r="V289" s="35"/>
      <c r="W289" s="35"/>
      <c r="X289" s="35"/>
      <c r="Y289" s="35"/>
      <c r="Z289" s="35"/>
    </row>
    <row r="290" ht="12.75" customHeight="1">
      <c r="A290" s="35"/>
      <c r="B290" s="35"/>
      <c r="C290" s="35"/>
      <c r="D290" s="35"/>
      <c r="E290" s="35"/>
      <c r="F290" s="35"/>
      <c r="G290" s="35"/>
      <c r="H290" s="35"/>
      <c r="I290" s="35"/>
      <c r="J290" s="35"/>
      <c r="K290" s="35"/>
      <c r="L290" s="35"/>
      <c r="M290" s="35"/>
      <c r="N290" s="35"/>
      <c r="O290" s="35"/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5"/>
    </row>
    <row r="291" ht="12.75" customHeight="1">
      <c r="A291" s="35"/>
      <c r="B291" s="35"/>
      <c r="C291" s="35"/>
      <c r="D291" s="35"/>
      <c r="E291" s="35"/>
      <c r="F291" s="35"/>
      <c r="G291" s="35"/>
      <c r="H291" s="35"/>
      <c r="I291" s="35"/>
      <c r="J291" s="35"/>
      <c r="K291" s="35"/>
      <c r="L291" s="35"/>
      <c r="M291" s="35"/>
      <c r="N291" s="35"/>
      <c r="O291" s="35"/>
      <c r="P291" s="35"/>
      <c r="Q291" s="35"/>
      <c r="R291" s="35"/>
      <c r="S291" s="35"/>
      <c r="T291" s="35"/>
      <c r="U291" s="35"/>
      <c r="V291" s="35"/>
      <c r="W291" s="35"/>
      <c r="X291" s="35"/>
      <c r="Y291" s="35"/>
      <c r="Z291" s="35"/>
    </row>
    <row r="292" ht="12.75" customHeight="1">
      <c r="A292" s="35"/>
      <c r="B292" s="35"/>
      <c r="C292" s="35"/>
      <c r="D292" s="35"/>
      <c r="E292" s="35"/>
      <c r="F292" s="35"/>
      <c r="G292" s="35"/>
      <c r="H292" s="35"/>
      <c r="I292" s="35"/>
      <c r="J292" s="35"/>
      <c r="K292" s="35"/>
      <c r="L292" s="35"/>
      <c r="M292" s="35"/>
      <c r="N292" s="35"/>
      <c r="O292" s="35"/>
      <c r="P292" s="35"/>
      <c r="Q292" s="35"/>
      <c r="R292" s="35"/>
      <c r="S292" s="35"/>
      <c r="T292" s="35"/>
      <c r="U292" s="35"/>
      <c r="V292" s="35"/>
      <c r="W292" s="35"/>
      <c r="X292" s="35"/>
      <c r="Y292" s="35"/>
      <c r="Z292" s="35"/>
    </row>
    <row r="293" ht="12.75" customHeight="1">
      <c r="A293" s="35"/>
      <c r="B293" s="35"/>
      <c r="C293" s="35"/>
      <c r="D293" s="35"/>
      <c r="E293" s="35"/>
      <c r="F293" s="35"/>
      <c r="G293" s="35"/>
      <c r="H293" s="35"/>
      <c r="I293" s="35"/>
      <c r="J293" s="35"/>
      <c r="K293" s="35"/>
      <c r="L293" s="35"/>
      <c r="M293" s="35"/>
      <c r="N293" s="35"/>
      <c r="O293" s="35"/>
      <c r="P293" s="35"/>
      <c r="Q293" s="35"/>
      <c r="R293" s="35"/>
      <c r="S293" s="35"/>
      <c r="T293" s="35"/>
      <c r="U293" s="35"/>
      <c r="V293" s="35"/>
      <c r="W293" s="35"/>
      <c r="X293" s="35"/>
      <c r="Y293" s="35"/>
      <c r="Z293" s="35"/>
    </row>
    <row r="294" ht="12.75" customHeight="1">
      <c r="A294" s="35"/>
      <c r="B294" s="35"/>
      <c r="C294" s="35"/>
      <c r="D294" s="35"/>
      <c r="E294" s="35"/>
      <c r="F294" s="35"/>
      <c r="G294" s="35"/>
      <c r="H294" s="35"/>
      <c r="I294" s="35"/>
      <c r="J294" s="35"/>
      <c r="K294" s="35"/>
      <c r="L294" s="35"/>
      <c r="M294" s="35"/>
      <c r="N294" s="35"/>
      <c r="O294" s="35"/>
      <c r="P294" s="35"/>
      <c r="Q294" s="35"/>
      <c r="R294" s="35"/>
      <c r="S294" s="35"/>
      <c r="T294" s="35"/>
      <c r="U294" s="35"/>
      <c r="V294" s="35"/>
      <c r="W294" s="35"/>
      <c r="X294" s="35"/>
      <c r="Y294" s="35"/>
      <c r="Z294" s="35"/>
    </row>
    <row r="295" ht="12.75" customHeight="1">
      <c r="A295" s="35"/>
      <c r="B295" s="35"/>
      <c r="C295" s="35"/>
      <c r="D295" s="35"/>
      <c r="E295" s="35"/>
      <c r="F295" s="35"/>
      <c r="G295" s="35"/>
      <c r="H295" s="35"/>
      <c r="I295" s="35"/>
      <c r="J295" s="35"/>
      <c r="K295" s="35"/>
      <c r="L295" s="35"/>
      <c r="M295" s="35"/>
      <c r="N295" s="35"/>
      <c r="O295" s="35"/>
      <c r="P295" s="35"/>
      <c r="Q295" s="35"/>
      <c r="R295" s="35"/>
      <c r="S295" s="35"/>
      <c r="T295" s="35"/>
      <c r="U295" s="35"/>
      <c r="V295" s="35"/>
      <c r="W295" s="35"/>
      <c r="X295" s="35"/>
      <c r="Y295" s="35"/>
      <c r="Z295" s="35"/>
    </row>
    <row r="296" ht="12.75" customHeight="1">
      <c r="A296" s="35"/>
      <c r="B296" s="35"/>
      <c r="C296" s="35"/>
      <c r="D296" s="35"/>
      <c r="E296" s="35"/>
      <c r="F296" s="35"/>
      <c r="G296" s="35"/>
      <c r="H296" s="35"/>
      <c r="I296" s="35"/>
      <c r="J296" s="35"/>
      <c r="K296" s="35"/>
      <c r="L296" s="35"/>
      <c r="M296" s="35"/>
      <c r="N296" s="35"/>
      <c r="O296" s="35"/>
      <c r="P296" s="35"/>
      <c r="Q296" s="35"/>
      <c r="R296" s="35"/>
      <c r="S296" s="35"/>
      <c r="T296" s="35"/>
      <c r="U296" s="35"/>
      <c r="V296" s="35"/>
      <c r="W296" s="35"/>
      <c r="X296" s="35"/>
      <c r="Y296" s="35"/>
      <c r="Z296" s="35"/>
    </row>
    <row r="297" ht="12.75" customHeight="1">
      <c r="A297" s="35"/>
      <c r="B297" s="35"/>
      <c r="C297" s="35"/>
      <c r="D297" s="35"/>
      <c r="E297" s="35"/>
      <c r="F297" s="35"/>
      <c r="G297" s="35"/>
      <c r="H297" s="35"/>
      <c r="I297" s="35"/>
      <c r="J297" s="35"/>
      <c r="K297" s="35"/>
      <c r="L297" s="35"/>
      <c r="M297" s="35"/>
      <c r="N297" s="35"/>
      <c r="O297" s="35"/>
      <c r="P297" s="35"/>
      <c r="Q297" s="35"/>
      <c r="R297" s="35"/>
      <c r="S297" s="35"/>
      <c r="T297" s="35"/>
      <c r="U297" s="35"/>
      <c r="V297" s="35"/>
      <c r="W297" s="35"/>
      <c r="X297" s="35"/>
      <c r="Y297" s="35"/>
      <c r="Z297" s="35"/>
    </row>
    <row r="298" ht="12.75" customHeight="1">
      <c r="A298" s="35"/>
      <c r="B298" s="35"/>
      <c r="C298" s="35"/>
      <c r="D298" s="35"/>
      <c r="E298" s="35"/>
      <c r="F298" s="35"/>
      <c r="G298" s="35"/>
      <c r="H298" s="35"/>
      <c r="I298" s="35"/>
      <c r="J298" s="35"/>
      <c r="K298" s="35"/>
      <c r="L298" s="35"/>
      <c r="M298" s="35"/>
      <c r="N298" s="35"/>
      <c r="O298" s="35"/>
      <c r="P298" s="35"/>
      <c r="Q298" s="35"/>
      <c r="R298" s="35"/>
      <c r="S298" s="35"/>
      <c r="T298" s="35"/>
      <c r="U298" s="35"/>
      <c r="V298" s="35"/>
      <c r="W298" s="35"/>
      <c r="X298" s="35"/>
      <c r="Y298" s="35"/>
      <c r="Z298" s="35"/>
    </row>
    <row r="299" ht="12.75" customHeight="1">
      <c r="A299" s="35"/>
      <c r="B299" s="35"/>
      <c r="C299" s="35"/>
      <c r="D299" s="35"/>
      <c r="E299" s="35"/>
      <c r="F299" s="35"/>
      <c r="G299" s="35"/>
      <c r="H299" s="35"/>
      <c r="I299" s="35"/>
      <c r="J299" s="35"/>
      <c r="K299" s="35"/>
      <c r="L299" s="35"/>
      <c r="M299" s="35"/>
      <c r="N299" s="35"/>
      <c r="O299" s="35"/>
      <c r="P299" s="35"/>
      <c r="Q299" s="35"/>
      <c r="R299" s="35"/>
      <c r="S299" s="35"/>
      <c r="T299" s="35"/>
      <c r="U299" s="35"/>
      <c r="V299" s="35"/>
      <c r="W299" s="35"/>
      <c r="X299" s="35"/>
      <c r="Y299" s="35"/>
      <c r="Z299" s="35"/>
    </row>
    <row r="300" ht="12.75" customHeight="1">
      <c r="A300" s="35"/>
      <c r="B300" s="35"/>
      <c r="C300" s="35"/>
      <c r="D300" s="35"/>
      <c r="E300" s="35"/>
      <c r="F300" s="35"/>
      <c r="G300" s="35"/>
      <c r="H300" s="35"/>
      <c r="I300" s="35"/>
      <c r="J300" s="35"/>
      <c r="K300" s="35"/>
      <c r="L300" s="35"/>
      <c r="M300" s="35"/>
      <c r="N300" s="35"/>
      <c r="O300" s="35"/>
      <c r="P300" s="35"/>
      <c r="Q300" s="35"/>
      <c r="R300" s="35"/>
      <c r="S300" s="35"/>
      <c r="T300" s="35"/>
      <c r="U300" s="35"/>
      <c r="V300" s="35"/>
      <c r="W300" s="35"/>
      <c r="X300" s="35"/>
      <c r="Y300" s="35"/>
      <c r="Z300" s="35"/>
    </row>
    <row r="301" ht="12.75" customHeight="1">
      <c r="A301" s="35"/>
      <c r="B301" s="35"/>
      <c r="C301" s="35"/>
      <c r="D301" s="35"/>
      <c r="E301" s="35"/>
      <c r="F301" s="35"/>
      <c r="G301" s="35"/>
      <c r="H301" s="35"/>
      <c r="I301" s="35"/>
      <c r="J301" s="35"/>
      <c r="K301" s="35"/>
      <c r="L301" s="35"/>
      <c r="M301" s="35"/>
      <c r="N301" s="35"/>
      <c r="O301" s="35"/>
      <c r="P301" s="35"/>
      <c r="Q301" s="35"/>
      <c r="R301" s="35"/>
      <c r="S301" s="35"/>
      <c r="T301" s="35"/>
      <c r="U301" s="35"/>
      <c r="V301" s="35"/>
      <c r="W301" s="35"/>
      <c r="X301" s="35"/>
      <c r="Y301" s="35"/>
      <c r="Z301" s="35"/>
    </row>
    <row r="302" ht="12.75" customHeight="1">
      <c r="A302" s="35"/>
      <c r="B302" s="35"/>
      <c r="C302" s="35"/>
      <c r="D302" s="35"/>
      <c r="E302" s="35"/>
      <c r="F302" s="35"/>
      <c r="G302" s="35"/>
      <c r="H302" s="35"/>
      <c r="I302" s="35"/>
      <c r="J302" s="35"/>
      <c r="K302" s="35"/>
      <c r="L302" s="35"/>
      <c r="M302" s="35"/>
      <c r="N302" s="35"/>
      <c r="O302" s="35"/>
      <c r="P302" s="35"/>
      <c r="Q302" s="35"/>
      <c r="R302" s="35"/>
      <c r="S302" s="35"/>
      <c r="T302" s="35"/>
      <c r="U302" s="35"/>
      <c r="V302" s="35"/>
      <c r="W302" s="35"/>
      <c r="X302" s="35"/>
      <c r="Y302" s="35"/>
      <c r="Z302" s="35"/>
    </row>
    <row r="303" ht="12.75" customHeight="1">
      <c r="A303" s="35"/>
      <c r="B303" s="35"/>
      <c r="C303" s="35"/>
      <c r="D303" s="35"/>
      <c r="E303" s="35"/>
      <c r="F303" s="35"/>
      <c r="G303" s="35"/>
      <c r="H303" s="35"/>
      <c r="I303" s="35"/>
      <c r="J303" s="35"/>
      <c r="K303" s="35"/>
      <c r="L303" s="35"/>
      <c r="M303" s="35"/>
      <c r="N303" s="35"/>
      <c r="O303" s="35"/>
      <c r="P303" s="35"/>
      <c r="Q303" s="35"/>
      <c r="R303" s="35"/>
      <c r="S303" s="35"/>
      <c r="T303" s="35"/>
      <c r="U303" s="35"/>
      <c r="V303" s="35"/>
      <c r="W303" s="35"/>
      <c r="X303" s="35"/>
      <c r="Y303" s="35"/>
      <c r="Z303" s="35"/>
    </row>
    <row r="304" ht="12.75" customHeight="1">
      <c r="A304" s="35"/>
      <c r="B304" s="35"/>
      <c r="C304" s="35"/>
      <c r="D304" s="35"/>
      <c r="E304" s="35"/>
      <c r="F304" s="35"/>
      <c r="G304" s="35"/>
      <c r="H304" s="35"/>
      <c r="I304" s="35"/>
      <c r="J304" s="35"/>
      <c r="K304" s="35"/>
      <c r="L304" s="35"/>
      <c r="M304" s="35"/>
      <c r="N304" s="35"/>
      <c r="O304" s="35"/>
      <c r="P304" s="35"/>
      <c r="Q304" s="35"/>
      <c r="R304" s="35"/>
      <c r="S304" s="35"/>
      <c r="T304" s="35"/>
      <c r="U304" s="35"/>
      <c r="V304" s="35"/>
      <c r="W304" s="35"/>
      <c r="X304" s="35"/>
      <c r="Y304" s="35"/>
      <c r="Z304" s="35"/>
    </row>
    <row r="305" ht="12.75" customHeight="1">
      <c r="A305" s="35"/>
      <c r="B305" s="35"/>
      <c r="C305" s="35"/>
      <c r="D305" s="35"/>
      <c r="E305" s="35"/>
      <c r="F305" s="35"/>
      <c r="G305" s="35"/>
      <c r="H305" s="35"/>
      <c r="I305" s="35"/>
      <c r="J305" s="35"/>
      <c r="K305" s="35"/>
      <c r="L305" s="35"/>
      <c r="M305" s="35"/>
      <c r="N305" s="35"/>
      <c r="O305" s="35"/>
      <c r="P305" s="35"/>
      <c r="Q305" s="35"/>
      <c r="R305" s="35"/>
      <c r="S305" s="35"/>
      <c r="T305" s="35"/>
      <c r="U305" s="35"/>
      <c r="V305" s="35"/>
      <c r="W305" s="35"/>
      <c r="X305" s="35"/>
      <c r="Y305" s="35"/>
      <c r="Z305" s="35"/>
    </row>
    <row r="306" ht="12.75" customHeight="1">
      <c r="A306" s="35"/>
      <c r="B306" s="35"/>
      <c r="C306" s="35"/>
      <c r="D306" s="35"/>
      <c r="E306" s="35"/>
      <c r="F306" s="35"/>
      <c r="G306" s="35"/>
      <c r="H306" s="35"/>
      <c r="I306" s="35"/>
      <c r="J306" s="35"/>
      <c r="K306" s="35"/>
      <c r="L306" s="35"/>
      <c r="M306" s="35"/>
      <c r="N306" s="35"/>
      <c r="O306" s="35"/>
      <c r="P306" s="35"/>
      <c r="Q306" s="35"/>
      <c r="R306" s="35"/>
      <c r="S306" s="35"/>
      <c r="T306" s="35"/>
      <c r="U306" s="35"/>
      <c r="V306" s="35"/>
      <c r="W306" s="35"/>
      <c r="X306" s="35"/>
      <c r="Y306" s="35"/>
      <c r="Z306" s="35"/>
    </row>
    <row r="307" ht="12.75" customHeight="1">
      <c r="A307" s="35"/>
      <c r="B307" s="35"/>
      <c r="C307" s="35"/>
      <c r="D307" s="35"/>
      <c r="E307" s="35"/>
      <c r="F307" s="35"/>
      <c r="G307" s="35"/>
      <c r="H307" s="35"/>
      <c r="I307" s="35"/>
      <c r="J307" s="35"/>
      <c r="K307" s="35"/>
      <c r="L307" s="35"/>
      <c r="M307" s="35"/>
      <c r="N307" s="35"/>
      <c r="O307" s="35"/>
      <c r="P307" s="35"/>
      <c r="Q307" s="35"/>
      <c r="R307" s="35"/>
      <c r="S307" s="35"/>
      <c r="T307" s="35"/>
      <c r="U307" s="35"/>
      <c r="V307" s="35"/>
      <c r="W307" s="35"/>
      <c r="X307" s="35"/>
      <c r="Y307" s="35"/>
      <c r="Z307" s="35"/>
    </row>
    <row r="308" ht="12.75" customHeight="1">
      <c r="A308" s="35"/>
      <c r="B308" s="35"/>
      <c r="C308" s="35"/>
      <c r="D308" s="35"/>
      <c r="E308" s="35"/>
      <c r="F308" s="35"/>
      <c r="G308" s="35"/>
      <c r="H308" s="35"/>
      <c r="I308" s="35"/>
      <c r="J308" s="35"/>
      <c r="K308" s="35"/>
      <c r="L308" s="35"/>
      <c r="M308" s="35"/>
      <c r="N308" s="35"/>
      <c r="O308" s="35"/>
      <c r="P308" s="35"/>
      <c r="Q308" s="35"/>
      <c r="R308" s="35"/>
      <c r="S308" s="35"/>
      <c r="T308" s="35"/>
      <c r="U308" s="35"/>
      <c r="V308" s="35"/>
      <c r="W308" s="35"/>
      <c r="X308" s="35"/>
      <c r="Y308" s="35"/>
      <c r="Z308" s="35"/>
    </row>
    <row r="309" ht="12.75" customHeight="1">
      <c r="A309" s="35"/>
      <c r="B309" s="35"/>
      <c r="C309" s="35"/>
      <c r="D309" s="35"/>
      <c r="E309" s="35"/>
      <c r="F309" s="35"/>
      <c r="G309" s="35"/>
      <c r="H309" s="35"/>
      <c r="I309" s="35"/>
      <c r="J309" s="35"/>
      <c r="K309" s="35"/>
      <c r="L309" s="35"/>
      <c r="M309" s="35"/>
      <c r="N309" s="35"/>
      <c r="O309" s="35"/>
      <c r="P309" s="35"/>
      <c r="Q309" s="35"/>
      <c r="R309" s="35"/>
      <c r="S309" s="35"/>
      <c r="T309" s="35"/>
      <c r="U309" s="35"/>
      <c r="V309" s="35"/>
      <c r="W309" s="35"/>
      <c r="X309" s="35"/>
      <c r="Y309" s="35"/>
      <c r="Z309" s="35"/>
    </row>
    <row r="310" ht="12.75" customHeight="1">
      <c r="A310" s="35"/>
      <c r="B310" s="35"/>
      <c r="C310" s="35"/>
      <c r="D310" s="35"/>
      <c r="E310" s="35"/>
      <c r="F310" s="35"/>
      <c r="G310" s="35"/>
      <c r="H310" s="35"/>
      <c r="I310" s="35"/>
      <c r="J310" s="35"/>
      <c r="K310" s="35"/>
      <c r="L310" s="35"/>
      <c r="M310" s="35"/>
      <c r="N310" s="35"/>
      <c r="O310" s="35"/>
      <c r="P310" s="35"/>
      <c r="Q310" s="35"/>
      <c r="R310" s="35"/>
      <c r="S310" s="35"/>
      <c r="T310" s="35"/>
      <c r="U310" s="35"/>
      <c r="V310" s="35"/>
      <c r="W310" s="35"/>
      <c r="X310" s="35"/>
      <c r="Y310" s="35"/>
      <c r="Z310" s="35"/>
    </row>
    <row r="311" ht="12.75" customHeight="1">
      <c r="A311" s="35"/>
      <c r="B311" s="35"/>
      <c r="C311" s="35"/>
      <c r="D311" s="35"/>
      <c r="E311" s="35"/>
      <c r="F311" s="35"/>
      <c r="G311" s="35"/>
      <c r="H311" s="35"/>
      <c r="I311" s="35"/>
      <c r="J311" s="35"/>
      <c r="K311" s="35"/>
      <c r="L311" s="35"/>
      <c r="M311" s="35"/>
      <c r="N311" s="35"/>
      <c r="O311" s="35"/>
      <c r="P311" s="35"/>
      <c r="Q311" s="35"/>
      <c r="R311" s="35"/>
      <c r="S311" s="35"/>
      <c r="T311" s="35"/>
      <c r="U311" s="35"/>
      <c r="V311" s="35"/>
      <c r="W311" s="35"/>
      <c r="X311" s="35"/>
      <c r="Y311" s="35"/>
      <c r="Z311" s="35"/>
    </row>
    <row r="312" ht="12.75" customHeight="1">
      <c r="A312" s="35"/>
      <c r="B312" s="35"/>
      <c r="C312" s="35"/>
      <c r="D312" s="35"/>
      <c r="E312" s="35"/>
      <c r="F312" s="35"/>
      <c r="G312" s="35"/>
      <c r="H312" s="35"/>
      <c r="I312" s="35"/>
      <c r="J312" s="35"/>
      <c r="K312" s="35"/>
      <c r="L312" s="35"/>
      <c r="M312" s="35"/>
      <c r="N312" s="35"/>
      <c r="O312" s="35"/>
      <c r="P312" s="35"/>
      <c r="Q312" s="35"/>
      <c r="R312" s="35"/>
      <c r="S312" s="35"/>
      <c r="T312" s="35"/>
      <c r="U312" s="35"/>
      <c r="V312" s="35"/>
      <c r="W312" s="35"/>
      <c r="X312" s="35"/>
      <c r="Y312" s="35"/>
      <c r="Z312" s="35"/>
    </row>
    <row r="313" ht="12.75" customHeight="1">
      <c r="A313" s="35"/>
      <c r="B313" s="35"/>
      <c r="C313" s="35"/>
      <c r="D313" s="35"/>
      <c r="E313" s="35"/>
      <c r="F313" s="35"/>
      <c r="G313" s="35"/>
      <c r="H313" s="35"/>
      <c r="I313" s="35"/>
      <c r="J313" s="35"/>
      <c r="K313" s="35"/>
      <c r="L313" s="35"/>
      <c r="M313" s="35"/>
      <c r="N313" s="35"/>
      <c r="O313" s="35"/>
      <c r="P313" s="35"/>
      <c r="Q313" s="35"/>
      <c r="R313" s="35"/>
      <c r="S313" s="35"/>
      <c r="T313" s="35"/>
      <c r="U313" s="35"/>
      <c r="V313" s="35"/>
      <c r="W313" s="35"/>
      <c r="X313" s="35"/>
      <c r="Y313" s="35"/>
      <c r="Z313" s="35"/>
    </row>
    <row r="314" ht="12.75" customHeight="1">
      <c r="A314" s="35"/>
      <c r="B314" s="35"/>
      <c r="C314" s="35"/>
      <c r="D314" s="35"/>
      <c r="E314" s="35"/>
      <c r="F314" s="35"/>
      <c r="G314" s="35"/>
      <c r="H314" s="35"/>
      <c r="I314" s="35"/>
      <c r="J314" s="35"/>
      <c r="K314" s="35"/>
      <c r="L314" s="35"/>
      <c r="M314" s="35"/>
      <c r="N314" s="35"/>
      <c r="O314" s="35"/>
      <c r="P314" s="35"/>
      <c r="Q314" s="35"/>
      <c r="R314" s="35"/>
      <c r="S314" s="35"/>
      <c r="T314" s="35"/>
      <c r="U314" s="35"/>
      <c r="V314" s="35"/>
      <c r="W314" s="35"/>
      <c r="X314" s="35"/>
      <c r="Y314" s="35"/>
      <c r="Z314" s="35"/>
    </row>
    <row r="315" ht="12.75" customHeight="1">
      <c r="A315" s="35"/>
      <c r="B315" s="35"/>
      <c r="C315" s="35"/>
      <c r="D315" s="35"/>
      <c r="E315" s="35"/>
      <c r="F315" s="35"/>
      <c r="G315" s="35"/>
      <c r="H315" s="35"/>
      <c r="I315" s="35"/>
      <c r="J315" s="35"/>
      <c r="K315" s="35"/>
      <c r="L315" s="35"/>
      <c r="M315" s="35"/>
      <c r="N315" s="35"/>
      <c r="O315" s="35"/>
      <c r="P315" s="35"/>
      <c r="Q315" s="35"/>
      <c r="R315" s="35"/>
      <c r="S315" s="35"/>
      <c r="T315" s="35"/>
      <c r="U315" s="35"/>
      <c r="V315" s="35"/>
      <c r="W315" s="35"/>
      <c r="X315" s="35"/>
      <c r="Y315" s="35"/>
      <c r="Z315" s="35"/>
    </row>
    <row r="316" ht="12.75" customHeight="1">
      <c r="A316" s="35"/>
      <c r="B316" s="35"/>
      <c r="C316" s="35"/>
      <c r="D316" s="35"/>
      <c r="E316" s="35"/>
      <c r="F316" s="35"/>
      <c r="G316" s="35"/>
      <c r="H316" s="35"/>
      <c r="I316" s="35"/>
      <c r="J316" s="35"/>
      <c r="K316" s="35"/>
      <c r="L316" s="35"/>
      <c r="M316" s="35"/>
      <c r="N316" s="35"/>
      <c r="O316" s="35"/>
      <c r="P316" s="35"/>
      <c r="Q316" s="35"/>
      <c r="R316" s="35"/>
      <c r="S316" s="35"/>
      <c r="T316" s="35"/>
      <c r="U316" s="35"/>
      <c r="V316" s="35"/>
      <c r="W316" s="35"/>
      <c r="X316" s="35"/>
      <c r="Y316" s="35"/>
      <c r="Z316" s="35"/>
    </row>
    <row r="317" ht="12.75" customHeight="1">
      <c r="A317" s="35"/>
      <c r="B317" s="35"/>
      <c r="C317" s="35"/>
      <c r="D317" s="35"/>
      <c r="E317" s="35"/>
      <c r="F317" s="35"/>
      <c r="G317" s="35"/>
      <c r="H317" s="35"/>
      <c r="I317" s="35"/>
      <c r="J317" s="35"/>
      <c r="K317" s="35"/>
      <c r="L317" s="35"/>
      <c r="M317" s="35"/>
      <c r="N317" s="35"/>
      <c r="O317" s="35"/>
      <c r="P317" s="35"/>
      <c r="Q317" s="35"/>
      <c r="R317" s="35"/>
      <c r="S317" s="35"/>
      <c r="T317" s="35"/>
      <c r="U317" s="35"/>
      <c r="V317" s="35"/>
      <c r="W317" s="35"/>
      <c r="X317" s="35"/>
      <c r="Y317" s="35"/>
      <c r="Z317" s="35"/>
    </row>
    <row r="318" ht="12.75" customHeight="1">
      <c r="A318" s="35"/>
      <c r="B318" s="35"/>
      <c r="C318" s="35"/>
      <c r="D318" s="35"/>
      <c r="E318" s="35"/>
      <c r="F318" s="35"/>
      <c r="G318" s="35"/>
      <c r="H318" s="35"/>
      <c r="I318" s="35"/>
      <c r="J318" s="35"/>
      <c r="K318" s="35"/>
      <c r="L318" s="35"/>
      <c r="M318" s="35"/>
      <c r="N318" s="35"/>
      <c r="O318" s="35"/>
      <c r="P318" s="35"/>
      <c r="Q318" s="35"/>
      <c r="R318" s="35"/>
      <c r="S318" s="35"/>
      <c r="T318" s="35"/>
      <c r="U318" s="35"/>
      <c r="V318" s="35"/>
      <c r="W318" s="35"/>
      <c r="X318" s="35"/>
      <c r="Y318" s="35"/>
      <c r="Z318" s="35"/>
    </row>
    <row r="319" ht="12.75" customHeight="1">
      <c r="A319" s="35"/>
      <c r="B319" s="35"/>
      <c r="C319" s="35"/>
      <c r="D319" s="35"/>
      <c r="E319" s="35"/>
      <c r="F319" s="35"/>
      <c r="G319" s="35"/>
      <c r="H319" s="35"/>
      <c r="I319" s="35"/>
      <c r="J319" s="35"/>
      <c r="K319" s="35"/>
      <c r="L319" s="35"/>
      <c r="M319" s="35"/>
      <c r="N319" s="35"/>
      <c r="O319" s="35"/>
      <c r="P319" s="35"/>
      <c r="Q319" s="35"/>
      <c r="R319" s="35"/>
      <c r="S319" s="35"/>
      <c r="T319" s="35"/>
      <c r="U319" s="35"/>
      <c r="V319" s="35"/>
      <c r="W319" s="35"/>
      <c r="X319" s="35"/>
      <c r="Y319" s="35"/>
      <c r="Z319" s="35"/>
    </row>
    <row r="320" ht="12.75" customHeight="1">
      <c r="A320" s="35"/>
      <c r="B320" s="35"/>
      <c r="C320" s="35"/>
      <c r="D320" s="35"/>
      <c r="E320" s="35"/>
      <c r="F320" s="35"/>
      <c r="G320" s="35"/>
      <c r="H320" s="35"/>
      <c r="I320" s="35"/>
      <c r="J320" s="35"/>
      <c r="K320" s="35"/>
      <c r="L320" s="35"/>
      <c r="M320" s="35"/>
      <c r="N320" s="35"/>
      <c r="O320" s="35"/>
      <c r="P320" s="35"/>
      <c r="Q320" s="35"/>
      <c r="R320" s="35"/>
      <c r="S320" s="35"/>
      <c r="T320" s="35"/>
      <c r="U320" s="35"/>
      <c r="V320" s="35"/>
      <c r="W320" s="35"/>
      <c r="X320" s="35"/>
      <c r="Y320" s="35"/>
      <c r="Z320" s="35"/>
    </row>
    <row r="321" ht="12.75" customHeight="1">
      <c r="A321" s="35"/>
      <c r="B321" s="35"/>
      <c r="C321" s="35"/>
      <c r="D321" s="35"/>
      <c r="E321" s="35"/>
      <c r="F321" s="35"/>
      <c r="G321" s="35"/>
      <c r="H321" s="35"/>
      <c r="I321" s="35"/>
      <c r="J321" s="35"/>
      <c r="K321" s="35"/>
      <c r="L321" s="35"/>
      <c r="M321" s="35"/>
      <c r="N321" s="35"/>
      <c r="O321" s="35"/>
      <c r="P321" s="35"/>
      <c r="Q321" s="35"/>
      <c r="R321" s="35"/>
      <c r="S321" s="35"/>
      <c r="T321" s="35"/>
      <c r="U321" s="35"/>
      <c r="V321" s="35"/>
      <c r="W321" s="35"/>
      <c r="X321" s="35"/>
      <c r="Y321" s="35"/>
      <c r="Z321" s="35"/>
    </row>
    <row r="322" ht="12.75" customHeight="1">
      <c r="A322" s="35"/>
      <c r="B322" s="35"/>
      <c r="C322" s="35"/>
      <c r="D322" s="35"/>
      <c r="E322" s="35"/>
      <c r="F322" s="35"/>
      <c r="G322" s="35"/>
      <c r="H322" s="35"/>
      <c r="I322" s="35"/>
      <c r="J322" s="35"/>
      <c r="K322" s="35"/>
      <c r="L322" s="35"/>
      <c r="M322" s="35"/>
      <c r="N322" s="35"/>
      <c r="O322" s="35"/>
      <c r="P322" s="35"/>
      <c r="Q322" s="35"/>
      <c r="R322" s="35"/>
      <c r="S322" s="35"/>
      <c r="T322" s="35"/>
      <c r="U322" s="35"/>
      <c r="V322" s="35"/>
      <c r="W322" s="35"/>
      <c r="X322" s="35"/>
      <c r="Y322" s="35"/>
      <c r="Z322" s="35"/>
    </row>
    <row r="323" ht="12.75" customHeight="1">
      <c r="A323" s="35"/>
      <c r="B323" s="35"/>
      <c r="C323" s="35"/>
      <c r="D323" s="35"/>
      <c r="E323" s="35"/>
      <c r="F323" s="35"/>
      <c r="G323" s="35"/>
      <c r="H323" s="35"/>
      <c r="I323" s="35"/>
      <c r="J323" s="35"/>
      <c r="K323" s="35"/>
      <c r="L323" s="35"/>
      <c r="M323" s="35"/>
      <c r="N323" s="35"/>
      <c r="O323" s="35"/>
      <c r="P323" s="35"/>
      <c r="Q323" s="35"/>
      <c r="R323" s="35"/>
      <c r="S323" s="35"/>
      <c r="T323" s="35"/>
      <c r="U323" s="35"/>
      <c r="V323" s="35"/>
      <c r="W323" s="35"/>
      <c r="X323" s="35"/>
      <c r="Y323" s="35"/>
      <c r="Z323" s="35"/>
    </row>
    <row r="324" ht="12.75" customHeight="1">
      <c r="A324" s="35"/>
      <c r="B324" s="35"/>
      <c r="C324" s="35"/>
      <c r="D324" s="35"/>
      <c r="E324" s="35"/>
      <c r="F324" s="35"/>
      <c r="G324" s="35"/>
      <c r="H324" s="35"/>
      <c r="I324" s="35"/>
      <c r="J324" s="35"/>
      <c r="K324" s="35"/>
      <c r="L324" s="35"/>
      <c r="M324" s="35"/>
      <c r="N324" s="35"/>
      <c r="O324" s="35"/>
      <c r="P324" s="35"/>
      <c r="Q324" s="35"/>
      <c r="R324" s="35"/>
      <c r="S324" s="35"/>
      <c r="T324" s="35"/>
      <c r="U324" s="35"/>
      <c r="V324" s="35"/>
      <c r="W324" s="35"/>
      <c r="X324" s="35"/>
      <c r="Y324" s="35"/>
      <c r="Z324" s="35"/>
    </row>
    <row r="325" ht="12.75" customHeight="1">
      <c r="A325" s="35"/>
      <c r="B325" s="35"/>
      <c r="C325" s="35"/>
      <c r="D325" s="35"/>
      <c r="E325" s="35"/>
      <c r="F325" s="35"/>
      <c r="G325" s="35"/>
      <c r="H325" s="35"/>
      <c r="I325" s="35"/>
      <c r="J325" s="35"/>
      <c r="K325" s="35"/>
      <c r="L325" s="35"/>
      <c r="M325" s="35"/>
      <c r="N325" s="35"/>
      <c r="O325" s="35"/>
      <c r="P325" s="35"/>
      <c r="Q325" s="35"/>
      <c r="R325" s="35"/>
      <c r="S325" s="35"/>
      <c r="T325" s="35"/>
      <c r="U325" s="35"/>
      <c r="V325" s="35"/>
      <c r="W325" s="35"/>
      <c r="X325" s="35"/>
      <c r="Y325" s="35"/>
      <c r="Z325" s="35"/>
    </row>
    <row r="326" ht="12.75" customHeight="1">
      <c r="A326" s="35"/>
      <c r="B326" s="35"/>
      <c r="C326" s="35"/>
      <c r="D326" s="35"/>
      <c r="E326" s="35"/>
      <c r="F326" s="35"/>
      <c r="G326" s="35"/>
      <c r="H326" s="35"/>
      <c r="I326" s="35"/>
      <c r="J326" s="35"/>
      <c r="K326" s="35"/>
      <c r="L326" s="35"/>
      <c r="M326" s="35"/>
      <c r="N326" s="35"/>
      <c r="O326" s="35"/>
      <c r="P326" s="35"/>
      <c r="Q326" s="35"/>
      <c r="R326" s="35"/>
      <c r="S326" s="35"/>
      <c r="T326" s="35"/>
      <c r="U326" s="35"/>
      <c r="V326" s="35"/>
      <c r="W326" s="35"/>
      <c r="X326" s="35"/>
      <c r="Y326" s="35"/>
      <c r="Z326" s="35"/>
    </row>
    <row r="327" ht="12.75" customHeight="1">
      <c r="A327" s="35"/>
      <c r="B327" s="35"/>
      <c r="C327" s="35"/>
      <c r="D327" s="35"/>
      <c r="E327" s="35"/>
      <c r="F327" s="35"/>
      <c r="G327" s="35"/>
      <c r="H327" s="35"/>
      <c r="I327" s="35"/>
      <c r="J327" s="35"/>
      <c r="K327" s="35"/>
      <c r="L327" s="35"/>
      <c r="M327" s="35"/>
      <c r="N327" s="35"/>
      <c r="O327" s="35"/>
      <c r="P327" s="35"/>
      <c r="Q327" s="35"/>
      <c r="R327" s="35"/>
      <c r="S327" s="35"/>
      <c r="T327" s="35"/>
      <c r="U327" s="35"/>
      <c r="V327" s="35"/>
      <c r="W327" s="35"/>
      <c r="X327" s="35"/>
      <c r="Y327" s="35"/>
      <c r="Z327" s="35"/>
    </row>
    <row r="328" ht="12.75" customHeight="1">
      <c r="A328" s="35"/>
      <c r="B328" s="35"/>
      <c r="C328" s="35"/>
      <c r="D328" s="35"/>
      <c r="E328" s="35"/>
      <c r="F328" s="35"/>
      <c r="G328" s="35"/>
      <c r="H328" s="35"/>
      <c r="I328" s="35"/>
      <c r="J328" s="35"/>
      <c r="K328" s="35"/>
      <c r="L328" s="35"/>
      <c r="M328" s="35"/>
      <c r="N328" s="35"/>
      <c r="O328" s="35"/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5"/>
    </row>
    <row r="329" ht="12.75" customHeight="1">
      <c r="A329" s="35"/>
      <c r="B329" s="35"/>
      <c r="C329" s="35"/>
      <c r="D329" s="35"/>
      <c r="E329" s="35"/>
      <c r="F329" s="35"/>
      <c r="G329" s="35"/>
      <c r="H329" s="35"/>
      <c r="I329" s="35"/>
      <c r="J329" s="35"/>
      <c r="K329" s="35"/>
      <c r="L329" s="35"/>
      <c r="M329" s="35"/>
      <c r="N329" s="35"/>
      <c r="O329" s="35"/>
      <c r="P329" s="35"/>
      <c r="Q329" s="35"/>
      <c r="R329" s="35"/>
      <c r="S329" s="35"/>
      <c r="T329" s="35"/>
      <c r="U329" s="35"/>
      <c r="V329" s="35"/>
      <c r="W329" s="35"/>
      <c r="X329" s="35"/>
      <c r="Y329" s="35"/>
      <c r="Z329" s="35"/>
    </row>
    <row r="330" ht="12.75" customHeight="1">
      <c r="A330" s="35"/>
      <c r="B330" s="35"/>
      <c r="C330" s="35"/>
      <c r="D330" s="35"/>
      <c r="E330" s="35"/>
      <c r="F330" s="35"/>
      <c r="G330" s="35"/>
      <c r="H330" s="35"/>
      <c r="I330" s="35"/>
      <c r="J330" s="35"/>
      <c r="K330" s="35"/>
      <c r="L330" s="35"/>
      <c r="M330" s="35"/>
      <c r="N330" s="35"/>
      <c r="O330" s="35"/>
      <c r="P330" s="35"/>
      <c r="Q330" s="35"/>
      <c r="R330" s="35"/>
      <c r="S330" s="35"/>
      <c r="T330" s="35"/>
      <c r="U330" s="35"/>
      <c r="V330" s="35"/>
      <c r="W330" s="35"/>
      <c r="X330" s="35"/>
      <c r="Y330" s="35"/>
      <c r="Z330" s="35"/>
    </row>
    <row r="331" ht="12.75" customHeight="1">
      <c r="A331" s="35"/>
      <c r="B331" s="35"/>
      <c r="C331" s="35"/>
      <c r="D331" s="35"/>
      <c r="E331" s="35"/>
      <c r="F331" s="35"/>
      <c r="G331" s="35"/>
      <c r="H331" s="35"/>
      <c r="I331" s="35"/>
      <c r="J331" s="35"/>
      <c r="K331" s="35"/>
      <c r="L331" s="35"/>
      <c r="M331" s="35"/>
      <c r="N331" s="35"/>
      <c r="O331" s="35"/>
      <c r="P331" s="35"/>
      <c r="Q331" s="35"/>
      <c r="R331" s="35"/>
      <c r="S331" s="35"/>
      <c r="T331" s="35"/>
      <c r="U331" s="35"/>
      <c r="V331" s="35"/>
      <c r="W331" s="35"/>
      <c r="X331" s="35"/>
      <c r="Y331" s="35"/>
      <c r="Z331" s="35"/>
    </row>
    <row r="332" ht="12.75" customHeight="1">
      <c r="A332" s="35"/>
      <c r="B332" s="35"/>
      <c r="C332" s="35"/>
      <c r="D332" s="35"/>
      <c r="E332" s="35"/>
      <c r="F332" s="35"/>
      <c r="G332" s="35"/>
      <c r="H332" s="35"/>
      <c r="I332" s="35"/>
      <c r="J332" s="35"/>
      <c r="K332" s="35"/>
      <c r="L332" s="35"/>
      <c r="M332" s="35"/>
      <c r="N332" s="35"/>
      <c r="O332" s="35"/>
      <c r="P332" s="35"/>
      <c r="Q332" s="35"/>
      <c r="R332" s="35"/>
      <c r="S332" s="35"/>
      <c r="T332" s="35"/>
      <c r="U332" s="35"/>
      <c r="V332" s="35"/>
      <c r="W332" s="35"/>
      <c r="X332" s="35"/>
      <c r="Y332" s="35"/>
      <c r="Z332" s="35"/>
    </row>
    <row r="333" ht="12.75" customHeight="1">
      <c r="A333" s="35"/>
      <c r="B333" s="35"/>
      <c r="C333" s="35"/>
      <c r="D333" s="35"/>
      <c r="E333" s="35"/>
      <c r="F333" s="35"/>
      <c r="G333" s="35"/>
      <c r="H333" s="35"/>
      <c r="I333" s="35"/>
      <c r="J333" s="35"/>
      <c r="K333" s="35"/>
      <c r="L333" s="35"/>
      <c r="M333" s="35"/>
      <c r="N333" s="35"/>
      <c r="O333" s="35"/>
      <c r="P333" s="35"/>
      <c r="Q333" s="35"/>
      <c r="R333" s="35"/>
      <c r="S333" s="35"/>
      <c r="T333" s="35"/>
      <c r="U333" s="35"/>
      <c r="V333" s="35"/>
      <c r="W333" s="35"/>
      <c r="X333" s="35"/>
      <c r="Y333" s="35"/>
      <c r="Z333" s="35"/>
    </row>
    <row r="334" ht="12.75" customHeight="1">
      <c r="A334" s="35"/>
      <c r="B334" s="35"/>
      <c r="C334" s="35"/>
      <c r="D334" s="35"/>
      <c r="E334" s="35"/>
      <c r="F334" s="35"/>
      <c r="G334" s="35"/>
      <c r="H334" s="35"/>
      <c r="I334" s="35"/>
      <c r="J334" s="35"/>
      <c r="K334" s="35"/>
      <c r="L334" s="35"/>
      <c r="M334" s="35"/>
      <c r="N334" s="35"/>
      <c r="O334" s="35"/>
      <c r="P334" s="35"/>
      <c r="Q334" s="35"/>
      <c r="R334" s="35"/>
      <c r="S334" s="35"/>
      <c r="T334" s="35"/>
      <c r="U334" s="35"/>
      <c r="V334" s="35"/>
      <c r="W334" s="35"/>
      <c r="X334" s="35"/>
      <c r="Y334" s="35"/>
      <c r="Z334" s="35"/>
    </row>
    <row r="335" ht="12.75" customHeight="1">
      <c r="A335" s="35"/>
      <c r="B335" s="35"/>
      <c r="C335" s="35"/>
      <c r="D335" s="35"/>
      <c r="E335" s="35"/>
      <c r="F335" s="35"/>
      <c r="G335" s="35"/>
      <c r="H335" s="35"/>
      <c r="I335" s="35"/>
      <c r="J335" s="35"/>
      <c r="K335" s="35"/>
      <c r="L335" s="35"/>
      <c r="M335" s="35"/>
      <c r="N335" s="35"/>
      <c r="O335" s="35"/>
      <c r="P335" s="35"/>
      <c r="Q335" s="35"/>
      <c r="R335" s="35"/>
      <c r="S335" s="35"/>
      <c r="T335" s="35"/>
      <c r="U335" s="35"/>
      <c r="V335" s="35"/>
      <c r="W335" s="35"/>
      <c r="X335" s="35"/>
      <c r="Y335" s="35"/>
      <c r="Z335" s="35"/>
    </row>
    <row r="336" ht="12.75" customHeight="1">
      <c r="A336" s="35"/>
      <c r="B336" s="35"/>
      <c r="C336" s="35"/>
      <c r="D336" s="35"/>
      <c r="E336" s="35"/>
      <c r="F336" s="35"/>
      <c r="G336" s="35"/>
      <c r="H336" s="35"/>
      <c r="I336" s="35"/>
      <c r="J336" s="35"/>
      <c r="K336" s="35"/>
      <c r="L336" s="35"/>
      <c r="M336" s="35"/>
      <c r="N336" s="35"/>
      <c r="O336" s="35"/>
      <c r="P336" s="35"/>
      <c r="Q336" s="35"/>
      <c r="R336" s="35"/>
      <c r="S336" s="35"/>
      <c r="T336" s="35"/>
      <c r="U336" s="35"/>
      <c r="V336" s="35"/>
      <c r="W336" s="35"/>
      <c r="X336" s="35"/>
      <c r="Y336" s="35"/>
      <c r="Z336" s="35"/>
    </row>
    <row r="337" ht="12.75" customHeight="1">
      <c r="A337" s="35"/>
      <c r="B337" s="35"/>
      <c r="C337" s="35"/>
      <c r="D337" s="35"/>
      <c r="E337" s="35"/>
      <c r="F337" s="35"/>
      <c r="G337" s="35"/>
      <c r="H337" s="35"/>
      <c r="I337" s="35"/>
      <c r="J337" s="35"/>
      <c r="K337" s="35"/>
      <c r="L337" s="35"/>
      <c r="M337" s="35"/>
      <c r="N337" s="35"/>
      <c r="O337" s="35"/>
      <c r="P337" s="35"/>
      <c r="Q337" s="35"/>
      <c r="R337" s="35"/>
      <c r="S337" s="35"/>
      <c r="T337" s="35"/>
      <c r="U337" s="35"/>
      <c r="V337" s="35"/>
      <c r="W337" s="35"/>
      <c r="X337" s="35"/>
      <c r="Y337" s="35"/>
      <c r="Z337" s="35"/>
    </row>
    <row r="338" ht="12.75" customHeight="1">
      <c r="A338" s="35"/>
      <c r="B338" s="35"/>
      <c r="C338" s="35"/>
      <c r="D338" s="35"/>
      <c r="E338" s="35"/>
      <c r="F338" s="35"/>
      <c r="G338" s="35"/>
      <c r="H338" s="35"/>
      <c r="I338" s="35"/>
      <c r="J338" s="35"/>
      <c r="K338" s="35"/>
      <c r="L338" s="35"/>
      <c r="M338" s="35"/>
      <c r="N338" s="35"/>
      <c r="O338" s="35"/>
      <c r="P338" s="35"/>
      <c r="Q338" s="35"/>
      <c r="R338" s="35"/>
      <c r="S338" s="35"/>
      <c r="T338" s="35"/>
      <c r="U338" s="35"/>
      <c r="V338" s="35"/>
      <c r="W338" s="35"/>
      <c r="X338" s="35"/>
      <c r="Y338" s="35"/>
      <c r="Z338" s="35"/>
    </row>
    <row r="339" ht="12.75" customHeight="1">
      <c r="A339" s="35"/>
      <c r="B339" s="35"/>
      <c r="C339" s="35"/>
      <c r="D339" s="35"/>
      <c r="E339" s="35"/>
      <c r="F339" s="35"/>
      <c r="G339" s="35"/>
      <c r="H339" s="35"/>
      <c r="I339" s="35"/>
      <c r="J339" s="35"/>
      <c r="K339" s="35"/>
      <c r="L339" s="35"/>
      <c r="M339" s="35"/>
      <c r="N339" s="35"/>
      <c r="O339" s="35"/>
      <c r="P339" s="35"/>
      <c r="Q339" s="35"/>
      <c r="R339" s="35"/>
      <c r="S339" s="35"/>
      <c r="T339" s="35"/>
      <c r="U339" s="35"/>
      <c r="V339" s="35"/>
      <c r="W339" s="35"/>
      <c r="X339" s="35"/>
      <c r="Y339" s="35"/>
      <c r="Z339" s="35"/>
    </row>
    <row r="340" ht="12.75" customHeight="1">
      <c r="A340" s="35"/>
      <c r="B340" s="35"/>
      <c r="C340" s="35"/>
      <c r="D340" s="35"/>
      <c r="E340" s="35"/>
      <c r="F340" s="35"/>
      <c r="G340" s="35"/>
      <c r="H340" s="35"/>
      <c r="I340" s="35"/>
      <c r="J340" s="35"/>
      <c r="K340" s="35"/>
      <c r="L340" s="35"/>
      <c r="M340" s="35"/>
      <c r="N340" s="35"/>
      <c r="O340" s="35"/>
      <c r="P340" s="35"/>
      <c r="Q340" s="35"/>
      <c r="R340" s="35"/>
      <c r="S340" s="35"/>
      <c r="T340" s="35"/>
      <c r="U340" s="35"/>
      <c r="V340" s="35"/>
      <c r="W340" s="35"/>
      <c r="X340" s="35"/>
      <c r="Y340" s="35"/>
      <c r="Z340" s="35"/>
    </row>
    <row r="341" ht="12.75" customHeight="1">
      <c r="A341" s="35"/>
      <c r="B341" s="35"/>
      <c r="C341" s="35"/>
      <c r="D341" s="35"/>
      <c r="E341" s="35"/>
      <c r="F341" s="35"/>
      <c r="G341" s="35"/>
      <c r="H341" s="35"/>
      <c r="I341" s="35"/>
      <c r="J341" s="35"/>
      <c r="K341" s="35"/>
      <c r="L341" s="35"/>
      <c r="M341" s="35"/>
      <c r="N341" s="35"/>
      <c r="O341" s="35"/>
      <c r="P341" s="35"/>
      <c r="Q341" s="35"/>
      <c r="R341" s="35"/>
      <c r="S341" s="35"/>
      <c r="T341" s="35"/>
      <c r="U341" s="35"/>
      <c r="V341" s="35"/>
      <c r="W341" s="35"/>
      <c r="X341" s="35"/>
      <c r="Y341" s="35"/>
      <c r="Z341" s="35"/>
    </row>
    <row r="342" ht="12.75" customHeight="1">
      <c r="A342" s="35"/>
      <c r="B342" s="35"/>
      <c r="C342" s="35"/>
      <c r="D342" s="35"/>
      <c r="E342" s="35"/>
      <c r="F342" s="35"/>
      <c r="G342" s="35"/>
      <c r="H342" s="35"/>
      <c r="I342" s="35"/>
      <c r="J342" s="35"/>
      <c r="K342" s="35"/>
      <c r="L342" s="35"/>
      <c r="M342" s="35"/>
      <c r="N342" s="35"/>
      <c r="O342" s="35"/>
      <c r="P342" s="35"/>
      <c r="Q342" s="35"/>
      <c r="R342" s="35"/>
      <c r="S342" s="35"/>
      <c r="T342" s="35"/>
      <c r="U342" s="35"/>
      <c r="V342" s="35"/>
      <c r="W342" s="35"/>
      <c r="X342" s="35"/>
      <c r="Y342" s="35"/>
      <c r="Z342" s="35"/>
    </row>
    <row r="343" ht="12.75" customHeight="1">
      <c r="A343" s="35"/>
      <c r="B343" s="35"/>
      <c r="C343" s="35"/>
      <c r="D343" s="35"/>
      <c r="E343" s="35"/>
      <c r="F343" s="35"/>
      <c r="G343" s="35"/>
      <c r="H343" s="35"/>
      <c r="I343" s="35"/>
      <c r="J343" s="35"/>
      <c r="K343" s="35"/>
      <c r="L343" s="35"/>
      <c r="M343" s="35"/>
      <c r="N343" s="35"/>
      <c r="O343" s="35"/>
      <c r="P343" s="35"/>
      <c r="Q343" s="35"/>
      <c r="R343" s="35"/>
      <c r="S343" s="35"/>
      <c r="T343" s="35"/>
      <c r="U343" s="35"/>
      <c r="V343" s="35"/>
      <c r="W343" s="35"/>
      <c r="X343" s="35"/>
      <c r="Y343" s="35"/>
      <c r="Z343" s="35"/>
    </row>
    <row r="344" ht="12.75" customHeight="1">
      <c r="A344" s="35"/>
      <c r="B344" s="35"/>
      <c r="C344" s="35"/>
      <c r="D344" s="35"/>
      <c r="E344" s="35"/>
      <c r="F344" s="35"/>
      <c r="G344" s="35"/>
      <c r="H344" s="35"/>
      <c r="I344" s="35"/>
      <c r="J344" s="35"/>
      <c r="K344" s="35"/>
      <c r="L344" s="35"/>
      <c r="M344" s="35"/>
      <c r="N344" s="35"/>
      <c r="O344" s="35"/>
      <c r="P344" s="35"/>
      <c r="Q344" s="35"/>
      <c r="R344" s="35"/>
      <c r="S344" s="35"/>
      <c r="T344" s="35"/>
      <c r="U344" s="35"/>
      <c r="V344" s="35"/>
      <c r="W344" s="35"/>
      <c r="X344" s="35"/>
      <c r="Y344" s="35"/>
      <c r="Z344" s="35"/>
    </row>
    <row r="345" ht="12.75" customHeight="1">
      <c r="A345" s="35"/>
      <c r="B345" s="35"/>
      <c r="C345" s="35"/>
      <c r="D345" s="35"/>
      <c r="E345" s="35"/>
      <c r="F345" s="35"/>
      <c r="G345" s="35"/>
      <c r="H345" s="35"/>
      <c r="I345" s="35"/>
      <c r="J345" s="35"/>
      <c r="K345" s="35"/>
      <c r="L345" s="35"/>
      <c r="M345" s="35"/>
      <c r="N345" s="35"/>
      <c r="O345" s="35"/>
      <c r="P345" s="35"/>
      <c r="Q345" s="35"/>
      <c r="R345" s="35"/>
      <c r="S345" s="35"/>
      <c r="T345" s="35"/>
      <c r="U345" s="35"/>
      <c r="V345" s="35"/>
      <c r="W345" s="35"/>
      <c r="X345" s="35"/>
      <c r="Y345" s="35"/>
      <c r="Z345" s="35"/>
    </row>
    <row r="346" ht="12.75" customHeight="1">
      <c r="A346" s="35"/>
      <c r="B346" s="35"/>
      <c r="C346" s="35"/>
      <c r="D346" s="35"/>
      <c r="E346" s="35"/>
      <c r="F346" s="35"/>
      <c r="G346" s="35"/>
      <c r="H346" s="35"/>
      <c r="I346" s="35"/>
      <c r="J346" s="35"/>
      <c r="K346" s="35"/>
      <c r="L346" s="35"/>
      <c r="M346" s="35"/>
      <c r="N346" s="35"/>
      <c r="O346" s="35"/>
      <c r="P346" s="35"/>
      <c r="Q346" s="35"/>
      <c r="R346" s="35"/>
      <c r="S346" s="35"/>
      <c r="T346" s="35"/>
      <c r="U346" s="35"/>
      <c r="V346" s="35"/>
      <c r="W346" s="35"/>
      <c r="X346" s="35"/>
      <c r="Y346" s="35"/>
      <c r="Z346" s="35"/>
    </row>
    <row r="347" ht="12.75" customHeight="1">
      <c r="A347" s="35"/>
      <c r="B347" s="35"/>
      <c r="C347" s="35"/>
      <c r="D347" s="35"/>
      <c r="E347" s="35"/>
      <c r="F347" s="35"/>
      <c r="G347" s="35"/>
      <c r="H347" s="35"/>
      <c r="I347" s="35"/>
      <c r="J347" s="35"/>
      <c r="K347" s="35"/>
      <c r="L347" s="35"/>
      <c r="M347" s="35"/>
      <c r="N347" s="35"/>
      <c r="O347" s="35"/>
      <c r="P347" s="35"/>
      <c r="Q347" s="35"/>
      <c r="R347" s="35"/>
      <c r="S347" s="35"/>
      <c r="T347" s="35"/>
      <c r="U347" s="35"/>
      <c r="V347" s="35"/>
      <c r="W347" s="35"/>
      <c r="X347" s="35"/>
      <c r="Y347" s="35"/>
      <c r="Z347" s="35"/>
    </row>
    <row r="348" ht="12.75" customHeight="1">
      <c r="A348" s="35"/>
      <c r="B348" s="35"/>
      <c r="C348" s="35"/>
      <c r="D348" s="35"/>
      <c r="E348" s="35"/>
      <c r="F348" s="35"/>
      <c r="G348" s="35"/>
      <c r="H348" s="35"/>
      <c r="I348" s="35"/>
      <c r="J348" s="35"/>
      <c r="K348" s="35"/>
      <c r="L348" s="35"/>
      <c r="M348" s="35"/>
      <c r="N348" s="35"/>
      <c r="O348" s="35"/>
      <c r="P348" s="35"/>
      <c r="Q348" s="35"/>
      <c r="R348" s="35"/>
      <c r="S348" s="35"/>
      <c r="T348" s="35"/>
      <c r="U348" s="35"/>
      <c r="V348" s="35"/>
      <c r="W348" s="35"/>
      <c r="X348" s="35"/>
      <c r="Y348" s="35"/>
      <c r="Z348" s="35"/>
    </row>
    <row r="349" ht="12.75" customHeight="1">
      <c r="A349" s="35"/>
      <c r="B349" s="35"/>
      <c r="C349" s="35"/>
      <c r="D349" s="35"/>
      <c r="E349" s="35"/>
      <c r="F349" s="35"/>
      <c r="G349" s="35"/>
      <c r="H349" s="35"/>
      <c r="I349" s="35"/>
      <c r="J349" s="35"/>
      <c r="K349" s="35"/>
      <c r="L349" s="35"/>
      <c r="M349" s="35"/>
      <c r="N349" s="35"/>
      <c r="O349" s="35"/>
      <c r="P349" s="35"/>
      <c r="Q349" s="35"/>
      <c r="R349" s="35"/>
      <c r="S349" s="35"/>
      <c r="T349" s="35"/>
      <c r="U349" s="35"/>
      <c r="V349" s="35"/>
      <c r="W349" s="35"/>
      <c r="X349" s="35"/>
      <c r="Y349" s="35"/>
      <c r="Z349" s="35"/>
    </row>
    <row r="350" ht="12.75" customHeight="1">
      <c r="A350" s="35"/>
      <c r="B350" s="35"/>
      <c r="C350" s="35"/>
      <c r="D350" s="35"/>
      <c r="E350" s="35"/>
      <c r="F350" s="35"/>
      <c r="G350" s="35"/>
      <c r="H350" s="35"/>
      <c r="I350" s="35"/>
      <c r="J350" s="35"/>
      <c r="K350" s="35"/>
      <c r="L350" s="35"/>
      <c r="M350" s="35"/>
      <c r="N350" s="35"/>
      <c r="O350" s="35"/>
      <c r="P350" s="35"/>
      <c r="Q350" s="35"/>
      <c r="R350" s="35"/>
      <c r="S350" s="35"/>
      <c r="T350" s="35"/>
      <c r="U350" s="35"/>
      <c r="V350" s="35"/>
      <c r="W350" s="35"/>
      <c r="X350" s="35"/>
      <c r="Y350" s="35"/>
      <c r="Z350" s="35"/>
    </row>
    <row r="351" ht="12.75" customHeight="1">
      <c r="A351" s="35"/>
      <c r="B351" s="35"/>
      <c r="C351" s="35"/>
      <c r="D351" s="35"/>
      <c r="E351" s="35"/>
      <c r="F351" s="35"/>
      <c r="G351" s="35"/>
      <c r="H351" s="35"/>
      <c r="I351" s="35"/>
      <c r="J351" s="35"/>
      <c r="K351" s="35"/>
      <c r="L351" s="35"/>
      <c r="M351" s="35"/>
      <c r="N351" s="35"/>
      <c r="O351" s="35"/>
      <c r="P351" s="35"/>
      <c r="Q351" s="35"/>
      <c r="R351" s="35"/>
      <c r="S351" s="35"/>
      <c r="T351" s="35"/>
      <c r="U351" s="35"/>
      <c r="V351" s="35"/>
      <c r="W351" s="35"/>
      <c r="X351" s="35"/>
      <c r="Y351" s="35"/>
      <c r="Z351" s="35"/>
    </row>
    <row r="352" ht="12.75" customHeight="1">
      <c r="A352" s="35"/>
      <c r="B352" s="35"/>
      <c r="C352" s="35"/>
      <c r="D352" s="35"/>
      <c r="E352" s="35"/>
      <c r="F352" s="35"/>
      <c r="G352" s="35"/>
      <c r="H352" s="35"/>
      <c r="I352" s="35"/>
      <c r="J352" s="35"/>
      <c r="K352" s="35"/>
      <c r="L352" s="35"/>
      <c r="M352" s="35"/>
      <c r="N352" s="35"/>
      <c r="O352" s="35"/>
      <c r="P352" s="35"/>
      <c r="Q352" s="35"/>
      <c r="R352" s="35"/>
      <c r="S352" s="35"/>
      <c r="T352" s="35"/>
      <c r="U352" s="35"/>
      <c r="V352" s="35"/>
      <c r="W352" s="35"/>
      <c r="X352" s="35"/>
      <c r="Y352" s="35"/>
      <c r="Z352" s="35"/>
    </row>
    <row r="353" ht="12.75" customHeight="1">
      <c r="A353" s="35"/>
      <c r="B353" s="35"/>
      <c r="C353" s="35"/>
      <c r="D353" s="35"/>
      <c r="E353" s="35"/>
      <c r="F353" s="35"/>
      <c r="G353" s="35"/>
      <c r="H353" s="35"/>
      <c r="I353" s="35"/>
      <c r="J353" s="35"/>
      <c r="K353" s="35"/>
      <c r="L353" s="35"/>
      <c r="M353" s="35"/>
      <c r="N353" s="35"/>
      <c r="O353" s="35"/>
      <c r="P353" s="35"/>
      <c r="Q353" s="35"/>
      <c r="R353" s="35"/>
      <c r="S353" s="35"/>
      <c r="T353" s="35"/>
      <c r="U353" s="35"/>
      <c r="V353" s="35"/>
      <c r="W353" s="35"/>
      <c r="X353" s="35"/>
      <c r="Y353" s="35"/>
      <c r="Z353" s="35"/>
    </row>
    <row r="354" ht="12.75" customHeight="1">
      <c r="A354" s="35"/>
      <c r="B354" s="35"/>
      <c r="C354" s="35"/>
      <c r="D354" s="35"/>
      <c r="E354" s="35"/>
      <c r="F354" s="35"/>
      <c r="G354" s="35"/>
      <c r="H354" s="35"/>
      <c r="I354" s="35"/>
      <c r="J354" s="35"/>
      <c r="K354" s="35"/>
      <c r="L354" s="35"/>
      <c r="M354" s="35"/>
      <c r="N354" s="35"/>
      <c r="O354" s="35"/>
      <c r="P354" s="35"/>
      <c r="Q354" s="35"/>
      <c r="R354" s="35"/>
      <c r="S354" s="35"/>
      <c r="T354" s="35"/>
      <c r="U354" s="35"/>
      <c r="V354" s="35"/>
      <c r="W354" s="35"/>
      <c r="X354" s="35"/>
      <c r="Y354" s="35"/>
      <c r="Z354" s="35"/>
    </row>
    <row r="355" ht="12.75" customHeight="1">
      <c r="A355" s="35"/>
      <c r="B355" s="35"/>
      <c r="C355" s="35"/>
      <c r="D355" s="35"/>
      <c r="E355" s="35"/>
      <c r="F355" s="35"/>
      <c r="G355" s="35"/>
      <c r="H355" s="35"/>
      <c r="I355" s="35"/>
      <c r="J355" s="35"/>
      <c r="K355" s="35"/>
      <c r="L355" s="35"/>
      <c r="M355" s="35"/>
      <c r="N355" s="35"/>
      <c r="O355" s="35"/>
      <c r="P355" s="35"/>
      <c r="Q355" s="35"/>
      <c r="R355" s="35"/>
      <c r="S355" s="35"/>
      <c r="T355" s="35"/>
      <c r="U355" s="35"/>
      <c r="V355" s="35"/>
      <c r="W355" s="35"/>
      <c r="X355" s="35"/>
      <c r="Y355" s="35"/>
      <c r="Z355" s="35"/>
    </row>
    <row r="356" ht="12.75" customHeight="1">
      <c r="A356" s="35"/>
      <c r="B356" s="35"/>
      <c r="C356" s="35"/>
      <c r="D356" s="35"/>
      <c r="E356" s="35"/>
      <c r="F356" s="35"/>
      <c r="G356" s="35"/>
      <c r="H356" s="35"/>
      <c r="I356" s="35"/>
      <c r="J356" s="35"/>
      <c r="K356" s="35"/>
      <c r="L356" s="35"/>
      <c r="M356" s="35"/>
      <c r="N356" s="35"/>
      <c r="O356" s="35"/>
      <c r="P356" s="35"/>
      <c r="Q356" s="35"/>
      <c r="R356" s="35"/>
      <c r="S356" s="35"/>
      <c r="T356" s="35"/>
      <c r="U356" s="35"/>
      <c r="V356" s="35"/>
      <c r="W356" s="35"/>
      <c r="X356" s="35"/>
      <c r="Y356" s="35"/>
      <c r="Z356" s="35"/>
    </row>
    <row r="357" ht="12.75" customHeight="1">
      <c r="A357" s="35"/>
      <c r="B357" s="35"/>
      <c r="C357" s="35"/>
      <c r="D357" s="35"/>
      <c r="E357" s="35"/>
      <c r="F357" s="35"/>
      <c r="G357" s="35"/>
      <c r="H357" s="35"/>
      <c r="I357" s="35"/>
      <c r="J357" s="35"/>
      <c r="K357" s="35"/>
      <c r="L357" s="35"/>
      <c r="M357" s="35"/>
      <c r="N357" s="35"/>
      <c r="O357" s="35"/>
      <c r="P357" s="35"/>
      <c r="Q357" s="35"/>
      <c r="R357" s="35"/>
      <c r="S357" s="35"/>
      <c r="T357" s="35"/>
      <c r="U357" s="35"/>
      <c r="V357" s="35"/>
      <c r="W357" s="35"/>
      <c r="X357" s="35"/>
      <c r="Y357" s="35"/>
      <c r="Z357" s="35"/>
    </row>
    <row r="358" ht="12.75" customHeight="1">
      <c r="A358" s="35"/>
      <c r="B358" s="35"/>
      <c r="C358" s="35"/>
      <c r="D358" s="35"/>
      <c r="E358" s="35"/>
      <c r="F358" s="35"/>
      <c r="G358" s="35"/>
      <c r="H358" s="35"/>
      <c r="I358" s="35"/>
      <c r="J358" s="35"/>
      <c r="K358" s="35"/>
      <c r="L358" s="35"/>
      <c r="M358" s="35"/>
      <c r="N358" s="35"/>
      <c r="O358" s="35"/>
      <c r="P358" s="35"/>
      <c r="Q358" s="35"/>
      <c r="R358" s="35"/>
      <c r="S358" s="35"/>
      <c r="T358" s="35"/>
      <c r="U358" s="35"/>
      <c r="V358" s="35"/>
      <c r="W358" s="35"/>
      <c r="X358" s="35"/>
      <c r="Y358" s="35"/>
      <c r="Z358" s="35"/>
    </row>
    <row r="359" ht="12.75" customHeight="1">
      <c r="A359" s="35"/>
      <c r="B359" s="35"/>
      <c r="C359" s="35"/>
      <c r="D359" s="35"/>
      <c r="E359" s="35"/>
      <c r="F359" s="35"/>
      <c r="G359" s="35"/>
      <c r="H359" s="35"/>
      <c r="I359" s="35"/>
      <c r="J359" s="35"/>
      <c r="K359" s="35"/>
      <c r="L359" s="35"/>
      <c r="M359" s="35"/>
      <c r="N359" s="35"/>
      <c r="O359" s="35"/>
      <c r="P359" s="35"/>
      <c r="Q359" s="35"/>
      <c r="R359" s="35"/>
      <c r="S359" s="35"/>
      <c r="T359" s="35"/>
      <c r="U359" s="35"/>
      <c r="V359" s="35"/>
      <c r="W359" s="35"/>
      <c r="X359" s="35"/>
      <c r="Y359" s="35"/>
      <c r="Z359" s="35"/>
    </row>
    <row r="360" ht="12.75" customHeight="1">
      <c r="A360" s="35"/>
      <c r="B360" s="35"/>
      <c r="C360" s="35"/>
      <c r="D360" s="35"/>
      <c r="E360" s="35"/>
      <c r="F360" s="35"/>
      <c r="G360" s="35"/>
      <c r="H360" s="35"/>
      <c r="I360" s="35"/>
      <c r="J360" s="35"/>
      <c r="K360" s="35"/>
      <c r="L360" s="35"/>
      <c r="M360" s="35"/>
      <c r="N360" s="35"/>
      <c r="O360" s="35"/>
      <c r="P360" s="35"/>
      <c r="Q360" s="35"/>
      <c r="R360" s="35"/>
      <c r="S360" s="35"/>
      <c r="T360" s="35"/>
      <c r="U360" s="35"/>
      <c r="V360" s="35"/>
      <c r="W360" s="35"/>
      <c r="X360" s="35"/>
      <c r="Y360" s="35"/>
      <c r="Z360" s="35"/>
    </row>
    <row r="361" ht="12.75" customHeight="1">
      <c r="A361" s="35"/>
      <c r="B361" s="35"/>
      <c r="C361" s="35"/>
      <c r="D361" s="35"/>
      <c r="E361" s="35"/>
      <c r="F361" s="35"/>
      <c r="G361" s="35"/>
      <c r="H361" s="35"/>
      <c r="I361" s="35"/>
      <c r="J361" s="35"/>
      <c r="K361" s="35"/>
      <c r="L361" s="35"/>
      <c r="M361" s="35"/>
      <c r="N361" s="35"/>
      <c r="O361" s="35"/>
      <c r="P361" s="35"/>
      <c r="Q361" s="35"/>
      <c r="R361" s="35"/>
      <c r="S361" s="35"/>
      <c r="T361" s="35"/>
      <c r="U361" s="35"/>
      <c r="V361" s="35"/>
      <c r="W361" s="35"/>
      <c r="X361" s="35"/>
      <c r="Y361" s="35"/>
      <c r="Z361" s="35"/>
    </row>
    <row r="362" ht="12.75" customHeight="1">
      <c r="A362" s="35"/>
      <c r="B362" s="35"/>
      <c r="C362" s="35"/>
      <c r="D362" s="35"/>
      <c r="E362" s="35"/>
      <c r="F362" s="35"/>
      <c r="G362" s="35"/>
      <c r="H362" s="35"/>
      <c r="I362" s="35"/>
      <c r="J362" s="35"/>
      <c r="K362" s="35"/>
      <c r="L362" s="35"/>
      <c r="M362" s="35"/>
      <c r="N362" s="35"/>
      <c r="O362" s="35"/>
      <c r="P362" s="35"/>
      <c r="Q362" s="35"/>
      <c r="R362" s="35"/>
      <c r="S362" s="35"/>
      <c r="T362" s="35"/>
      <c r="U362" s="35"/>
      <c r="V362" s="35"/>
      <c r="W362" s="35"/>
      <c r="X362" s="35"/>
      <c r="Y362" s="35"/>
      <c r="Z362" s="35"/>
    </row>
    <row r="363" ht="12.75" customHeight="1">
      <c r="A363" s="35"/>
      <c r="B363" s="35"/>
      <c r="C363" s="35"/>
      <c r="D363" s="35"/>
      <c r="E363" s="35"/>
      <c r="F363" s="35"/>
      <c r="G363" s="35"/>
      <c r="H363" s="35"/>
      <c r="I363" s="35"/>
      <c r="J363" s="35"/>
      <c r="K363" s="35"/>
      <c r="L363" s="35"/>
      <c r="M363" s="35"/>
      <c r="N363" s="35"/>
      <c r="O363" s="35"/>
      <c r="P363" s="35"/>
      <c r="Q363" s="35"/>
      <c r="R363" s="35"/>
      <c r="S363" s="35"/>
      <c r="T363" s="35"/>
      <c r="U363" s="35"/>
      <c r="V363" s="35"/>
      <c r="W363" s="35"/>
      <c r="X363" s="35"/>
      <c r="Y363" s="35"/>
      <c r="Z363" s="35"/>
    </row>
    <row r="364" ht="12.75" customHeight="1">
      <c r="A364" s="35"/>
      <c r="B364" s="35"/>
      <c r="C364" s="35"/>
      <c r="D364" s="35"/>
      <c r="E364" s="35"/>
      <c r="F364" s="35"/>
      <c r="G364" s="35"/>
      <c r="H364" s="35"/>
      <c r="I364" s="35"/>
      <c r="J364" s="35"/>
      <c r="K364" s="35"/>
      <c r="L364" s="35"/>
      <c r="M364" s="35"/>
      <c r="N364" s="35"/>
      <c r="O364" s="35"/>
      <c r="P364" s="35"/>
      <c r="Q364" s="35"/>
      <c r="R364" s="35"/>
      <c r="S364" s="35"/>
      <c r="T364" s="35"/>
      <c r="U364" s="35"/>
      <c r="V364" s="35"/>
      <c r="W364" s="35"/>
      <c r="X364" s="35"/>
      <c r="Y364" s="35"/>
      <c r="Z364" s="35"/>
    </row>
    <row r="365" ht="12.75" customHeight="1">
      <c r="A365" s="35"/>
      <c r="B365" s="35"/>
      <c r="C365" s="35"/>
      <c r="D365" s="35"/>
      <c r="E365" s="35"/>
      <c r="F365" s="35"/>
      <c r="G365" s="35"/>
      <c r="H365" s="35"/>
      <c r="I365" s="35"/>
      <c r="J365" s="35"/>
      <c r="K365" s="35"/>
      <c r="L365" s="35"/>
      <c r="M365" s="35"/>
      <c r="N365" s="35"/>
      <c r="O365" s="35"/>
      <c r="P365" s="35"/>
      <c r="Q365" s="35"/>
      <c r="R365" s="35"/>
      <c r="S365" s="35"/>
      <c r="T365" s="35"/>
      <c r="U365" s="35"/>
      <c r="V365" s="35"/>
      <c r="W365" s="35"/>
      <c r="X365" s="35"/>
      <c r="Y365" s="35"/>
      <c r="Z365" s="35"/>
    </row>
    <row r="366" ht="12.75" customHeight="1">
      <c r="A366" s="35"/>
      <c r="B366" s="35"/>
      <c r="C366" s="35"/>
      <c r="D366" s="35"/>
      <c r="E366" s="35"/>
      <c r="F366" s="35"/>
      <c r="G366" s="35"/>
      <c r="H366" s="35"/>
      <c r="I366" s="35"/>
      <c r="J366" s="35"/>
      <c r="K366" s="35"/>
      <c r="L366" s="35"/>
      <c r="M366" s="35"/>
      <c r="N366" s="35"/>
      <c r="O366" s="35"/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5"/>
    </row>
    <row r="367" ht="12.75" customHeight="1">
      <c r="A367" s="35"/>
      <c r="B367" s="35"/>
      <c r="C367" s="35"/>
      <c r="D367" s="35"/>
      <c r="E367" s="35"/>
      <c r="F367" s="35"/>
      <c r="G367" s="35"/>
      <c r="H367" s="35"/>
      <c r="I367" s="35"/>
      <c r="J367" s="35"/>
      <c r="K367" s="35"/>
      <c r="L367" s="35"/>
      <c r="M367" s="35"/>
      <c r="N367" s="35"/>
      <c r="O367" s="35"/>
      <c r="P367" s="35"/>
      <c r="Q367" s="35"/>
      <c r="R367" s="35"/>
      <c r="S367" s="35"/>
      <c r="T367" s="35"/>
      <c r="U367" s="35"/>
      <c r="V367" s="35"/>
      <c r="W367" s="35"/>
      <c r="X367" s="35"/>
      <c r="Y367" s="35"/>
      <c r="Z367" s="35"/>
    </row>
    <row r="368" ht="12.75" customHeight="1">
      <c r="A368" s="35"/>
      <c r="B368" s="35"/>
      <c r="C368" s="35"/>
      <c r="D368" s="35"/>
      <c r="E368" s="35"/>
      <c r="F368" s="35"/>
      <c r="G368" s="35"/>
      <c r="H368" s="35"/>
      <c r="I368" s="35"/>
      <c r="J368" s="35"/>
      <c r="K368" s="35"/>
      <c r="L368" s="35"/>
      <c r="M368" s="35"/>
      <c r="N368" s="35"/>
      <c r="O368" s="35"/>
      <c r="P368" s="35"/>
      <c r="Q368" s="35"/>
      <c r="R368" s="35"/>
      <c r="S368" s="35"/>
      <c r="T368" s="35"/>
      <c r="U368" s="35"/>
      <c r="V368" s="35"/>
      <c r="W368" s="35"/>
      <c r="X368" s="35"/>
      <c r="Y368" s="35"/>
      <c r="Z368" s="35"/>
    </row>
    <row r="369" ht="12.75" customHeight="1">
      <c r="A369" s="35"/>
      <c r="B369" s="35"/>
      <c r="C369" s="35"/>
      <c r="D369" s="35"/>
      <c r="E369" s="35"/>
      <c r="F369" s="35"/>
      <c r="G369" s="35"/>
      <c r="H369" s="35"/>
      <c r="I369" s="35"/>
      <c r="J369" s="35"/>
      <c r="K369" s="35"/>
      <c r="L369" s="35"/>
      <c r="M369" s="35"/>
      <c r="N369" s="35"/>
      <c r="O369" s="35"/>
      <c r="P369" s="35"/>
      <c r="Q369" s="35"/>
      <c r="R369" s="35"/>
      <c r="S369" s="35"/>
      <c r="T369" s="35"/>
      <c r="U369" s="35"/>
      <c r="V369" s="35"/>
      <c r="W369" s="35"/>
      <c r="X369" s="35"/>
      <c r="Y369" s="35"/>
      <c r="Z369" s="35"/>
    </row>
    <row r="370" ht="12.75" customHeight="1">
      <c r="A370" s="35"/>
      <c r="B370" s="35"/>
      <c r="C370" s="35"/>
      <c r="D370" s="35"/>
      <c r="E370" s="35"/>
      <c r="F370" s="35"/>
      <c r="G370" s="35"/>
      <c r="H370" s="35"/>
      <c r="I370" s="35"/>
      <c r="J370" s="35"/>
      <c r="K370" s="35"/>
      <c r="L370" s="35"/>
      <c r="M370" s="35"/>
      <c r="N370" s="35"/>
      <c r="O370" s="35"/>
      <c r="P370" s="35"/>
      <c r="Q370" s="35"/>
      <c r="R370" s="35"/>
      <c r="S370" s="35"/>
      <c r="T370" s="35"/>
      <c r="U370" s="35"/>
      <c r="V370" s="35"/>
      <c r="W370" s="35"/>
      <c r="X370" s="35"/>
      <c r="Y370" s="35"/>
      <c r="Z370" s="35"/>
    </row>
    <row r="371" ht="12.75" customHeight="1">
      <c r="A371" s="35"/>
      <c r="B371" s="35"/>
      <c r="C371" s="35"/>
      <c r="D371" s="35"/>
      <c r="E371" s="35"/>
      <c r="F371" s="35"/>
      <c r="G371" s="35"/>
      <c r="H371" s="35"/>
      <c r="I371" s="35"/>
      <c r="J371" s="35"/>
      <c r="K371" s="35"/>
      <c r="L371" s="35"/>
      <c r="M371" s="35"/>
      <c r="N371" s="35"/>
      <c r="O371" s="35"/>
      <c r="P371" s="35"/>
      <c r="Q371" s="35"/>
      <c r="R371" s="35"/>
      <c r="S371" s="35"/>
      <c r="T371" s="35"/>
      <c r="U371" s="35"/>
      <c r="V371" s="35"/>
      <c r="W371" s="35"/>
      <c r="X371" s="35"/>
      <c r="Y371" s="35"/>
      <c r="Z371" s="35"/>
    </row>
    <row r="372" ht="12.75" customHeight="1">
      <c r="A372" s="35"/>
      <c r="B372" s="35"/>
      <c r="C372" s="35"/>
      <c r="D372" s="35"/>
      <c r="E372" s="35"/>
      <c r="F372" s="35"/>
      <c r="G372" s="35"/>
      <c r="H372" s="35"/>
      <c r="I372" s="35"/>
      <c r="J372" s="35"/>
      <c r="K372" s="35"/>
      <c r="L372" s="35"/>
      <c r="M372" s="35"/>
      <c r="N372" s="35"/>
      <c r="O372" s="35"/>
      <c r="P372" s="35"/>
      <c r="Q372" s="35"/>
      <c r="R372" s="35"/>
      <c r="S372" s="35"/>
      <c r="T372" s="35"/>
      <c r="U372" s="35"/>
      <c r="V372" s="35"/>
      <c r="W372" s="35"/>
      <c r="X372" s="35"/>
      <c r="Y372" s="35"/>
      <c r="Z372" s="35"/>
    </row>
    <row r="373" ht="12.75" customHeight="1">
      <c r="A373" s="35"/>
      <c r="B373" s="35"/>
      <c r="C373" s="35"/>
      <c r="D373" s="35"/>
      <c r="E373" s="35"/>
      <c r="F373" s="35"/>
      <c r="G373" s="35"/>
      <c r="H373" s="35"/>
      <c r="I373" s="35"/>
      <c r="J373" s="35"/>
      <c r="K373" s="35"/>
      <c r="L373" s="35"/>
      <c r="M373" s="35"/>
      <c r="N373" s="35"/>
      <c r="O373" s="35"/>
      <c r="P373" s="35"/>
      <c r="Q373" s="35"/>
      <c r="R373" s="35"/>
      <c r="S373" s="35"/>
      <c r="T373" s="35"/>
      <c r="U373" s="35"/>
      <c r="V373" s="35"/>
      <c r="W373" s="35"/>
      <c r="X373" s="35"/>
      <c r="Y373" s="35"/>
      <c r="Z373" s="35"/>
    </row>
    <row r="374" ht="12.75" customHeight="1">
      <c r="A374" s="35"/>
      <c r="B374" s="35"/>
      <c r="C374" s="35"/>
      <c r="D374" s="35"/>
      <c r="E374" s="35"/>
      <c r="F374" s="35"/>
      <c r="G374" s="35"/>
      <c r="H374" s="35"/>
      <c r="I374" s="35"/>
      <c r="J374" s="35"/>
      <c r="K374" s="35"/>
      <c r="L374" s="35"/>
      <c r="M374" s="35"/>
      <c r="N374" s="35"/>
      <c r="O374" s="35"/>
      <c r="P374" s="35"/>
      <c r="Q374" s="35"/>
      <c r="R374" s="35"/>
      <c r="S374" s="35"/>
      <c r="T374" s="35"/>
      <c r="U374" s="35"/>
      <c r="V374" s="35"/>
      <c r="W374" s="35"/>
      <c r="X374" s="35"/>
      <c r="Y374" s="35"/>
      <c r="Z374" s="35"/>
    </row>
    <row r="375" ht="12.75" customHeight="1">
      <c r="A375" s="35"/>
      <c r="B375" s="35"/>
      <c r="C375" s="35"/>
      <c r="D375" s="35"/>
      <c r="E375" s="35"/>
      <c r="F375" s="35"/>
      <c r="G375" s="35"/>
      <c r="H375" s="35"/>
      <c r="I375" s="35"/>
      <c r="J375" s="35"/>
      <c r="K375" s="35"/>
      <c r="L375" s="35"/>
      <c r="M375" s="35"/>
      <c r="N375" s="35"/>
      <c r="O375" s="35"/>
      <c r="P375" s="35"/>
      <c r="Q375" s="35"/>
      <c r="R375" s="35"/>
      <c r="S375" s="35"/>
      <c r="T375" s="35"/>
      <c r="U375" s="35"/>
      <c r="V375" s="35"/>
      <c r="W375" s="35"/>
      <c r="X375" s="35"/>
      <c r="Y375" s="35"/>
      <c r="Z375" s="35"/>
    </row>
    <row r="376" ht="12.75" customHeight="1">
      <c r="A376" s="35"/>
      <c r="B376" s="35"/>
      <c r="C376" s="35"/>
      <c r="D376" s="35"/>
      <c r="E376" s="35"/>
      <c r="F376" s="35"/>
      <c r="G376" s="35"/>
      <c r="H376" s="35"/>
      <c r="I376" s="35"/>
      <c r="J376" s="35"/>
      <c r="K376" s="35"/>
      <c r="L376" s="35"/>
      <c r="M376" s="35"/>
      <c r="N376" s="35"/>
      <c r="O376" s="35"/>
      <c r="P376" s="35"/>
      <c r="Q376" s="35"/>
      <c r="R376" s="35"/>
      <c r="S376" s="35"/>
      <c r="T376" s="35"/>
      <c r="U376" s="35"/>
      <c r="V376" s="35"/>
      <c r="W376" s="35"/>
      <c r="X376" s="35"/>
      <c r="Y376" s="35"/>
      <c r="Z376" s="35"/>
    </row>
    <row r="377" ht="12.75" customHeight="1">
      <c r="A377" s="35"/>
      <c r="B377" s="35"/>
      <c r="C377" s="35"/>
      <c r="D377" s="35"/>
      <c r="E377" s="35"/>
      <c r="F377" s="35"/>
      <c r="G377" s="35"/>
      <c r="H377" s="35"/>
      <c r="I377" s="35"/>
      <c r="J377" s="35"/>
      <c r="K377" s="35"/>
      <c r="L377" s="35"/>
      <c r="M377" s="35"/>
      <c r="N377" s="35"/>
      <c r="O377" s="35"/>
      <c r="P377" s="35"/>
      <c r="Q377" s="35"/>
      <c r="R377" s="35"/>
      <c r="S377" s="35"/>
      <c r="T377" s="35"/>
      <c r="U377" s="35"/>
      <c r="V377" s="35"/>
      <c r="W377" s="35"/>
      <c r="X377" s="35"/>
      <c r="Y377" s="35"/>
      <c r="Z377" s="35"/>
    </row>
    <row r="378" ht="12.75" customHeight="1">
      <c r="A378" s="35"/>
      <c r="B378" s="35"/>
      <c r="C378" s="35"/>
      <c r="D378" s="35"/>
      <c r="E378" s="35"/>
      <c r="F378" s="35"/>
      <c r="G378" s="35"/>
      <c r="H378" s="35"/>
      <c r="I378" s="35"/>
      <c r="J378" s="35"/>
      <c r="K378" s="35"/>
      <c r="L378" s="35"/>
      <c r="M378" s="35"/>
      <c r="N378" s="35"/>
      <c r="O378" s="35"/>
      <c r="P378" s="35"/>
      <c r="Q378" s="35"/>
      <c r="R378" s="35"/>
      <c r="S378" s="35"/>
      <c r="T378" s="35"/>
      <c r="U378" s="35"/>
      <c r="V378" s="35"/>
      <c r="W378" s="35"/>
      <c r="X378" s="35"/>
      <c r="Y378" s="35"/>
      <c r="Z378" s="35"/>
    </row>
    <row r="379" ht="12.75" customHeight="1">
      <c r="A379" s="35"/>
      <c r="B379" s="35"/>
      <c r="C379" s="35"/>
      <c r="D379" s="35"/>
      <c r="E379" s="35"/>
      <c r="F379" s="35"/>
      <c r="G379" s="35"/>
      <c r="H379" s="35"/>
      <c r="I379" s="35"/>
      <c r="J379" s="35"/>
      <c r="K379" s="35"/>
      <c r="L379" s="35"/>
      <c r="M379" s="35"/>
      <c r="N379" s="35"/>
      <c r="O379" s="35"/>
      <c r="P379" s="35"/>
      <c r="Q379" s="35"/>
      <c r="R379" s="35"/>
      <c r="S379" s="35"/>
      <c r="T379" s="35"/>
      <c r="U379" s="35"/>
      <c r="V379" s="35"/>
      <c r="W379" s="35"/>
      <c r="X379" s="35"/>
      <c r="Y379" s="35"/>
      <c r="Z379" s="35"/>
    </row>
    <row r="380" ht="12.75" customHeight="1">
      <c r="A380" s="35"/>
      <c r="B380" s="35"/>
      <c r="C380" s="35"/>
      <c r="D380" s="35"/>
      <c r="E380" s="35"/>
      <c r="F380" s="35"/>
      <c r="G380" s="35"/>
      <c r="H380" s="35"/>
      <c r="I380" s="35"/>
      <c r="J380" s="35"/>
      <c r="K380" s="35"/>
      <c r="L380" s="35"/>
      <c r="M380" s="35"/>
      <c r="N380" s="35"/>
      <c r="O380" s="35"/>
      <c r="P380" s="35"/>
      <c r="Q380" s="35"/>
      <c r="R380" s="35"/>
      <c r="S380" s="35"/>
      <c r="T380" s="35"/>
      <c r="U380" s="35"/>
      <c r="V380" s="35"/>
      <c r="W380" s="35"/>
      <c r="X380" s="35"/>
      <c r="Y380" s="35"/>
      <c r="Z380" s="35"/>
    </row>
    <row r="381" ht="12.75" customHeight="1">
      <c r="A381" s="35"/>
      <c r="B381" s="35"/>
      <c r="C381" s="35"/>
      <c r="D381" s="35"/>
      <c r="E381" s="35"/>
      <c r="F381" s="35"/>
      <c r="G381" s="35"/>
      <c r="H381" s="35"/>
      <c r="I381" s="35"/>
      <c r="J381" s="35"/>
      <c r="K381" s="35"/>
      <c r="L381" s="35"/>
      <c r="M381" s="35"/>
      <c r="N381" s="35"/>
      <c r="O381" s="35"/>
      <c r="P381" s="35"/>
      <c r="Q381" s="35"/>
      <c r="R381" s="35"/>
      <c r="S381" s="35"/>
      <c r="T381" s="35"/>
      <c r="U381" s="35"/>
      <c r="V381" s="35"/>
      <c r="W381" s="35"/>
      <c r="X381" s="35"/>
      <c r="Y381" s="35"/>
      <c r="Z381" s="35"/>
    </row>
    <row r="382" ht="12.75" customHeight="1">
      <c r="A382" s="35"/>
      <c r="B382" s="35"/>
      <c r="C382" s="35"/>
      <c r="D382" s="35"/>
      <c r="E382" s="35"/>
      <c r="F382" s="35"/>
      <c r="G382" s="35"/>
      <c r="H382" s="35"/>
      <c r="I382" s="35"/>
      <c r="J382" s="35"/>
      <c r="K382" s="35"/>
      <c r="L382" s="35"/>
      <c r="M382" s="35"/>
      <c r="N382" s="35"/>
      <c r="O382" s="35"/>
      <c r="P382" s="35"/>
      <c r="Q382" s="35"/>
      <c r="R382" s="35"/>
      <c r="S382" s="35"/>
      <c r="T382" s="35"/>
      <c r="U382" s="35"/>
      <c r="V382" s="35"/>
      <c r="W382" s="35"/>
      <c r="X382" s="35"/>
      <c r="Y382" s="35"/>
      <c r="Z382" s="35"/>
    </row>
    <row r="383" ht="12.75" customHeight="1">
      <c r="A383" s="35"/>
      <c r="B383" s="35"/>
      <c r="C383" s="35"/>
      <c r="D383" s="35"/>
      <c r="E383" s="35"/>
      <c r="F383" s="35"/>
      <c r="G383" s="35"/>
      <c r="H383" s="35"/>
      <c r="I383" s="35"/>
      <c r="J383" s="35"/>
      <c r="K383" s="35"/>
      <c r="L383" s="35"/>
      <c r="M383" s="35"/>
      <c r="N383" s="35"/>
      <c r="O383" s="35"/>
      <c r="P383" s="35"/>
      <c r="Q383" s="35"/>
      <c r="R383" s="35"/>
      <c r="S383" s="35"/>
      <c r="T383" s="35"/>
      <c r="U383" s="35"/>
      <c r="V383" s="35"/>
      <c r="W383" s="35"/>
      <c r="X383" s="35"/>
      <c r="Y383" s="35"/>
      <c r="Z383" s="35"/>
    </row>
    <row r="384" ht="12.75" customHeight="1">
      <c r="A384" s="35"/>
      <c r="B384" s="35"/>
      <c r="C384" s="35"/>
      <c r="D384" s="35"/>
      <c r="E384" s="35"/>
      <c r="F384" s="35"/>
      <c r="G384" s="35"/>
      <c r="H384" s="35"/>
      <c r="I384" s="35"/>
      <c r="J384" s="35"/>
      <c r="K384" s="35"/>
      <c r="L384" s="35"/>
      <c r="M384" s="35"/>
      <c r="N384" s="35"/>
      <c r="O384" s="35"/>
      <c r="P384" s="35"/>
      <c r="Q384" s="35"/>
      <c r="R384" s="35"/>
      <c r="S384" s="35"/>
      <c r="T384" s="35"/>
      <c r="U384" s="35"/>
      <c r="V384" s="35"/>
      <c r="W384" s="35"/>
      <c r="X384" s="35"/>
      <c r="Y384" s="35"/>
      <c r="Z384" s="35"/>
    </row>
    <row r="385" ht="12.75" customHeight="1">
      <c r="A385" s="35"/>
      <c r="B385" s="35"/>
      <c r="C385" s="35"/>
      <c r="D385" s="35"/>
      <c r="E385" s="35"/>
      <c r="F385" s="35"/>
      <c r="G385" s="35"/>
      <c r="H385" s="35"/>
      <c r="I385" s="35"/>
      <c r="J385" s="35"/>
      <c r="K385" s="35"/>
      <c r="L385" s="35"/>
      <c r="M385" s="35"/>
      <c r="N385" s="35"/>
      <c r="O385" s="35"/>
      <c r="P385" s="35"/>
      <c r="Q385" s="35"/>
      <c r="R385" s="35"/>
      <c r="S385" s="35"/>
      <c r="T385" s="35"/>
      <c r="U385" s="35"/>
      <c r="V385" s="35"/>
      <c r="W385" s="35"/>
      <c r="X385" s="35"/>
      <c r="Y385" s="35"/>
      <c r="Z385" s="35"/>
    </row>
    <row r="386" ht="12.75" customHeight="1">
      <c r="A386" s="35"/>
      <c r="B386" s="35"/>
      <c r="C386" s="35"/>
      <c r="D386" s="35"/>
      <c r="E386" s="35"/>
      <c r="F386" s="35"/>
      <c r="G386" s="35"/>
      <c r="H386" s="35"/>
      <c r="I386" s="35"/>
      <c r="J386" s="35"/>
      <c r="K386" s="35"/>
      <c r="L386" s="35"/>
      <c r="M386" s="35"/>
      <c r="N386" s="35"/>
      <c r="O386" s="35"/>
      <c r="P386" s="35"/>
      <c r="Q386" s="35"/>
      <c r="R386" s="35"/>
      <c r="S386" s="35"/>
      <c r="T386" s="35"/>
      <c r="U386" s="35"/>
      <c r="V386" s="35"/>
      <c r="W386" s="35"/>
      <c r="X386" s="35"/>
      <c r="Y386" s="35"/>
      <c r="Z386" s="35"/>
    </row>
    <row r="387" ht="12.75" customHeight="1">
      <c r="A387" s="35"/>
      <c r="B387" s="35"/>
      <c r="C387" s="35"/>
      <c r="D387" s="35"/>
      <c r="E387" s="35"/>
      <c r="F387" s="35"/>
      <c r="G387" s="35"/>
      <c r="H387" s="35"/>
      <c r="I387" s="35"/>
      <c r="J387" s="35"/>
      <c r="K387" s="35"/>
      <c r="L387" s="35"/>
      <c r="M387" s="35"/>
      <c r="N387" s="35"/>
      <c r="O387" s="35"/>
      <c r="P387" s="35"/>
      <c r="Q387" s="35"/>
      <c r="R387" s="35"/>
      <c r="S387" s="35"/>
      <c r="T387" s="35"/>
      <c r="U387" s="35"/>
      <c r="V387" s="35"/>
      <c r="W387" s="35"/>
      <c r="X387" s="35"/>
      <c r="Y387" s="35"/>
      <c r="Z387" s="35"/>
    </row>
    <row r="388" ht="12.75" customHeight="1">
      <c r="A388" s="35"/>
      <c r="B388" s="35"/>
      <c r="C388" s="35"/>
      <c r="D388" s="35"/>
      <c r="E388" s="35"/>
      <c r="F388" s="35"/>
      <c r="G388" s="35"/>
      <c r="H388" s="35"/>
      <c r="I388" s="35"/>
      <c r="J388" s="35"/>
      <c r="K388" s="35"/>
      <c r="L388" s="35"/>
      <c r="M388" s="35"/>
      <c r="N388" s="35"/>
      <c r="O388" s="35"/>
      <c r="P388" s="35"/>
      <c r="Q388" s="35"/>
      <c r="R388" s="35"/>
      <c r="S388" s="35"/>
      <c r="T388" s="35"/>
      <c r="U388" s="35"/>
      <c r="V388" s="35"/>
      <c r="W388" s="35"/>
      <c r="X388" s="35"/>
      <c r="Y388" s="35"/>
      <c r="Z388" s="35"/>
    </row>
    <row r="389" ht="12.75" customHeight="1">
      <c r="A389" s="35"/>
      <c r="B389" s="35"/>
      <c r="C389" s="35"/>
      <c r="D389" s="35"/>
      <c r="E389" s="35"/>
      <c r="F389" s="35"/>
      <c r="G389" s="35"/>
      <c r="H389" s="35"/>
      <c r="I389" s="35"/>
      <c r="J389" s="35"/>
      <c r="K389" s="35"/>
      <c r="L389" s="35"/>
      <c r="M389" s="35"/>
      <c r="N389" s="35"/>
      <c r="O389" s="35"/>
      <c r="P389" s="35"/>
      <c r="Q389" s="35"/>
      <c r="R389" s="35"/>
      <c r="S389" s="35"/>
      <c r="T389" s="35"/>
      <c r="U389" s="35"/>
      <c r="V389" s="35"/>
      <c r="W389" s="35"/>
      <c r="X389" s="35"/>
      <c r="Y389" s="35"/>
      <c r="Z389" s="35"/>
    </row>
    <row r="390" ht="12.75" customHeight="1">
      <c r="A390" s="35"/>
      <c r="B390" s="35"/>
      <c r="C390" s="35"/>
      <c r="D390" s="35"/>
      <c r="E390" s="35"/>
      <c r="F390" s="35"/>
      <c r="G390" s="35"/>
      <c r="H390" s="35"/>
      <c r="I390" s="35"/>
      <c r="J390" s="35"/>
      <c r="K390" s="35"/>
      <c r="L390" s="35"/>
      <c r="M390" s="35"/>
      <c r="N390" s="35"/>
      <c r="O390" s="35"/>
      <c r="P390" s="35"/>
      <c r="Q390" s="35"/>
      <c r="R390" s="35"/>
      <c r="S390" s="35"/>
      <c r="T390" s="35"/>
      <c r="U390" s="35"/>
      <c r="V390" s="35"/>
      <c r="W390" s="35"/>
      <c r="X390" s="35"/>
      <c r="Y390" s="35"/>
      <c r="Z390" s="35"/>
    </row>
    <row r="391" ht="12.75" customHeight="1">
      <c r="A391" s="35"/>
      <c r="B391" s="35"/>
      <c r="C391" s="35"/>
      <c r="D391" s="35"/>
      <c r="E391" s="35"/>
      <c r="F391" s="35"/>
      <c r="G391" s="35"/>
      <c r="H391" s="35"/>
      <c r="I391" s="35"/>
      <c r="J391" s="35"/>
      <c r="K391" s="35"/>
      <c r="L391" s="35"/>
      <c r="M391" s="35"/>
      <c r="N391" s="35"/>
      <c r="O391" s="35"/>
      <c r="P391" s="35"/>
      <c r="Q391" s="35"/>
      <c r="R391" s="35"/>
      <c r="S391" s="35"/>
      <c r="T391" s="35"/>
      <c r="U391" s="35"/>
      <c r="V391" s="35"/>
      <c r="W391" s="35"/>
      <c r="X391" s="35"/>
      <c r="Y391" s="35"/>
      <c r="Z391" s="35"/>
    </row>
    <row r="392" ht="12.75" customHeight="1">
      <c r="A392" s="35"/>
      <c r="B392" s="35"/>
      <c r="C392" s="35"/>
      <c r="D392" s="35"/>
      <c r="E392" s="35"/>
      <c r="F392" s="35"/>
      <c r="G392" s="35"/>
      <c r="H392" s="35"/>
      <c r="I392" s="35"/>
      <c r="J392" s="35"/>
      <c r="K392" s="35"/>
      <c r="L392" s="35"/>
      <c r="M392" s="35"/>
      <c r="N392" s="35"/>
      <c r="O392" s="35"/>
      <c r="P392" s="35"/>
      <c r="Q392" s="35"/>
      <c r="R392" s="35"/>
      <c r="S392" s="35"/>
      <c r="T392" s="35"/>
      <c r="U392" s="35"/>
      <c r="V392" s="35"/>
      <c r="W392" s="35"/>
      <c r="X392" s="35"/>
      <c r="Y392" s="35"/>
      <c r="Z392" s="35"/>
    </row>
    <row r="393" ht="12.75" customHeight="1">
      <c r="A393" s="35"/>
      <c r="B393" s="35"/>
      <c r="C393" s="35"/>
      <c r="D393" s="35"/>
      <c r="E393" s="35"/>
      <c r="F393" s="35"/>
      <c r="G393" s="35"/>
      <c r="H393" s="35"/>
      <c r="I393" s="35"/>
      <c r="J393" s="35"/>
      <c r="K393" s="35"/>
      <c r="L393" s="35"/>
      <c r="M393" s="35"/>
      <c r="N393" s="35"/>
      <c r="O393" s="35"/>
      <c r="P393" s="35"/>
      <c r="Q393" s="35"/>
      <c r="R393" s="35"/>
      <c r="S393" s="35"/>
      <c r="T393" s="35"/>
      <c r="U393" s="35"/>
      <c r="V393" s="35"/>
      <c r="W393" s="35"/>
      <c r="X393" s="35"/>
      <c r="Y393" s="35"/>
      <c r="Z393" s="35"/>
    </row>
    <row r="394" ht="12.75" customHeight="1">
      <c r="A394" s="35"/>
      <c r="B394" s="35"/>
      <c r="C394" s="35"/>
      <c r="D394" s="35"/>
      <c r="E394" s="35"/>
      <c r="F394" s="35"/>
      <c r="G394" s="35"/>
      <c r="H394" s="35"/>
      <c r="I394" s="35"/>
      <c r="J394" s="35"/>
      <c r="K394" s="35"/>
      <c r="L394" s="35"/>
      <c r="M394" s="35"/>
      <c r="N394" s="35"/>
      <c r="O394" s="35"/>
      <c r="P394" s="35"/>
      <c r="Q394" s="35"/>
      <c r="R394" s="35"/>
      <c r="S394" s="35"/>
      <c r="T394" s="35"/>
      <c r="U394" s="35"/>
      <c r="V394" s="35"/>
      <c r="W394" s="35"/>
      <c r="X394" s="35"/>
      <c r="Y394" s="35"/>
      <c r="Z394" s="35"/>
    </row>
    <row r="395" ht="12.75" customHeight="1">
      <c r="A395" s="35"/>
      <c r="B395" s="35"/>
      <c r="C395" s="35"/>
      <c r="D395" s="35"/>
      <c r="E395" s="35"/>
      <c r="F395" s="35"/>
      <c r="G395" s="35"/>
      <c r="H395" s="35"/>
      <c r="I395" s="35"/>
      <c r="J395" s="35"/>
      <c r="K395" s="35"/>
      <c r="L395" s="35"/>
      <c r="M395" s="35"/>
      <c r="N395" s="35"/>
      <c r="O395" s="35"/>
      <c r="P395" s="35"/>
      <c r="Q395" s="35"/>
      <c r="R395" s="35"/>
      <c r="S395" s="35"/>
      <c r="T395" s="35"/>
      <c r="U395" s="35"/>
      <c r="V395" s="35"/>
      <c r="W395" s="35"/>
      <c r="X395" s="35"/>
      <c r="Y395" s="35"/>
      <c r="Z395" s="35"/>
    </row>
    <row r="396" ht="12.75" customHeight="1">
      <c r="A396" s="35"/>
      <c r="B396" s="35"/>
      <c r="C396" s="35"/>
      <c r="D396" s="35"/>
      <c r="E396" s="35"/>
      <c r="F396" s="35"/>
      <c r="G396" s="35"/>
      <c r="H396" s="35"/>
      <c r="I396" s="35"/>
      <c r="J396" s="35"/>
      <c r="K396" s="35"/>
      <c r="L396" s="35"/>
      <c r="M396" s="35"/>
      <c r="N396" s="35"/>
      <c r="O396" s="35"/>
      <c r="P396" s="35"/>
      <c r="Q396" s="35"/>
      <c r="R396" s="35"/>
      <c r="S396" s="35"/>
      <c r="T396" s="35"/>
      <c r="U396" s="35"/>
      <c r="V396" s="35"/>
      <c r="W396" s="35"/>
      <c r="X396" s="35"/>
      <c r="Y396" s="35"/>
      <c r="Z396" s="35"/>
    </row>
    <row r="397" ht="12.75" customHeight="1">
      <c r="A397" s="35"/>
      <c r="B397" s="35"/>
      <c r="C397" s="35"/>
      <c r="D397" s="35"/>
      <c r="E397" s="35"/>
      <c r="F397" s="35"/>
      <c r="G397" s="35"/>
      <c r="H397" s="35"/>
      <c r="I397" s="35"/>
      <c r="J397" s="35"/>
      <c r="K397" s="35"/>
      <c r="L397" s="35"/>
      <c r="M397" s="35"/>
      <c r="N397" s="35"/>
      <c r="O397" s="35"/>
      <c r="P397" s="35"/>
      <c r="Q397" s="35"/>
      <c r="R397" s="35"/>
      <c r="S397" s="35"/>
      <c r="T397" s="35"/>
      <c r="U397" s="35"/>
      <c r="V397" s="35"/>
      <c r="W397" s="35"/>
      <c r="X397" s="35"/>
      <c r="Y397" s="35"/>
      <c r="Z397" s="35"/>
    </row>
    <row r="398" ht="12.75" customHeight="1">
      <c r="A398" s="35"/>
      <c r="B398" s="35"/>
      <c r="C398" s="35"/>
      <c r="D398" s="35"/>
      <c r="E398" s="35"/>
      <c r="F398" s="35"/>
      <c r="G398" s="35"/>
      <c r="H398" s="35"/>
      <c r="I398" s="35"/>
      <c r="J398" s="35"/>
      <c r="K398" s="35"/>
      <c r="L398" s="35"/>
      <c r="M398" s="35"/>
      <c r="N398" s="35"/>
      <c r="O398" s="35"/>
      <c r="P398" s="35"/>
      <c r="Q398" s="35"/>
      <c r="R398" s="35"/>
      <c r="S398" s="35"/>
      <c r="T398" s="35"/>
      <c r="U398" s="35"/>
      <c r="V398" s="35"/>
      <c r="W398" s="35"/>
      <c r="X398" s="35"/>
      <c r="Y398" s="35"/>
      <c r="Z398" s="35"/>
    </row>
    <row r="399" ht="12.75" customHeight="1">
      <c r="A399" s="35"/>
      <c r="B399" s="35"/>
      <c r="C399" s="35"/>
      <c r="D399" s="35"/>
      <c r="E399" s="35"/>
      <c r="F399" s="35"/>
      <c r="G399" s="35"/>
      <c r="H399" s="35"/>
      <c r="I399" s="35"/>
      <c r="J399" s="35"/>
      <c r="K399" s="35"/>
      <c r="L399" s="35"/>
      <c r="M399" s="35"/>
      <c r="N399" s="35"/>
      <c r="O399" s="35"/>
      <c r="P399" s="35"/>
      <c r="Q399" s="35"/>
      <c r="R399" s="35"/>
      <c r="S399" s="35"/>
      <c r="T399" s="35"/>
      <c r="U399" s="35"/>
      <c r="V399" s="35"/>
      <c r="W399" s="35"/>
      <c r="X399" s="35"/>
      <c r="Y399" s="35"/>
      <c r="Z399" s="35"/>
    </row>
    <row r="400" ht="12.75" customHeight="1">
      <c r="A400" s="35"/>
      <c r="B400" s="35"/>
      <c r="C400" s="35"/>
      <c r="D400" s="35"/>
      <c r="E400" s="35"/>
      <c r="F400" s="35"/>
      <c r="G400" s="35"/>
      <c r="H400" s="35"/>
      <c r="I400" s="35"/>
      <c r="J400" s="35"/>
      <c r="K400" s="35"/>
      <c r="L400" s="35"/>
      <c r="M400" s="35"/>
      <c r="N400" s="35"/>
      <c r="O400" s="35"/>
      <c r="P400" s="35"/>
      <c r="Q400" s="35"/>
      <c r="R400" s="35"/>
      <c r="S400" s="35"/>
      <c r="T400" s="35"/>
      <c r="U400" s="35"/>
      <c r="V400" s="35"/>
      <c r="W400" s="35"/>
      <c r="X400" s="35"/>
      <c r="Y400" s="35"/>
      <c r="Z400" s="35"/>
    </row>
    <row r="401" ht="12.75" customHeight="1">
      <c r="A401" s="35"/>
      <c r="B401" s="35"/>
      <c r="C401" s="35"/>
      <c r="D401" s="35"/>
      <c r="E401" s="35"/>
      <c r="F401" s="35"/>
      <c r="G401" s="35"/>
      <c r="H401" s="35"/>
      <c r="I401" s="35"/>
      <c r="J401" s="35"/>
      <c r="K401" s="35"/>
      <c r="L401" s="35"/>
      <c r="M401" s="35"/>
      <c r="N401" s="35"/>
      <c r="O401" s="35"/>
      <c r="P401" s="35"/>
      <c r="Q401" s="35"/>
      <c r="R401" s="35"/>
      <c r="S401" s="35"/>
      <c r="T401" s="35"/>
      <c r="U401" s="35"/>
      <c r="V401" s="35"/>
      <c r="W401" s="35"/>
      <c r="X401" s="35"/>
      <c r="Y401" s="35"/>
      <c r="Z401" s="35"/>
    </row>
    <row r="402" ht="12.75" customHeight="1">
      <c r="A402" s="35"/>
      <c r="B402" s="35"/>
      <c r="C402" s="35"/>
      <c r="D402" s="35"/>
      <c r="E402" s="35"/>
      <c r="F402" s="35"/>
      <c r="G402" s="35"/>
      <c r="H402" s="35"/>
      <c r="I402" s="35"/>
      <c r="J402" s="35"/>
      <c r="K402" s="35"/>
      <c r="L402" s="35"/>
      <c r="M402" s="35"/>
      <c r="N402" s="35"/>
      <c r="O402" s="35"/>
      <c r="P402" s="35"/>
      <c r="Q402" s="35"/>
      <c r="R402" s="35"/>
      <c r="S402" s="35"/>
      <c r="T402" s="35"/>
      <c r="U402" s="35"/>
      <c r="V402" s="35"/>
      <c r="W402" s="35"/>
      <c r="X402" s="35"/>
      <c r="Y402" s="35"/>
      <c r="Z402" s="35"/>
    </row>
    <row r="403" ht="12.75" customHeight="1">
      <c r="A403" s="35"/>
      <c r="B403" s="35"/>
      <c r="C403" s="35"/>
      <c r="D403" s="35"/>
      <c r="E403" s="35"/>
      <c r="F403" s="35"/>
      <c r="G403" s="35"/>
      <c r="H403" s="35"/>
      <c r="I403" s="35"/>
      <c r="J403" s="35"/>
      <c r="K403" s="35"/>
      <c r="L403" s="35"/>
      <c r="M403" s="35"/>
      <c r="N403" s="35"/>
      <c r="O403" s="35"/>
      <c r="P403" s="35"/>
      <c r="Q403" s="35"/>
      <c r="R403" s="35"/>
      <c r="S403" s="35"/>
      <c r="T403" s="35"/>
      <c r="U403" s="35"/>
      <c r="V403" s="35"/>
      <c r="W403" s="35"/>
      <c r="X403" s="35"/>
      <c r="Y403" s="35"/>
      <c r="Z403" s="35"/>
    </row>
    <row r="404" ht="12.75" customHeight="1">
      <c r="A404" s="35"/>
      <c r="B404" s="35"/>
      <c r="C404" s="35"/>
      <c r="D404" s="35"/>
      <c r="E404" s="35"/>
      <c r="F404" s="35"/>
      <c r="G404" s="35"/>
      <c r="H404" s="35"/>
      <c r="I404" s="35"/>
      <c r="J404" s="35"/>
      <c r="K404" s="35"/>
      <c r="L404" s="35"/>
      <c r="M404" s="35"/>
      <c r="N404" s="35"/>
      <c r="O404" s="35"/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5"/>
    </row>
    <row r="405" ht="12.75" customHeight="1">
      <c r="A405" s="35"/>
      <c r="B405" s="35"/>
      <c r="C405" s="35"/>
      <c r="D405" s="35"/>
      <c r="E405" s="35"/>
      <c r="F405" s="35"/>
      <c r="G405" s="35"/>
      <c r="H405" s="35"/>
      <c r="I405" s="35"/>
      <c r="J405" s="35"/>
      <c r="K405" s="35"/>
      <c r="L405" s="35"/>
      <c r="M405" s="35"/>
      <c r="N405" s="35"/>
      <c r="O405" s="35"/>
      <c r="P405" s="35"/>
      <c r="Q405" s="35"/>
      <c r="R405" s="35"/>
      <c r="S405" s="35"/>
      <c r="T405" s="35"/>
      <c r="U405" s="35"/>
      <c r="V405" s="35"/>
      <c r="W405" s="35"/>
      <c r="X405" s="35"/>
      <c r="Y405" s="35"/>
      <c r="Z405" s="35"/>
    </row>
    <row r="406" ht="12.75" customHeight="1">
      <c r="A406" s="35"/>
      <c r="B406" s="35"/>
      <c r="C406" s="35"/>
      <c r="D406" s="35"/>
      <c r="E406" s="35"/>
      <c r="F406" s="35"/>
      <c r="G406" s="35"/>
      <c r="H406" s="35"/>
      <c r="I406" s="35"/>
      <c r="J406" s="35"/>
      <c r="K406" s="35"/>
      <c r="L406" s="35"/>
      <c r="M406" s="35"/>
      <c r="N406" s="35"/>
      <c r="O406" s="35"/>
      <c r="P406" s="35"/>
      <c r="Q406" s="35"/>
      <c r="R406" s="35"/>
      <c r="S406" s="35"/>
      <c r="T406" s="35"/>
      <c r="U406" s="35"/>
      <c r="V406" s="35"/>
      <c r="W406" s="35"/>
      <c r="X406" s="35"/>
      <c r="Y406" s="35"/>
      <c r="Z406" s="35"/>
    </row>
    <row r="407" ht="12.75" customHeight="1">
      <c r="A407" s="35"/>
      <c r="B407" s="35"/>
      <c r="C407" s="35"/>
      <c r="D407" s="35"/>
      <c r="E407" s="35"/>
      <c r="F407" s="35"/>
      <c r="G407" s="35"/>
      <c r="H407" s="35"/>
      <c r="I407" s="35"/>
      <c r="J407" s="35"/>
      <c r="K407" s="35"/>
      <c r="L407" s="35"/>
      <c r="M407" s="35"/>
      <c r="N407" s="35"/>
      <c r="O407" s="35"/>
      <c r="P407" s="35"/>
      <c r="Q407" s="35"/>
      <c r="R407" s="35"/>
      <c r="S407" s="35"/>
      <c r="T407" s="35"/>
      <c r="U407" s="35"/>
      <c r="V407" s="35"/>
      <c r="W407" s="35"/>
      <c r="X407" s="35"/>
      <c r="Y407" s="35"/>
      <c r="Z407" s="35"/>
    </row>
    <row r="408" ht="12.75" customHeight="1">
      <c r="A408" s="35"/>
      <c r="B408" s="35"/>
      <c r="C408" s="35"/>
      <c r="D408" s="35"/>
      <c r="E408" s="35"/>
      <c r="F408" s="35"/>
      <c r="G408" s="35"/>
      <c r="H408" s="35"/>
      <c r="I408" s="35"/>
      <c r="J408" s="35"/>
      <c r="K408" s="35"/>
      <c r="L408" s="35"/>
      <c r="M408" s="35"/>
      <c r="N408" s="35"/>
      <c r="O408" s="35"/>
      <c r="P408" s="35"/>
      <c r="Q408" s="35"/>
      <c r="R408" s="35"/>
      <c r="S408" s="35"/>
      <c r="T408" s="35"/>
      <c r="U408" s="35"/>
      <c r="V408" s="35"/>
      <c r="W408" s="35"/>
      <c r="X408" s="35"/>
      <c r="Y408" s="35"/>
      <c r="Z408" s="35"/>
    </row>
    <row r="409" ht="12.75" customHeight="1">
      <c r="A409" s="35"/>
      <c r="B409" s="35"/>
      <c r="C409" s="35"/>
      <c r="D409" s="35"/>
      <c r="E409" s="35"/>
      <c r="F409" s="35"/>
      <c r="G409" s="35"/>
      <c r="H409" s="35"/>
      <c r="I409" s="35"/>
      <c r="J409" s="35"/>
      <c r="K409" s="35"/>
      <c r="L409" s="35"/>
      <c r="M409" s="35"/>
      <c r="N409" s="35"/>
      <c r="O409" s="35"/>
      <c r="P409" s="35"/>
      <c r="Q409" s="35"/>
      <c r="R409" s="35"/>
      <c r="S409" s="35"/>
      <c r="T409" s="35"/>
      <c r="U409" s="35"/>
      <c r="V409" s="35"/>
      <c r="W409" s="35"/>
      <c r="X409" s="35"/>
      <c r="Y409" s="35"/>
      <c r="Z409" s="35"/>
    </row>
    <row r="410" ht="12.75" customHeight="1">
      <c r="A410" s="35"/>
      <c r="B410" s="35"/>
      <c r="C410" s="35"/>
      <c r="D410" s="35"/>
      <c r="E410" s="35"/>
      <c r="F410" s="35"/>
      <c r="G410" s="35"/>
      <c r="H410" s="35"/>
      <c r="I410" s="35"/>
      <c r="J410" s="35"/>
      <c r="K410" s="35"/>
      <c r="L410" s="35"/>
      <c r="M410" s="35"/>
      <c r="N410" s="35"/>
      <c r="O410" s="35"/>
      <c r="P410" s="35"/>
      <c r="Q410" s="35"/>
      <c r="R410" s="35"/>
      <c r="S410" s="35"/>
      <c r="T410" s="35"/>
      <c r="U410" s="35"/>
      <c r="V410" s="35"/>
      <c r="W410" s="35"/>
      <c r="X410" s="35"/>
      <c r="Y410" s="35"/>
      <c r="Z410" s="35"/>
    </row>
    <row r="411" ht="12.75" customHeight="1">
      <c r="A411" s="35"/>
      <c r="B411" s="35"/>
      <c r="C411" s="35"/>
      <c r="D411" s="35"/>
      <c r="E411" s="35"/>
      <c r="F411" s="35"/>
      <c r="G411" s="35"/>
      <c r="H411" s="35"/>
      <c r="I411" s="35"/>
      <c r="J411" s="35"/>
      <c r="K411" s="35"/>
      <c r="L411" s="35"/>
      <c r="M411" s="35"/>
      <c r="N411" s="35"/>
      <c r="O411" s="35"/>
      <c r="P411" s="35"/>
      <c r="Q411" s="35"/>
      <c r="R411" s="35"/>
      <c r="S411" s="35"/>
      <c r="T411" s="35"/>
      <c r="U411" s="35"/>
      <c r="V411" s="35"/>
      <c r="W411" s="35"/>
      <c r="X411" s="35"/>
      <c r="Y411" s="35"/>
      <c r="Z411" s="35"/>
    </row>
    <row r="412" ht="12.75" customHeight="1">
      <c r="A412" s="35"/>
      <c r="B412" s="35"/>
      <c r="C412" s="35"/>
      <c r="D412" s="35"/>
      <c r="E412" s="35"/>
      <c r="F412" s="35"/>
      <c r="G412" s="35"/>
      <c r="H412" s="35"/>
      <c r="I412" s="35"/>
      <c r="J412" s="35"/>
      <c r="K412" s="35"/>
      <c r="L412" s="35"/>
      <c r="M412" s="35"/>
      <c r="N412" s="35"/>
      <c r="O412" s="35"/>
      <c r="P412" s="35"/>
      <c r="Q412" s="35"/>
      <c r="R412" s="35"/>
      <c r="S412" s="35"/>
      <c r="T412" s="35"/>
      <c r="U412" s="35"/>
      <c r="V412" s="35"/>
      <c r="W412" s="35"/>
      <c r="X412" s="35"/>
      <c r="Y412" s="35"/>
      <c r="Z412" s="35"/>
    </row>
    <row r="413" ht="12.75" customHeight="1">
      <c r="A413" s="35"/>
      <c r="B413" s="35"/>
      <c r="C413" s="35"/>
      <c r="D413" s="35"/>
      <c r="E413" s="35"/>
      <c r="F413" s="35"/>
      <c r="G413" s="35"/>
      <c r="H413" s="35"/>
      <c r="I413" s="35"/>
      <c r="J413" s="35"/>
      <c r="K413" s="35"/>
      <c r="L413" s="35"/>
      <c r="M413" s="35"/>
      <c r="N413" s="35"/>
      <c r="O413" s="35"/>
      <c r="P413" s="35"/>
      <c r="Q413" s="35"/>
      <c r="R413" s="35"/>
      <c r="S413" s="35"/>
      <c r="T413" s="35"/>
      <c r="U413" s="35"/>
      <c r="V413" s="35"/>
      <c r="W413" s="35"/>
      <c r="X413" s="35"/>
      <c r="Y413" s="35"/>
      <c r="Z413" s="35"/>
    </row>
    <row r="414" ht="12.75" customHeight="1">
      <c r="A414" s="35"/>
      <c r="B414" s="35"/>
      <c r="C414" s="35"/>
      <c r="D414" s="35"/>
      <c r="E414" s="35"/>
      <c r="F414" s="35"/>
      <c r="G414" s="35"/>
      <c r="H414" s="35"/>
      <c r="I414" s="35"/>
      <c r="J414" s="35"/>
      <c r="K414" s="35"/>
      <c r="L414" s="35"/>
      <c r="M414" s="35"/>
      <c r="N414" s="35"/>
      <c r="O414" s="35"/>
      <c r="P414" s="35"/>
      <c r="Q414" s="35"/>
      <c r="R414" s="35"/>
      <c r="S414" s="35"/>
      <c r="T414" s="35"/>
      <c r="U414" s="35"/>
      <c r="V414" s="35"/>
      <c r="W414" s="35"/>
      <c r="X414" s="35"/>
      <c r="Y414" s="35"/>
      <c r="Z414" s="35"/>
    </row>
    <row r="415" ht="12.75" customHeight="1">
      <c r="A415" s="35"/>
      <c r="B415" s="35"/>
      <c r="C415" s="35"/>
      <c r="D415" s="35"/>
      <c r="E415" s="35"/>
      <c r="F415" s="35"/>
      <c r="G415" s="35"/>
      <c r="H415" s="35"/>
      <c r="I415" s="35"/>
      <c r="J415" s="35"/>
      <c r="K415" s="35"/>
      <c r="L415" s="35"/>
      <c r="M415" s="35"/>
      <c r="N415" s="35"/>
      <c r="O415" s="35"/>
      <c r="P415" s="35"/>
      <c r="Q415" s="35"/>
      <c r="R415" s="35"/>
      <c r="S415" s="35"/>
      <c r="T415" s="35"/>
      <c r="U415" s="35"/>
      <c r="V415" s="35"/>
      <c r="W415" s="35"/>
      <c r="X415" s="35"/>
      <c r="Y415" s="35"/>
      <c r="Z415" s="35"/>
    </row>
    <row r="416" ht="12.75" customHeight="1">
      <c r="A416" s="35"/>
      <c r="B416" s="35"/>
      <c r="C416" s="35"/>
      <c r="D416" s="35"/>
      <c r="E416" s="35"/>
      <c r="F416" s="35"/>
      <c r="G416" s="35"/>
      <c r="H416" s="35"/>
      <c r="I416" s="35"/>
      <c r="J416" s="35"/>
      <c r="K416" s="35"/>
      <c r="L416" s="35"/>
      <c r="M416" s="35"/>
      <c r="N416" s="35"/>
      <c r="O416" s="35"/>
      <c r="P416" s="35"/>
      <c r="Q416" s="35"/>
      <c r="R416" s="35"/>
      <c r="S416" s="35"/>
      <c r="T416" s="35"/>
      <c r="U416" s="35"/>
      <c r="V416" s="35"/>
      <c r="W416" s="35"/>
      <c r="X416" s="35"/>
      <c r="Y416" s="35"/>
      <c r="Z416" s="35"/>
    </row>
    <row r="417" ht="12.75" customHeight="1">
      <c r="A417" s="35"/>
      <c r="B417" s="35"/>
      <c r="C417" s="35"/>
      <c r="D417" s="35"/>
      <c r="E417" s="35"/>
      <c r="F417" s="35"/>
      <c r="G417" s="35"/>
      <c r="H417" s="35"/>
      <c r="I417" s="35"/>
      <c r="J417" s="35"/>
      <c r="K417" s="35"/>
      <c r="L417" s="35"/>
      <c r="M417" s="35"/>
      <c r="N417" s="35"/>
      <c r="O417" s="35"/>
      <c r="P417" s="35"/>
      <c r="Q417" s="35"/>
      <c r="R417" s="35"/>
      <c r="S417" s="35"/>
      <c r="T417" s="35"/>
      <c r="U417" s="35"/>
      <c r="V417" s="35"/>
      <c r="W417" s="35"/>
      <c r="X417" s="35"/>
      <c r="Y417" s="35"/>
      <c r="Z417" s="35"/>
    </row>
    <row r="418" ht="12.75" customHeight="1">
      <c r="A418" s="35"/>
      <c r="B418" s="35"/>
      <c r="C418" s="35"/>
      <c r="D418" s="35"/>
      <c r="E418" s="35"/>
      <c r="F418" s="35"/>
      <c r="G418" s="35"/>
      <c r="H418" s="35"/>
      <c r="I418" s="35"/>
      <c r="J418" s="35"/>
      <c r="K418" s="35"/>
      <c r="L418" s="35"/>
      <c r="M418" s="35"/>
      <c r="N418" s="35"/>
      <c r="O418" s="35"/>
      <c r="P418" s="35"/>
      <c r="Q418" s="35"/>
      <c r="R418" s="35"/>
      <c r="S418" s="35"/>
      <c r="T418" s="35"/>
      <c r="U418" s="35"/>
      <c r="V418" s="35"/>
      <c r="W418" s="35"/>
      <c r="X418" s="35"/>
      <c r="Y418" s="35"/>
      <c r="Z418" s="35"/>
    </row>
    <row r="419" ht="12.75" customHeight="1">
      <c r="A419" s="35"/>
      <c r="B419" s="35"/>
      <c r="C419" s="35"/>
      <c r="D419" s="35"/>
      <c r="E419" s="35"/>
      <c r="F419" s="35"/>
      <c r="G419" s="35"/>
      <c r="H419" s="35"/>
      <c r="I419" s="35"/>
      <c r="J419" s="35"/>
      <c r="K419" s="35"/>
      <c r="L419" s="35"/>
      <c r="M419" s="35"/>
      <c r="N419" s="35"/>
      <c r="O419" s="35"/>
      <c r="P419" s="35"/>
      <c r="Q419" s="35"/>
      <c r="R419" s="35"/>
      <c r="S419" s="35"/>
      <c r="T419" s="35"/>
      <c r="U419" s="35"/>
      <c r="V419" s="35"/>
      <c r="W419" s="35"/>
      <c r="X419" s="35"/>
      <c r="Y419" s="35"/>
      <c r="Z419" s="35"/>
    </row>
    <row r="420" ht="12.75" customHeight="1">
      <c r="A420" s="35"/>
      <c r="B420" s="35"/>
      <c r="C420" s="35"/>
      <c r="D420" s="35"/>
      <c r="E420" s="35"/>
      <c r="F420" s="35"/>
      <c r="G420" s="35"/>
      <c r="H420" s="35"/>
      <c r="I420" s="35"/>
      <c r="J420" s="35"/>
      <c r="K420" s="35"/>
      <c r="L420" s="35"/>
      <c r="M420" s="35"/>
      <c r="N420" s="35"/>
      <c r="O420" s="35"/>
      <c r="P420" s="35"/>
      <c r="Q420" s="35"/>
      <c r="R420" s="35"/>
      <c r="S420" s="35"/>
      <c r="T420" s="35"/>
      <c r="U420" s="35"/>
      <c r="V420" s="35"/>
      <c r="W420" s="35"/>
      <c r="X420" s="35"/>
      <c r="Y420" s="35"/>
      <c r="Z420" s="35"/>
    </row>
    <row r="421" ht="12.75" customHeight="1">
      <c r="A421" s="35"/>
      <c r="B421" s="35"/>
      <c r="C421" s="35"/>
      <c r="D421" s="35"/>
      <c r="E421" s="35"/>
      <c r="F421" s="35"/>
      <c r="G421" s="35"/>
      <c r="H421" s="35"/>
      <c r="I421" s="35"/>
      <c r="J421" s="35"/>
      <c r="K421" s="35"/>
      <c r="L421" s="35"/>
      <c r="M421" s="35"/>
      <c r="N421" s="35"/>
      <c r="O421" s="35"/>
      <c r="P421" s="35"/>
      <c r="Q421" s="35"/>
      <c r="R421" s="35"/>
      <c r="S421" s="35"/>
      <c r="T421" s="35"/>
      <c r="U421" s="35"/>
      <c r="V421" s="35"/>
      <c r="W421" s="35"/>
      <c r="X421" s="35"/>
      <c r="Y421" s="35"/>
      <c r="Z421" s="35"/>
    </row>
    <row r="422" ht="12.75" customHeight="1">
      <c r="A422" s="35"/>
      <c r="B422" s="35"/>
      <c r="C422" s="35"/>
      <c r="D422" s="35"/>
      <c r="E422" s="35"/>
      <c r="F422" s="35"/>
      <c r="G422" s="35"/>
      <c r="H422" s="35"/>
      <c r="I422" s="35"/>
      <c r="J422" s="35"/>
      <c r="K422" s="35"/>
      <c r="L422" s="35"/>
      <c r="M422" s="35"/>
      <c r="N422" s="35"/>
      <c r="O422" s="35"/>
      <c r="P422" s="35"/>
      <c r="Q422" s="35"/>
      <c r="R422" s="35"/>
      <c r="S422" s="35"/>
      <c r="T422" s="35"/>
      <c r="U422" s="35"/>
      <c r="V422" s="35"/>
      <c r="W422" s="35"/>
      <c r="X422" s="35"/>
      <c r="Y422" s="35"/>
      <c r="Z422" s="35"/>
    </row>
    <row r="423" ht="12.75" customHeight="1">
      <c r="A423" s="35"/>
      <c r="B423" s="35"/>
      <c r="C423" s="35"/>
      <c r="D423" s="35"/>
      <c r="E423" s="35"/>
      <c r="F423" s="35"/>
      <c r="G423" s="35"/>
      <c r="H423" s="35"/>
      <c r="I423" s="35"/>
      <c r="J423" s="35"/>
      <c r="K423" s="35"/>
      <c r="L423" s="35"/>
      <c r="M423" s="35"/>
      <c r="N423" s="35"/>
      <c r="O423" s="35"/>
      <c r="P423" s="35"/>
      <c r="Q423" s="35"/>
      <c r="R423" s="35"/>
      <c r="S423" s="35"/>
      <c r="T423" s="35"/>
      <c r="U423" s="35"/>
      <c r="V423" s="35"/>
      <c r="W423" s="35"/>
      <c r="X423" s="35"/>
      <c r="Y423" s="35"/>
      <c r="Z423" s="35"/>
    </row>
    <row r="424" ht="12.75" customHeight="1">
      <c r="A424" s="35"/>
      <c r="B424" s="35"/>
      <c r="C424" s="35"/>
      <c r="D424" s="35"/>
      <c r="E424" s="35"/>
      <c r="F424" s="35"/>
      <c r="G424" s="35"/>
      <c r="H424" s="35"/>
      <c r="I424" s="35"/>
      <c r="J424" s="35"/>
      <c r="K424" s="35"/>
      <c r="L424" s="35"/>
      <c r="M424" s="35"/>
      <c r="N424" s="35"/>
      <c r="O424" s="35"/>
      <c r="P424" s="35"/>
      <c r="Q424" s="35"/>
      <c r="R424" s="35"/>
      <c r="S424" s="35"/>
      <c r="T424" s="35"/>
      <c r="U424" s="35"/>
      <c r="V424" s="35"/>
      <c r="W424" s="35"/>
      <c r="X424" s="35"/>
      <c r="Y424" s="35"/>
      <c r="Z424" s="35"/>
    </row>
    <row r="425" ht="12.75" customHeight="1">
      <c r="A425" s="35"/>
      <c r="B425" s="35"/>
      <c r="C425" s="35"/>
      <c r="D425" s="35"/>
      <c r="E425" s="35"/>
      <c r="F425" s="35"/>
      <c r="G425" s="35"/>
      <c r="H425" s="35"/>
      <c r="I425" s="35"/>
      <c r="J425" s="35"/>
      <c r="K425" s="35"/>
      <c r="L425" s="35"/>
      <c r="M425" s="35"/>
      <c r="N425" s="35"/>
      <c r="O425" s="35"/>
      <c r="P425" s="35"/>
      <c r="Q425" s="35"/>
      <c r="R425" s="35"/>
      <c r="S425" s="35"/>
      <c r="T425" s="35"/>
      <c r="U425" s="35"/>
      <c r="V425" s="35"/>
      <c r="W425" s="35"/>
      <c r="X425" s="35"/>
      <c r="Y425" s="35"/>
      <c r="Z425" s="35"/>
    </row>
    <row r="426" ht="12.75" customHeight="1">
      <c r="A426" s="35"/>
      <c r="B426" s="35"/>
      <c r="C426" s="35"/>
      <c r="D426" s="35"/>
      <c r="E426" s="35"/>
      <c r="F426" s="35"/>
      <c r="G426" s="35"/>
      <c r="H426" s="35"/>
      <c r="I426" s="35"/>
      <c r="J426" s="35"/>
      <c r="K426" s="35"/>
      <c r="L426" s="35"/>
      <c r="M426" s="35"/>
      <c r="N426" s="35"/>
      <c r="O426" s="35"/>
      <c r="P426" s="35"/>
      <c r="Q426" s="35"/>
      <c r="R426" s="35"/>
      <c r="S426" s="35"/>
      <c r="T426" s="35"/>
      <c r="U426" s="35"/>
      <c r="V426" s="35"/>
      <c r="W426" s="35"/>
      <c r="X426" s="35"/>
      <c r="Y426" s="35"/>
      <c r="Z426" s="35"/>
    </row>
    <row r="427" ht="12.75" customHeight="1">
      <c r="A427" s="35"/>
      <c r="B427" s="35"/>
      <c r="C427" s="35"/>
      <c r="D427" s="35"/>
      <c r="E427" s="35"/>
      <c r="F427" s="35"/>
      <c r="G427" s="35"/>
      <c r="H427" s="35"/>
      <c r="I427" s="35"/>
      <c r="J427" s="35"/>
      <c r="K427" s="35"/>
      <c r="L427" s="35"/>
      <c r="M427" s="35"/>
      <c r="N427" s="35"/>
      <c r="O427" s="35"/>
      <c r="P427" s="35"/>
      <c r="Q427" s="35"/>
      <c r="R427" s="35"/>
      <c r="S427" s="35"/>
      <c r="T427" s="35"/>
      <c r="U427" s="35"/>
      <c r="V427" s="35"/>
      <c r="W427" s="35"/>
      <c r="X427" s="35"/>
      <c r="Y427" s="35"/>
      <c r="Z427" s="35"/>
    </row>
    <row r="428" ht="12.75" customHeight="1">
      <c r="A428" s="35"/>
      <c r="B428" s="35"/>
      <c r="C428" s="35"/>
      <c r="D428" s="35"/>
      <c r="E428" s="35"/>
      <c r="F428" s="35"/>
      <c r="G428" s="35"/>
      <c r="H428" s="35"/>
      <c r="I428" s="35"/>
      <c r="J428" s="35"/>
      <c r="K428" s="35"/>
      <c r="L428" s="35"/>
      <c r="M428" s="35"/>
      <c r="N428" s="35"/>
      <c r="O428" s="35"/>
      <c r="P428" s="35"/>
      <c r="Q428" s="35"/>
      <c r="R428" s="35"/>
      <c r="S428" s="35"/>
      <c r="T428" s="35"/>
      <c r="U428" s="35"/>
      <c r="V428" s="35"/>
      <c r="W428" s="35"/>
      <c r="X428" s="35"/>
      <c r="Y428" s="35"/>
      <c r="Z428" s="35"/>
    </row>
    <row r="429" ht="12.75" customHeight="1">
      <c r="A429" s="35"/>
      <c r="B429" s="35"/>
      <c r="C429" s="35"/>
      <c r="D429" s="35"/>
      <c r="E429" s="35"/>
      <c r="F429" s="35"/>
      <c r="G429" s="35"/>
      <c r="H429" s="35"/>
      <c r="I429" s="35"/>
      <c r="J429" s="35"/>
      <c r="K429" s="35"/>
      <c r="L429" s="35"/>
      <c r="M429" s="35"/>
      <c r="N429" s="35"/>
      <c r="O429" s="35"/>
      <c r="P429" s="35"/>
      <c r="Q429" s="35"/>
      <c r="R429" s="35"/>
      <c r="S429" s="35"/>
      <c r="T429" s="35"/>
      <c r="U429" s="35"/>
      <c r="V429" s="35"/>
      <c r="W429" s="35"/>
      <c r="X429" s="35"/>
      <c r="Y429" s="35"/>
      <c r="Z429" s="35"/>
    </row>
    <row r="430" ht="12.75" customHeight="1">
      <c r="A430" s="35"/>
      <c r="B430" s="35"/>
      <c r="C430" s="35"/>
      <c r="D430" s="35"/>
      <c r="E430" s="35"/>
      <c r="F430" s="35"/>
      <c r="G430" s="35"/>
      <c r="H430" s="35"/>
      <c r="I430" s="35"/>
      <c r="J430" s="35"/>
      <c r="K430" s="35"/>
      <c r="L430" s="35"/>
      <c r="M430" s="35"/>
      <c r="N430" s="35"/>
      <c r="O430" s="35"/>
      <c r="P430" s="35"/>
      <c r="Q430" s="35"/>
      <c r="R430" s="35"/>
      <c r="S430" s="35"/>
      <c r="T430" s="35"/>
      <c r="U430" s="35"/>
      <c r="V430" s="35"/>
      <c r="W430" s="35"/>
      <c r="X430" s="35"/>
      <c r="Y430" s="35"/>
      <c r="Z430" s="35"/>
    </row>
    <row r="431" ht="12.75" customHeight="1">
      <c r="A431" s="35"/>
      <c r="B431" s="35"/>
      <c r="C431" s="35"/>
      <c r="D431" s="35"/>
      <c r="E431" s="35"/>
      <c r="F431" s="35"/>
      <c r="G431" s="35"/>
      <c r="H431" s="35"/>
      <c r="I431" s="35"/>
      <c r="J431" s="35"/>
      <c r="K431" s="35"/>
      <c r="L431" s="35"/>
      <c r="M431" s="35"/>
      <c r="N431" s="35"/>
      <c r="O431" s="35"/>
      <c r="P431" s="35"/>
      <c r="Q431" s="35"/>
      <c r="R431" s="35"/>
      <c r="S431" s="35"/>
      <c r="T431" s="35"/>
      <c r="U431" s="35"/>
      <c r="V431" s="35"/>
      <c r="W431" s="35"/>
      <c r="X431" s="35"/>
      <c r="Y431" s="35"/>
      <c r="Z431" s="35"/>
    </row>
    <row r="432" ht="12.75" customHeight="1">
      <c r="A432" s="35"/>
      <c r="B432" s="35"/>
      <c r="C432" s="35"/>
      <c r="D432" s="35"/>
      <c r="E432" s="35"/>
      <c r="F432" s="35"/>
      <c r="G432" s="35"/>
      <c r="H432" s="35"/>
      <c r="I432" s="35"/>
      <c r="J432" s="35"/>
      <c r="K432" s="35"/>
      <c r="L432" s="35"/>
      <c r="M432" s="35"/>
      <c r="N432" s="35"/>
      <c r="O432" s="35"/>
      <c r="P432" s="35"/>
      <c r="Q432" s="35"/>
      <c r="R432" s="35"/>
      <c r="S432" s="35"/>
      <c r="T432" s="35"/>
      <c r="U432" s="35"/>
      <c r="V432" s="35"/>
      <c r="W432" s="35"/>
      <c r="X432" s="35"/>
      <c r="Y432" s="35"/>
      <c r="Z432" s="35"/>
    </row>
    <row r="433" ht="12.75" customHeight="1">
      <c r="A433" s="35"/>
      <c r="B433" s="35"/>
      <c r="C433" s="35"/>
      <c r="D433" s="35"/>
      <c r="E433" s="35"/>
      <c r="F433" s="35"/>
      <c r="G433" s="35"/>
      <c r="H433" s="35"/>
      <c r="I433" s="35"/>
      <c r="J433" s="35"/>
      <c r="K433" s="35"/>
      <c r="L433" s="35"/>
      <c r="M433" s="35"/>
      <c r="N433" s="35"/>
      <c r="O433" s="35"/>
      <c r="P433" s="35"/>
      <c r="Q433" s="35"/>
      <c r="R433" s="35"/>
      <c r="S433" s="35"/>
      <c r="T433" s="35"/>
      <c r="U433" s="35"/>
      <c r="V433" s="35"/>
      <c r="W433" s="35"/>
      <c r="X433" s="35"/>
      <c r="Y433" s="35"/>
      <c r="Z433" s="35"/>
    </row>
    <row r="434" ht="12.75" customHeight="1">
      <c r="A434" s="35"/>
      <c r="B434" s="35"/>
      <c r="C434" s="35"/>
      <c r="D434" s="35"/>
      <c r="E434" s="35"/>
      <c r="F434" s="35"/>
      <c r="G434" s="35"/>
      <c r="H434" s="35"/>
      <c r="I434" s="35"/>
      <c r="J434" s="35"/>
      <c r="K434" s="35"/>
      <c r="L434" s="35"/>
      <c r="M434" s="35"/>
      <c r="N434" s="35"/>
      <c r="O434" s="35"/>
      <c r="P434" s="35"/>
      <c r="Q434" s="35"/>
      <c r="R434" s="35"/>
      <c r="S434" s="35"/>
      <c r="T434" s="35"/>
      <c r="U434" s="35"/>
      <c r="V434" s="35"/>
      <c r="W434" s="35"/>
      <c r="X434" s="35"/>
      <c r="Y434" s="35"/>
      <c r="Z434" s="35"/>
    </row>
    <row r="435" ht="12.75" customHeight="1">
      <c r="A435" s="35"/>
      <c r="B435" s="35"/>
      <c r="C435" s="35"/>
      <c r="D435" s="35"/>
      <c r="E435" s="35"/>
      <c r="F435" s="35"/>
      <c r="G435" s="35"/>
      <c r="H435" s="35"/>
      <c r="I435" s="35"/>
      <c r="J435" s="35"/>
      <c r="K435" s="35"/>
      <c r="L435" s="35"/>
      <c r="M435" s="35"/>
      <c r="N435" s="35"/>
      <c r="O435" s="35"/>
      <c r="P435" s="35"/>
      <c r="Q435" s="35"/>
      <c r="R435" s="35"/>
      <c r="S435" s="35"/>
      <c r="T435" s="35"/>
      <c r="U435" s="35"/>
      <c r="V435" s="35"/>
      <c r="W435" s="35"/>
      <c r="X435" s="35"/>
      <c r="Y435" s="35"/>
      <c r="Z435" s="35"/>
    </row>
    <row r="436" ht="12.75" customHeight="1">
      <c r="A436" s="35"/>
      <c r="B436" s="35"/>
      <c r="C436" s="35"/>
      <c r="D436" s="35"/>
      <c r="E436" s="35"/>
      <c r="F436" s="35"/>
      <c r="G436" s="35"/>
      <c r="H436" s="35"/>
      <c r="I436" s="35"/>
      <c r="J436" s="35"/>
      <c r="K436" s="35"/>
      <c r="L436" s="35"/>
      <c r="M436" s="35"/>
      <c r="N436" s="35"/>
      <c r="O436" s="35"/>
      <c r="P436" s="35"/>
      <c r="Q436" s="35"/>
      <c r="R436" s="35"/>
      <c r="S436" s="35"/>
      <c r="T436" s="35"/>
      <c r="U436" s="35"/>
      <c r="V436" s="35"/>
      <c r="W436" s="35"/>
      <c r="X436" s="35"/>
      <c r="Y436" s="35"/>
      <c r="Z436" s="35"/>
    </row>
    <row r="437" ht="12.75" customHeight="1">
      <c r="A437" s="35"/>
      <c r="B437" s="35"/>
      <c r="C437" s="35"/>
      <c r="D437" s="35"/>
      <c r="E437" s="35"/>
      <c r="F437" s="35"/>
      <c r="G437" s="35"/>
      <c r="H437" s="35"/>
      <c r="I437" s="35"/>
      <c r="J437" s="35"/>
      <c r="K437" s="35"/>
      <c r="L437" s="35"/>
      <c r="M437" s="35"/>
      <c r="N437" s="35"/>
      <c r="O437" s="35"/>
      <c r="P437" s="35"/>
      <c r="Q437" s="35"/>
      <c r="R437" s="35"/>
      <c r="S437" s="35"/>
      <c r="T437" s="35"/>
      <c r="U437" s="35"/>
      <c r="V437" s="35"/>
      <c r="W437" s="35"/>
      <c r="X437" s="35"/>
      <c r="Y437" s="35"/>
      <c r="Z437" s="35"/>
    </row>
    <row r="438" ht="12.75" customHeight="1">
      <c r="A438" s="35"/>
      <c r="B438" s="35"/>
      <c r="C438" s="35"/>
      <c r="D438" s="35"/>
      <c r="E438" s="35"/>
      <c r="F438" s="35"/>
      <c r="G438" s="35"/>
      <c r="H438" s="35"/>
      <c r="I438" s="35"/>
      <c r="J438" s="35"/>
      <c r="K438" s="35"/>
      <c r="L438" s="35"/>
      <c r="M438" s="35"/>
      <c r="N438" s="35"/>
      <c r="O438" s="35"/>
      <c r="P438" s="35"/>
      <c r="Q438" s="35"/>
      <c r="R438" s="35"/>
      <c r="S438" s="35"/>
      <c r="T438" s="35"/>
      <c r="U438" s="35"/>
      <c r="V438" s="35"/>
      <c r="W438" s="35"/>
      <c r="X438" s="35"/>
      <c r="Y438" s="35"/>
      <c r="Z438" s="35"/>
    </row>
    <row r="439" ht="12.75" customHeight="1">
      <c r="A439" s="35"/>
      <c r="B439" s="35"/>
      <c r="C439" s="35"/>
      <c r="D439" s="35"/>
      <c r="E439" s="35"/>
      <c r="F439" s="35"/>
      <c r="G439" s="35"/>
      <c r="H439" s="35"/>
      <c r="I439" s="35"/>
      <c r="J439" s="35"/>
      <c r="K439" s="35"/>
      <c r="L439" s="35"/>
      <c r="M439" s="35"/>
      <c r="N439" s="35"/>
      <c r="O439" s="35"/>
      <c r="P439" s="35"/>
      <c r="Q439" s="35"/>
      <c r="R439" s="35"/>
      <c r="S439" s="35"/>
      <c r="T439" s="35"/>
      <c r="U439" s="35"/>
      <c r="V439" s="35"/>
      <c r="W439" s="35"/>
      <c r="X439" s="35"/>
      <c r="Y439" s="35"/>
      <c r="Z439" s="35"/>
    </row>
    <row r="440" ht="12.75" customHeight="1">
      <c r="A440" s="35"/>
      <c r="B440" s="35"/>
      <c r="C440" s="35"/>
      <c r="D440" s="35"/>
      <c r="E440" s="35"/>
      <c r="F440" s="35"/>
      <c r="G440" s="35"/>
      <c r="H440" s="35"/>
      <c r="I440" s="35"/>
      <c r="J440" s="35"/>
      <c r="K440" s="35"/>
      <c r="L440" s="35"/>
      <c r="M440" s="35"/>
      <c r="N440" s="35"/>
      <c r="O440" s="35"/>
      <c r="P440" s="35"/>
      <c r="Q440" s="35"/>
      <c r="R440" s="35"/>
      <c r="S440" s="35"/>
      <c r="T440" s="35"/>
      <c r="U440" s="35"/>
      <c r="V440" s="35"/>
      <c r="W440" s="35"/>
      <c r="X440" s="35"/>
      <c r="Y440" s="35"/>
      <c r="Z440" s="35"/>
    </row>
    <row r="441" ht="12.75" customHeight="1">
      <c r="A441" s="35"/>
      <c r="B441" s="35"/>
      <c r="C441" s="35"/>
      <c r="D441" s="35"/>
      <c r="E441" s="35"/>
      <c r="F441" s="35"/>
      <c r="G441" s="35"/>
      <c r="H441" s="35"/>
      <c r="I441" s="35"/>
      <c r="J441" s="35"/>
      <c r="K441" s="35"/>
      <c r="L441" s="35"/>
      <c r="M441" s="35"/>
      <c r="N441" s="35"/>
      <c r="O441" s="35"/>
      <c r="P441" s="35"/>
      <c r="Q441" s="35"/>
      <c r="R441" s="35"/>
      <c r="S441" s="35"/>
      <c r="T441" s="35"/>
      <c r="U441" s="35"/>
      <c r="V441" s="35"/>
      <c r="W441" s="35"/>
      <c r="X441" s="35"/>
      <c r="Y441" s="35"/>
      <c r="Z441" s="35"/>
    </row>
    <row r="442" ht="12.75" customHeight="1">
      <c r="A442" s="35"/>
      <c r="B442" s="35"/>
      <c r="C442" s="35"/>
      <c r="D442" s="35"/>
      <c r="E442" s="35"/>
      <c r="F442" s="35"/>
      <c r="G442" s="35"/>
      <c r="H442" s="35"/>
      <c r="I442" s="35"/>
      <c r="J442" s="35"/>
      <c r="K442" s="35"/>
      <c r="L442" s="35"/>
      <c r="M442" s="35"/>
      <c r="N442" s="35"/>
      <c r="O442" s="35"/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5"/>
    </row>
    <row r="443" ht="12.75" customHeight="1">
      <c r="A443" s="35"/>
      <c r="B443" s="35"/>
      <c r="C443" s="35"/>
      <c r="D443" s="35"/>
      <c r="E443" s="35"/>
      <c r="F443" s="35"/>
      <c r="G443" s="35"/>
      <c r="H443" s="35"/>
      <c r="I443" s="35"/>
      <c r="J443" s="35"/>
      <c r="K443" s="35"/>
      <c r="L443" s="35"/>
      <c r="M443" s="35"/>
      <c r="N443" s="35"/>
      <c r="O443" s="35"/>
      <c r="P443" s="35"/>
      <c r="Q443" s="35"/>
      <c r="R443" s="35"/>
      <c r="S443" s="35"/>
      <c r="T443" s="35"/>
      <c r="U443" s="35"/>
      <c r="V443" s="35"/>
      <c r="W443" s="35"/>
      <c r="X443" s="35"/>
      <c r="Y443" s="35"/>
      <c r="Z443" s="35"/>
    </row>
    <row r="444" ht="12.75" customHeight="1">
      <c r="A444" s="35"/>
      <c r="B444" s="35"/>
      <c r="C444" s="35"/>
      <c r="D444" s="35"/>
      <c r="E444" s="35"/>
      <c r="F444" s="35"/>
      <c r="G444" s="35"/>
      <c r="H444" s="35"/>
      <c r="I444" s="35"/>
      <c r="J444" s="35"/>
      <c r="K444" s="35"/>
      <c r="L444" s="35"/>
      <c r="M444" s="35"/>
      <c r="N444" s="35"/>
      <c r="O444" s="35"/>
      <c r="P444" s="35"/>
      <c r="Q444" s="35"/>
      <c r="R444" s="35"/>
      <c r="S444" s="35"/>
      <c r="T444" s="35"/>
      <c r="U444" s="35"/>
      <c r="V444" s="35"/>
      <c r="W444" s="35"/>
      <c r="X444" s="35"/>
      <c r="Y444" s="35"/>
      <c r="Z444" s="35"/>
    </row>
    <row r="445" ht="12.75" customHeight="1">
      <c r="A445" s="35"/>
      <c r="B445" s="35"/>
      <c r="C445" s="35"/>
      <c r="D445" s="35"/>
      <c r="E445" s="35"/>
      <c r="F445" s="35"/>
      <c r="G445" s="35"/>
      <c r="H445" s="35"/>
      <c r="I445" s="35"/>
      <c r="J445" s="35"/>
      <c r="K445" s="35"/>
      <c r="L445" s="35"/>
      <c r="M445" s="35"/>
      <c r="N445" s="35"/>
      <c r="O445" s="35"/>
      <c r="P445" s="35"/>
      <c r="Q445" s="35"/>
      <c r="R445" s="35"/>
      <c r="S445" s="35"/>
      <c r="T445" s="35"/>
      <c r="U445" s="35"/>
      <c r="V445" s="35"/>
      <c r="W445" s="35"/>
      <c r="X445" s="35"/>
      <c r="Y445" s="35"/>
      <c r="Z445" s="35"/>
    </row>
    <row r="446" ht="12.75" customHeight="1">
      <c r="A446" s="35"/>
      <c r="B446" s="35"/>
      <c r="C446" s="35"/>
      <c r="D446" s="35"/>
      <c r="E446" s="35"/>
      <c r="F446" s="35"/>
      <c r="G446" s="35"/>
      <c r="H446" s="35"/>
      <c r="I446" s="35"/>
      <c r="J446" s="35"/>
      <c r="K446" s="35"/>
      <c r="L446" s="35"/>
      <c r="M446" s="35"/>
      <c r="N446" s="35"/>
      <c r="O446" s="35"/>
      <c r="P446" s="35"/>
      <c r="Q446" s="35"/>
      <c r="R446" s="35"/>
      <c r="S446" s="35"/>
      <c r="T446" s="35"/>
      <c r="U446" s="35"/>
      <c r="V446" s="35"/>
      <c r="W446" s="35"/>
      <c r="X446" s="35"/>
      <c r="Y446" s="35"/>
      <c r="Z446" s="35"/>
    </row>
    <row r="447" ht="12.75" customHeight="1">
      <c r="A447" s="35"/>
      <c r="B447" s="35"/>
      <c r="C447" s="35"/>
      <c r="D447" s="35"/>
      <c r="E447" s="35"/>
      <c r="F447" s="35"/>
      <c r="G447" s="35"/>
      <c r="H447" s="35"/>
      <c r="I447" s="35"/>
      <c r="J447" s="35"/>
      <c r="K447" s="35"/>
      <c r="L447" s="35"/>
      <c r="M447" s="35"/>
      <c r="N447" s="35"/>
      <c r="O447" s="35"/>
      <c r="P447" s="35"/>
      <c r="Q447" s="35"/>
      <c r="R447" s="35"/>
      <c r="S447" s="35"/>
      <c r="T447" s="35"/>
      <c r="U447" s="35"/>
      <c r="V447" s="35"/>
      <c r="W447" s="35"/>
      <c r="X447" s="35"/>
      <c r="Y447" s="35"/>
      <c r="Z447" s="35"/>
    </row>
    <row r="448" ht="12.75" customHeight="1">
      <c r="A448" s="35"/>
      <c r="B448" s="35"/>
      <c r="C448" s="35"/>
      <c r="D448" s="35"/>
      <c r="E448" s="35"/>
      <c r="F448" s="35"/>
      <c r="G448" s="35"/>
      <c r="H448" s="35"/>
      <c r="I448" s="35"/>
      <c r="J448" s="35"/>
      <c r="K448" s="35"/>
      <c r="L448" s="35"/>
      <c r="M448" s="35"/>
      <c r="N448" s="35"/>
      <c r="O448" s="35"/>
      <c r="P448" s="35"/>
      <c r="Q448" s="35"/>
      <c r="R448" s="35"/>
      <c r="S448" s="35"/>
      <c r="T448" s="35"/>
      <c r="U448" s="35"/>
      <c r="V448" s="35"/>
      <c r="W448" s="35"/>
      <c r="X448" s="35"/>
      <c r="Y448" s="35"/>
      <c r="Z448" s="35"/>
    </row>
    <row r="449" ht="12.75" customHeight="1">
      <c r="A449" s="35"/>
      <c r="B449" s="35"/>
      <c r="C449" s="35"/>
      <c r="D449" s="35"/>
      <c r="E449" s="35"/>
      <c r="F449" s="35"/>
      <c r="G449" s="35"/>
      <c r="H449" s="35"/>
      <c r="I449" s="35"/>
      <c r="J449" s="35"/>
      <c r="K449" s="35"/>
      <c r="L449" s="35"/>
      <c r="M449" s="35"/>
      <c r="N449" s="35"/>
      <c r="O449" s="35"/>
      <c r="P449" s="35"/>
      <c r="Q449" s="35"/>
      <c r="R449" s="35"/>
      <c r="S449" s="35"/>
      <c r="T449" s="35"/>
      <c r="U449" s="35"/>
      <c r="V449" s="35"/>
      <c r="W449" s="35"/>
      <c r="X449" s="35"/>
      <c r="Y449" s="35"/>
      <c r="Z449" s="35"/>
    </row>
    <row r="450" ht="12.75" customHeight="1">
      <c r="A450" s="35"/>
      <c r="B450" s="35"/>
      <c r="C450" s="35"/>
      <c r="D450" s="35"/>
      <c r="E450" s="35"/>
      <c r="F450" s="35"/>
      <c r="G450" s="35"/>
      <c r="H450" s="35"/>
      <c r="I450" s="35"/>
      <c r="J450" s="35"/>
      <c r="K450" s="35"/>
      <c r="L450" s="35"/>
      <c r="M450" s="35"/>
      <c r="N450" s="35"/>
      <c r="O450" s="35"/>
      <c r="P450" s="35"/>
      <c r="Q450" s="35"/>
      <c r="R450" s="35"/>
      <c r="S450" s="35"/>
      <c r="T450" s="35"/>
      <c r="U450" s="35"/>
      <c r="V450" s="35"/>
      <c r="W450" s="35"/>
      <c r="X450" s="35"/>
      <c r="Y450" s="35"/>
      <c r="Z450" s="35"/>
    </row>
    <row r="451" ht="12.75" customHeight="1">
      <c r="A451" s="35"/>
      <c r="B451" s="35"/>
      <c r="C451" s="35"/>
      <c r="D451" s="35"/>
      <c r="E451" s="35"/>
      <c r="F451" s="35"/>
      <c r="G451" s="35"/>
      <c r="H451" s="35"/>
      <c r="I451" s="35"/>
      <c r="J451" s="35"/>
      <c r="K451" s="35"/>
      <c r="L451" s="35"/>
      <c r="M451" s="35"/>
      <c r="N451" s="35"/>
      <c r="O451" s="35"/>
      <c r="P451" s="35"/>
      <c r="Q451" s="35"/>
      <c r="R451" s="35"/>
      <c r="S451" s="35"/>
      <c r="T451" s="35"/>
      <c r="U451" s="35"/>
      <c r="V451" s="35"/>
      <c r="W451" s="35"/>
      <c r="X451" s="35"/>
      <c r="Y451" s="35"/>
      <c r="Z451" s="35"/>
    </row>
    <row r="452" ht="12.75" customHeight="1">
      <c r="A452" s="35"/>
      <c r="B452" s="35"/>
      <c r="C452" s="35"/>
      <c r="D452" s="35"/>
      <c r="E452" s="35"/>
      <c r="F452" s="35"/>
      <c r="G452" s="35"/>
      <c r="H452" s="35"/>
      <c r="I452" s="35"/>
      <c r="J452" s="35"/>
      <c r="K452" s="35"/>
      <c r="L452" s="35"/>
      <c r="M452" s="35"/>
      <c r="N452" s="35"/>
      <c r="O452" s="35"/>
      <c r="P452" s="35"/>
      <c r="Q452" s="35"/>
      <c r="R452" s="35"/>
      <c r="S452" s="35"/>
      <c r="T452" s="35"/>
      <c r="U452" s="35"/>
      <c r="V452" s="35"/>
      <c r="W452" s="35"/>
      <c r="X452" s="35"/>
      <c r="Y452" s="35"/>
      <c r="Z452" s="35"/>
    </row>
    <row r="453" ht="12.75" customHeight="1">
      <c r="A453" s="35"/>
      <c r="B453" s="35"/>
      <c r="C453" s="35"/>
      <c r="D453" s="35"/>
      <c r="E453" s="35"/>
      <c r="F453" s="35"/>
      <c r="G453" s="35"/>
      <c r="H453" s="35"/>
      <c r="I453" s="35"/>
      <c r="J453" s="35"/>
      <c r="K453" s="35"/>
      <c r="L453" s="35"/>
      <c r="M453" s="35"/>
      <c r="N453" s="35"/>
      <c r="O453" s="35"/>
      <c r="P453" s="35"/>
      <c r="Q453" s="35"/>
      <c r="R453" s="35"/>
      <c r="S453" s="35"/>
      <c r="T453" s="35"/>
      <c r="U453" s="35"/>
      <c r="V453" s="35"/>
      <c r="W453" s="35"/>
      <c r="X453" s="35"/>
      <c r="Y453" s="35"/>
      <c r="Z453" s="35"/>
    </row>
    <row r="454" ht="12.75" customHeight="1">
      <c r="A454" s="35"/>
      <c r="B454" s="35"/>
      <c r="C454" s="35"/>
      <c r="D454" s="35"/>
      <c r="E454" s="35"/>
      <c r="F454" s="35"/>
      <c r="G454" s="35"/>
      <c r="H454" s="35"/>
      <c r="I454" s="35"/>
      <c r="J454" s="35"/>
      <c r="K454" s="35"/>
      <c r="L454" s="35"/>
      <c r="M454" s="35"/>
      <c r="N454" s="35"/>
      <c r="O454" s="35"/>
      <c r="P454" s="35"/>
      <c r="Q454" s="35"/>
      <c r="R454" s="35"/>
      <c r="S454" s="35"/>
      <c r="T454" s="35"/>
      <c r="U454" s="35"/>
      <c r="V454" s="35"/>
      <c r="W454" s="35"/>
      <c r="X454" s="35"/>
      <c r="Y454" s="35"/>
      <c r="Z454" s="35"/>
    </row>
    <row r="455" ht="12.75" customHeight="1">
      <c r="A455" s="35"/>
      <c r="B455" s="35"/>
      <c r="C455" s="35"/>
      <c r="D455" s="35"/>
      <c r="E455" s="35"/>
      <c r="F455" s="35"/>
      <c r="G455" s="35"/>
      <c r="H455" s="35"/>
      <c r="I455" s="35"/>
      <c r="J455" s="35"/>
      <c r="K455" s="35"/>
      <c r="L455" s="35"/>
      <c r="M455" s="35"/>
      <c r="N455" s="35"/>
      <c r="O455" s="35"/>
      <c r="P455" s="35"/>
      <c r="Q455" s="35"/>
      <c r="R455" s="35"/>
      <c r="S455" s="35"/>
      <c r="T455" s="35"/>
      <c r="U455" s="35"/>
      <c r="V455" s="35"/>
      <c r="W455" s="35"/>
      <c r="X455" s="35"/>
      <c r="Y455" s="35"/>
      <c r="Z455" s="35"/>
    </row>
    <row r="456" ht="12.75" customHeight="1">
      <c r="A456" s="35"/>
      <c r="B456" s="35"/>
      <c r="C456" s="35"/>
      <c r="D456" s="35"/>
      <c r="E456" s="35"/>
      <c r="F456" s="35"/>
      <c r="G456" s="35"/>
      <c r="H456" s="35"/>
      <c r="I456" s="35"/>
      <c r="J456" s="35"/>
      <c r="K456" s="35"/>
      <c r="L456" s="35"/>
      <c r="M456" s="35"/>
      <c r="N456" s="35"/>
      <c r="O456" s="35"/>
      <c r="P456" s="35"/>
      <c r="Q456" s="35"/>
      <c r="R456" s="35"/>
      <c r="S456" s="35"/>
      <c r="T456" s="35"/>
      <c r="U456" s="35"/>
      <c r="V456" s="35"/>
      <c r="W456" s="35"/>
      <c r="X456" s="35"/>
      <c r="Y456" s="35"/>
      <c r="Z456" s="35"/>
    </row>
    <row r="457" ht="12.75" customHeight="1">
      <c r="A457" s="35"/>
      <c r="B457" s="35"/>
      <c r="C457" s="35"/>
      <c r="D457" s="35"/>
      <c r="E457" s="35"/>
      <c r="F457" s="35"/>
      <c r="G457" s="35"/>
      <c r="H457" s="35"/>
      <c r="I457" s="35"/>
      <c r="J457" s="35"/>
      <c r="K457" s="35"/>
      <c r="L457" s="35"/>
      <c r="M457" s="35"/>
      <c r="N457" s="35"/>
      <c r="O457" s="35"/>
      <c r="P457" s="35"/>
      <c r="Q457" s="35"/>
      <c r="R457" s="35"/>
      <c r="S457" s="35"/>
      <c r="T457" s="35"/>
      <c r="U457" s="35"/>
      <c r="V457" s="35"/>
      <c r="W457" s="35"/>
      <c r="X457" s="35"/>
      <c r="Y457" s="35"/>
      <c r="Z457" s="35"/>
    </row>
    <row r="458" ht="12.75" customHeight="1">
      <c r="A458" s="35"/>
      <c r="B458" s="35"/>
      <c r="C458" s="35"/>
      <c r="D458" s="35"/>
      <c r="E458" s="35"/>
      <c r="F458" s="35"/>
      <c r="G458" s="35"/>
      <c r="H458" s="35"/>
      <c r="I458" s="35"/>
      <c r="J458" s="35"/>
      <c r="K458" s="35"/>
      <c r="L458" s="35"/>
      <c r="M458" s="35"/>
      <c r="N458" s="35"/>
      <c r="O458" s="35"/>
      <c r="P458" s="35"/>
      <c r="Q458" s="35"/>
      <c r="R458" s="35"/>
      <c r="S458" s="35"/>
      <c r="T458" s="35"/>
      <c r="U458" s="35"/>
      <c r="V458" s="35"/>
      <c r="W458" s="35"/>
      <c r="X458" s="35"/>
      <c r="Y458" s="35"/>
      <c r="Z458" s="35"/>
    </row>
    <row r="459" ht="12.75" customHeight="1">
      <c r="A459" s="35"/>
      <c r="B459" s="35"/>
      <c r="C459" s="35"/>
      <c r="D459" s="35"/>
      <c r="E459" s="35"/>
      <c r="F459" s="35"/>
      <c r="G459" s="35"/>
      <c r="H459" s="35"/>
      <c r="I459" s="35"/>
      <c r="J459" s="35"/>
      <c r="K459" s="35"/>
      <c r="L459" s="35"/>
      <c r="M459" s="35"/>
      <c r="N459" s="35"/>
      <c r="O459" s="35"/>
      <c r="P459" s="35"/>
      <c r="Q459" s="35"/>
      <c r="R459" s="35"/>
      <c r="S459" s="35"/>
      <c r="T459" s="35"/>
      <c r="U459" s="35"/>
      <c r="V459" s="35"/>
      <c r="W459" s="35"/>
      <c r="X459" s="35"/>
      <c r="Y459" s="35"/>
      <c r="Z459" s="35"/>
    </row>
    <row r="460" ht="12.75" customHeight="1">
      <c r="A460" s="35"/>
      <c r="B460" s="35"/>
      <c r="C460" s="35"/>
      <c r="D460" s="35"/>
      <c r="E460" s="35"/>
      <c r="F460" s="35"/>
      <c r="G460" s="35"/>
      <c r="H460" s="35"/>
      <c r="I460" s="35"/>
      <c r="J460" s="35"/>
      <c r="K460" s="35"/>
      <c r="L460" s="35"/>
      <c r="M460" s="35"/>
      <c r="N460" s="35"/>
      <c r="O460" s="35"/>
      <c r="P460" s="35"/>
      <c r="Q460" s="35"/>
      <c r="R460" s="35"/>
      <c r="S460" s="35"/>
      <c r="T460" s="35"/>
      <c r="U460" s="35"/>
      <c r="V460" s="35"/>
      <c r="W460" s="35"/>
      <c r="X460" s="35"/>
      <c r="Y460" s="35"/>
      <c r="Z460" s="35"/>
    </row>
    <row r="461" ht="12.75" customHeight="1">
      <c r="A461" s="35"/>
      <c r="B461" s="35"/>
      <c r="C461" s="35"/>
      <c r="D461" s="35"/>
      <c r="E461" s="35"/>
      <c r="F461" s="35"/>
      <c r="G461" s="35"/>
      <c r="H461" s="35"/>
      <c r="I461" s="35"/>
      <c r="J461" s="35"/>
      <c r="K461" s="35"/>
      <c r="L461" s="35"/>
      <c r="M461" s="35"/>
      <c r="N461" s="35"/>
      <c r="O461" s="35"/>
      <c r="P461" s="35"/>
      <c r="Q461" s="35"/>
      <c r="R461" s="35"/>
      <c r="S461" s="35"/>
      <c r="T461" s="35"/>
      <c r="U461" s="35"/>
      <c r="V461" s="35"/>
      <c r="W461" s="35"/>
      <c r="X461" s="35"/>
      <c r="Y461" s="35"/>
      <c r="Z461" s="35"/>
    </row>
    <row r="462" ht="12.75" customHeight="1">
      <c r="A462" s="35"/>
      <c r="B462" s="35"/>
      <c r="C462" s="35"/>
      <c r="D462" s="35"/>
      <c r="E462" s="35"/>
      <c r="F462" s="35"/>
      <c r="G462" s="35"/>
      <c r="H462" s="35"/>
      <c r="I462" s="35"/>
      <c r="J462" s="35"/>
      <c r="K462" s="35"/>
      <c r="L462" s="35"/>
      <c r="M462" s="35"/>
      <c r="N462" s="35"/>
      <c r="O462" s="35"/>
      <c r="P462" s="35"/>
      <c r="Q462" s="35"/>
      <c r="R462" s="35"/>
      <c r="S462" s="35"/>
      <c r="T462" s="35"/>
      <c r="U462" s="35"/>
      <c r="V462" s="35"/>
      <c r="W462" s="35"/>
      <c r="X462" s="35"/>
      <c r="Y462" s="35"/>
      <c r="Z462" s="35"/>
    </row>
    <row r="463" ht="12.75" customHeight="1">
      <c r="A463" s="35"/>
      <c r="B463" s="35"/>
      <c r="C463" s="35"/>
      <c r="D463" s="35"/>
      <c r="E463" s="35"/>
      <c r="F463" s="35"/>
      <c r="G463" s="35"/>
      <c r="H463" s="35"/>
      <c r="I463" s="35"/>
      <c r="J463" s="35"/>
      <c r="K463" s="35"/>
      <c r="L463" s="35"/>
      <c r="M463" s="35"/>
      <c r="N463" s="35"/>
      <c r="O463" s="35"/>
      <c r="P463" s="35"/>
      <c r="Q463" s="35"/>
      <c r="R463" s="35"/>
      <c r="S463" s="35"/>
      <c r="T463" s="35"/>
      <c r="U463" s="35"/>
      <c r="V463" s="35"/>
      <c r="W463" s="35"/>
      <c r="X463" s="35"/>
      <c r="Y463" s="35"/>
      <c r="Z463" s="35"/>
    </row>
    <row r="464" ht="12.75" customHeight="1">
      <c r="A464" s="35"/>
      <c r="B464" s="35"/>
      <c r="C464" s="35"/>
      <c r="D464" s="35"/>
      <c r="E464" s="35"/>
      <c r="F464" s="35"/>
      <c r="G464" s="35"/>
      <c r="H464" s="35"/>
      <c r="I464" s="35"/>
      <c r="J464" s="35"/>
      <c r="K464" s="35"/>
      <c r="L464" s="35"/>
      <c r="M464" s="35"/>
      <c r="N464" s="35"/>
      <c r="O464" s="35"/>
      <c r="P464" s="35"/>
      <c r="Q464" s="35"/>
      <c r="R464" s="35"/>
      <c r="S464" s="35"/>
      <c r="T464" s="35"/>
      <c r="U464" s="35"/>
      <c r="V464" s="35"/>
      <c r="W464" s="35"/>
      <c r="X464" s="35"/>
      <c r="Y464" s="35"/>
      <c r="Z464" s="35"/>
    </row>
    <row r="465" ht="12.75" customHeight="1">
      <c r="A465" s="35"/>
      <c r="B465" s="35"/>
      <c r="C465" s="35"/>
      <c r="D465" s="35"/>
      <c r="E465" s="35"/>
      <c r="F465" s="35"/>
      <c r="G465" s="35"/>
      <c r="H465" s="35"/>
      <c r="I465" s="35"/>
      <c r="J465" s="35"/>
      <c r="K465" s="35"/>
      <c r="L465" s="35"/>
      <c r="M465" s="35"/>
      <c r="N465" s="35"/>
      <c r="O465" s="35"/>
      <c r="P465" s="35"/>
      <c r="Q465" s="35"/>
      <c r="R465" s="35"/>
      <c r="S465" s="35"/>
      <c r="T465" s="35"/>
      <c r="U465" s="35"/>
      <c r="V465" s="35"/>
      <c r="W465" s="35"/>
      <c r="X465" s="35"/>
      <c r="Y465" s="35"/>
      <c r="Z465" s="35"/>
    </row>
    <row r="466" ht="12.75" customHeight="1">
      <c r="A466" s="35"/>
      <c r="B466" s="35"/>
      <c r="C466" s="35"/>
      <c r="D466" s="35"/>
      <c r="E466" s="35"/>
      <c r="F466" s="35"/>
      <c r="G466" s="35"/>
      <c r="H466" s="35"/>
      <c r="I466" s="35"/>
      <c r="J466" s="35"/>
      <c r="K466" s="35"/>
      <c r="L466" s="35"/>
      <c r="M466" s="35"/>
      <c r="N466" s="35"/>
      <c r="O466" s="35"/>
      <c r="P466" s="35"/>
      <c r="Q466" s="35"/>
      <c r="R466" s="35"/>
      <c r="S466" s="35"/>
      <c r="T466" s="35"/>
      <c r="U466" s="35"/>
      <c r="V466" s="35"/>
      <c r="W466" s="35"/>
      <c r="X466" s="35"/>
      <c r="Y466" s="35"/>
      <c r="Z466" s="35"/>
    </row>
    <row r="467" ht="12.75" customHeight="1">
      <c r="A467" s="35"/>
      <c r="B467" s="35"/>
      <c r="C467" s="35"/>
      <c r="D467" s="35"/>
      <c r="E467" s="35"/>
      <c r="F467" s="35"/>
      <c r="G467" s="35"/>
      <c r="H467" s="35"/>
      <c r="I467" s="35"/>
      <c r="J467" s="35"/>
      <c r="K467" s="35"/>
      <c r="L467" s="35"/>
      <c r="M467" s="35"/>
      <c r="N467" s="35"/>
      <c r="O467" s="35"/>
      <c r="P467" s="35"/>
      <c r="Q467" s="35"/>
      <c r="R467" s="35"/>
      <c r="S467" s="35"/>
      <c r="T467" s="35"/>
      <c r="U467" s="35"/>
      <c r="V467" s="35"/>
      <c r="W467" s="35"/>
      <c r="X467" s="35"/>
      <c r="Y467" s="35"/>
      <c r="Z467" s="35"/>
    </row>
    <row r="468" ht="12.75" customHeight="1">
      <c r="A468" s="35"/>
      <c r="B468" s="35"/>
      <c r="C468" s="35"/>
      <c r="D468" s="35"/>
      <c r="E468" s="35"/>
      <c r="F468" s="35"/>
      <c r="G468" s="35"/>
      <c r="H468" s="35"/>
      <c r="I468" s="35"/>
      <c r="J468" s="35"/>
      <c r="K468" s="35"/>
      <c r="L468" s="35"/>
      <c r="M468" s="35"/>
      <c r="N468" s="35"/>
      <c r="O468" s="35"/>
      <c r="P468" s="35"/>
      <c r="Q468" s="35"/>
      <c r="R468" s="35"/>
      <c r="S468" s="35"/>
      <c r="T468" s="35"/>
      <c r="U468" s="35"/>
      <c r="V468" s="35"/>
      <c r="W468" s="35"/>
      <c r="X468" s="35"/>
      <c r="Y468" s="35"/>
      <c r="Z468" s="35"/>
    </row>
    <row r="469" ht="12.75" customHeight="1">
      <c r="A469" s="35"/>
      <c r="B469" s="35"/>
      <c r="C469" s="35"/>
      <c r="D469" s="35"/>
      <c r="E469" s="35"/>
      <c r="F469" s="35"/>
      <c r="G469" s="35"/>
      <c r="H469" s="35"/>
      <c r="I469" s="35"/>
      <c r="J469" s="35"/>
      <c r="K469" s="35"/>
      <c r="L469" s="35"/>
      <c r="M469" s="35"/>
      <c r="N469" s="35"/>
      <c r="O469" s="35"/>
      <c r="P469" s="35"/>
      <c r="Q469" s="35"/>
      <c r="R469" s="35"/>
      <c r="S469" s="35"/>
      <c r="T469" s="35"/>
      <c r="U469" s="35"/>
      <c r="V469" s="35"/>
      <c r="W469" s="35"/>
      <c r="X469" s="35"/>
      <c r="Y469" s="35"/>
      <c r="Z469" s="35"/>
    </row>
    <row r="470" ht="12.75" customHeight="1">
      <c r="A470" s="35"/>
      <c r="B470" s="35"/>
      <c r="C470" s="35"/>
      <c r="D470" s="35"/>
      <c r="E470" s="35"/>
      <c r="F470" s="35"/>
      <c r="G470" s="35"/>
      <c r="H470" s="35"/>
      <c r="I470" s="35"/>
      <c r="J470" s="35"/>
      <c r="K470" s="35"/>
      <c r="L470" s="35"/>
      <c r="M470" s="35"/>
      <c r="N470" s="35"/>
      <c r="O470" s="35"/>
      <c r="P470" s="35"/>
      <c r="Q470" s="35"/>
      <c r="R470" s="35"/>
      <c r="S470" s="35"/>
      <c r="T470" s="35"/>
      <c r="U470" s="35"/>
      <c r="V470" s="35"/>
      <c r="W470" s="35"/>
      <c r="X470" s="35"/>
      <c r="Y470" s="35"/>
      <c r="Z470" s="35"/>
    </row>
    <row r="471" ht="12.75" customHeight="1">
      <c r="A471" s="35"/>
      <c r="B471" s="35"/>
      <c r="C471" s="35"/>
      <c r="D471" s="35"/>
      <c r="E471" s="35"/>
      <c r="F471" s="35"/>
      <c r="G471" s="35"/>
      <c r="H471" s="35"/>
      <c r="I471" s="35"/>
      <c r="J471" s="35"/>
      <c r="K471" s="35"/>
      <c r="L471" s="35"/>
      <c r="M471" s="35"/>
      <c r="N471" s="35"/>
      <c r="O471" s="35"/>
      <c r="P471" s="35"/>
      <c r="Q471" s="35"/>
      <c r="R471" s="35"/>
      <c r="S471" s="35"/>
      <c r="T471" s="35"/>
      <c r="U471" s="35"/>
      <c r="V471" s="35"/>
      <c r="W471" s="35"/>
      <c r="X471" s="35"/>
      <c r="Y471" s="35"/>
      <c r="Z471" s="35"/>
    </row>
    <row r="472" ht="12.75" customHeight="1">
      <c r="A472" s="35"/>
      <c r="B472" s="35"/>
      <c r="C472" s="35"/>
      <c r="D472" s="35"/>
      <c r="E472" s="35"/>
      <c r="F472" s="35"/>
      <c r="G472" s="35"/>
      <c r="H472" s="35"/>
      <c r="I472" s="35"/>
      <c r="J472" s="35"/>
      <c r="K472" s="35"/>
      <c r="L472" s="35"/>
      <c r="M472" s="35"/>
      <c r="N472" s="35"/>
      <c r="O472" s="35"/>
      <c r="P472" s="35"/>
      <c r="Q472" s="35"/>
      <c r="R472" s="35"/>
      <c r="S472" s="35"/>
      <c r="T472" s="35"/>
      <c r="U472" s="35"/>
      <c r="V472" s="35"/>
      <c r="W472" s="35"/>
      <c r="X472" s="35"/>
      <c r="Y472" s="35"/>
      <c r="Z472" s="35"/>
    </row>
    <row r="473" ht="12.75" customHeight="1">
      <c r="A473" s="35"/>
      <c r="B473" s="35"/>
      <c r="C473" s="35"/>
      <c r="D473" s="35"/>
      <c r="E473" s="35"/>
      <c r="F473" s="35"/>
      <c r="G473" s="35"/>
      <c r="H473" s="35"/>
      <c r="I473" s="35"/>
      <c r="J473" s="35"/>
      <c r="K473" s="35"/>
      <c r="L473" s="35"/>
      <c r="M473" s="35"/>
      <c r="N473" s="35"/>
      <c r="O473" s="35"/>
      <c r="P473" s="35"/>
      <c r="Q473" s="35"/>
      <c r="R473" s="35"/>
      <c r="S473" s="35"/>
      <c r="T473" s="35"/>
      <c r="U473" s="35"/>
      <c r="V473" s="35"/>
      <c r="W473" s="35"/>
      <c r="X473" s="35"/>
      <c r="Y473" s="35"/>
      <c r="Z473" s="35"/>
    </row>
    <row r="474" ht="12.75" customHeight="1">
      <c r="A474" s="35"/>
      <c r="B474" s="35"/>
      <c r="C474" s="35"/>
      <c r="D474" s="35"/>
      <c r="E474" s="35"/>
      <c r="F474" s="35"/>
      <c r="G474" s="35"/>
      <c r="H474" s="35"/>
      <c r="I474" s="35"/>
      <c r="J474" s="35"/>
      <c r="K474" s="35"/>
      <c r="L474" s="35"/>
      <c r="M474" s="35"/>
      <c r="N474" s="35"/>
      <c r="O474" s="35"/>
      <c r="P474" s="35"/>
      <c r="Q474" s="35"/>
      <c r="R474" s="35"/>
      <c r="S474" s="35"/>
      <c r="T474" s="35"/>
      <c r="U474" s="35"/>
      <c r="V474" s="35"/>
      <c r="W474" s="35"/>
      <c r="X474" s="35"/>
      <c r="Y474" s="35"/>
      <c r="Z474" s="35"/>
    </row>
    <row r="475" ht="12.75" customHeight="1">
      <c r="A475" s="35"/>
      <c r="B475" s="35"/>
      <c r="C475" s="35"/>
      <c r="D475" s="35"/>
      <c r="E475" s="35"/>
      <c r="F475" s="35"/>
      <c r="G475" s="35"/>
      <c r="H475" s="35"/>
      <c r="I475" s="35"/>
      <c r="J475" s="35"/>
      <c r="K475" s="35"/>
      <c r="L475" s="35"/>
      <c r="M475" s="35"/>
      <c r="N475" s="35"/>
      <c r="O475" s="35"/>
      <c r="P475" s="35"/>
      <c r="Q475" s="35"/>
      <c r="R475" s="35"/>
      <c r="S475" s="35"/>
      <c r="T475" s="35"/>
      <c r="U475" s="35"/>
      <c r="V475" s="35"/>
      <c r="W475" s="35"/>
      <c r="X475" s="35"/>
      <c r="Y475" s="35"/>
      <c r="Z475" s="35"/>
    </row>
    <row r="476" ht="12.75" customHeight="1">
      <c r="A476" s="35"/>
      <c r="B476" s="35"/>
      <c r="C476" s="35"/>
      <c r="D476" s="35"/>
      <c r="E476" s="35"/>
      <c r="F476" s="35"/>
      <c r="G476" s="35"/>
      <c r="H476" s="35"/>
      <c r="I476" s="35"/>
      <c r="J476" s="35"/>
      <c r="K476" s="35"/>
      <c r="L476" s="35"/>
      <c r="M476" s="35"/>
      <c r="N476" s="35"/>
      <c r="O476" s="35"/>
      <c r="P476" s="35"/>
      <c r="Q476" s="35"/>
      <c r="R476" s="35"/>
      <c r="S476" s="35"/>
      <c r="T476" s="35"/>
      <c r="U476" s="35"/>
      <c r="V476" s="35"/>
      <c r="W476" s="35"/>
      <c r="X476" s="35"/>
      <c r="Y476" s="35"/>
      <c r="Z476" s="35"/>
    </row>
    <row r="477" ht="12.75" customHeight="1">
      <c r="A477" s="35"/>
      <c r="B477" s="35"/>
      <c r="C477" s="35"/>
      <c r="D477" s="35"/>
      <c r="E477" s="35"/>
      <c r="F477" s="35"/>
      <c r="G477" s="35"/>
      <c r="H477" s="35"/>
      <c r="I477" s="35"/>
      <c r="J477" s="35"/>
      <c r="K477" s="35"/>
      <c r="L477" s="35"/>
      <c r="M477" s="35"/>
      <c r="N477" s="35"/>
      <c r="O477" s="35"/>
      <c r="P477" s="35"/>
      <c r="Q477" s="35"/>
      <c r="R477" s="35"/>
      <c r="S477" s="35"/>
      <c r="T477" s="35"/>
      <c r="U477" s="35"/>
      <c r="V477" s="35"/>
      <c r="W477" s="35"/>
      <c r="X477" s="35"/>
      <c r="Y477" s="35"/>
      <c r="Z477" s="35"/>
    </row>
    <row r="478" ht="12.75" customHeight="1">
      <c r="A478" s="35"/>
      <c r="B478" s="35"/>
      <c r="C478" s="35"/>
      <c r="D478" s="35"/>
      <c r="E478" s="35"/>
      <c r="F478" s="35"/>
      <c r="G478" s="35"/>
      <c r="H478" s="35"/>
      <c r="I478" s="35"/>
      <c r="J478" s="35"/>
      <c r="K478" s="35"/>
      <c r="L478" s="35"/>
      <c r="M478" s="35"/>
      <c r="N478" s="35"/>
      <c r="O478" s="35"/>
      <c r="P478" s="35"/>
      <c r="Q478" s="35"/>
      <c r="R478" s="35"/>
      <c r="S478" s="35"/>
      <c r="T478" s="35"/>
      <c r="U478" s="35"/>
      <c r="V478" s="35"/>
      <c r="W478" s="35"/>
      <c r="X478" s="35"/>
      <c r="Y478" s="35"/>
      <c r="Z478" s="35"/>
    </row>
    <row r="479" ht="12.75" customHeight="1">
      <c r="A479" s="35"/>
      <c r="B479" s="35"/>
      <c r="C479" s="35"/>
      <c r="D479" s="35"/>
      <c r="E479" s="35"/>
      <c r="F479" s="35"/>
      <c r="G479" s="35"/>
      <c r="H479" s="35"/>
      <c r="I479" s="35"/>
      <c r="J479" s="35"/>
      <c r="K479" s="35"/>
      <c r="L479" s="35"/>
      <c r="M479" s="35"/>
      <c r="N479" s="35"/>
      <c r="O479" s="35"/>
      <c r="P479" s="35"/>
      <c r="Q479" s="35"/>
      <c r="R479" s="35"/>
      <c r="S479" s="35"/>
      <c r="T479" s="35"/>
      <c r="U479" s="35"/>
      <c r="V479" s="35"/>
      <c r="W479" s="35"/>
      <c r="X479" s="35"/>
      <c r="Y479" s="35"/>
      <c r="Z479" s="35"/>
    </row>
    <row r="480" ht="12.75" customHeight="1">
      <c r="A480" s="35"/>
      <c r="B480" s="35"/>
      <c r="C480" s="35"/>
      <c r="D480" s="35"/>
      <c r="E480" s="35"/>
      <c r="F480" s="35"/>
      <c r="G480" s="35"/>
      <c r="H480" s="35"/>
      <c r="I480" s="35"/>
      <c r="J480" s="35"/>
      <c r="K480" s="35"/>
      <c r="L480" s="35"/>
      <c r="M480" s="35"/>
      <c r="N480" s="35"/>
      <c r="O480" s="35"/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5"/>
    </row>
    <row r="481" ht="12.75" customHeight="1">
      <c r="A481" s="35"/>
      <c r="B481" s="35"/>
      <c r="C481" s="35"/>
      <c r="D481" s="35"/>
      <c r="E481" s="35"/>
      <c r="F481" s="35"/>
      <c r="G481" s="35"/>
      <c r="H481" s="35"/>
      <c r="I481" s="35"/>
      <c r="J481" s="35"/>
      <c r="K481" s="35"/>
      <c r="L481" s="35"/>
      <c r="M481" s="35"/>
      <c r="N481" s="35"/>
      <c r="O481" s="35"/>
      <c r="P481" s="35"/>
      <c r="Q481" s="35"/>
      <c r="R481" s="35"/>
      <c r="S481" s="35"/>
      <c r="T481" s="35"/>
      <c r="U481" s="35"/>
      <c r="V481" s="35"/>
      <c r="W481" s="35"/>
      <c r="X481" s="35"/>
      <c r="Y481" s="35"/>
      <c r="Z481" s="35"/>
    </row>
    <row r="482" ht="12.75" customHeight="1">
      <c r="A482" s="35"/>
      <c r="B482" s="35"/>
      <c r="C482" s="35"/>
      <c r="D482" s="35"/>
      <c r="E482" s="35"/>
      <c r="F482" s="35"/>
      <c r="G482" s="35"/>
      <c r="H482" s="35"/>
      <c r="I482" s="35"/>
      <c r="J482" s="35"/>
      <c r="K482" s="35"/>
      <c r="L482" s="35"/>
      <c r="M482" s="35"/>
      <c r="N482" s="35"/>
      <c r="O482" s="35"/>
      <c r="P482" s="35"/>
      <c r="Q482" s="35"/>
      <c r="R482" s="35"/>
      <c r="S482" s="35"/>
      <c r="T482" s="35"/>
      <c r="U482" s="35"/>
      <c r="V482" s="35"/>
      <c r="W482" s="35"/>
      <c r="X482" s="35"/>
      <c r="Y482" s="35"/>
      <c r="Z482" s="35"/>
    </row>
    <row r="483" ht="12.75" customHeight="1">
      <c r="A483" s="35"/>
      <c r="B483" s="35"/>
      <c r="C483" s="35"/>
      <c r="D483" s="35"/>
      <c r="E483" s="35"/>
      <c r="F483" s="35"/>
      <c r="G483" s="35"/>
      <c r="H483" s="35"/>
      <c r="I483" s="35"/>
      <c r="J483" s="35"/>
      <c r="K483" s="35"/>
      <c r="L483" s="35"/>
      <c r="M483" s="35"/>
      <c r="N483" s="35"/>
      <c r="O483" s="35"/>
      <c r="P483" s="35"/>
      <c r="Q483" s="35"/>
      <c r="R483" s="35"/>
      <c r="S483" s="35"/>
      <c r="T483" s="35"/>
      <c r="U483" s="35"/>
      <c r="V483" s="35"/>
      <c r="W483" s="35"/>
      <c r="X483" s="35"/>
      <c r="Y483" s="35"/>
      <c r="Z483" s="35"/>
    </row>
    <row r="484" ht="12.75" customHeight="1">
      <c r="A484" s="35"/>
      <c r="B484" s="35"/>
      <c r="C484" s="35"/>
      <c r="D484" s="35"/>
      <c r="E484" s="35"/>
      <c r="F484" s="35"/>
      <c r="G484" s="35"/>
      <c r="H484" s="35"/>
      <c r="I484" s="35"/>
      <c r="J484" s="35"/>
      <c r="K484" s="35"/>
      <c r="L484" s="35"/>
      <c r="M484" s="35"/>
      <c r="N484" s="35"/>
      <c r="O484" s="35"/>
      <c r="P484" s="35"/>
      <c r="Q484" s="35"/>
      <c r="R484" s="35"/>
      <c r="S484" s="35"/>
      <c r="T484" s="35"/>
      <c r="U484" s="35"/>
      <c r="V484" s="35"/>
      <c r="W484" s="35"/>
      <c r="X484" s="35"/>
      <c r="Y484" s="35"/>
      <c r="Z484" s="35"/>
    </row>
    <row r="485" ht="12.75" customHeight="1">
      <c r="A485" s="35"/>
      <c r="B485" s="35"/>
      <c r="C485" s="35"/>
      <c r="D485" s="35"/>
      <c r="E485" s="35"/>
      <c r="F485" s="35"/>
      <c r="G485" s="35"/>
      <c r="H485" s="35"/>
      <c r="I485" s="35"/>
      <c r="J485" s="35"/>
      <c r="K485" s="35"/>
      <c r="L485" s="35"/>
      <c r="M485" s="35"/>
      <c r="N485" s="35"/>
      <c r="O485" s="35"/>
      <c r="P485" s="35"/>
      <c r="Q485" s="35"/>
      <c r="R485" s="35"/>
      <c r="S485" s="35"/>
      <c r="T485" s="35"/>
      <c r="U485" s="35"/>
      <c r="V485" s="35"/>
      <c r="W485" s="35"/>
      <c r="X485" s="35"/>
      <c r="Y485" s="35"/>
      <c r="Z485" s="35"/>
    </row>
    <row r="486" ht="12.75" customHeight="1">
      <c r="A486" s="35"/>
      <c r="B486" s="35"/>
      <c r="C486" s="35"/>
      <c r="D486" s="35"/>
      <c r="E486" s="35"/>
      <c r="F486" s="35"/>
      <c r="G486" s="35"/>
      <c r="H486" s="35"/>
      <c r="I486" s="35"/>
      <c r="J486" s="35"/>
      <c r="K486" s="35"/>
      <c r="L486" s="35"/>
      <c r="M486" s="35"/>
      <c r="N486" s="35"/>
      <c r="O486" s="35"/>
      <c r="P486" s="35"/>
      <c r="Q486" s="35"/>
      <c r="R486" s="35"/>
      <c r="S486" s="35"/>
      <c r="T486" s="35"/>
      <c r="U486" s="35"/>
      <c r="V486" s="35"/>
      <c r="W486" s="35"/>
      <c r="X486" s="35"/>
      <c r="Y486" s="35"/>
      <c r="Z486" s="35"/>
    </row>
    <row r="487" ht="12.75" customHeight="1">
      <c r="A487" s="35"/>
      <c r="B487" s="35"/>
      <c r="C487" s="35"/>
      <c r="D487" s="35"/>
      <c r="E487" s="35"/>
      <c r="F487" s="35"/>
      <c r="G487" s="35"/>
      <c r="H487" s="35"/>
      <c r="I487" s="35"/>
      <c r="J487" s="35"/>
      <c r="K487" s="35"/>
      <c r="L487" s="35"/>
      <c r="M487" s="35"/>
      <c r="N487" s="35"/>
      <c r="O487" s="35"/>
      <c r="P487" s="35"/>
      <c r="Q487" s="35"/>
      <c r="R487" s="35"/>
      <c r="S487" s="35"/>
      <c r="T487" s="35"/>
      <c r="U487" s="35"/>
      <c r="V487" s="35"/>
      <c r="W487" s="35"/>
      <c r="X487" s="35"/>
      <c r="Y487" s="35"/>
      <c r="Z487" s="35"/>
    </row>
    <row r="488" ht="12.75" customHeight="1">
      <c r="A488" s="35"/>
      <c r="B488" s="35"/>
      <c r="C488" s="35"/>
      <c r="D488" s="35"/>
      <c r="E488" s="35"/>
      <c r="F488" s="35"/>
      <c r="G488" s="35"/>
      <c r="H488" s="35"/>
      <c r="I488" s="35"/>
      <c r="J488" s="35"/>
      <c r="K488" s="35"/>
      <c r="L488" s="35"/>
      <c r="M488" s="35"/>
      <c r="N488" s="35"/>
      <c r="O488" s="35"/>
      <c r="P488" s="35"/>
      <c r="Q488" s="35"/>
      <c r="R488" s="35"/>
      <c r="S488" s="35"/>
      <c r="T488" s="35"/>
      <c r="U488" s="35"/>
      <c r="V488" s="35"/>
      <c r="W488" s="35"/>
      <c r="X488" s="35"/>
      <c r="Y488" s="35"/>
      <c r="Z488" s="35"/>
    </row>
    <row r="489" ht="12.75" customHeight="1">
      <c r="A489" s="35"/>
      <c r="B489" s="35"/>
      <c r="C489" s="35"/>
      <c r="D489" s="35"/>
      <c r="E489" s="35"/>
      <c r="F489" s="35"/>
      <c r="G489" s="35"/>
      <c r="H489" s="35"/>
      <c r="I489" s="35"/>
      <c r="J489" s="35"/>
      <c r="K489" s="35"/>
      <c r="L489" s="35"/>
      <c r="M489" s="35"/>
      <c r="N489" s="35"/>
      <c r="O489" s="35"/>
      <c r="P489" s="35"/>
      <c r="Q489" s="35"/>
      <c r="R489" s="35"/>
      <c r="S489" s="35"/>
      <c r="T489" s="35"/>
      <c r="U489" s="35"/>
      <c r="V489" s="35"/>
      <c r="W489" s="35"/>
      <c r="X489" s="35"/>
      <c r="Y489" s="35"/>
      <c r="Z489" s="35"/>
    </row>
    <row r="490" ht="12.75" customHeight="1">
      <c r="A490" s="35"/>
      <c r="B490" s="35"/>
      <c r="C490" s="35"/>
      <c r="D490" s="35"/>
      <c r="E490" s="35"/>
      <c r="F490" s="35"/>
      <c r="G490" s="35"/>
      <c r="H490" s="35"/>
      <c r="I490" s="35"/>
      <c r="J490" s="35"/>
      <c r="K490" s="35"/>
      <c r="L490" s="35"/>
      <c r="M490" s="35"/>
      <c r="N490" s="35"/>
      <c r="O490" s="35"/>
      <c r="P490" s="35"/>
      <c r="Q490" s="35"/>
      <c r="R490" s="35"/>
      <c r="S490" s="35"/>
      <c r="T490" s="35"/>
      <c r="U490" s="35"/>
      <c r="V490" s="35"/>
      <c r="W490" s="35"/>
      <c r="X490" s="35"/>
      <c r="Y490" s="35"/>
      <c r="Z490" s="35"/>
    </row>
    <row r="491" ht="12.75" customHeight="1">
      <c r="A491" s="35"/>
      <c r="B491" s="35"/>
      <c r="C491" s="35"/>
      <c r="D491" s="35"/>
      <c r="E491" s="35"/>
      <c r="F491" s="35"/>
      <c r="G491" s="35"/>
      <c r="H491" s="35"/>
      <c r="I491" s="35"/>
      <c r="J491" s="35"/>
      <c r="K491" s="35"/>
      <c r="L491" s="35"/>
      <c r="M491" s="35"/>
      <c r="N491" s="35"/>
      <c r="O491" s="35"/>
      <c r="P491" s="35"/>
      <c r="Q491" s="35"/>
      <c r="R491" s="35"/>
      <c r="S491" s="35"/>
      <c r="T491" s="35"/>
      <c r="U491" s="35"/>
      <c r="V491" s="35"/>
      <c r="W491" s="35"/>
      <c r="X491" s="35"/>
      <c r="Y491" s="35"/>
      <c r="Z491" s="35"/>
    </row>
    <row r="492" ht="12.75" customHeight="1">
      <c r="A492" s="35"/>
      <c r="B492" s="35"/>
      <c r="C492" s="35"/>
      <c r="D492" s="35"/>
      <c r="E492" s="35"/>
      <c r="F492" s="35"/>
      <c r="G492" s="35"/>
      <c r="H492" s="35"/>
      <c r="I492" s="35"/>
      <c r="J492" s="35"/>
      <c r="K492" s="35"/>
      <c r="L492" s="35"/>
      <c r="M492" s="35"/>
      <c r="N492" s="35"/>
      <c r="O492" s="35"/>
      <c r="P492" s="35"/>
      <c r="Q492" s="35"/>
      <c r="R492" s="35"/>
      <c r="S492" s="35"/>
      <c r="T492" s="35"/>
      <c r="U492" s="35"/>
      <c r="V492" s="35"/>
      <c r="W492" s="35"/>
      <c r="X492" s="35"/>
      <c r="Y492" s="35"/>
      <c r="Z492" s="35"/>
    </row>
    <row r="493" ht="12.75" customHeight="1">
      <c r="A493" s="35"/>
      <c r="B493" s="35"/>
      <c r="C493" s="35"/>
      <c r="D493" s="35"/>
      <c r="E493" s="35"/>
      <c r="F493" s="35"/>
      <c r="G493" s="35"/>
      <c r="H493" s="35"/>
      <c r="I493" s="35"/>
      <c r="J493" s="35"/>
      <c r="K493" s="35"/>
      <c r="L493" s="35"/>
      <c r="M493" s="35"/>
      <c r="N493" s="35"/>
      <c r="O493" s="35"/>
      <c r="P493" s="35"/>
      <c r="Q493" s="35"/>
      <c r="R493" s="35"/>
      <c r="S493" s="35"/>
      <c r="T493" s="35"/>
      <c r="U493" s="35"/>
      <c r="V493" s="35"/>
      <c r="W493" s="35"/>
      <c r="X493" s="35"/>
      <c r="Y493" s="35"/>
      <c r="Z493" s="35"/>
    </row>
    <row r="494" ht="12.75" customHeight="1">
      <c r="A494" s="35"/>
      <c r="B494" s="35"/>
      <c r="C494" s="35"/>
      <c r="D494" s="35"/>
      <c r="E494" s="35"/>
      <c r="F494" s="35"/>
      <c r="G494" s="35"/>
      <c r="H494" s="35"/>
      <c r="I494" s="35"/>
      <c r="J494" s="35"/>
      <c r="K494" s="35"/>
      <c r="L494" s="35"/>
      <c r="M494" s="35"/>
      <c r="N494" s="35"/>
      <c r="O494" s="35"/>
      <c r="P494" s="35"/>
      <c r="Q494" s="35"/>
      <c r="R494" s="35"/>
      <c r="S494" s="35"/>
      <c r="T494" s="35"/>
      <c r="U494" s="35"/>
      <c r="V494" s="35"/>
      <c r="W494" s="35"/>
      <c r="X494" s="35"/>
      <c r="Y494" s="35"/>
      <c r="Z494" s="35"/>
    </row>
    <row r="495" ht="12.75" customHeight="1">
      <c r="A495" s="35"/>
      <c r="B495" s="35"/>
      <c r="C495" s="35"/>
      <c r="D495" s="35"/>
      <c r="E495" s="35"/>
      <c r="F495" s="35"/>
      <c r="G495" s="35"/>
      <c r="H495" s="35"/>
      <c r="I495" s="35"/>
      <c r="J495" s="35"/>
      <c r="K495" s="35"/>
      <c r="L495" s="35"/>
      <c r="M495" s="35"/>
      <c r="N495" s="35"/>
      <c r="O495" s="35"/>
      <c r="P495" s="35"/>
      <c r="Q495" s="35"/>
      <c r="R495" s="35"/>
      <c r="S495" s="35"/>
      <c r="T495" s="35"/>
      <c r="U495" s="35"/>
      <c r="V495" s="35"/>
      <c r="W495" s="35"/>
      <c r="X495" s="35"/>
      <c r="Y495" s="35"/>
      <c r="Z495" s="35"/>
    </row>
    <row r="496" ht="12.75" customHeight="1">
      <c r="A496" s="35"/>
      <c r="B496" s="35"/>
      <c r="C496" s="35"/>
      <c r="D496" s="35"/>
      <c r="E496" s="35"/>
      <c r="F496" s="35"/>
      <c r="G496" s="35"/>
      <c r="H496" s="35"/>
      <c r="I496" s="35"/>
      <c r="J496" s="35"/>
      <c r="K496" s="35"/>
      <c r="L496" s="35"/>
      <c r="M496" s="35"/>
      <c r="N496" s="35"/>
      <c r="O496" s="35"/>
      <c r="P496" s="35"/>
      <c r="Q496" s="35"/>
      <c r="R496" s="35"/>
      <c r="S496" s="35"/>
      <c r="T496" s="35"/>
      <c r="U496" s="35"/>
      <c r="V496" s="35"/>
      <c r="W496" s="35"/>
      <c r="X496" s="35"/>
      <c r="Y496" s="35"/>
      <c r="Z496" s="35"/>
    </row>
    <row r="497" ht="12.75" customHeight="1">
      <c r="A497" s="35"/>
      <c r="B497" s="35"/>
      <c r="C497" s="35"/>
      <c r="D497" s="35"/>
      <c r="E497" s="35"/>
      <c r="F497" s="35"/>
      <c r="G497" s="35"/>
      <c r="H497" s="35"/>
      <c r="I497" s="35"/>
      <c r="J497" s="35"/>
      <c r="K497" s="35"/>
      <c r="L497" s="35"/>
      <c r="M497" s="35"/>
      <c r="N497" s="35"/>
      <c r="O497" s="35"/>
      <c r="P497" s="35"/>
      <c r="Q497" s="35"/>
      <c r="R497" s="35"/>
      <c r="S497" s="35"/>
      <c r="T497" s="35"/>
      <c r="U497" s="35"/>
      <c r="V497" s="35"/>
      <c r="W497" s="35"/>
      <c r="X497" s="35"/>
      <c r="Y497" s="35"/>
      <c r="Z497" s="35"/>
    </row>
    <row r="498" ht="12.75" customHeight="1">
      <c r="A498" s="35"/>
      <c r="B498" s="35"/>
      <c r="C498" s="35"/>
      <c r="D498" s="35"/>
      <c r="E498" s="35"/>
      <c r="F498" s="35"/>
      <c r="G498" s="35"/>
      <c r="H498" s="35"/>
      <c r="I498" s="35"/>
      <c r="J498" s="35"/>
      <c r="K498" s="35"/>
      <c r="L498" s="35"/>
      <c r="M498" s="35"/>
      <c r="N498" s="35"/>
      <c r="O498" s="35"/>
      <c r="P498" s="35"/>
      <c r="Q498" s="35"/>
      <c r="R498" s="35"/>
      <c r="S498" s="35"/>
      <c r="T498" s="35"/>
      <c r="U498" s="35"/>
      <c r="V498" s="35"/>
      <c r="W498" s="35"/>
      <c r="X498" s="35"/>
      <c r="Y498" s="35"/>
      <c r="Z498" s="35"/>
    </row>
    <row r="499" ht="12.75" customHeight="1">
      <c r="A499" s="35"/>
      <c r="B499" s="35"/>
      <c r="C499" s="35"/>
      <c r="D499" s="35"/>
      <c r="E499" s="35"/>
      <c r="F499" s="35"/>
      <c r="G499" s="35"/>
      <c r="H499" s="35"/>
      <c r="I499" s="35"/>
      <c r="J499" s="35"/>
      <c r="K499" s="35"/>
      <c r="L499" s="35"/>
      <c r="M499" s="35"/>
      <c r="N499" s="35"/>
      <c r="O499" s="35"/>
      <c r="P499" s="35"/>
      <c r="Q499" s="35"/>
      <c r="R499" s="35"/>
      <c r="S499" s="35"/>
      <c r="T499" s="35"/>
      <c r="U499" s="35"/>
      <c r="V499" s="35"/>
      <c r="W499" s="35"/>
      <c r="X499" s="35"/>
      <c r="Y499" s="35"/>
      <c r="Z499" s="35"/>
    </row>
    <row r="500" ht="12.75" customHeight="1">
      <c r="A500" s="35"/>
      <c r="B500" s="35"/>
      <c r="C500" s="35"/>
      <c r="D500" s="35"/>
      <c r="E500" s="35"/>
      <c r="F500" s="35"/>
      <c r="G500" s="35"/>
      <c r="H500" s="35"/>
      <c r="I500" s="35"/>
      <c r="J500" s="35"/>
      <c r="K500" s="35"/>
      <c r="L500" s="35"/>
      <c r="M500" s="35"/>
      <c r="N500" s="35"/>
      <c r="O500" s="35"/>
      <c r="P500" s="35"/>
      <c r="Q500" s="35"/>
      <c r="R500" s="35"/>
      <c r="S500" s="35"/>
      <c r="T500" s="35"/>
      <c r="U500" s="35"/>
      <c r="V500" s="35"/>
      <c r="W500" s="35"/>
      <c r="X500" s="35"/>
      <c r="Y500" s="35"/>
      <c r="Z500" s="35"/>
    </row>
    <row r="501" ht="12.75" customHeight="1">
      <c r="A501" s="35"/>
      <c r="B501" s="35"/>
      <c r="C501" s="35"/>
      <c r="D501" s="35"/>
      <c r="E501" s="35"/>
      <c r="F501" s="35"/>
      <c r="G501" s="35"/>
      <c r="H501" s="35"/>
      <c r="I501" s="35"/>
      <c r="J501" s="35"/>
      <c r="K501" s="35"/>
      <c r="L501" s="35"/>
      <c r="M501" s="35"/>
      <c r="N501" s="35"/>
      <c r="O501" s="35"/>
      <c r="P501" s="35"/>
      <c r="Q501" s="35"/>
      <c r="R501" s="35"/>
      <c r="S501" s="35"/>
      <c r="T501" s="35"/>
      <c r="U501" s="35"/>
      <c r="V501" s="35"/>
      <c r="W501" s="35"/>
      <c r="X501" s="35"/>
      <c r="Y501" s="35"/>
      <c r="Z501" s="35"/>
    </row>
    <row r="502" ht="12.75" customHeight="1">
      <c r="A502" s="35"/>
      <c r="B502" s="35"/>
      <c r="C502" s="35"/>
      <c r="D502" s="35"/>
      <c r="E502" s="35"/>
      <c r="F502" s="35"/>
      <c r="G502" s="35"/>
      <c r="H502" s="35"/>
      <c r="I502" s="35"/>
      <c r="J502" s="35"/>
      <c r="K502" s="35"/>
      <c r="L502" s="35"/>
      <c r="M502" s="35"/>
      <c r="N502" s="35"/>
      <c r="O502" s="35"/>
      <c r="P502" s="35"/>
      <c r="Q502" s="35"/>
      <c r="R502" s="35"/>
      <c r="S502" s="35"/>
      <c r="T502" s="35"/>
      <c r="U502" s="35"/>
      <c r="V502" s="35"/>
      <c r="W502" s="35"/>
      <c r="X502" s="35"/>
      <c r="Y502" s="35"/>
      <c r="Z502" s="35"/>
    </row>
    <row r="503" ht="12.75" customHeight="1">
      <c r="A503" s="35"/>
      <c r="B503" s="35"/>
      <c r="C503" s="35"/>
      <c r="D503" s="35"/>
      <c r="E503" s="35"/>
      <c r="F503" s="35"/>
      <c r="G503" s="35"/>
      <c r="H503" s="35"/>
      <c r="I503" s="35"/>
      <c r="J503" s="35"/>
      <c r="K503" s="35"/>
      <c r="L503" s="35"/>
      <c r="M503" s="35"/>
      <c r="N503" s="35"/>
      <c r="O503" s="35"/>
      <c r="P503" s="35"/>
      <c r="Q503" s="35"/>
      <c r="R503" s="35"/>
      <c r="S503" s="35"/>
      <c r="T503" s="35"/>
      <c r="U503" s="35"/>
      <c r="V503" s="35"/>
      <c r="W503" s="35"/>
      <c r="X503" s="35"/>
      <c r="Y503" s="35"/>
      <c r="Z503" s="35"/>
    </row>
    <row r="504" ht="12.75" customHeight="1">
      <c r="A504" s="35"/>
      <c r="B504" s="35"/>
      <c r="C504" s="35"/>
      <c r="D504" s="35"/>
      <c r="E504" s="35"/>
      <c r="F504" s="35"/>
      <c r="G504" s="35"/>
      <c r="H504" s="35"/>
      <c r="I504" s="35"/>
      <c r="J504" s="35"/>
      <c r="K504" s="35"/>
      <c r="L504" s="35"/>
      <c r="M504" s="35"/>
      <c r="N504" s="35"/>
      <c r="O504" s="35"/>
      <c r="P504" s="35"/>
      <c r="Q504" s="35"/>
      <c r="R504" s="35"/>
      <c r="S504" s="35"/>
      <c r="T504" s="35"/>
      <c r="U504" s="35"/>
      <c r="V504" s="35"/>
      <c r="W504" s="35"/>
      <c r="X504" s="35"/>
      <c r="Y504" s="35"/>
      <c r="Z504" s="35"/>
    </row>
    <row r="505" ht="12.75" customHeight="1">
      <c r="A505" s="35"/>
      <c r="B505" s="35"/>
      <c r="C505" s="35"/>
      <c r="D505" s="35"/>
      <c r="E505" s="35"/>
      <c r="F505" s="35"/>
      <c r="G505" s="35"/>
      <c r="H505" s="35"/>
      <c r="I505" s="35"/>
      <c r="J505" s="35"/>
      <c r="K505" s="35"/>
      <c r="L505" s="35"/>
      <c r="M505" s="35"/>
      <c r="N505" s="35"/>
      <c r="O505" s="35"/>
      <c r="P505" s="35"/>
      <c r="Q505" s="35"/>
      <c r="R505" s="35"/>
      <c r="S505" s="35"/>
      <c r="T505" s="35"/>
      <c r="U505" s="35"/>
      <c r="V505" s="35"/>
      <c r="W505" s="35"/>
      <c r="X505" s="35"/>
      <c r="Y505" s="35"/>
      <c r="Z505" s="35"/>
    </row>
    <row r="506" ht="12.75" customHeight="1">
      <c r="A506" s="35"/>
      <c r="B506" s="35"/>
      <c r="C506" s="35"/>
      <c r="D506" s="35"/>
      <c r="E506" s="35"/>
      <c r="F506" s="35"/>
      <c r="G506" s="35"/>
      <c r="H506" s="35"/>
      <c r="I506" s="35"/>
      <c r="J506" s="35"/>
      <c r="K506" s="35"/>
      <c r="L506" s="35"/>
      <c r="M506" s="35"/>
      <c r="N506" s="35"/>
      <c r="O506" s="35"/>
      <c r="P506" s="35"/>
      <c r="Q506" s="35"/>
      <c r="R506" s="35"/>
      <c r="S506" s="35"/>
      <c r="T506" s="35"/>
      <c r="U506" s="35"/>
      <c r="V506" s="35"/>
      <c r="W506" s="35"/>
      <c r="X506" s="35"/>
      <c r="Y506" s="35"/>
      <c r="Z506" s="35"/>
    </row>
    <row r="507" ht="12.75" customHeight="1">
      <c r="A507" s="35"/>
      <c r="B507" s="35"/>
      <c r="C507" s="35"/>
      <c r="D507" s="35"/>
      <c r="E507" s="35"/>
      <c r="F507" s="35"/>
      <c r="G507" s="35"/>
      <c r="H507" s="35"/>
      <c r="I507" s="35"/>
      <c r="J507" s="35"/>
      <c r="K507" s="35"/>
      <c r="L507" s="35"/>
      <c r="M507" s="35"/>
      <c r="N507" s="35"/>
      <c r="O507" s="35"/>
      <c r="P507" s="35"/>
      <c r="Q507" s="35"/>
      <c r="R507" s="35"/>
      <c r="S507" s="35"/>
      <c r="T507" s="35"/>
      <c r="U507" s="35"/>
      <c r="V507" s="35"/>
      <c r="W507" s="35"/>
      <c r="X507" s="35"/>
      <c r="Y507" s="35"/>
      <c r="Z507" s="35"/>
    </row>
    <row r="508" ht="12.75" customHeight="1">
      <c r="A508" s="35"/>
      <c r="B508" s="35"/>
      <c r="C508" s="35"/>
      <c r="D508" s="35"/>
      <c r="E508" s="35"/>
      <c r="F508" s="35"/>
      <c r="G508" s="35"/>
      <c r="H508" s="35"/>
      <c r="I508" s="35"/>
      <c r="J508" s="35"/>
      <c r="K508" s="35"/>
      <c r="L508" s="35"/>
      <c r="M508" s="35"/>
      <c r="N508" s="35"/>
      <c r="O508" s="35"/>
      <c r="P508" s="35"/>
      <c r="Q508" s="35"/>
      <c r="R508" s="35"/>
      <c r="S508" s="35"/>
      <c r="T508" s="35"/>
      <c r="U508" s="35"/>
      <c r="V508" s="35"/>
      <c r="W508" s="35"/>
      <c r="X508" s="35"/>
      <c r="Y508" s="35"/>
      <c r="Z508" s="35"/>
    </row>
    <row r="509" ht="12.75" customHeight="1">
      <c r="A509" s="35"/>
      <c r="B509" s="35"/>
      <c r="C509" s="35"/>
      <c r="D509" s="35"/>
      <c r="E509" s="35"/>
      <c r="F509" s="35"/>
      <c r="G509" s="35"/>
      <c r="H509" s="35"/>
      <c r="I509" s="35"/>
      <c r="J509" s="35"/>
      <c r="K509" s="35"/>
      <c r="L509" s="35"/>
      <c r="M509" s="35"/>
      <c r="N509" s="35"/>
      <c r="O509" s="35"/>
      <c r="P509" s="35"/>
      <c r="Q509" s="35"/>
      <c r="R509" s="35"/>
      <c r="S509" s="35"/>
      <c r="T509" s="35"/>
      <c r="U509" s="35"/>
      <c r="V509" s="35"/>
      <c r="W509" s="35"/>
      <c r="X509" s="35"/>
      <c r="Y509" s="35"/>
      <c r="Z509" s="35"/>
    </row>
    <row r="510" ht="12.75" customHeight="1">
      <c r="A510" s="35"/>
      <c r="B510" s="35"/>
      <c r="C510" s="35"/>
      <c r="D510" s="35"/>
      <c r="E510" s="35"/>
      <c r="F510" s="35"/>
      <c r="G510" s="35"/>
      <c r="H510" s="35"/>
      <c r="I510" s="35"/>
      <c r="J510" s="35"/>
      <c r="K510" s="35"/>
      <c r="L510" s="35"/>
      <c r="M510" s="35"/>
      <c r="N510" s="35"/>
      <c r="O510" s="35"/>
      <c r="P510" s="35"/>
      <c r="Q510" s="35"/>
      <c r="R510" s="35"/>
      <c r="S510" s="35"/>
      <c r="T510" s="35"/>
      <c r="U510" s="35"/>
      <c r="V510" s="35"/>
      <c r="W510" s="35"/>
      <c r="X510" s="35"/>
      <c r="Y510" s="35"/>
      <c r="Z510" s="35"/>
    </row>
    <row r="511" ht="12.75" customHeight="1">
      <c r="A511" s="35"/>
      <c r="B511" s="35"/>
      <c r="C511" s="35"/>
      <c r="D511" s="35"/>
      <c r="E511" s="35"/>
      <c r="F511" s="35"/>
      <c r="G511" s="35"/>
      <c r="H511" s="35"/>
      <c r="I511" s="35"/>
      <c r="J511" s="35"/>
      <c r="K511" s="35"/>
      <c r="L511" s="35"/>
      <c r="M511" s="35"/>
      <c r="N511" s="35"/>
      <c r="O511" s="35"/>
      <c r="P511" s="35"/>
      <c r="Q511" s="35"/>
      <c r="R511" s="35"/>
      <c r="S511" s="35"/>
      <c r="T511" s="35"/>
      <c r="U511" s="35"/>
      <c r="V511" s="35"/>
      <c r="W511" s="35"/>
      <c r="X511" s="35"/>
      <c r="Y511" s="35"/>
      <c r="Z511" s="35"/>
    </row>
    <row r="512" ht="12.75" customHeight="1">
      <c r="A512" s="35"/>
      <c r="B512" s="35"/>
      <c r="C512" s="35"/>
      <c r="D512" s="35"/>
      <c r="E512" s="35"/>
      <c r="F512" s="35"/>
      <c r="G512" s="35"/>
      <c r="H512" s="35"/>
      <c r="I512" s="35"/>
      <c r="J512" s="35"/>
      <c r="K512" s="35"/>
      <c r="L512" s="35"/>
      <c r="M512" s="35"/>
      <c r="N512" s="35"/>
      <c r="O512" s="35"/>
      <c r="P512" s="35"/>
      <c r="Q512" s="35"/>
      <c r="R512" s="35"/>
      <c r="S512" s="35"/>
      <c r="T512" s="35"/>
      <c r="U512" s="35"/>
      <c r="V512" s="35"/>
      <c r="W512" s="35"/>
      <c r="X512" s="35"/>
      <c r="Y512" s="35"/>
      <c r="Z512" s="35"/>
    </row>
    <row r="513" ht="12.75" customHeight="1">
      <c r="A513" s="35"/>
      <c r="B513" s="35"/>
      <c r="C513" s="35"/>
      <c r="D513" s="35"/>
      <c r="E513" s="35"/>
      <c r="F513" s="35"/>
      <c r="G513" s="35"/>
      <c r="H513" s="35"/>
      <c r="I513" s="35"/>
      <c r="J513" s="35"/>
      <c r="K513" s="35"/>
      <c r="L513" s="35"/>
      <c r="M513" s="35"/>
      <c r="N513" s="35"/>
      <c r="O513" s="35"/>
      <c r="P513" s="35"/>
      <c r="Q513" s="35"/>
      <c r="R513" s="35"/>
      <c r="S513" s="35"/>
      <c r="T513" s="35"/>
      <c r="U513" s="35"/>
      <c r="V513" s="35"/>
      <c r="W513" s="35"/>
      <c r="X513" s="35"/>
      <c r="Y513" s="35"/>
      <c r="Z513" s="35"/>
    </row>
    <row r="514" ht="12.75" customHeight="1">
      <c r="A514" s="35"/>
      <c r="B514" s="35"/>
      <c r="C514" s="35"/>
      <c r="D514" s="35"/>
      <c r="E514" s="35"/>
      <c r="F514" s="35"/>
      <c r="G514" s="35"/>
      <c r="H514" s="35"/>
      <c r="I514" s="35"/>
      <c r="J514" s="35"/>
      <c r="K514" s="35"/>
      <c r="L514" s="35"/>
      <c r="M514" s="35"/>
      <c r="N514" s="35"/>
      <c r="O514" s="35"/>
      <c r="P514" s="35"/>
      <c r="Q514" s="35"/>
      <c r="R514" s="35"/>
      <c r="S514" s="35"/>
      <c r="T514" s="35"/>
      <c r="U514" s="35"/>
      <c r="V514" s="35"/>
      <c r="W514" s="35"/>
      <c r="X514" s="35"/>
      <c r="Y514" s="35"/>
      <c r="Z514" s="35"/>
    </row>
    <row r="515" ht="12.75" customHeight="1">
      <c r="A515" s="35"/>
      <c r="B515" s="35"/>
      <c r="C515" s="35"/>
      <c r="D515" s="35"/>
      <c r="E515" s="35"/>
      <c r="F515" s="35"/>
      <c r="G515" s="35"/>
      <c r="H515" s="35"/>
      <c r="I515" s="35"/>
      <c r="J515" s="35"/>
      <c r="K515" s="35"/>
      <c r="L515" s="35"/>
      <c r="M515" s="35"/>
      <c r="N515" s="35"/>
      <c r="O515" s="35"/>
      <c r="P515" s="35"/>
      <c r="Q515" s="35"/>
      <c r="R515" s="35"/>
      <c r="S515" s="35"/>
      <c r="T515" s="35"/>
      <c r="U515" s="35"/>
      <c r="V515" s="35"/>
      <c r="W515" s="35"/>
      <c r="X515" s="35"/>
      <c r="Y515" s="35"/>
      <c r="Z515" s="35"/>
    </row>
    <row r="516" ht="12.75" customHeight="1">
      <c r="A516" s="35"/>
      <c r="B516" s="35"/>
      <c r="C516" s="35"/>
      <c r="D516" s="35"/>
      <c r="E516" s="35"/>
      <c r="F516" s="35"/>
      <c r="G516" s="35"/>
      <c r="H516" s="35"/>
      <c r="I516" s="35"/>
      <c r="J516" s="35"/>
      <c r="K516" s="35"/>
      <c r="L516" s="35"/>
      <c r="M516" s="35"/>
      <c r="N516" s="35"/>
      <c r="O516" s="35"/>
      <c r="P516" s="35"/>
      <c r="Q516" s="35"/>
      <c r="R516" s="35"/>
      <c r="S516" s="35"/>
      <c r="T516" s="35"/>
      <c r="U516" s="35"/>
      <c r="V516" s="35"/>
      <c r="W516" s="35"/>
      <c r="X516" s="35"/>
      <c r="Y516" s="35"/>
      <c r="Z516" s="35"/>
    </row>
    <row r="517" ht="12.75" customHeight="1">
      <c r="A517" s="35"/>
      <c r="B517" s="35"/>
      <c r="C517" s="35"/>
      <c r="D517" s="35"/>
      <c r="E517" s="35"/>
      <c r="F517" s="35"/>
      <c r="G517" s="35"/>
      <c r="H517" s="35"/>
      <c r="I517" s="35"/>
      <c r="J517" s="35"/>
      <c r="K517" s="35"/>
      <c r="L517" s="35"/>
      <c r="M517" s="35"/>
      <c r="N517" s="35"/>
      <c r="O517" s="35"/>
      <c r="P517" s="35"/>
      <c r="Q517" s="35"/>
      <c r="R517" s="35"/>
      <c r="S517" s="35"/>
      <c r="T517" s="35"/>
      <c r="U517" s="35"/>
      <c r="V517" s="35"/>
      <c r="W517" s="35"/>
      <c r="X517" s="35"/>
      <c r="Y517" s="35"/>
      <c r="Z517" s="35"/>
    </row>
    <row r="518" ht="12.75" customHeight="1">
      <c r="A518" s="35"/>
      <c r="B518" s="35"/>
      <c r="C518" s="35"/>
      <c r="D518" s="35"/>
      <c r="E518" s="35"/>
      <c r="F518" s="35"/>
      <c r="G518" s="35"/>
      <c r="H518" s="35"/>
      <c r="I518" s="35"/>
      <c r="J518" s="35"/>
      <c r="K518" s="35"/>
      <c r="L518" s="35"/>
      <c r="M518" s="35"/>
      <c r="N518" s="35"/>
      <c r="O518" s="35"/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5"/>
    </row>
    <row r="519" ht="12.75" customHeight="1">
      <c r="A519" s="35"/>
      <c r="B519" s="35"/>
      <c r="C519" s="35"/>
      <c r="D519" s="35"/>
      <c r="E519" s="35"/>
      <c r="F519" s="35"/>
      <c r="G519" s="35"/>
      <c r="H519" s="35"/>
      <c r="I519" s="35"/>
      <c r="J519" s="35"/>
      <c r="K519" s="35"/>
      <c r="L519" s="35"/>
      <c r="M519" s="35"/>
      <c r="N519" s="35"/>
      <c r="O519" s="35"/>
      <c r="P519" s="35"/>
      <c r="Q519" s="35"/>
      <c r="R519" s="35"/>
      <c r="S519" s="35"/>
      <c r="T519" s="35"/>
      <c r="U519" s="35"/>
      <c r="V519" s="35"/>
      <c r="W519" s="35"/>
      <c r="X519" s="35"/>
      <c r="Y519" s="35"/>
      <c r="Z519" s="35"/>
    </row>
    <row r="520" ht="12.75" customHeight="1">
      <c r="A520" s="35"/>
      <c r="B520" s="35"/>
      <c r="C520" s="35"/>
      <c r="D520" s="35"/>
      <c r="E520" s="35"/>
      <c r="F520" s="35"/>
      <c r="G520" s="35"/>
      <c r="H520" s="35"/>
      <c r="I520" s="35"/>
      <c r="J520" s="35"/>
      <c r="K520" s="35"/>
      <c r="L520" s="35"/>
      <c r="M520" s="35"/>
      <c r="N520" s="35"/>
      <c r="O520" s="35"/>
      <c r="P520" s="35"/>
      <c r="Q520" s="35"/>
      <c r="R520" s="35"/>
      <c r="S520" s="35"/>
      <c r="T520" s="35"/>
      <c r="U520" s="35"/>
      <c r="V520" s="35"/>
      <c r="W520" s="35"/>
      <c r="X520" s="35"/>
      <c r="Y520" s="35"/>
      <c r="Z520" s="35"/>
    </row>
    <row r="521" ht="12.75" customHeight="1">
      <c r="A521" s="35"/>
      <c r="B521" s="35"/>
      <c r="C521" s="35"/>
      <c r="D521" s="35"/>
      <c r="E521" s="35"/>
      <c r="F521" s="35"/>
      <c r="G521" s="35"/>
      <c r="H521" s="35"/>
      <c r="I521" s="35"/>
      <c r="J521" s="35"/>
      <c r="K521" s="35"/>
      <c r="L521" s="35"/>
      <c r="M521" s="35"/>
      <c r="N521" s="35"/>
      <c r="O521" s="35"/>
      <c r="P521" s="35"/>
      <c r="Q521" s="35"/>
      <c r="R521" s="35"/>
      <c r="S521" s="35"/>
      <c r="T521" s="35"/>
      <c r="U521" s="35"/>
      <c r="V521" s="35"/>
      <c r="W521" s="35"/>
      <c r="X521" s="35"/>
      <c r="Y521" s="35"/>
      <c r="Z521" s="35"/>
    </row>
    <row r="522" ht="12.75" customHeight="1">
      <c r="A522" s="35"/>
      <c r="B522" s="35"/>
      <c r="C522" s="35"/>
      <c r="D522" s="35"/>
      <c r="E522" s="35"/>
      <c r="F522" s="35"/>
      <c r="G522" s="35"/>
      <c r="H522" s="35"/>
      <c r="I522" s="35"/>
      <c r="J522" s="35"/>
      <c r="K522" s="35"/>
      <c r="L522" s="35"/>
      <c r="M522" s="35"/>
      <c r="N522" s="35"/>
      <c r="O522" s="35"/>
      <c r="P522" s="35"/>
      <c r="Q522" s="35"/>
      <c r="R522" s="35"/>
      <c r="S522" s="35"/>
      <c r="T522" s="35"/>
      <c r="U522" s="35"/>
      <c r="V522" s="35"/>
      <c r="W522" s="35"/>
      <c r="X522" s="35"/>
      <c r="Y522" s="35"/>
      <c r="Z522" s="35"/>
    </row>
    <row r="523" ht="12.75" customHeight="1">
      <c r="A523" s="35"/>
      <c r="B523" s="35"/>
      <c r="C523" s="35"/>
      <c r="D523" s="35"/>
      <c r="E523" s="35"/>
      <c r="F523" s="35"/>
      <c r="G523" s="35"/>
      <c r="H523" s="35"/>
      <c r="I523" s="35"/>
      <c r="J523" s="35"/>
      <c r="K523" s="35"/>
      <c r="L523" s="35"/>
      <c r="M523" s="35"/>
      <c r="N523" s="35"/>
      <c r="O523" s="35"/>
      <c r="P523" s="35"/>
      <c r="Q523" s="35"/>
      <c r="R523" s="35"/>
      <c r="S523" s="35"/>
      <c r="T523" s="35"/>
      <c r="U523" s="35"/>
      <c r="V523" s="35"/>
      <c r="W523" s="35"/>
      <c r="X523" s="35"/>
      <c r="Y523" s="35"/>
      <c r="Z523" s="35"/>
    </row>
    <row r="524" ht="12.75" customHeight="1">
      <c r="A524" s="35"/>
      <c r="B524" s="35"/>
      <c r="C524" s="35"/>
      <c r="D524" s="35"/>
      <c r="E524" s="35"/>
      <c r="F524" s="35"/>
      <c r="G524" s="35"/>
      <c r="H524" s="35"/>
      <c r="I524" s="35"/>
      <c r="J524" s="35"/>
      <c r="K524" s="35"/>
      <c r="L524" s="35"/>
      <c r="M524" s="35"/>
      <c r="N524" s="35"/>
      <c r="O524" s="35"/>
      <c r="P524" s="35"/>
      <c r="Q524" s="35"/>
      <c r="R524" s="35"/>
      <c r="S524" s="35"/>
      <c r="T524" s="35"/>
      <c r="U524" s="35"/>
      <c r="V524" s="35"/>
      <c r="W524" s="35"/>
      <c r="X524" s="35"/>
      <c r="Y524" s="35"/>
      <c r="Z524" s="35"/>
    </row>
    <row r="525" ht="12.75" customHeight="1">
      <c r="A525" s="35"/>
      <c r="B525" s="35"/>
      <c r="C525" s="35"/>
      <c r="D525" s="35"/>
      <c r="E525" s="35"/>
      <c r="F525" s="35"/>
      <c r="G525" s="35"/>
      <c r="H525" s="35"/>
      <c r="I525" s="35"/>
      <c r="J525" s="35"/>
      <c r="K525" s="35"/>
      <c r="L525" s="35"/>
      <c r="M525" s="35"/>
      <c r="N525" s="35"/>
      <c r="O525" s="35"/>
      <c r="P525" s="35"/>
      <c r="Q525" s="35"/>
      <c r="R525" s="35"/>
      <c r="S525" s="35"/>
      <c r="T525" s="35"/>
      <c r="U525" s="35"/>
      <c r="V525" s="35"/>
      <c r="W525" s="35"/>
      <c r="X525" s="35"/>
      <c r="Y525" s="35"/>
      <c r="Z525" s="35"/>
    </row>
    <row r="526" ht="12.75" customHeight="1">
      <c r="A526" s="35"/>
      <c r="B526" s="35"/>
      <c r="C526" s="35"/>
      <c r="D526" s="35"/>
      <c r="E526" s="35"/>
      <c r="F526" s="35"/>
      <c r="G526" s="35"/>
      <c r="H526" s="35"/>
      <c r="I526" s="35"/>
      <c r="J526" s="35"/>
      <c r="K526" s="35"/>
      <c r="L526" s="35"/>
      <c r="M526" s="35"/>
      <c r="N526" s="35"/>
      <c r="O526" s="35"/>
      <c r="P526" s="35"/>
      <c r="Q526" s="35"/>
      <c r="R526" s="35"/>
      <c r="S526" s="35"/>
      <c r="T526" s="35"/>
      <c r="U526" s="35"/>
      <c r="V526" s="35"/>
      <c r="W526" s="35"/>
      <c r="X526" s="35"/>
      <c r="Y526" s="35"/>
      <c r="Z526" s="35"/>
    </row>
    <row r="527" ht="12.75" customHeight="1">
      <c r="A527" s="35"/>
      <c r="B527" s="35"/>
      <c r="C527" s="35"/>
      <c r="D527" s="35"/>
      <c r="E527" s="35"/>
      <c r="F527" s="35"/>
      <c r="G527" s="35"/>
      <c r="H527" s="35"/>
      <c r="I527" s="35"/>
      <c r="J527" s="35"/>
      <c r="K527" s="35"/>
      <c r="L527" s="35"/>
      <c r="M527" s="35"/>
      <c r="N527" s="35"/>
      <c r="O527" s="35"/>
      <c r="P527" s="35"/>
      <c r="Q527" s="35"/>
      <c r="R527" s="35"/>
      <c r="S527" s="35"/>
      <c r="T527" s="35"/>
      <c r="U527" s="35"/>
      <c r="V527" s="35"/>
      <c r="W527" s="35"/>
      <c r="X527" s="35"/>
      <c r="Y527" s="35"/>
      <c r="Z527" s="35"/>
    </row>
    <row r="528" ht="12.75" customHeight="1">
      <c r="A528" s="35"/>
      <c r="B528" s="35"/>
      <c r="C528" s="35"/>
      <c r="D528" s="35"/>
      <c r="E528" s="35"/>
      <c r="F528" s="35"/>
      <c r="G528" s="35"/>
      <c r="H528" s="35"/>
      <c r="I528" s="35"/>
      <c r="J528" s="35"/>
      <c r="K528" s="35"/>
      <c r="L528" s="35"/>
      <c r="M528" s="35"/>
      <c r="N528" s="35"/>
      <c r="O528" s="35"/>
      <c r="P528" s="35"/>
      <c r="Q528" s="35"/>
      <c r="R528" s="35"/>
      <c r="S528" s="35"/>
      <c r="T528" s="35"/>
      <c r="U528" s="35"/>
      <c r="V528" s="35"/>
      <c r="W528" s="35"/>
      <c r="X528" s="35"/>
      <c r="Y528" s="35"/>
      <c r="Z528" s="35"/>
    </row>
    <row r="529" ht="12.75" customHeight="1">
      <c r="A529" s="35"/>
      <c r="B529" s="35"/>
      <c r="C529" s="35"/>
      <c r="D529" s="35"/>
      <c r="E529" s="35"/>
      <c r="F529" s="35"/>
      <c r="G529" s="35"/>
      <c r="H529" s="35"/>
      <c r="I529" s="35"/>
      <c r="J529" s="35"/>
      <c r="K529" s="35"/>
      <c r="L529" s="35"/>
      <c r="M529" s="35"/>
      <c r="N529" s="35"/>
      <c r="O529" s="35"/>
      <c r="P529" s="35"/>
      <c r="Q529" s="35"/>
      <c r="R529" s="35"/>
      <c r="S529" s="35"/>
      <c r="T529" s="35"/>
      <c r="U529" s="35"/>
      <c r="V529" s="35"/>
      <c r="W529" s="35"/>
      <c r="X529" s="35"/>
      <c r="Y529" s="35"/>
      <c r="Z529" s="35"/>
    </row>
    <row r="530" ht="12.75" customHeight="1">
      <c r="A530" s="35"/>
      <c r="B530" s="35"/>
      <c r="C530" s="35"/>
      <c r="D530" s="35"/>
      <c r="E530" s="35"/>
      <c r="F530" s="35"/>
      <c r="G530" s="35"/>
      <c r="H530" s="35"/>
      <c r="I530" s="35"/>
      <c r="J530" s="35"/>
      <c r="K530" s="35"/>
      <c r="L530" s="35"/>
      <c r="M530" s="35"/>
      <c r="N530" s="35"/>
      <c r="O530" s="35"/>
      <c r="P530" s="35"/>
      <c r="Q530" s="35"/>
      <c r="R530" s="35"/>
      <c r="S530" s="35"/>
      <c r="T530" s="35"/>
      <c r="U530" s="35"/>
      <c r="V530" s="35"/>
      <c r="W530" s="35"/>
      <c r="X530" s="35"/>
      <c r="Y530" s="35"/>
      <c r="Z530" s="35"/>
    </row>
    <row r="531" ht="12.75" customHeight="1">
      <c r="A531" s="35"/>
      <c r="B531" s="35"/>
      <c r="C531" s="35"/>
      <c r="D531" s="35"/>
      <c r="E531" s="35"/>
      <c r="F531" s="35"/>
      <c r="G531" s="35"/>
      <c r="H531" s="35"/>
      <c r="I531" s="35"/>
      <c r="J531" s="35"/>
      <c r="K531" s="35"/>
      <c r="L531" s="35"/>
      <c r="M531" s="35"/>
      <c r="N531" s="35"/>
      <c r="O531" s="35"/>
      <c r="P531" s="35"/>
      <c r="Q531" s="35"/>
      <c r="R531" s="35"/>
      <c r="S531" s="35"/>
      <c r="T531" s="35"/>
      <c r="U531" s="35"/>
      <c r="V531" s="35"/>
      <c r="W531" s="35"/>
      <c r="X531" s="35"/>
      <c r="Y531" s="35"/>
      <c r="Z531" s="35"/>
    </row>
    <row r="532" ht="12.75" customHeight="1">
      <c r="A532" s="35"/>
      <c r="B532" s="35"/>
      <c r="C532" s="35"/>
      <c r="D532" s="35"/>
      <c r="E532" s="35"/>
      <c r="F532" s="35"/>
      <c r="G532" s="35"/>
      <c r="H532" s="35"/>
      <c r="I532" s="35"/>
      <c r="J532" s="35"/>
      <c r="K532" s="35"/>
      <c r="L532" s="35"/>
      <c r="M532" s="35"/>
      <c r="N532" s="35"/>
      <c r="O532" s="35"/>
      <c r="P532" s="35"/>
      <c r="Q532" s="35"/>
      <c r="R532" s="35"/>
      <c r="S532" s="35"/>
      <c r="T532" s="35"/>
      <c r="U532" s="35"/>
      <c r="V532" s="35"/>
      <c r="W532" s="35"/>
      <c r="X532" s="35"/>
      <c r="Y532" s="35"/>
      <c r="Z532" s="35"/>
    </row>
    <row r="533" ht="12.75" customHeight="1">
      <c r="A533" s="35"/>
      <c r="B533" s="35"/>
      <c r="C533" s="35"/>
      <c r="D533" s="35"/>
      <c r="E533" s="35"/>
      <c r="F533" s="35"/>
      <c r="G533" s="35"/>
      <c r="H533" s="35"/>
      <c r="I533" s="35"/>
      <c r="J533" s="35"/>
      <c r="K533" s="35"/>
      <c r="L533" s="35"/>
      <c r="M533" s="35"/>
      <c r="N533" s="35"/>
      <c r="O533" s="35"/>
      <c r="P533" s="35"/>
      <c r="Q533" s="35"/>
      <c r="R533" s="35"/>
      <c r="S533" s="35"/>
      <c r="T533" s="35"/>
      <c r="U533" s="35"/>
      <c r="V533" s="35"/>
      <c r="W533" s="35"/>
      <c r="X533" s="35"/>
      <c r="Y533" s="35"/>
      <c r="Z533" s="35"/>
    </row>
    <row r="534" ht="12.75" customHeight="1">
      <c r="A534" s="35"/>
      <c r="B534" s="35"/>
      <c r="C534" s="35"/>
      <c r="D534" s="35"/>
      <c r="E534" s="35"/>
      <c r="F534" s="35"/>
      <c r="G534" s="35"/>
      <c r="H534" s="35"/>
      <c r="I534" s="35"/>
      <c r="J534" s="35"/>
      <c r="K534" s="35"/>
      <c r="L534" s="35"/>
      <c r="M534" s="35"/>
      <c r="N534" s="35"/>
      <c r="O534" s="35"/>
      <c r="P534" s="35"/>
      <c r="Q534" s="35"/>
      <c r="R534" s="35"/>
      <c r="S534" s="35"/>
      <c r="T534" s="35"/>
      <c r="U534" s="35"/>
      <c r="V534" s="35"/>
      <c r="W534" s="35"/>
      <c r="X534" s="35"/>
      <c r="Y534" s="35"/>
      <c r="Z534" s="35"/>
    </row>
    <row r="535" ht="12.75" customHeight="1">
      <c r="A535" s="35"/>
      <c r="B535" s="35"/>
      <c r="C535" s="35"/>
      <c r="D535" s="35"/>
      <c r="E535" s="35"/>
      <c r="F535" s="35"/>
      <c r="G535" s="35"/>
      <c r="H535" s="35"/>
      <c r="I535" s="35"/>
      <c r="J535" s="35"/>
      <c r="K535" s="35"/>
      <c r="L535" s="35"/>
      <c r="M535" s="35"/>
      <c r="N535" s="35"/>
      <c r="O535" s="35"/>
      <c r="P535" s="35"/>
      <c r="Q535" s="35"/>
      <c r="R535" s="35"/>
      <c r="S535" s="35"/>
      <c r="T535" s="35"/>
      <c r="U535" s="35"/>
      <c r="V535" s="35"/>
      <c r="W535" s="35"/>
      <c r="X535" s="35"/>
      <c r="Y535" s="35"/>
      <c r="Z535" s="35"/>
    </row>
    <row r="536" ht="12.75" customHeight="1">
      <c r="A536" s="35"/>
      <c r="B536" s="35"/>
      <c r="C536" s="35"/>
      <c r="D536" s="35"/>
      <c r="E536" s="35"/>
      <c r="F536" s="35"/>
      <c r="G536" s="35"/>
      <c r="H536" s="35"/>
      <c r="I536" s="35"/>
      <c r="J536" s="35"/>
      <c r="K536" s="35"/>
      <c r="L536" s="35"/>
      <c r="M536" s="35"/>
      <c r="N536" s="35"/>
      <c r="O536" s="35"/>
      <c r="P536" s="35"/>
      <c r="Q536" s="35"/>
      <c r="R536" s="35"/>
      <c r="S536" s="35"/>
      <c r="T536" s="35"/>
      <c r="U536" s="35"/>
      <c r="V536" s="35"/>
      <c r="W536" s="35"/>
      <c r="X536" s="35"/>
      <c r="Y536" s="35"/>
      <c r="Z536" s="35"/>
    </row>
    <row r="537" ht="12.75" customHeight="1">
      <c r="A537" s="35"/>
      <c r="B537" s="35"/>
      <c r="C537" s="35"/>
      <c r="D537" s="35"/>
      <c r="E537" s="35"/>
      <c r="F537" s="35"/>
      <c r="G537" s="35"/>
      <c r="H537" s="35"/>
      <c r="I537" s="35"/>
      <c r="J537" s="35"/>
      <c r="K537" s="35"/>
      <c r="L537" s="35"/>
      <c r="M537" s="35"/>
      <c r="N537" s="35"/>
      <c r="O537" s="35"/>
      <c r="P537" s="35"/>
      <c r="Q537" s="35"/>
      <c r="R537" s="35"/>
      <c r="S537" s="35"/>
      <c r="T537" s="35"/>
      <c r="U537" s="35"/>
      <c r="V537" s="35"/>
      <c r="W537" s="35"/>
      <c r="X537" s="35"/>
      <c r="Y537" s="35"/>
      <c r="Z537" s="35"/>
    </row>
    <row r="538" ht="12.75" customHeight="1">
      <c r="A538" s="35"/>
      <c r="B538" s="35"/>
      <c r="C538" s="35"/>
      <c r="D538" s="35"/>
      <c r="E538" s="35"/>
      <c r="F538" s="35"/>
      <c r="G538" s="35"/>
      <c r="H538" s="35"/>
      <c r="I538" s="35"/>
      <c r="J538" s="35"/>
      <c r="K538" s="35"/>
      <c r="L538" s="35"/>
      <c r="M538" s="35"/>
      <c r="N538" s="35"/>
      <c r="O538" s="35"/>
      <c r="P538" s="35"/>
      <c r="Q538" s="35"/>
      <c r="R538" s="35"/>
      <c r="S538" s="35"/>
      <c r="T538" s="35"/>
      <c r="U538" s="35"/>
      <c r="V538" s="35"/>
      <c r="W538" s="35"/>
      <c r="X538" s="35"/>
      <c r="Y538" s="35"/>
      <c r="Z538" s="35"/>
    </row>
    <row r="539" ht="12.75" customHeight="1">
      <c r="A539" s="35"/>
      <c r="B539" s="35"/>
      <c r="C539" s="35"/>
      <c r="D539" s="35"/>
      <c r="E539" s="35"/>
      <c r="F539" s="35"/>
      <c r="G539" s="35"/>
      <c r="H539" s="35"/>
      <c r="I539" s="35"/>
      <c r="J539" s="35"/>
      <c r="K539" s="35"/>
      <c r="L539" s="35"/>
      <c r="M539" s="35"/>
      <c r="N539" s="35"/>
      <c r="O539" s="35"/>
      <c r="P539" s="35"/>
      <c r="Q539" s="35"/>
      <c r="R539" s="35"/>
      <c r="S539" s="35"/>
      <c r="T539" s="35"/>
      <c r="U539" s="35"/>
      <c r="V539" s="35"/>
      <c r="W539" s="35"/>
      <c r="X539" s="35"/>
      <c r="Y539" s="35"/>
      <c r="Z539" s="35"/>
    </row>
    <row r="540" ht="12.75" customHeight="1">
      <c r="A540" s="35"/>
      <c r="B540" s="35"/>
      <c r="C540" s="35"/>
      <c r="D540" s="35"/>
      <c r="E540" s="35"/>
      <c r="F540" s="35"/>
      <c r="G540" s="35"/>
      <c r="H540" s="35"/>
      <c r="I540" s="35"/>
      <c r="J540" s="35"/>
      <c r="K540" s="35"/>
      <c r="L540" s="35"/>
      <c r="M540" s="35"/>
      <c r="N540" s="35"/>
      <c r="O540" s="35"/>
      <c r="P540" s="35"/>
      <c r="Q540" s="35"/>
      <c r="R540" s="35"/>
      <c r="S540" s="35"/>
      <c r="T540" s="35"/>
      <c r="U540" s="35"/>
      <c r="V540" s="35"/>
      <c r="W540" s="35"/>
      <c r="X540" s="35"/>
      <c r="Y540" s="35"/>
      <c r="Z540" s="35"/>
    </row>
    <row r="541" ht="12.75" customHeight="1">
      <c r="A541" s="35"/>
      <c r="B541" s="35"/>
      <c r="C541" s="35"/>
      <c r="D541" s="35"/>
      <c r="E541" s="35"/>
      <c r="F541" s="35"/>
      <c r="G541" s="35"/>
      <c r="H541" s="35"/>
      <c r="I541" s="35"/>
      <c r="J541" s="35"/>
      <c r="K541" s="35"/>
      <c r="L541" s="35"/>
      <c r="M541" s="35"/>
      <c r="N541" s="35"/>
      <c r="O541" s="35"/>
      <c r="P541" s="35"/>
      <c r="Q541" s="35"/>
      <c r="R541" s="35"/>
      <c r="S541" s="35"/>
      <c r="T541" s="35"/>
      <c r="U541" s="35"/>
      <c r="V541" s="35"/>
      <c r="W541" s="35"/>
      <c r="X541" s="35"/>
      <c r="Y541" s="35"/>
      <c r="Z541" s="35"/>
    </row>
    <row r="542" ht="12.75" customHeight="1">
      <c r="A542" s="35"/>
      <c r="B542" s="35"/>
      <c r="C542" s="35"/>
      <c r="D542" s="35"/>
      <c r="E542" s="35"/>
      <c r="F542" s="35"/>
      <c r="G542" s="35"/>
      <c r="H542" s="35"/>
      <c r="I542" s="35"/>
      <c r="J542" s="35"/>
      <c r="K542" s="35"/>
      <c r="L542" s="35"/>
      <c r="M542" s="35"/>
      <c r="N542" s="35"/>
      <c r="O542" s="35"/>
      <c r="P542" s="35"/>
      <c r="Q542" s="35"/>
      <c r="R542" s="35"/>
      <c r="S542" s="35"/>
      <c r="T542" s="35"/>
      <c r="U542" s="35"/>
      <c r="V542" s="35"/>
      <c r="W542" s="35"/>
      <c r="X542" s="35"/>
      <c r="Y542" s="35"/>
      <c r="Z542" s="35"/>
    </row>
    <row r="543" ht="12.75" customHeight="1">
      <c r="A543" s="35"/>
      <c r="B543" s="35"/>
      <c r="C543" s="35"/>
      <c r="D543" s="35"/>
      <c r="E543" s="35"/>
      <c r="F543" s="35"/>
      <c r="G543" s="35"/>
      <c r="H543" s="35"/>
      <c r="I543" s="35"/>
      <c r="J543" s="35"/>
      <c r="K543" s="35"/>
      <c r="L543" s="35"/>
      <c r="M543" s="35"/>
      <c r="N543" s="35"/>
      <c r="O543" s="35"/>
      <c r="P543" s="35"/>
      <c r="Q543" s="35"/>
      <c r="R543" s="35"/>
      <c r="S543" s="35"/>
      <c r="T543" s="35"/>
      <c r="U543" s="35"/>
      <c r="V543" s="35"/>
      <c r="W543" s="35"/>
      <c r="X543" s="35"/>
      <c r="Y543" s="35"/>
      <c r="Z543" s="35"/>
    </row>
    <row r="544" ht="12.75" customHeight="1">
      <c r="A544" s="35"/>
      <c r="B544" s="35"/>
      <c r="C544" s="35"/>
      <c r="D544" s="35"/>
      <c r="E544" s="35"/>
      <c r="F544" s="35"/>
      <c r="G544" s="35"/>
      <c r="H544" s="35"/>
      <c r="I544" s="35"/>
      <c r="J544" s="35"/>
      <c r="K544" s="35"/>
      <c r="L544" s="35"/>
      <c r="M544" s="35"/>
      <c r="N544" s="35"/>
      <c r="O544" s="35"/>
      <c r="P544" s="35"/>
      <c r="Q544" s="35"/>
      <c r="R544" s="35"/>
      <c r="S544" s="35"/>
      <c r="T544" s="35"/>
      <c r="U544" s="35"/>
      <c r="V544" s="35"/>
      <c r="W544" s="35"/>
      <c r="X544" s="35"/>
      <c r="Y544" s="35"/>
      <c r="Z544" s="35"/>
    </row>
    <row r="545" ht="12.75" customHeight="1">
      <c r="A545" s="35"/>
      <c r="B545" s="35"/>
      <c r="C545" s="35"/>
      <c r="D545" s="35"/>
      <c r="E545" s="35"/>
      <c r="F545" s="35"/>
      <c r="G545" s="35"/>
      <c r="H545" s="35"/>
      <c r="I545" s="35"/>
      <c r="J545" s="35"/>
      <c r="K545" s="35"/>
      <c r="L545" s="35"/>
      <c r="M545" s="35"/>
      <c r="N545" s="35"/>
      <c r="O545" s="35"/>
      <c r="P545" s="35"/>
      <c r="Q545" s="35"/>
      <c r="R545" s="35"/>
      <c r="S545" s="35"/>
      <c r="T545" s="35"/>
      <c r="U545" s="35"/>
      <c r="V545" s="35"/>
      <c r="W545" s="35"/>
      <c r="X545" s="35"/>
      <c r="Y545" s="35"/>
      <c r="Z545" s="35"/>
    </row>
    <row r="546" ht="12.75" customHeight="1">
      <c r="A546" s="35"/>
      <c r="B546" s="35"/>
      <c r="C546" s="35"/>
      <c r="D546" s="35"/>
      <c r="E546" s="35"/>
      <c r="F546" s="35"/>
      <c r="G546" s="35"/>
      <c r="H546" s="35"/>
      <c r="I546" s="35"/>
      <c r="J546" s="35"/>
      <c r="K546" s="35"/>
      <c r="L546" s="35"/>
      <c r="M546" s="35"/>
      <c r="N546" s="35"/>
      <c r="O546" s="35"/>
      <c r="P546" s="35"/>
      <c r="Q546" s="35"/>
      <c r="R546" s="35"/>
      <c r="S546" s="35"/>
      <c r="T546" s="35"/>
      <c r="U546" s="35"/>
      <c r="V546" s="35"/>
      <c r="W546" s="35"/>
      <c r="X546" s="35"/>
      <c r="Y546" s="35"/>
      <c r="Z546" s="35"/>
    </row>
    <row r="547" ht="12.75" customHeight="1">
      <c r="A547" s="35"/>
      <c r="B547" s="35"/>
      <c r="C547" s="35"/>
      <c r="D547" s="35"/>
      <c r="E547" s="35"/>
      <c r="F547" s="35"/>
      <c r="G547" s="35"/>
      <c r="H547" s="35"/>
      <c r="I547" s="35"/>
      <c r="J547" s="35"/>
      <c r="K547" s="35"/>
      <c r="L547" s="35"/>
      <c r="M547" s="35"/>
      <c r="N547" s="35"/>
      <c r="O547" s="35"/>
      <c r="P547" s="35"/>
      <c r="Q547" s="35"/>
      <c r="R547" s="35"/>
      <c r="S547" s="35"/>
      <c r="T547" s="35"/>
      <c r="U547" s="35"/>
      <c r="V547" s="35"/>
      <c r="W547" s="35"/>
      <c r="X547" s="35"/>
      <c r="Y547" s="35"/>
      <c r="Z547" s="35"/>
    </row>
    <row r="548" ht="12.75" customHeight="1">
      <c r="A548" s="35"/>
      <c r="B548" s="35"/>
      <c r="C548" s="35"/>
      <c r="D548" s="35"/>
      <c r="E548" s="35"/>
      <c r="F548" s="35"/>
      <c r="G548" s="35"/>
      <c r="H548" s="35"/>
      <c r="I548" s="35"/>
      <c r="J548" s="35"/>
      <c r="K548" s="35"/>
      <c r="L548" s="35"/>
      <c r="M548" s="35"/>
      <c r="N548" s="35"/>
      <c r="O548" s="35"/>
      <c r="P548" s="35"/>
      <c r="Q548" s="35"/>
      <c r="R548" s="35"/>
      <c r="S548" s="35"/>
      <c r="T548" s="35"/>
      <c r="U548" s="35"/>
      <c r="V548" s="35"/>
      <c r="W548" s="35"/>
      <c r="X548" s="35"/>
      <c r="Y548" s="35"/>
      <c r="Z548" s="35"/>
    </row>
    <row r="549" ht="12.75" customHeight="1">
      <c r="A549" s="35"/>
      <c r="B549" s="35"/>
      <c r="C549" s="35"/>
      <c r="D549" s="35"/>
      <c r="E549" s="35"/>
      <c r="F549" s="35"/>
      <c r="G549" s="35"/>
      <c r="H549" s="35"/>
      <c r="I549" s="35"/>
      <c r="J549" s="35"/>
      <c r="K549" s="35"/>
      <c r="L549" s="35"/>
      <c r="M549" s="35"/>
      <c r="N549" s="35"/>
      <c r="O549" s="35"/>
      <c r="P549" s="35"/>
      <c r="Q549" s="35"/>
      <c r="R549" s="35"/>
      <c r="S549" s="35"/>
      <c r="T549" s="35"/>
      <c r="U549" s="35"/>
      <c r="V549" s="35"/>
      <c r="W549" s="35"/>
      <c r="X549" s="35"/>
      <c r="Y549" s="35"/>
      <c r="Z549" s="35"/>
    </row>
    <row r="550" ht="12.75" customHeight="1">
      <c r="A550" s="35"/>
      <c r="B550" s="35"/>
      <c r="C550" s="35"/>
      <c r="D550" s="35"/>
      <c r="E550" s="35"/>
      <c r="F550" s="35"/>
      <c r="G550" s="35"/>
      <c r="H550" s="35"/>
      <c r="I550" s="35"/>
      <c r="J550" s="35"/>
      <c r="K550" s="35"/>
      <c r="L550" s="35"/>
      <c r="M550" s="35"/>
      <c r="N550" s="35"/>
      <c r="O550" s="35"/>
      <c r="P550" s="35"/>
      <c r="Q550" s="35"/>
      <c r="R550" s="35"/>
      <c r="S550" s="35"/>
      <c r="T550" s="35"/>
      <c r="U550" s="35"/>
      <c r="V550" s="35"/>
      <c r="W550" s="35"/>
      <c r="X550" s="35"/>
      <c r="Y550" s="35"/>
      <c r="Z550" s="35"/>
    </row>
    <row r="551" ht="12.75" customHeight="1">
      <c r="A551" s="35"/>
      <c r="B551" s="35"/>
      <c r="C551" s="35"/>
      <c r="D551" s="35"/>
      <c r="E551" s="35"/>
      <c r="F551" s="35"/>
      <c r="G551" s="35"/>
      <c r="H551" s="35"/>
      <c r="I551" s="35"/>
      <c r="J551" s="35"/>
      <c r="K551" s="35"/>
      <c r="L551" s="35"/>
      <c r="M551" s="35"/>
      <c r="N551" s="35"/>
      <c r="O551" s="35"/>
      <c r="P551" s="35"/>
      <c r="Q551" s="35"/>
      <c r="R551" s="35"/>
      <c r="S551" s="35"/>
      <c r="T551" s="35"/>
      <c r="U551" s="35"/>
      <c r="V551" s="35"/>
      <c r="W551" s="35"/>
      <c r="X551" s="35"/>
      <c r="Y551" s="35"/>
      <c r="Z551" s="35"/>
    </row>
    <row r="552" ht="12.75" customHeight="1">
      <c r="A552" s="35"/>
      <c r="B552" s="35"/>
      <c r="C552" s="35"/>
      <c r="D552" s="35"/>
      <c r="E552" s="35"/>
      <c r="F552" s="35"/>
      <c r="G552" s="35"/>
      <c r="H552" s="35"/>
      <c r="I552" s="35"/>
      <c r="J552" s="35"/>
      <c r="K552" s="35"/>
      <c r="L552" s="35"/>
      <c r="M552" s="35"/>
      <c r="N552" s="35"/>
      <c r="O552" s="35"/>
      <c r="P552" s="35"/>
      <c r="Q552" s="35"/>
      <c r="R552" s="35"/>
      <c r="S552" s="35"/>
      <c r="T552" s="35"/>
      <c r="U552" s="35"/>
      <c r="V552" s="35"/>
      <c r="W552" s="35"/>
      <c r="X552" s="35"/>
      <c r="Y552" s="35"/>
      <c r="Z552" s="35"/>
    </row>
    <row r="553" ht="12.75" customHeight="1">
      <c r="A553" s="35"/>
      <c r="B553" s="35"/>
      <c r="C553" s="35"/>
      <c r="D553" s="35"/>
      <c r="E553" s="35"/>
      <c r="F553" s="35"/>
      <c r="G553" s="35"/>
      <c r="H553" s="35"/>
      <c r="I553" s="35"/>
      <c r="J553" s="35"/>
      <c r="K553" s="35"/>
      <c r="L553" s="35"/>
      <c r="M553" s="35"/>
      <c r="N553" s="35"/>
      <c r="O553" s="35"/>
      <c r="P553" s="35"/>
      <c r="Q553" s="35"/>
      <c r="R553" s="35"/>
      <c r="S553" s="35"/>
      <c r="T553" s="35"/>
      <c r="U553" s="35"/>
      <c r="V553" s="35"/>
      <c r="W553" s="35"/>
      <c r="X553" s="35"/>
      <c r="Y553" s="35"/>
      <c r="Z553" s="35"/>
    </row>
    <row r="554" ht="12.75" customHeight="1">
      <c r="A554" s="35"/>
      <c r="B554" s="35"/>
      <c r="C554" s="35"/>
      <c r="D554" s="35"/>
      <c r="E554" s="35"/>
      <c r="F554" s="35"/>
      <c r="G554" s="35"/>
      <c r="H554" s="35"/>
      <c r="I554" s="35"/>
      <c r="J554" s="35"/>
      <c r="K554" s="35"/>
      <c r="L554" s="35"/>
      <c r="M554" s="35"/>
      <c r="N554" s="35"/>
      <c r="O554" s="35"/>
      <c r="P554" s="35"/>
      <c r="Q554" s="35"/>
      <c r="R554" s="35"/>
      <c r="S554" s="35"/>
      <c r="T554" s="35"/>
      <c r="U554" s="35"/>
      <c r="V554" s="35"/>
      <c r="W554" s="35"/>
      <c r="X554" s="35"/>
      <c r="Y554" s="35"/>
      <c r="Z554" s="35"/>
    </row>
    <row r="555" ht="12.75" customHeight="1">
      <c r="A555" s="35"/>
      <c r="B555" s="35"/>
      <c r="C555" s="35"/>
      <c r="D555" s="35"/>
      <c r="E555" s="35"/>
      <c r="F555" s="35"/>
      <c r="G555" s="35"/>
      <c r="H555" s="35"/>
      <c r="I555" s="35"/>
      <c r="J555" s="35"/>
      <c r="K555" s="35"/>
      <c r="L555" s="35"/>
      <c r="M555" s="35"/>
      <c r="N555" s="35"/>
      <c r="O555" s="35"/>
      <c r="P555" s="35"/>
      <c r="Q555" s="35"/>
      <c r="R555" s="35"/>
      <c r="S555" s="35"/>
      <c r="T555" s="35"/>
      <c r="U555" s="35"/>
      <c r="V555" s="35"/>
      <c r="W555" s="35"/>
      <c r="X555" s="35"/>
      <c r="Y555" s="35"/>
      <c r="Z555" s="35"/>
    </row>
    <row r="556" ht="12.75" customHeight="1">
      <c r="A556" s="35"/>
      <c r="B556" s="35"/>
      <c r="C556" s="35"/>
      <c r="D556" s="35"/>
      <c r="E556" s="35"/>
      <c r="F556" s="35"/>
      <c r="G556" s="35"/>
      <c r="H556" s="35"/>
      <c r="I556" s="35"/>
      <c r="J556" s="35"/>
      <c r="K556" s="35"/>
      <c r="L556" s="35"/>
      <c r="M556" s="35"/>
      <c r="N556" s="35"/>
      <c r="O556" s="35"/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5"/>
    </row>
    <row r="557" ht="12.75" customHeight="1">
      <c r="A557" s="35"/>
      <c r="B557" s="35"/>
      <c r="C557" s="35"/>
      <c r="D557" s="35"/>
      <c r="E557" s="35"/>
      <c r="F557" s="35"/>
      <c r="G557" s="35"/>
      <c r="H557" s="35"/>
      <c r="I557" s="35"/>
      <c r="J557" s="35"/>
      <c r="K557" s="35"/>
      <c r="L557" s="35"/>
      <c r="M557" s="35"/>
      <c r="N557" s="35"/>
      <c r="O557" s="35"/>
      <c r="P557" s="35"/>
      <c r="Q557" s="35"/>
      <c r="R557" s="35"/>
      <c r="S557" s="35"/>
      <c r="T557" s="35"/>
      <c r="U557" s="35"/>
      <c r="V557" s="35"/>
      <c r="W557" s="35"/>
      <c r="X557" s="35"/>
      <c r="Y557" s="35"/>
      <c r="Z557" s="35"/>
    </row>
    <row r="558" ht="12.75" customHeight="1">
      <c r="A558" s="35"/>
      <c r="B558" s="35"/>
      <c r="C558" s="35"/>
      <c r="D558" s="35"/>
      <c r="E558" s="35"/>
      <c r="F558" s="35"/>
      <c r="G558" s="35"/>
      <c r="H558" s="35"/>
      <c r="I558" s="35"/>
      <c r="J558" s="35"/>
      <c r="K558" s="35"/>
      <c r="L558" s="35"/>
      <c r="M558" s="35"/>
      <c r="N558" s="35"/>
      <c r="O558" s="35"/>
      <c r="P558" s="35"/>
      <c r="Q558" s="35"/>
      <c r="R558" s="35"/>
      <c r="S558" s="35"/>
      <c r="T558" s="35"/>
      <c r="U558" s="35"/>
      <c r="V558" s="35"/>
      <c r="W558" s="35"/>
      <c r="X558" s="35"/>
      <c r="Y558" s="35"/>
      <c r="Z558" s="35"/>
    </row>
    <row r="559" ht="12.75" customHeight="1">
      <c r="A559" s="35"/>
      <c r="B559" s="35"/>
      <c r="C559" s="35"/>
      <c r="D559" s="35"/>
      <c r="E559" s="35"/>
      <c r="F559" s="35"/>
      <c r="G559" s="35"/>
      <c r="H559" s="35"/>
      <c r="I559" s="35"/>
      <c r="J559" s="35"/>
      <c r="K559" s="35"/>
      <c r="L559" s="35"/>
      <c r="M559" s="35"/>
      <c r="N559" s="35"/>
      <c r="O559" s="35"/>
      <c r="P559" s="35"/>
      <c r="Q559" s="35"/>
      <c r="R559" s="35"/>
      <c r="S559" s="35"/>
      <c r="T559" s="35"/>
      <c r="U559" s="35"/>
      <c r="V559" s="35"/>
      <c r="W559" s="35"/>
      <c r="X559" s="35"/>
      <c r="Y559" s="35"/>
      <c r="Z559" s="35"/>
    </row>
    <row r="560" ht="12.75" customHeight="1">
      <c r="A560" s="35"/>
      <c r="B560" s="35"/>
      <c r="C560" s="35"/>
      <c r="D560" s="35"/>
      <c r="E560" s="35"/>
      <c r="F560" s="35"/>
      <c r="G560" s="35"/>
      <c r="H560" s="35"/>
      <c r="I560" s="35"/>
      <c r="J560" s="35"/>
      <c r="K560" s="35"/>
      <c r="L560" s="35"/>
      <c r="M560" s="35"/>
      <c r="N560" s="35"/>
      <c r="O560" s="35"/>
      <c r="P560" s="35"/>
      <c r="Q560" s="35"/>
      <c r="R560" s="35"/>
      <c r="S560" s="35"/>
      <c r="T560" s="35"/>
      <c r="U560" s="35"/>
      <c r="V560" s="35"/>
      <c r="W560" s="35"/>
      <c r="X560" s="35"/>
      <c r="Y560" s="35"/>
      <c r="Z560" s="35"/>
    </row>
    <row r="561" ht="12.75" customHeight="1">
      <c r="A561" s="35"/>
      <c r="B561" s="35"/>
      <c r="C561" s="35"/>
      <c r="D561" s="35"/>
      <c r="E561" s="35"/>
      <c r="F561" s="35"/>
      <c r="G561" s="35"/>
      <c r="H561" s="35"/>
      <c r="I561" s="35"/>
      <c r="J561" s="35"/>
      <c r="K561" s="35"/>
      <c r="L561" s="35"/>
      <c r="M561" s="35"/>
      <c r="N561" s="35"/>
      <c r="O561" s="35"/>
      <c r="P561" s="35"/>
      <c r="Q561" s="35"/>
      <c r="R561" s="35"/>
      <c r="S561" s="35"/>
      <c r="T561" s="35"/>
      <c r="U561" s="35"/>
      <c r="V561" s="35"/>
      <c r="W561" s="35"/>
      <c r="X561" s="35"/>
      <c r="Y561" s="35"/>
      <c r="Z561" s="35"/>
    </row>
    <row r="562" ht="12.75" customHeight="1">
      <c r="A562" s="35"/>
      <c r="B562" s="35"/>
      <c r="C562" s="35"/>
      <c r="D562" s="35"/>
      <c r="E562" s="35"/>
      <c r="F562" s="35"/>
      <c r="G562" s="35"/>
      <c r="H562" s="35"/>
      <c r="I562" s="35"/>
      <c r="J562" s="35"/>
      <c r="K562" s="35"/>
      <c r="L562" s="35"/>
      <c r="M562" s="35"/>
      <c r="N562" s="35"/>
      <c r="O562" s="35"/>
      <c r="P562" s="35"/>
      <c r="Q562" s="35"/>
      <c r="R562" s="35"/>
      <c r="S562" s="35"/>
      <c r="T562" s="35"/>
      <c r="U562" s="35"/>
      <c r="V562" s="35"/>
      <c r="W562" s="35"/>
      <c r="X562" s="35"/>
      <c r="Y562" s="35"/>
      <c r="Z562" s="35"/>
    </row>
    <row r="563" ht="12.75" customHeight="1">
      <c r="A563" s="35"/>
      <c r="B563" s="35"/>
      <c r="C563" s="35"/>
      <c r="D563" s="35"/>
      <c r="E563" s="35"/>
      <c r="F563" s="35"/>
      <c r="G563" s="35"/>
      <c r="H563" s="35"/>
      <c r="I563" s="35"/>
      <c r="J563" s="35"/>
      <c r="K563" s="35"/>
      <c r="L563" s="35"/>
      <c r="M563" s="35"/>
      <c r="N563" s="35"/>
      <c r="O563" s="35"/>
      <c r="P563" s="35"/>
      <c r="Q563" s="35"/>
      <c r="R563" s="35"/>
      <c r="S563" s="35"/>
      <c r="T563" s="35"/>
      <c r="U563" s="35"/>
      <c r="V563" s="35"/>
      <c r="W563" s="35"/>
      <c r="X563" s="35"/>
      <c r="Y563" s="35"/>
      <c r="Z563" s="35"/>
    </row>
    <row r="564" ht="12.75" customHeight="1">
      <c r="A564" s="35"/>
      <c r="B564" s="35"/>
      <c r="C564" s="35"/>
      <c r="D564" s="35"/>
      <c r="E564" s="35"/>
      <c r="F564" s="35"/>
      <c r="G564" s="35"/>
      <c r="H564" s="35"/>
      <c r="I564" s="35"/>
      <c r="J564" s="35"/>
      <c r="K564" s="35"/>
      <c r="L564" s="35"/>
      <c r="M564" s="35"/>
      <c r="N564" s="35"/>
      <c r="O564" s="35"/>
      <c r="P564" s="35"/>
      <c r="Q564" s="35"/>
      <c r="R564" s="35"/>
      <c r="S564" s="35"/>
      <c r="T564" s="35"/>
      <c r="U564" s="35"/>
      <c r="V564" s="35"/>
      <c r="W564" s="35"/>
      <c r="X564" s="35"/>
      <c r="Y564" s="35"/>
      <c r="Z564" s="35"/>
    </row>
    <row r="565" ht="12.75" customHeight="1">
      <c r="A565" s="35"/>
      <c r="B565" s="35"/>
      <c r="C565" s="35"/>
      <c r="D565" s="35"/>
      <c r="E565" s="35"/>
      <c r="F565" s="35"/>
      <c r="G565" s="35"/>
      <c r="H565" s="35"/>
      <c r="I565" s="35"/>
      <c r="J565" s="35"/>
      <c r="K565" s="35"/>
      <c r="L565" s="35"/>
      <c r="M565" s="35"/>
      <c r="N565" s="35"/>
      <c r="O565" s="35"/>
      <c r="P565" s="35"/>
      <c r="Q565" s="35"/>
      <c r="R565" s="35"/>
      <c r="S565" s="35"/>
      <c r="T565" s="35"/>
      <c r="U565" s="35"/>
      <c r="V565" s="35"/>
      <c r="W565" s="35"/>
      <c r="X565" s="35"/>
      <c r="Y565" s="35"/>
      <c r="Z565" s="35"/>
    </row>
    <row r="566" ht="12.75" customHeight="1">
      <c r="A566" s="35"/>
      <c r="B566" s="35"/>
      <c r="C566" s="35"/>
      <c r="D566" s="35"/>
      <c r="E566" s="35"/>
      <c r="F566" s="35"/>
      <c r="G566" s="35"/>
      <c r="H566" s="35"/>
      <c r="I566" s="35"/>
      <c r="J566" s="35"/>
      <c r="K566" s="35"/>
      <c r="L566" s="35"/>
      <c r="M566" s="35"/>
      <c r="N566" s="35"/>
      <c r="O566" s="35"/>
      <c r="P566" s="35"/>
      <c r="Q566" s="35"/>
      <c r="R566" s="35"/>
      <c r="S566" s="35"/>
      <c r="T566" s="35"/>
      <c r="U566" s="35"/>
      <c r="V566" s="35"/>
      <c r="W566" s="35"/>
      <c r="X566" s="35"/>
      <c r="Y566" s="35"/>
      <c r="Z566" s="35"/>
    </row>
    <row r="567" ht="12.75" customHeight="1">
      <c r="A567" s="35"/>
      <c r="B567" s="35"/>
      <c r="C567" s="35"/>
      <c r="D567" s="35"/>
      <c r="E567" s="35"/>
      <c r="F567" s="35"/>
      <c r="G567" s="35"/>
      <c r="H567" s="35"/>
      <c r="I567" s="35"/>
      <c r="J567" s="35"/>
      <c r="K567" s="35"/>
      <c r="L567" s="35"/>
      <c r="M567" s="35"/>
      <c r="N567" s="35"/>
      <c r="O567" s="35"/>
      <c r="P567" s="35"/>
      <c r="Q567" s="35"/>
      <c r="R567" s="35"/>
      <c r="S567" s="35"/>
      <c r="T567" s="35"/>
      <c r="U567" s="35"/>
      <c r="V567" s="35"/>
      <c r="W567" s="35"/>
      <c r="X567" s="35"/>
      <c r="Y567" s="35"/>
      <c r="Z567" s="35"/>
    </row>
    <row r="568" ht="12.75" customHeight="1">
      <c r="A568" s="35"/>
      <c r="B568" s="35"/>
      <c r="C568" s="35"/>
      <c r="D568" s="35"/>
      <c r="E568" s="35"/>
      <c r="F568" s="35"/>
      <c r="G568" s="35"/>
      <c r="H568" s="35"/>
      <c r="I568" s="35"/>
      <c r="J568" s="35"/>
      <c r="K568" s="35"/>
      <c r="L568" s="35"/>
      <c r="M568" s="35"/>
      <c r="N568" s="35"/>
      <c r="O568" s="35"/>
      <c r="P568" s="35"/>
      <c r="Q568" s="35"/>
      <c r="R568" s="35"/>
      <c r="S568" s="35"/>
      <c r="T568" s="35"/>
      <c r="U568" s="35"/>
      <c r="V568" s="35"/>
      <c r="W568" s="35"/>
      <c r="X568" s="35"/>
      <c r="Y568" s="35"/>
      <c r="Z568" s="35"/>
    </row>
    <row r="569" ht="12.75" customHeight="1">
      <c r="A569" s="35"/>
      <c r="B569" s="35"/>
      <c r="C569" s="35"/>
      <c r="D569" s="35"/>
      <c r="E569" s="35"/>
      <c r="F569" s="35"/>
      <c r="G569" s="35"/>
      <c r="H569" s="35"/>
      <c r="I569" s="35"/>
      <c r="J569" s="35"/>
      <c r="K569" s="35"/>
      <c r="L569" s="35"/>
      <c r="M569" s="35"/>
      <c r="N569" s="35"/>
      <c r="O569" s="35"/>
      <c r="P569" s="35"/>
      <c r="Q569" s="35"/>
      <c r="R569" s="35"/>
      <c r="S569" s="35"/>
      <c r="T569" s="35"/>
      <c r="U569" s="35"/>
      <c r="V569" s="35"/>
      <c r="W569" s="35"/>
      <c r="X569" s="35"/>
      <c r="Y569" s="35"/>
      <c r="Z569" s="35"/>
    </row>
    <row r="570" ht="12.75" customHeight="1">
      <c r="A570" s="35"/>
      <c r="B570" s="35"/>
      <c r="C570" s="35"/>
      <c r="D570" s="35"/>
      <c r="E570" s="35"/>
      <c r="F570" s="35"/>
      <c r="G570" s="35"/>
      <c r="H570" s="35"/>
      <c r="I570" s="35"/>
      <c r="J570" s="35"/>
      <c r="K570" s="35"/>
      <c r="L570" s="35"/>
      <c r="M570" s="35"/>
      <c r="N570" s="35"/>
      <c r="O570" s="35"/>
      <c r="P570" s="35"/>
      <c r="Q570" s="35"/>
      <c r="R570" s="35"/>
      <c r="S570" s="35"/>
      <c r="T570" s="35"/>
      <c r="U570" s="35"/>
      <c r="V570" s="35"/>
      <c r="W570" s="35"/>
      <c r="X570" s="35"/>
      <c r="Y570" s="35"/>
      <c r="Z570" s="35"/>
    </row>
    <row r="571" ht="12.75" customHeight="1">
      <c r="A571" s="35"/>
      <c r="B571" s="35"/>
      <c r="C571" s="35"/>
      <c r="D571" s="35"/>
      <c r="E571" s="35"/>
      <c r="F571" s="35"/>
      <c r="G571" s="35"/>
      <c r="H571" s="35"/>
      <c r="I571" s="35"/>
      <c r="J571" s="35"/>
      <c r="K571" s="35"/>
      <c r="L571" s="35"/>
      <c r="M571" s="35"/>
      <c r="N571" s="35"/>
      <c r="O571" s="35"/>
      <c r="P571" s="35"/>
      <c r="Q571" s="35"/>
      <c r="R571" s="35"/>
      <c r="S571" s="35"/>
      <c r="T571" s="35"/>
      <c r="U571" s="35"/>
      <c r="V571" s="35"/>
      <c r="W571" s="35"/>
      <c r="X571" s="35"/>
      <c r="Y571" s="35"/>
      <c r="Z571" s="35"/>
    </row>
    <row r="572" ht="12.75" customHeight="1">
      <c r="A572" s="35"/>
      <c r="B572" s="35"/>
      <c r="C572" s="35"/>
      <c r="D572" s="35"/>
      <c r="E572" s="35"/>
      <c r="F572" s="35"/>
      <c r="G572" s="35"/>
      <c r="H572" s="35"/>
      <c r="I572" s="35"/>
      <c r="J572" s="35"/>
      <c r="K572" s="35"/>
      <c r="L572" s="35"/>
      <c r="M572" s="35"/>
      <c r="N572" s="35"/>
      <c r="O572" s="35"/>
      <c r="P572" s="35"/>
      <c r="Q572" s="35"/>
      <c r="R572" s="35"/>
      <c r="S572" s="35"/>
      <c r="T572" s="35"/>
      <c r="U572" s="35"/>
      <c r="V572" s="35"/>
      <c r="W572" s="35"/>
      <c r="X572" s="35"/>
      <c r="Y572" s="35"/>
      <c r="Z572" s="35"/>
    </row>
    <row r="573" ht="12.75" customHeight="1">
      <c r="A573" s="35"/>
      <c r="B573" s="35"/>
      <c r="C573" s="35"/>
      <c r="D573" s="35"/>
      <c r="E573" s="35"/>
      <c r="F573" s="35"/>
      <c r="G573" s="35"/>
      <c r="H573" s="35"/>
      <c r="I573" s="35"/>
      <c r="J573" s="35"/>
      <c r="K573" s="35"/>
      <c r="L573" s="35"/>
      <c r="M573" s="35"/>
      <c r="N573" s="35"/>
      <c r="O573" s="35"/>
      <c r="P573" s="35"/>
      <c r="Q573" s="35"/>
      <c r="R573" s="35"/>
      <c r="S573" s="35"/>
      <c r="T573" s="35"/>
      <c r="U573" s="35"/>
      <c r="V573" s="35"/>
      <c r="W573" s="35"/>
      <c r="X573" s="35"/>
      <c r="Y573" s="35"/>
      <c r="Z573" s="35"/>
    </row>
    <row r="574" ht="12.75" customHeight="1">
      <c r="A574" s="35"/>
      <c r="B574" s="35"/>
      <c r="C574" s="35"/>
      <c r="D574" s="35"/>
      <c r="E574" s="35"/>
      <c r="F574" s="35"/>
      <c r="G574" s="35"/>
      <c r="H574" s="35"/>
      <c r="I574" s="35"/>
      <c r="J574" s="35"/>
      <c r="K574" s="35"/>
      <c r="L574" s="35"/>
      <c r="M574" s="35"/>
      <c r="N574" s="35"/>
      <c r="O574" s="35"/>
      <c r="P574" s="35"/>
      <c r="Q574" s="35"/>
      <c r="R574" s="35"/>
      <c r="S574" s="35"/>
      <c r="T574" s="35"/>
      <c r="U574" s="35"/>
      <c r="V574" s="35"/>
      <c r="W574" s="35"/>
      <c r="X574" s="35"/>
      <c r="Y574" s="35"/>
      <c r="Z574" s="35"/>
    </row>
    <row r="575" ht="12.75" customHeight="1">
      <c r="A575" s="35"/>
      <c r="B575" s="35"/>
      <c r="C575" s="35"/>
      <c r="D575" s="35"/>
      <c r="E575" s="35"/>
      <c r="F575" s="35"/>
      <c r="G575" s="35"/>
      <c r="H575" s="35"/>
      <c r="I575" s="35"/>
      <c r="J575" s="35"/>
      <c r="K575" s="35"/>
      <c r="L575" s="35"/>
      <c r="M575" s="35"/>
      <c r="N575" s="35"/>
      <c r="O575" s="35"/>
      <c r="P575" s="35"/>
      <c r="Q575" s="35"/>
      <c r="R575" s="35"/>
      <c r="S575" s="35"/>
      <c r="T575" s="35"/>
      <c r="U575" s="35"/>
      <c r="V575" s="35"/>
      <c r="W575" s="35"/>
      <c r="X575" s="35"/>
      <c r="Y575" s="35"/>
      <c r="Z575" s="35"/>
    </row>
    <row r="576" ht="12.75" customHeight="1">
      <c r="A576" s="35"/>
      <c r="B576" s="35"/>
      <c r="C576" s="35"/>
      <c r="D576" s="35"/>
      <c r="E576" s="35"/>
      <c r="F576" s="35"/>
      <c r="G576" s="35"/>
      <c r="H576" s="35"/>
      <c r="I576" s="35"/>
      <c r="J576" s="35"/>
      <c r="K576" s="35"/>
      <c r="L576" s="35"/>
      <c r="M576" s="35"/>
      <c r="N576" s="35"/>
      <c r="O576" s="35"/>
      <c r="P576" s="35"/>
      <c r="Q576" s="35"/>
      <c r="R576" s="35"/>
      <c r="S576" s="35"/>
      <c r="T576" s="35"/>
      <c r="U576" s="35"/>
      <c r="V576" s="35"/>
      <c r="W576" s="35"/>
      <c r="X576" s="35"/>
      <c r="Y576" s="35"/>
      <c r="Z576" s="35"/>
    </row>
    <row r="577" ht="12.75" customHeight="1">
      <c r="A577" s="35"/>
      <c r="B577" s="35"/>
      <c r="C577" s="35"/>
      <c r="D577" s="35"/>
      <c r="E577" s="35"/>
      <c r="F577" s="35"/>
      <c r="G577" s="35"/>
      <c r="H577" s="35"/>
      <c r="I577" s="35"/>
      <c r="J577" s="35"/>
      <c r="K577" s="35"/>
      <c r="L577" s="35"/>
      <c r="M577" s="35"/>
      <c r="N577" s="35"/>
      <c r="O577" s="35"/>
      <c r="P577" s="35"/>
      <c r="Q577" s="35"/>
      <c r="R577" s="35"/>
      <c r="S577" s="35"/>
      <c r="T577" s="35"/>
      <c r="U577" s="35"/>
      <c r="V577" s="35"/>
      <c r="W577" s="35"/>
      <c r="X577" s="35"/>
      <c r="Y577" s="35"/>
      <c r="Z577" s="35"/>
    </row>
    <row r="578" ht="12.75" customHeight="1">
      <c r="A578" s="35"/>
      <c r="B578" s="35"/>
      <c r="C578" s="35"/>
      <c r="D578" s="35"/>
      <c r="E578" s="35"/>
      <c r="F578" s="35"/>
      <c r="G578" s="35"/>
      <c r="H578" s="35"/>
      <c r="I578" s="35"/>
      <c r="J578" s="35"/>
      <c r="K578" s="35"/>
      <c r="L578" s="35"/>
      <c r="M578" s="35"/>
      <c r="N578" s="35"/>
      <c r="O578" s="35"/>
      <c r="P578" s="35"/>
      <c r="Q578" s="35"/>
      <c r="R578" s="35"/>
      <c r="S578" s="35"/>
      <c r="T578" s="35"/>
      <c r="U578" s="35"/>
      <c r="V578" s="35"/>
      <c r="W578" s="35"/>
      <c r="X578" s="35"/>
      <c r="Y578" s="35"/>
      <c r="Z578" s="35"/>
    </row>
    <row r="579" ht="12.75" customHeight="1">
      <c r="A579" s="35"/>
      <c r="B579" s="35"/>
      <c r="C579" s="35"/>
      <c r="D579" s="35"/>
      <c r="E579" s="35"/>
      <c r="F579" s="35"/>
      <c r="G579" s="35"/>
      <c r="H579" s="35"/>
      <c r="I579" s="35"/>
      <c r="J579" s="35"/>
      <c r="K579" s="35"/>
      <c r="L579" s="35"/>
      <c r="M579" s="35"/>
      <c r="N579" s="35"/>
      <c r="O579" s="35"/>
      <c r="P579" s="35"/>
      <c r="Q579" s="35"/>
      <c r="R579" s="35"/>
      <c r="S579" s="35"/>
      <c r="T579" s="35"/>
      <c r="U579" s="35"/>
      <c r="V579" s="35"/>
      <c r="W579" s="35"/>
      <c r="X579" s="35"/>
      <c r="Y579" s="35"/>
      <c r="Z579" s="35"/>
    </row>
    <row r="580" ht="12.75" customHeight="1">
      <c r="A580" s="35"/>
      <c r="B580" s="35"/>
      <c r="C580" s="35"/>
      <c r="D580" s="35"/>
      <c r="E580" s="35"/>
      <c r="F580" s="35"/>
      <c r="G580" s="35"/>
      <c r="H580" s="35"/>
      <c r="I580" s="35"/>
      <c r="J580" s="35"/>
      <c r="K580" s="35"/>
      <c r="L580" s="35"/>
      <c r="M580" s="35"/>
      <c r="N580" s="35"/>
      <c r="O580" s="35"/>
      <c r="P580" s="35"/>
      <c r="Q580" s="35"/>
      <c r="R580" s="35"/>
      <c r="S580" s="35"/>
      <c r="T580" s="35"/>
      <c r="U580" s="35"/>
      <c r="V580" s="35"/>
      <c r="W580" s="35"/>
      <c r="X580" s="35"/>
      <c r="Y580" s="35"/>
      <c r="Z580" s="35"/>
    </row>
    <row r="581" ht="12.75" customHeight="1">
      <c r="A581" s="35"/>
      <c r="B581" s="35"/>
      <c r="C581" s="35"/>
      <c r="D581" s="35"/>
      <c r="E581" s="35"/>
      <c r="F581" s="35"/>
      <c r="G581" s="35"/>
      <c r="H581" s="35"/>
      <c r="I581" s="35"/>
      <c r="J581" s="35"/>
      <c r="K581" s="35"/>
      <c r="L581" s="35"/>
      <c r="M581" s="35"/>
      <c r="N581" s="35"/>
      <c r="O581" s="35"/>
      <c r="P581" s="35"/>
      <c r="Q581" s="35"/>
      <c r="R581" s="35"/>
      <c r="S581" s="35"/>
      <c r="T581" s="35"/>
      <c r="U581" s="35"/>
      <c r="V581" s="35"/>
      <c r="W581" s="35"/>
      <c r="X581" s="35"/>
      <c r="Y581" s="35"/>
      <c r="Z581" s="35"/>
    </row>
    <row r="582" ht="12.75" customHeight="1">
      <c r="A582" s="35"/>
      <c r="B582" s="35"/>
      <c r="C582" s="35"/>
      <c r="D582" s="35"/>
      <c r="E582" s="35"/>
      <c r="F582" s="35"/>
      <c r="G582" s="35"/>
      <c r="H582" s="35"/>
      <c r="I582" s="35"/>
      <c r="J582" s="35"/>
      <c r="K582" s="35"/>
      <c r="L582" s="35"/>
      <c r="M582" s="35"/>
      <c r="N582" s="35"/>
      <c r="O582" s="35"/>
      <c r="P582" s="35"/>
      <c r="Q582" s="35"/>
      <c r="R582" s="35"/>
      <c r="S582" s="35"/>
      <c r="T582" s="35"/>
      <c r="U582" s="35"/>
      <c r="V582" s="35"/>
      <c r="W582" s="35"/>
      <c r="X582" s="35"/>
      <c r="Y582" s="35"/>
      <c r="Z582" s="35"/>
    </row>
    <row r="583" ht="12.75" customHeight="1">
      <c r="A583" s="35"/>
      <c r="B583" s="35"/>
      <c r="C583" s="35"/>
      <c r="D583" s="35"/>
      <c r="E583" s="35"/>
      <c r="F583" s="35"/>
      <c r="G583" s="35"/>
      <c r="H583" s="35"/>
      <c r="I583" s="35"/>
      <c r="J583" s="35"/>
      <c r="K583" s="35"/>
      <c r="L583" s="35"/>
      <c r="M583" s="35"/>
      <c r="N583" s="35"/>
      <c r="O583" s="35"/>
      <c r="P583" s="35"/>
      <c r="Q583" s="35"/>
      <c r="R583" s="35"/>
      <c r="S583" s="35"/>
      <c r="T583" s="35"/>
      <c r="U583" s="35"/>
      <c r="V583" s="35"/>
      <c r="W583" s="35"/>
      <c r="X583" s="35"/>
      <c r="Y583" s="35"/>
      <c r="Z583" s="35"/>
    </row>
    <row r="584" ht="12.75" customHeight="1">
      <c r="A584" s="35"/>
      <c r="B584" s="35"/>
      <c r="C584" s="35"/>
      <c r="D584" s="35"/>
      <c r="E584" s="35"/>
      <c r="F584" s="35"/>
      <c r="G584" s="35"/>
      <c r="H584" s="35"/>
      <c r="I584" s="35"/>
      <c r="J584" s="35"/>
      <c r="K584" s="35"/>
      <c r="L584" s="35"/>
      <c r="M584" s="35"/>
      <c r="N584" s="35"/>
      <c r="O584" s="35"/>
      <c r="P584" s="35"/>
      <c r="Q584" s="35"/>
      <c r="R584" s="35"/>
      <c r="S584" s="35"/>
      <c r="T584" s="35"/>
      <c r="U584" s="35"/>
      <c r="V584" s="35"/>
      <c r="W584" s="35"/>
      <c r="X584" s="35"/>
      <c r="Y584" s="35"/>
      <c r="Z584" s="35"/>
    </row>
    <row r="585" ht="12.75" customHeight="1">
      <c r="A585" s="35"/>
      <c r="B585" s="35"/>
      <c r="C585" s="35"/>
      <c r="D585" s="35"/>
      <c r="E585" s="35"/>
      <c r="F585" s="35"/>
      <c r="G585" s="35"/>
      <c r="H585" s="35"/>
      <c r="I585" s="35"/>
      <c r="J585" s="35"/>
      <c r="K585" s="35"/>
      <c r="L585" s="35"/>
      <c r="M585" s="35"/>
      <c r="N585" s="35"/>
      <c r="O585" s="35"/>
      <c r="P585" s="35"/>
      <c r="Q585" s="35"/>
      <c r="R585" s="35"/>
      <c r="S585" s="35"/>
      <c r="T585" s="35"/>
      <c r="U585" s="35"/>
      <c r="V585" s="35"/>
      <c r="W585" s="35"/>
      <c r="X585" s="35"/>
      <c r="Y585" s="35"/>
      <c r="Z585" s="35"/>
    </row>
    <row r="586" ht="12.75" customHeight="1">
      <c r="A586" s="35"/>
      <c r="B586" s="35"/>
      <c r="C586" s="35"/>
      <c r="D586" s="35"/>
      <c r="E586" s="35"/>
      <c r="F586" s="35"/>
      <c r="G586" s="35"/>
      <c r="H586" s="35"/>
      <c r="I586" s="35"/>
      <c r="J586" s="35"/>
      <c r="K586" s="35"/>
      <c r="L586" s="35"/>
      <c r="M586" s="35"/>
      <c r="N586" s="35"/>
      <c r="O586" s="35"/>
      <c r="P586" s="35"/>
      <c r="Q586" s="35"/>
      <c r="R586" s="35"/>
      <c r="S586" s="35"/>
      <c r="T586" s="35"/>
      <c r="U586" s="35"/>
      <c r="V586" s="35"/>
      <c r="W586" s="35"/>
      <c r="X586" s="35"/>
      <c r="Y586" s="35"/>
      <c r="Z586" s="35"/>
    </row>
    <row r="587" ht="12.75" customHeight="1">
      <c r="A587" s="35"/>
      <c r="B587" s="35"/>
      <c r="C587" s="35"/>
      <c r="D587" s="35"/>
      <c r="E587" s="35"/>
      <c r="F587" s="35"/>
      <c r="G587" s="35"/>
      <c r="H587" s="35"/>
      <c r="I587" s="35"/>
      <c r="J587" s="35"/>
      <c r="K587" s="35"/>
      <c r="L587" s="35"/>
      <c r="M587" s="35"/>
      <c r="N587" s="35"/>
      <c r="O587" s="35"/>
      <c r="P587" s="35"/>
      <c r="Q587" s="35"/>
      <c r="R587" s="35"/>
      <c r="S587" s="35"/>
      <c r="T587" s="35"/>
      <c r="U587" s="35"/>
      <c r="V587" s="35"/>
      <c r="W587" s="35"/>
      <c r="X587" s="35"/>
      <c r="Y587" s="35"/>
      <c r="Z587" s="35"/>
    </row>
    <row r="588" ht="12.75" customHeight="1">
      <c r="A588" s="35"/>
      <c r="B588" s="35"/>
      <c r="C588" s="35"/>
      <c r="D588" s="35"/>
      <c r="E588" s="35"/>
      <c r="F588" s="35"/>
      <c r="G588" s="35"/>
      <c r="H588" s="35"/>
      <c r="I588" s="35"/>
      <c r="J588" s="35"/>
      <c r="K588" s="35"/>
      <c r="L588" s="35"/>
      <c r="M588" s="35"/>
      <c r="N588" s="35"/>
      <c r="O588" s="35"/>
      <c r="P588" s="35"/>
      <c r="Q588" s="35"/>
      <c r="R588" s="35"/>
      <c r="S588" s="35"/>
      <c r="T588" s="35"/>
      <c r="U588" s="35"/>
      <c r="V588" s="35"/>
      <c r="W588" s="35"/>
      <c r="X588" s="35"/>
      <c r="Y588" s="35"/>
      <c r="Z588" s="35"/>
    </row>
    <row r="589" ht="12.75" customHeight="1">
      <c r="A589" s="35"/>
      <c r="B589" s="35"/>
      <c r="C589" s="35"/>
      <c r="D589" s="35"/>
      <c r="E589" s="35"/>
      <c r="F589" s="35"/>
      <c r="G589" s="35"/>
      <c r="H589" s="35"/>
      <c r="I589" s="35"/>
      <c r="J589" s="35"/>
      <c r="K589" s="35"/>
      <c r="L589" s="35"/>
      <c r="M589" s="35"/>
      <c r="N589" s="35"/>
      <c r="O589" s="35"/>
      <c r="P589" s="35"/>
      <c r="Q589" s="35"/>
      <c r="R589" s="35"/>
      <c r="S589" s="35"/>
      <c r="T589" s="35"/>
      <c r="U589" s="35"/>
      <c r="V589" s="35"/>
      <c r="W589" s="35"/>
      <c r="X589" s="35"/>
      <c r="Y589" s="35"/>
      <c r="Z589" s="35"/>
    </row>
    <row r="590" ht="12.75" customHeight="1">
      <c r="A590" s="35"/>
      <c r="B590" s="35"/>
      <c r="C590" s="35"/>
      <c r="D590" s="35"/>
      <c r="E590" s="35"/>
      <c r="F590" s="35"/>
      <c r="G590" s="35"/>
      <c r="H590" s="35"/>
      <c r="I590" s="35"/>
      <c r="J590" s="35"/>
      <c r="K590" s="35"/>
      <c r="L590" s="35"/>
      <c r="M590" s="35"/>
      <c r="N590" s="35"/>
      <c r="O590" s="35"/>
      <c r="P590" s="35"/>
      <c r="Q590" s="35"/>
      <c r="R590" s="35"/>
      <c r="S590" s="35"/>
      <c r="T590" s="35"/>
      <c r="U590" s="35"/>
      <c r="V590" s="35"/>
      <c r="W590" s="35"/>
      <c r="X590" s="35"/>
      <c r="Y590" s="35"/>
      <c r="Z590" s="35"/>
    </row>
    <row r="591" ht="12.75" customHeight="1">
      <c r="A591" s="35"/>
      <c r="B591" s="35"/>
      <c r="C591" s="35"/>
      <c r="D591" s="35"/>
      <c r="E591" s="35"/>
      <c r="F591" s="35"/>
      <c r="G591" s="35"/>
      <c r="H591" s="35"/>
      <c r="I591" s="35"/>
      <c r="J591" s="35"/>
      <c r="K591" s="35"/>
      <c r="L591" s="35"/>
      <c r="M591" s="35"/>
      <c r="N591" s="35"/>
      <c r="O591" s="35"/>
      <c r="P591" s="35"/>
      <c r="Q591" s="35"/>
      <c r="R591" s="35"/>
      <c r="S591" s="35"/>
      <c r="T591" s="35"/>
      <c r="U591" s="35"/>
      <c r="V591" s="35"/>
      <c r="W591" s="35"/>
      <c r="X591" s="35"/>
      <c r="Y591" s="35"/>
      <c r="Z591" s="35"/>
    </row>
    <row r="592" ht="12.75" customHeight="1">
      <c r="A592" s="35"/>
      <c r="B592" s="35"/>
      <c r="C592" s="35"/>
      <c r="D592" s="35"/>
      <c r="E592" s="35"/>
      <c r="F592" s="35"/>
      <c r="G592" s="35"/>
      <c r="H592" s="35"/>
      <c r="I592" s="35"/>
      <c r="J592" s="35"/>
      <c r="K592" s="35"/>
      <c r="L592" s="35"/>
      <c r="M592" s="35"/>
      <c r="N592" s="35"/>
      <c r="O592" s="35"/>
      <c r="P592" s="35"/>
      <c r="Q592" s="35"/>
      <c r="R592" s="35"/>
      <c r="S592" s="35"/>
      <c r="T592" s="35"/>
      <c r="U592" s="35"/>
      <c r="V592" s="35"/>
      <c r="W592" s="35"/>
      <c r="X592" s="35"/>
      <c r="Y592" s="35"/>
      <c r="Z592" s="35"/>
    </row>
    <row r="593" ht="12.75" customHeight="1">
      <c r="A593" s="35"/>
      <c r="B593" s="35"/>
      <c r="C593" s="35"/>
      <c r="D593" s="35"/>
      <c r="E593" s="35"/>
      <c r="F593" s="35"/>
      <c r="G593" s="35"/>
      <c r="H593" s="35"/>
      <c r="I593" s="35"/>
      <c r="J593" s="35"/>
      <c r="K593" s="35"/>
      <c r="L593" s="35"/>
      <c r="M593" s="35"/>
      <c r="N593" s="35"/>
      <c r="O593" s="35"/>
      <c r="P593" s="35"/>
      <c r="Q593" s="35"/>
      <c r="R593" s="35"/>
      <c r="S593" s="35"/>
      <c r="T593" s="35"/>
      <c r="U593" s="35"/>
      <c r="V593" s="35"/>
      <c r="W593" s="35"/>
      <c r="X593" s="35"/>
      <c r="Y593" s="35"/>
      <c r="Z593" s="35"/>
    </row>
    <row r="594" ht="12.75" customHeight="1">
      <c r="A594" s="35"/>
      <c r="B594" s="35"/>
      <c r="C594" s="35"/>
      <c r="D594" s="35"/>
      <c r="E594" s="35"/>
      <c r="F594" s="35"/>
      <c r="G594" s="35"/>
      <c r="H594" s="35"/>
      <c r="I594" s="35"/>
      <c r="J594" s="35"/>
      <c r="K594" s="35"/>
      <c r="L594" s="35"/>
      <c r="M594" s="35"/>
      <c r="N594" s="35"/>
      <c r="O594" s="35"/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5"/>
    </row>
    <row r="595" ht="12.75" customHeight="1">
      <c r="A595" s="35"/>
      <c r="B595" s="35"/>
      <c r="C595" s="35"/>
      <c r="D595" s="35"/>
      <c r="E595" s="35"/>
      <c r="F595" s="35"/>
      <c r="G595" s="35"/>
      <c r="H595" s="35"/>
      <c r="I595" s="35"/>
      <c r="J595" s="35"/>
      <c r="K595" s="35"/>
      <c r="L595" s="35"/>
      <c r="M595" s="35"/>
      <c r="N595" s="35"/>
      <c r="O595" s="35"/>
      <c r="P595" s="35"/>
      <c r="Q595" s="35"/>
      <c r="R595" s="35"/>
      <c r="S595" s="35"/>
      <c r="T595" s="35"/>
      <c r="U595" s="35"/>
      <c r="V595" s="35"/>
      <c r="W595" s="35"/>
      <c r="X595" s="35"/>
      <c r="Y595" s="35"/>
      <c r="Z595" s="35"/>
    </row>
    <row r="596" ht="12.75" customHeight="1">
      <c r="A596" s="35"/>
      <c r="B596" s="35"/>
      <c r="C596" s="35"/>
      <c r="D596" s="35"/>
      <c r="E596" s="35"/>
      <c r="F596" s="35"/>
      <c r="G596" s="35"/>
      <c r="H596" s="35"/>
      <c r="I596" s="35"/>
      <c r="J596" s="35"/>
      <c r="K596" s="35"/>
      <c r="L596" s="35"/>
      <c r="M596" s="35"/>
      <c r="N596" s="35"/>
      <c r="O596" s="35"/>
      <c r="P596" s="35"/>
      <c r="Q596" s="35"/>
      <c r="R596" s="35"/>
      <c r="S596" s="35"/>
      <c r="T596" s="35"/>
      <c r="U596" s="35"/>
      <c r="V596" s="35"/>
      <c r="W596" s="35"/>
      <c r="X596" s="35"/>
      <c r="Y596" s="35"/>
      <c r="Z596" s="35"/>
    </row>
    <row r="597" ht="12.75" customHeight="1">
      <c r="A597" s="35"/>
      <c r="B597" s="35"/>
      <c r="C597" s="35"/>
      <c r="D597" s="35"/>
      <c r="E597" s="35"/>
      <c r="F597" s="35"/>
      <c r="G597" s="35"/>
      <c r="H597" s="35"/>
      <c r="I597" s="35"/>
      <c r="J597" s="35"/>
      <c r="K597" s="35"/>
      <c r="L597" s="35"/>
      <c r="M597" s="35"/>
      <c r="N597" s="35"/>
      <c r="O597" s="35"/>
      <c r="P597" s="35"/>
      <c r="Q597" s="35"/>
      <c r="R597" s="35"/>
      <c r="S597" s="35"/>
      <c r="T597" s="35"/>
      <c r="U597" s="35"/>
      <c r="V597" s="35"/>
      <c r="W597" s="35"/>
      <c r="X597" s="35"/>
      <c r="Y597" s="35"/>
      <c r="Z597" s="35"/>
    </row>
    <row r="598" ht="12.75" customHeight="1">
      <c r="A598" s="35"/>
      <c r="B598" s="35"/>
      <c r="C598" s="35"/>
      <c r="D598" s="35"/>
      <c r="E598" s="35"/>
      <c r="F598" s="35"/>
      <c r="G598" s="35"/>
      <c r="H598" s="35"/>
      <c r="I598" s="35"/>
      <c r="J598" s="35"/>
      <c r="K598" s="35"/>
      <c r="L598" s="35"/>
      <c r="M598" s="35"/>
      <c r="N598" s="35"/>
      <c r="O598" s="35"/>
      <c r="P598" s="35"/>
      <c r="Q598" s="35"/>
      <c r="R598" s="35"/>
      <c r="S598" s="35"/>
      <c r="T598" s="35"/>
      <c r="U598" s="35"/>
      <c r="V598" s="35"/>
      <c r="W598" s="35"/>
      <c r="X598" s="35"/>
      <c r="Y598" s="35"/>
      <c r="Z598" s="35"/>
    </row>
    <row r="599" ht="12.75" customHeight="1">
      <c r="A599" s="35"/>
      <c r="B599" s="35"/>
      <c r="C599" s="35"/>
      <c r="D599" s="35"/>
      <c r="E599" s="35"/>
      <c r="F599" s="35"/>
      <c r="G599" s="35"/>
      <c r="H599" s="35"/>
      <c r="I599" s="35"/>
      <c r="J599" s="35"/>
      <c r="K599" s="35"/>
      <c r="L599" s="35"/>
      <c r="M599" s="35"/>
      <c r="N599" s="35"/>
      <c r="O599" s="35"/>
      <c r="P599" s="35"/>
      <c r="Q599" s="35"/>
      <c r="R599" s="35"/>
      <c r="S599" s="35"/>
      <c r="T599" s="35"/>
      <c r="U599" s="35"/>
      <c r="V599" s="35"/>
      <c r="W599" s="35"/>
      <c r="X599" s="35"/>
      <c r="Y599" s="35"/>
      <c r="Z599" s="35"/>
    </row>
    <row r="600" ht="12.75" customHeight="1">
      <c r="A600" s="35"/>
      <c r="B600" s="35"/>
      <c r="C600" s="35"/>
      <c r="D600" s="35"/>
      <c r="E600" s="35"/>
      <c r="F600" s="35"/>
      <c r="G600" s="35"/>
      <c r="H600" s="35"/>
      <c r="I600" s="35"/>
      <c r="J600" s="35"/>
      <c r="K600" s="35"/>
      <c r="L600" s="35"/>
      <c r="M600" s="35"/>
      <c r="N600" s="35"/>
      <c r="O600" s="35"/>
      <c r="P600" s="35"/>
      <c r="Q600" s="35"/>
      <c r="R600" s="35"/>
      <c r="S600" s="35"/>
      <c r="T600" s="35"/>
      <c r="U600" s="35"/>
      <c r="V600" s="35"/>
      <c r="W600" s="35"/>
      <c r="X600" s="35"/>
      <c r="Y600" s="35"/>
      <c r="Z600" s="35"/>
    </row>
    <row r="601" ht="12.75" customHeight="1">
      <c r="A601" s="35"/>
      <c r="B601" s="35"/>
      <c r="C601" s="35"/>
      <c r="D601" s="35"/>
      <c r="E601" s="35"/>
      <c r="F601" s="35"/>
      <c r="G601" s="35"/>
      <c r="H601" s="35"/>
      <c r="I601" s="35"/>
      <c r="J601" s="35"/>
      <c r="K601" s="35"/>
      <c r="L601" s="35"/>
      <c r="M601" s="35"/>
      <c r="N601" s="35"/>
      <c r="O601" s="35"/>
      <c r="P601" s="35"/>
      <c r="Q601" s="35"/>
      <c r="R601" s="35"/>
      <c r="S601" s="35"/>
      <c r="T601" s="35"/>
      <c r="U601" s="35"/>
      <c r="V601" s="35"/>
      <c r="W601" s="35"/>
      <c r="X601" s="35"/>
      <c r="Y601" s="35"/>
      <c r="Z601" s="35"/>
    </row>
    <row r="602" ht="12.75" customHeight="1">
      <c r="A602" s="35"/>
      <c r="B602" s="35"/>
      <c r="C602" s="35"/>
      <c r="D602" s="35"/>
      <c r="E602" s="35"/>
      <c r="F602" s="35"/>
      <c r="G602" s="35"/>
      <c r="H602" s="35"/>
      <c r="I602" s="35"/>
      <c r="J602" s="35"/>
      <c r="K602" s="35"/>
      <c r="L602" s="35"/>
      <c r="M602" s="35"/>
      <c r="N602" s="35"/>
      <c r="O602" s="35"/>
      <c r="P602" s="35"/>
      <c r="Q602" s="35"/>
      <c r="R602" s="35"/>
      <c r="S602" s="35"/>
      <c r="T602" s="35"/>
      <c r="U602" s="35"/>
      <c r="V602" s="35"/>
      <c r="W602" s="35"/>
      <c r="X602" s="35"/>
      <c r="Y602" s="35"/>
      <c r="Z602" s="35"/>
    </row>
    <row r="603" ht="12.75" customHeight="1">
      <c r="A603" s="35"/>
      <c r="B603" s="35"/>
      <c r="C603" s="35"/>
      <c r="D603" s="35"/>
      <c r="E603" s="35"/>
      <c r="F603" s="35"/>
      <c r="G603" s="35"/>
      <c r="H603" s="35"/>
      <c r="I603" s="35"/>
      <c r="J603" s="35"/>
      <c r="K603" s="35"/>
      <c r="L603" s="35"/>
      <c r="M603" s="35"/>
      <c r="N603" s="35"/>
      <c r="O603" s="35"/>
      <c r="P603" s="35"/>
      <c r="Q603" s="35"/>
      <c r="R603" s="35"/>
      <c r="S603" s="35"/>
      <c r="T603" s="35"/>
      <c r="U603" s="35"/>
      <c r="V603" s="35"/>
      <c r="W603" s="35"/>
      <c r="X603" s="35"/>
      <c r="Y603" s="35"/>
      <c r="Z603" s="35"/>
    </row>
    <row r="604" ht="12.75" customHeight="1">
      <c r="A604" s="35"/>
      <c r="B604" s="35"/>
      <c r="C604" s="35"/>
      <c r="D604" s="35"/>
      <c r="E604" s="35"/>
      <c r="F604" s="35"/>
      <c r="G604" s="35"/>
      <c r="H604" s="35"/>
      <c r="I604" s="35"/>
      <c r="J604" s="35"/>
      <c r="K604" s="35"/>
      <c r="L604" s="35"/>
      <c r="M604" s="35"/>
      <c r="N604" s="35"/>
      <c r="O604" s="35"/>
      <c r="P604" s="35"/>
      <c r="Q604" s="35"/>
      <c r="R604" s="35"/>
      <c r="S604" s="35"/>
      <c r="T604" s="35"/>
      <c r="U604" s="35"/>
      <c r="V604" s="35"/>
      <c r="W604" s="35"/>
      <c r="X604" s="35"/>
      <c r="Y604" s="35"/>
      <c r="Z604" s="35"/>
    </row>
    <row r="605" ht="12.75" customHeight="1">
      <c r="A605" s="35"/>
      <c r="B605" s="35"/>
      <c r="C605" s="35"/>
      <c r="D605" s="35"/>
      <c r="E605" s="35"/>
      <c r="F605" s="35"/>
      <c r="G605" s="35"/>
      <c r="H605" s="35"/>
      <c r="I605" s="35"/>
      <c r="J605" s="35"/>
      <c r="K605" s="35"/>
      <c r="L605" s="35"/>
      <c r="M605" s="35"/>
      <c r="N605" s="35"/>
      <c r="O605" s="35"/>
      <c r="P605" s="35"/>
      <c r="Q605" s="35"/>
      <c r="R605" s="35"/>
      <c r="S605" s="35"/>
      <c r="T605" s="35"/>
      <c r="U605" s="35"/>
      <c r="V605" s="35"/>
      <c r="W605" s="35"/>
      <c r="X605" s="35"/>
      <c r="Y605" s="35"/>
      <c r="Z605" s="35"/>
    </row>
    <row r="606" ht="12.75" customHeight="1">
      <c r="A606" s="35"/>
      <c r="B606" s="35"/>
      <c r="C606" s="35"/>
      <c r="D606" s="35"/>
      <c r="E606" s="35"/>
      <c r="F606" s="35"/>
      <c r="G606" s="35"/>
      <c r="H606" s="35"/>
      <c r="I606" s="35"/>
      <c r="J606" s="35"/>
      <c r="K606" s="35"/>
      <c r="L606" s="35"/>
      <c r="M606" s="35"/>
      <c r="N606" s="35"/>
      <c r="O606" s="35"/>
      <c r="P606" s="35"/>
      <c r="Q606" s="35"/>
      <c r="R606" s="35"/>
      <c r="S606" s="35"/>
      <c r="T606" s="35"/>
      <c r="U606" s="35"/>
      <c r="V606" s="35"/>
      <c r="W606" s="35"/>
      <c r="X606" s="35"/>
      <c r="Y606" s="35"/>
      <c r="Z606" s="35"/>
    </row>
    <row r="607" ht="12.75" customHeight="1">
      <c r="A607" s="35"/>
      <c r="B607" s="35"/>
      <c r="C607" s="35"/>
      <c r="D607" s="35"/>
      <c r="E607" s="35"/>
      <c r="F607" s="35"/>
      <c r="G607" s="35"/>
      <c r="H607" s="35"/>
      <c r="I607" s="35"/>
      <c r="J607" s="35"/>
      <c r="K607" s="35"/>
      <c r="L607" s="35"/>
      <c r="M607" s="35"/>
      <c r="N607" s="35"/>
      <c r="O607" s="35"/>
      <c r="P607" s="35"/>
      <c r="Q607" s="35"/>
      <c r="R607" s="35"/>
      <c r="S607" s="35"/>
      <c r="T607" s="35"/>
      <c r="U607" s="35"/>
      <c r="V607" s="35"/>
      <c r="W607" s="35"/>
      <c r="X607" s="35"/>
      <c r="Y607" s="35"/>
      <c r="Z607" s="35"/>
    </row>
    <row r="608" ht="12.75" customHeight="1">
      <c r="A608" s="35"/>
      <c r="B608" s="35"/>
      <c r="C608" s="35"/>
      <c r="D608" s="35"/>
      <c r="E608" s="35"/>
      <c r="F608" s="35"/>
      <c r="G608" s="35"/>
      <c r="H608" s="35"/>
      <c r="I608" s="35"/>
      <c r="J608" s="35"/>
      <c r="K608" s="35"/>
      <c r="L608" s="35"/>
      <c r="M608" s="35"/>
      <c r="N608" s="35"/>
      <c r="O608" s="35"/>
      <c r="P608" s="35"/>
      <c r="Q608" s="35"/>
      <c r="R608" s="35"/>
      <c r="S608" s="35"/>
      <c r="T608" s="35"/>
      <c r="U608" s="35"/>
      <c r="V608" s="35"/>
      <c r="W608" s="35"/>
      <c r="X608" s="35"/>
      <c r="Y608" s="35"/>
      <c r="Z608" s="35"/>
    </row>
    <row r="609" ht="12.75" customHeight="1">
      <c r="A609" s="35"/>
      <c r="B609" s="35"/>
      <c r="C609" s="35"/>
      <c r="D609" s="35"/>
      <c r="E609" s="35"/>
      <c r="F609" s="35"/>
      <c r="G609" s="35"/>
      <c r="H609" s="35"/>
      <c r="I609" s="35"/>
      <c r="J609" s="35"/>
      <c r="K609" s="35"/>
      <c r="L609" s="35"/>
      <c r="M609" s="35"/>
      <c r="N609" s="35"/>
      <c r="O609" s="35"/>
      <c r="P609" s="35"/>
      <c r="Q609" s="35"/>
      <c r="R609" s="35"/>
      <c r="S609" s="35"/>
      <c r="T609" s="35"/>
      <c r="U609" s="35"/>
      <c r="V609" s="35"/>
      <c r="W609" s="35"/>
      <c r="X609" s="35"/>
      <c r="Y609" s="35"/>
      <c r="Z609" s="35"/>
    </row>
    <row r="610" ht="12.75" customHeight="1">
      <c r="A610" s="35"/>
      <c r="B610" s="35"/>
      <c r="C610" s="35"/>
      <c r="D610" s="35"/>
      <c r="E610" s="35"/>
      <c r="F610" s="35"/>
      <c r="G610" s="35"/>
      <c r="H610" s="35"/>
      <c r="I610" s="35"/>
      <c r="J610" s="35"/>
      <c r="K610" s="35"/>
      <c r="L610" s="35"/>
      <c r="M610" s="35"/>
      <c r="N610" s="35"/>
      <c r="O610" s="35"/>
      <c r="P610" s="35"/>
      <c r="Q610" s="35"/>
      <c r="R610" s="35"/>
      <c r="S610" s="35"/>
      <c r="T610" s="35"/>
      <c r="U610" s="35"/>
      <c r="V610" s="35"/>
      <c r="W610" s="35"/>
      <c r="X610" s="35"/>
      <c r="Y610" s="35"/>
      <c r="Z610" s="35"/>
    </row>
    <row r="611" ht="12.75" customHeight="1">
      <c r="A611" s="35"/>
      <c r="B611" s="35"/>
      <c r="C611" s="35"/>
      <c r="D611" s="35"/>
      <c r="E611" s="35"/>
      <c r="F611" s="35"/>
      <c r="G611" s="35"/>
      <c r="H611" s="35"/>
      <c r="I611" s="35"/>
      <c r="J611" s="35"/>
      <c r="K611" s="35"/>
      <c r="L611" s="35"/>
      <c r="M611" s="35"/>
      <c r="N611" s="35"/>
      <c r="O611" s="35"/>
      <c r="P611" s="35"/>
      <c r="Q611" s="35"/>
      <c r="R611" s="35"/>
      <c r="S611" s="35"/>
      <c r="T611" s="35"/>
      <c r="U611" s="35"/>
      <c r="V611" s="35"/>
      <c r="W611" s="35"/>
      <c r="X611" s="35"/>
      <c r="Y611" s="35"/>
      <c r="Z611" s="35"/>
    </row>
    <row r="612" ht="12.75" customHeight="1">
      <c r="A612" s="35"/>
      <c r="B612" s="35"/>
      <c r="C612" s="35"/>
      <c r="D612" s="35"/>
      <c r="E612" s="35"/>
      <c r="F612" s="35"/>
      <c r="G612" s="35"/>
      <c r="H612" s="35"/>
      <c r="I612" s="35"/>
      <c r="J612" s="35"/>
      <c r="K612" s="35"/>
      <c r="L612" s="35"/>
      <c r="M612" s="35"/>
      <c r="N612" s="35"/>
      <c r="O612" s="35"/>
      <c r="P612" s="35"/>
      <c r="Q612" s="35"/>
      <c r="R612" s="35"/>
      <c r="S612" s="35"/>
      <c r="T612" s="35"/>
      <c r="U612" s="35"/>
      <c r="V612" s="35"/>
      <c r="W612" s="35"/>
      <c r="X612" s="35"/>
      <c r="Y612" s="35"/>
      <c r="Z612" s="35"/>
    </row>
    <row r="613" ht="12.75" customHeight="1">
      <c r="A613" s="35"/>
      <c r="B613" s="35"/>
      <c r="C613" s="35"/>
      <c r="D613" s="35"/>
      <c r="E613" s="35"/>
      <c r="F613" s="35"/>
      <c r="G613" s="35"/>
      <c r="H613" s="35"/>
      <c r="I613" s="35"/>
      <c r="J613" s="35"/>
      <c r="K613" s="35"/>
      <c r="L613" s="35"/>
      <c r="M613" s="35"/>
      <c r="N613" s="35"/>
      <c r="O613" s="35"/>
      <c r="P613" s="35"/>
      <c r="Q613" s="35"/>
      <c r="R613" s="35"/>
      <c r="S613" s="35"/>
      <c r="T613" s="35"/>
      <c r="U613" s="35"/>
      <c r="V613" s="35"/>
      <c r="W613" s="35"/>
      <c r="X613" s="35"/>
      <c r="Y613" s="35"/>
      <c r="Z613" s="35"/>
    </row>
    <row r="614" ht="12.75" customHeight="1">
      <c r="A614" s="35"/>
      <c r="B614" s="35"/>
      <c r="C614" s="35"/>
      <c r="D614" s="35"/>
      <c r="E614" s="35"/>
      <c r="F614" s="35"/>
      <c r="G614" s="35"/>
      <c r="H614" s="35"/>
      <c r="I614" s="35"/>
      <c r="J614" s="35"/>
      <c r="K614" s="35"/>
      <c r="L614" s="35"/>
      <c r="M614" s="35"/>
      <c r="N614" s="35"/>
      <c r="O614" s="35"/>
      <c r="P614" s="35"/>
      <c r="Q614" s="35"/>
      <c r="R614" s="35"/>
      <c r="S614" s="35"/>
      <c r="T614" s="35"/>
      <c r="U614" s="35"/>
      <c r="V614" s="35"/>
      <c r="W614" s="35"/>
      <c r="X614" s="35"/>
      <c r="Y614" s="35"/>
      <c r="Z614" s="35"/>
    </row>
    <row r="615" ht="12.75" customHeight="1">
      <c r="A615" s="35"/>
      <c r="B615" s="35"/>
      <c r="C615" s="35"/>
      <c r="D615" s="35"/>
      <c r="E615" s="35"/>
      <c r="F615" s="35"/>
      <c r="G615" s="35"/>
      <c r="H615" s="35"/>
      <c r="I615" s="35"/>
      <c r="J615" s="35"/>
      <c r="K615" s="35"/>
      <c r="L615" s="35"/>
      <c r="M615" s="35"/>
      <c r="N615" s="35"/>
      <c r="O615" s="35"/>
      <c r="P615" s="35"/>
      <c r="Q615" s="35"/>
      <c r="R615" s="35"/>
      <c r="S615" s="35"/>
      <c r="T615" s="35"/>
      <c r="U615" s="35"/>
      <c r="V615" s="35"/>
      <c r="W615" s="35"/>
      <c r="X615" s="35"/>
      <c r="Y615" s="35"/>
      <c r="Z615" s="35"/>
    </row>
    <row r="616" ht="12.75" customHeight="1">
      <c r="A616" s="35"/>
      <c r="B616" s="35"/>
      <c r="C616" s="35"/>
      <c r="D616" s="35"/>
      <c r="E616" s="35"/>
      <c r="F616" s="35"/>
      <c r="G616" s="35"/>
      <c r="H616" s="35"/>
      <c r="I616" s="35"/>
      <c r="J616" s="35"/>
      <c r="K616" s="35"/>
      <c r="L616" s="35"/>
      <c r="M616" s="35"/>
      <c r="N616" s="35"/>
      <c r="O616" s="35"/>
      <c r="P616" s="35"/>
      <c r="Q616" s="35"/>
      <c r="R616" s="35"/>
      <c r="S616" s="35"/>
      <c r="T616" s="35"/>
      <c r="U616" s="35"/>
      <c r="V616" s="35"/>
      <c r="W616" s="35"/>
      <c r="X616" s="35"/>
      <c r="Y616" s="35"/>
      <c r="Z616" s="35"/>
    </row>
    <row r="617" ht="12.75" customHeight="1">
      <c r="A617" s="35"/>
      <c r="B617" s="35"/>
      <c r="C617" s="35"/>
      <c r="D617" s="35"/>
      <c r="E617" s="35"/>
      <c r="F617" s="35"/>
      <c r="G617" s="35"/>
      <c r="H617" s="35"/>
      <c r="I617" s="35"/>
      <c r="J617" s="35"/>
      <c r="K617" s="35"/>
      <c r="L617" s="35"/>
      <c r="M617" s="35"/>
      <c r="N617" s="35"/>
      <c r="O617" s="35"/>
      <c r="P617" s="35"/>
      <c r="Q617" s="35"/>
      <c r="R617" s="35"/>
      <c r="S617" s="35"/>
      <c r="T617" s="35"/>
      <c r="U617" s="35"/>
      <c r="V617" s="35"/>
      <c r="W617" s="35"/>
      <c r="X617" s="35"/>
      <c r="Y617" s="35"/>
      <c r="Z617" s="35"/>
    </row>
    <row r="618" ht="12.75" customHeight="1">
      <c r="A618" s="35"/>
      <c r="B618" s="35"/>
      <c r="C618" s="35"/>
      <c r="D618" s="35"/>
      <c r="E618" s="35"/>
      <c r="F618" s="35"/>
      <c r="G618" s="35"/>
      <c r="H618" s="35"/>
      <c r="I618" s="35"/>
      <c r="J618" s="35"/>
      <c r="K618" s="35"/>
      <c r="L618" s="35"/>
      <c r="M618" s="35"/>
      <c r="N618" s="35"/>
      <c r="O618" s="35"/>
      <c r="P618" s="35"/>
      <c r="Q618" s="35"/>
      <c r="R618" s="35"/>
      <c r="S618" s="35"/>
      <c r="T618" s="35"/>
      <c r="U618" s="35"/>
      <c r="V618" s="35"/>
      <c r="W618" s="35"/>
      <c r="X618" s="35"/>
      <c r="Y618" s="35"/>
      <c r="Z618" s="35"/>
    </row>
    <row r="619" ht="12.75" customHeight="1">
      <c r="A619" s="35"/>
      <c r="B619" s="35"/>
      <c r="C619" s="35"/>
      <c r="D619" s="35"/>
      <c r="E619" s="35"/>
      <c r="F619" s="35"/>
      <c r="G619" s="35"/>
      <c r="H619" s="35"/>
      <c r="I619" s="35"/>
      <c r="J619" s="35"/>
      <c r="K619" s="35"/>
      <c r="L619" s="35"/>
      <c r="M619" s="35"/>
      <c r="N619" s="35"/>
      <c r="O619" s="35"/>
      <c r="P619" s="35"/>
      <c r="Q619" s="35"/>
      <c r="R619" s="35"/>
      <c r="S619" s="35"/>
      <c r="T619" s="35"/>
      <c r="U619" s="35"/>
      <c r="V619" s="35"/>
      <c r="W619" s="35"/>
      <c r="X619" s="35"/>
      <c r="Y619" s="35"/>
      <c r="Z619" s="35"/>
    </row>
    <row r="620" ht="12.75" customHeight="1">
      <c r="A620" s="35"/>
      <c r="B620" s="35"/>
      <c r="C620" s="35"/>
      <c r="D620" s="35"/>
      <c r="E620" s="35"/>
      <c r="F620" s="35"/>
      <c r="G620" s="35"/>
      <c r="H620" s="35"/>
      <c r="I620" s="35"/>
      <c r="J620" s="35"/>
      <c r="K620" s="35"/>
      <c r="L620" s="35"/>
      <c r="M620" s="35"/>
      <c r="N620" s="35"/>
      <c r="O620" s="35"/>
      <c r="P620" s="35"/>
      <c r="Q620" s="35"/>
      <c r="R620" s="35"/>
      <c r="S620" s="35"/>
      <c r="T620" s="35"/>
      <c r="U620" s="35"/>
      <c r="V620" s="35"/>
      <c r="W620" s="35"/>
      <c r="X620" s="35"/>
      <c r="Y620" s="35"/>
      <c r="Z620" s="35"/>
    </row>
    <row r="621" ht="12.75" customHeight="1">
      <c r="A621" s="35"/>
      <c r="B621" s="35"/>
      <c r="C621" s="35"/>
      <c r="D621" s="35"/>
      <c r="E621" s="35"/>
      <c r="F621" s="35"/>
      <c r="G621" s="35"/>
      <c r="H621" s="35"/>
      <c r="I621" s="35"/>
      <c r="J621" s="35"/>
      <c r="K621" s="35"/>
      <c r="L621" s="35"/>
      <c r="M621" s="35"/>
      <c r="N621" s="35"/>
      <c r="O621" s="35"/>
      <c r="P621" s="35"/>
      <c r="Q621" s="35"/>
      <c r="R621" s="35"/>
      <c r="S621" s="35"/>
      <c r="T621" s="35"/>
      <c r="U621" s="35"/>
      <c r="V621" s="35"/>
      <c r="W621" s="35"/>
      <c r="X621" s="35"/>
      <c r="Y621" s="35"/>
      <c r="Z621" s="35"/>
    </row>
    <row r="622" ht="12.75" customHeight="1">
      <c r="A622" s="35"/>
      <c r="B622" s="35"/>
      <c r="C622" s="35"/>
      <c r="D622" s="35"/>
      <c r="E622" s="35"/>
      <c r="F622" s="35"/>
      <c r="G622" s="35"/>
      <c r="H622" s="35"/>
      <c r="I622" s="35"/>
      <c r="J622" s="35"/>
      <c r="K622" s="35"/>
      <c r="L622" s="35"/>
      <c r="M622" s="35"/>
      <c r="N622" s="35"/>
      <c r="O622" s="35"/>
      <c r="P622" s="35"/>
      <c r="Q622" s="35"/>
      <c r="R622" s="35"/>
      <c r="S622" s="35"/>
      <c r="T622" s="35"/>
      <c r="U622" s="35"/>
      <c r="V622" s="35"/>
      <c r="W622" s="35"/>
      <c r="X622" s="35"/>
      <c r="Y622" s="35"/>
      <c r="Z622" s="35"/>
    </row>
    <row r="623" ht="12.75" customHeight="1">
      <c r="A623" s="35"/>
      <c r="B623" s="35"/>
      <c r="C623" s="35"/>
      <c r="D623" s="35"/>
      <c r="E623" s="35"/>
      <c r="F623" s="35"/>
      <c r="G623" s="35"/>
      <c r="H623" s="35"/>
      <c r="I623" s="35"/>
      <c r="J623" s="35"/>
      <c r="K623" s="35"/>
      <c r="L623" s="35"/>
      <c r="M623" s="35"/>
      <c r="N623" s="35"/>
      <c r="O623" s="35"/>
      <c r="P623" s="35"/>
      <c r="Q623" s="35"/>
      <c r="R623" s="35"/>
      <c r="S623" s="35"/>
      <c r="T623" s="35"/>
      <c r="U623" s="35"/>
      <c r="V623" s="35"/>
      <c r="W623" s="35"/>
      <c r="X623" s="35"/>
      <c r="Y623" s="35"/>
      <c r="Z623" s="35"/>
    </row>
    <row r="624" ht="12.75" customHeight="1">
      <c r="A624" s="35"/>
      <c r="B624" s="35"/>
      <c r="C624" s="35"/>
      <c r="D624" s="35"/>
      <c r="E624" s="35"/>
      <c r="F624" s="35"/>
      <c r="G624" s="35"/>
      <c r="H624" s="35"/>
      <c r="I624" s="35"/>
      <c r="J624" s="35"/>
      <c r="K624" s="35"/>
      <c r="L624" s="35"/>
      <c r="M624" s="35"/>
      <c r="N624" s="35"/>
      <c r="O624" s="35"/>
      <c r="P624" s="35"/>
      <c r="Q624" s="35"/>
      <c r="R624" s="35"/>
      <c r="S624" s="35"/>
      <c r="T624" s="35"/>
      <c r="U624" s="35"/>
      <c r="V624" s="35"/>
      <c r="W624" s="35"/>
      <c r="X624" s="35"/>
      <c r="Y624" s="35"/>
      <c r="Z624" s="35"/>
    </row>
    <row r="625" ht="12.75" customHeight="1">
      <c r="A625" s="35"/>
      <c r="B625" s="35"/>
      <c r="C625" s="35"/>
      <c r="D625" s="35"/>
      <c r="E625" s="35"/>
      <c r="F625" s="35"/>
      <c r="G625" s="35"/>
      <c r="H625" s="35"/>
      <c r="I625" s="35"/>
      <c r="J625" s="35"/>
      <c r="K625" s="35"/>
      <c r="L625" s="35"/>
      <c r="M625" s="35"/>
      <c r="N625" s="35"/>
      <c r="O625" s="35"/>
      <c r="P625" s="35"/>
      <c r="Q625" s="35"/>
      <c r="R625" s="35"/>
      <c r="S625" s="35"/>
      <c r="T625" s="35"/>
      <c r="U625" s="35"/>
      <c r="V625" s="35"/>
      <c r="W625" s="35"/>
      <c r="X625" s="35"/>
      <c r="Y625" s="35"/>
      <c r="Z625" s="35"/>
    </row>
    <row r="626" ht="12.75" customHeight="1">
      <c r="A626" s="35"/>
      <c r="B626" s="35"/>
      <c r="C626" s="35"/>
      <c r="D626" s="35"/>
      <c r="E626" s="35"/>
      <c r="F626" s="35"/>
      <c r="G626" s="35"/>
      <c r="H626" s="35"/>
      <c r="I626" s="35"/>
      <c r="J626" s="35"/>
      <c r="K626" s="35"/>
      <c r="L626" s="35"/>
      <c r="M626" s="35"/>
      <c r="N626" s="35"/>
      <c r="O626" s="35"/>
      <c r="P626" s="35"/>
      <c r="Q626" s="35"/>
      <c r="R626" s="35"/>
      <c r="S626" s="35"/>
      <c r="T626" s="35"/>
      <c r="U626" s="35"/>
      <c r="V626" s="35"/>
      <c r="W626" s="35"/>
      <c r="X626" s="35"/>
      <c r="Y626" s="35"/>
      <c r="Z626" s="35"/>
    </row>
    <row r="627" ht="12.75" customHeight="1">
      <c r="A627" s="35"/>
      <c r="B627" s="35"/>
      <c r="C627" s="35"/>
      <c r="D627" s="35"/>
      <c r="E627" s="35"/>
      <c r="F627" s="35"/>
      <c r="G627" s="35"/>
      <c r="H627" s="35"/>
      <c r="I627" s="35"/>
      <c r="J627" s="35"/>
      <c r="K627" s="35"/>
      <c r="L627" s="35"/>
      <c r="M627" s="35"/>
      <c r="N627" s="35"/>
      <c r="O627" s="35"/>
      <c r="P627" s="35"/>
      <c r="Q627" s="35"/>
      <c r="R627" s="35"/>
      <c r="S627" s="35"/>
      <c r="T627" s="35"/>
      <c r="U627" s="35"/>
      <c r="V627" s="35"/>
      <c r="W627" s="35"/>
      <c r="X627" s="35"/>
      <c r="Y627" s="35"/>
      <c r="Z627" s="35"/>
    </row>
    <row r="628" ht="12.75" customHeight="1">
      <c r="A628" s="35"/>
      <c r="B628" s="35"/>
      <c r="C628" s="35"/>
      <c r="D628" s="35"/>
      <c r="E628" s="35"/>
      <c r="F628" s="35"/>
      <c r="G628" s="35"/>
      <c r="H628" s="35"/>
      <c r="I628" s="35"/>
      <c r="J628" s="35"/>
      <c r="K628" s="35"/>
      <c r="L628" s="35"/>
      <c r="M628" s="35"/>
      <c r="N628" s="35"/>
      <c r="O628" s="35"/>
      <c r="P628" s="35"/>
      <c r="Q628" s="35"/>
      <c r="R628" s="35"/>
      <c r="S628" s="35"/>
      <c r="T628" s="35"/>
      <c r="U628" s="35"/>
      <c r="V628" s="35"/>
      <c r="W628" s="35"/>
      <c r="X628" s="35"/>
      <c r="Y628" s="35"/>
      <c r="Z628" s="35"/>
    </row>
    <row r="629" ht="12.75" customHeight="1">
      <c r="A629" s="35"/>
      <c r="B629" s="35"/>
      <c r="C629" s="35"/>
      <c r="D629" s="35"/>
      <c r="E629" s="35"/>
      <c r="F629" s="35"/>
      <c r="G629" s="35"/>
      <c r="H629" s="35"/>
      <c r="I629" s="35"/>
      <c r="J629" s="35"/>
      <c r="K629" s="35"/>
      <c r="L629" s="35"/>
      <c r="M629" s="35"/>
      <c r="N629" s="35"/>
      <c r="O629" s="35"/>
      <c r="P629" s="35"/>
      <c r="Q629" s="35"/>
      <c r="R629" s="35"/>
      <c r="S629" s="35"/>
      <c r="T629" s="35"/>
      <c r="U629" s="35"/>
      <c r="V629" s="35"/>
      <c r="W629" s="35"/>
      <c r="X629" s="35"/>
      <c r="Y629" s="35"/>
      <c r="Z629" s="35"/>
    </row>
    <row r="630" ht="12.75" customHeight="1">
      <c r="A630" s="35"/>
      <c r="B630" s="35"/>
      <c r="C630" s="35"/>
      <c r="D630" s="35"/>
      <c r="E630" s="35"/>
      <c r="F630" s="35"/>
      <c r="G630" s="35"/>
      <c r="H630" s="35"/>
      <c r="I630" s="35"/>
      <c r="J630" s="35"/>
      <c r="K630" s="35"/>
      <c r="L630" s="35"/>
      <c r="M630" s="35"/>
      <c r="N630" s="35"/>
      <c r="O630" s="35"/>
      <c r="P630" s="35"/>
      <c r="Q630" s="35"/>
      <c r="R630" s="35"/>
      <c r="S630" s="35"/>
      <c r="T630" s="35"/>
      <c r="U630" s="35"/>
      <c r="V630" s="35"/>
      <c r="W630" s="35"/>
      <c r="X630" s="35"/>
      <c r="Y630" s="35"/>
      <c r="Z630" s="35"/>
    </row>
    <row r="631" ht="12.75" customHeight="1">
      <c r="A631" s="35"/>
      <c r="B631" s="35"/>
      <c r="C631" s="35"/>
      <c r="D631" s="35"/>
      <c r="E631" s="35"/>
      <c r="F631" s="35"/>
      <c r="G631" s="35"/>
      <c r="H631" s="35"/>
      <c r="I631" s="35"/>
      <c r="J631" s="35"/>
      <c r="K631" s="35"/>
      <c r="L631" s="35"/>
      <c r="M631" s="35"/>
      <c r="N631" s="35"/>
      <c r="O631" s="35"/>
      <c r="P631" s="35"/>
      <c r="Q631" s="35"/>
      <c r="R631" s="35"/>
      <c r="S631" s="35"/>
      <c r="T631" s="35"/>
      <c r="U631" s="35"/>
      <c r="V631" s="35"/>
      <c r="W631" s="35"/>
      <c r="X631" s="35"/>
      <c r="Y631" s="35"/>
      <c r="Z631" s="35"/>
    </row>
    <row r="632" ht="12.75" customHeight="1">
      <c r="A632" s="35"/>
      <c r="B632" s="35"/>
      <c r="C632" s="35"/>
      <c r="D632" s="35"/>
      <c r="E632" s="35"/>
      <c r="F632" s="35"/>
      <c r="G632" s="35"/>
      <c r="H632" s="35"/>
      <c r="I632" s="35"/>
      <c r="J632" s="35"/>
      <c r="K632" s="35"/>
      <c r="L632" s="35"/>
      <c r="M632" s="35"/>
      <c r="N632" s="35"/>
      <c r="O632" s="35"/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5"/>
    </row>
    <row r="633" ht="12.75" customHeight="1">
      <c r="A633" s="35"/>
      <c r="B633" s="35"/>
      <c r="C633" s="35"/>
      <c r="D633" s="35"/>
      <c r="E633" s="35"/>
      <c r="F633" s="35"/>
      <c r="G633" s="35"/>
      <c r="H633" s="35"/>
      <c r="I633" s="35"/>
      <c r="J633" s="35"/>
      <c r="K633" s="35"/>
      <c r="L633" s="35"/>
      <c r="M633" s="35"/>
      <c r="N633" s="35"/>
      <c r="O633" s="35"/>
      <c r="P633" s="35"/>
      <c r="Q633" s="35"/>
      <c r="R633" s="35"/>
      <c r="S633" s="35"/>
      <c r="T633" s="35"/>
      <c r="U633" s="35"/>
      <c r="V633" s="35"/>
      <c r="W633" s="35"/>
      <c r="X633" s="35"/>
      <c r="Y633" s="35"/>
      <c r="Z633" s="35"/>
    </row>
    <row r="634" ht="12.75" customHeight="1">
      <c r="A634" s="35"/>
      <c r="B634" s="35"/>
      <c r="C634" s="35"/>
      <c r="D634" s="35"/>
      <c r="E634" s="35"/>
      <c r="F634" s="35"/>
      <c r="G634" s="35"/>
      <c r="H634" s="35"/>
      <c r="I634" s="35"/>
      <c r="J634" s="35"/>
      <c r="K634" s="35"/>
      <c r="L634" s="35"/>
      <c r="M634" s="35"/>
      <c r="N634" s="35"/>
      <c r="O634" s="35"/>
      <c r="P634" s="35"/>
      <c r="Q634" s="35"/>
      <c r="R634" s="35"/>
      <c r="S634" s="35"/>
      <c r="T634" s="35"/>
      <c r="U634" s="35"/>
      <c r="V634" s="35"/>
      <c r="W634" s="35"/>
      <c r="X634" s="35"/>
      <c r="Y634" s="35"/>
      <c r="Z634" s="35"/>
    </row>
    <row r="635" ht="12.75" customHeight="1">
      <c r="A635" s="35"/>
      <c r="B635" s="35"/>
      <c r="C635" s="35"/>
      <c r="D635" s="35"/>
      <c r="E635" s="35"/>
      <c r="F635" s="35"/>
      <c r="G635" s="35"/>
      <c r="H635" s="35"/>
      <c r="I635" s="35"/>
      <c r="J635" s="35"/>
      <c r="K635" s="35"/>
      <c r="L635" s="35"/>
      <c r="M635" s="35"/>
      <c r="N635" s="35"/>
      <c r="O635" s="35"/>
      <c r="P635" s="35"/>
      <c r="Q635" s="35"/>
      <c r="R635" s="35"/>
      <c r="S635" s="35"/>
      <c r="T635" s="35"/>
      <c r="U635" s="35"/>
      <c r="V635" s="35"/>
      <c r="W635" s="35"/>
      <c r="X635" s="35"/>
      <c r="Y635" s="35"/>
      <c r="Z635" s="35"/>
    </row>
    <row r="636" ht="12.75" customHeight="1">
      <c r="A636" s="35"/>
      <c r="B636" s="35"/>
      <c r="C636" s="35"/>
      <c r="D636" s="35"/>
      <c r="E636" s="35"/>
      <c r="F636" s="35"/>
      <c r="G636" s="35"/>
      <c r="H636" s="35"/>
      <c r="I636" s="35"/>
      <c r="J636" s="35"/>
      <c r="K636" s="35"/>
      <c r="L636" s="35"/>
      <c r="M636" s="35"/>
      <c r="N636" s="35"/>
      <c r="O636" s="35"/>
      <c r="P636" s="35"/>
      <c r="Q636" s="35"/>
      <c r="R636" s="35"/>
      <c r="S636" s="35"/>
      <c r="T636" s="35"/>
      <c r="U636" s="35"/>
      <c r="V636" s="35"/>
      <c r="W636" s="35"/>
      <c r="X636" s="35"/>
      <c r="Y636" s="35"/>
      <c r="Z636" s="35"/>
    </row>
    <row r="637" ht="12.75" customHeight="1">
      <c r="A637" s="35"/>
      <c r="B637" s="35"/>
      <c r="C637" s="35"/>
      <c r="D637" s="35"/>
      <c r="E637" s="35"/>
      <c r="F637" s="35"/>
      <c r="G637" s="35"/>
      <c r="H637" s="35"/>
      <c r="I637" s="35"/>
      <c r="J637" s="35"/>
      <c r="K637" s="35"/>
      <c r="L637" s="35"/>
      <c r="M637" s="35"/>
      <c r="N637" s="35"/>
      <c r="O637" s="35"/>
      <c r="P637" s="35"/>
      <c r="Q637" s="35"/>
      <c r="R637" s="35"/>
      <c r="S637" s="35"/>
      <c r="T637" s="35"/>
      <c r="U637" s="35"/>
      <c r="V637" s="35"/>
      <c r="W637" s="35"/>
      <c r="X637" s="35"/>
      <c r="Y637" s="35"/>
      <c r="Z637" s="35"/>
    </row>
    <row r="638" ht="12.75" customHeight="1">
      <c r="A638" s="35"/>
      <c r="B638" s="35"/>
      <c r="C638" s="35"/>
      <c r="D638" s="35"/>
      <c r="E638" s="35"/>
      <c r="F638" s="35"/>
      <c r="G638" s="35"/>
      <c r="H638" s="35"/>
      <c r="I638" s="35"/>
      <c r="J638" s="35"/>
      <c r="K638" s="35"/>
      <c r="L638" s="35"/>
      <c r="M638" s="35"/>
      <c r="N638" s="35"/>
      <c r="O638" s="35"/>
      <c r="P638" s="35"/>
      <c r="Q638" s="35"/>
      <c r="R638" s="35"/>
      <c r="S638" s="35"/>
      <c r="T638" s="35"/>
      <c r="U638" s="35"/>
      <c r="V638" s="35"/>
      <c r="W638" s="35"/>
      <c r="X638" s="35"/>
      <c r="Y638" s="35"/>
      <c r="Z638" s="35"/>
    </row>
    <row r="639" ht="12.75" customHeight="1">
      <c r="A639" s="35"/>
      <c r="B639" s="35"/>
      <c r="C639" s="35"/>
      <c r="D639" s="35"/>
      <c r="E639" s="35"/>
      <c r="F639" s="35"/>
      <c r="G639" s="35"/>
      <c r="H639" s="35"/>
      <c r="I639" s="35"/>
      <c r="J639" s="35"/>
      <c r="K639" s="35"/>
      <c r="L639" s="35"/>
      <c r="M639" s="35"/>
      <c r="N639" s="35"/>
      <c r="O639" s="35"/>
      <c r="P639" s="35"/>
      <c r="Q639" s="35"/>
      <c r="R639" s="35"/>
      <c r="S639" s="35"/>
      <c r="T639" s="35"/>
      <c r="U639" s="35"/>
      <c r="V639" s="35"/>
      <c r="W639" s="35"/>
      <c r="X639" s="35"/>
      <c r="Y639" s="35"/>
      <c r="Z639" s="35"/>
    </row>
    <row r="640" ht="12.75" customHeight="1">
      <c r="A640" s="35"/>
      <c r="B640" s="35"/>
      <c r="C640" s="35"/>
      <c r="D640" s="35"/>
      <c r="E640" s="35"/>
      <c r="F640" s="35"/>
      <c r="G640" s="35"/>
      <c r="H640" s="35"/>
      <c r="I640" s="35"/>
      <c r="J640" s="35"/>
      <c r="K640" s="35"/>
      <c r="L640" s="35"/>
      <c r="M640" s="35"/>
      <c r="N640" s="35"/>
      <c r="O640" s="35"/>
      <c r="P640" s="35"/>
      <c r="Q640" s="35"/>
      <c r="R640" s="35"/>
      <c r="S640" s="35"/>
      <c r="T640" s="35"/>
      <c r="U640" s="35"/>
      <c r="V640" s="35"/>
      <c r="W640" s="35"/>
      <c r="X640" s="35"/>
      <c r="Y640" s="35"/>
      <c r="Z640" s="35"/>
    </row>
    <row r="641" ht="12.75" customHeight="1">
      <c r="A641" s="35"/>
      <c r="B641" s="35"/>
      <c r="C641" s="35"/>
      <c r="D641" s="35"/>
      <c r="E641" s="35"/>
      <c r="F641" s="35"/>
      <c r="G641" s="35"/>
      <c r="H641" s="35"/>
      <c r="I641" s="35"/>
      <c r="J641" s="35"/>
      <c r="K641" s="35"/>
      <c r="L641" s="35"/>
      <c r="M641" s="35"/>
      <c r="N641" s="35"/>
      <c r="O641" s="35"/>
      <c r="P641" s="35"/>
      <c r="Q641" s="35"/>
      <c r="R641" s="35"/>
      <c r="S641" s="35"/>
      <c r="T641" s="35"/>
      <c r="U641" s="35"/>
      <c r="V641" s="35"/>
      <c r="W641" s="35"/>
      <c r="X641" s="35"/>
      <c r="Y641" s="35"/>
      <c r="Z641" s="35"/>
    </row>
    <row r="642" ht="12.75" customHeight="1">
      <c r="A642" s="35"/>
      <c r="B642" s="35"/>
      <c r="C642" s="35"/>
      <c r="D642" s="35"/>
      <c r="E642" s="35"/>
      <c r="F642" s="35"/>
      <c r="G642" s="35"/>
      <c r="H642" s="35"/>
      <c r="I642" s="35"/>
      <c r="J642" s="35"/>
      <c r="K642" s="35"/>
      <c r="L642" s="35"/>
      <c r="M642" s="35"/>
      <c r="N642" s="35"/>
      <c r="O642" s="35"/>
      <c r="P642" s="35"/>
      <c r="Q642" s="35"/>
      <c r="R642" s="35"/>
      <c r="S642" s="35"/>
      <c r="T642" s="35"/>
      <c r="U642" s="35"/>
      <c r="V642" s="35"/>
      <c r="W642" s="35"/>
      <c r="X642" s="35"/>
      <c r="Y642" s="35"/>
      <c r="Z642" s="35"/>
    </row>
    <row r="643" ht="12.75" customHeight="1">
      <c r="A643" s="35"/>
      <c r="B643" s="35"/>
      <c r="C643" s="35"/>
      <c r="D643" s="35"/>
      <c r="E643" s="35"/>
      <c r="F643" s="35"/>
      <c r="G643" s="35"/>
      <c r="H643" s="35"/>
      <c r="I643" s="35"/>
      <c r="J643" s="35"/>
      <c r="K643" s="35"/>
      <c r="L643" s="35"/>
      <c r="M643" s="35"/>
      <c r="N643" s="35"/>
      <c r="O643" s="35"/>
      <c r="P643" s="35"/>
      <c r="Q643" s="35"/>
      <c r="R643" s="35"/>
      <c r="S643" s="35"/>
      <c r="T643" s="35"/>
      <c r="U643" s="35"/>
      <c r="V643" s="35"/>
      <c r="W643" s="35"/>
      <c r="X643" s="35"/>
      <c r="Y643" s="35"/>
      <c r="Z643" s="35"/>
    </row>
    <row r="644" ht="12.75" customHeight="1">
      <c r="A644" s="35"/>
      <c r="B644" s="35"/>
      <c r="C644" s="35"/>
      <c r="D644" s="35"/>
      <c r="E644" s="35"/>
      <c r="F644" s="35"/>
      <c r="G644" s="35"/>
      <c r="H644" s="35"/>
      <c r="I644" s="35"/>
      <c r="J644" s="35"/>
      <c r="K644" s="35"/>
      <c r="L644" s="35"/>
      <c r="M644" s="35"/>
      <c r="N644" s="35"/>
      <c r="O644" s="35"/>
      <c r="P644" s="35"/>
      <c r="Q644" s="35"/>
      <c r="R644" s="35"/>
      <c r="S644" s="35"/>
      <c r="T644" s="35"/>
      <c r="U644" s="35"/>
      <c r="V644" s="35"/>
      <c r="W644" s="35"/>
      <c r="X644" s="35"/>
      <c r="Y644" s="35"/>
      <c r="Z644" s="35"/>
    </row>
    <row r="645" ht="12.75" customHeight="1">
      <c r="A645" s="35"/>
      <c r="B645" s="35"/>
      <c r="C645" s="35"/>
      <c r="D645" s="35"/>
      <c r="E645" s="35"/>
      <c r="F645" s="35"/>
      <c r="G645" s="35"/>
      <c r="H645" s="35"/>
      <c r="I645" s="35"/>
      <c r="J645" s="35"/>
      <c r="K645" s="35"/>
      <c r="L645" s="35"/>
      <c r="M645" s="35"/>
      <c r="N645" s="35"/>
      <c r="O645" s="35"/>
      <c r="P645" s="35"/>
      <c r="Q645" s="35"/>
      <c r="R645" s="35"/>
      <c r="S645" s="35"/>
      <c r="T645" s="35"/>
      <c r="U645" s="35"/>
      <c r="V645" s="35"/>
      <c r="W645" s="35"/>
      <c r="X645" s="35"/>
      <c r="Y645" s="35"/>
      <c r="Z645" s="35"/>
    </row>
    <row r="646" ht="12.75" customHeight="1">
      <c r="A646" s="35"/>
      <c r="B646" s="35"/>
      <c r="C646" s="35"/>
      <c r="D646" s="35"/>
      <c r="E646" s="35"/>
      <c r="F646" s="35"/>
      <c r="G646" s="35"/>
      <c r="H646" s="35"/>
      <c r="I646" s="35"/>
      <c r="J646" s="35"/>
      <c r="K646" s="35"/>
      <c r="L646" s="35"/>
      <c r="M646" s="35"/>
      <c r="N646" s="35"/>
      <c r="O646" s="35"/>
      <c r="P646" s="35"/>
      <c r="Q646" s="35"/>
      <c r="R646" s="35"/>
      <c r="S646" s="35"/>
      <c r="T646" s="35"/>
      <c r="U646" s="35"/>
      <c r="V646" s="35"/>
      <c r="W646" s="35"/>
      <c r="X646" s="35"/>
      <c r="Y646" s="35"/>
      <c r="Z646" s="35"/>
    </row>
    <row r="647" ht="12.75" customHeight="1">
      <c r="A647" s="35"/>
      <c r="B647" s="35"/>
      <c r="C647" s="35"/>
      <c r="D647" s="35"/>
      <c r="E647" s="35"/>
      <c r="F647" s="35"/>
      <c r="G647" s="35"/>
      <c r="H647" s="35"/>
      <c r="I647" s="35"/>
      <c r="J647" s="35"/>
      <c r="K647" s="35"/>
      <c r="L647" s="35"/>
      <c r="M647" s="35"/>
      <c r="N647" s="35"/>
      <c r="O647" s="35"/>
      <c r="P647" s="35"/>
      <c r="Q647" s="35"/>
      <c r="R647" s="35"/>
      <c r="S647" s="35"/>
      <c r="T647" s="35"/>
      <c r="U647" s="35"/>
      <c r="V647" s="35"/>
      <c r="W647" s="35"/>
      <c r="X647" s="35"/>
      <c r="Y647" s="35"/>
      <c r="Z647" s="35"/>
    </row>
    <row r="648" ht="12.75" customHeight="1">
      <c r="A648" s="35"/>
      <c r="B648" s="35"/>
      <c r="C648" s="35"/>
      <c r="D648" s="35"/>
      <c r="E648" s="35"/>
      <c r="F648" s="35"/>
      <c r="G648" s="35"/>
      <c r="H648" s="35"/>
      <c r="I648" s="35"/>
      <c r="J648" s="35"/>
      <c r="K648" s="35"/>
      <c r="L648" s="35"/>
      <c r="M648" s="35"/>
      <c r="N648" s="35"/>
      <c r="O648" s="35"/>
      <c r="P648" s="35"/>
      <c r="Q648" s="35"/>
      <c r="R648" s="35"/>
      <c r="S648" s="35"/>
      <c r="T648" s="35"/>
      <c r="U648" s="35"/>
      <c r="V648" s="35"/>
      <c r="W648" s="35"/>
      <c r="X648" s="35"/>
      <c r="Y648" s="35"/>
      <c r="Z648" s="35"/>
    </row>
    <row r="649" ht="12.75" customHeight="1">
      <c r="A649" s="35"/>
      <c r="B649" s="35"/>
      <c r="C649" s="35"/>
      <c r="D649" s="35"/>
      <c r="E649" s="35"/>
      <c r="F649" s="35"/>
      <c r="G649" s="35"/>
      <c r="H649" s="35"/>
      <c r="I649" s="35"/>
      <c r="J649" s="35"/>
      <c r="K649" s="35"/>
      <c r="L649" s="35"/>
      <c r="M649" s="35"/>
      <c r="N649" s="35"/>
      <c r="O649" s="35"/>
      <c r="P649" s="35"/>
      <c r="Q649" s="35"/>
      <c r="R649" s="35"/>
      <c r="S649" s="35"/>
      <c r="T649" s="35"/>
      <c r="U649" s="35"/>
      <c r="V649" s="35"/>
      <c r="W649" s="35"/>
      <c r="X649" s="35"/>
      <c r="Y649" s="35"/>
      <c r="Z649" s="35"/>
    </row>
    <row r="650" ht="12.75" customHeight="1">
      <c r="A650" s="35"/>
      <c r="B650" s="35"/>
      <c r="C650" s="35"/>
      <c r="D650" s="35"/>
      <c r="E650" s="35"/>
      <c r="F650" s="35"/>
      <c r="G650" s="35"/>
      <c r="H650" s="35"/>
      <c r="I650" s="35"/>
      <c r="J650" s="35"/>
      <c r="K650" s="35"/>
      <c r="L650" s="35"/>
      <c r="M650" s="35"/>
      <c r="N650" s="35"/>
      <c r="O650" s="35"/>
      <c r="P650" s="35"/>
      <c r="Q650" s="35"/>
      <c r="R650" s="35"/>
      <c r="S650" s="35"/>
      <c r="T650" s="35"/>
      <c r="U650" s="35"/>
      <c r="V650" s="35"/>
      <c r="W650" s="35"/>
      <c r="X650" s="35"/>
      <c r="Y650" s="35"/>
      <c r="Z650" s="35"/>
    </row>
    <row r="651" ht="12.75" customHeight="1">
      <c r="A651" s="35"/>
      <c r="B651" s="35"/>
      <c r="C651" s="35"/>
      <c r="D651" s="35"/>
      <c r="E651" s="35"/>
      <c r="F651" s="35"/>
      <c r="G651" s="35"/>
      <c r="H651" s="35"/>
      <c r="I651" s="35"/>
      <c r="J651" s="35"/>
      <c r="K651" s="35"/>
      <c r="L651" s="35"/>
      <c r="M651" s="35"/>
      <c r="N651" s="35"/>
      <c r="O651" s="35"/>
      <c r="P651" s="35"/>
      <c r="Q651" s="35"/>
      <c r="R651" s="35"/>
      <c r="S651" s="35"/>
      <c r="T651" s="35"/>
      <c r="U651" s="35"/>
      <c r="V651" s="35"/>
      <c r="W651" s="35"/>
      <c r="X651" s="35"/>
      <c r="Y651" s="35"/>
      <c r="Z651" s="35"/>
    </row>
    <row r="652" ht="12.75" customHeight="1">
      <c r="A652" s="35"/>
      <c r="B652" s="35"/>
      <c r="C652" s="35"/>
      <c r="D652" s="35"/>
      <c r="E652" s="35"/>
      <c r="F652" s="35"/>
      <c r="G652" s="35"/>
      <c r="H652" s="35"/>
      <c r="I652" s="35"/>
      <c r="J652" s="35"/>
      <c r="K652" s="35"/>
      <c r="L652" s="35"/>
      <c r="M652" s="35"/>
      <c r="N652" s="35"/>
      <c r="O652" s="35"/>
      <c r="P652" s="35"/>
      <c r="Q652" s="35"/>
      <c r="R652" s="35"/>
      <c r="S652" s="35"/>
      <c r="T652" s="35"/>
      <c r="U652" s="35"/>
      <c r="V652" s="35"/>
      <c r="W652" s="35"/>
      <c r="X652" s="35"/>
      <c r="Y652" s="35"/>
      <c r="Z652" s="35"/>
    </row>
    <row r="653" ht="12.75" customHeight="1">
      <c r="A653" s="35"/>
      <c r="B653" s="35"/>
      <c r="C653" s="35"/>
      <c r="D653" s="35"/>
      <c r="E653" s="35"/>
      <c r="F653" s="35"/>
      <c r="G653" s="35"/>
      <c r="H653" s="35"/>
      <c r="I653" s="35"/>
      <c r="J653" s="35"/>
      <c r="K653" s="35"/>
      <c r="L653" s="35"/>
      <c r="M653" s="35"/>
      <c r="N653" s="35"/>
      <c r="O653" s="35"/>
      <c r="P653" s="35"/>
      <c r="Q653" s="35"/>
      <c r="R653" s="35"/>
      <c r="S653" s="35"/>
      <c r="T653" s="35"/>
      <c r="U653" s="35"/>
      <c r="V653" s="35"/>
      <c r="W653" s="35"/>
      <c r="X653" s="35"/>
      <c r="Y653" s="35"/>
      <c r="Z653" s="35"/>
    </row>
    <row r="654" ht="12.75" customHeight="1">
      <c r="A654" s="35"/>
      <c r="B654" s="35"/>
      <c r="C654" s="35"/>
      <c r="D654" s="35"/>
      <c r="E654" s="35"/>
      <c r="F654" s="35"/>
      <c r="G654" s="35"/>
      <c r="H654" s="35"/>
      <c r="I654" s="35"/>
      <c r="J654" s="35"/>
      <c r="K654" s="35"/>
      <c r="L654" s="35"/>
      <c r="M654" s="35"/>
      <c r="N654" s="35"/>
      <c r="O654" s="35"/>
      <c r="P654" s="35"/>
      <c r="Q654" s="35"/>
      <c r="R654" s="35"/>
      <c r="S654" s="35"/>
      <c r="T654" s="35"/>
      <c r="U654" s="35"/>
      <c r="V654" s="35"/>
      <c r="W654" s="35"/>
      <c r="X654" s="35"/>
      <c r="Y654" s="35"/>
      <c r="Z654" s="35"/>
    </row>
    <row r="655" ht="12.75" customHeight="1">
      <c r="A655" s="35"/>
      <c r="B655" s="35"/>
      <c r="C655" s="35"/>
      <c r="D655" s="35"/>
      <c r="E655" s="35"/>
      <c r="F655" s="35"/>
      <c r="G655" s="35"/>
      <c r="H655" s="35"/>
      <c r="I655" s="35"/>
      <c r="J655" s="35"/>
      <c r="K655" s="35"/>
      <c r="L655" s="35"/>
      <c r="M655" s="35"/>
      <c r="N655" s="35"/>
      <c r="O655" s="35"/>
      <c r="P655" s="35"/>
      <c r="Q655" s="35"/>
      <c r="R655" s="35"/>
      <c r="S655" s="35"/>
      <c r="T655" s="35"/>
      <c r="U655" s="35"/>
      <c r="V655" s="35"/>
      <c r="W655" s="35"/>
      <c r="X655" s="35"/>
      <c r="Y655" s="35"/>
      <c r="Z655" s="35"/>
    </row>
    <row r="656" ht="12.75" customHeight="1">
      <c r="A656" s="35"/>
      <c r="B656" s="35"/>
      <c r="C656" s="35"/>
      <c r="D656" s="35"/>
      <c r="E656" s="35"/>
      <c r="F656" s="35"/>
      <c r="G656" s="35"/>
      <c r="H656" s="35"/>
      <c r="I656" s="35"/>
      <c r="J656" s="35"/>
      <c r="K656" s="35"/>
      <c r="L656" s="35"/>
      <c r="M656" s="35"/>
      <c r="N656" s="35"/>
      <c r="O656" s="35"/>
      <c r="P656" s="35"/>
      <c r="Q656" s="35"/>
      <c r="R656" s="35"/>
      <c r="S656" s="35"/>
      <c r="T656" s="35"/>
      <c r="U656" s="35"/>
      <c r="V656" s="35"/>
      <c r="W656" s="35"/>
      <c r="X656" s="35"/>
      <c r="Y656" s="35"/>
      <c r="Z656" s="35"/>
    </row>
    <row r="657" ht="12.75" customHeight="1">
      <c r="A657" s="35"/>
      <c r="B657" s="35"/>
      <c r="C657" s="35"/>
      <c r="D657" s="35"/>
      <c r="E657" s="35"/>
      <c r="F657" s="35"/>
      <c r="G657" s="35"/>
      <c r="H657" s="35"/>
      <c r="I657" s="35"/>
      <c r="J657" s="35"/>
      <c r="K657" s="35"/>
      <c r="L657" s="35"/>
      <c r="M657" s="35"/>
      <c r="N657" s="35"/>
      <c r="O657" s="35"/>
      <c r="P657" s="35"/>
      <c r="Q657" s="35"/>
      <c r="R657" s="35"/>
      <c r="S657" s="35"/>
      <c r="T657" s="35"/>
      <c r="U657" s="35"/>
      <c r="V657" s="35"/>
      <c r="W657" s="35"/>
      <c r="X657" s="35"/>
      <c r="Y657" s="35"/>
      <c r="Z657" s="35"/>
    </row>
    <row r="658" ht="12.75" customHeight="1">
      <c r="A658" s="35"/>
      <c r="B658" s="35"/>
      <c r="C658" s="35"/>
      <c r="D658" s="35"/>
      <c r="E658" s="35"/>
      <c r="F658" s="35"/>
      <c r="G658" s="35"/>
      <c r="H658" s="35"/>
      <c r="I658" s="35"/>
      <c r="J658" s="35"/>
      <c r="K658" s="35"/>
      <c r="L658" s="35"/>
      <c r="M658" s="35"/>
      <c r="N658" s="35"/>
      <c r="O658" s="35"/>
      <c r="P658" s="35"/>
      <c r="Q658" s="35"/>
      <c r="R658" s="35"/>
      <c r="S658" s="35"/>
      <c r="T658" s="35"/>
      <c r="U658" s="35"/>
      <c r="V658" s="35"/>
      <c r="W658" s="35"/>
      <c r="X658" s="35"/>
      <c r="Y658" s="35"/>
      <c r="Z658" s="35"/>
    </row>
    <row r="659" ht="12.75" customHeight="1">
      <c r="A659" s="35"/>
      <c r="B659" s="35"/>
      <c r="C659" s="35"/>
      <c r="D659" s="35"/>
      <c r="E659" s="35"/>
      <c r="F659" s="35"/>
      <c r="G659" s="35"/>
      <c r="H659" s="35"/>
      <c r="I659" s="35"/>
      <c r="J659" s="35"/>
      <c r="K659" s="35"/>
      <c r="L659" s="35"/>
      <c r="M659" s="35"/>
      <c r="N659" s="35"/>
      <c r="O659" s="35"/>
      <c r="P659" s="35"/>
      <c r="Q659" s="35"/>
      <c r="R659" s="35"/>
      <c r="S659" s="35"/>
      <c r="T659" s="35"/>
      <c r="U659" s="35"/>
      <c r="V659" s="35"/>
      <c r="W659" s="35"/>
      <c r="X659" s="35"/>
      <c r="Y659" s="35"/>
      <c r="Z659" s="35"/>
    </row>
    <row r="660" ht="12.75" customHeight="1">
      <c r="A660" s="35"/>
      <c r="B660" s="35"/>
      <c r="C660" s="35"/>
      <c r="D660" s="35"/>
      <c r="E660" s="35"/>
      <c r="F660" s="35"/>
      <c r="G660" s="35"/>
      <c r="H660" s="35"/>
      <c r="I660" s="35"/>
      <c r="J660" s="35"/>
      <c r="K660" s="35"/>
      <c r="L660" s="35"/>
      <c r="M660" s="35"/>
      <c r="N660" s="35"/>
      <c r="O660" s="35"/>
      <c r="P660" s="35"/>
      <c r="Q660" s="35"/>
      <c r="R660" s="35"/>
      <c r="S660" s="35"/>
      <c r="T660" s="35"/>
      <c r="U660" s="35"/>
      <c r="V660" s="35"/>
      <c r="W660" s="35"/>
      <c r="X660" s="35"/>
      <c r="Y660" s="35"/>
      <c r="Z660" s="35"/>
    </row>
    <row r="661" ht="12.75" customHeight="1">
      <c r="A661" s="35"/>
      <c r="B661" s="35"/>
      <c r="C661" s="35"/>
      <c r="D661" s="35"/>
      <c r="E661" s="35"/>
      <c r="F661" s="35"/>
      <c r="G661" s="35"/>
      <c r="H661" s="35"/>
      <c r="I661" s="35"/>
      <c r="J661" s="35"/>
      <c r="K661" s="35"/>
      <c r="L661" s="35"/>
      <c r="M661" s="35"/>
      <c r="N661" s="35"/>
      <c r="O661" s="35"/>
      <c r="P661" s="35"/>
      <c r="Q661" s="35"/>
      <c r="R661" s="35"/>
      <c r="S661" s="35"/>
      <c r="T661" s="35"/>
      <c r="U661" s="35"/>
      <c r="V661" s="35"/>
      <c r="W661" s="35"/>
      <c r="X661" s="35"/>
      <c r="Y661" s="35"/>
      <c r="Z661" s="35"/>
    </row>
    <row r="662" ht="12.75" customHeight="1">
      <c r="A662" s="35"/>
      <c r="B662" s="35"/>
      <c r="C662" s="35"/>
      <c r="D662" s="35"/>
      <c r="E662" s="35"/>
      <c r="F662" s="35"/>
      <c r="G662" s="35"/>
      <c r="H662" s="35"/>
      <c r="I662" s="35"/>
      <c r="J662" s="35"/>
      <c r="K662" s="35"/>
      <c r="L662" s="35"/>
      <c r="M662" s="35"/>
      <c r="N662" s="35"/>
      <c r="O662" s="35"/>
      <c r="P662" s="35"/>
      <c r="Q662" s="35"/>
      <c r="R662" s="35"/>
      <c r="S662" s="35"/>
      <c r="T662" s="35"/>
      <c r="U662" s="35"/>
      <c r="V662" s="35"/>
      <c r="W662" s="35"/>
      <c r="X662" s="35"/>
      <c r="Y662" s="35"/>
      <c r="Z662" s="35"/>
    </row>
    <row r="663" ht="12.75" customHeight="1">
      <c r="A663" s="35"/>
      <c r="B663" s="35"/>
      <c r="C663" s="35"/>
      <c r="D663" s="35"/>
      <c r="E663" s="35"/>
      <c r="F663" s="35"/>
      <c r="G663" s="35"/>
      <c r="H663" s="35"/>
      <c r="I663" s="35"/>
      <c r="J663" s="35"/>
      <c r="K663" s="35"/>
      <c r="L663" s="35"/>
      <c r="M663" s="35"/>
      <c r="N663" s="35"/>
      <c r="O663" s="35"/>
      <c r="P663" s="35"/>
      <c r="Q663" s="35"/>
      <c r="R663" s="35"/>
      <c r="S663" s="35"/>
      <c r="T663" s="35"/>
      <c r="U663" s="35"/>
      <c r="V663" s="35"/>
      <c r="W663" s="35"/>
      <c r="X663" s="35"/>
      <c r="Y663" s="35"/>
      <c r="Z663" s="35"/>
    </row>
    <row r="664" ht="12.75" customHeight="1">
      <c r="A664" s="35"/>
      <c r="B664" s="35"/>
      <c r="C664" s="35"/>
      <c r="D664" s="35"/>
      <c r="E664" s="35"/>
      <c r="F664" s="35"/>
      <c r="G664" s="35"/>
      <c r="H664" s="35"/>
      <c r="I664" s="35"/>
      <c r="J664" s="35"/>
      <c r="K664" s="35"/>
      <c r="L664" s="35"/>
      <c r="M664" s="35"/>
      <c r="N664" s="35"/>
      <c r="O664" s="35"/>
      <c r="P664" s="35"/>
      <c r="Q664" s="35"/>
      <c r="R664" s="35"/>
      <c r="S664" s="35"/>
      <c r="T664" s="35"/>
      <c r="U664" s="35"/>
      <c r="V664" s="35"/>
      <c r="W664" s="35"/>
      <c r="X664" s="35"/>
      <c r="Y664" s="35"/>
      <c r="Z664" s="35"/>
    </row>
    <row r="665" ht="12.75" customHeight="1">
      <c r="A665" s="35"/>
      <c r="B665" s="35"/>
      <c r="C665" s="35"/>
      <c r="D665" s="35"/>
      <c r="E665" s="35"/>
      <c r="F665" s="35"/>
      <c r="G665" s="35"/>
      <c r="H665" s="35"/>
      <c r="I665" s="35"/>
      <c r="J665" s="35"/>
      <c r="K665" s="35"/>
      <c r="L665" s="35"/>
      <c r="M665" s="35"/>
      <c r="N665" s="35"/>
      <c r="O665" s="35"/>
      <c r="P665" s="35"/>
      <c r="Q665" s="35"/>
      <c r="R665" s="35"/>
      <c r="S665" s="35"/>
      <c r="T665" s="35"/>
      <c r="U665" s="35"/>
      <c r="V665" s="35"/>
      <c r="W665" s="35"/>
      <c r="X665" s="35"/>
      <c r="Y665" s="35"/>
      <c r="Z665" s="35"/>
    </row>
    <row r="666" ht="12.75" customHeight="1">
      <c r="A666" s="35"/>
      <c r="B666" s="35"/>
      <c r="C666" s="35"/>
      <c r="D666" s="35"/>
      <c r="E666" s="35"/>
      <c r="F666" s="35"/>
      <c r="G666" s="35"/>
      <c r="H666" s="35"/>
      <c r="I666" s="35"/>
      <c r="J666" s="35"/>
      <c r="K666" s="35"/>
      <c r="L666" s="35"/>
      <c r="M666" s="35"/>
      <c r="N666" s="35"/>
      <c r="O666" s="35"/>
      <c r="P666" s="35"/>
      <c r="Q666" s="35"/>
      <c r="R666" s="35"/>
      <c r="S666" s="35"/>
      <c r="T666" s="35"/>
      <c r="U666" s="35"/>
      <c r="V666" s="35"/>
      <c r="W666" s="35"/>
      <c r="X666" s="35"/>
      <c r="Y666" s="35"/>
      <c r="Z666" s="35"/>
    </row>
    <row r="667" ht="12.75" customHeight="1">
      <c r="A667" s="35"/>
      <c r="B667" s="35"/>
      <c r="C667" s="35"/>
      <c r="D667" s="35"/>
      <c r="E667" s="35"/>
      <c r="F667" s="35"/>
      <c r="G667" s="35"/>
      <c r="H667" s="35"/>
      <c r="I667" s="35"/>
      <c r="J667" s="35"/>
      <c r="K667" s="35"/>
      <c r="L667" s="35"/>
      <c r="M667" s="35"/>
      <c r="N667" s="35"/>
      <c r="O667" s="35"/>
      <c r="P667" s="35"/>
      <c r="Q667" s="35"/>
      <c r="R667" s="35"/>
      <c r="S667" s="35"/>
      <c r="T667" s="35"/>
      <c r="U667" s="35"/>
      <c r="V667" s="35"/>
      <c r="W667" s="35"/>
      <c r="X667" s="35"/>
      <c r="Y667" s="35"/>
      <c r="Z667" s="35"/>
    </row>
    <row r="668" ht="12.75" customHeight="1">
      <c r="A668" s="35"/>
      <c r="B668" s="35"/>
      <c r="C668" s="35"/>
      <c r="D668" s="35"/>
      <c r="E668" s="35"/>
      <c r="F668" s="35"/>
      <c r="G668" s="35"/>
      <c r="H668" s="35"/>
      <c r="I668" s="35"/>
      <c r="J668" s="35"/>
      <c r="K668" s="35"/>
      <c r="L668" s="35"/>
      <c r="M668" s="35"/>
      <c r="N668" s="35"/>
      <c r="O668" s="35"/>
      <c r="P668" s="35"/>
      <c r="Q668" s="35"/>
      <c r="R668" s="35"/>
      <c r="S668" s="35"/>
      <c r="T668" s="35"/>
      <c r="U668" s="35"/>
      <c r="V668" s="35"/>
      <c r="W668" s="35"/>
      <c r="X668" s="35"/>
      <c r="Y668" s="35"/>
      <c r="Z668" s="35"/>
    </row>
    <row r="669" ht="12.75" customHeight="1">
      <c r="A669" s="35"/>
      <c r="B669" s="35"/>
      <c r="C669" s="35"/>
      <c r="D669" s="35"/>
      <c r="E669" s="35"/>
      <c r="F669" s="35"/>
      <c r="G669" s="35"/>
      <c r="H669" s="35"/>
      <c r="I669" s="35"/>
      <c r="J669" s="35"/>
      <c r="K669" s="35"/>
      <c r="L669" s="35"/>
      <c r="M669" s="35"/>
      <c r="N669" s="35"/>
      <c r="O669" s="35"/>
      <c r="P669" s="35"/>
      <c r="Q669" s="35"/>
      <c r="R669" s="35"/>
      <c r="S669" s="35"/>
      <c r="T669" s="35"/>
      <c r="U669" s="35"/>
      <c r="V669" s="35"/>
      <c r="W669" s="35"/>
      <c r="X669" s="35"/>
      <c r="Y669" s="35"/>
      <c r="Z669" s="35"/>
    </row>
    <row r="670" ht="12.75" customHeight="1">
      <c r="A670" s="35"/>
      <c r="B670" s="35"/>
      <c r="C670" s="35"/>
      <c r="D670" s="35"/>
      <c r="E670" s="35"/>
      <c r="F670" s="35"/>
      <c r="G670" s="35"/>
      <c r="H670" s="35"/>
      <c r="I670" s="35"/>
      <c r="J670" s="35"/>
      <c r="K670" s="35"/>
      <c r="L670" s="35"/>
      <c r="M670" s="35"/>
      <c r="N670" s="35"/>
      <c r="O670" s="35"/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5"/>
    </row>
    <row r="671" ht="12.75" customHeight="1">
      <c r="A671" s="35"/>
      <c r="B671" s="35"/>
      <c r="C671" s="35"/>
      <c r="D671" s="35"/>
      <c r="E671" s="35"/>
      <c r="F671" s="35"/>
      <c r="G671" s="35"/>
      <c r="H671" s="35"/>
      <c r="I671" s="35"/>
      <c r="J671" s="35"/>
      <c r="K671" s="35"/>
      <c r="L671" s="35"/>
      <c r="M671" s="35"/>
      <c r="N671" s="35"/>
      <c r="O671" s="35"/>
      <c r="P671" s="35"/>
      <c r="Q671" s="35"/>
      <c r="R671" s="35"/>
      <c r="S671" s="35"/>
      <c r="T671" s="35"/>
      <c r="U671" s="35"/>
      <c r="V671" s="35"/>
      <c r="W671" s="35"/>
      <c r="X671" s="35"/>
      <c r="Y671" s="35"/>
      <c r="Z671" s="35"/>
    </row>
    <row r="672" ht="12.75" customHeight="1">
      <c r="A672" s="35"/>
      <c r="B672" s="35"/>
      <c r="C672" s="35"/>
      <c r="D672" s="35"/>
      <c r="E672" s="35"/>
      <c r="F672" s="35"/>
      <c r="G672" s="35"/>
      <c r="H672" s="35"/>
      <c r="I672" s="35"/>
      <c r="J672" s="35"/>
      <c r="K672" s="35"/>
      <c r="L672" s="35"/>
      <c r="M672" s="35"/>
      <c r="N672" s="35"/>
      <c r="O672" s="35"/>
      <c r="P672" s="35"/>
      <c r="Q672" s="35"/>
      <c r="R672" s="35"/>
      <c r="S672" s="35"/>
      <c r="T672" s="35"/>
      <c r="U672" s="35"/>
      <c r="V672" s="35"/>
      <c r="W672" s="35"/>
      <c r="X672" s="35"/>
      <c r="Y672" s="35"/>
      <c r="Z672" s="35"/>
    </row>
    <row r="673" ht="12.75" customHeight="1">
      <c r="A673" s="35"/>
      <c r="B673" s="35"/>
      <c r="C673" s="35"/>
      <c r="D673" s="35"/>
      <c r="E673" s="35"/>
      <c r="F673" s="35"/>
      <c r="G673" s="35"/>
      <c r="H673" s="35"/>
      <c r="I673" s="35"/>
      <c r="J673" s="35"/>
      <c r="K673" s="35"/>
      <c r="L673" s="35"/>
      <c r="M673" s="35"/>
      <c r="N673" s="35"/>
      <c r="O673" s="35"/>
      <c r="P673" s="35"/>
      <c r="Q673" s="35"/>
      <c r="R673" s="35"/>
      <c r="S673" s="35"/>
      <c r="T673" s="35"/>
      <c r="U673" s="35"/>
      <c r="V673" s="35"/>
      <c r="W673" s="35"/>
      <c r="X673" s="35"/>
      <c r="Y673" s="35"/>
      <c r="Z673" s="35"/>
    </row>
    <row r="674" ht="12.75" customHeight="1">
      <c r="A674" s="35"/>
      <c r="B674" s="35"/>
      <c r="C674" s="35"/>
      <c r="D674" s="35"/>
      <c r="E674" s="35"/>
      <c r="F674" s="35"/>
      <c r="G674" s="35"/>
      <c r="H674" s="35"/>
      <c r="I674" s="35"/>
      <c r="J674" s="35"/>
      <c r="K674" s="35"/>
      <c r="L674" s="35"/>
      <c r="M674" s="35"/>
      <c r="N674" s="35"/>
      <c r="O674" s="35"/>
      <c r="P674" s="35"/>
      <c r="Q674" s="35"/>
      <c r="R674" s="35"/>
      <c r="S674" s="35"/>
      <c r="T674" s="35"/>
      <c r="U674" s="35"/>
      <c r="V674" s="35"/>
      <c r="W674" s="35"/>
      <c r="X674" s="35"/>
      <c r="Y674" s="35"/>
      <c r="Z674" s="35"/>
    </row>
    <row r="675" ht="12.75" customHeight="1">
      <c r="A675" s="35"/>
      <c r="B675" s="35"/>
      <c r="C675" s="35"/>
      <c r="D675" s="35"/>
      <c r="E675" s="35"/>
      <c r="F675" s="35"/>
      <c r="G675" s="35"/>
      <c r="H675" s="35"/>
      <c r="I675" s="35"/>
      <c r="J675" s="35"/>
      <c r="K675" s="35"/>
      <c r="L675" s="35"/>
      <c r="M675" s="35"/>
      <c r="N675" s="35"/>
      <c r="O675" s="35"/>
      <c r="P675" s="35"/>
      <c r="Q675" s="35"/>
      <c r="R675" s="35"/>
      <c r="S675" s="35"/>
      <c r="T675" s="35"/>
      <c r="U675" s="35"/>
      <c r="V675" s="35"/>
      <c r="W675" s="35"/>
      <c r="X675" s="35"/>
      <c r="Y675" s="35"/>
      <c r="Z675" s="35"/>
    </row>
    <row r="676" ht="12.75" customHeight="1">
      <c r="A676" s="35"/>
      <c r="B676" s="35"/>
      <c r="C676" s="35"/>
      <c r="D676" s="35"/>
      <c r="E676" s="35"/>
      <c r="F676" s="35"/>
      <c r="G676" s="35"/>
      <c r="H676" s="35"/>
      <c r="I676" s="35"/>
      <c r="J676" s="35"/>
      <c r="K676" s="35"/>
      <c r="L676" s="35"/>
      <c r="M676" s="35"/>
      <c r="N676" s="35"/>
      <c r="O676" s="35"/>
      <c r="P676" s="35"/>
      <c r="Q676" s="35"/>
      <c r="R676" s="35"/>
      <c r="S676" s="35"/>
      <c r="T676" s="35"/>
      <c r="U676" s="35"/>
      <c r="V676" s="35"/>
      <c r="W676" s="35"/>
      <c r="X676" s="35"/>
      <c r="Y676" s="35"/>
      <c r="Z676" s="35"/>
    </row>
    <row r="677" ht="12.75" customHeight="1">
      <c r="A677" s="35"/>
      <c r="B677" s="35"/>
      <c r="C677" s="35"/>
      <c r="D677" s="35"/>
      <c r="E677" s="35"/>
      <c r="F677" s="35"/>
      <c r="G677" s="35"/>
      <c r="H677" s="35"/>
      <c r="I677" s="35"/>
      <c r="J677" s="35"/>
      <c r="K677" s="35"/>
      <c r="L677" s="35"/>
      <c r="M677" s="35"/>
      <c r="N677" s="35"/>
      <c r="O677" s="35"/>
      <c r="P677" s="35"/>
      <c r="Q677" s="35"/>
      <c r="R677" s="35"/>
      <c r="S677" s="35"/>
      <c r="T677" s="35"/>
      <c r="U677" s="35"/>
      <c r="V677" s="35"/>
      <c r="W677" s="35"/>
      <c r="X677" s="35"/>
      <c r="Y677" s="35"/>
      <c r="Z677" s="35"/>
    </row>
    <row r="678" ht="12.75" customHeight="1">
      <c r="A678" s="35"/>
      <c r="B678" s="35"/>
      <c r="C678" s="35"/>
      <c r="D678" s="35"/>
      <c r="E678" s="35"/>
      <c r="F678" s="35"/>
      <c r="G678" s="35"/>
      <c r="H678" s="35"/>
      <c r="I678" s="35"/>
      <c r="J678" s="35"/>
      <c r="K678" s="35"/>
      <c r="L678" s="35"/>
      <c r="M678" s="35"/>
      <c r="N678" s="35"/>
      <c r="O678" s="35"/>
      <c r="P678" s="35"/>
      <c r="Q678" s="35"/>
      <c r="R678" s="35"/>
      <c r="S678" s="35"/>
      <c r="T678" s="35"/>
      <c r="U678" s="35"/>
      <c r="V678" s="35"/>
      <c r="W678" s="35"/>
      <c r="X678" s="35"/>
      <c r="Y678" s="35"/>
      <c r="Z678" s="35"/>
    </row>
    <row r="679" ht="12.75" customHeight="1">
      <c r="A679" s="35"/>
      <c r="B679" s="35"/>
      <c r="C679" s="35"/>
      <c r="D679" s="35"/>
      <c r="E679" s="35"/>
      <c r="F679" s="35"/>
      <c r="G679" s="35"/>
      <c r="H679" s="35"/>
      <c r="I679" s="35"/>
      <c r="J679" s="35"/>
      <c r="K679" s="35"/>
      <c r="L679" s="35"/>
      <c r="M679" s="35"/>
      <c r="N679" s="35"/>
      <c r="O679" s="35"/>
      <c r="P679" s="35"/>
      <c r="Q679" s="35"/>
      <c r="R679" s="35"/>
      <c r="S679" s="35"/>
      <c r="T679" s="35"/>
      <c r="U679" s="35"/>
      <c r="V679" s="35"/>
      <c r="W679" s="35"/>
      <c r="X679" s="35"/>
      <c r="Y679" s="35"/>
      <c r="Z679" s="35"/>
    </row>
    <row r="680" ht="12.75" customHeight="1">
      <c r="A680" s="35"/>
      <c r="B680" s="35"/>
      <c r="C680" s="35"/>
      <c r="D680" s="35"/>
      <c r="E680" s="35"/>
      <c r="F680" s="35"/>
      <c r="G680" s="35"/>
      <c r="H680" s="35"/>
      <c r="I680" s="35"/>
      <c r="J680" s="35"/>
      <c r="K680" s="35"/>
      <c r="L680" s="35"/>
      <c r="M680" s="35"/>
      <c r="N680" s="35"/>
      <c r="O680" s="35"/>
      <c r="P680" s="35"/>
      <c r="Q680" s="35"/>
      <c r="R680" s="35"/>
      <c r="S680" s="35"/>
      <c r="T680" s="35"/>
      <c r="U680" s="35"/>
      <c r="V680" s="35"/>
      <c r="W680" s="35"/>
      <c r="X680" s="35"/>
      <c r="Y680" s="35"/>
      <c r="Z680" s="35"/>
    </row>
    <row r="681" ht="12.75" customHeight="1">
      <c r="A681" s="35"/>
      <c r="B681" s="35"/>
      <c r="C681" s="35"/>
      <c r="D681" s="35"/>
      <c r="E681" s="35"/>
      <c r="F681" s="35"/>
      <c r="G681" s="35"/>
      <c r="H681" s="35"/>
      <c r="I681" s="35"/>
      <c r="J681" s="35"/>
      <c r="K681" s="35"/>
      <c r="L681" s="35"/>
      <c r="M681" s="35"/>
      <c r="N681" s="35"/>
      <c r="O681" s="35"/>
      <c r="P681" s="35"/>
      <c r="Q681" s="35"/>
      <c r="R681" s="35"/>
      <c r="S681" s="35"/>
      <c r="T681" s="35"/>
      <c r="U681" s="35"/>
      <c r="V681" s="35"/>
      <c r="W681" s="35"/>
      <c r="X681" s="35"/>
      <c r="Y681" s="35"/>
      <c r="Z681" s="35"/>
    </row>
    <row r="682" ht="12.75" customHeight="1">
      <c r="A682" s="35"/>
      <c r="B682" s="35"/>
      <c r="C682" s="35"/>
      <c r="D682" s="35"/>
      <c r="E682" s="35"/>
      <c r="F682" s="35"/>
      <c r="G682" s="35"/>
      <c r="H682" s="35"/>
      <c r="I682" s="35"/>
      <c r="J682" s="35"/>
      <c r="K682" s="35"/>
      <c r="L682" s="35"/>
      <c r="M682" s="35"/>
      <c r="N682" s="35"/>
      <c r="O682" s="35"/>
      <c r="P682" s="35"/>
      <c r="Q682" s="35"/>
      <c r="R682" s="35"/>
      <c r="S682" s="35"/>
      <c r="T682" s="35"/>
      <c r="U682" s="35"/>
      <c r="V682" s="35"/>
      <c r="W682" s="35"/>
      <c r="X682" s="35"/>
      <c r="Y682" s="35"/>
      <c r="Z682" s="35"/>
    </row>
    <row r="683" ht="12.75" customHeight="1">
      <c r="A683" s="35"/>
      <c r="B683" s="35"/>
      <c r="C683" s="35"/>
      <c r="D683" s="35"/>
      <c r="E683" s="35"/>
      <c r="F683" s="35"/>
      <c r="G683" s="35"/>
      <c r="H683" s="35"/>
      <c r="I683" s="35"/>
      <c r="J683" s="35"/>
      <c r="K683" s="35"/>
      <c r="L683" s="35"/>
      <c r="M683" s="35"/>
      <c r="N683" s="35"/>
      <c r="O683" s="35"/>
      <c r="P683" s="35"/>
      <c r="Q683" s="35"/>
      <c r="R683" s="35"/>
      <c r="S683" s="35"/>
      <c r="T683" s="35"/>
      <c r="U683" s="35"/>
      <c r="V683" s="35"/>
      <c r="W683" s="35"/>
      <c r="X683" s="35"/>
      <c r="Y683" s="35"/>
      <c r="Z683" s="35"/>
    </row>
    <row r="684" ht="12.75" customHeight="1">
      <c r="A684" s="35"/>
      <c r="B684" s="35"/>
      <c r="C684" s="35"/>
      <c r="D684" s="35"/>
      <c r="E684" s="35"/>
      <c r="F684" s="35"/>
      <c r="G684" s="35"/>
      <c r="H684" s="35"/>
      <c r="I684" s="35"/>
      <c r="J684" s="35"/>
      <c r="K684" s="35"/>
      <c r="L684" s="35"/>
      <c r="M684" s="35"/>
      <c r="N684" s="35"/>
      <c r="O684" s="35"/>
      <c r="P684" s="35"/>
      <c r="Q684" s="35"/>
      <c r="R684" s="35"/>
      <c r="S684" s="35"/>
      <c r="T684" s="35"/>
      <c r="U684" s="35"/>
      <c r="V684" s="35"/>
      <c r="W684" s="35"/>
      <c r="X684" s="35"/>
      <c r="Y684" s="35"/>
      <c r="Z684" s="35"/>
    </row>
    <row r="685" ht="12.75" customHeight="1">
      <c r="A685" s="35"/>
      <c r="B685" s="35"/>
      <c r="C685" s="35"/>
      <c r="D685" s="35"/>
      <c r="E685" s="35"/>
      <c r="F685" s="35"/>
      <c r="G685" s="35"/>
      <c r="H685" s="35"/>
      <c r="I685" s="35"/>
      <c r="J685" s="35"/>
      <c r="K685" s="35"/>
      <c r="L685" s="35"/>
      <c r="M685" s="35"/>
      <c r="N685" s="35"/>
      <c r="O685" s="35"/>
      <c r="P685" s="35"/>
      <c r="Q685" s="35"/>
      <c r="R685" s="35"/>
      <c r="S685" s="35"/>
      <c r="T685" s="35"/>
      <c r="U685" s="35"/>
      <c r="V685" s="35"/>
      <c r="W685" s="35"/>
      <c r="X685" s="35"/>
      <c r="Y685" s="35"/>
      <c r="Z685" s="35"/>
    </row>
    <row r="686" ht="12.75" customHeight="1">
      <c r="A686" s="35"/>
      <c r="B686" s="35"/>
      <c r="C686" s="35"/>
      <c r="D686" s="35"/>
      <c r="E686" s="35"/>
      <c r="F686" s="35"/>
      <c r="G686" s="35"/>
      <c r="H686" s="35"/>
      <c r="I686" s="35"/>
      <c r="J686" s="35"/>
      <c r="K686" s="35"/>
      <c r="L686" s="35"/>
      <c r="M686" s="35"/>
      <c r="N686" s="35"/>
      <c r="O686" s="35"/>
      <c r="P686" s="35"/>
      <c r="Q686" s="35"/>
      <c r="R686" s="35"/>
      <c r="S686" s="35"/>
      <c r="T686" s="35"/>
      <c r="U686" s="35"/>
      <c r="V686" s="35"/>
      <c r="W686" s="35"/>
      <c r="X686" s="35"/>
      <c r="Y686" s="35"/>
      <c r="Z686" s="35"/>
    </row>
    <row r="687" ht="12.75" customHeight="1">
      <c r="A687" s="35"/>
      <c r="B687" s="35"/>
      <c r="C687" s="35"/>
      <c r="D687" s="35"/>
      <c r="E687" s="35"/>
      <c r="F687" s="35"/>
      <c r="G687" s="35"/>
      <c r="H687" s="35"/>
      <c r="I687" s="35"/>
      <c r="J687" s="35"/>
      <c r="K687" s="35"/>
      <c r="L687" s="35"/>
      <c r="M687" s="35"/>
      <c r="N687" s="35"/>
      <c r="O687" s="35"/>
      <c r="P687" s="35"/>
      <c r="Q687" s="35"/>
      <c r="R687" s="35"/>
      <c r="S687" s="35"/>
      <c r="T687" s="35"/>
      <c r="U687" s="35"/>
      <c r="V687" s="35"/>
      <c r="W687" s="35"/>
      <c r="X687" s="35"/>
      <c r="Y687" s="35"/>
      <c r="Z687" s="35"/>
    </row>
    <row r="688" ht="12.75" customHeight="1">
      <c r="A688" s="35"/>
      <c r="B688" s="35"/>
      <c r="C688" s="35"/>
      <c r="D688" s="35"/>
      <c r="E688" s="35"/>
      <c r="F688" s="35"/>
      <c r="G688" s="35"/>
      <c r="H688" s="35"/>
      <c r="I688" s="35"/>
      <c r="J688" s="35"/>
      <c r="K688" s="35"/>
      <c r="L688" s="35"/>
      <c r="M688" s="35"/>
      <c r="N688" s="35"/>
      <c r="O688" s="35"/>
      <c r="P688" s="35"/>
      <c r="Q688" s="35"/>
      <c r="R688" s="35"/>
      <c r="S688" s="35"/>
      <c r="T688" s="35"/>
      <c r="U688" s="35"/>
      <c r="V688" s="35"/>
      <c r="W688" s="35"/>
      <c r="X688" s="35"/>
      <c r="Y688" s="35"/>
      <c r="Z688" s="35"/>
    </row>
    <row r="689" ht="12.75" customHeight="1">
      <c r="A689" s="35"/>
      <c r="B689" s="35"/>
      <c r="C689" s="35"/>
      <c r="D689" s="35"/>
      <c r="E689" s="35"/>
      <c r="F689" s="35"/>
      <c r="G689" s="35"/>
      <c r="H689" s="35"/>
      <c r="I689" s="35"/>
      <c r="J689" s="35"/>
      <c r="K689" s="35"/>
      <c r="L689" s="35"/>
      <c r="M689" s="35"/>
      <c r="N689" s="35"/>
      <c r="O689" s="35"/>
      <c r="P689" s="35"/>
      <c r="Q689" s="35"/>
      <c r="R689" s="35"/>
      <c r="S689" s="35"/>
      <c r="T689" s="35"/>
      <c r="U689" s="35"/>
      <c r="V689" s="35"/>
      <c r="W689" s="35"/>
      <c r="X689" s="35"/>
      <c r="Y689" s="35"/>
      <c r="Z689" s="35"/>
    </row>
    <row r="690" ht="12.75" customHeight="1">
      <c r="A690" s="35"/>
      <c r="B690" s="35"/>
      <c r="C690" s="35"/>
      <c r="D690" s="35"/>
      <c r="E690" s="35"/>
      <c r="F690" s="35"/>
      <c r="G690" s="35"/>
      <c r="H690" s="35"/>
      <c r="I690" s="35"/>
      <c r="J690" s="35"/>
      <c r="K690" s="35"/>
      <c r="L690" s="35"/>
      <c r="M690" s="35"/>
      <c r="N690" s="35"/>
      <c r="O690" s="35"/>
      <c r="P690" s="35"/>
      <c r="Q690" s="35"/>
      <c r="R690" s="35"/>
      <c r="S690" s="35"/>
      <c r="T690" s="35"/>
      <c r="U690" s="35"/>
      <c r="V690" s="35"/>
      <c r="W690" s="35"/>
      <c r="X690" s="35"/>
      <c r="Y690" s="35"/>
      <c r="Z690" s="35"/>
    </row>
    <row r="691" ht="12.75" customHeight="1">
      <c r="A691" s="35"/>
      <c r="B691" s="35"/>
      <c r="C691" s="35"/>
      <c r="D691" s="35"/>
      <c r="E691" s="35"/>
      <c r="F691" s="35"/>
      <c r="G691" s="35"/>
      <c r="H691" s="35"/>
      <c r="I691" s="35"/>
      <c r="J691" s="35"/>
      <c r="K691" s="35"/>
      <c r="L691" s="35"/>
      <c r="M691" s="35"/>
      <c r="N691" s="35"/>
      <c r="O691" s="35"/>
      <c r="P691" s="35"/>
      <c r="Q691" s="35"/>
      <c r="R691" s="35"/>
      <c r="S691" s="35"/>
      <c r="T691" s="35"/>
      <c r="U691" s="35"/>
      <c r="V691" s="35"/>
      <c r="W691" s="35"/>
      <c r="X691" s="35"/>
      <c r="Y691" s="35"/>
      <c r="Z691" s="35"/>
    </row>
    <row r="692" ht="12.75" customHeight="1">
      <c r="A692" s="35"/>
      <c r="B692" s="35"/>
      <c r="C692" s="35"/>
      <c r="D692" s="35"/>
      <c r="E692" s="35"/>
      <c r="F692" s="35"/>
      <c r="G692" s="35"/>
      <c r="H692" s="35"/>
      <c r="I692" s="35"/>
      <c r="J692" s="35"/>
      <c r="K692" s="35"/>
      <c r="L692" s="35"/>
      <c r="M692" s="35"/>
      <c r="N692" s="35"/>
      <c r="O692" s="35"/>
      <c r="P692" s="35"/>
      <c r="Q692" s="35"/>
      <c r="R692" s="35"/>
      <c r="S692" s="35"/>
      <c r="T692" s="35"/>
      <c r="U692" s="35"/>
      <c r="V692" s="35"/>
      <c r="W692" s="35"/>
      <c r="X692" s="35"/>
      <c r="Y692" s="35"/>
      <c r="Z692" s="35"/>
    </row>
    <row r="693" ht="12.75" customHeight="1">
      <c r="A693" s="35"/>
      <c r="B693" s="35"/>
      <c r="C693" s="35"/>
      <c r="D693" s="35"/>
      <c r="E693" s="35"/>
      <c r="F693" s="35"/>
      <c r="G693" s="35"/>
      <c r="H693" s="35"/>
      <c r="I693" s="35"/>
      <c r="J693" s="35"/>
      <c r="K693" s="35"/>
      <c r="L693" s="35"/>
      <c r="M693" s="35"/>
      <c r="N693" s="35"/>
      <c r="O693" s="35"/>
      <c r="P693" s="35"/>
      <c r="Q693" s="35"/>
      <c r="R693" s="35"/>
      <c r="S693" s="35"/>
      <c r="T693" s="35"/>
      <c r="U693" s="35"/>
      <c r="V693" s="35"/>
      <c r="W693" s="35"/>
      <c r="X693" s="35"/>
      <c r="Y693" s="35"/>
      <c r="Z693" s="35"/>
    </row>
    <row r="694" ht="12.75" customHeight="1">
      <c r="A694" s="35"/>
      <c r="B694" s="35"/>
      <c r="C694" s="35"/>
      <c r="D694" s="35"/>
      <c r="E694" s="35"/>
      <c r="F694" s="35"/>
      <c r="G694" s="35"/>
      <c r="H694" s="35"/>
      <c r="I694" s="35"/>
      <c r="J694" s="35"/>
      <c r="K694" s="35"/>
      <c r="L694" s="35"/>
      <c r="M694" s="35"/>
      <c r="N694" s="35"/>
      <c r="O694" s="35"/>
      <c r="P694" s="35"/>
      <c r="Q694" s="35"/>
      <c r="R694" s="35"/>
      <c r="S694" s="35"/>
      <c r="T694" s="35"/>
      <c r="U694" s="35"/>
      <c r="V694" s="35"/>
      <c r="W694" s="35"/>
      <c r="X694" s="35"/>
      <c r="Y694" s="35"/>
      <c r="Z694" s="35"/>
    </row>
    <row r="695" ht="12.75" customHeight="1">
      <c r="A695" s="35"/>
      <c r="B695" s="35"/>
      <c r="C695" s="35"/>
      <c r="D695" s="35"/>
      <c r="E695" s="35"/>
      <c r="F695" s="35"/>
      <c r="G695" s="35"/>
      <c r="H695" s="35"/>
      <c r="I695" s="35"/>
      <c r="J695" s="35"/>
      <c r="K695" s="35"/>
      <c r="L695" s="35"/>
      <c r="M695" s="35"/>
      <c r="N695" s="35"/>
      <c r="O695" s="35"/>
      <c r="P695" s="35"/>
      <c r="Q695" s="35"/>
      <c r="R695" s="35"/>
      <c r="S695" s="35"/>
      <c r="T695" s="35"/>
      <c r="U695" s="35"/>
      <c r="V695" s="35"/>
      <c r="W695" s="35"/>
      <c r="X695" s="35"/>
      <c r="Y695" s="35"/>
      <c r="Z695" s="35"/>
    </row>
    <row r="696" ht="12.75" customHeight="1">
      <c r="A696" s="35"/>
      <c r="B696" s="35"/>
      <c r="C696" s="35"/>
      <c r="D696" s="35"/>
      <c r="E696" s="35"/>
      <c r="F696" s="35"/>
      <c r="G696" s="35"/>
      <c r="H696" s="35"/>
      <c r="I696" s="35"/>
      <c r="J696" s="35"/>
      <c r="K696" s="35"/>
      <c r="L696" s="35"/>
      <c r="M696" s="35"/>
      <c r="N696" s="35"/>
      <c r="O696" s="35"/>
      <c r="P696" s="35"/>
      <c r="Q696" s="35"/>
      <c r="R696" s="35"/>
      <c r="S696" s="35"/>
      <c r="T696" s="35"/>
      <c r="U696" s="35"/>
      <c r="V696" s="35"/>
      <c r="W696" s="35"/>
      <c r="X696" s="35"/>
      <c r="Y696" s="35"/>
      <c r="Z696" s="35"/>
    </row>
    <row r="697" ht="12.75" customHeight="1">
      <c r="A697" s="35"/>
      <c r="B697" s="35"/>
      <c r="C697" s="35"/>
      <c r="D697" s="35"/>
      <c r="E697" s="35"/>
      <c r="F697" s="35"/>
      <c r="G697" s="35"/>
      <c r="H697" s="35"/>
      <c r="I697" s="35"/>
      <c r="J697" s="35"/>
      <c r="K697" s="35"/>
      <c r="L697" s="35"/>
      <c r="M697" s="35"/>
      <c r="N697" s="35"/>
      <c r="O697" s="35"/>
      <c r="P697" s="35"/>
      <c r="Q697" s="35"/>
      <c r="R697" s="35"/>
      <c r="S697" s="35"/>
      <c r="T697" s="35"/>
      <c r="U697" s="35"/>
      <c r="V697" s="35"/>
      <c r="W697" s="35"/>
      <c r="X697" s="35"/>
      <c r="Y697" s="35"/>
      <c r="Z697" s="35"/>
    </row>
    <row r="698" ht="12.75" customHeight="1">
      <c r="A698" s="35"/>
      <c r="B698" s="35"/>
      <c r="C698" s="35"/>
      <c r="D698" s="35"/>
      <c r="E698" s="35"/>
      <c r="F698" s="35"/>
      <c r="G698" s="35"/>
      <c r="H698" s="35"/>
      <c r="I698" s="35"/>
      <c r="J698" s="35"/>
      <c r="K698" s="35"/>
      <c r="L698" s="35"/>
      <c r="M698" s="35"/>
      <c r="N698" s="35"/>
      <c r="O698" s="35"/>
      <c r="P698" s="35"/>
      <c r="Q698" s="35"/>
      <c r="R698" s="35"/>
      <c r="S698" s="35"/>
      <c r="T698" s="35"/>
      <c r="U698" s="35"/>
      <c r="V698" s="35"/>
      <c r="W698" s="35"/>
      <c r="X698" s="35"/>
      <c r="Y698" s="35"/>
      <c r="Z698" s="35"/>
    </row>
    <row r="699" ht="12.75" customHeight="1">
      <c r="A699" s="35"/>
      <c r="B699" s="35"/>
      <c r="C699" s="35"/>
      <c r="D699" s="35"/>
      <c r="E699" s="35"/>
      <c r="F699" s="35"/>
      <c r="G699" s="35"/>
      <c r="H699" s="35"/>
      <c r="I699" s="35"/>
      <c r="J699" s="35"/>
      <c r="K699" s="35"/>
      <c r="L699" s="35"/>
      <c r="M699" s="35"/>
      <c r="N699" s="35"/>
      <c r="O699" s="35"/>
      <c r="P699" s="35"/>
      <c r="Q699" s="35"/>
      <c r="R699" s="35"/>
      <c r="S699" s="35"/>
      <c r="T699" s="35"/>
      <c r="U699" s="35"/>
      <c r="V699" s="35"/>
      <c r="W699" s="35"/>
      <c r="X699" s="35"/>
      <c r="Y699" s="35"/>
      <c r="Z699" s="35"/>
    </row>
    <row r="700" ht="12.75" customHeight="1">
      <c r="A700" s="35"/>
      <c r="B700" s="35"/>
      <c r="C700" s="35"/>
      <c r="D700" s="35"/>
      <c r="E700" s="35"/>
      <c r="F700" s="35"/>
      <c r="G700" s="35"/>
      <c r="H700" s="35"/>
      <c r="I700" s="35"/>
      <c r="J700" s="35"/>
      <c r="K700" s="35"/>
      <c r="L700" s="35"/>
      <c r="M700" s="35"/>
      <c r="N700" s="35"/>
      <c r="O700" s="35"/>
      <c r="P700" s="35"/>
      <c r="Q700" s="35"/>
      <c r="R700" s="35"/>
      <c r="S700" s="35"/>
      <c r="T700" s="35"/>
      <c r="U700" s="35"/>
      <c r="V700" s="35"/>
      <c r="W700" s="35"/>
      <c r="X700" s="35"/>
      <c r="Y700" s="35"/>
      <c r="Z700" s="35"/>
    </row>
    <row r="701" ht="12.75" customHeight="1">
      <c r="A701" s="35"/>
      <c r="B701" s="35"/>
      <c r="C701" s="35"/>
      <c r="D701" s="35"/>
      <c r="E701" s="35"/>
      <c r="F701" s="35"/>
      <c r="G701" s="35"/>
      <c r="H701" s="35"/>
      <c r="I701" s="35"/>
      <c r="J701" s="35"/>
      <c r="K701" s="35"/>
      <c r="L701" s="35"/>
      <c r="M701" s="35"/>
      <c r="N701" s="35"/>
      <c r="O701" s="35"/>
      <c r="P701" s="35"/>
      <c r="Q701" s="35"/>
      <c r="R701" s="35"/>
      <c r="S701" s="35"/>
      <c r="T701" s="35"/>
      <c r="U701" s="35"/>
      <c r="V701" s="35"/>
      <c r="W701" s="35"/>
      <c r="X701" s="35"/>
      <c r="Y701" s="35"/>
      <c r="Z701" s="35"/>
    </row>
    <row r="702" ht="12.75" customHeight="1">
      <c r="A702" s="35"/>
      <c r="B702" s="35"/>
      <c r="C702" s="35"/>
      <c r="D702" s="35"/>
      <c r="E702" s="35"/>
      <c r="F702" s="35"/>
      <c r="G702" s="35"/>
      <c r="H702" s="35"/>
      <c r="I702" s="35"/>
      <c r="J702" s="35"/>
      <c r="K702" s="35"/>
      <c r="L702" s="35"/>
      <c r="M702" s="35"/>
      <c r="N702" s="35"/>
      <c r="O702" s="35"/>
      <c r="P702" s="35"/>
      <c r="Q702" s="35"/>
      <c r="R702" s="35"/>
      <c r="S702" s="35"/>
      <c r="T702" s="35"/>
      <c r="U702" s="35"/>
      <c r="V702" s="35"/>
      <c r="W702" s="35"/>
      <c r="X702" s="35"/>
      <c r="Y702" s="35"/>
      <c r="Z702" s="35"/>
    </row>
    <row r="703" ht="12.75" customHeight="1">
      <c r="A703" s="35"/>
      <c r="B703" s="35"/>
      <c r="C703" s="35"/>
      <c r="D703" s="35"/>
      <c r="E703" s="35"/>
      <c r="F703" s="35"/>
      <c r="G703" s="35"/>
      <c r="H703" s="35"/>
      <c r="I703" s="35"/>
      <c r="J703" s="35"/>
      <c r="K703" s="35"/>
      <c r="L703" s="35"/>
      <c r="M703" s="35"/>
      <c r="N703" s="35"/>
      <c r="O703" s="35"/>
      <c r="P703" s="35"/>
      <c r="Q703" s="35"/>
      <c r="R703" s="35"/>
      <c r="S703" s="35"/>
      <c r="T703" s="35"/>
      <c r="U703" s="35"/>
      <c r="V703" s="35"/>
      <c r="W703" s="35"/>
      <c r="X703" s="35"/>
      <c r="Y703" s="35"/>
      <c r="Z703" s="35"/>
    </row>
    <row r="704" ht="12.75" customHeight="1">
      <c r="A704" s="35"/>
      <c r="B704" s="35"/>
      <c r="C704" s="35"/>
      <c r="D704" s="35"/>
      <c r="E704" s="35"/>
      <c r="F704" s="35"/>
      <c r="G704" s="35"/>
      <c r="H704" s="35"/>
      <c r="I704" s="35"/>
      <c r="J704" s="35"/>
      <c r="K704" s="35"/>
      <c r="L704" s="35"/>
      <c r="M704" s="35"/>
      <c r="N704" s="35"/>
      <c r="O704" s="35"/>
      <c r="P704" s="35"/>
      <c r="Q704" s="35"/>
      <c r="R704" s="35"/>
      <c r="S704" s="35"/>
      <c r="T704" s="35"/>
      <c r="U704" s="35"/>
      <c r="V704" s="35"/>
      <c r="W704" s="35"/>
      <c r="X704" s="35"/>
      <c r="Y704" s="35"/>
      <c r="Z704" s="35"/>
    </row>
    <row r="705" ht="12.75" customHeight="1">
      <c r="A705" s="35"/>
      <c r="B705" s="35"/>
      <c r="C705" s="35"/>
      <c r="D705" s="35"/>
      <c r="E705" s="35"/>
      <c r="F705" s="35"/>
      <c r="G705" s="35"/>
      <c r="H705" s="35"/>
      <c r="I705" s="35"/>
      <c r="J705" s="35"/>
      <c r="K705" s="35"/>
      <c r="L705" s="35"/>
      <c r="M705" s="35"/>
      <c r="N705" s="35"/>
      <c r="O705" s="35"/>
      <c r="P705" s="35"/>
      <c r="Q705" s="35"/>
      <c r="R705" s="35"/>
      <c r="S705" s="35"/>
      <c r="T705" s="35"/>
      <c r="U705" s="35"/>
      <c r="V705" s="35"/>
      <c r="W705" s="35"/>
      <c r="X705" s="35"/>
      <c r="Y705" s="35"/>
      <c r="Z705" s="35"/>
    </row>
    <row r="706" ht="12.75" customHeight="1">
      <c r="A706" s="35"/>
      <c r="B706" s="35"/>
      <c r="C706" s="35"/>
      <c r="D706" s="35"/>
      <c r="E706" s="35"/>
      <c r="F706" s="35"/>
      <c r="G706" s="35"/>
      <c r="H706" s="35"/>
      <c r="I706" s="35"/>
      <c r="J706" s="35"/>
      <c r="K706" s="35"/>
      <c r="L706" s="35"/>
      <c r="M706" s="35"/>
      <c r="N706" s="35"/>
      <c r="O706" s="35"/>
      <c r="P706" s="35"/>
      <c r="Q706" s="35"/>
      <c r="R706" s="35"/>
      <c r="S706" s="35"/>
      <c r="T706" s="35"/>
      <c r="U706" s="35"/>
      <c r="V706" s="35"/>
      <c r="W706" s="35"/>
      <c r="X706" s="35"/>
      <c r="Y706" s="35"/>
      <c r="Z706" s="35"/>
    </row>
    <row r="707" ht="12.75" customHeight="1">
      <c r="A707" s="35"/>
      <c r="B707" s="35"/>
      <c r="C707" s="35"/>
      <c r="D707" s="35"/>
      <c r="E707" s="35"/>
      <c r="F707" s="35"/>
      <c r="G707" s="35"/>
      <c r="H707" s="35"/>
      <c r="I707" s="35"/>
      <c r="J707" s="35"/>
      <c r="K707" s="35"/>
      <c r="L707" s="35"/>
      <c r="M707" s="35"/>
      <c r="N707" s="35"/>
      <c r="O707" s="35"/>
      <c r="P707" s="35"/>
      <c r="Q707" s="35"/>
      <c r="R707" s="35"/>
      <c r="S707" s="35"/>
      <c r="T707" s="35"/>
      <c r="U707" s="35"/>
      <c r="V707" s="35"/>
      <c r="W707" s="35"/>
      <c r="X707" s="35"/>
      <c r="Y707" s="35"/>
      <c r="Z707" s="35"/>
    </row>
    <row r="708" ht="12.75" customHeight="1">
      <c r="A708" s="35"/>
      <c r="B708" s="35"/>
      <c r="C708" s="35"/>
      <c r="D708" s="35"/>
      <c r="E708" s="35"/>
      <c r="F708" s="35"/>
      <c r="G708" s="35"/>
      <c r="H708" s="35"/>
      <c r="I708" s="35"/>
      <c r="J708" s="35"/>
      <c r="K708" s="35"/>
      <c r="L708" s="35"/>
      <c r="M708" s="35"/>
      <c r="N708" s="35"/>
      <c r="O708" s="35"/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5"/>
    </row>
    <row r="709" ht="12.75" customHeight="1">
      <c r="A709" s="35"/>
      <c r="B709" s="35"/>
      <c r="C709" s="35"/>
      <c r="D709" s="35"/>
      <c r="E709" s="35"/>
      <c r="F709" s="35"/>
      <c r="G709" s="35"/>
      <c r="H709" s="35"/>
      <c r="I709" s="35"/>
      <c r="J709" s="35"/>
      <c r="K709" s="35"/>
      <c r="L709" s="35"/>
      <c r="M709" s="35"/>
      <c r="N709" s="35"/>
      <c r="O709" s="35"/>
      <c r="P709" s="35"/>
      <c r="Q709" s="35"/>
      <c r="R709" s="35"/>
      <c r="S709" s="35"/>
      <c r="T709" s="35"/>
      <c r="U709" s="35"/>
      <c r="V709" s="35"/>
      <c r="W709" s="35"/>
      <c r="X709" s="35"/>
      <c r="Y709" s="35"/>
      <c r="Z709" s="35"/>
    </row>
    <row r="710" ht="12.75" customHeight="1">
      <c r="A710" s="35"/>
      <c r="B710" s="35"/>
      <c r="C710" s="35"/>
      <c r="D710" s="35"/>
      <c r="E710" s="35"/>
      <c r="F710" s="35"/>
      <c r="G710" s="35"/>
      <c r="H710" s="35"/>
      <c r="I710" s="35"/>
      <c r="J710" s="35"/>
      <c r="K710" s="35"/>
      <c r="L710" s="35"/>
      <c r="M710" s="35"/>
      <c r="N710" s="35"/>
      <c r="O710" s="35"/>
      <c r="P710" s="35"/>
      <c r="Q710" s="35"/>
      <c r="R710" s="35"/>
      <c r="S710" s="35"/>
      <c r="T710" s="35"/>
      <c r="U710" s="35"/>
      <c r="V710" s="35"/>
      <c r="W710" s="35"/>
      <c r="X710" s="35"/>
      <c r="Y710" s="35"/>
      <c r="Z710" s="35"/>
    </row>
    <row r="711" ht="12.75" customHeight="1">
      <c r="A711" s="35"/>
      <c r="B711" s="35"/>
      <c r="C711" s="35"/>
      <c r="D711" s="35"/>
      <c r="E711" s="35"/>
      <c r="F711" s="35"/>
      <c r="G711" s="35"/>
      <c r="H711" s="35"/>
      <c r="I711" s="35"/>
      <c r="J711" s="35"/>
      <c r="K711" s="35"/>
      <c r="L711" s="35"/>
      <c r="M711" s="35"/>
      <c r="N711" s="35"/>
      <c r="O711" s="35"/>
      <c r="P711" s="35"/>
      <c r="Q711" s="35"/>
      <c r="R711" s="35"/>
      <c r="S711" s="35"/>
      <c r="T711" s="35"/>
      <c r="U711" s="35"/>
      <c r="V711" s="35"/>
      <c r="W711" s="35"/>
      <c r="X711" s="35"/>
      <c r="Y711" s="35"/>
      <c r="Z711" s="35"/>
    </row>
    <row r="712" ht="12.75" customHeight="1">
      <c r="A712" s="35"/>
      <c r="B712" s="35"/>
      <c r="C712" s="35"/>
      <c r="D712" s="35"/>
      <c r="E712" s="35"/>
      <c r="F712" s="35"/>
      <c r="G712" s="35"/>
      <c r="H712" s="35"/>
      <c r="I712" s="35"/>
      <c r="J712" s="35"/>
      <c r="K712" s="35"/>
      <c r="L712" s="35"/>
      <c r="M712" s="35"/>
      <c r="N712" s="35"/>
      <c r="O712" s="35"/>
      <c r="P712" s="35"/>
      <c r="Q712" s="35"/>
      <c r="R712" s="35"/>
      <c r="S712" s="35"/>
      <c r="T712" s="35"/>
      <c r="U712" s="35"/>
      <c r="V712" s="35"/>
      <c r="W712" s="35"/>
      <c r="X712" s="35"/>
      <c r="Y712" s="35"/>
      <c r="Z712" s="35"/>
    </row>
    <row r="713" ht="12.75" customHeight="1">
      <c r="A713" s="35"/>
      <c r="B713" s="35"/>
      <c r="C713" s="35"/>
      <c r="D713" s="35"/>
      <c r="E713" s="35"/>
      <c r="F713" s="35"/>
      <c r="G713" s="35"/>
      <c r="H713" s="35"/>
      <c r="I713" s="35"/>
      <c r="J713" s="35"/>
      <c r="K713" s="35"/>
      <c r="L713" s="35"/>
      <c r="M713" s="35"/>
      <c r="N713" s="35"/>
      <c r="O713" s="35"/>
      <c r="P713" s="35"/>
      <c r="Q713" s="35"/>
      <c r="R713" s="35"/>
      <c r="S713" s="35"/>
      <c r="T713" s="35"/>
      <c r="U713" s="35"/>
      <c r="V713" s="35"/>
      <c r="W713" s="35"/>
      <c r="X713" s="35"/>
      <c r="Y713" s="35"/>
      <c r="Z713" s="35"/>
    </row>
    <row r="714" ht="12.75" customHeight="1">
      <c r="A714" s="35"/>
      <c r="B714" s="35"/>
      <c r="C714" s="35"/>
      <c r="D714" s="35"/>
      <c r="E714" s="35"/>
      <c r="F714" s="35"/>
      <c r="G714" s="35"/>
      <c r="H714" s="35"/>
      <c r="I714" s="35"/>
      <c r="J714" s="35"/>
      <c r="K714" s="35"/>
      <c r="L714" s="35"/>
      <c r="M714" s="35"/>
      <c r="N714" s="35"/>
      <c r="O714" s="35"/>
      <c r="P714" s="35"/>
      <c r="Q714" s="35"/>
      <c r="R714" s="35"/>
      <c r="S714" s="35"/>
      <c r="T714" s="35"/>
      <c r="U714" s="35"/>
      <c r="V714" s="35"/>
      <c r="W714" s="35"/>
      <c r="X714" s="35"/>
      <c r="Y714" s="35"/>
      <c r="Z714" s="35"/>
    </row>
    <row r="715" ht="12.75" customHeight="1">
      <c r="A715" s="35"/>
      <c r="B715" s="35"/>
      <c r="C715" s="35"/>
      <c r="D715" s="35"/>
      <c r="E715" s="35"/>
      <c r="F715" s="35"/>
      <c r="G715" s="35"/>
      <c r="H715" s="35"/>
      <c r="I715" s="35"/>
      <c r="J715" s="35"/>
      <c r="K715" s="35"/>
      <c r="L715" s="35"/>
      <c r="M715" s="35"/>
      <c r="N715" s="35"/>
      <c r="O715" s="35"/>
      <c r="P715" s="35"/>
      <c r="Q715" s="35"/>
      <c r="R715" s="35"/>
      <c r="S715" s="35"/>
      <c r="T715" s="35"/>
      <c r="U715" s="35"/>
      <c r="V715" s="35"/>
      <c r="W715" s="35"/>
      <c r="X715" s="35"/>
      <c r="Y715" s="35"/>
      <c r="Z715" s="35"/>
    </row>
    <row r="716" ht="12.75" customHeight="1">
      <c r="A716" s="35"/>
      <c r="B716" s="35"/>
      <c r="C716" s="35"/>
      <c r="D716" s="35"/>
      <c r="E716" s="35"/>
      <c r="F716" s="35"/>
      <c r="G716" s="35"/>
      <c r="H716" s="35"/>
      <c r="I716" s="35"/>
      <c r="J716" s="35"/>
      <c r="K716" s="35"/>
      <c r="L716" s="35"/>
      <c r="M716" s="35"/>
      <c r="N716" s="35"/>
      <c r="O716" s="35"/>
      <c r="P716" s="35"/>
      <c r="Q716" s="35"/>
      <c r="R716" s="35"/>
      <c r="S716" s="35"/>
      <c r="T716" s="35"/>
      <c r="U716" s="35"/>
      <c r="V716" s="35"/>
      <c r="W716" s="35"/>
      <c r="X716" s="35"/>
      <c r="Y716" s="35"/>
      <c r="Z716" s="35"/>
    </row>
    <row r="717" ht="12.75" customHeight="1">
      <c r="A717" s="35"/>
      <c r="B717" s="35"/>
      <c r="C717" s="35"/>
      <c r="D717" s="35"/>
      <c r="E717" s="35"/>
      <c r="F717" s="35"/>
      <c r="G717" s="35"/>
      <c r="H717" s="35"/>
      <c r="I717" s="35"/>
      <c r="J717" s="35"/>
      <c r="K717" s="35"/>
      <c r="L717" s="35"/>
      <c r="M717" s="35"/>
      <c r="N717" s="35"/>
      <c r="O717" s="35"/>
      <c r="P717" s="35"/>
      <c r="Q717" s="35"/>
      <c r="R717" s="35"/>
      <c r="S717" s="35"/>
      <c r="T717" s="35"/>
      <c r="U717" s="35"/>
      <c r="V717" s="35"/>
      <c r="W717" s="35"/>
      <c r="X717" s="35"/>
      <c r="Y717" s="35"/>
      <c r="Z717" s="35"/>
    </row>
    <row r="718" ht="12.75" customHeight="1">
      <c r="A718" s="35"/>
      <c r="B718" s="35"/>
      <c r="C718" s="35"/>
      <c r="D718" s="35"/>
      <c r="E718" s="35"/>
      <c r="F718" s="35"/>
      <c r="G718" s="35"/>
      <c r="H718" s="35"/>
      <c r="I718" s="35"/>
      <c r="J718" s="35"/>
      <c r="K718" s="35"/>
      <c r="L718" s="35"/>
      <c r="M718" s="35"/>
      <c r="N718" s="35"/>
      <c r="O718" s="35"/>
      <c r="P718" s="35"/>
      <c r="Q718" s="35"/>
      <c r="R718" s="35"/>
      <c r="S718" s="35"/>
      <c r="T718" s="35"/>
      <c r="U718" s="35"/>
      <c r="V718" s="35"/>
      <c r="W718" s="35"/>
      <c r="X718" s="35"/>
      <c r="Y718" s="35"/>
      <c r="Z718" s="35"/>
    </row>
    <row r="719" ht="12.75" customHeight="1">
      <c r="A719" s="35"/>
      <c r="B719" s="35"/>
      <c r="C719" s="35"/>
      <c r="D719" s="35"/>
      <c r="E719" s="35"/>
      <c r="F719" s="35"/>
      <c r="G719" s="35"/>
      <c r="H719" s="35"/>
      <c r="I719" s="35"/>
      <c r="J719" s="35"/>
      <c r="K719" s="35"/>
      <c r="L719" s="35"/>
      <c r="M719" s="35"/>
      <c r="N719" s="35"/>
      <c r="O719" s="35"/>
      <c r="P719" s="35"/>
      <c r="Q719" s="35"/>
      <c r="R719" s="35"/>
      <c r="S719" s="35"/>
      <c r="T719" s="35"/>
      <c r="U719" s="35"/>
      <c r="V719" s="35"/>
      <c r="W719" s="35"/>
      <c r="X719" s="35"/>
      <c r="Y719" s="35"/>
      <c r="Z719" s="35"/>
    </row>
    <row r="720" ht="12.75" customHeight="1">
      <c r="A720" s="35"/>
      <c r="B720" s="35"/>
      <c r="C720" s="35"/>
      <c r="D720" s="35"/>
      <c r="E720" s="35"/>
      <c r="F720" s="35"/>
      <c r="G720" s="35"/>
      <c r="H720" s="35"/>
      <c r="I720" s="35"/>
      <c r="J720" s="35"/>
      <c r="K720" s="35"/>
      <c r="L720" s="35"/>
      <c r="M720" s="35"/>
      <c r="N720" s="35"/>
      <c r="O720" s="35"/>
      <c r="P720" s="35"/>
      <c r="Q720" s="35"/>
      <c r="R720" s="35"/>
      <c r="S720" s="35"/>
      <c r="T720" s="35"/>
      <c r="U720" s="35"/>
      <c r="V720" s="35"/>
      <c r="W720" s="35"/>
      <c r="X720" s="35"/>
      <c r="Y720" s="35"/>
      <c r="Z720" s="35"/>
    </row>
    <row r="721" ht="12.75" customHeight="1">
      <c r="A721" s="35"/>
      <c r="B721" s="35"/>
      <c r="C721" s="35"/>
      <c r="D721" s="35"/>
      <c r="E721" s="35"/>
      <c r="F721" s="35"/>
      <c r="G721" s="35"/>
      <c r="H721" s="35"/>
      <c r="I721" s="35"/>
      <c r="J721" s="35"/>
      <c r="K721" s="35"/>
      <c r="L721" s="35"/>
      <c r="M721" s="35"/>
      <c r="N721" s="35"/>
      <c r="O721" s="35"/>
      <c r="P721" s="35"/>
      <c r="Q721" s="35"/>
      <c r="R721" s="35"/>
      <c r="S721" s="35"/>
      <c r="T721" s="35"/>
      <c r="U721" s="35"/>
      <c r="V721" s="35"/>
      <c r="W721" s="35"/>
      <c r="X721" s="35"/>
      <c r="Y721" s="35"/>
      <c r="Z721" s="35"/>
    </row>
    <row r="722" ht="12.75" customHeight="1">
      <c r="A722" s="35"/>
      <c r="B722" s="35"/>
      <c r="C722" s="35"/>
      <c r="D722" s="35"/>
      <c r="E722" s="35"/>
      <c r="F722" s="35"/>
      <c r="G722" s="35"/>
      <c r="H722" s="35"/>
      <c r="I722" s="35"/>
      <c r="J722" s="35"/>
      <c r="K722" s="35"/>
      <c r="L722" s="35"/>
      <c r="M722" s="35"/>
      <c r="N722" s="35"/>
      <c r="O722" s="35"/>
      <c r="P722" s="35"/>
      <c r="Q722" s="35"/>
      <c r="R722" s="35"/>
      <c r="S722" s="35"/>
      <c r="T722" s="35"/>
      <c r="U722" s="35"/>
      <c r="V722" s="35"/>
      <c r="W722" s="35"/>
      <c r="X722" s="35"/>
      <c r="Y722" s="35"/>
      <c r="Z722" s="35"/>
    </row>
    <row r="723" ht="12.75" customHeight="1">
      <c r="A723" s="35"/>
      <c r="B723" s="35"/>
      <c r="C723" s="35"/>
      <c r="D723" s="35"/>
      <c r="E723" s="35"/>
      <c r="F723" s="35"/>
      <c r="G723" s="35"/>
      <c r="H723" s="35"/>
      <c r="I723" s="35"/>
      <c r="J723" s="35"/>
      <c r="K723" s="35"/>
      <c r="L723" s="35"/>
      <c r="M723" s="35"/>
      <c r="N723" s="35"/>
      <c r="O723" s="35"/>
      <c r="P723" s="35"/>
      <c r="Q723" s="35"/>
      <c r="R723" s="35"/>
      <c r="S723" s="35"/>
      <c r="T723" s="35"/>
      <c r="U723" s="35"/>
      <c r="V723" s="35"/>
      <c r="W723" s="35"/>
      <c r="X723" s="35"/>
      <c r="Y723" s="35"/>
      <c r="Z723" s="35"/>
    </row>
    <row r="724" ht="12.75" customHeight="1">
      <c r="A724" s="35"/>
      <c r="B724" s="35"/>
      <c r="C724" s="35"/>
      <c r="D724" s="35"/>
      <c r="E724" s="35"/>
      <c r="F724" s="35"/>
      <c r="G724" s="35"/>
      <c r="H724" s="35"/>
      <c r="I724" s="35"/>
      <c r="J724" s="35"/>
      <c r="K724" s="35"/>
      <c r="L724" s="35"/>
      <c r="M724" s="35"/>
      <c r="N724" s="35"/>
      <c r="O724" s="35"/>
      <c r="P724" s="35"/>
      <c r="Q724" s="35"/>
      <c r="R724" s="35"/>
      <c r="S724" s="35"/>
      <c r="T724" s="35"/>
      <c r="U724" s="35"/>
      <c r="V724" s="35"/>
      <c r="W724" s="35"/>
      <c r="X724" s="35"/>
      <c r="Y724" s="35"/>
      <c r="Z724" s="35"/>
    </row>
    <row r="725" ht="12.75" customHeight="1">
      <c r="A725" s="35"/>
      <c r="B725" s="35"/>
      <c r="C725" s="35"/>
      <c r="D725" s="35"/>
      <c r="E725" s="35"/>
      <c r="F725" s="35"/>
      <c r="G725" s="35"/>
      <c r="H725" s="35"/>
      <c r="I725" s="35"/>
      <c r="J725" s="35"/>
      <c r="K725" s="35"/>
      <c r="L725" s="35"/>
      <c r="M725" s="35"/>
      <c r="N725" s="35"/>
      <c r="O725" s="35"/>
      <c r="P725" s="35"/>
      <c r="Q725" s="35"/>
      <c r="R725" s="35"/>
      <c r="S725" s="35"/>
      <c r="T725" s="35"/>
      <c r="U725" s="35"/>
      <c r="V725" s="35"/>
      <c r="W725" s="35"/>
      <c r="X725" s="35"/>
      <c r="Y725" s="35"/>
      <c r="Z725" s="35"/>
    </row>
    <row r="726" ht="12.75" customHeight="1">
      <c r="A726" s="35"/>
      <c r="B726" s="35"/>
      <c r="C726" s="35"/>
      <c r="D726" s="35"/>
      <c r="E726" s="35"/>
      <c r="F726" s="35"/>
      <c r="G726" s="35"/>
      <c r="H726" s="35"/>
      <c r="I726" s="35"/>
      <c r="J726" s="35"/>
      <c r="K726" s="35"/>
      <c r="L726" s="35"/>
      <c r="M726" s="35"/>
      <c r="N726" s="35"/>
      <c r="O726" s="35"/>
      <c r="P726" s="35"/>
      <c r="Q726" s="35"/>
      <c r="R726" s="35"/>
      <c r="S726" s="35"/>
      <c r="T726" s="35"/>
      <c r="U726" s="35"/>
      <c r="V726" s="35"/>
      <c r="W726" s="35"/>
      <c r="X726" s="35"/>
      <c r="Y726" s="35"/>
      <c r="Z726" s="35"/>
    </row>
    <row r="727" ht="12.75" customHeight="1">
      <c r="A727" s="35"/>
      <c r="B727" s="35"/>
      <c r="C727" s="35"/>
      <c r="D727" s="35"/>
      <c r="E727" s="35"/>
      <c r="F727" s="35"/>
      <c r="G727" s="35"/>
      <c r="H727" s="35"/>
      <c r="I727" s="35"/>
      <c r="J727" s="35"/>
      <c r="K727" s="35"/>
      <c r="L727" s="35"/>
      <c r="M727" s="35"/>
      <c r="N727" s="35"/>
      <c r="O727" s="35"/>
      <c r="P727" s="35"/>
      <c r="Q727" s="35"/>
      <c r="R727" s="35"/>
      <c r="S727" s="35"/>
      <c r="T727" s="35"/>
      <c r="U727" s="35"/>
      <c r="V727" s="35"/>
      <c r="W727" s="35"/>
      <c r="X727" s="35"/>
      <c r="Y727" s="35"/>
      <c r="Z727" s="35"/>
    </row>
    <row r="728" ht="12.75" customHeight="1">
      <c r="A728" s="35"/>
      <c r="B728" s="35"/>
      <c r="C728" s="35"/>
      <c r="D728" s="35"/>
      <c r="E728" s="35"/>
      <c r="F728" s="35"/>
      <c r="G728" s="35"/>
      <c r="H728" s="35"/>
      <c r="I728" s="35"/>
      <c r="J728" s="35"/>
      <c r="K728" s="35"/>
      <c r="L728" s="35"/>
      <c r="M728" s="35"/>
      <c r="N728" s="35"/>
      <c r="O728" s="35"/>
      <c r="P728" s="35"/>
      <c r="Q728" s="35"/>
      <c r="R728" s="35"/>
      <c r="S728" s="35"/>
      <c r="T728" s="35"/>
      <c r="U728" s="35"/>
      <c r="V728" s="35"/>
      <c r="W728" s="35"/>
      <c r="X728" s="35"/>
      <c r="Y728" s="35"/>
      <c r="Z728" s="35"/>
    </row>
    <row r="729" ht="12.75" customHeight="1">
      <c r="A729" s="35"/>
      <c r="B729" s="35"/>
      <c r="C729" s="35"/>
      <c r="D729" s="35"/>
      <c r="E729" s="35"/>
      <c r="F729" s="35"/>
      <c r="G729" s="35"/>
      <c r="H729" s="35"/>
      <c r="I729" s="35"/>
      <c r="J729" s="35"/>
      <c r="K729" s="35"/>
      <c r="L729" s="35"/>
      <c r="M729" s="35"/>
      <c r="N729" s="35"/>
      <c r="O729" s="35"/>
      <c r="P729" s="35"/>
      <c r="Q729" s="35"/>
      <c r="R729" s="35"/>
      <c r="S729" s="35"/>
      <c r="T729" s="35"/>
      <c r="U729" s="35"/>
      <c r="V729" s="35"/>
      <c r="W729" s="35"/>
      <c r="X729" s="35"/>
      <c r="Y729" s="35"/>
      <c r="Z729" s="35"/>
    </row>
    <row r="730" ht="12.75" customHeight="1">
      <c r="A730" s="35"/>
      <c r="B730" s="35"/>
      <c r="C730" s="35"/>
      <c r="D730" s="35"/>
      <c r="E730" s="35"/>
      <c r="F730" s="35"/>
      <c r="G730" s="35"/>
      <c r="H730" s="35"/>
      <c r="I730" s="35"/>
      <c r="J730" s="35"/>
      <c r="K730" s="35"/>
      <c r="L730" s="35"/>
      <c r="M730" s="35"/>
      <c r="N730" s="35"/>
      <c r="O730" s="35"/>
      <c r="P730" s="35"/>
      <c r="Q730" s="35"/>
      <c r="R730" s="35"/>
      <c r="S730" s="35"/>
      <c r="T730" s="35"/>
      <c r="U730" s="35"/>
      <c r="V730" s="35"/>
      <c r="W730" s="35"/>
      <c r="X730" s="35"/>
      <c r="Y730" s="35"/>
      <c r="Z730" s="35"/>
    </row>
    <row r="731" ht="12.75" customHeight="1">
      <c r="A731" s="35"/>
      <c r="B731" s="35"/>
      <c r="C731" s="35"/>
      <c r="D731" s="35"/>
      <c r="E731" s="35"/>
      <c r="F731" s="35"/>
      <c r="G731" s="35"/>
      <c r="H731" s="35"/>
      <c r="I731" s="35"/>
      <c r="J731" s="35"/>
      <c r="K731" s="35"/>
      <c r="L731" s="35"/>
      <c r="M731" s="35"/>
      <c r="N731" s="35"/>
      <c r="O731" s="35"/>
      <c r="P731" s="35"/>
      <c r="Q731" s="35"/>
      <c r="R731" s="35"/>
      <c r="S731" s="35"/>
      <c r="T731" s="35"/>
      <c r="U731" s="35"/>
      <c r="V731" s="35"/>
      <c r="W731" s="35"/>
      <c r="X731" s="35"/>
      <c r="Y731" s="35"/>
      <c r="Z731" s="35"/>
    </row>
    <row r="732" ht="12.75" customHeight="1">
      <c r="A732" s="35"/>
      <c r="B732" s="35"/>
      <c r="C732" s="35"/>
      <c r="D732" s="35"/>
      <c r="E732" s="35"/>
      <c r="F732" s="35"/>
      <c r="G732" s="35"/>
      <c r="H732" s="35"/>
      <c r="I732" s="35"/>
      <c r="J732" s="35"/>
      <c r="K732" s="35"/>
      <c r="L732" s="35"/>
      <c r="M732" s="35"/>
      <c r="N732" s="35"/>
      <c r="O732" s="35"/>
      <c r="P732" s="35"/>
      <c r="Q732" s="35"/>
      <c r="R732" s="35"/>
      <c r="S732" s="35"/>
      <c r="T732" s="35"/>
      <c r="U732" s="35"/>
      <c r="V732" s="35"/>
      <c r="W732" s="35"/>
      <c r="X732" s="35"/>
      <c r="Y732" s="35"/>
      <c r="Z732" s="35"/>
    </row>
    <row r="733" ht="12.75" customHeight="1">
      <c r="A733" s="35"/>
      <c r="B733" s="35"/>
      <c r="C733" s="35"/>
      <c r="D733" s="35"/>
      <c r="E733" s="35"/>
      <c r="F733" s="35"/>
      <c r="G733" s="35"/>
      <c r="H733" s="35"/>
      <c r="I733" s="35"/>
      <c r="J733" s="35"/>
      <c r="K733" s="35"/>
      <c r="L733" s="35"/>
      <c r="M733" s="35"/>
      <c r="N733" s="35"/>
      <c r="O733" s="35"/>
      <c r="P733" s="35"/>
      <c r="Q733" s="35"/>
      <c r="R733" s="35"/>
      <c r="S733" s="35"/>
      <c r="T733" s="35"/>
      <c r="U733" s="35"/>
      <c r="V733" s="35"/>
      <c r="W733" s="35"/>
      <c r="X733" s="35"/>
      <c r="Y733" s="35"/>
      <c r="Z733" s="35"/>
    </row>
    <row r="734" ht="12.75" customHeight="1">
      <c r="A734" s="35"/>
      <c r="B734" s="35"/>
      <c r="C734" s="35"/>
      <c r="D734" s="35"/>
      <c r="E734" s="35"/>
      <c r="F734" s="35"/>
      <c r="G734" s="35"/>
      <c r="H734" s="35"/>
      <c r="I734" s="35"/>
      <c r="J734" s="35"/>
      <c r="K734" s="35"/>
      <c r="L734" s="35"/>
      <c r="M734" s="35"/>
      <c r="N734" s="35"/>
      <c r="O734" s="35"/>
      <c r="P734" s="35"/>
      <c r="Q734" s="35"/>
      <c r="R734" s="35"/>
      <c r="S734" s="35"/>
      <c r="T734" s="35"/>
      <c r="U734" s="35"/>
      <c r="V734" s="35"/>
      <c r="W734" s="35"/>
      <c r="X734" s="35"/>
      <c r="Y734" s="35"/>
      <c r="Z734" s="35"/>
    </row>
    <row r="735" ht="12.75" customHeight="1">
      <c r="A735" s="35"/>
      <c r="B735" s="35"/>
      <c r="C735" s="35"/>
      <c r="D735" s="35"/>
      <c r="E735" s="35"/>
      <c r="F735" s="35"/>
      <c r="G735" s="35"/>
      <c r="H735" s="35"/>
      <c r="I735" s="35"/>
      <c r="J735" s="35"/>
      <c r="K735" s="35"/>
      <c r="L735" s="35"/>
      <c r="M735" s="35"/>
      <c r="N735" s="35"/>
      <c r="O735" s="35"/>
      <c r="P735" s="35"/>
      <c r="Q735" s="35"/>
      <c r="R735" s="35"/>
      <c r="S735" s="35"/>
      <c r="T735" s="35"/>
      <c r="U735" s="35"/>
      <c r="V735" s="35"/>
      <c r="W735" s="35"/>
      <c r="X735" s="35"/>
      <c r="Y735" s="35"/>
      <c r="Z735" s="35"/>
    </row>
    <row r="736" ht="12.75" customHeight="1">
      <c r="A736" s="35"/>
      <c r="B736" s="35"/>
      <c r="C736" s="35"/>
      <c r="D736" s="35"/>
      <c r="E736" s="35"/>
      <c r="F736" s="35"/>
      <c r="G736" s="35"/>
      <c r="H736" s="35"/>
      <c r="I736" s="35"/>
      <c r="J736" s="35"/>
      <c r="K736" s="35"/>
      <c r="L736" s="35"/>
      <c r="M736" s="35"/>
      <c r="N736" s="35"/>
      <c r="O736" s="35"/>
      <c r="P736" s="35"/>
      <c r="Q736" s="35"/>
      <c r="R736" s="35"/>
      <c r="S736" s="35"/>
      <c r="T736" s="35"/>
      <c r="U736" s="35"/>
      <c r="V736" s="35"/>
      <c r="W736" s="35"/>
      <c r="X736" s="35"/>
      <c r="Y736" s="35"/>
      <c r="Z736" s="35"/>
    </row>
    <row r="737" ht="12.75" customHeight="1">
      <c r="A737" s="35"/>
      <c r="B737" s="35"/>
      <c r="C737" s="35"/>
      <c r="D737" s="35"/>
      <c r="E737" s="35"/>
      <c r="F737" s="35"/>
      <c r="G737" s="35"/>
      <c r="H737" s="35"/>
      <c r="I737" s="35"/>
      <c r="J737" s="35"/>
      <c r="K737" s="35"/>
      <c r="L737" s="35"/>
      <c r="M737" s="35"/>
      <c r="N737" s="35"/>
      <c r="O737" s="35"/>
      <c r="P737" s="35"/>
      <c r="Q737" s="35"/>
      <c r="R737" s="35"/>
      <c r="S737" s="35"/>
      <c r="T737" s="35"/>
      <c r="U737" s="35"/>
      <c r="V737" s="35"/>
      <c r="W737" s="35"/>
      <c r="X737" s="35"/>
      <c r="Y737" s="35"/>
      <c r="Z737" s="35"/>
    </row>
    <row r="738" ht="12.75" customHeight="1">
      <c r="A738" s="35"/>
      <c r="B738" s="35"/>
      <c r="C738" s="35"/>
      <c r="D738" s="35"/>
      <c r="E738" s="35"/>
      <c r="F738" s="35"/>
      <c r="G738" s="35"/>
      <c r="H738" s="35"/>
      <c r="I738" s="35"/>
      <c r="J738" s="35"/>
      <c r="K738" s="35"/>
      <c r="L738" s="35"/>
      <c r="M738" s="35"/>
      <c r="N738" s="35"/>
      <c r="O738" s="35"/>
      <c r="P738" s="35"/>
      <c r="Q738" s="35"/>
      <c r="R738" s="35"/>
      <c r="S738" s="35"/>
      <c r="T738" s="35"/>
      <c r="U738" s="35"/>
      <c r="V738" s="35"/>
      <c r="W738" s="35"/>
      <c r="X738" s="35"/>
      <c r="Y738" s="35"/>
      <c r="Z738" s="35"/>
    </row>
    <row r="739" ht="12.75" customHeight="1">
      <c r="A739" s="35"/>
      <c r="B739" s="35"/>
      <c r="C739" s="35"/>
      <c r="D739" s="35"/>
      <c r="E739" s="35"/>
      <c r="F739" s="35"/>
      <c r="G739" s="35"/>
      <c r="H739" s="35"/>
      <c r="I739" s="35"/>
      <c r="J739" s="35"/>
      <c r="K739" s="35"/>
      <c r="L739" s="35"/>
      <c r="M739" s="35"/>
      <c r="N739" s="35"/>
      <c r="O739" s="35"/>
      <c r="P739" s="35"/>
      <c r="Q739" s="35"/>
      <c r="R739" s="35"/>
      <c r="S739" s="35"/>
      <c r="T739" s="35"/>
      <c r="U739" s="35"/>
      <c r="V739" s="35"/>
      <c r="W739" s="35"/>
      <c r="X739" s="35"/>
      <c r="Y739" s="35"/>
      <c r="Z739" s="35"/>
    </row>
    <row r="740" ht="12.75" customHeight="1">
      <c r="A740" s="35"/>
      <c r="B740" s="35"/>
      <c r="C740" s="35"/>
      <c r="D740" s="35"/>
      <c r="E740" s="35"/>
      <c r="F740" s="35"/>
      <c r="G740" s="35"/>
      <c r="H740" s="35"/>
      <c r="I740" s="35"/>
      <c r="J740" s="35"/>
      <c r="K740" s="35"/>
      <c r="L740" s="35"/>
      <c r="M740" s="35"/>
      <c r="N740" s="35"/>
      <c r="O740" s="35"/>
      <c r="P740" s="35"/>
      <c r="Q740" s="35"/>
      <c r="R740" s="35"/>
      <c r="S740" s="35"/>
      <c r="T740" s="35"/>
      <c r="U740" s="35"/>
      <c r="V740" s="35"/>
      <c r="W740" s="35"/>
      <c r="X740" s="35"/>
      <c r="Y740" s="35"/>
      <c r="Z740" s="35"/>
    </row>
    <row r="741" ht="12.75" customHeight="1">
      <c r="A741" s="35"/>
      <c r="B741" s="35"/>
      <c r="C741" s="35"/>
      <c r="D741" s="35"/>
      <c r="E741" s="35"/>
      <c r="F741" s="35"/>
      <c r="G741" s="35"/>
      <c r="H741" s="35"/>
      <c r="I741" s="35"/>
      <c r="J741" s="35"/>
      <c r="K741" s="35"/>
      <c r="L741" s="35"/>
      <c r="M741" s="35"/>
      <c r="N741" s="35"/>
      <c r="O741" s="35"/>
      <c r="P741" s="35"/>
      <c r="Q741" s="35"/>
      <c r="R741" s="35"/>
      <c r="S741" s="35"/>
      <c r="T741" s="35"/>
      <c r="U741" s="35"/>
      <c r="V741" s="35"/>
      <c r="W741" s="35"/>
      <c r="X741" s="35"/>
      <c r="Y741" s="35"/>
      <c r="Z741" s="35"/>
    </row>
    <row r="742" ht="12.75" customHeight="1">
      <c r="A742" s="35"/>
      <c r="B742" s="35"/>
      <c r="C742" s="35"/>
      <c r="D742" s="35"/>
      <c r="E742" s="35"/>
      <c r="F742" s="35"/>
      <c r="G742" s="35"/>
      <c r="H742" s="35"/>
      <c r="I742" s="35"/>
      <c r="J742" s="35"/>
      <c r="K742" s="35"/>
      <c r="L742" s="35"/>
      <c r="M742" s="35"/>
      <c r="N742" s="35"/>
      <c r="O742" s="35"/>
      <c r="P742" s="35"/>
      <c r="Q742" s="35"/>
      <c r="R742" s="35"/>
      <c r="S742" s="35"/>
      <c r="T742" s="35"/>
      <c r="U742" s="35"/>
      <c r="V742" s="35"/>
      <c r="W742" s="35"/>
      <c r="X742" s="35"/>
      <c r="Y742" s="35"/>
      <c r="Z742" s="35"/>
    </row>
    <row r="743" ht="12.75" customHeight="1">
      <c r="A743" s="35"/>
      <c r="B743" s="35"/>
      <c r="C743" s="35"/>
      <c r="D743" s="35"/>
      <c r="E743" s="35"/>
      <c r="F743" s="35"/>
      <c r="G743" s="35"/>
      <c r="H743" s="35"/>
      <c r="I743" s="35"/>
      <c r="J743" s="35"/>
      <c r="K743" s="35"/>
      <c r="L743" s="35"/>
      <c r="M743" s="35"/>
      <c r="N743" s="35"/>
      <c r="O743" s="35"/>
      <c r="P743" s="35"/>
      <c r="Q743" s="35"/>
      <c r="R743" s="35"/>
      <c r="S743" s="35"/>
      <c r="T743" s="35"/>
      <c r="U743" s="35"/>
      <c r="V743" s="35"/>
      <c r="W743" s="35"/>
      <c r="X743" s="35"/>
      <c r="Y743" s="35"/>
      <c r="Z743" s="35"/>
    </row>
    <row r="744" ht="12.75" customHeight="1">
      <c r="A744" s="35"/>
      <c r="B744" s="35"/>
      <c r="C744" s="35"/>
      <c r="D744" s="35"/>
      <c r="E744" s="35"/>
      <c r="F744" s="35"/>
      <c r="G744" s="35"/>
      <c r="H744" s="35"/>
      <c r="I744" s="35"/>
      <c r="J744" s="35"/>
      <c r="K744" s="35"/>
      <c r="L744" s="35"/>
      <c r="M744" s="35"/>
      <c r="N744" s="35"/>
      <c r="O744" s="35"/>
      <c r="P744" s="35"/>
      <c r="Q744" s="35"/>
      <c r="R744" s="35"/>
      <c r="S744" s="35"/>
      <c r="T744" s="35"/>
      <c r="U744" s="35"/>
      <c r="V744" s="35"/>
      <c r="W744" s="35"/>
      <c r="X744" s="35"/>
      <c r="Y744" s="35"/>
      <c r="Z744" s="35"/>
    </row>
    <row r="745" ht="12.75" customHeight="1">
      <c r="A745" s="35"/>
      <c r="B745" s="35"/>
      <c r="C745" s="35"/>
      <c r="D745" s="35"/>
      <c r="E745" s="35"/>
      <c r="F745" s="35"/>
      <c r="G745" s="35"/>
      <c r="H745" s="35"/>
      <c r="I745" s="35"/>
      <c r="J745" s="35"/>
      <c r="K745" s="35"/>
      <c r="L745" s="35"/>
      <c r="M745" s="35"/>
      <c r="N745" s="35"/>
      <c r="O745" s="35"/>
      <c r="P745" s="35"/>
      <c r="Q745" s="35"/>
      <c r="R745" s="35"/>
      <c r="S745" s="35"/>
      <c r="T745" s="35"/>
      <c r="U745" s="35"/>
      <c r="V745" s="35"/>
      <c r="W745" s="35"/>
      <c r="X745" s="35"/>
      <c r="Y745" s="35"/>
      <c r="Z745" s="35"/>
    </row>
    <row r="746" ht="12.75" customHeight="1">
      <c r="A746" s="35"/>
      <c r="B746" s="35"/>
      <c r="C746" s="35"/>
      <c r="D746" s="35"/>
      <c r="E746" s="35"/>
      <c r="F746" s="35"/>
      <c r="G746" s="35"/>
      <c r="H746" s="35"/>
      <c r="I746" s="35"/>
      <c r="J746" s="35"/>
      <c r="K746" s="35"/>
      <c r="L746" s="35"/>
      <c r="M746" s="35"/>
      <c r="N746" s="35"/>
      <c r="O746" s="35"/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5"/>
    </row>
    <row r="747" ht="12.75" customHeight="1">
      <c r="A747" s="35"/>
      <c r="B747" s="35"/>
      <c r="C747" s="35"/>
      <c r="D747" s="35"/>
      <c r="E747" s="35"/>
      <c r="F747" s="35"/>
      <c r="G747" s="35"/>
      <c r="H747" s="35"/>
      <c r="I747" s="35"/>
      <c r="J747" s="35"/>
      <c r="K747" s="35"/>
      <c r="L747" s="35"/>
      <c r="M747" s="35"/>
      <c r="N747" s="35"/>
      <c r="O747" s="35"/>
      <c r="P747" s="35"/>
      <c r="Q747" s="35"/>
      <c r="R747" s="35"/>
      <c r="S747" s="35"/>
      <c r="T747" s="35"/>
      <c r="U747" s="35"/>
      <c r="V747" s="35"/>
      <c r="W747" s="35"/>
      <c r="X747" s="35"/>
      <c r="Y747" s="35"/>
      <c r="Z747" s="35"/>
    </row>
    <row r="748" ht="12.75" customHeight="1">
      <c r="A748" s="35"/>
      <c r="B748" s="35"/>
      <c r="C748" s="35"/>
      <c r="D748" s="35"/>
      <c r="E748" s="35"/>
      <c r="F748" s="35"/>
      <c r="G748" s="35"/>
      <c r="H748" s="35"/>
      <c r="I748" s="35"/>
      <c r="J748" s="35"/>
      <c r="K748" s="35"/>
      <c r="L748" s="35"/>
      <c r="M748" s="35"/>
      <c r="N748" s="35"/>
      <c r="O748" s="35"/>
      <c r="P748" s="35"/>
      <c r="Q748" s="35"/>
      <c r="R748" s="35"/>
      <c r="S748" s="35"/>
      <c r="T748" s="35"/>
      <c r="U748" s="35"/>
      <c r="V748" s="35"/>
      <c r="W748" s="35"/>
      <c r="X748" s="35"/>
      <c r="Y748" s="35"/>
      <c r="Z748" s="35"/>
    </row>
    <row r="749" ht="12.75" customHeight="1">
      <c r="A749" s="35"/>
      <c r="B749" s="35"/>
      <c r="C749" s="35"/>
      <c r="D749" s="35"/>
      <c r="E749" s="35"/>
      <c r="F749" s="35"/>
      <c r="G749" s="35"/>
      <c r="H749" s="35"/>
      <c r="I749" s="35"/>
      <c r="J749" s="35"/>
      <c r="K749" s="35"/>
      <c r="L749" s="35"/>
      <c r="M749" s="35"/>
      <c r="N749" s="35"/>
      <c r="O749" s="35"/>
      <c r="P749" s="35"/>
      <c r="Q749" s="35"/>
      <c r="R749" s="35"/>
      <c r="S749" s="35"/>
      <c r="T749" s="35"/>
      <c r="U749" s="35"/>
      <c r="V749" s="35"/>
      <c r="W749" s="35"/>
      <c r="X749" s="35"/>
      <c r="Y749" s="35"/>
      <c r="Z749" s="35"/>
    </row>
    <row r="750" ht="12.75" customHeight="1">
      <c r="A750" s="35"/>
      <c r="B750" s="35"/>
      <c r="C750" s="35"/>
      <c r="D750" s="35"/>
      <c r="E750" s="35"/>
      <c r="F750" s="35"/>
      <c r="G750" s="35"/>
      <c r="H750" s="35"/>
      <c r="I750" s="35"/>
      <c r="J750" s="35"/>
      <c r="K750" s="35"/>
      <c r="L750" s="35"/>
      <c r="M750" s="35"/>
      <c r="N750" s="35"/>
      <c r="O750" s="35"/>
      <c r="P750" s="35"/>
      <c r="Q750" s="35"/>
      <c r="R750" s="35"/>
      <c r="S750" s="35"/>
      <c r="T750" s="35"/>
      <c r="U750" s="35"/>
      <c r="V750" s="35"/>
      <c r="W750" s="35"/>
      <c r="X750" s="35"/>
      <c r="Y750" s="35"/>
      <c r="Z750" s="35"/>
    </row>
    <row r="751" ht="12.75" customHeight="1">
      <c r="A751" s="35"/>
      <c r="B751" s="35"/>
      <c r="C751" s="35"/>
      <c r="D751" s="35"/>
      <c r="E751" s="35"/>
      <c r="F751" s="35"/>
      <c r="G751" s="35"/>
      <c r="H751" s="35"/>
      <c r="I751" s="35"/>
      <c r="J751" s="35"/>
      <c r="K751" s="35"/>
      <c r="L751" s="35"/>
      <c r="M751" s="35"/>
      <c r="N751" s="35"/>
      <c r="O751" s="35"/>
      <c r="P751" s="35"/>
      <c r="Q751" s="35"/>
      <c r="R751" s="35"/>
      <c r="S751" s="35"/>
      <c r="T751" s="35"/>
      <c r="U751" s="35"/>
      <c r="V751" s="35"/>
      <c r="W751" s="35"/>
      <c r="X751" s="35"/>
      <c r="Y751" s="35"/>
      <c r="Z751" s="35"/>
    </row>
    <row r="752" ht="12.75" customHeight="1">
      <c r="A752" s="35"/>
      <c r="B752" s="35"/>
      <c r="C752" s="35"/>
      <c r="D752" s="35"/>
      <c r="E752" s="35"/>
      <c r="F752" s="35"/>
      <c r="G752" s="35"/>
      <c r="H752" s="35"/>
      <c r="I752" s="35"/>
      <c r="J752" s="35"/>
      <c r="K752" s="35"/>
      <c r="L752" s="35"/>
      <c r="M752" s="35"/>
      <c r="N752" s="35"/>
      <c r="O752" s="35"/>
      <c r="P752" s="35"/>
      <c r="Q752" s="35"/>
      <c r="R752" s="35"/>
      <c r="S752" s="35"/>
      <c r="T752" s="35"/>
      <c r="U752" s="35"/>
      <c r="V752" s="35"/>
      <c r="W752" s="35"/>
      <c r="X752" s="35"/>
      <c r="Y752" s="35"/>
      <c r="Z752" s="35"/>
    </row>
    <row r="753" ht="12.75" customHeight="1">
      <c r="A753" s="35"/>
      <c r="B753" s="35"/>
      <c r="C753" s="35"/>
      <c r="D753" s="35"/>
      <c r="E753" s="35"/>
      <c r="F753" s="35"/>
      <c r="G753" s="35"/>
      <c r="H753" s="35"/>
      <c r="I753" s="35"/>
      <c r="J753" s="35"/>
      <c r="K753" s="35"/>
      <c r="L753" s="35"/>
      <c r="M753" s="35"/>
      <c r="N753" s="35"/>
      <c r="O753" s="35"/>
      <c r="P753" s="35"/>
      <c r="Q753" s="35"/>
      <c r="R753" s="35"/>
      <c r="S753" s="35"/>
      <c r="T753" s="35"/>
      <c r="U753" s="35"/>
      <c r="V753" s="35"/>
      <c r="W753" s="35"/>
      <c r="X753" s="35"/>
      <c r="Y753" s="35"/>
      <c r="Z753" s="35"/>
    </row>
    <row r="754" ht="12.75" customHeight="1">
      <c r="A754" s="35"/>
      <c r="B754" s="35"/>
      <c r="C754" s="35"/>
      <c r="D754" s="35"/>
      <c r="E754" s="35"/>
      <c r="F754" s="35"/>
      <c r="G754" s="35"/>
      <c r="H754" s="35"/>
      <c r="I754" s="35"/>
      <c r="J754" s="35"/>
      <c r="K754" s="35"/>
      <c r="L754" s="35"/>
      <c r="M754" s="35"/>
      <c r="N754" s="35"/>
      <c r="O754" s="35"/>
      <c r="P754" s="35"/>
      <c r="Q754" s="35"/>
      <c r="R754" s="35"/>
      <c r="S754" s="35"/>
      <c r="T754" s="35"/>
      <c r="U754" s="35"/>
      <c r="V754" s="35"/>
      <c r="W754" s="35"/>
      <c r="X754" s="35"/>
      <c r="Y754" s="35"/>
      <c r="Z754" s="35"/>
    </row>
    <row r="755" ht="12.75" customHeight="1">
      <c r="A755" s="35"/>
      <c r="B755" s="35"/>
      <c r="C755" s="35"/>
      <c r="D755" s="35"/>
      <c r="E755" s="35"/>
      <c r="F755" s="35"/>
      <c r="G755" s="35"/>
      <c r="H755" s="35"/>
      <c r="I755" s="35"/>
      <c r="J755" s="35"/>
      <c r="K755" s="35"/>
      <c r="L755" s="35"/>
      <c r="M755" s="35"/>
      <c r="N755" s="35"/>
      <c r="O755" s="35"/>
      <c r="P755" s="35"/>
      <c r="Q755" s="35"/>
      <c r="R755" s="35"/>
      <c r="S755" s="35"/>
      <c r="T755" s="35"/>
      <c r="U755" s="35"/>
      <c r="V755" s="35"/>
      <c r="W755" s="35"/>
      <c r="X755" s="35"/>
      <c r="Y755" s="35"/>
      <c r="Z755" s="35"/>
    </row>
    <row r="756" ht="12.75" customHeight="1">
      <c r="A756" s="35"/>
      <c r="B756" s="35"/>
      <c r="C756" s="35"/>
      <c r="D756" s="35"/>
      <c r="E756" s="35"/>
      <c r="F756" s="35"/>
      <c r="G756" s="35"/>
      <c r="H756" s="35"/>
      <c r="I756" s="35"/>
      <c r="J756" s="35"/>
      <c r="K756" s="35"/>
      <c r="L756" s="35"/>
      <c r="M756" s="35"/>
      <c r="N756" s="35"/>
      <c r="O756" s="35"/>
      <c r="P756" s="35"/>
      <c r="Q756" s="35"/>
      <c r="R756" s="35"/>
      <c r="S756" s="35"/>
      <c r="T756" s="35"/>
      <c r="U756" s="35"/>
      <c r="V756" s="35"/>
      <c r="W756" s="35"/>
      <c r="X756" s="35"/>
      <c r="Y756" s="35"/>
      <c r="Z756" s="35"/>
    </row>
    <row r="757" ht="12.75" customHeight="1">
      <c r="A757" s="35"/>
      <c r="B757" s="35"/>
      <c r="C757" s="35"/>
      <c r="D757" s="35"/>
      <c r="E757" s="35"/>
      <c r="F757" s="35"/>
      <c r="G757" s="35"/>
      <c r="H757" s="35"/>
      <c r="I757" s="35"/>
      <c r="J757" s="35"/>
      <c r="K757" s="35"/>
      <c r="L757" s="35"/>
      <c r="M757" s="35"/>
      <c r="N757" s="35"/>
      <c r="O757" s="35"/>
      <c r="P757" s="35"/>
      <c r="Q757" s="35"/>
      <c r="R757" s="35"/>
      <c r="S757" s="35"/>
      <c r="T757" s="35"/>
      <c r="U757" s="35"/>
      <c r="V757" s="35"/>
      <c r="W757" s="35"/>
      <c r="X757" s="35"/>
      <c r="Y757" s="35"/>
      <c r="Z757" s="35"/>
    </row>
    <row r="758" ht="12.75" customHeight="1">
      <c r="A758" s="35"/>
      <c r="B758" s="35"/>
      <c r="C758" s="35"/>
      <c r="D758" s="35"/>
      <c r="E758" s="35"/>
      <c r="F758" s="35"/>
      <c r="G758" s="35"/>
      <c r="H758" s="35"/>
      <c r="I758" s="35"/>
      <c r="J758" s="35"/>
      <c r="K758" s="35"/>
      <c r="L758" s="35"/>
      <c r="M758" s="35"/>
      <c r="N758" s="35"/>
      <c r="O758" s="35"/>
      <c r="P758" s="35"/>
      <c r="Q758" s="35"/>
      <c r="R758" s="35"/>
      <c r="S758" s="35"/>
      <c r="T758" s="35"/>
      <c r="U758" s="35"/>
      <c r="V758" s="35"/>
      <c r="W758" s="35"/>
      <c r="X758" s="35"/>
      <c r="Y758" s="35"/>
      <c r="Z758" s="35"/>
    </row>
    <row r="759" ht="12.75" customHeight="1">
      <c r="A759" s="35"/>
      <c r="B759" s="35"/>
      <c r="C759" s="35"/>
      <c r="D759" s="35"/>
      <c r="E759" s="35"/>
      <c r="F759" s="35"/>
      <c r="G759" s="35"/>
      <c r="H759" s="35"/>
      <c r="I759" s="35"/>
      <c r="J759" s="35"/>
      <c r="K759" s="35"/>
      <c r="L759" s="35"/>
      <c r="M759" s="35"/>
      <c r="N759" s="35"/>
      <c r="O759" s="35"/>
      <c r="P759" s="35"/>
      <c r="Q759" s="35"/>
      <c r="R759" s="35"/>
      <c r="S759" s="35"/>
      <c r="T759" s="35"/>
      <c r="U759" s="35"/>
      <c r="V759" s="35"/>
      <c r="W759" s="35"/>
      <c r="X759" s="35"/>
      <c r="Y759" s="35"/>
      <c r="Z759" s="35"/>
    </row>
    <row r="760" ht="12.75" customHeight="1">
      <c r="A760" s="35"/>
      <c r="B760" s="35"/>
      <c r="C760" s="35"/>
      <c r="D760" s="35"/>
      <c r="E760" s="35"/>
      <c r="F760" s="35"/>
      <c r="G760" s="35"/>
      <c r="H760" s="35"/>
      <c r="I760" s="35"/>
      <c r="J760" s="35"/>
      <c r="K760" s="35"/>
      <c r="L760" s="35"/>
      <c r="M760" s="35"/>
      <c r="N760" s="35"/>
      <c r="O760" s="35"/>
      <c r="P760" s="35"/>
      <c r="Q760" s="35"/>
      <c r="R760" s="35"/>
      <c r="S760" s="35"/>
      <c r="T760" s="35"/>
      <c r="U760" s="35"/>
      <c r="V760" s="35"/>
      <c r="W760" s="35"/>
      <c r="X760" s="35"/>
      <c r="Y760" s="35"/>
      <c r="Z760" s="35"/>
    </row>
    <row r="761" ht="12.75" customHeight="1">
      <c r="A761" s="35"/>
      <c r="B761" s="35"/>
      <c r="C761" s="35"/>
      <c r="D761" s="35"/>
      <c r="E761" s="35"/>
      <c r="F761" s="35"/>
      <c r="G761" s="35"/>
      <c r="H761" s="35"/>
      <c r="I761" s="35"/>
      <c r="J761" s="35"/>
      <c r="K761" s="35"/>
      <c r="L761" s="35"/>
      <c r="M761" s="35"/>
      <c r="N761" s="35"/>
      <c r="O761" s="35"/>
      <c r="P761" s="35"/>
      <c r="Q761" s="35"/>
      <c r="R761" s="35"/>
      <c r="S761" s="35"/>
      <c r="T761" s="35"/>
      <c r="U761" s="35"/>
      <c r="V761" s="35"/>
      <c r="W761" s="35"/>
      <c r="X761" s="35"/>
      <c r="Y761" s="35"/>
      <c r="Z761" s="35"/>
    </row>
    <row r="762" ht="12.75" customHeight="1">
      <c r="A762" s="35"/>
      <c r="B762" s="35"/>
      <c r="C762" s="35"/>
      <c r="D762" s="35"/>
      <c r="E762" s="35"/>
      <c r="F762" s="35"/>
      <c r="G762" s="35"/>
      <c r="H762" s="35"/>
      <c r="I762" s="35"/>
      <c r="J762" s="35"/>
      <c r="K762" s="35"/>
      <c r="L762" s="35"/>
      <c r="M762" s="35"/>
      <c r="N762" s="35"/>
      <c r="O762" s="35"/>
      <c r="P762" s="35"/>
      <c r="Q762" s="35"/>
      <c r="R762" s="35"/>
      <c r="S762" s="35"/>
      <c r="T762" s="35"/>
      <c r="U762" s="35"/>
      <c r="V762" s="35"/>
      <c r="W762" s="35"/>
      <c r="X762" s="35"/>
      <c r="Y762" s="35"/>
      <c r="Z762" s="35"/>
    </row>
    <row r="763" ht="12.75" customHeight="1">
      <c r="A763" s="35"/>
      <c r="B763" s="35"/>
      <c r="C763" s="35"/>
      <c r="D763" s="35"/>
      <c r="E763" s="35"/>
      <c r="F763" s="35"/>
      <c r="G763" s="35"/>
      <c r="H763" s="35"/>
      <c r="I763" s="35"/>
      <c r="J763" s="35"/>
      <c r="K763" s="35"/>
      <c r="L763" s="35"/>
      <c r="M763" s="35"/>
      <c r="N763" s="35"/>
      <c r="O763" s="35"/>
      <c r="P763" s="35"/>
      <c r="Q763" s="35"/>
      <c r="R763" s="35"/>
      <c r="S763" s="35"/>
      <c r="T763" s="35"/>
      <c r="U763" s="35"/>
      <c r="V763" s="35"/>
      <c r="W763" s="35"/>
      <c r="X763" s="35"/>
      <c r="Y763" s="35"/>
      <c r="Z763" s="35"/>
    </row>
    <row r="764" ht="12.75" customHeight="1">
      <c r="A764" s="35"/>
      <c r="B764" s="35"/>
      <c r="C764" s="35"/>
      <c r="D764" s="35"/>
      <c r="E764" s="35"/>
      <c r="F764" s="35"/>
      <c r="G764" s="35"/>
      <c r="H764" s="35"/>
      <c r="I764" s="35"/>
      <c r="J764" s="35"/>
      <c r="K764" s="35"/>
      <c r="L764" s="35"/>
      <c r="M764" s="35"/>
      <c r="N764" s="35"/>
      <c r="O764" s="35"/>
      <c r="P764" s="35"/>
      <c r="Q764" s="35"/>
      <c r="R764" s="35"/>
      <c r="S764" s="35"/>
      <c r="T764" s="35"/>
      <c r="U764" s="35"/>
      <c r="V764" s="35"/>
      <c r="W764" s="35"/>
      <c r="X764" s="35"/>
      <c r="Y764" s="35"/>
      <c r="Z764" s="35"/>
    </row>
    <row r="765" ht="12.75" customHeight="1">
      <c r="A765" s="35"/>
      <c r="B765" s="35"/>
      <c r="C765" s="35"/>
      <c r="D765" s="35"/>
      <c r="E765" s="35"/>
      <c r="F765" s="35"/>
      <c r="G765" s="35"/>
      <c r="H765" s="35"/>
      <c r="I765" s="35"/>
      <c r="J765" s="35"/>
      <c r="K765" s="35"/>
      <c r="L765" s="35"/>
      <c r="M765" s="35"/>
      <c r="N765" s="35"/>
      <c r="O765" s="35"/>
      <c r="P765" s="35"/>
      <c r="Q765" s="35"/>
      <c r="R765" s="35"/>
      <c r="S765" s="35"/>
      <c r="T765" s="35"/>
      <c r="U765" s="35"/>
      <c r="V765" s="35"/>
      <c r="W765" s="35"/>
      <c r="X765" s="35"/>
      <c r="Y765" s="35"/>
      <c r="Z765" s="35"/>
    </row>
    <row r="766" ht="12.75" customHeight="1">
      <c r="A766" s="35"/>
      <c r="B766" s="35"/>
      <c r="C766" s="35"/>
      <c r="D766" s="35"/>
      <c r="E766" s="35"/>
      <c r="F766" s="35"/>
      <c r="G766" s="35"/>
      <c r="H766" s="35"/>
      <c r="I766" s="35"/>
      <c r="J766" s="35"/>
      <c r="K766" s="35"/>
      <c r="L766" s="35"/>
      <c r="M766" s="35"/>
      <c r="N766" s="35"/>
      <c r="O766" s="35"/>
      <c r="P766" s="35"/>
      <c r="Q766" s="35"/>
      <c r="R766" s="35"/>
      <c r="S766" s="35"/>
      <c r="T766" s="35"/>
      <c r="U766" s="35"/>
      <c r="V766" s="35"/>
      <c r="W766" s="35"/>
      <c r="X766" s="35"/>
      <c r="Y766" s="35"/>
      <c r="Z766" s="35"/>
    </row>
    <row r="767" ht="12.75" customHeight="1">
      <c r="A767" s="35"/>
      <c r="B767" s="35"/>
      <c r="C767" s="35"/>
      <c r="D767" s="35"/>
      <c r="E767" s="35"/>
      <c r="F767" s="35"/>
      <c r="G767" s="35"/>
      <c r="H767" s="35"/>
      <c r="I767" s="35"/>
      <c r="J767" s="35"/>
      <c r="K767" s="35"/>
      <c r="L767" s="35"/>
      <c r="M767" s="35"/>
      <c r="N767" s="35"/>
      <c r="O767" s="35"/>
      <c r="P767" s="35"/>
      <c r="Q767" s="35"/>
      <c r="R767" s="35"/>
      <c r="S767" s="35"/>
      <c r="T767" s="35"/>
      <c r="U767" s="35"/>
      <c r="V767" s="35"/>
      <c r="W767" s="35"/>
      <c r="X767" s="35"/>
      <c r="Y767" s="35"/>
      <c r="Z767" s="35"/>
    </row>
    <row r="768" ht="12.75" customHeight="1">
      <c r="A768" s="35"/>
      <c r="B768" s="35"/>
      <c r="C768" s="35"/>
      <c r="D768" s="35"/>
      <c r="E768" s="35"/>
      <c r="F768" s="35"/>
      <c r="G768" s="35"/>
      <c r="H768" s="35"/>
      <c r="I768" s="35"/>
      <c r="J768" s="35"/>
      <c r="K768" s="35"/>
      <c r="L768" s="35"/>
      <c r="M768" s="35"/>
      <c r="N768" s="35"/>
      <c r="O768" s="35"/>
      <c r="P768" s="35"/>
      <c r="Q768" s="35"/>
      <c r="R768" s="35"/>
      <c r="S768" s="35"/>
      <c r="T768" s="35"/>
      <c r="U768" s="35"/>
      <c r="V768" s="35"/>
      <c r="W768" s="35"/>
      <c r="X768" s="35"/>
      <c r="Y768" s="35"/>
      <c r="Z768" s="35"/>
    </row>
    <row r="769" ht="12.75" customHeight="1">
      <c r="A769" s="35"/>
      <c r="B769" s="35"/>
      <c r="C769" s="35"/>
      <c r="D769" s="35"/>
      <c r="E769" s="35"/>
      <c r="F769" s="35"/>
      <c r="G769" s="35"/>
      <c r="H769" s="35"/>
      <c r="I769" s="35"/>
      <c r="J769" s="35"/>
      <c r="K769" s="35"/>
      <c r="L769" s="35"/>
      <c r="M769" s="35"/>
      <c r="N769" s="35"/>
      <c r="O769" s="35"/>
      <c r="P769" s="35"/>
      <c r="Q769" s="35"/>
      <c r="R769" s="35"/>
      <c r="S769" s="35"/>
      <c r="T769" s="35"/>
      <c r="U769" s="35"/>
      <c r="V769" s="35"/>
      <c r="W769" s="35"/>
      <c r="X769" s="35"/>
      <c r="Y769" s="35"/>
      <c r="Z769" s="35"/>
    </row>
    <row r="770" ht="12.75" customHeight="1">
      <c r="A770" s="35"/>
      <c r="B770" s="35"/>
      <c r="C770" s="35"/>
      <c r="D770" s="35"/>
      <c r="E770" s="35"/>
      <c r="F770" s="35"/>
      <c r="G770" s="35"/>
      <c r="H770" s="35"/>
      <c r="I770" s="35"/>
      <c r="J770" s="35"/>
      <c r="K770" s="35"/>
      <c r="L770" s="35"/>
      <c r="M770" s="35"/>
      <c r="N770" s="35"/>
      <c r="O770" s="35"/>
      <c r="P770" s="35"/>
      <c r="Q770" s="35"/>
      <c r="R770" s="35"/>
      <c r="S770" s="35"/>
      <c r="T770" s="35"/>
      <c r="U770" s="35"/>
      <c r="V770" s="35"/>
      <c r="W770" s="35"/>
      <c r="X770" s="35"/>
      <c r="Y770" s="35"/>
      <c r="Z770" s="35"/>
    </row>
    <row r="771" ht="12.75" customHeight="1">
      <c r="A771" s="35"/>
      <c r="B771" s="35"/>
      <c r="C771" s="35"/>
      <c r="D771" s="35"/>
      <c r="E771" s="35"/>
      <c r="F771" s="35"/>
      <c r="G771" s="35"/>
      <c r="H771" s="35"/>
      <c r="I771" s="35"/>
      <c r="J771" s="35"/>
      <c r="K771" s="35"/>
      <c r="L771" s="35"/>
      <c r="M771" s="35"/>
      <c r="N771" s="35"/>
      <c r="O771" s="35"/>
      <c r="P771" s="35"/>
      <c r="Q771" s="35"/>
      <c r="R771" s="35"/>
      <c r="S771" s="35"/>
      <c r="T771" s="35"/>
      <c r="U771" s="35"/>
      <c r="V771" s="35"/>
      <c r="W771" s="35"/>
      <c r="X771" s="35"/>
      <c r="Y771" s="35"/>
      <c r="Z771" s="35"/>
    </row>
    <row r="772" ht="12.75" customHeight="1">
      <c r="A772" s="35"/>
      <c r="B772" s="35"/>
      <c r="C772" s="35"/>
      <c r="D772" s="35"/>
      <c r="E772" s="35"/>
      <c r="F772" s="35"/>
      <c r="G772" s="35"/>
      <c r="H772" s="35"/>
      <c r="I772" s="35"/>
      <c r="J772" s="35"/>
      <c r="K772" s="35"/>
      <c r="L772" s="35"/>
      <c r="M772" s="35"/>
      <c r="N772" s="35"/>
      <c r="O772" s="35"/>
      <c r="P772" s="35"/>
      <c r="Q772" s="35"/>
      <c r="R772" s="35"/>
      <c r="S772" s="35"/>
      <c r="T772" s="35"/>
      <c r="U772" s="35"/>
      <c r="V772" s="35"/>
      <c r="W772" s="35"/>
      <c r="X772" s="35"/>
      <c r="Y772" s="35"/>
      <c r="Z772" s="35"/>
    </row>
    <row r="773" ht="12.75" customHeight="1">
      <c r="A773" s="35"/>
      <c r="B773" s="35"/>
      <c r="C773" s="35"/>
      <c r="D773" s="35"/>
      <c r="E773" s="35"/>
      <c r="F773" s="35"/>
      <c r="G773" s="35"/>
      <c r="H773" s="35"/>
      <c r="I773" s="35"/>
      <c r="J773" s="35"/>
      <c r="K773" s="35"/>
      <c r="L773" s="35"/>
      <c r="M773" s="35"/>
      <c r="N773" s="35"/>
      <c r="O773" s="35"/>
      <c r="P773" s="35"/>
      <c r="Q773" s="35"/>
      <c r="R773" s="35"/>
      <c r="S773" s="35"/>
      <c r="T773" s="35"/>
      <c r="U773" s="35"/>
      <c r="V773" s="35"/>
      <c r="W773" s="35"/>
      <c r="X773" s="35"/>
      <c r="Y773" s="35"/>
      <c r="Z773" s="35"/>
    </row>
    <row r="774" ht="12.75" customHeight="1">
      <c r="A774" s="35"/>
      <c r="B774" s="35"/>
      <c r="C774" s="35"/>
      <c r="D774" s="35"/>
      <c r="E774" s="35"/>
      <c r="F774" s="35"/>
      <c r="G774" s="35"/>
      <c r="H774" s="35"/>
      <c r="I774" s="35"/>
      <c r="J774" s="35"/>
      <c r="K774" s="35"/>
      <c r="L774" s="35"/>
      <c r="M774" s="35"/>
      <c r="N774" s="35"/>
      <c r="O774" s="35"/>
      <c r="P774" s="35"/>
      <c r="Q774" s="35"/>
      <c r="R774" s="35"/>
      <c r="S774" s="35"/>
      <c r="T774" s="35"/>
      <c r="U774" s="35"/>
      <c r="V774" s="35"/>
      <c r="W774" s="35"/>
      <c r="X774" s="35"/>
      <c r="Y774" s="35"/>
      <c r="Z774" s="35"/>
    </row>
    <row r="775" ht="12.75" customHeight="1">
      <c r="A775" s="35"/>
      <c r="B775" s="35"/>
      <c r="C775" s="35"/>
      <c r="D775" s="35"/>
      <c r="E775" s="35"/>
      <c r="F775" s="35"/>
      <c r="G775" s="35"/>
      <c r="H775" s="35"/>
      <c r="I775" s="35"/>
      <c r="J775" s="35"/>
      <c r="K775" s="35"/>
      <c r="L775" s="35"/>
      <c r="M775" s="35"/>
      <c r="N775" s="35"/>
      <c r="O775" s="35"/>
      <c r="P775" s="35"/>
      <c r="Q775" s="35"/>
      <c r="R775" s="35"/>
      <c r="S775" s="35"/>
      <c r="T775" s="35"/>
      <c r="U775" s="35"/>
      <c r="V775" s="35"/>
      <c r="W775" s="35"/>
      <c r="X775" s="35"/>
      <c r="Y775" s="35"/>
      <c r="Z775" s="35"/>
    </row>
    <row r="776" ht="12.75" customHeight="1">
      <c r="A776" s="35"/>
      <c r="B776" s="35"/>
      <c r="C776" s="35"/>
      <c r="D776" s="35"/>
      <c r="E776" s="35"/>
      <c r="F776" s="35"/>
      <c r="G776" s="35"/>
      <c r="H776" s="35"/>
      <c r="I776" s="35"/>
      <c r="J776" s="35"/>
      <c r="K776" s="35"/>
      <c r="L776" s="35"/>
      <c r="M776" s="35"/>
      <c r="N776" s="35"/>
      <c r="O776" s="35"/>
      <c r="P776" s="35"/>
      <c r="Q776" s="35"/>
      <c r="R776" s="35"/>
      <c r="S776" s="35"/>
      <c r="T776" s="35"/>
      <c r="U776" s="35"/>
      <c r="V776" s="35"/>
      <c r="W776" s="35"/>
      <c r="X776" s="35"/>
      <c r="Y776" s="35"/>
      <c r="Z776" s="35"/>
    </row>
    <row r="777" ht="12.75" customHeight="1">
      <c r="A777" s="35"/>
      <c r="B777" s="35"/>
      <c r="C777" s="35"/>
      <c r="D777" s="35"/>
      <c r="E777" s="35"/>
      <c r="F777" s="35"/>
      <c r="G777" s="35"/>
      <c r="H777" s="35"/>
      <c r="I777" s="35"/>
      <c r="J777" s="35"/>
      <c r="K777" s="35"/>
      <c r="L777" s="35"/>
      <c r="M777" s="35"/>
      <c r="N777" s="35"/>
      <c r="O777" s="35"/>
      <c r="P777" s="35"/>
      <c r="Q777" s="35"/>
      <c r="R777" s="35"/>
      <c r="S777" s="35"/>
      <c r="T777" s="35"/>
      <c r="U777" s="35"/>
      <c r="V777" s="35"/>
      <c r="W777" s="35"/>
      <c r="X777" s="35"/>
      <c r="Y777" s="35"/>
      <c r="Z777" s="35"/>
    </row>
    <row r="778" ht="12.75" customHeight="1">
      <c r="A778" s="35"/>
      <c r="B778" s="35"/>
      <c r="C778" s="35"/>
      <c r="D778" s="35"/>
      <c r="E778" s="35"/>
      <c r="F778" s="35"/>
      <c r="G778" s="35"/>
      <c r="H778" s="35"/>
      <c r="I778" s="35"/>
      <c r="J778" s="35"/>
      <c r="K778" s="35"/>
      <c r="L778" s="35"/>
      <c r="M778" s="35"/>
      <c r="N778" s="35"/>
      <c r="O778" s="35"/>
      <c r="P778" s="35"/>
      <c r="Q778" s="35"/>
      <c r="R778" s="35"/>
      <c r="S778" s="35"/>
      <c r="T778" s="35"/>
      <c r="U778" s="35"/>
      <c r="V778" s="35"/>
      <c r="W778" s="35"/>
      <c r="X778" s="35"/>
      <c r="Y778" s="35"/>
      <c r="Z778" s="35"/>
    </row>
    <row r="779" ht="12.75" customHeight="1">
      <c r="A779" s="35"/>
      <c r="B779" s="35"/>
      <c r="C779" s="35"/>
      <c r="D779" s="35"/>
      <c r="E779" s="35"/>
      <c r="F779" s="35"/>
      <c r="G779" s="35"/>
      <c r="H779" s="35"/>
      <c r="I779" s="35"/>
      <c r="J779" s="35"/>
      <c r="K779" s="35"/>
      <c r="L779" s="35"/>
      <c r="M779" s="35"/>
      <c r="N779" s="35"/>
      <c r="O779" s="35"/>
      <c r="P779" s="35"/>
      <c r="Q779" s="35"/>
      <c r="R779" s="35"/>
      <c r="S779" s="35"/>
      <c r="T779" s="35"/>
      <c r="U779" s="35"/>
      <c r="V779" s="35"/>
      <c r="W779" s="35"/>
      <c r="X779" s="35"/>
      <c r="Y779" s="35"/>
      <c r="Z779" s="35"/>
    </row>
    <row r="780" ht="12.75" customHeight="1">
      <c r="A780" s="35"/>
      <c r="B780" s="35"/>
      <c r="C780" s="35"/>
      <c r="D780" s="35"/>
      <c r="E780" s="35"/>
      <c r="F780" s="35"/>
      <c r="G780" s="35"/>
      <c r="H780" s="35"/>
      <c r="I780" s="35"/>
      <c r="J780" s="35"/>
      <c r="K780" s="35"/>
      <c r="L780" s="35"/>
      <c r="M780" s="35"/>
      <c r="N780" s="35"/>
      <c r="O780" s="35"/>
      <c r="P780" s="35"/>
      <c r="Q780" s="35"/>
      <c r="R780" s="35"/>
      <c r="S780" s="35"/>
      <c r="T780" s="35"/>
      <c r="U780" s="35"/>
      <c r="V780" s="35"/>
      <c r="W780" s="35"/>
      <c r="X780" s="35"/>
      <c r="Y780" s="35"/>
      <c r="Z780" s="35"/>
    </row>
    <row r="781" ht="12.75" customHeight="1">
      <c r="A781" s="35"/>
      <c r="B781" s="35"/>
      <c r="C781" s="35"/>
      <c r="D781" s="35"/>
      <c r="E781" s="35"/>
      <c r="F781" s="35"/>
      <c r="G781" s="35"/>
      <c r="H781" s="35"/>
      <c r="I781" s="35"/>
      <c r="J781" s="35"/>
      <c r="K781" s="35"/>
      <c r="L781" s="35"/>
      <c r="M781" s="35"/>
      <c r="N781" s="35"/>
      <c r="O781" s="35"/>
      <c r="P781" s="35"/>
      <c r="Q781" s="35"/>
      <c r="R781" s="35"/>
      <c r="S781" s="35"/>
      <c r="T781" s="35"/>
      <c r="U781" s="35"/>
      <c r="V781" s="35"/>
      <c r="W781" s="35"/>
      <c r="X781" s="35"/>
      <c r="Y781" s="35"/>
      <c r="Z781" s="35"/>
    </row>
    <row r="782" ht="12.75" customHeight="1">
      <c r="A782" s="35"/>
      <c r="B782" s="35"/>
      <c r="C782" s="35"/>
      <c r="D782" s="35"/>
      <c r="E782" s="35"/>
      <c r="F782" s="35"/>
      <c r="G782" s="35"/>
      <c r="H782" s="35"/>
      <c r="I782" s="35"/>
      <c r="J782" s="35"/>
      <c r="K782" s="35"/>
      <c r="L782" s="35"/>
      <c r="M782" s="35"/>
      <c r="N782" s="35"/>
      <c r="O782" s="35"/>
      <c r="P782" s="35"/>
      <c r="Q782" s="35"/>
      <c r="R782" s="35"/>
      <c r="S782" s="35"/>
      <c r="T782" s="35"/>
      <c r="U782" s="35"/>
      <c r="V782" s="35"/>
      <c r="W782" s="35"/>
      <c r="X782" s="35"/>
      <c r="Y782" s="35"/>
      <c r="Z782" s="35"/>
    </row>
    <row r="783" ht="12.75" customHeight="1">
      <c r="A783" s="35"/>
      <c r="B783" s="35"/>
      <c r="C783" s="35"/>
      <c r="D783" s="35"/>
      <c r="E783" s="35"/>
      <c r="F783" s="35"/>
      <c r="G783" s="35"/>
      <c r="H783" s="35"/>
      <c r="I783" s="35"/>
      <c r="J783" s="35"/>
      <c r="K783" s="35"/>
      <c r="L783" s="35"/>
      <c r="M783" s="35"/>
      <c r="N783" s="35"/>
      <c r="O783" s="35"/>
      <c r="P783" s="35"/>
      <c r="Q783" s="35"/>
      <c r="R783" s="35"/>
      <c r="S783" s="35"/>
      <c r="T783" s="35"/>
      <c r="U783" s="35"/>
      <c r="V783" s="35"/>
      <c r="W783" s="35"/>
      <c r="X783" s="35"/>
      <c r="Y783" s="35"/>
      <c r="Z783" s="35"/>
    </row>
    <row r="784" ht="12.75" customHeight="1">
      <c r="A784" s="35"/>
      <c r="B784" s="35"/>
      <c r="C784" s="35"/>
      <c r="D784" s="35"/>
      <c r="E784" s="35"/>
      <c r="F784" s="35"/>
      <c r="G784" s="35"/>
      <c r="H784" s="35"/>
      <c r="I784" s="35"/>
      <c r="J784" s="35"/>
      <c r="K784" s="35"/>
      <c r="L784" s="35"/>
      <c r="M784" s="35"/>
      <c r="N784" s="35"/>
      <c r="O784" s="35"/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5"/>
    </row>
    <row r="785" ht="12.75" customHeight="1">
      <c r="A785" s="35"/>
      <c r="B785" s="35"/>
      <c r="C785" s="35"/>
      <c r="D785" s="35"/>
      <c r="E785" s="35"/>
      <c r="F785" s="35"/>
      <c r="G785" s="35"/>
      <c r="H785" s="35"/>
      <c r="I785" s="35"/>
      <c r="J785" s="35"/>
      <c r="K785" s="35"/>
      <c r="L785" s="35"/>
      <c r="M785" s="35"/>
      <c r="N785" s="35"/>
      <c r="O785" s="35"/>
      <c r="P785" s="35"/>
      <c r="Q785" s="35"/>
      <c r="R785" s="35"/>
      <c r="S785" s="35"/>
      <c r="T785" s="35"/>
      <c r="U785" s="35"/>
      <c r="V785" s="35"/>
      <c r="W785" s="35"/>
      <c r="X785" s="35"/>
      <c r="Y785" s="35"/>
      <c r="Z785" s="35"/>
    </row>
    <row r="786" ht="12.75" customHeight="1">
      <c r="A786" s="35"/>
      <c r="B786" s="35"/>
      <c r="C786" s="35"/>
      <c r="D786" s="35"/>
      <c r="E786" s="35"/>
      <c r="F786" s="35"/>
      <c r="G786" s="35"/>
      <c r="H786" s="35"/>
      <c r="I786" s="35"/>
      <c r="J786" s="35"/>
      <c r="K786" s="35"/>
      <c r="L786" s="35"/>
      <c r="M786" s="35"/>
      <c r="N786" s="35"/>
      <c r="O786" s="35"/>
      <c r="P786" s="35"/>
      <c r="Q786" s="35"/>
      <c r="R786" s="35"/>
      <c r="S786" s="35"/>
      <c r="T786" s="35"/>
      <c r="U786" s="35"/>
      <c r="V786" s="35"/>
      <c r="W786" s="35"/>
      <c r="X786" s="35"/>
      <c r="Y786" s="35"/>
      <c r="Z786" s="35"/>
    </row>
    <row r="787" ht="12.75" customHeight="1">
      <c r="A787" s="35"/>
      <c r="B787" s="35"/>
      <c r="C787" s="35"/>
      <c r="D787" s="35"/>
      <c r="E787" s="35"/>
      <c r="F787" s="35"/>
      <c r="G787" s="35"/>
      <c r="H787" s="35"/>
      <c r="I787" s="35"/>
      <c r="J787" s="35"/>
      <c r="K787" s="35"/>
      <c r="L787" s="35"/>
      <c r="M787" s="35"/>
      <c r="N787" s="35"/>
      <c r="O787" s="35"/>
      <c r="P787" s="35"/>
      <c r="Q787" s="35"/>
      <c r="R787" s="35"/>
      <c r="S787" s="35"/>
      <c r="T787" s="35"/>
      <c r="U787" s="35"/>
      <c r="V787" s="35"/>
      <c r="W787" s="35"/>
      <c r="X787" s="35"/>
      <c r="Y787" s="35"/>
      <c r="Z787" s="35"/>
    </row>
    <row r="788" ht="12.75" customHeight="1">
      <c r="A788" s="35"/>
      <c r="B788" s="35"/>
      <c r="C788" s="35"/>
      <c r="D788" s="35"/>
      <c r="E788" s="35"/>
      <c r="F788" s="35"/>
      <c r="G788" s="35"/>
      <c r="H788" s="35"/>
      <c r="I788" s="35"/>
      <c r="J788" s="35"/>
      <c r="K788" s="35"/>
      <c r="L788" s="35"/>
      <c r="M788" s="35"/>
      <c r="N788" s="35"/>
      <c r="O788" s="35"/>
      <c r="P788" s="35"/>
      <c r="Q788" s="35"/>
      <c r="R788" s="35"/>
      <c r="S788" s="35"/>
      <c r="T788" s="35"/>
      <c r="U788" s="35"/>
      <c r="V788" s="35"/>
      <c r="W788" s="35"/>
      <c r="X788" s="35"/>
      <c r="Y788" s="35"/>
      <c r="Z788" s="35"/>
    </row>
    <row r="789" ht="12.75" customHeight="1">
      <c r="A789" s="35"/>
      <c r="B789" s="35"/>
      <c r="C789" s="35"/>
      <c r="D789" s="35"/>
      <c r="E789" s="35"/>
      <c r="F789" s="35"/>
      <c r="G789" s="35"/>
      <c r="H789" s="35"/>
      <c r="I789" s="35"/>
      <c r="J789" s="35"/>
      <c r="K789" s="35"/>
      <c r="L789" s="35"/>
      <c r="M789" s="35"/>
      <c r="N789" s="35"/>
      <c r="O789" s="35"/>
      <c r="P789" s="35"/>
      <c r="Q789" s="35"/>
      <c r="R789" s="35"/>
      <c r="S789" s="35"/>
      <c r="T789" s="35"/>
      <c r="U789" s="35"/>
      <c r="V789" s="35"/>
      <c r="W789" s="35"/>
      <c r="X789" s="35"/>
      <c r="Y789" s="35"/>
      <c r="Z789" s="35"/>
    </row>
    <row r="790" ht="12.75" customHeight="1">
      <c r="A790" s="35"/>
      <c r="B790" s="35"/>
      <c r="C790" s="35"/>
      <c r="D790" s="35"/>
      <c r="E790" s="35"/>
      <c r="F790" s="35"/>
      <c r="G790" s="35"/>
      <c r="H790" s="35"/>
      <c r="I790" s="35"/>
      <c r="J790" s="35"/>
      <c r="K790" s="35"/>
      <c r="L790" s="35"/>
      <c r="M790" s="35"/>
      <c r="N790" s="35"/>
      <c r="O790" s="35"/>
      <c r="P790" s="35"/>
      <c r="Q790" s="35"/>
      <c r="R790" s="35"/>
      <c r="S790" s="35"/>
      <c r="T790" s="35"/>
      <c r="U790" s="35"/>
      <c r="V790" s="35"/>
      <c r="W790" s="35"/>
      <c r="X790" s="35"/>
      <c r="Y790" s="35"/>
      <c r="Z790" s="35"/>
    </row>
    <row r="791" ht="12.75" customHeight="1">
      <c r="A791" s="35"/>
      <c r="B791" s="35"/>
      <c r="C791" s="35"/>
      <c r="D791" s="35"/>
      <c r="E791" s="35"/>
      <c r="F791" s="35"/>
      <c r="G791" s="35"/>
      <c r="H791" s="35"/>
      <c r="I791" s="35"/>
      <c r="J791" s="35"/>
      <c r="K791" s="35"/>
      <c r="L791" s="35"/>
      <c r="M791" s="35"/>
      <c r="N791" s="35"/>
      <c r="O791" s="35"/>
      <c r="P791" s="35"/>
      <c r="Q791" s="35"/>
      <c r="R791" s="35"/>
      <c r="S791" s="35"/>
      <c r="T791" s="35"/>
      <c r="U791" s="35"/>
      <c r="V791" s="35"/>
      <c r="W791" s="35"/>
      <c r="X791" s="35"/>
      <c r="Y791" s="35"/>
      <c r="Z791" s="35"/>
    </row>
    <row r="792" ht="12.75" customHeight="1">
      <c r="A792" s="35"/>
      <c r="B792" s="35"/>
      <c r="C792" s="35"/>
      <c r="D792" s="35"/>
      <c r="E792" s="35"/>
      <c r="F792" s="35"/>
      <c r="G792" s="35"/>
      <c r="H792" s="35"/>
      <c r="I792" s="35"/>
      <c r="J792" s="35"/>
      <c r="K792" s="35"/>
      <c r="L792" s="35"/>
      <c r="M792" s="35"/>
      <c r="N792" s="35"/>
      <c r="O792" s="35"/>
      <c r="P792" s="35"/>
      <c r="Q792" s="35"/>
      <c r="R792" s="35"/>
      <c r="S792" s="35"/>
      <c r="T792" s="35"/>
      <c r="U792" s="35"/>
      <c r="V792" s="35"/>
      <c r="W792" s="35"/>
      <c r="X792" s="35"/>
      <c r="Y792" s="35"/>
      <c r="Z792" s="35"/>
    </row>
    <row r="793" ht="12.75" customHeight="1">
      <c r="A793" s="35"/>
      <c r="B793" s="35"/>
      <c r="C793" s="35"/>
      <c r="D793" s="35"/>
      <c r="E793" s="35"/>
      <c r="F793" s="35"/>
      <c r="G793" s="35"/>
      <c r="H793" s="35"/>
      <c r="I793" s="35"/>
      <c r="J793" s="35"/>
      <c r="K793" s="35"/>
      <c r="L793" s="35"/>
      <c r="M793" s="35"/>
      <c r="N793" s="35"/>
      <c r="O793" s="35"/>
      <c r="P793" s="35"/>
      <c r="Q793" s="35"/>
      <c r="R793" s="35"/>
      <c r="S793" s="35"/>
      <c r="T793" s="35"/>
      <c r="U793" s="35"/>
      <c r="V793" s="35"/>
      <c r="W793" s="35"/>
      <c r="X793" s="35"/>
      <c r="Y793" s="35"/>
      <c r="Z793" s="35"/>
    </row>
    <row r="794" ht="12.75" customHeight="1">
      <c r="A794" s="35"/>
      <c r="B794" s="35"/>
      <c r="C794" s="35"/>
      <c r="D794" s="35"/>
      <c r="E794" s="35"/>
      <c r="F794" s="35"/>
      <c r="G794" s="35"/>
      <c r="H794" s="35"/>
      <c r="I794" s="35"/>
      <c r="J794" s="35"/>
      <c r="K794" s="35"/>
      <c r="L794" s="35"/>
      <c r="M794" s="35"/>
      <c r="N794" s="35"/>
      <c r="O794" s="35"/>
      <c r="P794" s="35"/>
      <c r="Q794" s="35"/>
      <c r="R794" s="35"/>
      <c r="S794" s="35"/>
      <c r="T794" s="35"/>
      <c r="U794" s="35"/>
      <c r="V794" s="35"/>
      <c r="W794" s="35"/>
      <c r="X794" s="35"/>
      <c r="Y794" s="35"/>
      <c r="Z794" s="35"/>
    </row>
    <row r="795" ht="12.75" customHeight="1">
      <c r="A795" s="35"/>
      <c r="B795" s="35"/>
      <c r="C795" s="35"/>
      <c r="D795" s="35"/>
      <c r="E795" s="35"/>
      <c r="F795" s="35"/>
      <c r="G795" s="35"/>
      <c r="H795" s="35"/>
      <c r="I795" s="35"/>
      <c r="J795" s="35"/>
      <c r="K795" s="35"/>
      <c r="L795" s="35"/>
      <c r="M795" s="35"/>
      <c r="N795" s="35"/>
      <c r="O795" s="35"/>
      <c r="P795" s="35"/>
      <c r="Q795" s="35"/>
      <c r="R795" s="35"/>
      <c r="S795" s="35"/>
      <c r="T795" s="35"/>
      <c r="U795" s="35"/>
      <c r="V795" s="35"/>
      <c r="W795" s="35"/>
      <c r="X795" s="35"/>
      <c r="Y795" s="35"/>
      <c r="Z795" s="35"/>
    </row>
    <row r="796" ht="12.75" customHeight="1">
      <c r="A796" s="35"/>
      <c r="B796" s="35"/>
      <c r="C796" s="35"/>
      <c r="D796" s="35"/>
      <c r="E796" s="35"/>
      <c r="F796" s="35"/>
      <c r="G796" s="35"/>
      <c r="H796" s="35"/>
      <c r="I796" s="35"/>
      <c r="J796" s="35"/>
      <c r="K796" s="35"/>
      <c r="L796" s="35"/>
      <c r="M796" s="35"/>
      <c r="N796" s="35"/>
      <c r="O796" s="35"/>
      <c r="P796" s="35"/>
      <c r="Q796" s="35"/>
      <c r="R796" s="35"/>
      <c r="S796" s="35"/>
      <c r="T796" s="35"/>
      <c r="U796" s="35"/>
      <c r="V796" s="35"/>
      <c r="W796" s="35"/>
      <c r="X796" s="35"/>
      <c r="Y796" s="35"/>
      <c r="Z796" s="35"/>
    </row>
    <row r="797" ht="12.75" customHeight="1">
      <c r="A797" s="35"/>
      <c r="B797" s="35"/>
      <c r="C797" s="35"/>
      <c r="D797" s="35"/>
      <c r="E797" s="35"/>
      <c r="F797" s="35"/>
      <c r="G797" s="35"/>
      <c r="H797" s="35"/>
      <c r="I797" s="35"/>
      <c r="J797" s="35"/>
      <c r="K797" s="35"/>
      <c r="L797" s="35"/>
      <c r="M797" s="35"/>
      <c r="N797" s="35"/>
      <c r="O797" s="35"/>
      <c r="P797" s="35"/>
      <c r="Q797" s="35"/>
      <c r="R797" s="35"/>
      <c r="S797" s="35"/>
      <c r="T797" s="35"/>
      <c r="U797" s="35"/>
      <c r="V797" s="35"/>
      <c r="W797" s="35"/>
      <c r="X797" s="35"/>
      <c r="Y797" s="35"/>
      <c r="Z797" s="35"/>
    </row>
    <row r="798" ht="12.75" customHeight="1">
      <c r="A798" s="35"/>
      <c r="B798" s="35"/>
      <c r="C798" s="35"/>
      <c r="D798" s="35"/>
      <c r="E798" s="35"/>
      <c r="F798" s="35"/>
      <c r="G798" s="35"/>
      <c r="H798" s="35"/>
      <c r="I798" s="35"/>
      <c r="J798" s="35"/>
      <c r="K798" s="35"/>
      <c r="L798" s="35"/>
      <c r="M798" s="35"/>
      <c r="N798" s="35"/>
      <c r="O798" s="35"/>
      <c r="P798" s="35"/>
      <c r="Q798" s="35"/>
      <c r="R798" s="35"/>
      <c r="S798" s="35"/>
      <c r="T798" s="35"/>
      <c r="U798" s="35"/>
      <c r="V798" s="35"/>
      <c r="W798" s="35"/>
      <c r="X798" s="35"/>
      <c r="Y798" s="35"/>
      <c r="Z798" s="35"/>
    </row>
    <row r="799" ht="12.75" customHeight="1">
      <c r="A799" s="35"/>
      <c r="B799" s="35"/>
      <c r="C799" s="35"/>
      <c r="D799" s="35"/>
      <c r="E799" s="35"/>
      <c r="F799" s="35"/>
      <c r="G799" s="35"/>
      <c r="H799" s="35"/>
      <c r="I799" s="35"/>
      <c r="J799" s="35"/>
      <c r="K799" s="35"/>
      <c r="L799" s="35"/>
      <c r="M799" s="35"/>
      <c r="N799" s="35"/>
      <c r="O799" s="35"/>
      <c r="P799" s="35"/>
      <c r="Q799" s="35"/>
      <c r="R799" s="35"/>
      <c r="S799" s="35"/>
      <c r="T799" s="35"/>
      <c r="U799" s="35"/>
      <c r="V799" s="35"/>
      <c r="W799" s="35"/>
      <c r="X799" s="35"/>
      <c r="Y799" s="35"/>
      <c r="Z799" s="35"/>
    </row>
    <row r="800" ht="12.75" customHeight="1">
      <c r="A800" s="35"/>
      <c r="B800" s="35"/>
      <c r="C800" s="35"/>
      <c r="D800" s="35"/>
      <c r="E800" s="35"/>
      <c r="F800" s="35"/>
      <c r="G800" s="35"/>
      <c r="H800" s="35"/>
      <c r="I800" s="35"/>
      <c r="J800" s="35"/>
      <c r="K800" s="35"/>
      <c r="L800" s="35"/>
      <c r="M800" s="35"/>
      <c r="N800" s="35"/>
      <c r="O800" s="35"/>
      <c r="P800" s="35"/>
      <c r="Q800" s="35"/>
      <c r="R800" s="35"/>
      <c r="S800" s="35"/>
      <c r="T800" s="35"/>
      <c r="U800" s="35"/>
      <c r="V800" s="35"/>
      <c r="W800" s="35"/>
      <c r="X800" s="35"/>
      <c r="Y800" s="35"/>
      <c r="Z800" s="35"/>
    </row>
    <row r="801" ht="12.75" customHeight="1">
      <c r="A801" s="35"/>
      <c r="B801" s="35"/>
      <c r="C801" s="35"/>
      <c r="D801" s="35"/>
      <c r="E801" s="35"/>
      <c r="F801" s="35"/>
      <c r="G801" s="35"/>
      <c r="H801" s="35"/>
      <c r="I801" s="35"/>
      <c r="J801" s="35"/>
      <c r="K801" s="35"/>
      <c r="L801" s="35"/>
      <c r="M801" s="35"/>
      <c r="N801" s="35"/>
      <c r="O801" s="35"/>
      <c r="P801" s="35"/>
      <c r="Q801" s="35"/>
      <c r="R801" s="35"/>
      <c r="S801" s="35"/>
      <c r="T801" s="35"/>
      <c r="U801" s="35"/>
      <c r="V801" s="35"/>
      <c r="W801" s="35"/>
      <c r="X801" s="35"/>
      <c r="Y801" s="35"/>
      <c r="Z801" s="35"/>
    </row>
    <row r="802" ht="12.75" customHeight="1">
      <c r="A802" s="35"/>
      <c r="B802" s="35"/>
      <c r="C802" s="35"/>
      <c r="D802" s="35"/>
      <c r="E802" s="35"/>
      <c r="F802" s="35"/>
      <c r="G802" s="35"/>
      <c r="H802" s="35"/>
      <c r="I802" s="35"/>
      <c r="J802" s="35"/>
      <c r="K802" s="35"/>
      <c r="L802" s="35"/>
      <c r="M802" s="35"/>
      <c r="N802" s="35"/>
      <c r="O802" s="35"/>
      <c r="P802" s="35"/>
      <c r="Q802" s="35"/>
      <c r="R802" s="35"/>
      <c r="S802" s="35"/>
      <c r="T802" s="35"/>
      <c r="U802" s="35"/>
      <c r="V802" s="35"/>
      <c r="W802" s="35"/>
      <c r="X802" s="35"/>
      <c r="Y802" s="35"/>
      <c r="Z802" s="35"/>
    </row>
    <row r="803" ht="12.75" customHeight="1">
      <c r="A803" s="35"/>
      <c r="B803" s="35"/>
      <c r="C803" s="35"/>
      <c r="D803" s="35"/>
      <c r="E803" s="35"/>
      <c r="F803" s="35"/>
      <c r="G803" s="35"/>
      <c r="H803" s="35"/>
      <c r="I803" s="35"/>
      <c r="J803" s="35"/>
      <c r="K803" s="35"/>
      <c r="L803" s="35"/>
      <c r="M803" s="35"/>
      <c r="N803" s="35"/>
      <c r="O803" s="35"/>
      <c r="P803" s="35"/>
      <c r="Q803" s="35"/>
      <c r="R803" s="35"/>
      <c r="S803" s="35"/>
      <c r="T803" s="35"/>
      <c r="U803" s="35"/>
      <c r="V803" s="35"/>
      <c r="W803" s="35"/>
      <c r="X803" s="35"/>
      <c r="Y803" s="35"/>
      <c r="Z803" s="35"/>
    </row>
    <row r="804" ht="12.75" customHeight="1">
      <c r="A804" s="35"/>
      <c r="B804" s="35"/>
      <c r="C804" s="35"/>
      <c r="D804" s="35"/>
      <c r="E804" s="35"/>
      <c r="F804" s="35"/>
      <c r="G804" s="35"/>
      <c r="H804" s="35"/>
      <c r="I804" s="35"/>
      <c r="J804" s="35"/>
      <c r="K804" s="35"/>
      <c r="L804" s="35"/>
      <c r="M804" s="35"/>
      <c r="N804" s="35"/>
      <c r="O804" s="35"/>
      <c r="P804" s="35"/>
      <c r="Q804" s="35"/>
      <c r="R804" s="35"/>
      <c r="S804" s="35"/>
      <c r="T804" s="35"/>
      <c r="U804" s="35"/>
      <c r="V804" s="35"/>
      <c r="W804" s="35"/>
      <c r="X804" s="35"/>
      <c r="Y804" s="35"/>
      <c r="Z804" s="35"/>
    </row>
    <row r="805" ht="12.75" customHeight="1">
      <c r="A805" s="35"/>
      <c r="B805" s="35"/>
      <c r="C805" s="35"/>
      <c r="D805" s="35"/>
      <c r="E805" s="35"/>
      <c r="F805" s="35"/>
      <c r="G805" s="35"/>
      <c r="H805" s="35"/>
      <c r="I805" s="35"/>
      <c r="J805" s="35"/>
      <c r="K805" s="35"/>
      <c r="L805" s="35"/>
      <c r="M805" s="35"/>
      <c r="N805" s="35"/>
      <c r="O805" s="35"/>
      <c r="P805" s="35"/>
      <c r="Q805" s="35"/>
      <c r="R805" s="35"/>
      <c r="S805" s="35"/>
      <c r="T805" s="35"/>
      <c r="U805" s="35"/>
      <c r="V805" s="35"/>
      <c r="W805" s="35"/>
      <c r="X805" s="35"/>
      <c r="Y805" s="35"/>
      <c r="Z805" s="35"/>
    </row>
    <row r="806" ht="12.75" customHeight="1">
      <c r="A806" s="35"/>
      <c r="B806" s="35"/>
      <c r="C806" s="35"/>
      <c r="D806" s="35"/>
      <c r="E806" s="35"/>
      <c r="F806" s="35"/>
      <c r="G806" s="35"/>
      <c r="H806" s="35"/>
      <c r="I806" s="35"/>
      <c r="J806" s="35"/>
      <c r="K806" s="35"/>
      <c r="L806" s="35"/>
      <c r="M806" s="35"/>
      <c r="N806" s="35"/>
      <c r="O806" s="35"/>
      <c r="P806" s="35"/>
      <c r="Q806" s="35"/>
      <c r="R806" s="35"/>
      <c r="S806" s="35"/>
      <c r="T806" s="35"/>
      <c r="U806" s="35"/>
      <c r="V806" s="35"/>
      <c r="W806" s="35"/>
      <c r="X806" s="35"/>
      <c r="Y806" s="35"/>
      <c r="Z806" s="35"/>
    </row>
    <row r="807" ht="12.75" customHeight="1">
      <c r="A807" s="35"/>
      <c r="B807" s="35"/>
      <c r="C807" s="35"/>
      <c r="D807" s="35"/>
      <c r="E807" s="35"/>
      <c r="F807" s="35"/>
      <c r="G807" s="35"/>
      <c r="H807" s="35"/>
      <c r="I807" s="35"/>
      <c r="J807" s="35"/>
      <c r="K807" s="35"/>
      <c r="L807" s="35"/>
      <c r="M807" s="35"/>
      <c r="N807" s="35"/>
      <c r="O807" s="35"/>
      <c r="P807" s="35"/>
      <c r="Q807" s="35"/>
      <c r="R807" s="35"/>
      <c r="S807" s="35"/>
      <c r="T807" s="35"/>
      <c r="U807" s="35"/>
      <c r="V807" s="35"/>
      <c r="W807" s="35"/>
      <c r="X807" s="35"/>
      <c r="Y807" s="35"/>
      <c r="Z807" s="35"/>
    </row>
    <row r="808" ht="12.75" customHeight="1">
      <c r="A808" s="35"/>
      <c r="B808" s="35"/>
      <c r="C808" s="35"/>
      <c r="D808" s="35"/>
      <c r="E808" s="35"/>
      <c r="F808" s="35"/>
      <c r="G808" s="35"/>
      <c r="H808" s="35"/>
      <c r="I808" s="35"/>
      <c r="J808" s="35"/>
      <c r="K808" s="35"/>
      <c r="L808" s="35"/>
      <c r="M808" s="35"/>
      <c r="N808" s="35"/>
      <c r="O808" s="35"/>
      <c r="P808" s="35"/>
      <c r="Q808" s="35"/>
      <c r="R808" s="35"/>
      <c r="S808" s="35"/>
      <c r="T808" s="35"/>
      <c r="U808" s="35"/>
      <c r="V808" s="35"/>
      <c r="W808" s="35"/>
      <c r="X808" s="35"/>
      <c r="Y808" s="35"/>
      <c r="Z808" s="35"/>
    </row>
    <row r="809" ht="12.75" customHeight="1">
      <c r="A809" s="35"/>
      <c r="B809" s="35"/>
      <c r="C809" s="35"/>
      <c r="D809" s="35"/>
      <c r="E809" s="35"/>
      <c r="F809" s="35"/>
      <c r="G809" s="35"/>
      <c r="H809" s="35"/>
      <c r="I809" s="35"/>
      <c r="J809" s="35"/>
      <c r="K809" s="35"/>
      <c r="L809" s="35"/>
      <c r="M809" s="35"/>
      <c r="N809" s="35"/>
      <c r="O809" s="35"/>
      <c r="P809" s="35"/>
      <c r="Q809" s="35"/>
      <c r="R809" s="35"/>
      <c r="S809" s="35"/>
      <c r="T809" s="35"/>
      <c r="U809" s="35"/>
      <c r="V809" s="35"/>
      <c r="W809" s="35"/>
      <c r="X809" s="35"/>
      <c r="Y809" s="35"/>
      <c r="Z809" s="35"/>
    </row>
    <row r="810" ht="12.75" customHeight="1">
      <c r="A810" s="35"/>
      <c r="B810" s="35"/>
      <c r="C810" s="35"/>
      <c r="D810" s="35"/>
      <c r="E810" s="35"/>
      <c r="F810" s="35"/>
      <c r="G810" s="35"/>
      <c r="H810" s="35"/>
      <c r="I810" s="35"/>
      <c r="J810" s="35"/>
      <c r="K810" s="35"/>
      <c r="L810" s="35"/>
      <c r="M810" s="35"/>
      <c r="N810" s="35"/>
      <c r="O810" s="35"/>
      <c r="P810" s="35"/>
      <c r="Q810" s="35"/>
      <c r="R810" s="35"/>
      <c r="S810" s="35"/>
      <c r="T810" s="35"/>
      <c r="U810" s="35"/>
      <c r="V810" s="35"/>
      <c r="W810" s="35"/>
      <c r="X810" s="35"/>
      <c r="Y810" s="35"/>
      <c r="Z810" s="35"/>
    </row>
    <row r="811" ht="12.75" customHeight="1">
      <c r="A811" s="35"/>
      <c r="B811" s="35"/>
      <c r="C811" s="35"/>
      <c r="D811" s="35"/>
      <c r="E811" s="35"/>
      <c r="F811" s="35"/>
      <c r="G811" s="35"/>
      <c r="H811" s="35"/>
      <c r="I811" s="35"/>
      <c r="J811" s="35"/>
      <c r="K811" s="35"/>
      <c r="L811" s="35"/>
      <c r="M811" s="35"/>
      <c r="N811" s="35"/>
      <c r="O811" s="35"/>
      <c r="P811" s="35"/>
      <c r="Q811" s="35"/>
      <c r="R811" s="35"/>
      <c r="S811" s="35"/>
      <c r="T811" s="35"/>
      <c r="U811" s="35"/>
      <c r="V811" s="35"/>
      <c r="W811" s="35"/>
      <c r="X811" s="35"/>
      <c r="Y811" s="35"/>
      <c r="Z811" s="35"/>
    </row>
    <row r="812" ht="12.75" customHeight="1">
      <c r="A812" s="35"/>
      <c r="B812" s="35"/>
      <c r="C812" s="35"/>
      <c r="D812" s="35"/>
      <c r="E812" s="35"/>
      <c r="F812" s="35"/>
      <c r="G812" s="35"/>
      <c r="H812" s="35"/>
      <c r="I812" s="35"/>
      <c r="J812" s="35"/>
      <c r="K812" s="35"/>
      <c r="L812" s="35"/>
      <c r="M812" s="35"/>
      <c r="N812" s="35"/>
      <c r="O812" s="35"/>
      <c r="P812" s="35"/>
      <c r="Q812" s="35"/>
      <c r="R812" s="35"/>
      <c r="S812" s="35"/>
      <c r="T812" s="35"/>
      <c r="U812" s="35"/>
      <c r="V812" s="35"/>
      <c r="W812" s="35"/>
      <c r="X812" s="35"/>
      <c r="Y812" s="35"/>
      <c r="Z812" s="35"/>
    </row>
    <row r="813" ht="12.75" customHeight="1">
      <c r="A813" s="35"/>
      <c r="B813" s="35"/>
      <c r="C813" s="35"/>
      <c r="D813" s="35"/>
      <c r="E813" s="35"/>
      <c r="F813" s="35"/>
      <c r="G813" s="35"/>
      <c r="H813" s="35"/>
      <c r="I813" s="35"/>
      <c r="J813" s="35"/>
      <c r="K813" s="35"/>
      <c r="L813" s="35"/>
      <c r="M813" s="35"/>
      <c r="N813" s="35"/>
      <c r="O813" s="35"/>
      <c r="P813" s="35"/>
      <c r="Q813" s="35"/>
      <c r="R813" s="35"/>
      <c r="S813" s="35"/>
      <c r="T813" s="35"/>
      <c r="U813" s="35"/>
      <c r="V813" s="35"/>
      <c r="W813" s="35"/>
      <c r="X813" s="35"/>
      <c r="Y813" s="35"/>
      <c r="Z813" s="35"/>
    </row>
    <row r="814" ht="12.75" customHeight="1">
      <c r="A814" s="35"/>
      <c r="B814" s="35"/>
      <c r="C814" s="35"/>
      <c r="D814" s="35"/>
      <c r="E814" s="35"/>
      <c r="F814" s="35"/>
      <c r="G814" s="35"/>
      <c r="H814" s="35"/>
      <c r="I814" s="35"/>
      <c r="J814" s="35"/>
      <c r="K814" s="35"/>
      <c r="L814" s="35"/>
      <c r="M814" s="35"/>
      <c r="N814" s="35"/>
      <c r="O814" s="35"/>
      <c r="P814" s="35"/>
      <c r="Q814" s="35"/>
      <c r="R814" s="35"/>
      <c r="S814" s="35"/>
      <c r="T814" s="35"/>
      <c r="U814" s="35"/>
      <c r="V814" s="35"/>
      <c r="W814" s="35"/>
      <c r="X814" s="35"/>
      <c r="Y814" s="35"/>
      <c r="Z814" s="35"/>
    </row>
    <row r="815" ht="12.75" customHeight="1">
      <c r="A815" s="35"/>
      <c r="B815" s="35"/>
      <c r="C815" s="35"/>
      <c r="D815" s="35"/>
      <c r="E815" s="35"/>
      <c r="F815" s="35"/>
      <c r="G815" s="35"/>
      <c r="H815" s="35"/>
      <c r="I815" s="35"/>
      <c r="J815" s="35"/>
      <c r="K815" s="35"/>
      <c r="L815" s="35"/>
      <c r="M815" s="35"/>
      <c r="N815" s="35"/>
      <c r="O815" s="35"/>
      <c r="P815" s="35"/>
      <c r="Q815" s="35"/>
      <c r="R815" s="35"/>
      <c r="S815" s="35"/>
      <c r="T815" s="35"/>
      <c r="U815" s="35"/>
      <c r="V815" s="35"/>
      <c r="W815" s="35"/>
      <c r="X815" s="35"/>
      <c r="Y815" s="35"/>
      <c r="Z815" s="35"/>
    </row>
    <row r="816" ht="12.75" customHeight="1">
      <c r="A816" s="35"/>
      <c r="B816" s="35"/>
      <c r="C816" s="35"/>
      <c r="D816" s="35"/>
      <c r="E816" s="35"/>
      <c r="F816" s="35"/>
      <c r="G816" s="35"/>
      <c r="H816" s="35"/>
      <c r="I816" s="35"/>
      <c r="J816" s="35"/>
      <c r="K816" s="35"/>
      <c r="L816" s="35"/>
      <c r="M816" s="35"/>
      <c r="N816" s="35"/>
      <c r="O816" s="35"/>
      <c r="P816" s="35"/>
      <c r="Q816" s="35"/>
      <c r="R816" s="35"/>
      <c r="S816" s="35"/>
      <c r="T816" s="35"/>
      <c r="U816" s="35"/>
      <c r="V816" s="35"/>
      <c r="W816" s="35"/>
      <c r="X816" s="35"/>
      <c r="Y816" s="35"/>
      <c r="Z816" s="35"/>
    </row>
    <row r="817" ht="12.75" customHeight="1">
      <c r="A817" s="35"/>
      <c r="B817" s="35"/>
      <c r="C817" s="35"/>
      <c r="D817" s="35"/>
      <c r="E817" s="35"/>
      <c r="F817" s="35"/>
      <c r="G817" s="35"/>
      <c r="H817" s="35"/>
      <c r="I817" s="35"/>
      <c r="J817" s="35"/>
      <c r="K817" s="35"/>
      <c r="L817" s="35"/>
      <c r="M817" s="35"/>
      <c r="N817" s="35"/>
      <c r="O817" s="35"/>
      <c r="P817" s="35"/>
      <c r="Q817" s="35"/>
      <c r="R817" s="35"/>
      <c r="S817" s="35"/>
      <c r="T817" s="35"/>
      <c r="U817" s="35"/>
      <c r="V817" s="35"/>
      <c r="W817" s="35"/>
      <c r="X817" s="35"/>
      <c r="Y817" s="35"/>
      <c r="Z817" s="35"/>
    </row>
    <row r="818" ht="12.75" customHeight="1">
      <c r="A818" s="35"/>
      <c r="B818" s="35"/>
      <c r="C818" s="35"/>
      <c r="D818" s="35"/>
      <c r="E818" s="35"/>
      <c r="F818" s="35"/>
      <c r="G818" s="35"/>
      <c r="H818" s="35"/>
      <c r="I818" s="35"/>
      <c r="J818" s="35"/>
      <c r="K818" s="35"/>
      <c r="L818" s="35"/>
      <c r="M818" s="35"/>
      <c r="N818" s="35"/>
      <c r="O818" s="35"/>
      <c r="P818" s="35"/>
      <c r="Q818" s="35"/>
      <c r="R818" s="35"/>
      <c r="S818" s="35"/>
      <c r="T818" s="35"/>
      <c r="U818" s="35"/>
      <c r="V818" s="35"/>
      <c r="W818" s="35"/>
      <c r="X818" s="35"/>
      <c r="Y818" s="35"/>
      <c r="Z818" s="35"/>
    </row>
    <row r="819" ht="12.75" customHeight="1">
      <c r="A819" s="35"/>
      <c r="B819" s="35"/>
      <c r="C819" s="35"/>
      <c r="D819" s="35"/>
      <c r="E819" s="35"/>
      <c r="F819" s="35"/>
      <c r="G819" s="35"/>
      <c r="H819" s="35"/>
      <c r="I819" s="35"/>
      <c r="J819" s="35"/>
      <c r="K819" s="35"/>
      <c r="L819" s="35"/>
      <c r="M819" s="35"/>
      <c r="N819" s="35"/>
      <c r="O819" s="35"/>
      <c r="P819" s="35"/>
      <c r="Q819" s="35"/>
      <c r="R819" s="35"/>
      <c r="S819" s="35"/>
      <c r="T819" s="35"/>
      <c r="U819" s="35"/>
      <c r="V819" s="35"/>
      <c r="W819" s="35"/>
      <c r="X819" s="35"/>
      <c r="Y819" s="35"/>
      <c r="Z819" s="35"/>
    </row>
    <row r="820" ht="12.75" customHeight="1">
      <c r="A820" s="35"/>
      <c r="B820" s="35"/>
      <c r="C820" s="35"/>
      <c r="D820" s="35"/>
      <c r="E820" s="35"/>
      <c r="F820" s="35"/>
      <c r="G820" s="35"/>
      <c r="H820" s="35"/>
      <c r="I820" s="35"/>
      <c r="J820" s="35"/>
      <c r="K820" s="35"/>
      <c r="L820" s="35"/>
      <c r="M820" s="35"/>
      <c r="N820" s="35"/>
      <c r="O820" s="35"/>
      <c r="P820" s="35"/>
      <c r="Q820" s="35"/>
      <c r="R820" s="35"/>
      <c r="S820" s="35"/>
      <c r="T820" s="35"/>
      <c r="U820" s="35"/>
      <c r="V820" s="35"/>
      <c r="W820" s="35"/>
      <c r="X820" s="35"/>
      <c r="Y820" s="35"/>
      <c r="Z820" s="35"/>
    </row>
    <row r="821" ht="12.75" customHeight="1">
      <c r="A821" s="35"/>
      <c r="B821" s="35"/>
      <c r="C821" s="35"/>
      <c r="D821" s="35"/>
      <c r="E821" s="35"/>
      <c r="F821" s="35"/>
      <c r="G821" s="35"/>
      <c r="H821" s="35"/>
      <c r="I821" s="35"/>
      <c r="J821" s="35"/>
      <c r="K821" s="35"/>
      <c r="L821" s="35"/>
      <c r="M821" s="35"/>
      <c r="N821" s="35"/>
      <c r="O821" s="35"/>
      <c r="P821" s="35"/>
      <c r="Q821" s="35"/>
      <c r="R821" s="35"/>
      <c r="S821" s="35"/>
      <c r="T821" s="35"/>
      <c r="U821" s="35"/>
      <c r="V821" s="35"/>
      <c r="W821" s="35"/>
      <c r="X821" s="35"/>
      <c r="Y821" s="35"/>
      <c r="Z821" s="35"/>
    </row>
    <row r="822" ht="12.75" customHeight="1">
      <c r="A822" s="35"/>
      <c r="B822" s="35"/>
      <c r="C822" s="35"/>
      <c r="D822" s="35"/>
      <c r="E822" s="35"/>
      <c r="F822" s="35"/>
      <c r="G822" s="35"/>
      <c r="H822" s="35"/>
      <c r="I822" s="35"/>
      <c r="J822" s="35"/>
      <c r="K822" s="35"/>
      <c r="L822" s="35"/>
      <c r="M822" s="35"/>
      <c r="N822" s="35"/>
      <c r="O822" s="35"/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5"/>
    </row>
    <row r="823" ht="12.75" customHeight="1">
      <c r="A823" s="35"/>
      <c r="B823" s="35"/>
      <c r="C823" s="35"/>
      <c r="D823" s="35"/>
      <c r="E823" s="35"/>
      <c r="F823" s="35"/>
      <c r="G823" s="35"/>
      <c r="H823" s="35"/>
      <c r="I823" s="35"/>
      <c r="J823" s="35"/>
      <c r="K823" s="35"/>
      <c r="L823" s="35"/>
      <c r="M823" s="35"/>
      <c r="N823" s="35"/>
      <c r="O823" s="35"/>
      <c r="P823" s="35"/>
      <c r="Q823" s="35"/>
      <c r="R823" s="35"/>
      <c r="S823" s="35"/>
      <c r="T823" s="35"/>
      <c r="U823" s="35"/>
      <c r="V823" s="35"/>
      <c r="W823" s="35"/>
      <c r="X823" s="35"/>
      <c r="Y823" s="35"/>
      <c r="Z823" s="35"/>
    </row>
    <row r="824" ht="12.75" customHeight="1">
      <c r="A824" s="35"/>
      <c r="B824" s="35"/>
      <c r="C824" s="35"/>
      <c r="D824" s="35"/>
      <c r="E824" s="35"/>
      <c r="F824" s="35"/>
      <c r="G824" s="35"/>
      <c r="H824" s="35"/>
      <c r="I824" s="35"/>
      <c r="J824" s="35"/>
      <c r="K824" s="35"/>
      <c r="L824" s="35"/>
      <c r="M824" s="35"/>
      <c r="N824" s="35"/>
      <c r="O824" s="35"/>
      <c r="P824" s="35"/>
      <c r="Q824" s="35"/>
      <c r="R824" s="35"/>
      <c r="S824" s="35"/>
      <c r="T824" s="35"/>
      <c r="U824" s="35"/>
      <c r="V824" s="35"/>
      <c r="W824" s="35"/>
      <c r="X824" s="35"/>
      <c r="Y824" s="35"/>
      <c r="Z824" s="35"/>
    </row>
    <row r="825" ht="12.75" customHeight="1">
      <c r="A825" s="35"/>
      <c r="B825" s="35"/>
      <c r="C825" s="35"/>
      <c r="D825" s="35"/>
      <c r="E825" s="35"/>
      <c r="F825" s="35"/>
      <c r="G825" s="35"/>
      <c r="H825" s="35"/>
      <c r="I825" s="35"/>
      <c r="J825" s="35"/>
      <c r="K825" s="35"/>
      <c r="L825" s="35"/>
      <c r="M825" s="35"/>
      <c r="N825" s="35"/>
      <c r="O825" s="35"/>
      <c r="P825" s="35"/>
      <c r="Q825" s="35"/>
      <c r="R825" s="35"/>
      <c r="S825" s="35"/>
      <c r="T825" s="35"/>
      <c r="U825" s="35"/>
      <c r="V825" s="35"/>
      <c r="W825" s="35"/>
      <c r="X825" s="35"/>
      <c r="Y825" s="35"/>
      <c r="Z825" s="35"/>
    </row>
    <row r="826" ht="12.75" customHeight="1">
      <c r="A826" s="35"/>
      <c r="B826" s="35"/>
      <c r="C826" s="35"/>
      <c r="D826" s="35"/>
      <c r="E826" s="35"/>
      <c r="F826" s="35"/>
      <c r="G826" s="35"/>
      <c r="H826" s="35"/>
      <c r="I826" s="35"/>
      <c r="J826" s="35"/>
      <c r="K826" s="35"/>
      <c r="L826" s="35"/>
      <c r="M826" s="35"/>
      <c r="N826" s="35"/>
      <c r="O826" s="35"/>
      <c r="P826" s="35"/>
      <c r="Q826" s="35"/>
      <c r="R826" s="35"/>
      <c r="S826" s="35"/>
      <c r="T826" s="35"/>
      <c r="U826" s="35"/>
      <c r="V826" s="35"/>
      <c r="W826" s="35"/>
      <c r="X826" s="35"/>
      <c r="Y826" s="35"/>
      <c r="Z826" s="35"/>
    </row>
    <row r="827" ht="12.75" customHeight="1">
      <c r="A827" s="35"/>
      <c r="B827" s="35"/>
      <c r="C827" s="35"/>
      <c r="D827" s="35"/>
      <c r="E827" s="35"/>
      <c r="F827" s="35"/>
      <c r="G827" s="35"/>
      <c r="H827" s="35"/>
      <c r="I827" s="35"/>
      <c r="J827" s="35"/>
      <c r="K827" s="35"/>
      <c r="L827" s="35"/>
      <c r="M827" s="35"/>
      <c r="N827" s="35"/>
      <c r="O827" s="35"/>
      <c r="P827" s="35"/>
      <c r="Q827" s="35"/>
      <c r="R827" s="35"/>
      <c r="S827" s="35"/>
      <c r="T827" s="35"/>
      <c r="U827" s="35"/>
      <c r="V827" s="35"/>
      <c r="W827" s="35"/>
      <c r="X827" s="35"/>
      <c r="Y827" s="35"/>
      <c r="Z827" s="35"/>
    </row>
    <row r="828" ht="12.75" customHeight="1">
      <c r="A828" s="35"/>
      <c r="B828" s="35"/>
      <c r="C828" s="35"/>
      <c r="D828" s="35"/>
      <c r="E828" s="35"/>
      <c r="F828" s="35"/>
      <c r="G828" s="35"/>
      <c r="H828" s="35"/>
      <c r="I828" s="35"/>
      <c r="J828" s="35"/>
      <c r="K828" s="35"/>
      <c r="L828" s="35"/>
      <c r="M828" s="35"/>
      <c r="N828" s="35"/>
      <c r="O828" s="35"/>
      <c r="P828" s="35"/>
      <c r="Q828" s="35"/>
      <c r="R828" s="35"/>
      <c r="S828" s="35"/>
      <c r="T828" s="35"/>
      <c r="U828" s="35"/>
      <c r="V828" s="35"/>
      <c r="W828" s="35"/>
      <c r="X828" s="35"/>
      <c r="Y828" s="35"/>
      <c r="Z828" s="35"/>
    </row>
    <row r="829" ht="12.75" customHeight="1">
      <c r="A829" s="35"/>
      <c r="B829" s="35"/>
      <c r="C829" s="35"/>
      <c r="D829" s="35"/>
      <c r="E829" s="35"/>
      <c r="F829" s="35"/>
      <c r="G829" s="35"/>
      <c r="H829" s="35"/>
      <c r="I829" s="35"/>
      <c r="J829" s="35"/>
      <c r="K829" s="35"/>
      <c r="L829" s="35"/>
      <c r="M829" s="35"/>
      <c r="N829" s="35"/>
      <c r="O829" s="35"/>
      <c r="P829" s="35"/>
      <c r="Q829" s="35"/>
      <c r="R829" s="35"/>
      <c r="S829" s="35"/>
      <c r="T829" s="35"/>
      <c r="U829" s="35"/>
      <c r="V829" s="35"/>
      <c r="W829" s="35"/>
      <c r="X829" s="35"/>
      <c r="Y829" s="35"/>
      <c r="Z829" s="35"/>
    </row>
    <row r="830" ht="12.75" customHeight="1">
      <c r="A830" s="35"/>
      <c r="B830" s="35"/>
      <c r="C830" s="35"/>
      <c r="D830" s="35"/>
      <c r="E830" s="35"/>
      <c r="F830" s="35"/>
      <c r="G830" s="35"/>
      <c r="H830" s="35"/>
      <c r="I830" s="35"/>
      <c r="J830" s="35"/>
      <c r="K830" s="35"/>
      <c r="L830" s="35"/>
      <c r="M830" s="35"/>
      <c r="N830" s="35"/>
      <c r="O830" s="35"/>
      <c r="P830" s="35"/>
      <c r="Q830" s="35"/>
      <c r="R830" s="35"/>
      <c r="S830" s="35"/>
      <c r="T830" s="35"/>
      <c r="U830" s="35"/>
      <c r="V830" s="35"/>
      <c r="W830" s="35"/>
      <c r="X830" s="35"/>
      <c r="Y830" s="35"/>
      <c r="Z830" s="35"/>
    </row>
    <row r="831" ht="12.75" customHeight="1">
      <c r="A831" s="35"/>
      <c r="B831" s="35"/>
      <c r="C831" s="35"/>
      <c r="D831" s="35"/>
      <c r="E831" s="35"/>
      <c r="F831" s="35"/>
      <c r="G831" s="35"/>
      <c r="H831" s="35"/>
      <c r="I831" s="35"/>
      <c r="J831" s="35"/>
      <c r="K831" s="35"/>
      <c r="L831" s="35"/>
      <c r="M831" s="35"/>
      <c r="N831" s="35"/>
      <c r="O831" s="35"/>
      <c r="P831" s="35"/>
      <c r="Q831" s="35"/>
      <c r="R831" s="35"/>
      <c r="S831" s="35"/>
      <c r="T831" s="35"/>
      <c r="U831" s="35"/>
      <c r="V831" s="35"/>
      <c r="W831" s="35"/>
      <c r="X831" s="35"/>
      <c r="Y831" s="35"/>
      <c r="Z831" s="35"/>
    </row>
    <row r="832" ht="12.75" customHeight="1">
      <c r="A832" s="35"/>
      <c r="B832" s="35"/>
      <c r="C832" s="35"/>
      <c r="D832" s="35"/>
      <c r="E832" s="35"/>
      <c r="F832" s="35"/>
      <c r="G832" s="35"/>
      <c r="H832" s="35"/>
      <c r="I832" s="35"/>
      <c r="J832" s="35"/>
      <c r="K832" s="35"/>
      <c r="L832" s="35"/>
      <c r="M832" s="35"/>
      <c r="N832" s="35"/>
      <c r="O832" s="35"/>
      <c r="P832" s="35"/>
      <c r="Q832" s="35"/>
      <c r="R832" s="35"/>
      <c r="S832" s="35"/>
      <c r="T832" s="35"/>
      <c r="U832" s="35"/>
      <c r="V832" s="35"/>
      <c r="W832" s="35"/>
      <c r="X832" s="35"/>
      <c r="Y832" s="35"/>
      <c r="Z832" s="35"/>
    </row>
    <row r="833" ht="12.75" customHeight="1">
      <c r="A833" s="35"/>
      <c r="B833" s="35"/>
      <c r="C833" s="35"/>
      <c r="D833" s="35"/>
      <c r="E833" s="35"/>
      <c r="F833" s="35"/>
      <c r="G833" s="35"/>
      <c r="H833" s="35"/>
      <c r="I833" s="35"/>
      <c r="J833" s="35"/>
      <c r="K833" s="35"/>
      <c r="L833" s="35"/>
      <c r="M833" s="35"/>
      <c r="N833" s="35"/>
      <c r="O833" s="35"/>
      <c r="P833" s="35"/>
      <c r="Q833" s="35"/>
      <c r="R833" s="35"/>
      <c r="S833" s="35"/>
      <c r="T833" s="35"/>
      <c r="U833" s="35"/>
      <c r="V833" s="35"/>
      <c r="W833" s="35"/>
      <c r="X833" s="35"/>
      <c r="Y833" s="35"/>
      <c r="Z833" s="35"/>
    </row>
    <row r="834" ht="12.75" customHeight="1">
      <c r="A834" s="35"/>
      <c r="B834" s="35"/>
      <c r="C834" s="35"/>
      <c r="D834" s="35"/>
      <c r="E834" s="35"/>
      <c r="F834" s="35"/>
      <c r="G834" s="35"/>
      <c r="H834" s="35"/>
      <c r="I834" s="35"/>
      <c r="J834" s="35"/>
      <c r="K834" s="35"/>
      <c r="L834" s="35"/>
      <c r="M834" s="35"/>
      <c r="N834" s="35"/>
      <c r="O834" s="35"/>
      <c r="P834" s="35"/>
      <c r="Q834" s="35"/>
      <c r="R834" s="35"/>
      <c r="S834" s="35"/>
      <c r="T834" s="35"/>
      <c r="U834" s="35"/>
      <c r="V834" s="35"/>
      <c r="W834" s="35"/>
      <c r="X834" s="35"/>
      <c r="Y834" s="35"/>
      <c r="Z834" s="35"/>
    </row>
    <row r="835" ht="12.75" customHeight="1">
      <c r="A835" s="35"/>
      <c r="B835" s="35"/>
      <c r="C835" s="35"/>
      <c r="D835" s="35"/>
      <c r="E835" s="35"/>
      <c r="F835" s="35"/>
      <c r="G835" s="35"/>
      <c r="H835" s="35"/>
      <c r="I835" s="35"/>
      <c r="J835" s="35"/>
      <c r="K835" s="35"/>
      <c r="L835" s="35"/>
      <c r="M835" s="35"/>
      <c r="N835" s="35"/>
      <c r="O835" s="35"/>
      <c r="P835" s="35"/>
      <c r="Q835" s="35"/>
      <c r="R835" s="35"/>
      <c r="S835" s="35"/>
      <c r="T835" s="35"/>
      <c r="U835" s="35"/>
      <c r="V835" s="35"/>
      <c r="W835" s="35"/>
      <c r="X835" s="35"/>
      <c r="Y835" s="35"/>
      <c r="Z835" s="35"/>
    </row>
    <row r="836" ht="12.75" customHeight="1">
      <c r="A836" s="35"/>
      <c r="B836" s="35"/>
      <c r="C836" s="35"/>
      <c r="D836" s="35"/>
      <c r="E836" s="35"/>
      <c r="F836" s="35"/>
      <c r="G836" s="35"/>
      <c r="H836" s="35"/>
      <c r="I836" s="35"/>
      <c r="J836" s="35"/>
      <c r="K836" s="35"/>
      <c r="L836" s="35"/>
      <c r="M836" s="35"/>
      <c r="N836" s="35"/>
      <c r="O836" s="35"/>
      <c r="P836" s="35"/>
      <c r="Q836" s="35"/>
      <c r="R836" s="35"/>
      <c r="S836" s="35"/>
      <c r="T836" s="35"/>
      <c r="U836" s="35"/>
      <c r="V836" s="35"/>
      <c r="W836" s="35"/>
      <c r="X836" s="35"/>
      <c r="Y836" s="35"/>
      <c r="Z836" s="35"/>
    </row>
    <row r="837" ht="12.75" customHeight="1">
      <c r="A837" s="35"/>
      <c r="B837" s="35"/>
      <c r="C837" s="35"/>
      <c r="D837" s="35"/>
      <c r="E837" s="35"/>
      <c r="F837" s="35"/>
      <c r="G837" s="35"/>
      <c r="H837" s="35"/>
      <c r="I837" s="35"/>
      <c r="J837" s="35"/>
      <c r="K837" s="35"/>
      <c r="L837" s="35"/>
      <c r="M837" s="35"/>
      <c r="N837" s="35"/>
      <c r="O837" s="35"/>
      <c r="P837" s="35"/>
      <c r="Q837" s="35"/>
      <c r="R837" s="35"/>
      <c r="S837" s="35"/>
      <c r="T837" s="35"/>
      <c r="U837" s="35"/>
      <c r="V837" s="35"/>
      <c r="W837" s="35"/>
      <c r="X837" s="35"/>
      <c r="Y837" s="35"/>
      <c r="Z837" s="35"/>
    </row>
    <row r="838" ht="12.75" customHeight="1">
      <c r="A838" s="35"/>
      <c r="B838" s="35"/>
      <c r="C838" s="35"/>
      <c r="D838" s="35"/>
      <c r="E838" s="35"/>
      <c r="F838" s="35"/>
      <c r="G838" s="35"/>
      <c r="H838" s="35"/>
      <c r="I838" s="35"/>
      <c r="J838" s="35"/>
      <c r="K838" s="35"/>
      <c r="L838" s="35"/>
      <c r="M838" s="35"/>
      <c r="N838" s="35"/>
      <c r="O838" s="35"/>
      <c r="P838" s="35"/>
      <c r="Q838" s="35"/>
      <c r="R838" s="35"/>
      <c r="S838" s="35"/>
      <c r="T838" s="35"/>
      <c r="U838" s="35"/>
      <c r="V838" s="35"/>
      <c r="W838" s="35"/>
      <c r="X838" s="35"/>
      <c r="Y838" s="35"/>
      <c r="Z838" s="35"/>
    </row>
    <row r="839" ht="12.75" customHeight="1">
      <c r="A839" s="35"/>
      <c r="B839" s="35"/>
      <c r="C839" s="35"/>
      <c r="D839" s="35"/>
      <c r="E839" s="35"/>
      <c r="F839" s="35"/>
      <c r="G839" s="35"/>
      <c r="H839" s="35"/>
      <c r="I839" s="35"/>
      <c r="J839" s="35"/>
      <c r="K839" s="35"/>
      <c r="L839" s="35"/>
      <c r="M839" s="35"/>
      <c r="N839" s="35"/>
      <c r="O839" s="35"/>
      <c r="P839" s="35"/>
      <c r="Q839" s="35"/>
      <c r="R839" s="35"/>
      <c r="S839" s="35"/>
      <c r="T839" s="35"/>
      <c r="U839" s="35"/>
      <c r="V839" s="35"/>
      <c r="W839" s="35"/>
      <c r="X839" s="35"/>
      <c r="Y839" s="35"/>
      <c r="Z839" s="35"/>
    </row>
    <row r="840" ht="12.75" customHeight="1">
      <c r="A840" s="35"/>
      <c r="B840" s="35"/>
      <c r="C840" s="35"/>
      <c r="D840" s="35"/>
      <c r="E840" s="35"/>
      <c r="F840" s="35"/>
      <c r="G840" s="35"/>
      <c r="H840" s="35"/>
      <c r="I840" s="35"/>
      <c r="J840" s="35"/>
      <c r="K840" s="35"/>
      <c r="L840" s="35"/>
      <c r="M840" s="35"/>
      <c r="N840" s="35"/>
      <c r="O840" s="35"/>
      <c r="P840" s="35"/>
      <c r="Q840" s="35"/>
      <c r="R840" s="35"/>
      <c r="S840" s="35"/>
      <c r="T840" s="35"/>
      <c r="U840" s="35"/>
      <c r="V840" s="35"/>
      <c r="W840" s="35"/>
      <c r="X840" s="35"/>
      <c r="Y840" s="35"/>
      <c r="Z840" s="35"/>
    </row>
    <row r="841" ht="12.75" customHeight="1">
      <c r="A841" s="35"/>
      <c r="B841" s="35"/>
      <c r="C841" s="35"/>
      <c r="D841" s="35"/>
      <c r="E841" s="35"/>
      <c r="F841" s="35"/>
      <c r="G841" s="35"/>
      <c r="H841" s="35"/>
      <c r="I841" s="35"/>
      <c r="J841" s="35"/>
      <c r="K841" s="35"/>
      <c r="L841" s="35"/>
      <c r="M841" s="35"/>
      <c r="N841" s="35"/>
      <c r="O841" s="35"/>
      <c r="P841" s="35"/>
      <c r="Q841" s="35"/>
      <c r="R841" s="35"/>
      <c r="S841" s="35"/>
      <c r="T841" s="35"/>
      <c r="U841" s="35"/>
      <c r="V841" s="35"/>
      <c r="W841" s="35"/>
      <c r="X841" s="35"/>
      <c r="Y841" s="35"/>
      <c r="Z841" s="35"/>
    </row>
    <row r="842" ht="12.75" customHeight="1">
      <c r="A842" s="35"/>
      <c r="B842" s="35"/>
      <c r="C842" s="35"/>
      <c r="D842" s="35"/>
      <c r="E842" s="35"/>
      <c r="F842" s="35"/>
      <c r="G842" s="35"/>
      <c r="H842" s="35"/>
      <c r="I842" s="35"/>
      <c r="J842" s="35"/>
      <c r="K842" s="35"/>
      <c r="L842" s="35"/>
      <c r="M842" s="35"/>
      <c r="N842" s="35"/>
      <c r="O842" s="35"/>
      <c r="P842" s="35"/>
      <c r="Q842" s="35"/>
      <c r="R842" s="35"/>
      <c r="S842" s="35"/>
      <c r="T842" s="35"/>
      <c r="U842" s="35"/>
      <c r="V842" s="35"/>
      <c r="W842" s="35"/>
      <c r="X842" s="35"/>
      <c r="Y842" s="35"/>
      <c r="Z842" s="35"/>
    </row>
    <row r="843" ht="12.75" customHeight="1">
      <c r="A843" s="35"/>
      <c r="B843" s="35"/>
      <c r="C843" s="35"/>
      <c r="D843" s="35"/>
      <c r="E843" s="35"/>
      <c r="F843" s="35"/>
      <c r="G843" s="35"/>
      <c r="H843" s="35"/>
      <c r="I843" s="35"/>
      <c r="J843" s="35"/>
      <c r="K843" s="35"/>
      <c r="L843" s="35"/>
      <c r="M843" s="35"/>
      <c r="N843" s="35"/>
      <c r="O843" s="35"/>
      <c r="P843" s="35"/>
      <c r="Q843" s="35"/>
      <c r="R843" s="35"/>
      <c r="S843" s="35"/>
      <c r="T843" s="35"/>
      <c r="U843" s="35"/>
      <c r="V843" s="35"/>
      <c r="W843" s="35"/>
      <c r="X843" s="35"/>
      <c r="Y843" s="35"/>
      <c r="Z843" s="35"/>
    </row>
    <row r="844" ht="12.75" customHeight="1">
      <c r="A844" s="35"/>
      <c r="B844" s="35"/>
      <c r="C844" s="35"/>
      <c r="D844" s="35"/>
      <c r="E844" s="35"/>
      <c r="F844" s="35"/>
      <c r="G844" s="35"/>
      <c r="H844" s="35"/>
      <c r="I844" s="35"/>
      <c r="J844" s="35"/>
      <c r="K844" s="35"/>
      <c r="L844" s="35"/>
      <c r="M844" s="35"/>
      <c r="N844" s="35"/>
      <c r="O844" s="35"/>
      <c r="P844" s="35"/>
      <c r="Q844" s="35"/>
      <c r="R844" s="35"/>
      <c r="S844" s="35"/>
      <c r="T844" s="35"/>
      <c r="U844" s="35"/>
      <c r="V844" s="35"/>
      <c r="W844" s="35"/>
      <c r="X844" s="35"/>
      <c r="Y844" s="35"/>
      <c r="Z844" s="35"/>
    </row>
    <row r="845" ht="12.75" customHeight="1">
      <c r="A845" s="35"/>
      <c r="B845" s="35"/>
      <c r="C845" s="35"/>
      <c r="D845" s="35"/>
      <c r="E845" s="35"/>
      <c r="F845" s="35"/>
      <c r="G845" s="35"/>
      <c r="H845" s="35"/>
      <c r="I845" s="35"/>
      <c r="J845" s="35"/>
      <c r="K845" s="35"/>
      <c r="L845" s="35"/>
      <c r="M845" s="35"/>
      <c r="N845" s="35"/>
      <c r="O845" s="35"/>
      <c r="P845" s="35"/>
      <c r="Q845" s="35"/>
      <c r="R845" s="35"/>
      <c r="S845" s="35"/>
      <c r="T845" s="35"/>
      <c r="U845" s="35"/>
      <c r="V845" s="35"/>
      <c r="W845" s="35"/>
      <c r="X845" s="35"/>
      <c r="Y845" s="35"/>
      <c r="Z845" s="35"/>
    </row>
    <row r="846" ht="12.75" customHeight="1">
      <c r="A846" s="35"/>
      <c r="B846" s="35"/>
      <c r="C846" s="35"/>
      <c r="D846" s="35"/>
      <c r="E846" s="35"/>
      <c r="F846" s="35"/>
      <c r="G846" s="35"/>
      <c r="H846" s="35"/>
      <c r="I846" s="35"/>
      <c r="J846" s="35"/>
      <c r="K846" s="35"/>
      <c r="L846" s="35"/>
      <c r="M846" s="35"/>
      <c r="N846" s="35"/>
      <c r="O846" s="35"/>
      <c r="P846" s="35"/>
      <c r="Q846" s="35"/>
      <c r="R846" s="35"/>
      <c r="S846" s="35"/>
      <c r="T846" s="35"/>
      <c r="U846" s="35"/>
      <c r="V846" s="35"/>
      <c r="W846" s="35"/>
      <c r="X846" s="35"/>
      <c r="Y846" s="35"/>
      <c r="Z846" s="35"/>
    </row>
    <row r="847" ht="12.75" customHeight="1">
      <c r="A847" s="35"/>
      <c r="B847" s="35"/>
      <c r="C847" s="35"/>
      <c r="D847" s="35"/>
      <c r="E847" s="35"/>
      <c r="F847" s="35"/>
      <c r="G847" s="35"/>
      <c r="H847" s="35"/>
      <c r="I847" s="35"/>
      <c r="J847" s="35"/>
      <c r="K847" s="35"/>
      <c r="L847" s="35"/>
      <c r="M847" s="35"/>
      <c r="N847" s="35"/>
      <c r="O847" s="35"/>
      <c r="P847" s="35"/>
      <c r="Q847" s="35"/>
      <c r="R847" s="35"/>
      <c r="S847" s="35"/>
      <c r="T847" s="35"/>
      <c r="U847" s="35"/>
      <c r="V847" s="35"/>
      <c r="W847" s="35"/>
      <c r="X847" s="35"/>
      <c r="Y847" s="35"/>
      <c r="Z847" s="35"/>
    </row>
    <row r="848" ht="12.75" customHeight="1">
      <c r="A848" s="35"/>
      <c r="B848" s="35"/>
      <c r="C848" s="35"/>
      <c r="D848" s="35"/>
      <c r="E848" s="35"/>
      <c r="F848" s="35"/>
      <c r="G848" s="35"/>
      <c r="H848" s="35"/>
      <c r="I848" s="35"/>
      <c r="J848" s="35"/>
      <c r="K848" s="35"/>
      <c r="L848" s="35"/>
      <c r="M848" s="35"/>
      <c r="N848" s="35"/>
      <c r="O848" s="35"/>
      <c r="P848" s="35"/>
      <c r="Q848" s="35"/>
      <c r="R848" s="35"/>
      <c r="S848" s="35"/>
      <c r="T848" s="35"/>
      <c r="U848" s="35"/>
      <c r="V848" s="35"/>
      <c r="W848" s="35"/>
      <c r="X848" s="35"/>
      <c r="Y848" s="35"/>
      <c r="Z848" s="35"/>
    </row>
    <row r="849" ht="12.75" customHeight="1">
      <c r="A849" s="35"/>
      <c r="B849" s="35"/>
      <c r="C849" s="35"/>
      <c r="D849" s="35"/>
      <c r="E849" s="35"/>
      <c r="F849" s="35"/>
      <c r="G849" s="35"/>
      <c r="H849" s="35"/>
      <c r="I849" s="35"/>
      <c r="J849" s="35"/>
      <c r="K849" s="35"/>
      <c r="L849" s="35"/>
      <c r="M849" s="35"/>
      <c r="N849" s="35"/>
      <c r="O849" s="35"/>
      <c r="P849" s="35"/>
      <c r="Q849" s="35"/>
      <c r="R849" s="35"/>
      <c r="S849" s="35"/>
      <c r="T849" s="35"/>
      <c r="U849" s="35"/>
      <c r="V849" s="35"/>
      <c r="W849" s="35"/>
      <c r="X849" s="35"/>
      <c r="Y849" s="35"/>
      <c r="Z849" s="35"/>
    </row>
    <row r="850" ht="12.75" customHeight="1">
      <c r="A850" s="35"/>
      <c r="B850" s="35"/>
      <c r="C850" s="35"/>
      <c r="D850" s="35"/>
      <c r="E850" s="35"/>
      <c r="F850" s="35"/>
      <c r="G850" s="35"/>
      <c r="H850" s="35"/>
      <c r="I850" s="35"/>
      <c r="J850" s="35"/>
      <c r="K850" s="35"/>
      <c r="L850" s="35"/>
      <c r="M850" s="35"/>
      <c r="N850" s="35"/>
      <c r="O850" s="35"/>
      <c r="P850" s="35"/>
      <c r="Q850" s="35"/>
      <c r="R850" s="35"/>
      <c r="S850" s="35"/>
      <c r="T850" s="35"/>
      <c r="U850" s="35"/>
      <c r="V850" s="35"/>
      <c r="W850" s="35"/>
      <c r="X850" s="35"/>
      <c r="Y850" s="35"/>
      <c r="Z850" s="35"/>
    </row>
    <row r="851" ht="12.75" customHeight="1">
      <c r="A851" s="35"/>
      <c r="B851" s="35"/>
      <c r="C851" s="35"/>
      <c r="D851" s="35"/>
      <c r="E851" s="35"/>
      <c r="F851" s="35"/>
      <c r="G851" s="35"/>
      <c r="H851" s="35"/>
      <c r="I851" s="35"/>
      <c r="J851" s="35"/>
      <c r="K851" s="35"/>
      <c r="L851" s="35"/>
      <c r="M851" s="35"/>
      <c r="N851" s="35"/>
      <c r="O851" s="35"/>
      <c r="P851" s="35"/>
      <c r="Q851" s="35"/>
      <c r="R851" s="35"/>
      <c r="S851" s="35"/>
      <c r="T851" s="35"/>
      <c r="U851" s="35"/>
      <c r="V851" s="35"/>
      <c r="W851" s="35"/>
      <c r="X851" s="35"/>
      <c r="Y851" s="35"/>
      <c r="Z851" s="35"/>
    </row>
    <row r="852" ht="12.75" customHeight="1">
      <c r="A852" s="35"/>
      <c r="B852" s="35"/>
      <c r="C852" s="35"/>
      <c r="D852" s="35"/>
      <c r="E852" s="35"/>
      <c r="F852" s="35"/>
      <c r="G852" s="35"/>
      <c r="H852" s="35"/>
      <c r="I852" s="35"/>
      <c r="J852" s="35"/>
      <c r="K852" s="35"/>
      <c r="L852" s="35"/>
      <c r="M852" s="35"/>
      <c r="N852" s="35"/>
      <c r="O852" s="35"/>
      <c r="P852" s="35"/>
      <c r="Q852" s="35"/>
      <c r="R852" s="35"/>
      <c r="S852" s="35"/>
      <c r="T852" s="35"/>
      <c r="U852" s="35"/>
      <c r="V852" s="35"/>
      <c r="W852" s="35"/>
      <c r="X852" s="35"/>
      <c r="Y852" s="35"/>
      <c r="Z852" s="35"/>
    </row>
    <row r="853" ht="12.75" customHeight="1">
      <c r="A853" s="35"/>
      <c r="B853" s="35"/>
      <c r="C853" s="35"/>
      <c r="D853" s="35"/>
      <c r="E853" s="35"/>
      <c r="F853" s="35"/>
      <c r="G853" s="35"/>
      <c r="H853" s="35"/>
      <c r="I853" s="35"/>
      <c r="J853" s="35"/>
      <c r="K853" s="35"/>
      <c r="L853" s="35"/>
      <c r="M853" s="35"/>
      <c r="N853" s="35"/>
      <c r="O853" s="35"/>
      <c r="P853" s="35"/>
      <c r="Q853" s="35"/>
      <c r="R853" s="35"/>
      <c r="S853" s="35"/>
      <c r="T853" s="35"/>
      <c r="U853" s="35"/>
      <c r="V853" s="35"/>
      <c r="W853" s="35"/>
      <c r="X853" s="35"/>
      <c r="Y853" s="35"/>
      <c r="Z853" s="35"/>
    </row>
    <row r="854" ht="12.75" customHeight="1">
      <c r="A854" s="35"/>
      <c r="B854" s="35"/>
      <c r="C854" s="35"/>
      <c r="D854" s="35"/>
      <c r="E854" s="35"/>
      <c r="F854" s="35"/>
      <c r="G854" s="35"/>
      <c r="H854" s="35"/>
      <c r="I854" s="35"/>
      <c r="J854" s="35"/>
      <c r="K854" s="35"/>
      <c r="L854" s="35"/>
      <c r="M854" s="35"/>
      <c r="N854" s="35"/>
      <c r="O854" s="35"/>
      <c r="P854" s="35"/>
      <c r="Q854" s="35"/>
      <c r="R854" s="35"/>
      <c r="S854" s="35"/>
      <c r="T854" s="35"/>
      <c r="U854" s="35"/>
      <c r="V854" s="35"/>
      <c r="W854" s="35"/>
      <c r="X854" s="35"/>
      <c r="Y854" s="35"/>
      <c r="Z854" s="35"/>
    </row>
    <row r="855" ht="12.75" customHeight="1">
      <c r="A855" s="35"/>
      <c r="B855" s="35"/>
      <c r="C855" s="35"/>
      <c r="D855" s="35"/>
      <c r="E855" s="35"/>
      <c r="F855" s="35"/>
      <c r="G855" s="35"/>
      <c r="H855" s="35"/>
      <c r="I855" s="35"/>
      <c r="J855" s="35"/>
      <c r="K855" s="35"/>
      <c r="L855" s="35"/>
      <c r="M855" s="35"/>
      <c r="N855" s="35"/>
      <c r="O855" s="35"/>
      <c r="P855" s="35"/>
      <c r="Q855" s="35"/>
      <c r="R855" s="35"/>
      <c r="S855" s="35"/>
      <c r="T855" s="35"/>
      <c r="U855" s="35"/>
      <c r="V855" s="35"/>
      <c r="W855" s="35"/>
      <c r="X855" s="35"/>
      <c r="Y855" s="35"/>
      <c r="Z855" s="35"/>
    </row>
    <row r="856" ht="12.75" customHeight="1">
      <c r="A856" s="35"/>
      <c r="B856" s="35"/>
      <c r="C856" s="35"/>
      <c r="D856" s="35"/>
      <c r="E856" s="35"/>
      <c r="F856" s="35"/>
      <c r="G856" s="35"/>
      <c r="H856" s="35"/>
      <c r="I856" s="35"/>
      <c r="J856" s="35"/>
      <c r="K856" s="35"/>
      <c r="L856" s="35"/>
      <c r="M856" s="35"/>
      <c r="N856" s="35"/>
      <c r="O856" s="35"/>
      <c r="P856" s="35"/>
      <c r="Q856" s="35"/>
      <c r="R856" s="35"/>
      <c r="S856" s="35"/>
      <c r="T856" s="35"/>
      <c r="U856" s="35"/>
      <c r="V856" s="35"/>
      <c r="W856" s="35"/>
      <c r="X856" s="35"/>
      <c r="Y856" s="35"/>
      <c r="Z856" s="35"/>
    </row>
    <row r="857" ht="12.75" customHeight="1">
      <c r="A857" s="35"/>
      <c r="B857" s="35"/>
      <c r="C857" s="35"/>
      <c r="D857" s="35"/>
      <c r="E857" s="35"/>
      <c r="F857" s="35"/>
      <c r="G857" s="35"/>
      <c r="H857" s="35"/>
      <c r="I857" s="35"/>
      <c r="J857" s="35"/>
      <c r="K857" s="35"/>
      <c r="L857" s="35"/>
      <c r="M857" s="35"/>
      <c r="N857" s="35"/>
      <c r="O857" s="35"/>
      <c r="P857" s="35"/>
      <c r="Q857" s="35"/>
      <c r="R857" s="35"/>
      <c r="S857" s="35"/>
      <c r="T857" s="35"/>
      <c r="U857" s="35"/>
      <c r="V857" s="35"/>
      <c r="W857" s="35"/>
      <c r="X857" s="35"/>
      <c r="Y857" s="35"/>
      <c r="Z857" s="35"/>
    </row>
    <row r="858" ht="12.75" customHeight="1">
      <c r="A858" s="35"/>
      <c r="B858" s="35"/>
      <c r="C858" s="35"/>
      <c r="D858" s="35"/>
      <c r="E858" s="35"/>
      <c r="F858" s="35"/>
      <c r="G858" s="35"/>
      <c r="H858" s="35"/>
      <c r="I858" s="35"/>
      <c r="J858" s="35"/>
      <c r="K858" s="35"/>
      <c r="L858" s="35"/>
      <c r="M858" s="35"/>
      <c r="N858" s="35"/>
      <c r="O858" s="35"/>
      <c r="P858" s="35"/>
      <c r="Q858" s="35"/>
      <c r="R858" s="35"/>
      <c r="S858" s="35"/>
      <c r="T858" s="35"/>
      <c r="U858" s="35"/>
      <c r="V858" s="35"/>
      <c r="W858" s="35"/>
      <c r="X858" s="35"/>
      <c r="Y858" s="35"/>
      <c r="Z858" s="35"/>
    </row>
    <row r="859" ht="12.75" customHeight="1">
      <c r="A859" s="35"/>
      <c r="B859" s="35"/>
      <c r="C859" s="35"/>
      <c r="D859" s="35"/>
      <c r="E859" s="35"/>
      <c r="F859" s="35"/>
      <c r="G859" s="35"/>
      <c r="H859" s="35"/>
      <c r="I859" s="35"/>
      <c r="J859" s="35"/>
      <c r="K859" s="35"/>
      <c r="L859" s="35"/>
      <c r="M859" s="35"/>
      <c r="N859" s="35"/>
      <c r="O859" s="35"/>
      <c r="P859" s="35"/>
      <c r="Q859" s="35"/>
      <c r="R859" s="35"/>
      <c r="S859" s="35"/>
      <c r="T859" s="35"/>
      <c r="U859" s="35"/>
      <c r="V859" s="35"/>
      <c r="W859" s="35"/>
      <c r="X859" s="35"/>
      <c r="Y859" s="35"/>
      <c r="Z859" s="35"/>
    </row>
    <row r="860" ht="12.75" customHeight="1">
      <c r="A860" s="35"/>
      <c r="B860" s="35"/>
      <c r="C860" s="35"/>
      <c r="D860" s="35"/>
      <c r="E860" s="35"/>
      <c r="F860" s="35"/>
      <c r="G860" s="35"/>
      <c r="H860" s="35"/>
      <c r="I860" s="35"/>
      <c r="J860" s="35"/>
      <c r="K860" s="35"/>
      <c r="L860" s="35"/>
      <c r="M860" s="35"/>
      <c r="N860" s="35"/>
      <c r="O860" s="35"/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5"/>
    </row>
    <row r="861" ht="12.75" customHeight="1">
      <c r="A861" s="35"/>
      <c r="B861" s="35"/>
      <c r="C861" s="35"/>
      <c r="D861" s="35"/>
      <c r="E861" s="35"/>
      <c r="F861" s="35"/>
      <c r="G861" s="35"/>
      <c r="H861" s="35"/>
      <c r="I861" s="35"/>
      <c r="J861" s="35"/>
      <c r="K861" s="35"/>
      <c r="L861" s="35"/>
      <c r="M861" s="35"/>
      <c r="N861" s="35"/>
      <c r="O861" s="35"/>
      <c r="P861" s="35"/>
      <c r="Q861" s="35"/>
      <c r="R861" s="35"/>
      <c r="S861" s="35"/>
      <c r="T861" s="35"/>
      <c r="U861" s="35"/>
      <c r="V861" s="35"/>
      <c r="W861" s="35"/>
      <c r="X861" s="35"/>
      <c r="Y861" s="35"/>
      <c r="Z861" s="35"/>
    </row>
    <row r="862" ht="12.75" customHeight="1">
      <c r="A862" s="35"/>
      <c r="B862" s="35"/>
      <c r="C862" s="35"/>
      <c r="D862" s="35"/>
      <c r="E862" s="35"/>
      <c r="F862" s="35"/>
      <c r="G862" s="35"/>
      <c r="H862" s="35"/>
      <c r="I862" s="35"/>
      <c r="J862" s="35"/>
      <c r="K862" s="35"/>
      <c r="L862" s="35"/>
      <c r="M862" s="35"/>
      <c r="N862" s="35"/>
      <c r="O862" s="35"/>
      <c r="P862" s="35"/>
      <c r="Q862" s="35"/>
      <c r="R862" s="35"/>
      <c r="S862" s="35"/>
      <c r="T862" s="35"/>
      <c r="U862" s="35"/>
      <c r="V862" s="35"/>
      <c r="W862" s="35"/>
      <c r="X862" s="35"/>
      <c r="Y862" s="35"/>
      <c r="Z862" s="35"/>
    </row>
    <row r="863" ht="12.75" customHeight="1">
      <c r="A863" s="35"/>
      <c r="B863" s="35"/>
      <c r="C863" s="35"/>
      <c r="D863" s="35"/>
      <c r="E863" s="35"/>
      <c r="F863" s="35"/>
      <c r="G863" s="35"/>
      <c r="H863" s="35"/>
      <c r="I863" s="35"/>
      <c r="J863" s="35"/>
      <c r="K863" s="35"/>
      <c r="L863" s="35"/>
      <c r="M863" s="35"/>
      <c r="N863" s="35"/>
      <c r="O863" s="35"/>
      <c r="P863" s="35"/>
      <c r="Q863" s="35"/>
      <c r="R863" s="35"/>
      <c r="S863" s="35"/>
      <c r="T863" s="35"/>
      <c r="U863" s="35"/>
      <c r="V863" s="35"/>
      <c r="W863" s="35"/>
      <c r="X863" s="35"/>
      <c r="Y863" s="35"/>
      <c r="Z863" s="35"/>
    </row>
    <row r="864" ht="12.75" customHeight="1">
      <c r="A864" s="35"/>
      <c r="B864" s="35"/>
      <c r="C864" s="35"/>
      <c r="D864" s="35"/>
      <c r="E864" s="35"/>
      <c r="F864" s="35"/>
      <c r="G864" s="35"/>
      <c r="H864" s="35"/>
      <c r="I864" s="35"/>
      <c r="J864" s="35"/>
      <c r="K864" s="35"/>
      <c r="L864" s="35"/>
      <c r="M864" s="35"/>
      <c r="N864" s="35"/>
      <c r="O864" s="35"/>
      <c r="P864" s="35"/>
      <c r="Q864" s="35"/>
      <c r="R864" s="35"/>
      <c r="S864" s="35"/>
      <c r="T864" s="35"/>
      <c r="U864" s="35"/>
      <c r="V864" s="35"/>
      <c r="W864" s="35"/>
      <c r="X864" s="35"/>
      <c r="Y864" s="35"/>
      <c r="Z864" s="35"/>
    </row>
    <row r="865" ht="12.75" customHeight="1">
      <c r="A865" s="35"/>
      <c r="B865" s="35"/>
      <c r="C865" s="35"/>
      <c r="D865" s="35"/>
      <c r="E865" s="35"/>
      <c r="F865" s="35"/>
      <c r="G865" s="35"/>
      <c r="H865" s="35"/>
      <c r="I865" s="35"/>
      <c r="J865" s="35"/>
      <c r="K865" s="35"/>
      <c r="L865" s="35"/>
      <c r="M865" s="35"/>
      <c r="N865" s="35"/>
      <c r="O865" s="35"/>
      <c r="P865" s="35"/>
      <c r="Q865" s="35"/>
      <c r="R865" s="35"/>
      <c r="S865" s="35"/>
      <c r="T865" s="35"/>
      <c r="U865" s="35"/>
      <c r="V865" s="35"/>
      <c r="W865" s="35"/>
      <c r="X865" s="35"/>
      <c r="Y865" s="35"/>
      <c r="Z865" s="35"/>
    </row>
    <row r="866" ht="12.75" customHeight="1">
      <c r="A866" s="35"/>
      <c r="B866" s="35"/>
      <c r="C866" s="35"/>
      <c r="D866" s="35"/>
      <c r="E866" s="35"/>
      <c r="F866" s="35"/>
      <c r="G866" s="35"/>
      <c r="H866" s="35"/>
      <c r="I866" s="35"/>
      <c r="J866" s="35"/>
      <c r="K866" s="35"/>
      <c r="L866" s="35"/>
      <c r="M866" s="35"/>
      <c r="N866" s="35"/>
      <c r="O866" s="35"/>
      <c r="P866" s="35"/>
      <c r="Q866" s="35"/>
      <c r="R866" s="35"/>
      <c r="S866" s="35"/>
      <c r="T866" s="35"/>
      <c r="U866" s="35"/>
      <c r="V866" s="35"/>
      <c r="W866" s="35"/>
      <c r="X866" s="35"/>
      <c r="Y866" s="35"/>
      <c r="Z866" s="35"/>
    </row>
    <row r="867" ht="12.75" customHeight="1">
      <c r="A867" s="35"/>
      <c r="B867" s="35"/>
      <c r="C867" s="35"/>
      <c r="D867" s="35"/>
      <c r="E867" s="35"/>
      <c r="F867" s="35"/>
      <c r="G867" s="35"/>
      <c r="H867" s="35"/>
      <c r="I867" s="35"/>
      <c r="J867" s="35"/>
      <c r="K867" s="35"/>
      <c r="L867" s="35"/>
      <c r="M867" s="35"/>
      <c r="N867" s="35"/>
      <c r="O867" s="35"/>
      <c r="P867" s="35"/>
      <c r="Q867" s="35"/>
      <c r="R867" s="35"/>
      <c r="S867" s="35"/>
      <c r="T867" s="35"/>
      <c r="U867" s="35"/>
      <c r="V867" s="35"/>
      <c r="W867" s="35"/>
      <c r="X867" s="35"/>
      <c r="Y867" s="35"/>
      <c r="Z867" s="35"/>
    </row>
    <row r="868" ht="12.75" customHeight="1">
      <c r="A868" s="35"/>
      <c r="B868" s="35"/>
      <c r="C868" s="35"/>
      <c r="D868" s="35"/>
      <c r="E868" s="35"/>
      <c r="F868" s="35"/>
      <c r="G868" s="35"/>
      <c r="H868" s="35"/>
      <c r="I868" s="35"/>
      <c r="J868" s="35"/>
      <c r="K868" s="35"/>
      <c r="L868" s="35"/>
      <c r="M868" s="35"/>
      <c r="N868" s="35"/>
      <c r="O868" s="35"/>
      <c r="P868" s="35"/>
      <c r="Q868" s="35"/>
      <c r="R868" s="35"/>
      <c r="S868" s="35"/>
      <c r="T868" s="35"/>
      <c r="U868" s="35"/>
      <c r="V868" s="35"/>
      <c r="W868" s="35"/>
      <c r="X868" s="35"/>
      <c r="Y868" s="35"/>
      <c r="Z868" s="35"/>
    </row>
    <row r="869" ht="12.75" customHeight="1">
      <c r="A869" s="35"/>
      <c r="B869" s="35"/>
      <c r="C869" s="35"/>
      <c r="D869" s="35"/>
      <c r="E869" s="35"/>
      <c r="F869" s="35"/>
      <c r="G869" s="35"/>
      <c r="H869" s="35"/>
      <c r="I869" s="35"/>
      <c r="J869" s="35"/>
      <c r="K869" s="35"/>
      <c r="L869" s="35"/>
      <c r="M869" s="35"/>
      <c r="N869" s="35"/>
      <c r="O869" s="35"/>
      <c r="P869" s="35"/>
      <c r="Q869" s="35"/>
      <c r="R869" s="35"/>
      <c r="S869" s="35"/>
      <c r="T869" s="35"/>
      <c r="U869" s="35"/>
      <c r="V869" s="35"/>
      <c r="W869" s="35"/>
      <c r="X869" s="35"/>
      <c r="Y869" s="35"/>
      <c r="Z869" s="35"/>
    </row>
    <row r="870" ht="12.75" customHeight="1">
      <c r="A870" s="35"/>
      <c r="B870" s="35"/>
      <c r="C870" s="35"/>
      <c r="D870" s="35"/>
      <c r="E870" s="35"/>
      <c r="F870" s="35"/>
      <c r="G870" s="35"/>
      <c r="H870" s="35"/>
      <c r="I870" s="35"/>
      <c r="J870" s="35"/>
      <c r="K870" s="35"/>
      <c r="L870" s="35"/>
      <c r="M870" s="35"/>
      <c r="N870" s="35"/>
      <c r="O870" s="35"/>
      <c r="P870" s="35"/>
      <c r="Q870" s="35"/>
      <c r="R870" s="35"/>
      <c r="S870" s="35"/>
      <c r="T870" s="35"/>
      <c r="U870" s="35"/>
      <c r="V870" s="35"/>
      <c r="W870" s="35"/>
      <c r="X870" s="35"/>
      <c r="Y870" s="35"/>
      <c r="Z870" s="35"/>
    </row>
    <row r="871" ht="12.75" customHeight="1">
      <c r="A871" s="35"/>
      <c r="B871" s="35"/>
      <c r="C871" s="35"/>
      <c r="D871" s="35"/>
      <c r="E871" s="35"/>
      <c r="F871" s="35"/>
      <c r="G871" s="35"/>
      <c r="H871" s="35"/>
      <c r="I871" s="35"/>
      <c r="J871" s="35"/>
      <c r="K871" s="35"/>
      <c r="L871" s="35"/>
      <c r="M871" s="35"/>
      <c r="N871" s="35"/>
      <c r="O871" s="35"/>
      <c r="P871" s="35"/>
      <c r="Q871" s="35"/>
      <c r="R871" s="35"/>
      <c r="S871" s="35"/>
      <c r="T871" s="35"/>
      <c r="U871" s="35"/>
      <c r="V871" s="35"/>
      <c r="W871" s="35"/>
      <c r="X871" s="35"/>
      <c r="Y871" s="35"/>
      <c r="Z871" s="35"/>
    </row>
    <row r="872" ht="12.75" customHeight="1">
      <c r="A872" s="35"/>
      <c r="B872" s="35"/>
      <c r="C872" s="35"/>
      <c r="D872" s="35"/>
      <c r="E872" s="35"/>
      <c r="F872" s="35"/>
      <c r="G872" s="35"/>
      <c r="H872" s="35"/>
      <c r="I872" s="35"/>
      <c r="J872" s="35"/>
      <c r="K872" s="35"/>
      <c r="L872" s="35"/>
      <c r="M872" s="35"/>
      <c r="N872" s="35"/>
      <c r="O872" s="35"/>
      <c r="P872" s="35"/>
      <c r="Q872" s="35"/>
      <c r="R872" s="35"/>
      <c r="S872" s="35"/>
      <c r="T872" s="35"/>
      <c r="U872" s="35"/>
      <c r="V872" s="35"/>
      <c r="W872" s="35"/>
      <c r="X872" s="35"/>
      <c r="Y872" s="35"/>
      <c r="Z872" s="35"/>
    </row>
    <row r="873" ht="12.75" customHeight="1">
      <c r="A873" s="35"/>
      <c r="B873" s="35"/>
      <c r="C873" s="35"/>
      <c r="D873" s="35"/>
      <c r="E873" s="35"/>
      <c r="F873" s="35"/>
      <c r="G873" s="35"/>
      <c r="H873" s="35"/>
      <c r="I873" s="35"/>
      <c r="J873" s="35"/>
      <c r="K873" s="35"/>
      <c r="L873" s="35"/>
      <c r="M873" s="35"/>
      <c r="N873" s="35"/>
      <c r="O873" s="35"/>
      <c r="P873" s="35"/>
      <c r="Q873" s="35"/>
      <c r="R873" s="35"/>
      <c r="S873" s="35"/>
      <c r="T873" s="35"/>
      <c r="U873" s="35"/>
      <c r="V873" s="35"/>
      <c r="W873" s="35"/>
      <c r="X873" s="35"/>
      <c r="Y873" s="35"/>
      <c r="Z873" s="35"/>
    </row>
    <row r="874" ht="12.75" customHeight="1">
      <c r="A874" s="35"/>
      <c r="B874" s="35"/>
      <c r="C874" s="35"/>
      <c r="D874" s="35"/>
      <c r="E874" s="35"/>
      <c r="F874" s="35"/>
      <c r="G874" s="35"/>
      <c r="H874" s="35"/>
      <c r="I874" s="35"/>
      <c r="J874" s="35"/>
      <c r="K874" s="35"/>
      <c r="L874" s="35"/>
      <c r="M874" s="35"/>
      <c r="N874" s="35"/>
      <c r="O874" s="35"/>
      <c r="P874" s="35"/>
      <c r="Q874" s="35"/>
      <c r="R874" s="35"/>
      <c r="S874" s="35"/>
      <c r="T874" s="35"/>
      <c r="U874" s="35"/>
      <c r="V874" s="35"/>
      <c r="W874" s="35"/>
      <c r="X874" s="35"/>
      <c r="Y874" s="35"/>
      <c r="Z874" s="35"/>
    </row>
    <row r="875" ht="12.75" customHeight="1">
      <c r="A875" s="35"/>
      <c r="B875" s="35"/>
      <c r="C875" s="35"/>
      <c r="D875" s="35"/>
      <c r="E875" s="35"/>
      <c r="F875" s="35"/>
      <c r="G875" s="35"/>
      <c r="H875" s="35"/>
      <c r="I875" s="35"/>
      <c r="J875" s="35"/>
      <c r="K875" s="35"/>
      <c r="L875" s="35"/>
      <c r="M875" s="35"/>
      <c r="N875" s="35"/>
      <c r="O875" s="35"/>
      <c r="P875" s="35"/>
      <c r="Q875" s="35"/>
      <c r="R875" s="35"/>
      <c r="S875" s="35"/>
      <c r="T875" s="35"/>
      <c r="U875" s="35"/>
      <c r="V875" s="35"/>
      <c r="W875" s="35"/>
      <c r="X875" s="35"/>
      <c r="Y875" s="35"/>
      <c r="Z875" s="35"/>
    </row>
    <row r="876" ht="12.75" customHeight="1">
      <c r="A876" s="35"/>
      <c r="B876" s="35"/>
      <c r="C876" s="35"/>
      <c r="D876" s="35"/>
      <c r="E876" s="35"/>
      <c r="F876" s="35"/>
      <c r="G876" s="35"/>
      <c r="H876" s="35"/>
      <c r="I876" s="35"/>
      <c r="J876" s="35"/>
      <c r="K876" s="35"/>
      <c r="L876" s="35"/>
      <c r="M876" s="35"/>
      <c r="N876" s="35"/>
      <c r="O876" s="35"/>
      <c r="P876" s="35"/>
      <c r="Q876" s="35"/>
      <c r="R876" s="35"/>
      <c r="S876" s="35"/>
      <c r="T876" s="35"/>
      <c r="U876" s="35"/>
      <c r="V876" s="35"/>
      <c r="W876" s="35"/>
      <c r="X876" s="35"/>
      <c r="Y876" s="35"/>
      <c r="Z876" s="35"/>
    </row>
    <row r="877" ht="12.75" customHeight="1">
      <c r="A877" s="35"/>
      <c r="B877" s="35"/>
      <c r="C877" s="35"/>
      <c r="D877" s="35"/>
      <c r="E877" s="35"/>
      <c r="F877" s="35"/>
      <c r="G877" s="35"/>
      <c r="H877" s="35"/>
      <c r="I877" s="35"/>
      <c r="J877" s="35"/>
      <c r="K877" s="35"/>
      <c r="L877" s="35"/>
      <c r="M877" s="35"/>
      <c r="N877" s="35"/>
      <c r="O877" s="35"/>
      <c r="P877" s="35"/>
      <c r="Q877" s="35"/>
      <c r="R877" s="35"/>
      <c r="S877" s="35"/>
      <c r="T877" s="35"/>
      <c r="U877" s="35"/>
      <c r="V877" s="35"/>
      <c r="W877" s="35"/>
      <c r="X877" s="35"/>
      <c r="Y877" s="35"/>
      <c r="Z877" s="35"/>
    </row>
    <row r="878" ht="12.75" customHeight="1">
      <c r="A878" s="35"/>
      <c r="B878" s="35"/>
      <c r="C878" s="35"/>
      <c r="D878" s="35"/>
      <c r="E878" s="35"/>
      <c r="F878" s="35"/>
      <c r="G878" s="35"/>
      <c r="H878" s="35"/>
      <c r="I878" s="35"/>
      <c r="J878" s="35"/>
      <c r="K878" s="35"/>
      <c r="L878" s="35"/>
      <c r="M878" s="35"/>
      <c r="N878" s="35"/>
      <c r="O878" s="35"/>
      <c r="P878" s="35"/>
      <c r="Q878" s="35"/>
      <c r="R878" s="35"/>
      <c r="S878" s="35"/>
      <c r="T878" s="35"/>
      <c r="U878" s="35"/>
      <c r="V878" s="35"/>
      <c r="W878" s="35"/>
      <c r="X878" s="35"/>
      <c r="Y878" s="35"/>
      <c r="Z878" s="35"/>
    </row>
    <row r="879" ht="12.75" customHeight="1">
      <c r="A879" s="35"/>
      <c r="B879" s="35"/>
      <c r="C879" s="35"/>
      <c r="D879" s="35"/>
      <c r="E879" s="35"/>
      <c r="F879" s="35"/>
      <c r="G879" s="35"/>
      <c r="H879" s="35"/>
      <c r="I879" s="35"/>
      <c r="J879" s="35"/>
      <c r="K879" s="35"/>
      <c r="L879" s="35"/>
      <c r="M879" s="35"/>
      <c r="N879" s="35"/>
      <c r="O879" s="35"/>
      <c r="P879" s="35"/>
      <c r="Q879" s="35"/>
      <c r="R879" s="35"/>
      <c r="S879" s="35"/>
      <c r="T879" s="35"/>
      <c r="U879" s="35"/>
      <c r="V879" s="35"/>
      <c r="W879" s="35"/>
      <c r="X879" s="35"/>
      <c r="Y879" s="35"/>
      <c r="Z879" s="35"/>
    </row>
    <row r="880" ht="12.75" customHeight="1">
      <c r="A880" s="35"/>
      <c r="B880" s="35"/>
      <c r="C880" s="35"/>
      <c r="D880" s="35"/>
      <c r="E880" s="35"/>
      <c r="F880" s="35"/>
      <c r="G880" s="35"/>
      <c r="H880" s="35"/>
      <c r="I880" s="35"/>
      <c r="J880" s="35"/>
      <c r="K880" s="35"/>
      <c r="L880" s="35"/>
      <c r="M880" s="35"/>
      <c r="N880" s="35"/>
      <c r="O880" s="35"/>
      <c r="P880" s="35"/>
      <c r="Q880" s="35"/>
      <c r="R880" s="35"/>
      <c r="S880" s="35"/>
      <c r="T880" s="35"/>
      <c r="U880" s="35"/>
      <c r="V880" s="35"/>
      <c r="W880" s="35"/>
      <c r="X880" s="35"/>
      <c r="Y880" s="35"/>
      <c r="Z880" s="35"/>
    </row>
    <row r="881" ht="12.75" customHeight="1">
      <c r="A881" s="35"/>
      <c r="B881" s="35"/>
      <c r="C881" s="35"/>
      <c r="D881" s="35"/>
      <c r="E881" s="35"/>
      <c r="F881" s="35"/>
      <c r="G881" s="35"/>
      <c r="H881" s="35"/>
      <c r="I881" s="35"/>
      <c r="J881" s="35"/>
      <c r="K881" s="35"/>
      <c r="L881" s="35"/>
      <c r="M881" s="35"/>
      <c r="N881" s="35"/>
      <c r="O881" s="35"/>
      <c r="P881" s="35"/>
      <c r="Q881" s="35"/>
      <c r="R881" s="35"/>
      <c r="S881" s="35"/>
      <c r="T881" s="35"/>
      <c r="U881" s="35"/>
      <c r="V881" s="35"/>
      <c r="W881" s="35"/>
      <c r="X881" s="35"/>
      <c r="Y881" s="35"/>
      <c r="Z881" s="35"/>
    </row>
    <row r="882" ht="12.75" customHeight="1">
      <c r="A882" s="35"/>
      <c r="B882" s="35"/>
      <c r="C882" s="35"/>
      <c r="D882" s="35"/>
      <c r="E882" s="35"/>
      <c r="F882" s="35"/>
      <c r="G882" s="35"/>
      <c r="H882" s="35"/>
      <c r="I882" s="35"/>
      <c r="J882" s="35"/>
      <c r="K882" s="35"/>
      <c r="L882" s="35"/>
      <c r="M882" s="35"/>
      <c r="N882" s="35"/>
      <c r="O882" s="35"/>
      <c r="P882" s="35"/>
      <c r="Q882" s="35"/>
      <c r="R882" s="35"/>
      <c r="S882" s="35"/>
      <c r="T882" s="35"/>
      <c r="U882" s="35"/>
      <c r="V882" s="35"/>
      <c r="W882" s="35"/>
      <c r="X882" s="35"/>
      <c r="Y882" s="35"/>
      <c r="Z882" s="35"/>
    </row>
    <row r="883" ht="12.75" customHeight="1">
      <c r="A883" s="35"/>
      <c r="B883" s="35"/>
      <c r="C883" s="35"/>
      <c r="D883" s="35"/>
      <c r="E883" s="35"/>
      <c r="F883" s="35"/>
      <c r="G883" s="35"/>
      <c r="H883" s="35"/>
      <c r="I883" s="35"/>
      <c r="J883" s="35"/>
      <c r="K883" s="35"/>
      <c r="L883" s="35"/>
      <c r="M883" s="35"/>
      <c r="N883" s="35"/>
      <c r="O883" s="35"/>
      <c r="P883" s="35"/>
      <c r="Q883" s="35"/>
      <c r="R883" s="35"/>
      <c r="S883" s="35"/>
      <c r="T883" s="35"/>
      <c r="U883" s="35"/>
      <c r="V883" s="35"/>
      <c r="W883" s="35"/>
      <c r="X883" s="35"/>
      <c r="Y883" s="35"/>
      <c r="Z883" s="35"/>
    </row>
    <row r="884" ht="12.75" customHeight="1">
      <c r="A884" s="35"/>
      <c r="B884" s="35"/>
      <c r="C884" s="35"/>
      <c r="D884" s="35"/>
      <c r="E884" s="35"/>
      <c r="F884" s="35"/>
      <c r="G884" s="35"/>
      <c r="H884" s="35"/>
      <c r="I884" s="35"/>
      <c r="J884" s="35"/>
      <c r="K884" s="35"/>
      <c r="L884" s="35"/>
      <c r="M884" s="35"/>
      <c r="N884" s="35"/>
      <c r="O884" s="35"/>
      <c r="P884" s="35"/>
      <c r="Q884" s="35"/>
      <c r="R884" s="35"/>
      <c r="S884" s="35"/>
      <c r="T884" s="35"/>
      <c r="U884" s="35"/>
      <c r="V884" s="35"/>
      <c r="W884" s="35"/>
      <c r="X884" s="35"/>
      <c r="Y884" s="35"/>
      <c r="Z884" s="35"/>
    </row>
    <row r="885" ht="12.75" customHeight="1">
      <c r="A885" s="35"/>
      <c r="B885" s="35"/>
      <c r="C885" s="35"/>
      <c r="D885" s="35"/>
      <c r="E885" s="35"/>
      <c r="F885" s="35"/>
      <c r="G885" s="35"/>
      <c r="H885" s="35"/>
      <c r="I885" s="35"/>
      <c r="J885" s="35"/>
      <c r="K885" s="35"/>
      <c r="L885" s="35"/>
      <c r="M885" s="35"/>
      <c r="N885" s="35"/>
      <c r="O885" s="35"/>
      <c r="P885" s="35"/>
      <c r="Q885" s="35"/>
      <c r="R885" s="35"/>
      <c r="S885" s="35"/>
      <c r="T885" s="35"/>
      <c r="U885" s="35"/>
      <c r="V885" s="35"/>
      <c r="W885" s="35"/>
      <c r="X885" s="35"/>
      <c r="Y885" s="35"/>
      <c r="Z885" s="35"/>
    </row>
    <row r="886" ht="12.75" customHeight="1">
      <c r="A886" s="35"/>
      <c r="B886" s="35"/>
      <c r="C886" s="35"/>
      <c r="D886" s="35"/>
      <c r="E886" s="35"/>
      <c r="F886" s="35"/>
      <c r="G886" s="35"/>
      <c r="H886" s="35"/>
      <c r="I886" s="35"/>
      <c r="J886" s="35"/>
      <c r="K886" s="35"/>
      <c r="L886" s="35"/>
      <c r="M886" s="35"/>
      <c r="N886" s="35"/>
      <c r="O886" s="35"/>
      <c r="P886" s="35"/>
      <c r="Q886" s="35"/>
      <c r="R886" s="35"/>
      <c r="S886" s="35"/>
      <c r="T886" s="35"/>
      <c r="U886" s="35"/>
      <c r="V886" s="35"/>
      <c r="W886" s="35"/>
      <c r="X886" s="35"/>
      <c r="Y886" s="35"/>
      <c r="Z886" s="35"/>
    </row>
    <row r="887" ht="12.75" customHeight="1">
      <c r="A887" s="35"/>
      <c r="B887" s="35"/>
      <c r="C887" s="35"/>
      <c r="D887" s="35"/>
      <c r="E887" s="35"/>
      <c r="F887" s="35"/>
      <c r="G887" s="35"/>
      <c r="H887" s="35"/>
      <c r="I887" s="35"/>
      <c r="J887" s="35"/>
      <c r="K887" s="35"/>
      <c r="L887" s="35"/>
      <c r="M887" s="35"/>
      <c r="N887" s="35"/>
      <c r="O887" s="35"/>
      <c r="P887" s="35"/>
      <c r="Q887" s="35"/>
      <c r="R887" s="35"/>
      <c r="S887" s="35"/>
      <c r="T887" s="35"/>
      <c r="U887" s="35"/>
      <c r="V887" s="35"/>
      <c r="W887" s="35"/>
      <c r="X887" s="35"/>
      <c r="Y887" s="35"/>
      <c r="Z887" s="35"/>
    </row>
    <row r="888" ht="12.75" customHeight="1">
      <c r="A888" s="35"/>
      <c r="B888" s="35"/>
      <c r="C888" s="35"/>
      <c r="D888" s="35"/>
      <c r="E888" s="35"/>
      <c r="F888" s="35"/>
      <c r="G888" s="35"/>
      <c r="H888" s="35"/>
      <c r="I888" s="35"/>
      <c r="J888" s="35"/>
      <c r="K888" s="35"/>
      <c r="L888" s="35"/>
      <c r="M888" s="35"/>
      <c r="N888" s="35"/>
      <c r="O888" s="35"/>
      <c r="P888" s="35"/>
      <c r="Q888" s="35"/>
      <c r="R888" s="35"/>
      <c r="S888" s="35"/>
      <c r="T888" s="35"/>
      <c r="U888" s="35"/>
      <c r="V888" s="35"/>
      <c r="W888" s="35"/>
      <c r="X888" s="35"/>
      <c r="Y888" s="35"/>
      <c r="Z888" s="35"/>
    </row>
    <row r="889" ht="12.75" customHeight="1">
      <c r="A889" s="35"/>
      <c r="B889" s="35"/>
      <c r="C889" s="35"/>
      <c r="D889" s="35"/>
      <c r="E889" s="35"/>
      <c r="F889" s="35"/>
      <c r="G889" s="35"/>
      <c r="H889" s="35"/>
      <c r="I889" s="35"/>
      <c r="J889" s="35"/>
      <c r="K889" s="35"/>
      <c r="L889" s="35"/>
      <c r="M889" s="35"/>
      <c r="N889" s="35"/>
      <c r="O889" s="35"/>
      <c r="P889" s="35"/>
      <c r="Q889" s="35"/>
      <c r="R889" s="35"/>
      <c r="S889" s="35"/>
      <c r="T889" s="35"/>
      <c r="U889" s="35"/>
      <c r="V889" s="35"/>
      <c r="W889" s="35"/>
      <c r="X889" s="35"/>
      <c r="Y889" s="35"/>
      <c r="Z889" s="35"/>
    </row>
    <row r="890" ht="12.75" customHeight="1">
      <c r="A890" s="35"/>
      <c r="B890" s="35"/>
      <c r="C890" s="35"/>
      <c r="D890" s="35"/>
      <c r="E890" s="35"/>
      <c r="F890" s="35"/>
      <c r="G890" s="35"/>
      <c r="H890" s="35"/>
      <c r="I890" s="35"/>
      <c r="J890" s="35"/>
      <c r="K890" s="35"/>
      <c r="L890" s="35"/>
      <c r="M890" s="35"/>
      <c r="N890" s="35"/>
      <c r="O890" s="35"/>
      <c r="P890" s="35"/>
      <c r="Q890" s="35"/>
      <c r="R890" s="35"/>
      <c r="S890" s="35"/>
      <c r="T890" s="35"/>
      <c r="U890" s="35"/>
      <c r="V890" s="35"/>
      <c r="W890" s="35"/>
      <c r="X890" s="35"/>
      <c r="Y890" s="35"/>
      <c r="Z890" s="35"/>
    </row>
    <row r="891" ht="12.75" customHeight="1">
      <c r="A891" s="35"/>
      <c r="B891" s="35"/>
      <c r="C891" s="35"/>
      <c r="D891" s="35"/>
      <c r="E891" s="35"/>
      <c r="F891" s="35"/>
      <c r="G891" s="35"/>
      <c r="H891" s="35"/>
      <c r="I891" s="35"/>
      <c r="J891" s="35"/>
      <c r="K891" s="35"/>
      <c r="L891" s="35"/>
      <c r="M891" s="35"/>
      <c r="N891" s="35"/>
      <c r="O891" s="35"/>
      <c r="P891" s="35"/>
      <c r="Q891" s="35"/>
      <c r="R891" s="35"/>
      <c r="S891" s="35"/>
      <c r="T891" s="35"/>
      <c r="U891" s="35"/>
      <c r="V891" s="35"/>
      <c r="W891" s="35"/>
      <c r="X891" s="35"/>
      <c r="Y891" s="35"/>
      <c r="Z891" s="35"/>
    </row>
    <row r="892" ht="12.75" customHeight="1">
      <c r="A892" s="35"/>
      <c r="B892" s="35"/>
      <c r="C892" s="35"/>
      <c r="D892" s="35"/>
      <c r="E892" s="35"/>
      <c r="F892" s="35"/>
      <c r="G892" s="35"/>
      <c r="H892" s="35"/>
      <c r="I892" s="35"/>
      <c r="J892" s="35"/>
      <c r="K892" s="35"/>
      <c r="L892" s="35"/>
      <c r="M892" s="35"/>
      <c r="N892" s="35"/>
      <c r="O892" s="35"/>
      <c r="P892" s="35"/>
      <c r="Q892" s="35"/>
      <c r="R892" s="35"/>
      <c r="S892" s="35"/>
      <c r="T892" s="35"/>
      <c r="U892" s="35"/>
      <c r="V892" s="35"/>
      <c r="W892" s="35"/>
      <c r="X892" s="35"/>
      <c r="Y892" s="35"/>
      <c r="Z892" s="35"/>
    </row>
    <row r="893" ht="12.75" customHeight="1">
      <c r="A893" s="35"/>
      <c r="B893" s="35"/>
      <c r="C893" s="35"/>
      <c r="D893" s="35"/>
      <c r="E893" s="35"/>
      <c r="F893" s="35"/>
      <c r="G893" s="35"/>
      <c r="H893" s="35"/>
      <c r="I893" s="35"/>
      <c r="J893" s="35"/>
      <c r="K893" s="35"/>
      <c r="L893" s="35"/>
      <c r="M893" s="35"/>
      <c r="N893" s="35"/>
      <c r="O893" s="35"/>
      <c r="P893" s="35"/>
      <c r="Q893" s="35"/>
      <c r="R893" s="35"/>
      <c r="S893" s="35"/>
      <c r="T893" s="35"/>
      <c r="U893" s="35"/>
      <c r="V893" s="35"/>
      <c r="W893" s="35"/>
      <c r="X893" s="35"/>
      <c r="Y893" s="35"/>
      <c r="Z893" s="35"/>
    </row>
    <row r="894" ht="12.75" customHeight="1">
      <c r="A894" s="35"/>
      <c r="B894" s="35"/>
      <c r="C894" s="35"/>
      <c r="D894" s="35"/>
      <c r="E894" s="35"/>
      <c r="F894" s="35"/>
      <c r="G894" s="35"/>
      <c r="H894" s="35"/>
      <c r="I894" s="35"/>
      <c r="J894" s="35"/>
      <c r="K894" s="35"/>
      <c r="L894" s="35"/>
      <c r="M894" s="35"/>
      <c r="N894" s="35"/>
      <c r="O894" s="35"/>
      <c r="P894" s="35"/>
      <c r="Q894" s="35"/>
      <c r="R894" s="35"/>
      <c r="S894" s="35"/>
      <c r="T894" s="35"/>
      <c r="U894" s="35"/>
      <c r="V894" s="35"/>
      <c r="W894" s="35"/>
      <c r="X894" s="35"/>
      <c r="Y894" s="35"/>
      <c r="Z894" s="35"/>
    </row>
    <row r="895" ht="12.75" customHeight="1">
      <c r="A895" s="35"/>
      <c r="B895" s="35"/>
      <c r="C895" s="35"/>
      <c r="D895" s="35"/>
      <c r="E895" s="35"/>
      <c r="F895" s="35"/>
      <c r="G895" s="35"/>
      <c r="H895" s="35"/>
      <c r="I895" s="35"/>
      <c r="J895" s="35"/>
      <c r="K895" s="35"/>
      <c r="L895" s="35"/>
      <c r="M895" s="35"/>
      <c r="N895" s="35"/>
      <c r="O895" s="35"/>
      <c r="P895" s="35"/>
      <c r="Q895" s="35"/>
      <c r="R895" s="35"/>
      <c r="S895" s="35"/>
      <c r="T895" s="35"/>
      <c r="U895" s="35"/>
      <c r="V895" s="35"/>
      <c r="W895" s="35"/>
      <c r="X895" s="35"/>
      <c r="Y895" s="35"/>
      <c r="Z895" s="35"/>
    </row>
    <row r="896" ht="12.75" customHeight="1">
      <c r="A896" s="35"/>
      <c r="B896" s="35"/>
      <c r="C896" s="35"/>
      <c r="D896" s="35"/>
      <c r="E896" s="35"/>
      <c r="F896" s="35"/>
      <c r="G896" s="35"/>
      <c r="H896" s="35"/>
      <c r="I896" s="35"/>
      <c r="J896" s="35"/>
      <c r="K896" s="35"/>
      <c r="L896" s="35"/>
      <c r="M896" s="35"/>
      <c r="N896" s="35"/>
      <c r="O896" s="35"/>
      <c r="P896" s="35"/>
      <c r="Q896" s="35"/>
      <c r="R896" s="35"/>
      <c r="S896" s="35"/>
      <c r="T896" s="35"/>
      <c r="U896" s="35"/>
      <c r="V896" s="35"/>
      <c r="W896" s="35"/>
      <c r="X896" s="35"/>
      <c r="Y896" s="35"/>
      <c r="Z896" s="35"/>
    </row>
    <row r="897" ht="12.75" customHeight="1">
      <c r="A897" s="35"/>
      <c r="B897" s="35"/>
      <c r="C897" s="35"/>
      <c r="D897" s="35"/>
      <c r="E897" s="35"/>
      <c r="F897" s="35"/>
      <c r="G897" s="35"/>
      <c r="H897" s="35"/>
      <c r="I897" s="35"/>
      <c r="J897" s="35"/>
      <c r="K897" s="35"/>
      <c r="L897" s="35"/>
      <c r="M897" s="35"/>
      <c r="N897" s="35"/>
      <c r="O897" s="35"/>
      <c r="P897" s="35"/>
      <c r="Q897" s="35"/>
      <c r="R897" s="35"/>
      <c r="S897" s="35"/>
      <c r="T897" s="35"/>
      <c r="U897" s="35"/>
      <c r="V897" s="35"/>
      <c r="W897" s="35"/>
      <c r="X897" s="35"/>
      <c r="Y897" s="35"/>
      <c r="Z897" s="35"/>
    </row>
    <row r="898" ht="12.75" customHeight="1">
      <c r="A898" s="35"/>
      <c r="B898" s="35"/>
      <c r="C898" s="35"/>
      <c r="D898" s="35"/>
      <c r="E898" s="35"/>
      <c r="F898" s="35"/>
      <c r="G898" s="35"/>
      <c r="H898" s="35"/>
      <c r="I898" s="35"/>
      <c r="J898" s="35"/>
      <c r="K898" s="35"/>
      <c r="L898" s="35"/>
      <c r="M898" s="35"/>
      <c r="N898" s="35"/>
      <c r="O898" s="35"/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5"/>
    </row>
    <row r="899" ht="12.75" customHeight="1">
      <c r="A899" s="35"/>
      <c r="B899" s="35"/>
      <c r="C899" s="35"/>
      <c r="D899" s="35"/>
      <c r="E899" s="35"/>
      <c r="F899" s="35"/>
      <c r="G899" s="35"/>
      <c r="H899" s="35"/>
      <c r="I899" s="35"/>
      <c r="J899" s="35"/>
      <c r="K899" s="35"/>
      <c r="L899" s="35"/>
      <c r="M899" s="35"/>
      <c r="N899" s="35"/>
      <c r="O899" s="35"/>
      <c r="P899" s="35"/>
      <c r="Q899" s="35"/>
      <c r="R899" s="35"/>
      <c r="S899" s="35"/>
      <c r="T899" s="35"/>
      <c r="U899" s="35"/>
      <c r="V899" s="35"/>
      <c r="W899" s="35"/>
      <c r="X899" s="35"/>
      <c r="Y899" s="35"/>
      <c r="Z899" s="35"/>
    </row>
    <row r="900" ht="12.75" customHeight="1">
      <c r="A900" s="35"/>
      <c r="B900" s="35"/>
      <c r="C900" s="35"/>
      <c r="D900" s="35"/>
      <c r="E900" s="35"/>
      <c r="F900" s="35"/>
      <c r="G900" s="35"/>
      <c r="H900" s="35"/>
      <c r="I900" s="35"/>
      <c r="J900" s="35"/>
      <c r="K900" s="35"/>
      <c r="L900" s="35"/>
      <c r="M900" s="35"/>
      <c r="N900" s="35"/>
      <c r="O900" s="35"/>
      <c r="P900" s="35"/>
      <c r="Q900" s="35"/>
      <c r="R900" s="35"/>
      <c r="S900" s="35"/>
      <c r="T900" s="35"/>
      <c r="U900" s="35"/>
      <c r="V900" s="35"/>
      <c r="W900" s="35"/>
      <c r="X900" s="35"/>
      <c r="Y900" s="35"/>
      <c r="Z900" s="35"/>
    </row>
    <row r="901" ht="12.75" customHeight="1">
      <c r="A901" s="35"/>
      <c r="B901" s="35"/>
      <c r="C901" s="35"/>
      <c r="D901" s="35"/>
      <c r="E901" s="35"/>
      <c r="F901" s="35"/>
      <c r="G901" s="35"/>
      <c r="H901" s="35"/>
      <c r="I901" s="35"/>
      <c r="J901" s="35"/>
      <c r="K901" s="35"/>
      <c r="L901" s="35"/>
      <c r="M901" s="35"/>
      <c r="N901" s="35"/>
      <c r="O901" s="35"/>
      <c r="P901" s="35"/>
      <c r="Q901" s="35"/>
      <c r="R901" s="35"/>
      <c r="S901" s="35"/>
      <c r="T901" s="35"/>
      <c r="U901" s="35"/>
      <c r="V901" s="35"/>
      <c r="W901" s="35"/>
      <c r="X901" s="35"/>
      <c r="Y901" s="35"/>
      <c r="Z901" s="35"/>
    </row>
    <row r="902" ht="12.75" customHeight="1">
      <c r="A902" s="35"/>
      <c r="B902" s="35"/>
      <c r="C902" s="35"/>
      <c r="D902" s="35"/>
      <c r="E902" s="35"/>
      <c r="F902" s="35"/>
      <c r="G902" s="35"/>
      <c r="H902" s="35"/>
      <c r="I902" s="35"/>
      <c r="J902" s="35"/>
      <c r="K902" s="35"/>
      <c r="L902" s="35"/>
      <c r="M902" s="35"/>
      <c r="N902" s="35"/>
      <c r="O902" s="35"/>
      <c r="P902" s="35"/>
      <c r="Q902" s="35"/>
      <c r="R902" s="35"/>
      <c r="S902" s="35"/>
      <c r="T902" s="35"/>
      <c r="U902" s="35"/>
      <c r="V902" s="35"/>
      <c r="W902" s="35"/>
      <c r="X902" s="35"/>
      <c r="Y902" s="35"/>
      <c r="Z902" s="35"/>
    </row>
    <row r="903" ht="12.75" customHeight="1">
      <c r="A903" s="35"/>
      <c r="B903" s="35"/>
      <c r="C903" s="35"/>
      <c r="D903" s="35"/>
      <c r="E903" s="35"/>
      <c r="F903" s="35"/>
      <c r="G903" s="35"/>
      <c r="H903" s="35"/>
      <c r="I903" s="35"/>
      <c r="J903" s="35"/>
      <c r="K903" s="35"/>
      <c r="L903" s="35"/>
      <c r="M903" s="35"/>
      <c r="N903" s="35"/>
      <c r="O903" s="35"/>
      <c r="P903" s="35"/>
      <c r="Q903" s="35"/>
      <c r="R903" s="35"/>
      <c r="S903" s="35"/>
      <c r="T903" s="35"/>
      <c r="U903" s="35"/>
      <c r="V903" s="35"/>
      <c r="W903" s="35"/>
      <c r="X903" s="35"/>
      <c r="Y903" s="35"/>
      <c r="Z903" s="35"/>
    </row>
    <row r="904" ht="12.75" customHeight="1">
      <c r="A904" s="35"/>
      <c r="B904" s="35"/>
      <c r="C904" s="35"/>
      <c r="D904" s="35"/>
      <c r="E904" s="35"/>
      <c r="F904" s="35"/>
      <c r="G904" s="35"/>
      <c r="H904" s="35"/>
      <c r="I904" s="35"/>
      <c r="J904" s="35"/>
      <c r="K904" s="35"/>
      <c r="L904" s="35"/>
      <c r="M904" s="35"/>
      <c r="N904" s="35"/>
      <c r="O904" s="35"/>
      <c r="P904" s="35"/>
      <c r="Q904" s="35"/>
      <c r="R904" s="35"/>
      <c r="S904" s="35"/>
      <c r="T904" s="35"/>
      <c r="U904" s="35"/>
      <c r="V904" s="35"/>
      <c r="W904" s="35"/>
      <c r="X904" s="35"/>
      <c r="Y904" s="35"/>
      <c r="Z904" s="35"/>
    </row>
    <row r="905" ht="12.75" customHeight="1">
      <c r="A905" s="35"/>
      <c r="B905" s="35"/>
      <c r="C905" s="35"/>
      <c r="D905" s="35"/>
      <c r="E905" s="35"/>
      <c r="F905" s="35"/>
      <c r="G905" s="35"/>
      <c r="H905" s="35"/>
      <c r="I905" s="35"/>
      <c r="J905" s="35"/>
      <c r="K905" s="35"/>
      <c r="L905" s="35"/>
      <c r="M905" s="35"/>
      <c r="N905" s="35"/>
      <c r="O905" s="35"/>
      <c r="P905" s="35"/>
      <c r="Q905" s="35"/>
      <c r="R905" s="35"/>
      <c r="S905" s="35"/>
      <c r="T905" s="35"/>
      <c r="U905" s="35"/>
      <c r="V905" s="35"/>
      <c r="W905" s="35"/>
      <c r="X905" s="35"/>
      <c r="Y905" s="35"/>
      <c r="Z905" s="35"/>
    </row>
    <row r="906" ht="12.75" customHeight="1">
      <c r="A906" s="35"/>
      <c r="B906" s="35"/>
      <c r="C906" s="35"/>
      <c r="D906" s="35"/>
      <c r="E906" s="35"/>
      <c r="F906" s="35"/>
      <c r="G906" s="35"/>
      <c r="H906" s="35"/>
      <c r="I906" s="35"/>
      <c r="J906" s="35"/>
      <c r="K906" s="35"/>
      <c r="L906" s="35"/>
      <c r="M906" s="35"/>
      <c r="N906" s="35"/>
      <c r="O906" s="35"/>
      <c r="P906" s="35"/>
      <c r="Q906" s="35"/>
      <c r="R906" s="35"/>
      <c r="S906" s="35"/>
      <c r="T906" s="35"/>
      <c r="U906" s="35"/>
      <c r="V906" s="35"/>
      <c r="W906" s="35"/>
      <c r="X906" s="35"/>
      <c r="Y906" s="35"/>
      <c r="Z906" s="35"/>
    </row>
    <row r="907" ht="12.75" customHeight="1">
      <c r="A907" s="35"/>
      <c r="B907" s="35"/>
      <c r="C907" s="35"/>
      <c r="D907" s="35"/>
      <c r="E907" s="35"/>
      <c r="F907" s="35"/>
      <c r="G907" s="35"/>
      <c r="H907" s="35"/>
      <c r="I907" s="35"/>
      <c r="J907" s="35"/>
      <c r="K907" s="35"/>
      <c r="L907" s="35"/>
      <c r="M907" s="35"/>
      <c r="N907" s="35"/>
      <c r="O907" s="35"/>
      <c r="P907" s="35"/>
      <c r="Q907" s="35"/>
      <c r="R907" s="35"/>
      <c r="S907" s="35"/>
      <c r="T907" s="35"/>
      <c r="U907" s="35"/>
      <c r="V907" s="35"/>
      <c r="W907" s="35"/>
      <c r="X907" s="35"/>
      <c r="Y907" s="35"/>
      <c r="Z907" s="35"/>
    </row>
    <row r="908" ht="12.75" customHeight="1">
      <c r="A908" s="35"/>
      <c r="B908" s="35"/>
      <c r="C908" s="35"/>
      <c r="D908" s="35"/>
      <c r="E908" s="35"/>
      <c r="F908" s="35"/>
      <c r="G908" s="35"/>
      <c r="H908" s="35"/>
      <c r="I908" s="35"/>
      <c r="J908" s="35"/>
      <c r="K908" s="35"/>
      <c r="L908" s="35"/>
      <c r="M908" s="35"/>
      <c r="N908" s="35"/>
      <c r="O908" s="35"/>
      <c r="P908" s="35"/>
      <c r="Q908" s="35"/>
      <c r="R908" s="35"/>
      <c r="S908" s="35"/>
      <c r="T908" s="35"/>
      <c r="U908" s="35"/>
      <c r="V908" s="35"/>
      <c r="W908" s="35"/>
      <c r="X908" s="35"/>
      <c r="Y908" s="35"/>
      <c r="Z908" s="35"/>
    </row>
    <row r="909" ht="12.75" customHeight="1">
      <c r="A909" s="35"/>
      <c r="B909" s="35"/>
      <c r="C909" s="35"/>
      <c r="D909" s="35"/>
      <c r="E909" s="35"/>
      <c r="F909" s="35"/>
      <c r="G909" s="35"/>
      <c r="H909" s="35"/>
      <c r="I909" s="35"/>
      <c r="J909" s="35"/>
      <c r="K909" s="35"/>
      <c r="L909" s="35"/>
      <c r="M909" s="35"/>
      <c r="N909" s="35"/>
      <c r="O909" s="35"/>
      <c r="P909" s="35"/>
      <c r="Q909" s="35"/>
      <c r="R909" s="35"/>
      <c r="S909" s="35"/>
      <c r="T909" s="35"/>
      <c r="U909" s="35"/>
      <c r="V909" s="35"/>
      <c r="W909" s="35"/>
      <c r="X909" s="35"/>
      <c r="Y909" s="35"/>
      <c r="Z909" s="35"/>
    </row>
    <row r="910" ht="12.75" customHeight="1">
      <c r="A910" s="35"/>
      <c r="B910" s="35"/>
      <c r="C910" s="35"/>
      <c r="D910" s="35"/>
      <c r="E910" s="35"/>
      <c r="F910" s="35"/>
      <c r="G910" s="35"/>
      <c r="H910" s="35"/>
      <c r="I910" s="35"/>
      <c r="J910" s="35"/>
      <c r="K910" s="35"/>
      <c r="L910" s="35"/>
      <c r="M910" s="35"/>
      <c r="N910" s="35"/>
      <c r="O910" s="35"/>
      <c r="P910" s="35"/>
      <c r="Q910" s="35"/>
      <c r="R910" s="35"/>
      <c r="S910" s="35"/>
      <c r="T910" s="35"/>
      <c r="U910" s="35"/>
      <c r="V910" s="35"/>
      <c r="W910" s="35"/>
      <c r="X910" s="35"/>
      <c r="Y910" s="35"/>
      <c r="Z910" s="35"/>
    </row>
    <row r="911" ht="12.75" customHeight="1">
      <c r="A911" s="35"/>
      <c r="B911" s="35"/>
      <c r="C911" s="35"/>
      <c r="D911" s="35"/>
      <c r="E911" s="35"/>
      <c r="F911" s="35"/>
      <c r="G911" s="35"/>
      <c r="H911" s="35"/>
      <c r="I911" s="35"/>
      <c r="J911" s="35"/>
      <c r="K911" s="35"/>
      <c r="L911" s="35"/>
      <c r="M911" s="35"/>
      <c r="N911" s="35"/>
      <c r="O911" s="35"/>
      <c r="P911" s="35"/>
      <c r="Q911" s="35"/>
      <c r="R911" s="35"/>
      <c r="S911" s="35"/>
      <c r="T911" s="35"/>
      <c r="U911" s="35"/>
      <c r="V911" s="35"/>
      <c r="W911" s="35"/>
      <c r="X911" s="35"/>
      <c r="Y911" s="35"/>
      <c r="Z911" s="35"/>
    </row>
    <row r="912" ht="12.75" customHeight="1">
      <c r="A912" s="35"/>
      <c r="B912" s="35"/>
      <c r="C912" s="35"/>
      <c r="D912" s="35"/>
      <c r="E912" s="35"/>
      <c r="F912" s="35"/>
      <c r="G912" s="35"/>
      <c r="H912" s="35"/>
      <c r="I912" s="35"/>
      <c r="J912" s="35"/>
      <c r="K912" s="35"/>
      <c r="L912" s="35"/>
      <c r="M912" s="35"/>
      <c r="N912" s="35"/>
      <c r="O912" s="35"/>
      <c r="P912" s="35"/>
      <c r="Q912" s="35"/>
      <c r="R912" s="35"/>
      <c r="S912" s="35"/>
      <c r="T912" s="35"/>
      <c r="U912" s="35"/>
      <c r="V912" s="35"/>
      <c r="W912" s="35"/>
      <c r="X912" s="35"/>
      <c r="Y912" s="35"/>
      <c r="Z912" s="35"/>
    </row>
    <row r="913" ht="12.75" customHeight="1">
      <c r="A913" s="35"/>
      <c r="B913" s="35"/>
      <c r="C913" s="35"/>
      <c r="D913" s="35"/>
      <c r="E913" s="35"/>
      <c r="F913" s="35"/>
      <c r="G913" s="35"/>
      <c r="H913" s="35"/>
      <c r="I913" s="35"/>
      <c r="J913" s="35"/>
      <c r="K913" s="35"/>
      <c r="L913" s="35"/>
      <c r="M913" s="35"/>
      <c r="N913" s="35"/>
      <c r="O913" s="35"/>
      <c r="P913" s="35"/>
      <c r="Q913" s="35"/>
      <c r="R913" s="35"/>
      <c r="S913" s="35"/>
      <c r="T913" s="35"/>
      <c r="U913" s="35"/>
      <c r="V913" s="35"/>
      <c r="W913" s="35"/>
      <c r="X913" s="35"/>
      <c r="Y913" s="35"/>
      <c r="Z913" s="35"/>
    </row>
    <row r="914" ht="12.75" customHeight="1">
      <c r="A914" s="35"/>
      <c r="B914" s="35"/>
      <c r="C914" s="35"/>
      <c r="D914" s="35"/>
      <c r="E914" s="35"/>
      <c r="F914" s="35"/>
      <c r="G914" s="35"/>
      <c r="H914" s="35"/>
      <c r="I914" s="35"/>
      <c r="J914" s="35"/>
      <c r="K914" s="35"/>
      <c r="L914" s="35"/>
      <c r="M914" s="35"/>
      <c r="N914" s="35"/>
      <c r="O914" s="35"/>
      <c r="P914" s="35"/>
      <c r="Q914" s="35"/>
      <c r="R914" s="35"/>
      <c r="S914" s="35"/>
      <c r="T914" s="35"/>
      <c r="U914" s="35"/>
      <c r="V914" s="35"/>
      <c r="W914" s="35"/>
      <c r="X914" s="35"/>
      <c r="Y914" s="35"/>
      <c r="Z914" s="35"/>
    </row>
    <row r="915" ht="12.75" customHeight="1">
      <c r="A915" s="35"/>
      <c r="B915" s="35"/>
      <c r="C915" s="35"/>
      <c r="D915" s="35"/>
      <c r="E915" s="35"/>
      <c r="F915" s="35"/>
      <c r="G915" s="35"/>
      <c r="H915" s="35"/>
      <c r="I915" s="35"/>
      <c r="J915" s="35"/>
      <c r="K915" s="35"/>
      <c r="L915" s="35"/>
      <c r="M915" s="35"/>
      <c r="N915" s="35"/>
      <c r="O915" s="35"/>
      <c r="P915" s="35"/>
      <c r="Q915" s="35"/>
      <c r="R915" s="35"/>
      <c r="S915" s="35"/>
      <c r="T915" s="35"/>
      <c r="U915" s="35"/>
      <c r="V915" s="35"/>
      <c r="W915" s="35"/>
      <c r="X915" s="35"/>
      <c r="Y915" s="35"/>
      <c r="Z915" s="35"/>
    </row>
    <row r="916" ht="12.75" customHeight="1">
      <c r="A916" s="35"/>
      <c r="B916" s="35"/>
      <c r="C916" s="35"/>
      <c r="D916" s="35"/>
      <c r="E916" s="35"/>
      <c r="F916" s="35"/>
      <c r="G916" s="35"/>
      <c r="H916" s="35"/>
      <c r="I916" s="35"/>
      <c r="J916" s="35"/>
      <c r="K916" s="35"/>
      <c r="L916" s="35"/>
      <c r="M916" s="35"/>
      <c r="N916" s="35"/>
      <c r="O916" s="35"/>
      <c r="P916" s="35"/>
      <c r="Q916" s="35"/>
      <c r="R916" s="35"/>
      <c r="S916" s="35"/>
      <c r="T916" s="35"/>
      <c r="U916" s="35"/>
      <c r="V916" s="35"/>
      <c r="W916" s="35"/>
      <c r="X916" s="35"/>
      <c r="Y916" s="35"/>
      <c r="Z916" s="35"/>
    </row>
    <row r="917" ht="12.75" customHeight="1">
      <c r="A917" s="35"/>
      <c r="B917" s="35"/>
      <c r="C917" s="35"/>
      <c r="D917" s="35"/>
      <c r="E917" s="35"/>
      <c r="F917" s="35"/>
      <c r="G917" s="35"/>
      <c r="H917" s="35"/>
      <c r="I917" s="35"/>
      <c r="J917" s="35"/>
      <c r="K917" s="35"/>
      <c r="L917" s="35"/>
      <c r="M917" s="35"/>
      <c r="N917" s="35"/>
      <c r="O917" s="35"/>
      <c r="P917" s="35"/>
      <c r="Q917" s="35"/>
      <c r="R917" s="35"/>
      <c r="S917" s="35"/>
      <c r="T917" s="35"/>
      <c r="U917" s="35"/>
      <c r="V917" s="35"/>
      <c r="W917" s="35"/>
      <c r="X917" s="35"/>
      <c r="Y917" s="35"/>
      <c r="Z917" s="35"/>
    </row>
    <row r="918" ht="12.75" customHeight="1">
      <c r="A918" s="35"/>
      <c r="B918" s="35"/>
      <c r="C918" s="35"/>
      <c r="D918" s="35"/>
      <c r="E918" s="35"/>
      <c r="F918" s="35"/>
      <c r="G918" s="35"/>
      <c r="H918" s="35"/>
      <c r="I918" s="35"/>
      <c r="J918" s="35"/>
      <c r="K918" s="35"/>
      <c r="L918" s="35"/>
      <c r="M918" s="35"/>
      <c r="N918" s="35"/>
      <c r="O918" s="35"/>
      <c r="P918" s="35"/>
      <c r="Q918" s="35"/>
      <c r="R918" s="35"/>
      <c r="S918" s="35"/>
      <c r="T918" s="35"/>
      <c r="U918" s="35"/>
      <c r="V918" s="35"/>
      <c r="W918" s="35"/>
      <c r="X918" s="35"/>
      <c r="Y918" s="35"/>
      <c r="Z918" s="35"/>
    </row>
    <row r="919" ht="12.75" customHeight="1">
      <c r="A919" s="35"/>
      <c r="B919" s="35"/>
      <c r="C919" s="35"/>
      <c r="D919" s="35"/>
      <c r="E919" s="35"/>
      <c r="F919" s="35"/>
      <c r="G919" s="35"/>
      <c r="H919" s="35"/>
      <c r="I919" s="35"/>
      <c r="J919" s="35"/>
      <c r="K919" s="35"/>
      <c r="L919" s="35"/>
      <c r="M919" s="35"/>
      <c r="N919" s="35"/>
      <c r="O919" s="35"/>
      <c r="P919" s="35"/>
      <c r="Q919" s="35"/>
      <c r="R919" s="35"/>
      <c r="S919" s="35"/>
      <c r="T919" s="35"/>
      <c r="U919" s="35"/>
      <c r="V919" s="35"/>
      <c r="W919" s="35"/>
      <c r="X919" s="35"/>
      <c r="Y919" s="35"/>
      <c r="Z919" s="35"/>
    </row>
    <row r="920" ht="12.75" customHeight="1">
      <c r="A920" s="35"/>
      <c r="B920" s="35"/>
      <c r="C920" s="35"/>
      <c r="D920" s="35"/>
      <c r="E920" s="35"/>
      <c r="F920" s="35"/>
      <c r="G920" s="35"/>
      <c r="H920" s="35"/>
      <c r="I920" s="35"/>
      <c r="J920" s="35"/>
      <c r="K920" s="35"/>
      <c r="L920" s="35"/>
      <c r="M920" s="35"/>
      <c r="N920" s="35"/>
      <c r="O920" s="35"/>
      <c r="P920" s="35"/>
      <c r="Q920" s="35"/>
      <c r="R920" s="35"/>
      <c r="S920" s="35"/>
      <c r="T920" s="35"/>
      <c r="U920" s="35"/>
      <c r="V920" s="35"/>
      <c r="W920" s="35"/>
      <c r="X920" s="35"/>
      <c r="Y920" s="35"/>
      <c r="Z920" s="35"/>
    </row>
    <row r="921" ht="12.75" customHeight="1">
      <c r="A921" s="35"/>
      <c r="B921" s="35"/>
      <c r="C921" s="35"/>
      <c r="D921" s="35"/>
      <c r="E921" s="35"/>
      <c r="F921" s="35"/>
      <c r="G921" s="35"/>
      <c r="H921" s="35"/>
      <c r="I921" s="35"/>
      <c r="J921" s="35"/>
      <c r="K921" s="35"/>
      <c r="L921" s="35"/>
      <c r="M921" s="35"/>
      <c r="N921" s="35"/>
      <c r="O921" s="35"/>
      <c r="P921" s="35"/>
      <c r="Q921" s="35"/>
      <c r="R921" s="35"/>
      <c r="S921" s="35"/>
      <c r="T921" s="35"/>
      <c r="U921" s="35"/>
      <c r="V921" s="35"/>
      <c r="W921" s="35"/>
      <c r="X921" s="35"/>
      <c r="Y921" s="35"/>
      <c r="Z921" s="35"/>
    </row>
    <row r="922" ht="12.75" customHeight="1">
      <c r="A922" s="35"/>
      <c r="B922" s="35"/>
      <c r="C922" s="35"/>
      <c r="D922" s="35"/>
      <c r="E922" s="35"/>
      <c r="F922" s="35"/>
      <c r="G922" s="35"/>
      <c r="H922" s="35"/>
      <c r="I922" s="35"/>
      <c r="J922" s="35"/>
      <c r="K922" s="35"/>
      <c r="L922" s="35"/>
      <c r="M922" s="35"/>
      <c r="N922" s="35"/>
      <c r="O922" s="35"/>
      <c r="P922" s="35"/>
      <c r="Q922" s="35"/>
      <c r="R922" s="35"/>
      <c r="S922" s="35"/>
      <c r="T922" s="35"/>
      <c r="U922" s="35"/>
      <c r="V922" s="35"/>
      <c r="W922" s="35"/>
      <c r="X922" s="35"/>
      <c r="Y922" s="35"/>
      <c r="Z922" s="35"/>
    </row>
    <row r="923" ht="12.75" customHeight="1">
      <c r="A923" s="35"/>
      <c r="B923" s="35"/>
      <c r="C923" s="35"/>
      <c r="D923" s="35"/>
      <c r="E923" s="35"/>
      <c r="F923" s="35"/>
      <c r="G923" s="35"/>
      <c r="H923" s="35"/>
      <c r="I923" s="35"/>
      <c r="J923" s="35"/>
      <c r="K923" s="35"/>
      <c r="L923" s="35"/>
      <c r="M923" s="35"/>
      <c r="N923" s="35"/>
      <c r="O923" s="35"/>
      <c r="P923" s="35"/>
      <c r="Q923" s="35"/>
      <c r="R923" s="35"/>
      <c r="S923" s="35"/>
      <c r="T923" s="35"/>
      <c r="U923" s="35"/>
      <c r="V923" s="35"/>
      <c r="W923" s="35"/>
      <c r="X923" s="35"/>
      <c r="Y923" s="35"/>
      <c r="Z923" s="35"/>
    </row>
    <row r="924" ht="12.75" customHeight="1">
      <c r="A924" s="35"/>
      <c r="B924" s="35"/>
      <c r="C924" s="35"/>
      <c r="D924" s="35"/>
      <c r="E924" s="35"/>
      <c r="F924" s="35"/>
      <c r="G924" s="35"/>
      <c r="H924" s="35"/>
      <c r="I924" s="35"/>
      <c r="J924" s="35"/>
      <c r="K924" s="35"/>
      <c r="L924" s="35"/>
      <c r="M924" s="35"/>
      <c r="N924" s="35"/>
      <c r="O924" s="35"/>
      <c r="P924" s="35"/>
      <c r="Q924" s="35"/>
      <c r="R924" s="35"/>
      <c r="S924" s="35"/>
      <c r="T924" s="35"/>
      <c r="U924" s="35"/>
      <c r="V924" s="35"/>
      <c r="W924" s="35"/>
      <c r="X924" s="35"/>
      <c r="Y924" s="35"/>
      <c r="Z924" s="35"/>
    </row>
    <row r="925" ht="12.75" customHeight="1">
      <c r="A925" s="35"/>
      <c r="B925" s="35"/>
      <c r="C925" s="35"/>
      <c r="D925" s="35"/>
      <c r="E925" s="35"/>
      <c r="F925" s="35"/>
      <c r="G925" s="35"/>
      <c r="H925" s="35"/>
      <c r="I925" s="35"/>
      <c r="J925" s="35"/>
      <c r="K925" s="35"/>
      <c r="L925" s="35"/>
      <c r="M925" s="35"/>
      <c r="N925" s="35"/>
      <c r="O925" s="35"/>
      <c r="P925" s="35"/>
      <c r="Q925" s="35"/>
      <c r="R925" s="35"/>
      <c r="S925" s="35"/>
      <c r="T925" s="35"/>
      <c r="U925" s="35"/>
      <c r="V925" s="35"/>
      <c r="W925" s="35"/>
      <c r="X925" s="35"/>
      <c r="Y925" s="35"/>
      <c r="Z925" s="35"/>
    </row>
    <row r="926" ht="12.75" customHeight="1">
      <c r="A926" s="35"/>
      <c r="B926" s="35"/>
      <c r="C926" s="35"/>
      <c r="D926" s="35"/>
      <c r="E926" s="35"/>
      <c r="F926" s="35"/>
      <c r="G926" s="35"/>
      <c r="H926" s="35"/>
      <c r="I926" s="35"/>
      <c r="J926" s="35"/>
      <c r="K926" s="35"/>
      <c r="L926" s="35"/>
      <c r="M926" s="35"/>
      <c r="N926" s="35"/>
      <c r="O926" s="35"/>
      <c r="P926" s="35"/>
      <c r="Q926" s="35"/>
      <c r="R926" s="35"/>
      <c r="S926" s="35"/>
      <c r="T926" s="35"/>
      <c r="U926" s="35"/>
      <c r="V926" s="35"/>
      <c r="W926" s="35"/>
      <c r="X926" s="35"/>
      <c r="Y926" s="35"/>
      <c r="Z926" s="35"/>
    </row>
    <row r="927" ht="12.75" customHeight="1">
      <c r="A927" s="35"/>
      <c r="B927" s="35"/>
      <c r="C927" s="35"/>
      <c r="D927" s="35"/>
      <c r="E927" s="35"/>
      <c r="F927" s="35"/>
      <c r="G927" s="35"/>
      <c r="H927" s="35"/>
      <c r="I927" s="35"/>
      <c r="J927" s="35"/>
      <c r="K927" s="35"/>
      <c r="L927" s="35"/>
      <c r="M927" s="35"/>
      <c r="N927" s="35"/>
      <c r="O927" s="35"/>
      <c r="P927" s="35"/>
      <c r="Q927" s="35"/>
      <c r="R927" s="35"/>
      <c r="S927" s="35"/>
      <c r="T927" s="35"/>
      <c r="U927" s="35"/>
      <c r="V927" s="35"/>
      <c r="W927" s="35"/>
      <c r="X927" s="35"/>
      <c r="Y927" s="35"/>
      <c r="Z927" s="35"/>
    </row>
    <row r="928" ht="12.75" customHeight="1">
      <c r="A928" s="35"/>
      <c r="B928" s="35"/>
      <c r="C928" s="35"/>
      <c r="D928" s="35"/>
      <c r="E928" s="35"/>
      <c r="F928" s="35"/>
      <c r="G928" s="35"/>
      <c r="H928" s="35"/>
      <c r="I928" s="35"/>
      <c r="J928" s="35"/>
      <c r="K928" s="35"/>
      <c r="L928" s="35"/>
      <c r="M928" s="35"/>
      <c r="N928" s="35"/>
      <c r="O928" s="35"/>
      <c r="P928" s="35"/>
      <c r="Q928" s="35"/>
      <c r="R928" s="35"/>
      <c r="S928" s="35"/>
      <c r="T928" s="35"/>
      <c r="U928" s="35"/>
      <c r="V928" s="35"/>
      <c r="W928" s="35"/>
      <c r="X928" s="35"/>
      <c r="Y928" s="35"/>
      <c r="Z928" s="35"/>
    </row>
    <row r="929" ht="12.75" customHeight="1">
      <c r="A929" s="35"/>
      <c r="B929" s="35"/>
      <c r="C929" s="35"/>
      <c r="D929" s="35"/>
      <c r="E929" s="35"/>
      <c r="F929" s="35"/>
      <c r="G929" s="35"/>
      <c r="H929" s="35"/>
      <c r="I929" s="35"/>
      <c r="J929" s="35"/>
      <c r="K929" s="35"/>
      <c r="L929" s="35"/>
      <c r="M929" s="35"/>
      <c r="N929" s="35"/>
      <c r="O929" s="35"/>
      <c r="P929" s="35"/>
      <c r="Q929" s="35"/>
      <c r="R929" s="35"/>
      <c r="S929" s="35"/>
      <c r="T929" s="35"/>
      <c r="U929" s="35"/>
      <c r="V929" s="35"/>
      <c r="W929" s="35"/>
      <c r="X929" s="35"/>
      <c r="Y929" s="35"/>
      <c r="Z929" s="35"/>
    </row>
    <row r="930" ht="12.75" customHeight="1">
      <c r="A930" s="35"/>
      <c r="B930" s="35"/>
      <c r="C930" s="35"/>
      <c r="D930" s="35"/>
      <c r="E930" s="35"/>
      <c r="F930" s="35"/>
      <c r="G930" s="35"/>
      <c r="H930" s="35"/>
      <c r="I930" s="35"/>
      <c r="J930" s="35"/>
      <c r="K930" s="35"/>
      <c r="L930" s="35"/>
      <c r="M930" s="35"/>
      <c r="N930" s="35"/>
      <c r="O930" s="35"/>
      <c r="P930" s="35"/>
      <c r="Q930" s="35"/>
      <c r="R930" s="35"/>
      <c r="S930" s="35"/>
      <c r="T930" s="35"/>
      <c r="U930" s="35"/>
      <c r="V930" s="35"/>
      <c r="W930" s="35"/>
      <c r="X930" s="35"/>
      <c r="Y930" s="35"/>
      <c r="Z930" s="35"/>
    </row>
    <row r="931" ht="12.75" customHeight="1">
      <c r="A931" s="35"/>
      <c r="B931" s="35"/>
      <c r="C931" s="35"/>
      <c r="D931" s="35"/>
      <c r="E931" s="35"/>
      <c r="F931" s="35"/>
      <c r="G931" s="35"/>
      <c r="H931" s="35"/>
      <c r="I931" s="35"/>
      <c r="J931" s="35"/>
      <c r="K931" s="35"/>
      <c r="L931" s="35"/>
      <c r="M931" s="35"/>
      <c r="N931" s="35"/>
      <c r="O931" s="35"/>
      <c r="P931" s="35"/>
      <c r="Q931" s="35"/>
      <c r="R931" s="35"/>
      <c r="S931" s="35"/>
      <c r="T931" s="35"/>
      <c r="U931" s="35"/>
      <c r="V931" s="35"/>
      <c r="W931" s="35"/>
      <c r="X931" s="35"/>
      <c r="Y931" s="35"/>
      <c r="Z931" s="35"/>
    </row>
    <row r="932" ht="12.75" customHeight="1">
      <c r="A932" s="35"/>
      <c r="B932" s="35"/>
      <c r="C932" s="35"/>
      <c r="D932" s="35"/>
      <c r="E932" s="35"/>
      <c r="F932" s="35"/>
      <c r="G932" s="35"/>
      <c r="H932" s="35"/>
      <c r="I932" s="35"/>
      <c r="J932" s="35"/>
      <c r="K932" s="35"/>
      <c r="L932" s="35"/>
      <c r="M932" s="35"/>
      <c r="N932" s="35"/>
      <c r="O932" s="35"/>
      <c r="P932" s="35"/>
      <c r="Q932" s="35"/>
      <c r="R932" s="35"/>
      <c r="S932" s="35"/>
      <c r="T932" s="35"/>
      <c r="U932" s="35"/>
      <c r="V932" s="35"/>
      <c r="W932" s="35"/>
      <c r="X932" s="35"/>
      <c r="Y932" s="35"/>
      <c r="Z932" s="35"/>
    </row>
    <row r="933" ht="12.75" customHeight="1">
      <c r="A933" s="35"/>
      <c r="B933" s="35"/>
      <c r="C933" s="35"/>
      <c r="D933" s="35"/>
      <c r="E933" s="35"/>
      <c r="F933" s="35"/>
      <c r="G933" s="35"/>
      <c r="H933" s="35"/>
      <c r="I933" s="35"/>
      <c r="J933" s="35"/>
      <c r="K933" s="35"/>
      <c r="L933" s="35"/>
      <c r="M933" s="35"/>
      <c r="N933" s="35"/>
      <c r="O933" s="35"/>
      <c r="P933" s="35"/>
      <c r="Q933" s="35"/>
      <c r="R933" s="35"/>
      <c r="S933" s="35"/>
      <c r="T933" s="35"/>
      <c r="U933" s="35"/>
      <c r="V933" s="35"/>
      <c r="W933" s="35"/>
      <c r="X933" s="35"/>
      <c r="Y933" s="35"/>
      <c r="Z933" s="35"/>
    </row>
    <row r="934" ht="12.75" customHeight="1">
      <c r="A934" s="35"/>
      <c r="B934" s="35"/>
      <c r="C934" s="35"/>
      <c r="D934" s="35"/>
      <c r="E934" s="35"/>
      <c r="F934" s="35"/>
      <c r="G934" s="35"/>
      <c r="H934" s="35"/>
      <c r="I934" s="35"/>
      <c r="J934" s="35"/>
      <c r="K934" s="35"/>
      <c r="L934" s="35"/>
      <c r="M934" s="35"/>
      <c r="N934" s="35"/>
      <c r="O934" s="35"/>
      <c r="P934" s="35"/>
      <c r="Q934" s="35"/>
      <c r="R934" s="35"/>
      <c r="S934" s="35"/>
      <c r="T934" s="35"/>
      <c r="U934" s="35"/>
      <c r="V934" s="35"/>
      <c r="W934" s="35"/>
      <c r="X934" s="35"/>
      <c r="Y934" s="35"/>
      <c r="Z934" s="35"/>
    </row>
    <row r="935" ht="12.75" customHeight="1">
      <c r="A935" s="35"/>
      <c r="B935" s="35"/>
      <c r="C935" s="35"/>
      <c r="D935" s="35"/>
      <c r="E935" s="35"/>
      <c r="F935" s="35"/>
      <c r="G935" s="35"/>
      <c r="H935" s="35"/>
      <c r="I935" s="35"/>
      <c r="J935" s="35"/>
      <c r="K935" s="35"/>
      <c r="L935" s="35"/>
      <c r="M935" s="35"/>
      <c r="N935" s="35"/>
      <c r="O935" s="35"/>
      <c r="P935" s="35"/>
      <c r="Q935" s="35"/>
      <c r="R935" s="35"/>
      <c r="S935" s="35"/>
      <c r="T935" s="35"/>
      <c r="U935" s="35"/>
      <c r="V935" s="35"/>
      <c r="W935" s="35"/>
      <c r="X935" s="35"/>
      <c r="Y935" s="35"/>
      <c r="Z935" s="35"/>
    </row>
    <row r="936" ht="12.75" customHeight="1">
      <c r="A936" s="35"/>
      <c r="B936" s="35"/>
      <c r="C936" s="35"/>
      <c r="D936" s="35"/>
      <c r="E936" s="35"/>
      <c r="F936" s="35"/>
      <c r="G936" s="35"/>
      <c r="H936" s="35"/>
      <c r="I936" s="35"/>
      <c r="J936" s="35"/>
      <c r="K936" s="35"/>
      <c r="L936" s="35"/>
      <c r="M936" s="35"/>
      <c r="N936" s="35"/>
      <c r="O936" s="35"/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5"/>
    </row>
    <row r="937" ht="12.75" customHeight="1">
      <c r="A937" s="35"/>
      <c r="B937" s="35"/>
      <c r="C937" s="35"/>
      <c r="D937" s="35"/>
      <c r="E937" s="35"/>
      <c r="F937" s="35"/>
      <c r="G937" s="35"/>
      <c r="H937" s="35"/>
      <c r="I937" s="35"/>
      <c r="J937" s="35"/>
      <c r="K937" s="35"/>
      <c r="L937" s="35"/>
      <c r="M937" s="35"/>
      <c r="N937" s="35"/>
      <c r="O937" s="35"/>
      <c r="P937" s="35"/>
      <c r="Q937" s="35"/>
      <c r="R937" s="35"/>
      <c r="S937" s="35"/>
      <c r="T937" s="35"/>
      <c r="U937" s="35"/>
      <c r="V937" s="35"/>
      <c r="W937" s="35"/>
      <c r="X937" s="35"/>
      <c r="Y937" s="35"/>
      <c r="Z937" s="35"/>
    </row>
    <row r="938" ht="12.75" customHeight="1">
      <c r="A938" s="35"/>
      <c r="B938" s="35"/>
      <c r="C938" s="35"/>
      <c r="D938" s="35"/>
      <c r="E938" s="35"/>
      <c r="F938" s="35"/>
      <c r="G938" s="35"/>
      <c r="H938" s="35"/>
      <c r="I938" s="35"/>
      <c r="J938" s="35"/>
      <c r="K938" s="35"/>
      <c r="L938" s="35"/>
      <c r="M938" s="35"/>
      <c r="N938" s="35"/>
      <c r="O938" s="35"/>
      <c r="P938" s="35"/>
      <c r="Q938" s="35"/>
      <c r="R938" s="35"/>
      <c r="S938" s="35"/>
      <c r="T938" s="35"/>
      <c r="U938" s="35"/>
      <c r="V938" s="35"/>
      <c r="W938" s="35"/>
      <c r="X938" s="35"/>
      <c r="Y938" s="35"/>
      <c r="Z938" s="35"/>
    </row>
    <row r="939" ht="12.75" customHeight="1">
      <c r="A939" s="35"/>
      <c r="B939" s="35"/>
      <c r="C939" s="35"/>
      <c r="D939" s="35"/>
      <c r="E939" s="35"/>
      <c r="F939" s="35"/>
      <c r="G939" s="35"/>
      <c r="H939" s="35"/>
      <c r="I939" s="35"/>
      <c r="J939" s="35"/>
      <c r="K939" s="35"/>
      <c r="L939" s="35"/>
      <c r="M939" s="35"/>
      <c r="N939" s="35"/>
      <c r="O939" s="35"/>
      <c r="P939" s="35"/>
      <c r="Q939" s="35"/>
      <c r="R939" s="35"/>
      <c r="S939" s="35"/>
      <c r="T939" s="35"/>
      <c r="U939" s="35"/>
      <c r="V939" s="35"/>
      <c r="W939" s="35"/>
      <c r="X939" s="35"/>
      <c r="Y939" s="35"/>
      <c r="Z939" s="35"/>
    </row>
    <row r="940" ht="12.75" customHeight="1">
      <c r="A940" s="35"/>
      <c r="B940" s="35"/>
      <c r="C940" s="35"/>
      <c r="D940" s="35"/>
      <c r="E940" s="35"/>
      <c r="F940" s="35"/>
      <c r="G940" s="35"/>
      <c r="H940" s="35"/>
      <c r="I940" s="35"/>
      <c r="J940" s="35"/>
      <c r="K940" s="35"/>
      <c r="L940" s="35"/>
      <c r="M940" s="35"/>
      <c r="N940" s="35"/>
      <c r="O940" s="35"/>
      <c r="P940" s="35"/>
      <c r="Q940" s="35"/>
      <c r="R940" s="35"/>
      <c r="S940" s="35"/>
      <c r="T940" s="35"/>
      <c r="U940" s="35"/>
      <c r="V940" s="35"/>
      <c r="W940" s="35"/>
      <c r="X940" s="35"/>
      <c r="Y940" s="35"/>
      <c r="Z940" s="35"/>
    </row>
    <row r="941" ht="12.75" customHeight="1">
      <c r="A941" s="35"/>
      <c r="B941" s="35"/>
      <c r="C941" s="35"/>
      <c r="D941" s="35"/>
      <c r="E941" s="35"/>
      <c r="F941" s="35"/>
      <c r="G941" s="35"/>
      <c r="H941" s="35"/>
      <c r="I941" s="35"/>
      <c r="J941" s="35"/>
      <c r="K941" s="35"/>
      <c r="L941" s="35"/>
      <c r="M941" s="35"/>
      <c r="N941" s="35"/>
      <c r="O941" s="35"/>
      <c r="P941" s="35"/>
      <c r="Q941" s="35"/>
      <c r="R941" s="35"/>
      <c r="S941" s="35"/>
      <c r="T941" s="35"/>
      <c r="U941" s="35"/>
      <c r="V941" s="35"/>
      <c r="W941" s="35"/>
      <c r="X941" s="35"/>
      <c r="Y941" s="35"/>
      <c r="Z941" s="35"/>
    </row>
    <row r="942" ht="12.75" customHeight="1">
      <c r="A942" s="35"/>
      <c r="B942" s="35"/>
      <c r="C942" s="35"/>
      <c r="D942" s="35"/>
      <c r="E942" s="35"/>
      <c r="F942" s="35"/>
      <c r="G942" s="35"/>
      <c r="H942" s="35"/>
      <c r="I942" s="35"/>
      <c r="J942" s="35"/>
      <c r="K942" s="35"/>
      <c r="L942" s="35"/>
      <c r="M942" s="35"/>
      <c r="N942" s="35"/>
      <c r="O942" s="35"/>
      <c r="P942" s="35"/>
      <c r="Q942" s="35"/>
      <c r="R942" s="35"/>
      <c r="S942" s="35"/>
      <c r="T942" s="35"/>
      <c r="U942" s="35"/>
      <c r="V942" s="35"/>
      <c r="W942" s="35"/>
      <c r="X942" s="35"/>
      <c r="Y942" s="35"/>
      <c r="Z942" s="35"/>
    </row>
    <row r="943" ht="12.75" customHeight="1">
      <c r="A943" s="35"/>
      <c r="B943" s="35"/>
      <c r="C943" s="35"/>
      <c r="D943" s="35"/>
      <c r="E943" s="35"/>
      <c r="F943" s="35"/>
      <c r="G943" s="35"/>
      <c r="H943" s="35"/>
      <c r="I943" s="35"/>
      <c r="J943" s="35"/>
      <c r="K943" s="35"/>
      <c r="L943" s="35"/>
      <c r="M943" s="35"/>
      <c r="N943" s="35"/>
      <c r="O943" s="35"/>
      <c r="P943" s="35"/>
      <c r="Q943" s="35"/>
      <c r="R943" s="35"/>
      <c r="S943" s="35"/>
      <c r="T943" s="35"/>
      <c r="U943" s="35"/>
      <c r="V943" s="35"/>
      <c r="W943" s="35"/>
      <c r="X943" s="35"/>
      <c r="Y943" s="35"/>
      <c r="Z943" s="35"/>
    </row>
    <row r="944" ht="12.75" customHeight="1">
      <c r="A944" s="35"/>
      <c r="B944" s="35"/>
      <c r="C944" s="35"/>
      <c r="D944" s="35"/>
      <c r="E944" s="35"/>
      <c r="F944" s="35"/>
      <c r="G944" s="35"/>
      <c r="H944" s="35"/>
      <c r="I944" s="35"/>
      <c r="J944" s="35"/>
      <c r="K944" s="35"/>
      <c r="L944" s="35"/>
      <c r="M944" s="35"/>
      <c r="N944" s="35"/>
      <c r="O944" s="35"/>
      <c r="P944" s="35"/>
      <c r="Q944" s="35"/>
      <c r="R944" s="35"/>
      <c r="S944" s="35"/>
      <c r="T944" s="35"/>
      <c r="U944" s="35"/>
      <c r="V944" s="35"/>
      <c r="W944" s="35"/>
      <c r="X944" s="35"/>
      <c r="Y944" s="35"/>
      <c r="Z944" s="35"/>
    </row>
    <row r="945" ht="12.75" customHeight="1">
      <c r="A945" s="35"/>
      <c r="B945" s="35"/>
      <c r="C945" s="35"/>
      <c r="D945" s="35"/>
      <c r="E945" s="35"/>
      <c r="F945" s="35"/>
      <c r="G945" s="35"/>
      <c r="H945" s="35"/>
      <c r="I945" s="35"/>
      <c r="J945" s="35"/>
      <c r="K945" s="35"/>
      <c r="L945" s="35"/>
      <c r="M945" s="35"/>
      <c r="N945" s="35"/>
      <c r="O945" s="35"/>
      <c r="P945" s="35"/>
      <c r="Q945" s="35"/>
      <c r="R945" s="35"/>
      <c r="S945" s="35"/>
      <c r="T945" s="35"/>
      <c r="U945" s="35"/>
      <c r="V945" s="35"/>
      <c r="W945" s="35"/>
      <c r="X945" s="35"/>
      <c r="Y945" s="35"/>
      <c r="Z945" s="35"/>
    </row>
    <row r="946" ht="12.75" customHeight="1">
      <c r="A946" s="35"/>
      <c r="B946" s="35"/>
      <c r="C946" s="35"/>
      <c r="D946" s="35"/>
      <c r="E946" s="35"/>
      <c r="F946" s="35"/>
      <c r="G946" s="35"/>
      <c r="H946" s="35"/>
      <c r="I946" s="35"/>
      <c r="J946" s="35"/>
      <c r="K946" s="35"/>
      <c r="L946" s="35"/>
      <c r="M946" s="35"/>
      <c r="N946" s="35"/>
      <c r="O946" s="35"/>
      <c r="P946" s="35"/>
      <c r="Q946" s="35"/>
      <c r="R946" s="35"/>
      <c r="S946" s="35"/>
      <c r="T946" s="35"/>
      <c r="U946" s="35"/>
      <c r="V946" s="35"/>
      <c r="W946" s="35"/>
      <c r="X946" s="35"/>
      <c r="Y946" s="35"/>
      <c r="Z946" s="35"/>
    </row>
    <row r="947" ht="12.75" customHeight="1">
      <c r="A947" s="35"/>
      <c r="B947" s="35"/>
      <c r="C947" s="35"/>
      <c r="D947" s="35"/>
      <c r="E947" s="35"/>
      <c r="F947" s="35"/>
      <c r="G947" s="35"/>
      <c r="H947" s="35"/>
      <c r="I947" s="35"/>
      <c r="J947" s="35"/>
      <c r="K947" s="35"/>
      <c r="L947" s="35"/>
      <c r="M947" s="35"/>
      <c r="N947" s="35"/>
      <c r="O947" s="35"/>
      <c r="P947" s="35"/>
      <c r="Q947" s="35"/>
      <c r="R947" s="35"/>
      <c r="S947" s="35"/>
      <c r="T947" s="35"/>
      <c r="U947" s="35"/>
      <c r="V947" s="35"/>
      <c r="W947" s="35"/>
      <c r="X947" s="35"/>
      <c r="Y947" s="35"/>
      <c r="Z947" s="35"/>
    </row>
    <row r="948" ht="12.75" customHeight="1">
      <c r="A948" s="35"/>
      <c r="B948" s="35"/>
      <c r="C948" s="35"/>
      <c r="D948" s="35"/>
      <c r="E948" s="35"/>
      <c r="F948" s="35"/>
      <c r="G948" s="35"/>
      <c r="H948" s="35"/>
      <c r="I948" s="35"/>
      <c r="J948" s="35"/>
      <c r="K948" s="35"/>
      <c r="L948" s="35"/>
      <c r="M948" s="35"/>
      <c r="N948" s="35"/>
      <c r="O948" s="35"/>
      <c r="P948" s="35"/>
      <c r="Q948" s="35"/>
      <c r="R948" s="35"/>
      <c r="S948" s="35"/>
      <c r="T948" s="35"/>
      <c r="U948" s="35"/>
      <c r="V948" s="35"/>
      <c r="W948" s="35"/>
      <c r="X948" s="35"/>
      <c r="Y948" s="35"/>
      <c r="Z948" s="35"/>
    </row>
    <row r="949" ht="12.75" customHeight="1">
      <c r="A949" s="35"/>
      <c r="B949" s="35"/>
      <c r="C949" s="35"/>
      <c r="D949" s="35"/>
      <c r="E949" s="35"/>
      <c r="F949" s="35"/>
      <c r="G949" s="35"/>
      <c r="H949" s="35"/>
      <c r="I949" s="35"/>
      <c r="J949" s="35"/>
      <c r="K949" s="35"/>
      <c r="L949" s="35"/>
      <c r="M949" s="35"/>
      <c r="N949" s="35"/>
      <c r="O949" s="35"/>
      <c r="P949" s="35"/>
      <c r="Q949" s="35"/>
      <c r="R949" s="35"/>
      <c r="S949" s="35"/>
      <c r="T949" s="35"/>
      <c r="U949" s="35"/>
      <c r="V949" s="35"/>
      <c r="W949" s="35"/>
      <c r="X949" s="35"/>
      <c r="Y949" s="35"/>
      <c r="Z949" s="35"/>
    </row>
    <row r="950" ht="12.75" customHeight="1">
      <c r="A950" s="35"/>
      <c r="B950" s="35"/>
      <c r="C950" s="35"/>
      <c r="D950" s="35"/>
      <c r="E950" s="35"/>
      <c r="F950" s="35"/>
      <c r="G950" s="35"/>
      <c r="H950" s="35"/>
      <c r="I950" s="35"/>
      <c r="J950" s="35"/>
      <c r="K950" s="35"/>
      <c r="L950" s="35"/>
      <c r="M950" s="35"/>
      <c r="N950" s="35"/>
      <c r="O950" s="35"/>
      <c r="P950" s="35"/>
      <c r="Q950" s="35"/>
      <c r="R950" s="35"/>
      <c r="S950" s="35"/>
      <c r="T950" s="35"/>
      <c r="U950" s="35"/>
      <c r="V950" s="35"/>
      <c r="W950" s="35"/>
      <c r="X950" s="35"/>
      <c r="Y950" s="35"/>
      <c r="Z950" s="35"/>
    </row>
    <row r="951" ht="12.75" customHeight="1">
      <c r="A951" s="35"/>
      <c r="B951" s="35"/>
      <c r="C951" s="35"/>
      <c r="D951" s="35"/>
      <c r="E951" s="35"/>
      <c r="F951" s="35"/>
      <c r="G951" s="35"/>
      <c r="H951" s="35"/>
      <c r="I951" s="35"/>
      <c r="J951" s="35"/>
      <c r="K951" s="35"/>
      <c r="L951" s="35"/>
      <c r="M951" s="35"/>
      <c r="N951" s="35"/>
      <c r="O951" s="35"/>
      <c r="P951" s="35"/>
      <c r="Q951" s="35"/>
      <c r="R951" s="35"/>
      <c r="S951" s="35"/>
      <c r="T951" s="35"/>
      <c r="U951" s="35"/>
      <c r="V951" s="35"/>
      <c r="W951" s="35"/>
      <c r="X951" s="35"/>
      <c r="Y951" s="35"/>
      <c r="Z951" s="35"/>
    </row>
    <row r="952" ht="12.75" customHeight="1">
      <c r="A952" s="35"/>
      <c r="B952" s="35"/>
      <c r="C952" s="35"/>
      <c r="D952" s="35"/>
      <c r="E952" s="35"/>
      <c r="F952" s="35"/>
      <c r="G952" s="35"/>
      <c r="H952" s="35"/>
      <c r="I952" s="35"/>
      <c r="J952" s="35"/>
      <c r="K952" s="35"/>
      <c r="L952" s="35"/>
      <c r="M952" s="35"/>
      <c r="N952" s="35"/>
      <c r="O952" s="35"/>
      <c r="P952" s="35"/>
      <c r="Q952" s="35"/>
      <c r="R952" s="35"/>
      <c r="S952" s="35"/>
      <c r="T952" s="35"/>
      <c r="U952" s="35"/>
      <c r="V952" s="35"/>
      <c r="W952" s="35"/>
      <c r="X952" s="35"/>
      <c r="Y952" s="35"/>
      <c r="Z952" s="35"/>
    </row>
    <row r="953" ht="12.75" customHeight="1">
      <c r="A953" s="35"/>
      <c r="B953" s="35"/>
      <c r="C953" s="35"/>
      <c r="D953" s="35"/>
      <c r="E953" s="35"/>
      <c r="F953" s="35"/>
      <c r="G953" s="35"/>
      <c r="H953" s="35"/>
      <c r="I953" s="35"/>
      <c r="J953" s="35"/>
      <c r="K953" s="35"/>
      <c r="L953" s="35"/>
      <c r="M953" s="35"/>
      <c r="N953" s="35"/>
      <c r="O953" s="35"/>
      <c r="P953" s="35"/>
      <c r="Q953" s="35"/>
      <c r="R953" s="35"/>
      <c r="S953" s="35"/>
      <c r="T953" s="35"/>
      <c r="U953" s="35"/>
      <c r="V953" s="35"/>
      <c r="W953" s="35"/>
      <c r="X953" s="35"/>
      <c r="Y953" s="35"/>
      <c r="Z953" s="35"/>
    </row>
    <row r="954" ht="12.75" customHeight="1">
      <c r="A954" s="35"/>
      <c r="B954" s="35"/>
      <c r="C954" s="35"/>
      <c r="D954" s="35"/>
      <c r="E954" s="35"/>
      <c r="F954" s="35"/>
      <c r="G954" s="35"/>
      <c r="H954" s="35"/>
      <c r="I954" s="35"/>
      <c r="J954" s="35"/>
      <c r="K954" s="35"/>
      <c r="L954" s="35"/>
      <c r="M954" s="35"/>
      <c r="N954" s="35"/>
      <c r="O954" s="35"/>
      <c r="P954" s="35"/>
      <c r="Q954" s="35"/>
      <c r="R954" s="35"/>
      <c r="S954" s="35"/>
      <c r="T954" s="35"/>
      <c r="U954" s="35"/>
      <c r="V954" s="35"/>
      <c r="W954" s="35"/>
      <c r="X954" s="35"/>
      <c r="Y954" s="35"/>
      <c r="Z954" s="35"/>
    </row>
    <row r="955" ht="12.75" customHeight="1">
      <c r="A955" s="35"/>
      <c r="B955" s="35"/>
      <c r="C955" s="35"/>
      <c r="D955" s="35"/>
      <c r="E955" s="35"/>
      <c r="F955" s="35"/>
      <c r="G955" s="35"/>
      <c r="H955" s="35"/>
      <c r="I955" s="35"/>
      <c r="J955" s="35"/>
      <c r="K955" s="35"/>
      <c r="L955" s="35"/>
      <c r="M955" s="35"/>
      <c r="N955" s="35"/>
      <c r="O955" s="35"/>
      <c r="P955" s="35"/>
      <c r="Q955" s="35"/>
      <c r="R955" s="35"/>
      <c r="S955" s="35"/>
      <c r="T955" s="35"/>
      <c r="U955" s="35"/>
      <c r="V955" s="35"/>
      <c r="W955" s="35"/>
      <c r="X955" s="35"/>
      <c r="Y955" s="35"/>
      <c r="Z955" s="35"/>
    </row>
    <row r="956" ht="12.75" customHeight="1">
      <c r="A956" s="35"/>
      <c r="B956" s="35"/>
      <c r="C956" s="35"/>
      <c r="D956" s="35"/>
      <c r="E956" s="35"/>
      <c r="F956" s="35"/>
      <c r="G956" s="35"/>
      <c r="H956" s="35"/>
      <c r="I956" s="35"/>
      <c r="J956" s="35"/>
      <c r="K956" s="35"/>
      <c r="L956" s="35"/>
      <c r="M956" s="35"/>
      <c r="N956" s="35"/>
      <c r="O956" s="35"/>
      <c r="P956" s="35"/>
      <c r="Q956" s="35"/>
      <c r="R956" s="35"/>
      <c r="S956" s="35"/>
      <c r="T956" s="35"/>
      <c r="U956" s="35"/>
      <c r="V956" s="35"/>
      <c r="W956" s="35"/>
      <c r="X956" s="35"/>
      <c r="Y956" s="35"/>
      <c r="Z956" s="35"/>
    </row>
    <row r="957" ht="12.75" customHeight="1">
      <c r="A957" s="35"/>
      <c r="B957" s="35"/>
      <c r="C957" s="35"/>
      <c r="D957" s="35"/>
      <c r="E957" s="35"/>
      <c r="F957" s="35"/>
      <c r="G957" s="35"/>
      <c r="H957" s="35"/>
      <c r="I957" s="35"/>
      <c r="J957" s="35"/>
      <c r="K957" s="35"/>
      <c r="L957" s="35"/>
      <c r="M957" s="35"/>
      <c r="N957" s="35"/>
      <c r="O957" s="35"/>
      <c r="P957" s="35"/>
      <c r="Q957" s="35"/>
      <c r="R957" s="35"/>
      <c r="S957" s="35"/>
      <c r="T957" s="35"/>
      <c r="U957" s="35"/>
      <c r="V957" s="35"/>
      <c r="W957" s="35"/>
      <c r="X957" s="35"/>
      <c r="Y957" s="35"/>
      <c r="Z957" s="35"/>
    </row>
    <row r="958" ht="12.75" customHeight="1">
      <c r="A958" s="35"/>
      <c r="B958" s="35"/>
      <c r="C958" s="35"/>
      <c r="D958" s="35"/>
      <c r="E958" s="35"/>
      <c r="F958" s="35"/>
      <c r="G958" s="35"/>
      <c r="H958" s="35"/>
      <c r="I958" s="35"/>
      <c r="J958" s="35"/>
      <c r="K958" s="35"/>
      <c r="L958" s="35"/>
      <c r="M958" s="35"/>
      <c r="N958" s="35"/>
      <c r="O958" s="35"/>
      <c r="P958" s="35"/>
      <c r="Q958" s="35"/>
      <c r="R958" s="35"/>
      <c r="S958" s="35"/>
      <c r="T958" s="35"/>
      <c r="U958" s="35"/>
      <c r="V958" s="35"/>
      <c r="W958" s="35"/>
      <c r="X958" s="35"/>
      <c r="Y958" s="35"/>
      <c r="Z958" s="35"/>
    </row>
    <row r="959" ht="12.75" customHeight="1">
      <c r="A959" s="35"/>
      <c r="B959" s="35"/>
      <c r="C959" s="35"/>
      <c r="D959" s="35"/>
      <c r="E959" s="35"/>
      <c r="F959" s="35"/>
      <c r="G959" s="35"/>
      <c r="H959" s="35"/>
      <c r="I959" s="35"/>
      <c r="J959" s="35"/>
      <c r="K959" s="35"/>
      <c r="L959" s="35"/>
      <c r="M959" s="35"/>
      <c r="N959" s="35"/>
      <c r="O959" s="35"/>
      <c r="P959" s="35"/>
      <c r="Q959" s="35"/>
      <c r="R959" s="35"/>
      <c r="S959" s="35"/>
      <c r="T959" s="35"/>
      <c r="U959" s="35"/>
      <c r="V959" s="35"/>
      <c r="W959" s="35"/>
      <c r="X959" s="35"/>
      <c r="Y959" s="35"/>
      <c r="Z959" s="35"/>
    </row>
    <row r="960" ht="12.75" customHeight="1">
      <c r="A960" s="35"/>
      <c r="B960" s="35"/>
      <c r="C960" s="35"/>
      <c r="D960" s="35"/>
      <c r="E960" s="35"/>
      <c r="F960" s="35"/>
      <c r="G960" s="35"/>
      <c r="H960" s="35"/>
      <c r="I960" s="35"/>
      <c r="J960" s="35"/>
      <c r="K960" s="35"/>
      <c r="L960" s="35"/>
      <c r="M960" s="35"/>
      <c r="N960" s="35"/>
      <c r="O960" s="35"/>
      <c r="P960" s="35"/>
      <c r="Q960" s="35"/>
      <c r="R960" s="35"/>
      <c r="S960" s="35"/>
      <c r="T960" s="35"/>
      <c r="U960" s="35"/>
      <c r="V960" s="35"/>
      <c r="W960" s="35"/>
      <c r="X960" s="35"/>
      <c r="Y960" s="35"/>
      <c r="Z960" s="35"/>
    </row>
    <row r="961" ht="12.75" customHeight="1">
      <c r="A961" s="35"/>
      <c r="B961" s="35"/>
      <c r="C961" s="35"/>
      <c r="D961" s="35"/>
      <c r="E961" s="35"/>
      <c r="F961" s="35"/>
      <c r="G961" s="35"/>
      <c r="H961" s="35"/>
      <c r="I961" s="35"/>
      <c r="J961" s="35"/>
      <c r="K961" s="35"/>
      <c r="L961" s="35"/>
      <c r="M961" s="35"/>
      <c r="N961" s="35"/>
      <c r="O961" s="35"/>
      <c r="P961" s="35"/>
      <c r="Q961" s="35"/>
      <c r="R961" s="35"/>
      <c r="S961" s="35"/>
      <c r="T961" s="35"/>
      <c r="U961" s="35"/>
      <c r="V961" s="35"/>
      <c r="W961" s="35"/>
      <c r="X961" s="35"/>
      <c r="Y961" s="35"/>
      <c r="Z961" s="35"/>
    </row>
    <row r="962" ht="12.75" customHeight="1">
      <c r="A962" s="35"/>
      <c r="B962" s="35"/>
      <c r="C962" s="35"/>
      <c r="D962" s="35"/>
      <c r="E962" s="35"/>
      <c r="F962" s="35"/>
      <c r="G962" s="35"/>
      <c r="H962" s="35"/>
      <c r="I962" s="35"/>
      <c r="J962" s="35"/>
      <c r="K962" s="35"/>
      <c r="L962" s="35"/>
      <c r="M962" s="35"/>
      <c r="N962" s="35"/>
      <c r="O962" s="35"/>
      <c r="P962" s="35"/>
      <c r="Q962" s="35"/>
      <c r="R962" s="35"/>
      <c r="S962" s="35"/>
      <c r="T962" s="35"/>
      <c r="U962" s="35"/>
      <c r="V962" s="35"/>
      <c r="W962" s="35"/>
      <c r="X962" s="35"/>
      <c r="Y962" s="35"/>
      <c r="Z962" s="35"/>
    </row>
    <row r="963" ht="12.75" customHeight="1">
      <c r="A963" s="35"/>
      <c r="B963" s="35"/>
      <c r="C963" s="35"/>
      <c r="D963" s="35"/>
      <c r="E963" s="35"/>
      <c r="F963" s="35"/>
      <c r="G963" s="35"/>
      <c r="H963" s="35"/>
      <c r="I963" s="35"/>
      <c r="J963" s="35"/>
      <c r="K963" s="35"/>
      <c r="L963" s="35"/>
      <c r="M963" s="35"/>
      <c r="N963" s="35"/>
      <c r="O963" s="35"/>
      <c r="P963" s="35"/>
      <c r="Q963" s="35"/>
      <c r="R963" s="35"/>
      <c r="S963" s="35"/>
      <c r="T963" s="35"/>
      <c r="U963" s="35"/>
      <c r="V963" s="35"/>
      <c r="W963" s="35"/>
      <c r="X963" s="35"/>
      <c r="Y963" s="35"/>
      <c r="Z963" s="35"/>
    </row>
    <row r="964" ht="12.75" customHeight="1">
      <c r="A964" s="35"/>
      <c r="B964" s="35"/>
      <c r="C964" s="35"/>
      <c r="D964" s="35"/>
      <c r="E964" s="35"/>
      <c r="F964" s="35"/>
      <c r="G964" s="35"/>
      <c r="H964" s="35"/>
      <c r="I964" s="35"/>
      <c r="J964" s="35"/>
      <c r="K964" s="35"/>
      <c r="L964" s="35"/>
      <c r="M964" s="35"/>
      <c r="N964" s="35"/>
      <c r="O964" s="35"/>
      <c r="P964" s="35"/>
      <c r="Q964" s="35"/>
      <c r="R964" s="35"/>
      <c r="S964" s="35"/>
      <c r="T964" s="35"/>
      <c r="U964" s="35"/>
      <c r="V964" s="35"/>
      <c r="W964" s="35"/>
      <c r="X964" s="35"/>
      <c r="Y964" s="35"/>
      <c r="Z964" s="35"/>
    </row>
    <row r="965" ht="12.75" customHeight="1">
      <c r="A965" s="35"/>
      <c r="B965" s="35"/>
      <c r="C965" s="35"/>
      <c r="D965" s="35"/>
      <c r="E965" s="35"/>
      <c r="F965" s="35"/>
      <c r="G965" s="35"/>
      <c r="H965" s="35"/>
      <c r="I965" s="35"/>
      <c r="J965" s="35"/>
      <c r="K965" s="35"/>
      <c r="L965" s="35"/>
      <c r="M965" s="35"/>
      <c r="N965" s="35"/>
      <c r="O965" s="35"/>
      <c r="P965" s="35"/>
      <c r="Q965" s="35"/>
      <c r="R965" s="35"/>
      <c r="S965" s="35"/>
      <c r="T965" s="35"/>
      <c r="U965" s="35"/>
      <c r="V965" s="35"/>
      <c r="W965" s="35"/>
      <c r="X965" s="35"/>
      <c r="Y965" s="35"/>
      <c r="Z965" s="35"/>
    </row>
    <row r="966" ht="12.75" customHeight="1">
      <c r="A966" s="35"/>
      <c r="B966" s="35"/>
      <c r="C966" s="35"/>
      <c r="D966" s="35"/>
      <c r="E966" s="35"/>
      <c r="F966" s="35"/>
      <c r="G966" s="35"/>
      <c r="H966" s="35"/>
      <c r="I966" s="35"/>
      <c r="J966" s="35"/>
      <c r="K966" s="35"/>
      <c r="L966" s="35"/>
      <c r="M966" s="35"/>
      <c r="N966" s="35"/>
      <c r="O966" s="35"/>
      <c r="P966" s="35"/>
      <c r="Q966" s="35"/>
      <c r="R966" s="35"/>
      <c r="S966" s="35"/>
      <c r="T966" s="35"/>
      <c r="U966" s="35"/>
      <c r="V966" s="35"/>
      <c r="W966" s="35"/>
      <c r="X966" s="35"/>
      <c r="Y966" s="35"/>
      <c r="Z966" s="35"/>
    </row>
    <row r="967" ht="12.75" customHeight="1">
      <c r="A967" s="35"/>
      <c r="B967" s="35"/>
      <c r="C967" s="35"/>
      <c r="D967" s="35"/>
      <c r="E967" s="35"/>
      <c r="F967" s="35"/>
      <c r="G967" s="35"/>
      <c r="H967" s="35"/>
      <c r="I967" s="35"/>
      <c r="J967" s="35"/>
      <c r="K967" s="35"/>
      <c r="L967" s="35"/>
      <c r="M967" s="35"/>
      <c r="N967" s="35"/>
      <c r="O967" s="35"/>
      <c r="P967" s="35"/>
      <c r="Q967" s="35"/>
      <c r="R967" s="35"/>
      <c r="S967" s="35"/>
      <c r="T967" s="35"/>
      <c r="U967" s="35"/>
      <c r="V967" s="35"/>
      <c r="W967" s="35"/>
      <c r="X967" s="35"/>
      <c r="Y967" s="35"/>
      <c r="Z967" s="35"/>
    </row>
    <row r="968" ht="12.75" customHeight="1">
      <c r="A968" s="35"/>
      <c r="B968" s="35"/>
      <c r="C968" s="35"/>
      <c r="D968" s="35"/>
      <c r="E968" s="35"/>
      <c r="F968" s="35"/>
      <c r="G968" s="35"/>
      <c r="H968" s="35"/>
      <c r="I968" s="35"/>
      <c r="J968" s="35"/>
      <c r="K968" s="35"/>
      <c r="L968" s="35"/>
      <c r="M968" s="35"/>
      <c r="N968" s="35"/>
      <c r="O968" s="35"/>
      <c r="P968" s="35"/>
      <c r="Q968" s="35"/>
      <c r="R968" s="35"/>
      <c r="S968" s="35"/>
      <c r="T968" s="35"/>
      <c r="U968" s="35"/>
      <c r="V968" s="35"/>
      <c r="W968" s="35"/>
      <c r="X968" s="35"/>
      <c r="Y968" s="35"/>
      <c r="Z968" s="35"/>
    </row>
    <row r="969" ht="12.75" customHeight="1">
      <c r="A969" s="35"/>
      <c r="B969" s="35"/>
      <c r="C969" s="35"/>
      <c r="D969" s="35"/>
      <c r="E969" s="35"/>
      <c r="F969" s="35"/>
      <c r="G969" s="35"/>
      <c r="H969" s="35"/>
      <c r="I969" s="35"/>
      <c r="J969" s="35"/>
      <c r="K969" s="35"/>
      <c r="L969" s="35"/>
      <c r="M969" s="35"/>
      <c r="N969" s="35"/>
      <c r="O969" s="35"/>
      <c r="P969" s="35"/>
      <c r="Q969" s="35"/>
      <c r="R969" s="35"/>
      <c r="S969" s="35"/>
      <c r="T969" s="35"/>
      <c r="U969" s="35"/>
      <c r="V969" s="35"/>
      <c r="W969" s="35"/>
      <c r="X969" s="35"/>
      <c r="Y969" s="35"/>
      <c r="Z969" s="35"/>
    </row>
    <row r="970" ht="12.75" customHeight="1">
      <c r="A970" s="35"/>
      <c r="B970" s="35"/>
      <c r="C970" s="35"/>
      <c r="D970" s="35"/>
      <c r="E970" s="35"/>
      <c r="F970" s="35"/>
      <c r="G970" s="35"/>
      <c r="H970" s="35"/>
      <c r="I970" s="35"/>
      <c r="J970" s="35"/>
      <c r="K970" s="35"/>
      <c r="L970" s="35"/>
      <c r="M970" s="35"/>
      <c r="N970" s="35"/>
      <c r="O970" s="35"/>
      <c r="P970" s="35"/>
      <c r="Q970" s="35"/>
      <c r="R970" s="35"/>
      <c r="S970" s="35"/>
      <c r="T970" s="35"/>
      <c r="U970" s="35"/>
      <c r="V970" s="35"/>
      <c r="W970" s="35"/>
      <c r="X970" s="35"/>
      <c r="Y970" s="35"/>
      <c r="Z970" s="35"/>
    </row>
    <row r="971" ht="12.75" customHeight="1">
      <c r="A971" s="35"/>
      <c r="B971" s="35"/>
      <c r="C971" s="35"/>
      <c r="D971" s="35"/>
      <c r="E971" s="35"/>
      <c r="F971" s="35"/>
      <c r="G971" s="35"/>
      <c r="H971" s="35"/>
      <c r="I971" s="35"/>
      <c r="J971" s="35"/>
      <c r="K971" s="35"/>
      <c r="L971" s="35"/>
      <c r="M971" s="35"/>
      <c r="N971" s="35"/>
      <c r="O971" s="35"/>
      <c r="P971" s="35"/>
      <c r="Q971" s="35"/>
      <c r="R971" s="35"/>
      <c r="S971" s="35"/>
      <c r="T971" s="35"/>
      <c r="U971" s="35"/>
      <c r="V971" s="35"/>
      <c r="W971" s="35"/>
      <c r="X971" s="35"/>
      <c r="Y971" s="35"/>
      <c r="Z971" s="35"/>
    </row>
    <row r="972" ht="12.75" customHeight="1">
      <c r="A972" s="35"/>
      <c r="B972" s="35"/>
      <c r="C972" s="35"/>
      <c r="D972" s="35"/>
      <c r="E972" s="35"/>
      <c r="F972" s="35"/>
      <c r="G972" s="35"/>
      <c r="H972" s="35"/>
      <c r="I972" s="35"/>
      <c r="J972" s="35"/>
      <c r="K972" s="35"/>
      <c r="L972" s="35"/>
      <c r="M972" s="35"/>
      <c r="N972" s="35"/>
      <c r="O972" s="35"/>
      <c r="P972" s="35"/>
      <c r="Q972" s="35"/>
      <c r="R972" s="35"/>
      <c r="S972" s="35"/>
      <c r="T972" s="35"/>
      <c r="U972" s="35"/>
      <c r="V972" s="35"/>
      <c r="W972" s="35"/>
      <c r="X972" s="35"/>
      <c r="Y972" s="35"/>
      <c r="Z972" s="35"/>
    </row>
    <row r="973" ht="12.75" customHeight="1">
      <c r="A973" s="35"/>
      <c r="B973" s="35"/>
      <c r="C973" s="35"/>
      <c r="D973" s="35"/>
      <c r="E973" s="35"/>
      <c r="F973" s="35"/>
      <c r="G973" s="35"/>
      <c r="H973" s="35"/>
      <c r="I973" s="35"/>
      <c r="J973" s="35"/>
      <c r="K973" s="35"/>
      <c r="L973" s="35"/>
      <c r="M973" s="35"/>
      <c r="N973" s="35"/>
      <c r="O973" s="35"/>
      <c r="P973" s="35"/>
      <c r="Q973" s="35"/>
      <c r="R973" s="35"/>
      <c r="S973" s="35"/>
      <c r="T973" s="35"/>
      <c r="U973" s="35"/>
      <c r="V973" s="35"/>
      <c r="W973" s="35"/>
      <c r="X973" s="35"/>
      <c r="Y973" s="35"/>
      <c r="Z973" s="35"/>
    </row>
    <row r="974" ht="12.75" customHeight="1">
      <c r="A974" s="35"/>
      <c r="B974" s="35"/>
      <c r="C974" s="35"/>
      <c r="D974" s="35"/>
      <c r="E974" s="35"/>
      <c r="F974" s="35"/>
      <c r="G974" s="35"/>
      <c r="H974" s="35"/>
      <c r="I974" s="35"/>
      <c r="J974" s="35"/>
      <c r="K974" s="35"/>
      <c r="L974" s="35"/>
      <c r="M974" s="35"/>
      <c r="N974" s="35"/>
      <c r="O974" s="35"/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5"/>
    </row>
    <row r="975" ht="12.75" customHeight="1">
      <c r="A975" s="35"/>
      <c r="B975" s="35"/>
      <c r="C975" s="35"/>
      <c r="D975" s="35"/>
      <c r="E975" s="35"/>
      <c r="F975" s="35"/>
      <c r="G975" s="35"/>
      <c r="H975" s="35"/>
      <c r="I975" s="35"/>
      <c r="J975" s="35"/>
      <c r="K975" s="35"/>
      <c r="L975" s="35"/>
      <c r="M975" s="35"/>
      <c r="N975" s="35"/>
      <c r="O975" s="35"/>
      <c r="P975" s="35"/>
      <c r="Q975" s="35"/>
      <c r="R975" s="35"/>
      <c r="S975" s="35"/>
      <c r="T975" s="35"/>
      <c r="U975" s="35"/>
      <c r="V975" s="35"/>
      <c r="W975" s="35"/>
      <c r="X975" s="35"/>
      <c r="Y975" s="35"/>
      <c r="Z975" s="35"/>
    </row>
    <row r="976" ht="12.75" customHeight="1">
      <c r="A976" s="35"/>
      <c r="B976" s="35"/>
      <c r="C976" s="35"/>
      <c r="D976" s="35"/>
      <c r="E976" s="35"/>
      <c r="F976" s="35"/>
      <c r="G976" s="35"/>
      <c r="H976" s="35"/>
      <c r="I976" s="35"/>
      <c r="J976" s="35"/>
      <c r="K976" s="35"/>
      <c r="L976" s="35"/>
      <c r="M976" s="35"/>
      <c r="N976" s="35"/>
      <c r="O976" s="35"/>
      <c r="P976" s="35"/>
      <c r="Q976" s="35"/>
      <c r="R976" s="35"/>
      <c r="S976" s="35"/>
      <c r="T976" s="35"/>
      <c r="U976" s="35"/>
      <c r="V976" s="35"/>
      <c r="W976" s="35"/>
      <c r="X976" s="35"/>
      <c r="Y976" s="35"/>
      <c r="Z976" s="35"/>
    </row>
    <row r="977" ht="12.75" customHeight="1">
      <c r="A977" s="35"/>
      <c r="B977" s="35"/>
      <c r="C977" s="35"/>
      <c r="D977" s="35"/>
      <c r="E977" s="35"/>
      <c r="F977" s="35"/>
      <c r="G977" s="35"/>
      <c r="H977" s="35"/>
      <c r="I977" s="35"/>
      <c r="J977" s="35"/>
      <c r="K977" s="35"/>
      <c r="L977" s="35"/>
      <c r="M977" s="35"/>
      <c r="N977" s="35"/>
      <c r="O977" s="35"/>
      <c r="P977" s="35"/>
      <c r="Q977" s="35"/>
      <c r="R977" s="35"/>
      <c r="S977" s="35"/>
      <c r="T977" s="35"/>
      <c r="U977" s="35"/>
      <c r="V977" s="35"/>
      <c r="W977" s="35"/>
      <c r="X977" s="35"/>
      <c r="Y977" s="35"/>
      <c r="Z977" s="35"/>
    </row>
    <row r="978" ht="12.75" customHeight="1">
      <c r="A978" s="35"/>
      <c r="B978" s="35"/>
      <c r="C978" s="35"/>
      <c r="D978" s="35"/>
      <c r="E978" s="35"/>
      <c r="F978" s="35"/>
      <c r="G978" s="35"/>
      <c r="H978" s="35"/>
      <c r="I978" s="35"/>
      <c r="J978" s="35"/>
      <c r="K978" s="35"/>
      <c r="L978" s="35"/>
      <c r="M978" s="35"/>
      <c r="N978" s="35"/>
      <c r="O978" s="35"/>
      <c r="P978" s="35"/>
      <c r="Q978" s="35"/>
      <c r="R978" s="35"/>
      <c r="S978" s="35"/>
      <c r="T978" s="35"/>
      <c r="U978" s="35"/>
      <c r="V978" s="35"/>
      <c r="W978" s="35"/>
      <c r="X978" s="35"/>
      <c r="Y978" s="35"/>
      <c r="Z978" s="35"/>
    </row>
    <row r="979" ht="12.75" customHeight="1">
      <c r="A979" s="35"/>
      <c r="B979" s="35"/>
      <c r="C979" s="35"/>
      <c r="D979" s="35"/>
      <c r="E979" s="35"/>
      <c r="F979" s="35"/>
      <c r="G979" s="35"/>
      <c r="H979" s="35"/>
      <c r="I979" s="35"/>
      <c r="J979" s="35"/>
      <c r="K979" s="35"/>
      <c r="L979" s="35"/>
      <c r="M979" s="35"/>
      <c r="N979" s="35"/>
      <c r="O979" s="35"/>
      <c r="P979" s="35"/>
      <c r="Q979" s="35"/>
      <c r="R979" s="35"/>
      <c r="S979" s="35"/>
      <c r="T979" s="35"/>
      <c r="U979" s="35"/>
      <c r="V979" s="35"/>
      <c r="W979" s="35"/>
      <c r="X979" s="35"/>
      <c r="Y979" s="35"/>
      <c r="Z979" s="35"/>
    </row>
    <row r="980" ht="12.75" customHeight="1">
      <c r="A980" s="35"/>
      <c r="B980" s="35"/>
      <c r="C980" s="35"/>
      <c r="D980" s="35"/>
      <c r="E980" s="35"/>
      <c r="F980" s="35"/>
      <c r="G980" s="35"/>
      <c r="H980" s="35"/>
      <c r="I980" s="35"/>
      <c r="J980" s="35"/>
      <c r="K980" s="35"/>
      <c r="L980" s="35"/>
      <c r="M980" s="35"/>
      <c r="N980" s="35"/>
      <c r="O980" s="35"/>
      <c r="P980" s="35"/>
      <c r="Q980" s="35"/>
      <c r="R980" s="35"/>
      <c r="S980" s="35"/>
      <c r="T980" s="35"/>
      <c r="U980" s="35"/>
      <c r="V980" s="35"/>
      <c r="W980" s="35"/>
      <c r="X980" s="35"/>
      <c r="Y980" s="35"/>
      <c r="Z980" s="35"/>
    </row>
    <row r="981" ht="12.75" customHeight="1">
      <c r="A981" s="35"/>
      <c r="B981" s="35"/>
      <c r="C981" s="35"/>
      <c r="D981" s="35"/>
      <c r="E981" s="35"/>
      <c r="F981" s="35"/>
      <c r="G981" s="35"/>
      <c r="H981" s="35"/>
      <c r="I981" s="35"/>
      <c r="J981" s="35"/>
      <c r="K981" s="35"/>
      <c r="L981" s="35"/>
      <c r="M981" s="35"/>
      <c r="N981" s="35"/>
      <c r="O981" s="35"/>
      <c r="P981" s="35"/>
      <c r="Q981" s="35"/>
      <c r="R981" s="35"/>
      <c r="S981" s="35"/>
      <c r="T981" s="35"/>
      <c r="U981" s="35"/>
      <c r="V981" s="35"/>
      <c r="W981" s="35"/>
      <c r="X981" s="35"/>
      <c r="Y981" s="35"/>
      <c r="Z981" s="35"/>
    </row>
    <row r="982" ht="12.75" customHeight="1">
      <c r="A982" s="35"/>
      <c r="B982" s="35"/>
      <c r="C982" s="35"/>
      <c r="D982" s="35"/>
      <c r="E982" s="35"/>
      <c r="F982" s="35"/>
      <c r="G982" s="35"/>
      <c r="H982" s="35"/>
      <c r="I982" s="35"/>
      <c r="J982" s="35"/>
      <c r="K982" s="35"/>
      <c r="L982" s="35"/>
      <c r="M982" s="35"/>
      <c r="N982" s="35"/>
      <c r="O982" s="35"/>
      <c r="P982" s="35"/>
      <c r="Q982" s="35"/>
      <c r="R982" s="35"/>
      <c r="S982" s="35"/>
      <c r="T982" s="35"/>
      <c r="U982" s="35"/>
      <c r="V982" s="35"/>
      <c r="W982" s="35"/>
      <c r="X982" s="35"/>
      <c r="Y982" s="35"/>
      <c r="Z982" s="35"/>
    </row>
    <row r="983" ht="12.75" customHeight="1">
      <c r="A983" s="35"/>
      <c r="B983" s="35"/>
      <c r="C983" s="35"/>
      <c r="D983" s="35"/>
      <c r="E983" s="35"/>
      <c r="F983" s="35"/>
      <c r="G983" s="35"/>
      <c r="H983" s="35"/>
      <c r="I983" s="35"/>
      <c r="J983" s="35"/>
      <c r="K983" s="35"/>
      <c r="L983" s="35"/>
      <c r="M983" s="35"/>
      <c r="N983" s="35"/>
      <c r="O983" s="35"/>
      <c r="P983" s="35"/>
      <c r="Q983" s="35"/>
      <c r="R983" s="35"/>
      <c r="S983" s="35"/>
      <c r="T983" s="35"/>
      <c r="U983" s="35"/>
      <c r="V983" s="35"/>
      <c r="W983" s="35"/>
      <c r="X983" s="35"/>
      <c r="Y983" s="35"/>
      <c r="Z983" s="35"/>
    </row>
    <row r="984" ht="12.75" customHeight="1">
      <c r="A984" s="35"/>
      <c r="B984" s="35"/>
      <c r="C984" s="35"/>
      <c r="D984" s="35"/>
      <c r="E984" s="35"/>
      <c r="F984" s="35"/>
      <c r="G984" s="35"/>
      <c r="H984" s="35"/>
      <c r="I984" s="35"/>
      <c r="J984" s="35"/>
      <c r="K984" s="35"/>
      <c r="L984" s="35"/>
      <c r="M984" s="35"/>
      <c r="N984" s="35"/>
      <c r="O984" s="35"/>
      <c r="P984" s="35"/>
      <c r="Q984" s="35"/>
      <c r="R984" s="35"/>
      <c r="S984" s="35"/>
      <c r="T984" s="35"/>
      <c r="U984" s="35"/>
      <c r="V984" s="35"/>
      <c r="W984" s="35"/>
      <c r="X984" s="35"/>
      <c r="Y984" s="35"/>
      <c r="Z984" s="35"/>
    </row>
    <row r="985" ht="12.75" customHeight="1">
      <c r="A985" s="35"/>
      <c r="B985" s="35"/>
      <c r="C985" s="35"/>
      <c r="D985" s="35"/>
      <c r="E985" s="35"/>
      <c r="F985" s="35"/>
      <c r="G985" s="35"/>
      <c r="H985" s="35"/>
      <c r="I985" s="35"/>
      <c r="J985" s="35"/>
      <c r="K985" s="35"/>
      <c r="L985" s="35"/>
      <c r="M985" s="35"/>
      <c r="N985" s="35"/>
      <c r="O985" s="35"/>
      <c r="P985" s="35"/>
      <c r="Q985" s="35"/>
      <c r="R985" s="35"/>
      <c r="S985" s="35"/>
      <c r="T985" s="35"/>
      <c r="U985" s="35"/>
      <c r="V985" s="35"/>
      <c r="W985" s="35"/>
      <c r="X985" s="35"/>
      <c r="Y985" s="35"/>
      <c r="Z985" s="35"/>
    </row>
    <row r="986" ht="12.75" customHeight="1">
      <c r="A986" s="35"/>
      <c r="B986" s="35"/>
      <c r="C986" s="35"/>
      <c r="D986" s="35"/>
      <c r="E986" s="35"/>
      <c r="F986" s="35"/>
      <c r="G986" s="35"/>
      <c r="H986" s="35"/>
      <c r="I986" s="35"/>
      <c r="J986" s="35"/>
      <c r="K986" s="35"/>
      <c r="L986" s="35"/>
      <c r="M986" s="35"/>
      <c r="N986" s="35"/>
      <c r="O986" s="35"/>
      <c r="P986" s="35"/>
      <c r="Q986" s="35"/>
      <c r="R986" s="35"/>
      <c r="S986" s="35"/>
      <c r="T986" s="35"/>
      <c r="U986" s="35"/>
      <c r="V986" s="35"/>
      <c r="W986" s="35"/>
      <c r="X986" s="35"/>
      <c r="Y986" s="35"/>
      <c r="Z986" s="35"/>
    </row>
    <row r="987" ht="12.75" customHeight="1">
      <c r="A987" s="35"/>
      <c r="B987" s="35"/>
      <c r="C987" s="35"/>
      <c r="D987" s="35"/>
      <c r="E987" s="35"/>
      <c r="F987" s="35"/>
      <c r="G987" s="35"/>
      <c r="H987" s="35"/>
      <c r="I987" s="35"/>
      <c r="J987" s="35"/>
      <c r="K987" s="35"/>
      <c r="L987" s="35"/>
      <c r="M987" s="35"/>
      <c r="N987" s="35"/>
      <c r="O987" s="35"/>
      <c r="P987" s="35"/>
      <c r="Q987" s="35"/>
      <c r="R987" s="35"/>
      <c r="S987" s="35"/>
      <c r="T987" s="35"/>
      <c r="U987" s="35"/>
      <c r="V987" s="35"/>
      <c r="W987" s="35"/>
      <c r="X987" s="35"/>
      <c r="Y987" s="35"/>
      <c r="Z987" s="35"/>
    </row>
    <row r="988" ht="12.75" customHeight="1">
      <c r="A988" s="35"/>
      <c r="B988" s="35"/>
      <c r="C988" s="35"/>
      <c r="D988" s="35"/>
      <c r="E988" s="35"/>
      <c r="F988" s="35"/>
      <c r="G988" s="35"/>
      <c r="H988" s="35"/>
      <c r="I988" s="35"/>
      <c r="J988" s="35"/>
      <c r="K988" s="35"/>
      <c r="L988" s="35"/>
      <c r="M988" s="35"/>
      <c r="N988" s="35"/>
      <c r="O988" s="35"/>
      <c r="P988" s="35"/>
      <c r="Q988" s="35"/>
      <c r="R988" s="35"/>
      <c r="S988" s="35"/>
      <c r="T988" s="35"/>
      <c r="U988" s="35"/>
      <c r="V988" s="35"/>
      <c r="W988" s="35"/>
      <c r="X988" s="35"/>
      <c r="Y988" s="35"/>
      <c r="Z988" s="35"/>
    </row>
    <row r="989" ht="12.75" customHeight="1">
      <c r="A989" s="35"/>
      <c r="B989" s="35"/>
      <c r="C989" s="35"/>
      <c r="D989" s="35"/>
      <c r="E989" s="35"/>
      <c r="F989" s="35"/>
      <c r="G989" s="35"/>
      <c r="H989" s="35"/>
      <c r="I989" s="35"/>
      <c r="J989" s="35"/>
      <c r="K989" s="35"/>
      <c r="L989" s="35"/>
      <c r="M989" s="35"/>
      <c r="N989" s="35"/>
      <c r="O989" s="35"/>
      <c r="P989" s="35"/>
      <c r="Q989" s="35"/>
      <c r="R989" s="35"/>
      <c r="S989" s="35"/>
      <c r="T989" s="35"/>
      <c r="U989" s="35"/>
      <c r="V989" s="35"/>
      <c r="W989" s="35"/>
      <c r="X989" s="35"/>
      <c r="Y989" s="35"/>
      <c r="Z989" s="35"/>
    </row>
    <row r="990" ht="12.75" customHeight="1">
      <c r="A990" s="35"/>
      <c r="B990" s="35"/>
      <c r="C990" s="35"/>
      <c r="D990" s="35"/>
      <c r="E990" s="35"/>
      <c r="F990" s="35"/>
      <c r="G990" s="35"/>
      <c r="H990" s="35"/>
      <c r="I990" s="35"/>
      <c r="J990" s="35"/>
      <c r="K990" s="35"/>
      <c r="L990" s="35"/>
      <c r="M990" s="35"/>
      <c r="N990" s="35"/>
      <c r="O990" s="35"/>
      <c r="P990" s="35"/>
      <c r="Q990" s="35"/>
      <c r="R990" s="35"/>
      <c r="S990" s="35"/>
      <c r="T990" s="35"/>
      <c r="U990" s="35"/>
      <c r="V990" s="35"/>
      <c r="W990" s="35"/>
      <c r="X990" s="35"/>
      <c r="Y990" s="35"/>
      <c r="Z990" s="35"/>
    </row>
    <row r="991" ht="12.75" customHeight="1">
      <c r="A991" s="35"/>
      <c r="B991" s="35"/>
      <c r="C991" s="35"/>
      <c r="D991" s="35"/>
      <c r="E991" s="35"/>
      <c r="F991" s="35"/>
      <c r="G991" s="35"/>
      <c r="H991" s="35"/>
      <c r="I991" s="35"/>
      <c r="J991" s="35"/>
      <c r="K991" s="35"/>
      <c r="L991" s="35"/>
      <c r="M991" s="35"/>
      <c r="N991" s="35"/>
      <c r="O991" s="35"/>
      <c r="P991" s="35"/>
      <c r="Q991" s="35"/>
      <c r="R991" s="35"/>
      <c r="S991" s="35"/>
      <c r="T991" s="35"/>
      <c r="U991" s="35"/>
      <c r="V991" s="35"/>
      <c r="W991" s="35"/>
      <c r="X991" s="35"/>
      <c r="Y991" s="35"/>
      <c r="Z991" s="35"/>
    </row>
    <row r="992" ht="12.75" customHeight="1">
      <c r="A992" s="35"/>
      <c r="B992" s="35"/>
      <c r="C992" s="35"/>
      <c r="D992" s="35"/>
      <c r="E992" s="35"/>
      <c r="F992" s="35"/>
      <c r="G992" s="35"/>
      <c r="H992" s="35"/>
      <c r="I992" s="35"/>
      <c r="J992" s="35"/>
      <c r="K992" s="35"/>
      <c r="L992" s="35"/>
      <c r="M992" s="35"/>
      <c r="N992" s="35"/>
      <c r="O992" s="35"/>
      <c r="P992" s="35"/>
      <c r="Q992" s="35"/>
      <c r="R992" s="35"/>
      <c r="S992" s="35"/>
      <c r="T992" s="35"/>
      <c r="U992" s="35"/>
      <c r="V992" s="35"/>
      <c r="W992" s="35"/>
      <c r="X992" s="35"/>
      <c r="Y992" s="35"/>
      <c r="Z992" s="35"/>
    </row>
    <row r="993" ht="12.75" customHeight="1">
      <c r="A993" s="35"/>
      <c r="B993" s="35"/>
      <c r="C993" s="35"/>
      <c r="D993" s="35"/>
      <c r="E993" s="35"/>
      <c r="F993" s="35"/>
      <c r="G993" s="35"/>
      <c r="H993" s="35"/>
      <c r="I993" s="35"/>
      <c r="J993" s="35"/>
      <c r="K993" s="35"/>
      <c r="L993" s="35"/>
      <c r="M993" s="35"/>
      <c r="N993" s="35"/>
      <c r="O993" s="35"/>
      <c r="P993" s="35"/>
      <c r="Q993" s="35"/>
      <c r="R993" s="35"/>
      <c r="S993" s="35"/>
      <c r="T993" s="35"/>
      <c r="U993" s="35"/>
      <c r="V993" s="35"/>
      <c r="W993" s="35"/>
      <c r="X993" s="35"/>
      <c r="Y993" s="35"/>
      <c r="Z993" s="35"/>
    </row>
    <row r="994" ht="12.75" customHeight="1">
      <c r="A994" s="35"/>
      <c r="B994" s="35"/>
      <c r="C994" s="35"/>
      <c r="D994" s="35"/>
      <c r="E994" s="35"/>
      <c r="F994" s="35"/>
      <c r="G994" s="35"/>
      <c r="H994" s="35"/>
      <c r="I994" s="35"/>
      <c r="J994" s="35"/>
      <c r="K994" s="35"/>
      <c r="L994" s="35"/>
      <c r="M994" s="35"/>
      <c r="N994" s="35"/>
      <c r="O994" s="35"/>
      <c r="P994" s="35"/>
      <c r="Q994" s="35"/>
      <c r="R994" s="35"/>
      <c r="S994" s="35"/>
      <c r="T994" s="35"/>
      <c r="U994" s="35"/>
      <c r="V994" s="35"/>
      <c r="W994" s="35"/>
      <c r="X994" s="35"/>
      <c r="Y994" s="35"/>
      <c r="Z994" s="35"/>
    </row>
    <row r="995" ht="12.75" customHeight="1">
      <c r="A995" s="35"/>
      <c r="B995" s="35"/>
      <c r="C995" s="35"/>
      <c r="D995" s="35"/>
      <c r="E995" s="35"/>
      <c r="F995" s="35"/>
      <c r="G995" s="35"/>
      <c r="H995" s="35"/>
      <c r="I995" s="35"/>
      <c r="J995" s="35"/>
      <c r="K995" s="35"/>
      <c r="L995" s="35"/>
      <c r="M995" s="35"/>
      <c r="N995" s="35"/>
      <c r="O995" s="35"/>
      <c r="P995" s="35"/>
      <c r="Q995" s="35"/>
      <c r="R995" s="35"/>
      <c r="S995" s="35"/>
      <c r="T995" s="35"/>
      <c r="U995" s="35"/>
      <c r="V995" s="35"/>
      <c r="W995" s="35"/>
      <c r="X995" s="35"/>
      <c r="Y995" s="35"/>
      <c r="Z995" s="35"/>
    </row>
    <row r="996" ht="12.75" customHeight="1">
      <c r="A996" s="35"/>
      <c r="B996" s="35"/>
      <c r="C996" s="35"/>
      <c r="D996" s="35"/>
      <c r="E996" s="35"/>
      <c r="F996" s="35"/>
      <c r="G996" s="35"/>
      <c r="H996" s="35"/>
      <c r="I996" s="35"/>
      <c r="J996" s="35"/>
      <c r="K996" s="35"/>
      <c r="L996" s="35"/>
      <c r="M996" s="35"/>
      <c r="N996" s="35"/>
      <c r="O996" s="35"/>
      <c r="P996" s="35"/>
      <c r="Q996" s="35"/>
      <c r="R996" s="35"/>
      <c r="S996" s="35"/>
      <c r="T996" s="35"/>
      <c r="U996" s="35"/>
      <c r="V996" s="35"/>
      <c r="W996" s="35"/>
      <c r="X996" s="35"/>
      <c r="Y996" s="35"/>
      <c r="Z996" s="35"/>
    </row>
    <row r="997" ht="12.75" customHeight="1">
      <c r="A997" s="35"/>
      <c r="B997" s="35"/>
      <c r="C997" s="35"/>
      <c r="D997" s="35"/>
      <c r="E997" s="35"/>
      <c r="F997" s="35"/>
      <c r="G997" s="35"/>
      <c r="H997" s="35"/>
      <c r="I997" s="35"/>
      <c r="J997" s="35"/>
      <c r="K997" s="35"/>
      <c r="L997" s="35"/>
      <c r="M997" s="35"/>
      <c r="N997" s="35"/>
      <c r="O997" s="35"/>
      <c r="P997" s="35"/>
      <c r="Q997" s="35"/>
      <c r="R997" s="35"/>
      <c r="S997" s="35"/>
      <c r="T997" s="35"/>
      <c r="U997" s="35"/>
      <c r="V997" s="35"/>
      <c r="W997" s="35"/>
      <c r="X997" s="35"/>
      <c r="Y997" s="35"/>
      <c r="Z997" s="35"/>
    </row>
    <row r="998" ht="12.75" customHeight="1">
      <c r="A998" s="35"/>
      <c r="B998" s="35"/>
      <c r="C998" s="35"/>
      <c r="D998" s="35"/>
      <c r="E998" s="35"/>
      <c r="F998" s="35"/>
      <c r="G998" s="35"/>
      <c r="H998" s="35"/>
      <c r="I998" s="35"/>
      <c r="J998" s="35"/>
      <c r="K998" s="35"/>
      <c r="L998" s="35"/>
      <c r="M998" s="35"/>
      <c r="N998" s="35"/>
      <c r="O998" s="35"/>
      <c r="P998" s="35"/>
      <c r="Q998" s="35"/>
      <c r="R998" s="35"/>
      <c r="S998" s="35"/>
      <c r="T998" s="35"/>
      <c r="U998" s="35"/>
      <c r="V998" s="35"/>
      <c r="W998" s="35"/>
      <c r="X998" s="35"/>
      <c r="Y998" s="35"/>
      <c r="Z998" s="35"/>
    </row>
    <row r="999" ht="12.75" customHeight="1">
      <c r="A999" s="35"/>
      <c r="B999" s="35"/>
      <c r="C999" s="35"/>
      <c r="D999" s="35"/>
      <c r="E999" s="35"/>
      <c r="F999" s="35"/>
      <c r="G999" s="35"/>
      <c r="H999" s="35"/>
      <c r="I999" s="35"/>
      <c r="J999" s="35"/>
      <c r="K999" s="35"/>
      <c r="L999" s="35"/>
      <c r="M999" s="35"/>
      <c r="N999" s="35"/>
      <c r="O999" s="35"/>
      <c r="P999" s="35"/>
      <c r="Q999" s="35"/>
      <c r="R999" s="35"/>
      <c r="S999" s="35"/>
      <c r="T999" s="35"/>
      <c r="U999" s="35"/>
      <c r="V999" s="35"/>
      <c r="W999" s="35"/>
      <c r="X999" s="35"/>
      <c r="Y999" s="35"/>
      <c r="Z999" s="35"/>
    </row>
    <row r="1000" ht="12.75" customHeight="1">
      <c r="A1000" s="35"/>
      <c r="B1000" s="35"/>
      <c r="C1000" s="35"/>
      <c r="D1000" s="35"/>
      <c r="E1000" s="35"/>
      <c r="F1000" s="35"/>
      <c r="G1000" s="35"/>
      <c r="H1000" s="35"/>
      <c r="I1000" s="35"/>
      <c r="J1000" s="35"/>
      <c r="K1000" s="35"/>
      <c r="L1000" s="35"/>
      <c r="M1000" s="35"/>
      <c r="N1000" s="35"/>
      <c r="O1000" s="35"/>
      <c r="P1000" s="35"/>
      <c r="Q1000" s="35"/>
      <c r="R1000" s="35"/>
      <c r="S1000" s="35"/>
      <c r="T1000" s="35"/>
      <c r="U1000" s="35"/>
      <c r="V1000" s="35"/>
      <c r="W1000" s="35"/>
      <c r="X1000" s="35"/>
      <c r="Y1000" s="35"/>
      <c r="Z1000" s="35"/>
    </row>
  </sheetData>
  <autoFilter ref="$A$16:$N$35"/>
  <mergeCells count="3">
    <mergeCell ref="A2:N2"/>
    <mergeCell ref="A3:N3"/>
    <mergeCell ref="A4:N4"/>
  </mergeCells>
  <printOptions/>
  <pageMargins bottom="0.75" footer="0.0" header="0.0" left="0.7" right="0.7" top="0.75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workbookViewId="0"/>
  </sheetViews>
  <sheetFormatPr customHeight="1" defaultColWidth="14.43" defaultRowHeight="15.0"/>
  <cols>
    <col customWidth="1" min="1" max="1" width="5.29"/>
    <col customWidth="1" min="2" max="2" width="39.86"/>
    <col customWidth="1" min="3" max="3" width="25.29"/>
    <col customWidth="1" min="4" max="4" width="11.86"/>
    <col customWidth="1" min="5" max="5" width="9.14"/>
    <col customWidth="1" min="6" max="6" width="22.57"/>
    <col customWidth="1" min="7" max="7" width="30.29"/>
    <col customWidth="1" min="8" max="8" width="8.71"/>
    <col customWidth="1" min="9" max="9" width="11.0"/>
    <col customWidth="1" min="10" max="11" width="24.29"/>
    <col customWidth="1" min="12" max="12" width="17.43"/>
    <col customWidth="1" min="13" max="13" width="38.57"/>
    <col customWidth="1" min="14" max="14" width="12.71"/>
    <col customWidth="1" min="15" max="15" width="11.29"/>
    <col customWidth="1" min="16" max="16" width="20.14"/>
    <col customWidth="1" min="17" max="27" width="8.71"/>
  </cols>
  <sheetData>
    <row r="1" ht="14.25" customHeight="1"/>
    <row r="2" ht="14.25" customHeight="1"/>
    <row r="3" ht="14.25" customHeight="1">
      <c r="A3" s="1" t="s">
        <v>0</v>
      </c>
    </row>
    <row r="4" ht="14.25" customHeight="1">
      <c r="A4" s="1" t="s">
        <v>1</v>
      </c>
    </row>
    <row r="5" ht="14.25" customHeight="1"/>
    <row r="6" ht="14.25" customHeight="1"/>
    <row r="7" ht="14.25" customHeight="1">
      <c r="A7" s="2" t="s">
        <v>2</v>
      </c>
      <c r="C7" s="2" t="s">
        <v>3</v>
      </c>
    </row>
    <row r="8" ht="14.25" customHeight="1">
      <c r="A8" s="2" t="s">
        <v>4</v>
      </c>
      <c r="C8" s="2" t="s">
        <v>5</v>
      </c>
    </row>
    <row r="9" ht="14.25" customHeight="1">
      <c r="A9" s="2" t="s">
        <v>6</v>
      </c>
      <c r="C9" s="2" t="s">
        <v>4828</v>
      </c>
    </row>
    <row r="10" ht="14.25" customHeight="1">
      <c r="A10" s="169" t="s">
        <v>8</v>
      </c>
      <c r="B10" s="170" t="s">
        <v>9</v>
      </c>
      <c r="C10" s="170" t="s">
        <v>10</v>
      </c>
      <c r="D10" s="170" t="s">
        <v>11</v>
      </c>
      <c r="E10" s="170" t="s">
        <v>12</v>
      </c>
      <c r="F10" s="170" t="s">
        <v>13</v>
      </c>
      <c r="G10" s="170" t="s">
        <v>14</v>
      </c>
      <c r="H10" s="170" t="s">
        <v>15</v>
      </c>
      <c r="I10" s="170" t="s">
        <v>16</v>
      </c>
      <c r="J10" s="170" t="s">
        <v>17</v>
      </c>
      <c r="K10" s="246" t="s">
        <v>766</v>
      </c>
      <c r="L10" s="170" t="s">
        <v>1882</v>
      </c>
      <c r="M10" s="171" t="s">
        <v>20</v>
      </c>
      <c r="N10" s="170" t="s">
        <v>1883</v>
      </c>
      <c r="O10" s="170" t="s">
        <v>3232</v>
      </c>
      <c r="P10" s="377"/>
      <c r="Q10" s="377"/>
    </row>
    <row r="11" ht="14.25" customHeight="1">
      <c r="A11" s="426"/>
      <c r="B11" s="317" t="s">
        <v>1884</v>
      </c>
      <c r="C11" s="317"/>
      <c r="D11" s="317"/>
      <c r="E11" s="317"/>
      <c r="F11" s="427">
        <f>SUM(F12:F16)</f>
        <v>1340583000</v>
      </c>
      <c r="G11" s="317"/>
      <c r="H11" s="317"/>
      <c r="I11" s="317"/>
      <c r="J11" s="317"/>
      <c r="K11" s="317"/>
      <c r="L11" s="317"/>
      <c r="M11" s="428"/>
      <c r="N11" s="381"/>
      <c r="O11" s="381"/>
      <c r="P11" s="321"/>
      <c r="Q11" s="321"/>
    </row>
    <row r="12" ht="14.25" customHeight="1">
      <c r="A12" s="253">
        <v>1.0</v>
      </c>
      <c r="B12" s="175" t="s">
        <v>1885</v>
      </c>
      <c r="C12" s="175" t="s">
        <v>908</v>
      </c>
      <c r="D12" s="175" t="s">
        <v>4829</v>
      </c>
      <c r="E12" s="175" t="s">
        <v>70</v>
      </c>
      <c r="F12" s="177">
        <v>1.1E8</v>
      </c>
      <c r="G12" s="175" t="s">
        <v>4830</v>
      </c>
      <c r="H12" s="175" t="s">
        <v>788</v>
      </c>
      <c r="I12" s="175" t="s">
        <v>4831</v>
      </c>
      <c r="J12" s="175" t="s">
        <v>4832</v>
      </c>
      <c r="K12" s="178" t="s">
        <v>4833</v>
      </c>
      <c r="L12" s="17" t="s">
        <v>4834</v>
      </c>
      <c r="M12" s="391" t="s">
        <v>4835</v>
      </c>
      <c r="N12" s="175" t="s">
        <v>4836</v>
      </c>
      <c r="O12" s="175"/>
      <c r="P12" s="321"/>
      <c r="Q12" s="321"/>
    </row>
    <row r="13" ht="14.25" customHeight="1">
      <c r="A13" s="253">
        <v>2.0</v>
      </c>
      <c r="B13" s="175" t="s">
        <v>1926</v>
      </c>
      <c r="C13" s="175" t="s">
        <v>4402</v>
      </c>
      <c r="D13" s="175" t="s">
        <v>4829</v>
      </c>
      <c r="E13" s="175" t="s">
        <v>70</v>
      </c>
      <c r="F13" s="177">
        <v>2.88E8</v>
      </c>
      <c r="G13" s="175" t="s">
        <v>4837</v>
      </c>
      <c r="H13" s="175" t="s">
        <v>391</v>
      </c>
      <c r="I13" s="178" t="s">
        <v>4838</v>
      </c>
      <c r="J13" s="175" t="s">
        <v>4839</v>
      </c>
      <c r="K13" s="178" t="s">
        <v>4840</v>
      </c>
      <c r="L13" s="17" t="s">
        <v>4841</v>
      </c>
      <c r="M13" s="684" t="s">
        <v>2368</v>
      </c>
      <c r="N13" s="685" t="s">
        <v>4842</v>
      </c>
      <c r="O13" s="175"/>
      <c r="P13" s="320" t="s">
        <v>3238</v>
      </c>
      <c r="Q13" s="320">
        <v>4.0</v>
      </c>
    </row>
    <row r="14" ht="14.25" customHeight="1">
      <c r="A14" s="253">
        <v>3.0</v>
      </c>
      <c r="B14" s="175" t="s">
        <v>1926</v>
      </c>
      <c r="C14" s="175" t="s">
        <v>4843</v>
      </c>
      <c r="D14" s="175" t="s">
        <v>4829</v>
      </c>
      <c r="E14" s="175" t="s">
        <v>70</v>
      </c>
      <c r="F14" s="177">
        <v>2.8563E8</v>
      </c>
      <c r="G14" s="175" t="s">
        <v>4844</v>
      </c>
      <c r="H14" s="175" t="s">
        <v>92</v>
      </c>
      <c r="I14" s="178" t="s">
        <v>4845</v>
      </c>
      <c r="J14" s="178" t="s">
        <v>4846</v>
      </c>
      <c r="K14" s="178" t="s">
        <v>4847</v>
      </c>
      <c r="L14" s="17" t="s">
        <v>4848</v>
      </c>
      <c r="M14" s="391"/>
      <c r="N14" s="15" t="s">
        <v>4849</v>
      </c>
      <c r="O14" s="175"/>
      <c r="P14" s="321"/>
      <c r="Q14" s="321"/>
    </row>
    <row r="15" ht="14.25" customHeight="1">
      <c r="A15" s="253">
        <v>4.0</v>
      </c>
      <c r="B15" s="175" t="s">
        <v>1885</v>
      </c>
      <c r="C15" s="175" t="s">
        <v>4843</v>
      </c>
      <c r="D15" s="175" t="s">
        <v>4829</v>
      </c>
      <c r="E15" s="175" t="s">
        <v>70</v>
      </c>
      <c r="F15" s="177">
        <v>2.03753E8</v>
      </c>
      <c r="G15" s="175" t="s">
        <v>4850</v>
      </c>
      <c r="H15" s="175" t="s">
        <v>58</v>
      </c>
      <c r="I15" s="178" t="s">
        <v>4851</v>
      </c>
      <c r="J15" s="178" t="s">
        <v>4852</v>
      </c>
      <c r="K15" s="178" t="s">
        <v>4853</v>
      </c>
      <c r="L15" s="17" t="s">
        <v>4854</v>
      </c>
      <c r="M15" s="391"/>
      <c r="N15" s="15" t="s">
        <v>4855</v>
      </c>
      <c r="O15" s="175"/>
      <c r="P15" s="321"/>
      <c r="Q15" s="321"/>
    </row>
    <row r="16" ht="14.25" customHeight="1">
      <c r="A16" s="253">
        <v>5.0</v>
      </c>
      <c r="B16" s="175" t="s">
        <v>1885</v>
      </c>
      <c r="C16" s="175" t="s">
        <v>4843</v>
      </c>
      <c r="D16" s="175" t="s">
        <v>4829</v>
      </c>
      <c r="E16" s="175" t="s">
        <v>70</v>
      </c>
      <c r="F16" s="177">
        <v>4.532E8</v>
      </c>
      <c r="G16" s="178" t="s">
        <v>4856</v>
      </c>
      <c r="H16" s="178">
        <v>2016.0</v>
      </c>
      <c r="I16" s="178" t="s">
        <v>4857</v>
      </c>
      <c r="J16" s="178" t="s">
        <v>4858</v>
      </c>
      <c r="K16" s="178" t="s">
        <v>4859</v>
      </c>
      <c r="L16" s="17" t="s">
        <v>4860</v>
      </c>
      <c r="M16" s="686" t="s">
        <v>2638</v>
      </c>
      <c r="N16" s="15" t="s">
        <v>4861</v>
      </c>
      <c r="O16" s="175"/>
      <c r="P16" s="321"/>
      <c r="Q16" s="321"/>
    </row>
    <row r="17" ht="14.25" customHeight="1">
      <c r="A17" s="426"/>
      <c r="B17" s="317" t="s">
        <v>99</v>
      </c>
      <c r="C17" s="317"/>
      <c r="D17" s="317"/>
      <c r="E17" s="317"/>
      <c r="F17" s="427">
        <f>SUM(F18:F110)</f>
        <v>1519052800</v>
      </c>
      <c r="G17" s="317"/>
      <c r="H17" s="317"/>
      <c r="I17" s="317"/>
      <c r="J17" s="317"/>
      <c r="K17" s="317"/>
      <c r="L17" s="317"/>
      <c r="M17" s="428"/>
      <c r="N17" s="175"/>
      <c r="O17" s="175"/>
      <c r="P17" s="321"/>
      <c r="Q17" s="321"/>
    </row>
    <row r="18" ht="14.25" customHeight="1">
      <c r="A18" s="253">
        <v>5.0</v>
      </c>
      <c r="B18" s="175" t="s">
        <v>100</v>
      </c>
      <c r="C18" s="175" t="s">
        <v>100</v>
      </c>
      <c r="D18" s="175" t="s">
        <v>4829</v>
      </c>
      <c r="E18" s="175" t="s">
        <v>70</v>
      </c>
      <c r="F18" s="177">
        <v>1.515E7</v>
      </c>
      <c r="G18" s="175" t="s">
        <v>2641</v>
      </c>
      <c r="H18" s="15" t="s">
        <v>948</v>
      </c>
      <c r="I18" s="15" t="s">
        <v>4862</v>
      </c>
      <c r="J18" s="175" t="s">
        <v>4863</v>
      </c>
      <c r="K18" s="175"/>
      <c r="L18" s="175" t="s">
        <v>4864</v>
      </c>
      <c r="M18" s="391" t="s">
        <v>4865</v>
      </c>
      <c r="N18" s="178" t="s">
        <v>4866</v>
      </c>
      <c r="O18" s="175"/>
      <c r="P18" s="321"/>
      <c r="Q18" s="321"/>
    </row>
    <row r="19" ht="14.25" customHeight="1">
      <c r="A19" s="253">
        <v>6.0</v>
      </c>
      <c r="B19" s="175" t="s">
        <v>100</v>
      </c>
      <c r="C19" s="175" t="s">
        <v>100</v>
      </c>
      <c r="D19" s="175" t="s">
        <v>4829</v>
      </c>
      <c r="E19" s="175" t="s">
        <v>70</v>
      </c>
      <c r="F19" s="177">
        <v>1.515E7</v>
      </c>
      <c r="G19" s="175" t="s">
        <v>2641</v>
      </c>
      <c r="H19" s="175" t="s">
        <v>948</v>
      </c>
      <c r="I19" s="175" t="s">
        <v>4867</v>
      </c>
      <c r="J19" s="175" t="s">
        <v>4868</v>
      </c>
      <c r="K19" s="175"/>
      <c r="L19" s="175" t="s">
        <v>4869</v>
      </c>
      <c r="M19" s="391" t="s">
        <v>4865</v>
      </c>
      <c r="N19" s="175" t="s">
        <v>4870</v>
      </c>
      <c r="O19" s="175"/>
    </row>
    <row r="20" ht="14.25" customHeight="1">
      <c r="A20" s="253">
        <v>7.0</v>
      </c>
      <c r="B20" s="175" t="s">
        <v>100</v>
      </c>
      <c r="C20" s="175" t="s">
        <v>100</v>
      </c>
      <c r="D20" s="175" t="s">
        <v>4829</v>
      </c>
      <c r="E20" s="175" t="s">
        <v>70</v>
      </c>
      <c r="F20" s="177">
        <v>1.515E7</v>
      </c>
      <c r="G20" s="175" t="s">
        <v>2641</v>
      </c>
      <c r="H20" s="15" t="s">
        <v>948</v>
      </c>
      <c r="I20" s="15" t="s">
        <v>4871</v>
      </c>
      <c r="J20" s="175" t="s">
        <v>4872</v>
      </c>
      <c r="K20" s="178" t="s">
        <v>4873</v>
      </c>
      <c r="L20" s="175" t="s">
        <v>4874</v>
      </c>
      <c r="M20" s="391" t="s">
        <v>4865</v>
      </c>
      <c r="N20" s="178" t="s">
        <v>4875</v>
      </c>
      <c r="O20" s="175"/>
      <c r="P20" s="687" t="s">
        <v>4876</v>
      </c>
      <c r="Q20" s="687" t="s">
        <v>931</v>
      </c>
    </row>
    <row r="21" ht="14.25" customHeight="1">
      <c r="A21" s="253">
        <v>8.0</v>
      </c>
      <c r="B21" s="175" t="s">
        <v>100</v>
      </c>
      <c r="C21" s="175" t="s">
        <v>100</v>
      </c>
      <c r="D21" s="175" t="s">
        <v>4829</v>
      </c>
      <c r="E21" s="175" t="s">
        <v>70</v>
      </c>
      <c r="F21" s="177">
        <v>1.515E7</v>
      </c>
      <c r="G21" s="175" t="s">
        <v>2641</v>
      </c>
      <c r="H21" s="15" t="s">
        <v>948</v>
      </c>
      <c r="I21" s="15" t="s">
        <v>4877</v>
      </c>
      <c r="J21" s="175" t="s">
        <v>4878</v>
      </c>
      <c r="K21" s="175"/>
      <c r="L21" s="175" t="s">
        <v>4879</v>
      </c>
      <c r="M21" s="391" t="s">
        <v>4865</v>
      </c>
      <c r="N21" s="178" t="s">
        <v>4880</v>
      </c>
      <c r="O21" s="175"/>
      <c r="P21" s="321"/>
      <c r="Q21" s="321"/>
    </row>
    <row r="22" ht="14.25" customHeight="1">
      <c r="A22" s="253">
        <v>9.0</v>
      </c>
      <c r="B22" s="175" t="s">
        <v>100</v>
      </c>
      <c r="C22" s="175" t="s">
        <v>100</v>
      </c>
      <c r="D22" s="175" t="s">
        <v>4829</v>
      </c>
      <c r="E22" s="175" t="s">
        <v>70</v>
      </c>
      <c r="F22" s="177">
        <v>1.515E7</v>
      </c>
      <c r="G22" s="175" t="s">
        <v>2641</v>
      </c>
      <c r="H22" s="175" t="s">
        <v>948</v>
      </c>
      <c r="I22" s="175" t="s">
        <v>4881</v>
      </c>
      <c r="J22" s="175" t="s">
        <v>4882</v>
      </c>
      <c r="K22" s="175"/>
      <c r="L22" s="175" t="s">
        <v>4883</v>
      </c>
      <c r="M22" s="391" t="s">
        <v>4865</v>
      </c>
      <c r="N22" s="175" t="s">
        <v>4884</v>
      </c>
      <c r="O22" s="175"/>
      <c r="P22" s="321"/>
      <c r="Q22" s="321"/>
    </row>
    <row r="23" ht="14.25" customHeight="1">
      <c r="A23" s="253">
        <v>10.0</v>
      </c>
      <c r="B23" s="175" t="s">
        <v>100</v>
      </c>
      <c r="C23" s="175" t="s">
        <v>100</v>
      </c>
      <c r="D23" s="175" t="s">
        <v>4829</v>
      </c>
      <c r="E23" s="175" t="s">
        <v>70</v>
      </c>
      <c r="F23" s="177">
        <v>1.515E7</v>
      </c>
      <c r="G23" s="175" t="s">
        <v>2641</v>
      </c>
      <c r="H23" s="15" t="s">
        <v>948</v>
      </c>
      <c r="I23" s="15" t="s">
        <v>4885</v>
      </c>
      <c r="J23" s="175" t="s">
        <v>4886</v>
      </c>
      <c r="K23" s="175"/>
      <c r="L23" s="175" t="s">
        <v>4887</v>
      </c>
      <c r="M23" s="391" t="s">
        <v>4865</v>
      </c>
      <c r="N23" s="178" t="s">
        <v>4888</v>
      </c>
      <c r="O23" s="175"/>
      <c r="P23" s="321"/>
      <c r="Q23" s="321"/>
    </row>
    <row r="24" ht="14.25" customHeight="1">
      <c r="A24" s="253">
        <v>11.0</v>
      </c>
      <c r="B24" s="175" t="s">
        <v>100</v>
      </c>
      <c r="C24" s="175" t="s">
        <v>100</v>
      </c>
      <c r="D24" s="175" t="s">
        <v>4829</v>
      </c>
      <c r="E24" s="175" t="s">
        <v>70</v>
      </c>
      <c r="F24" s="177">
        <v>1.65E7</v>
      </c>
      <c r="G24" s="175" t="s">
        <v>2641</v>
      </c>
      <c r="H24" s="175" t="s">
        <v>37</v>
      </c>
      <c r="I24" s="175" t="s">
        <v>4889</v>
      </c>
      <c r="J24" s="175" t="s">
        <v>4890</v>
      </c>
      <c r="K24" s="175"/>
      <c r="L24" s="175" t="s">
        <v>4891</v>
      </c>
      <c r="M24" s="391" t="s">
        <v>4865</v>
      </c>
      <c r="N24" s="175" t="s">
        <v>2985</v>
      </c>
      <c r="O24" s="175" t="s">
        <v>4892</v>
      </c>
      <c r="P24" s="321"/>
      <c r="Q24" s="321"/>
    </row>
    <row r="25" ht="14.25" customHeight="1">
      <c r="A25" s="253">
        <v>12.0</v>
      </c>
      <c r="B25" s="175" t="s">
        <v>100</v>
      </c>
      <c r="C25" s="175" t="s">
        <v>100</v>
      </c>
      <c r="D25" s="175" t="s">
        <v>4829</v>
      </c>
      <c r="E25" s="175" t="s">
        <v>70</v>
      </c>
      <c r="F25" s="177">
        <v>1.65E7</v>
      </c>
      <c r="G25" s="175" t="s">
        <v>2641</v>
      </c>
      <c r="H25" s="175" t="s">
        <v>37</v>
      </c>
      <c r="I25" s="175" t="s">
        <v>4893</v>
      </c>
      <c r="J25" s="175" t="s">
        <v>4894</v>
      </c>
      <c r="K25" s="175"/>
      <c r="L25" s="175" t="s">
        <v>4895</v>
      </c>
      <c r="M25" s="391" t="s">
        <v>4865</v>
      </c>
      <c r="N25" s="175" t="s">
        <v>2985</v>
      </c>
      <c r="O25" s="175" t="s">
        <v>4892</v>
      </c>
      <c r="P25" s="321"/>
      <c r="Q25" s="321"/>
    </row>
    <row r="26" ht="14.25" customHeight="1">
      <c r="A26" s="253">
        <v>13.0</v>
      </c>
      <c r="B26" s="175" t="s">
        <v>100</v>
      </c>
      <c r="C26" s="175" t="s">
        <v>100</v>
      </c>
      <c r="D26" s="175" t="s">
        <v>4829</v>
      </c>
      <c r="E26" s="175" t="s">
        <v>70</v>
      </c>
      <c r="F26" s="177">
        <v>1.65E7</v>
      </c>
      <c r="G26" s="175" t="s">
        <v>2641</v>
      </c>
      <c r="H26" s="175" t="s">
        <v>37</v>
      </c>
      <c r="I26" s="175" t="s">
        <v>4896</v>
      </c>
      <c r="J26" s="175" t="s">
        <v>4897</v>
      </c>
      <c r="K26" s="175"/>
      <c r="L26" s="175" t="s">
        <v>4898</v>
      </c>
      <c r="M26" s="391" t="s">
        <v>4865</v>
      </c>
      <c r="N26" s="175" t="s">
        <v>4899</v>
      </c>
      <c r="O26" s="175"/>
      <c r="P26" s="321"/>
      <c r="Q26" s="321"/>
    </row>
    <row r="27" ht="14.25" customHeight="1">
      <c r="A27" s="253">
        <v>14.0</v>
      </c>
      <c r="B27" s="175" t="s">
        <v>100</v>
      </c>
      <c r="C27" s="175" t="s">
        <v>100</v>
      </c>
      <c r="D27" s="175" t="s">
        <v>4829</v>
      </c>
      <c r="E27" s="175" t="s">
        <v>70</v>
      </c>
      <c r="F27" s="177">
        <v>1.65E7</v>
      </c>
      <c r="G27" s="175" t="s">
        <v>2641</v>
      </c>
      <c r="H27" s="15" t="s">
        <v>37</v>
      </c>
      <c r="I27" s="15" t="s">
        <v>4900</v>
      </c>
      <c r="J27" s="175" t="s">
        <v>4901</v>
      </c>
      <c r="K27" s="175"/>
      <c r="L27" s="175" t="s">
        <v>4902</v>
      </c>
      <c r="M27" s="391" t="s">
        <v>4865</v>
      </c>
      <c r="N27" s="175" t="s">
        <v>4903</v>
      </c>
      <c r="O27" s="175"/>
      <c r="P27" s="321"/>
      <c r="Q27" s="321"/>
    </row>
    <row r="28" ht="14.25" customHeight="1">
      <c r="A28" s="253">
        <v>15.0</v>
      </c>
      <c r="B28" s="175" t="s">
        <v>100</v>
      </c>
      <c r="C28" s="175" t="s">
        <v>100</v>
      </c>
      <c r="D28" s="175" t="s">
        <v>4829</v>
      </c>
      <c r="E28" s="175" t="s">
        <v>70</v>
      </c>
      <c r="F28" s="177">
        <v>1.65E7</v>
      </c>
      <c r="G28" s="175" t="s">
        <v>2641</v>
      </c>
      <c r="H28" s="688" t="s">
        <v>37</v>
      </c>
      <c r="I28" s="688" t="s">
        <v>4904</v>
      </c>
      <c r="J28" s="175" t="s">
        <v>4905</v>
      </c>
      <c r="K28" s="175"/>
      <c r="L28" s="175" t="s">
        <v>4906</v>
      </c>
      <c r="M28" s="391" t="s">
        <v>4865</v>
      </c>
      <c r="N28" s="178" t="s">
        <v>4907</v>
      </c>
      <c r="O28" s="175"/>
      <c r="P28" s="321"/>
      <c r="Q28" s="321"/>
    </row>
    <row r="29" ht="14.25" customHeight="1">
      <c r="A29" s="253">
        <v>16.0</v>
      </c>
      <c r="B29" s="175" t="s">
        <v>100</v>
      </c>
      <c r="C29" s="175" t="s">
        <v>100</v>
      </c>
      <c r="D29" s="175" t="s">
        <v>4829</v>
      </c>
      <c r="E29" s="175" t="s">
        <v>70</v>
      </c>
      <c r="F29" s="177">
        <v>1.65E7</v>
      </c>
      <c r="G29" s="175" t="s">
        <v>2641</v>
      </c>
      <c r="H29" s="175" t="s">
        <v>37</v>
      </c>
      <c r="I29" s="175" t="s">
        <v>4908</v>
      </c>
      <c r="J29" s="175" t="s">
        <v>4909</v>
      </c>
      <c r="K29" s="175"/>
      <c r="L29" s="175" t="s">
        <v>4910</v>
      </c>
      <c r="M29" s="391" t="s">
        <v>4865</v>
      </c>
      <c r="N29" s="175" t="s">
        <v>4911</v>
      </c>
      <c r="O29" s="175"/>
      <c r="P29" s="321"/>
      <c r="Q29" s="321"/>
    </row>
    <row r="30" ht="14.25" customHeight="1">
      <c r="A30" s="253">
        <v>17.0</v>
      </c>
      <c r="B30" s="175" t="s">
        <v>100</v>
      </c>
      <c r="C30" s="175" t="s">
        <v>100</v>
      </c>
      <c r="D30" s="175" t="s">
        <v>4829</v>
      </c>
      <c r="E30" s="175" t="s">
        <v>70</v>
      </c>
      <c r="F30" s="177">
        <v>1.65E7</v>
      </c>
      <c r="G30" s="175" t="s">
        <v>2641</v>
      </c>
      <c r="H30" s="175" t="s">
        <v>37</v>
      </c>
      <c r="I30" s="175" t="s">
        <v>4912</v>
      </c>
      <c r="J30" s="175" t="s">
        <v>4913</v>
      </c>
      <c r="K30" s="175"/>
      <c r="L30" s="175" t="s">
        <v>4914</v>
      </c>
      <c r="M30" s="391" t="s">
        <v>4865</v>
      </c>
      <c r="N30" s="175" t="s">
        <v>2985</v>
      </c>
      <c r="O30" s="175" t="s">
        <v>4892</v>
      </c>
      <c r="P30" s="321"/>
      <c r="Q30" s="321"/>
    </row>
    <row r="31" ht="14.25" customHeight="1">
      <c r="A31" s="253">
        <v>18.0</v>
      </c>
      <c r="B31" s="175" t="s">
        <v>100</v>
      </c>
      <c r="C31" s="175" t="s">
        <v>100</v>
      </c>
      <c r="D31" s="175" t="s">
        <v>4829</v>
      </c>
      <c r="E31" s="175" t="s">
        <v>70</v>
      </c>
      <c r="F31" s="177">
        <v>1.65E7</v>
      </c>
      <c r="G31" s="175" t="s">
        <v>2641</v>
      </c>
      <c r="H31" s="15" t="s">
        <v>37</v>
      </c>
      <c r="I31" s="175" t="s">
        <v>4915</v>
      </c>
      <c r="J31" s="175" t="s">
        <v>4916</v>
      </c>
      <c r="K31" s="175"/>
      <c r="L31" s="175" t="s">
        <v>4917</v>
      </c>
      <c r="M31" s="391" t="s">
        <v>4865</v>
      </c>
      <c r="N31" s="175" t="s">
        <v>4918</v>
      </c>
      <c r="O31" s="175"/>
      <c r="P31" s="321"/>
      <c r="Q31" s="321"/>
    </row>
    <row r="32" ht="14.25" customHeight="1">
      <c r="A32" s="253">
        <v>19.0</v>
      </c>
      <c r="B32" s="175" t="s">
        <v>100</v>
      </c>
      <c r="C32" s="175" t="s">
        <v>100</v>
      </c>
      <c r="D32" s="175" t="s">
        <v>4829</v>
      </c>
      <c r="E32" s="175" t="s">
        <v>70</v>
      </c>
      <c r="F32" s="177">
        <v>1.65E7</v>
      </c>
      <c r="G32" s="175" t="s">
        <v>2641</v>
      </c>
      <c r="H32" s="175" t="s">
        <v>37</v>
      </c>
      <c r="I32" s="175" t="s">
        <v>4919</v>
      </c>
      <c r="J32" s="175" t="s">
        <v>4920</v>
      </c>
      <c r="K32" s="175"/>
      <c r="L32" s="175" t="s">
        <v>4921</v>
      </c>
      <c r="M32" s="391" t="s">
        <v>4865</v>
      </c>
      <c r="N32" s="175" t="s">
        <v>4922</v>
      </c>
      <c r="O32" s="175"/>
      <c r="P32" s="321"/>
      <c r="Q32" s="321"/>
    </row>
    <row r="33" ht="14.25" customHeight="1">
      <c r="A33" s="253">
        <v>20.0</v>
      </c>
      <c r="B33" s="175" t="s">
        <v>100</v>
      </c>
      <c r="C33" s="175" t="s">
        <v>100</v>
      </c>
      <c r="D33" s="175" t="s">
        <v>4829</v>
      </c>
      <c r="E33" s="175" t="s">
        <v>70</v>
      </c>
      <c r="F33" s="177">
        <v>1.65E7</v>
      </c>
      <c r="G33" s="175" t="s">
        <v>2641</v>
      </c>
      <c r="H33" s="15" t="s">
        <v>37</v>
      </c>
      <c r="I33" s="175" t="s">
        <v>4923</v>
      </c>
      <c r="J33" s="175" t="s">
        <v>4924</v>
      </c>
      <c r="K33" s="175"/>
      <c r="L33" s="175" t="s">
        <v>4925</v>
      </c>
      <c r="M33" s="391" t="s">
        <v>4865</v>
      </c>
      <c r="N33" s="175" t="s">
        <v>4926</v>
      </c>
      <c r="O33" s="175"/>
      <c r="P33" s="321"/>
      <c r="Q33" s="321"/>
    </row>
    <row r="34" ht="14.25" customHeight="1">
      <c r="A34" s="253">
        <v>21.0</v>
      </c>
      <c r="B34" s="175" t="s">
        <v>100</v>
      </c>
      <c r="C34" s="175" t="s">
        <v>100</v>
      </c>
      <c r="D34" s="175" t="s">
        <v>4829</v>
      </c>
      <c r="E34" s="175" t="s">
        <v>70</v>
      </c>
      <c r="F34" s="177">
        <v>1.65E7</v>
      </c>
      <c r="G34" s="175" t="s">
        <v>2641</v>
      </c>
      <c r="H34" s="175" t="s">
        <v>37</v>
      </c>
      <c r="I34" s="175" t="s">
        <v>4927</v>
      </c>
      <c r="J34" s="175" t="s">
        <v>4928</v>
      </c>
      <c r="K34" s="175"/>
      <c r="L34" s="175" t="s">
        <v>4929</v>
      </c>
      <c r="M34" s="391" t="s">
        <v>4865</v>
      </c>
      <c r="N34" s="175" t="s">
        <v>4930</v>
      </c>
      <c r="O34" s="175"/>
      <c r="P34" s="321"/>
      <c r="Q34" s="321"/>
    </row>
    <row r="35" ht="14.25" customHeight="1">
      <c r="A35" s="253">
        <v>22.0</v>
      </c>
      <c r="B35" s="175" t="s">
        <v>100</v>
      </c>
      <c r="C35" s="175" t="s">
        <v>100</v>
      </c>
      <c r="D35" s="175" t="s">
        <v>4829</v>
      </c>
      <c r="E35" s="175" t="s">
        <v>70</v>
      </c>
      <c r="F35" s="177">
        <v>1.65E7</v>
      </c>
      <c r="G35" s="175" t="s">
        <v>2641</v>
      </c>
      <c r="H35" s="175" t="s">
        <v>37</v>
      </c>
      <c r="I35" s="175" t="s">
        <v>4931</v>
      </c>
      <c r="J35" s="175" t="s">
        <v>4932</v>
      </c>
      <c r="K35" s="175"/>
      <c r="L35" s="175" t="s">
        <v>4933</v>
      </c>
      <c r="M35" s="391" t="s">
        <v>4865</v>
      </c>
      <c r="N35" s="175" t="s">
        <v>2985</v>
      </c>
      <c r="O35" s="175"/>
      <c r="P35" s="321"/>
      <c r="Q35" s="321"/>
    </row>
    <row r="36" ht="14.25" customHeight="1">
      <c r="A36" s="253">
        <v>23.0</v>
      </c>
      <c r="B36" s="175" t="s">
        <v>100</v>
      </c>
      <c r="C36" s="175" t="s">
        <v>100</v>
      </c>
      <c r="D36" s="175" t="s">
        <v>4829</v>
      </c>
      <c r="E36" s="175" t="s">
        <v>70</v>
      </c>
      <c r="F36" s="177">
        <v>1.65E7</v>
      </c>
      <c r="G36" s="175" t="s">
        <v>2641</v>
      </c>
      <c r="H36" s="175" t="s">
        <v>37</v>
      </c>
      <c r="I36" s="175" t="s">
        <v>4934</v>
      </c>
      <c r="J36" s="175" t="s">
        <v>4935</v>
      </c>
      <c r="K36" s="175"/>
      <c r="L36" s="175" t="s">
        <v>4936</v>
      </c>
      <c r="M36" s="391" t="s">
        <v>4865</v>
      </c>
      <c r="N36" s="175" t="s">
        <v>2985</v>
      </c>
      <c r="O36" s="175" t="s">
        <v>4892</v>
      </c>
      <c r="P36" s="321"/>
      <c r="Q36" s="321"/>
    </row>
    <row r="37" ht="14.25" customHeight="1">
      <c r="A37" s="253">
        <v>24.0</v>
      </c>
      <c r="B37" s="175" t="s">
        <v>100</v>
      </c>
      <c r="C37" s="175" t="s">
        <v>100</v>
      </c>
      <c r="D37" s="175" t="s">
        <v>4829</v>
      </c>
      <c r="E37" s="175" t="s">
        <v>70</v>
      </c>
      <c r="F37" s="177">
        <v>1.65E7</v>
      </c>
      <c r="G37" s="175" t="s">
        <v>2641</v>
      </c>
      <c r="H37" s="175" t="s">
        <v>37</v>
      </c>
      <c r="I37" s="175" t="s">
        <v>4937</v>
      </c>
      <c r="J37" s="175" t="s">
        <v>4938</v>
      </c>
      <c r="K37" s="175"/>
      <c r="L37" s="175" t="s">
        <v>4939</v>
      </c>
      <c r="M37" s="391" t="s">
        <v>4865</v>
      </c>
      <c r="N37" s="175" t="s">
        <v>2985</v>
      </c>
      <c r="O37" s="175" t="s">
        <v>4892</v>
      </c>
      <c r="P37" s="321"/>
      <c r="Q37" s="321"/>
    </row>
    <row r="38" ht="14.25" customHeight="1">
      <c r="A38" s="253">
        <v>25.0</v>
      </c>
      <c r="B38" s="175" t="s">
        <v>100</v>
      </c>
      <c r="C38" s="175" t="s">
        <v>100</v>
      </c>
      <c r="D38" s="175" t="s">
        <v>4829</v>
      </c>
      <c r="E38" s="175" t="s">
        <v>70</v>
      </c>
      <c r="F38" s="177">
        <v>1.65E7</v>
      </c>
      <c r="G38" s="175" t="s">
        <v>2641</v>
      </c>
      <c r="H38" s="15" t="s">
        <v>37</v>
      </c>
      <c r="I38" s="15" t="s">
        <v>4940</v>
      </c>
      <c r="J38" s="175" t="s">
        <v>4941</v>
      </c>
      <c r="K38" s="175"/>
      <c r="L38" s="175" t="s">
        <v>4942</v>
      </c>
      <c r="M38" s="391" t="s">
        <v>4865</v>
      </c>
      <c r="N38" s="689" t="s">
        <v>4943</v>
      </c>
      <c r="O38" s="175"/>
      <c r="P38" s="321"/>
      <c r="Q38" s="321"/>
    </row>
    <row r="39" ht="14.25" customHeight="1">
      <c r="A39" s="253">
        <v>26.0</v>
      </c>
      <c r="B39" s="175" t="s">
        <v>100</v>
      </c>
      <c r="C39" s="175" t="s">
        <v>100</v>
      </c>
      <c r="D39" s="175" t="s">
        <v>4829</v>
      </c>
      <c r="E39" s="175" t="s">
        <v>70</v>
      </c>
      <c r="F39" s="177">
        <v>1.65E7</v>
      </c>
      <c r="G39" s="175" t="s">
        <v>2641</v>
      </c>
      <c r="H39" s="175" t="s">
        <v>37</v>
      </c>
      <c r="I39" s="175" t="s">
        <v>4944</v>
      </c>
      <c r="J39" s="175" t="s">
        <v>4945</v>
      </c>
      <c r="K39" s="175"/>
      <c r="L39" s="175" t="s">
        <v>4946</v>
      </c>
      <c r="M39" s="391" t="s">
        <v>4865</v>
      </c>
      <c r="N39" s="175" t="s">
        <v>4947</v>
      </c>
      <c r="O39" s="175"/>
      <c r="P39" s="321"/>
      <c r="Q39" s="321"/>
    </row>
    <row r="40" ht="14.25" customHeight="1">
      <c r="A40" s="253">
        <v>27.0</v>
      </c>
      <c r="B40" s="175" t="s">
        <v>100</v>
      </c>
      <c r="C40" s="175" t="s">
        <v>100</v>
      </c>
      <c r="D40" s="175" t="s">
        <v>4829</v>
      </c>
      <c r="E40" s="175" t="s">
        <v>70</v>
      </c>
      <c r="F40" s="177">
        <v>1.65E7</v>
      </c>
      <c r="G40" s="175" t="s">
        <v>2641</v>
      </c>
      <c r="H40" s="175" t="s">
        <v>37</v>
      </c>
      <c r="I40" s="175" t="s">
        <v>4948</v>
      </c>
      <c r="J40" s="175" t="s">
        <v>4949</v>
      </c>
      <c r="K40" s="175"/>
      <c r="L40" s="175" t="s">
        <v>4950</v>
      </c>
      <c r="M40" s="391" t="s">
        <v>4865</v>
      </c>
      <c r="N40" s="175" t="s">
        <v>2985</v>
      </c>
      <c r="O40" s="175" t="s">
        <v>4892</v>
      </c>
      <c r="P40" s="321"/>
      <c r="Q40" s="321"/>
    </row>
    <row r="41" ht="14.25" customHeight="1">
      <c r="A41" s="253">
        <v>28.0</v>
      </c>
      <c r="B41" s="175" t="s">
        <v>100</v>
      </c>
      <c r="C41" s="175" t="s">
        <v>100</v>
      </c>
      <c r="D41" s="175" t="s">
        <v>4829</v>
      </c>
      <c r="E41" s="175" t="s">
        <v>70</v>
      </c>
      <c r="F41" s="177">
        <v>1.4E7</v>
      </c>
      <c r="G41" s="175" t="s">
        <v>4951</v>
      </c>
      <c r="H41" s="15" t="s">
        <v>37</v>
      </c>
      <c r="I41" s="15" t="s">
        <v>4952</v>
      </c>
      <c r="J41" s="175" t="s">
        <v>4953</v>
      </c>
      <c r="K41" s="175"/>
      <c r="L41" s="175" t="s">
        <v>4954</v>
      </c>
      <c r="M41" s="391" t="s">
        <v>4865</v>
      </c>
      <c r="N41" s="178" t="s">
        <v>4955</v>
      </c>
      <c r="O41" s="175"/>
      <c r="P41" s="321"/>
      <c r="Q41" s="321"/>
    </row>
    <row r="42" ht="14.25" customHeight="1">
      <c r="A42" s="253">
        <v>29.0</v>
      </c>
      <c r="B42" s="175" t="s">
        <v>100</v>
      </c>
      <c r="C42" s="175" t="s">
        <v>100</v>
      </c>
      <c r="D42" s="175" t="s">
        <v>4829</v>
      </c>
      <c r="E42" s="175" t="s">
        <v>70</v>
      </c>
      <c r="F42" s="177">
        <v>1.4E7</v>
      </c>
      <c r="G42" s="175" t="s">
        <v>4951</v>
      </c>
      <c r="H42" s="175" t="s">
        <v>37</v>
      </c>
      <c r="I42" s="175" t="s">
        <v>4956</v>
      </c>
      <c r="J42" s="175" t="s">
        <v>4957</v>
      </c>
      <c r="K42" s="175"/>
      <c r="L42" s="175" t="s">
        <v>4958</v>
      </c>
      <c r="M42" s="391" t="s">
        <v>4865</v>
      </c>
      <c r="N42" s="175" t="s">
        <v>2985</v>
      </c>
      <c r="O42" s="175" t="s">
        <v>4892</v>
      </c>
      <c r="P42" s="321"/>
      <c r="Q42" s="321"/>
    </row>
    <row r="43" ht="14.25" customHeight="1">
      <c r="A43" s="253">
        <v>30.0</v>
      </c>
      <c r="B43" s="175" t="s">
        <v>100</v>
      </c>
      <c r="C43" s="175" t="s">
        <v>100</v>
      </c>
      <c r="D43" s="175" t="s">
        <v>4829</v>
      </c>
      <c r="E43" s="175" t="s">
        <v>70</v>
      </c>
      <c r="F43" s="177">
        <v>1.4E7</v>
      </c>
      <c r="G43" s="175" t="s">
        <v>4951</v>
      </c>
      <c r="H43" s="175" t="s">
        <v>37</v>
      </c>
      <c r="I43" s="175" t="s">
        <v>4959</v>
      </c>
      <c r="J43" s="175" t="s">
        <v>4960</v>
      </c>
      <c r="K43" s="175"/>
      <c r="L43" s="175" t="s">
        <v>4961</v>
      </c>
      <c r="M43" s="391" t="s">
        <v>4865</v>
      </c>
      <c r="N43" s="175" t="s">
        <v>2985</v>
      </c>
      <c r="O43" s="175" t="s">
        <v>4892</v>
      </c>
      <c r="P43" s="321"/>
      <c r="Q43" s="321"/>
    </row>
    <row r="44" ht="14.25" customHeight="1">
      <c r="A44" s="253">
        <v>31.0</v>
      </c>
      <c r="B44" s="175" t="s">
        <v>100</v>
      </c>
      <c r="C44" s="175" t="s">
        <v>100</v>
      </c>
      <c r="D44" s="175" t="s">
        <v>4829</v>
      </c>
      <c r="E44" s="175" t="s">
        <v>70</v>
      </c>
      <c r="F44" s="177">
        <v>1.4E7</v>
      </c>
      <c r="G44" s="175" t="s">
        <v>4951</v>
      </c>
      <c r="H44" s="175" t="s">
        <v>37</v>
      </c>
      <c r="I44" s="175" t="s">
        <v>4962</v>
      </c>
      <c r="J44" s="175" t="s">
        <v>4963</v>
      </c>
      <c r="K44" s="175"/>
      <c r="L44" s="175" t="s">
        <v>4964</v>
      </c>
      <c r="M44" s="391" t="s">
        <v>4865</v>
      </c>
      <c r="N44" s="175" t="s">
        <v>4965</v>
      </c>
      <c r="O44" s="175" t="s">
        <v>4966</v>
      </c>
      <c r="P44" s="321"/>
      <c r="Q44" s="321"/>
    </row>
    <row r="45" ht="14.25" customHeight="1">
      <c r="A45" s="253">
        <v>32.0</v>
      </c>
      <c r="B45" s="175" t="s">
        <v>100</v>
      </c>
      <c r="C45" s="175" t="s">
        <v>100</v>
      </c>
      <c r="D45" s="175" t="s">
        <v>4829</v>
      </c>
      <c r="E45" s="175" t="s">
        <v>70</v>
      </c>
      <c r="F45" s="177">
        <v>1.4E7</v>
      </c>
      <c r="G45" s="175" t="s">
        <v>4951</v>
      </c>
      <c r="H45" s="175" t="s">
        <v>37</v>
      </c>
      <c r="I45" s="175" t="s">
        <v>4967</v>
      </c>
      <c r="J45" s="175" t="s">
        <v>4968</v>
      </c>
      <c r="K45" s="175"/>
      <c r="L45" s="175" t="s">
        <v>4969</v>
      </c>
      <c r="M45" s="391" t="s">
        <v>4865</v>
      </c>
      <c r="N45" s="175" t="s">
        <v>4970</v>
      </c>
      <c r="O45" s="175"/>
      <c r="P45" s="321"/>
      <c r="Q45" s="321"/>
    </row>
    <row r="46" ht="14.25" customHeight="1">
      <c r="A46" s="253">
        <v>33.0</v>
      </c>
      <c r="B46" s="175" t="s">
        <v>100</v>
      </c>
      <c r="C46" s="175" t="s">
        <v>100</v>
      </c>
      <c r="D46" s="175" t="s">
        <v>4829</v>
      </c>
      <c r="E46" s="175" t="s">
        <v>70</v>
      </c>
      <c r="F46" s="177">
        <v>1.4E7</v>
      </c>
      <c r="G46" s="175" t="s">
        <v>4951</v>
      </c>
      <c r="H46" s="175" t="s">
        <v>37</v>
      </c>
      <c r="I46" s="175" t="s">
        <v>4971</v>
      </c>
      <c r="J46" s="175" t="s">
        <v>4972</v>
      </c>
      <c r="K46" s="175"/>
      <c r="L46" s="175" t="s">
        <v>4973</v>
      </c>
      <c r="M46" s="391" t="s">
        <v>4865</v>
      </c>
      <c r="N46" s="175" t="s">
        <v>4974</v>
      </c>
      <c r="O46" s="175"/>
      <c r="P46" s="321"/>
      <c r="Q46" s="321"/>
    </row>
    <row r="47" ht="14.25" customHeight="1">
      <c r="A47" s="253">
        <v>34.0</v>
      </c>
      <c r="B47" s="175" t="s">
        <v>100</v>
      </c>
      <c r="C47" s="175" t="s">
        <v>100</v>
      </c>
      <c r="D47" s="175" t="s">
        <v>4829</v>
      </c>
      <c r="E47" s="175" t="s">
        <v>70</v>
      </c>
      <c r="F47" s="177">
        <v>1.4E7</v>
      </c>
      <c r="G47" s="175" t="s">
        <v>4951</v>
      </c>
      <c r="H47" s="175" t="s">
        <v>37</v>
      </c>
      <c r="I47" s="175" t="s">
        <v>4975</v>
      </c>
      <c r="J47" s="175" t="s">
        <v>4976</v>
      </c>
      <c r="K47" s="175"/>
      <c r="L47" s="175" t="s">
        <v>4977</v>
      </c>
      <c r="M47" s="391" t="s">
        <v>4865</v>
      </c>
      <c r="N47" s="175" t="s">
        <v>4978</v>
      </c>
      <c r="O47" s="175"/>
      <c r="P47" s="321"/>
      <c r="Q47" s="321"/>
    </row>
    <row r="48" ht="14.25" customHeight="1">
      <c r="A48" s="253">
        <v>35.0</v>
      </c>
      <c r="B48" s="175" t="s">
        <v>100</v>
      </c>
      <c r="C48" s="175" t="s">
        <v>100</v>
      </c>
      <c r="D48" s="175" t="s">
        <v>4829</v>
      </c>
      <c r="E48" s="175" t="s">
        <v>70</v>
      </c>
      <c r="F48" s="177">
        <v>1.4E7</v>
      </c>
      <c r="G48" s="175" t="s">
        <v>4951</v>
      </c>
      <c r="H48" s="175" t="s">
        <v>37</v>
      </c>
      <c r="I48" s="175" t="s">
        <v>4979</v>
      </c>
      <c r="J48" s="175" t="s">
        <v>4980</v>
      </c>
      <c r="K48" s="175"/>
      <c r="L48" s="175" t="s">
        <v>4981</v>
      </c>
      <c r="M48" s="391" t="s">
        <v>4865</v>
      </c>
      <c r="N48" s="175" t="s">
        <v>4982</v>
      </c>
      <c r="O48" s="175"/>
      <c r="P48" s="321"/>
      <c r="Q48" s="321"/>
    </row>
    <row r="49" ht="14.25" customHeight="1">
      <c r="A49" s="253">
        <v>36.0</v>
      </c>
      <c r="B49" s="175" t="s">
        <v>100</v>
      </c>
      <c r="C49" s="175" t="s">
        <v>100</v>
      </c>
      <c r="D49" s="175" t="s">
        <v>4829</v>
      </c>
      <c r="E49" s="175" t="s">
        <v>70</v>
      </c>
      <c r="F49" s="177">
        <v>1.4E7</v>
      </c>
      <c r="G49" s="175" t="s">
        <v>4951</v>
      </c>
      <c r="H49" s="15" t="s">
        <v>37</v>
      </c>
      <c r="I49" s="15" t="s">
        <v>4983</v>
      </c>
      <c r="J49" s="175" t="s">
        <v>4984</v>
      </c>
      <c r="K49" s="175"/>
      <c r="L49" s="175" t="s">
        <v>4985</v>
      </c>
      <c r="M49" s="391" t="s">
        <v>4865</v>
      </c>
      <c r="N49" s="178" t="s">
        <v>4986</v>
      </c>
      <c r="O49" s="175"/>
      <c r="P49" s="321"/>
      <c r="Q49" s="321"/>
    </row>
    <row r="50" ht="14.25" customHeight="1">
      <c r="A50" s="253">
        <v>37.0</v>
      </c>
      <c r="B50" s="175" t="s">
        <v>100</v>
      </c>
      <c r="C50" s="175" t="s">
        <v>100</v>
      </c>
      <c r="D50" s="175" t="s">
        <v>4829</v>
      </c>
      <c r="E50" s="175" t="s">
        <v>70</v>
      </c>
      <c r="F50" s="177">
        <v>1.4E7</v>
      </c>
      <c r="G50" s="175" t="s">
        <v>4951</v>
      </c>
      <c r="H50" s="175" t="s">
        <v>37</v>
      </c>
      <c r="I50" s="175" t="s">
        <v>4987</v>
      </c>
      <c r="J50" s="175" t="s">
        <v>4988</v>
      </c>
      <c r="K50" s="175"/>
      <c r="L50" s="175" t="s">
        <v>4989</v>
      </c>
      <c r="M50" s="391" t="s">
        <v>4865</v>
      </c>
      <c r="N50" s="175" t="s">
        <v>4990</v>
      </c>
      <c r="O50" s="175"/>
      <c r="P50" s="321"/>
      <c r="Q50" s="321"/>
    </row>
    <row r="51" ht="14.25" customHeight="1">
      <c r="A51" s="253">
        <v>38.0</v>
      </c>
      <c r="B51" s="175" t="s">
        <v>100</v>
      </c>
      <c r="C51" s="175" t="s">
        <v>100</v>
      </c>
      <c r="D51" s="175" t="s">
        <v>4829</v>
      </c>
      <c r="E51" s="175" t="s">
        <v>70</v>
      </c>
      <c r="F51" s="177">
        <v>1.4E7</v>
      </c>
      <c r="G51" s="175" t="s">
        <v>4951</v>
      </c>
      <c r="H51" s="175" t="s">
        <v>37</v>
      </c>
      <c r="I51" s="175" t="s">
        <v>4991</v>
      </c>
      <c r="J51" s="175" t="s">
        <v>4992</v>
      </c>
      <c r="K51" s="175"/>
      <c r="L51" s="175" t="s">
        <v>4993</v>
      </c>
      <c r="M51" s="391" t="s">
        <v>4865</v>
      </c>
      <c r="N51" s="175" t="s">
        <v>4994</v>
      </c>
      <c r="O51" s="175"/>
      <c r="P51" s="321"/>
      <c r="Q51" s="321"/>
    </row>
    <row r="52" ht="14.25" customHeight="1">
      <c r="A52" s="253">
        <v>39.0</v>
      </c>
      <c r="B52" s="175" t="s">
        <v>100</v>
      </c>
      <c r="C52" s="175" t="s">
        <v>100</v>
      </c>
      <c r="D52" s="175" t="s">
        <v>4829</v>
      </c>
      <c r="E52" s="175" t="s">
        <v>70</v>
      </c>
      <c r="F52" s="177">
        <v>1.4E7</v>
      </c>
      <c r="G52" s="175" t="s">
        <v>4951</v>
      </c>
      <c r="H52" s="175" t="s">
        <v>37</v>
      </c>
      <c r="I52" s="175" t="s">
        <v>4995</v>
      </c>
      <c r="J52" s="175" t="s">
        <v>4996</v>
      </c>
      <c r="K52" s="175"/>
      <c r="L52" s="175" t="s">
        <v>4997</v>
      </c>
      <c r="M52" s="391" t="s">
        <v>4865</v>
      </c>
      <c r="N52" s="175" t="s">
        <v>4998</v>
      </c>
      <c r="O52" s="175"/>
      <c r="P52" s="321"/>
      <c r="Q52" s="321"/>
    </row>
    <row r="53" ht="14.25" customHeight="1">
      <c r="A53" s="253">
        <v>40.0</v>
      </c>
      <c r="B53" s="175" t="s">
        <v>100</v>
      </c>
      <c r="C53" s="175" t="s">
        <v>100</v>
      </c>
      <c r="D53" s="175" t="s">
        <v>4829</v>
      </c>
      <c r="E53" s="175" t="s">
        <v>70</v>
      </c>
      <c r="F53" s="177">
        <v>1.4E7</v>
      </c>
      <c r="G53" s="175" t="s">
        <v>4951</v>
      </c>
      <c r="H53" s="175" t="s">
        <v>37</v>
      </c>
      <c r="I53" s="175" t="s">
        <v>4999</v>
      </c>
      <c r="J53" s="175" t="s">
        <v>5000</v>
      </c>
      <c r="K53" s="175"/>
      <c r="L53" s="175" t="s">
        <v>5001</v>
      </c>
      <c r="M53" s="391" t="s">
        <v>4865</v>
      </c>
      <c r="N53" s="175" t="s">
        <v>2985</v>
      </c>
      <c r="O53" s="175" t="s">
        <v>4892</v>
      </c>
      <c r="P53" s="321"/>
      <c r="Q53" s="321"/>
    </row>
    <row r="54" ht="14.25" customHeight="1">
      <c r="A54" s="253">
        <v>41.0</v>
      </c>
      <c r="B54" s="175" t="s">
        <v>100</v>
      </c>
      <c r="C54" s="175" t="s">
        <v>100</v>
      </c>
      <c r="D54" s="175" t="s">
        <v>4829</v>
      </c>
      <c r="E54" s="175" t="s">
        <v>70</v>
      </c>
      <c r="F54" s="177">
        <v>1.4E7</v>
      </c>
      <c r="G54" s="175" t="s">
        <v>4951</v>
      </c>
      <c r="H54" s="175" t="s">
        <v>37</v>
      </c>
      <c r="I54" s="175" t="s">
        <v>5002</v>
      </c>
      <c r="J54" s="175" t="s">
        <v>5003</v>
      </c>
      <c r="K54" s="175"/>
      <c r="L54" s="175" t="s">
        <v>5004</v>
      </c>
      <c r="M54" s="391" t="s">
        <v>4865</v>
      </c>
      <c r="N54" s="175" t="s">
        <v>2985</v>
      </c>
      <c r="O54" s="175" t="s">
        <v>4892</v>
      </c>
      <c r="P54" s="321"/>
      <c r="Q54" s="321"/>
    </row>
    <row r="55" ht="14.25" customHeight="1">
      <c r="A55" s="253">
        <v>42.0</v>
      </c>
      <c r="B55" s="175" t="s">
        <v>100</v>
      </c>
      <c r="C55" s="175" t="s">
        <v>100</v>
      </c>
      <c r="D55" s="175" t="s">
        <v>4829</v>
      </c>
      <c r="E55" s="175" t="s">
        <v>70</v>
      </c>
      <c r="F55" s="177">
        <v>1.4E7</v>
      </c>
      <c r="G55" s="175" t="s">
        <v>4951</v>
      </c>
      <c r="H55" s="175" t="s">
        <v>37</v>
      </c>
      <c r="I55" s="175" t="s">
        <v>5005</v>
      </c>
      <c r="J55" s="175" t="s">
        <v>5006</v>
      </c>
      <c r="K55" s="175"/>
      <c r="L55" s="175" t="s">
        <v>5007</v>
      </c>
      <c r="M55" s="391" t="s">
        <v>4865</v>
      </c>
      <c r="N55" s="175" t="s">
        <v>2985</v>
      </c>
      <c r="O55" s="175" t="s">
        <v>4892</v>
      </c>
      <c r="P55" s="321"/>
      <c r="Q55" s="321"/>
    </row>
    <row r="56" ht="14.25" customHeight="1">
      <c r="A56" s="253">
        <v>43.0</v>
      </c>
      <c r="B56" s="175" t="s">
        <v>100</v>
      </c>
      <c r="C56" s="175" t="s">
        <v>100</v>
      </c>
      <c r="D56" s="175" t="s">
        <v>4829</v>
      </c>
      <c r="E56" s="175" t="s">
        <v>70</v>
      </c>
      <c r="F56" s="177">
        <v>1.4E7</v>
      </c>
      <c r="G56" s="175" t="s">
        <v>4951</v>
      </c>
      <c r="H56" s="175" t="s">
        <v>37</v>
      </c>
      <c r="I56" s="175" t="s">
        <v>5008</v>
      </c>
      <c r="J56" s="175" t="s">
        <v>5009</v>
      </c>
      <c r="K56" s="175"/>
      <c r="L56" s="175" t="s">
        <v>5010</v>
      </c>
      <c r="M56" s="391" t="s">
        <v>4865</v>
      </c>
      <c r="N56" s="175" t="s">
        <v>2985</v>
      </c>
      <c r="O56" s="175" t="s">
        <v>4892</v>
      </c>
      <c r="P56" s="321"/>
      <c r="Q56" s="321"/>
    </row>
    <row r="57" ht="14.25" customHeight="1">
      <c r="A57" s="253">
        <v>44.0</v>
      </c>
      <c r="B57" s="175" t="s">
        <v>100</v>
      </c>
      <c r="C57" s="175" t="s">
        <v>100</v>
      </c>
      <c r="D57" s="175" t="s">
        <v>4829</v>
      </c>
      <c r="E57" s="175" t="s">
        <v>70</v>
      </c>
      <c r="F57" s="177">
        <v>1.4E7</v>
      </c>
      <c r="G57" s="175" t="s">
        <v>4951</v>
      </c>
      <c r="H57" s="175" t="s">
        <v>37</v>
      </c>
      <c r="I57" s="175" t="s">
        <v>5011</v>
      </c>
      <c r="J57" s="175" t="s">
        <v>5012</v>
      </c>
      <c r="K57" s="175"/>
      <c r="L57" s="175" t="s">
        <v>5013</v>
      </c>
      <c r="M57" s="391" t="s">
        <v>4865</v>
      </c>
      <c r="N57" s="175" t="s">
        <v>5014</v>
      </c>
      <c r="O57" s="175"/>
      <c r="P57" s="321"/>
      <c r="Q57" s="321"/>
    </row>
    <row r="58" ht="14.25" customHeight="1">
      <c r="A58" s="253">
        <v>45.0</v>
      </c>
      <c r="B58" s="175" t="s">
        <v>100</v>
      </c>
      <c r="C58" s="175" t="s">
        <v>100</v>
      </c>
      <c r="D58" s="175" t="s">
        <v>4829</v>
      </c>
      <c r="E58" s="175" t="s">
        <v>70</v>
      </c>
      <c r="F58" s="177">
        <v>1.4E7</v>
      </c>
      <c r="G58" s="175" t="s">
        <v>4951</v>
      </c>
      <c r="H58" s="175" t="s">
        <v>37</v>
      </c>
      <c r="I58" s="175" t="s">
        <v>5015</v>
      </c>
      <c r="J58" s="175" t="s">
        <v>5016</v>
      </c>
      <c r="K58" s="175"/>
      <c r="L58" s="175" t="s">
        <v>5017</v>
      </c>
      <c r="M58" s="391" t="s">
        <v>4865</v>
      </c>
      <c r="N58" s="175" t="s">
        <v>5018</v>
      </c>
      <c r="O58" s="175"/>
      <c r="P58" s="321"/>
      <c r="Q58" s="321"/>
    </row>
    <row r="59" ht="14.25" customHeight="1">
      <c r="A59" s="253">
        <v>46.0</v>
      </c>
      <c r="B59" s="175" t="s">
        <v>100</v>
      </c>
      <c r="C59" s="175" t="s">
        <v>100</v>
      </c>
      <c r="D59" s="175" t="s">
        <v>4829</v>
      </c>
      <c r="E59" s="175" t="s">
        <v>70</v>
      </c>
      <c r="F59" s="177">
        <v>1.4E7</v>
      </c>
      <c r="G59" s="175" t="s">
        <v>4951</v>
      </c>
      <c r="H59" s="175" t="s">
        <v>37</v>
      </c>
      <c r="I59" s="175" t="s">
        <v>5019</v>
      </c>
      <c r="J59" s="175" t="s">
        <v>5020</v>
      </c>
      <c r="K59" s="175"/>
      <c r="L59" s="175" t="s">
        <v>5021</v>
      </c>
      <c r="M59" s="391" t="s">
        <v>4865</v>
      </c>
      <c r="N59" s="175" t="s">
        <v>2985</v>
      </c>
      <c r="O59" s="175" t="s">
        <v>4892</v>
      </c>
      <c r="P59" s="321"/>
      <c r="Q59" s="321"/>
    </row>
    <row r="60" ht="14.25" customHeight="1">
      <c r="A60" s="253">
        <v>47.0</v>
      </c>
      <c r="B60" s="175" t="s">
        <v>100</v>
      </c>
      <c r="C60" s="175" t="s">
        <v>3115</v>
      </c>
      <c r="D60" s="175" t="s">
        <v>4829</v>
      </c>
      <c r="E60" s="175" t="s">
        <v>70</v>
      </c>
      <c r="F60" s="177">
        <v>2.31E7</v>
      </c>
      <c r="G60" s="175" t="s">
        <v>5022</v>
      </c>
      <c r="H60" s="175" t="s">
        <v>474</v>
      </c>
      <c r="I60" s="175"/>
      <c r="J60" s="175"/>
      <c r="K60" s="175"/>
      <c r="L60" s="175"/>
      <c r="M60" s="391"/>
      <c r="N60" s="175"/>
      <c r="O60" s="175"/>
      <c r="P60" s="321"/>
      <c r="Q60" s="321"/>
    </row>
    <row r="61" ht="14.25" customHeight="1">
      <c r="A61" s="253">
        <v>48.0</v>
      </c>
      <c r="B61" s="175" t="s">
        <v>100</v>
      </c>
      <c r="C61" s="175" t="s">
        <v>3115</v>
      </c>
      <c r="D61" s="175" t="s">
        <v>4829</v>
      </c>
      <c r="E61" s="175" t="s">
        <v>70</v>
      </c>
      <c r="F61" s="177">
        <v>2.31E7</v>
      </c>
      <c r="G61" s="175" t="s">
        <v>5022</v>
      </c>
      <c r="H61" s="175" t="s">
        <v>474</v>
      </c>
      <c r="I61" s="175"/>
      <c r="J61" s="175"/>
      <c r="K61" s="175"/>
      <c r="L61" s="175"/>
      <c r="M61" s="391"/>
      <c r="N61" s="175"/>
      <c r="O61" s="175"/>
      <c r="P61" s="321"/>
      <c r="Q61" s="321"/>
    </row>
    <row r="62" ht="14.25" customHeight="1">
      <c r="A62" s="253">
        <v>49.0</v>
      </c>
      <c r="B62" s="175" t="s">
        <v>100</v>
      </c>
      <c r="C62" s="175" t="s">
        <v>100</v>
      </c>
      <c r="D62" s="175" t="s">
        <v>4829</v>
      </c>
      <c r="E62" s="175" t="s">
        <v>70</v>
      </c>
      <c r="F62" s="177">
        <v>1.64901E7</v>
      </c>
      <c r="G62" s="175" t="s">
        <v>5023</v>
      </c>
      <c r="H62" s="175" t="s">
        <v>44</v>
      </c>
      <c r="I62" s="175" t="s">
        <v>5024</v>
      </c>
      <c r="J62" s="175" t="s">
        <v>5025</v>
      </c>
      <c r="K62" s="175"/>
      <c r="L62" s="175" t="s">
        <v>5026</v>
      </c>
      <c r="M62" s="391" t="s">
        <v>4865</v>
      </c>
      <c r="N62" s="175" t="s">
        <v>5027</v>
      </c>
      <c r="O62" s="175"/>
      <c r="P62" s="321"/>
      <c r="Q62" s="321"/>
    </row>
    <row r="63" ht="14.25" customHeight="1">
      <c r="A63" s="253">
        <v>50.0</v>
      </c>
      <c r="B63" s="175" t="s">
        <v>100</v>
      </c>
      <c r="C63" s="175" t="s">
        <v>100</v>
      </c>
      <c r="D63" s="175" t="s">
        <v>4829</v>
      </c>
      <c r="E63" s="175" t="s">
        <v>70</v>
      </c>
      <c r="F63" s="177">
        <v>1.64901E7</v>
      </c>
      <c r="G63" s="175" t="s">
        <v>5023</v>
      </c>
      <c r="H63" s="15" t="s">
        <v>44</v>
      </c>
      <c r="I63" s="15" t="s">
        <v>5028</v>
      </c>
      <c r="J63" s="175" t="s">
        <v>5029</v>
      </c>
      <c r="K63" s="175"/>
      <c r="L63" s="175" t="s">
        <v>5030</v>
      </c>
      <c r="M63" s="391" t="s">
        <v>4865</v>
      </c>
      <c r="N63" s="175" t="s">
        <v>5031</v>
      </c>
      <c r="O63" s="175" t="s">
        <v>4892</v>
      </c>
      <c r="P63" s="321"/>
      <c r="Q63" s="321"/>
    </row>
    <row r="64" ht="14.25" customHeight="1">
      <c r="A64" s="253">
        <v>51.0</v>
      </c>
      <c r="B64" s="175" t="s">
        <v>100</v>
      </c>
      <c r="C64" s="175" t="s">
        <v>100</v>
      </c>
      <c r="D64" s="175" t="s">
        <v>4829</v>
      </c>
      <c r="E64" s="175" t="s">
        <v>70</v>
      </c>
      <c r="F64" s="177">
        <v>1.48852E7</v>
      </c>
      <c r="G64" s="175" t="s">
        <v>5032</v>
      </c>
      <c r="H64" s="15" t="s">
        <v>44</v>
      </c>
      <c r="I64" s="15" t="s">
        <v>5033</v>
      </c>
      <c r="J64" s="175" t="s">
        <v>5034</v>
      </c>
      <c r="K64" s="175"/>
      <c r="L64" s="175" t="s">
        <v>5035</v>
      </c>
      <c r="M64" s="391" t="s">
        <v>4865</v>
      </c>
      <c r="N64" s="175" t="s">
        <v>5036</v>
      </c>
      <c r="O64" s="175"/>
      <c r="P64" s="321"/>
      <c r="Q64" s="321"/>
    </row>
    <row r="65" ht="14.25" customHeight="1">
      <c r="A65" s="253">
        <v>52.0</v>
      </c>
      <c r="B65" s="175" t="s">
        <v>100</v>
      </c>
      <c r="C65" s="175" t="s">
        <v>100</v>
      </c>
      <c r="D65" s="175" t="s">
        <v>4829</v>
      </c>
      <c r="E65" s="175" t="s">
        <v>70</v>
      </c>
      <c r="F65" s="177">
        <v>1.715E7</v>
      </c>
      <c r="G65" s="175" t="s">
        <v>5037</v>
      </c>
      <c r="H65" s="15" t="s">
        <v>92</v>
      </c>
      <c r="I65" s="178" t="s">
        <v>5038</v>
      </c>
      <c r="J65" s="175" t="s">
        <v>5039</v>
      </c>
      <c r="K65" s="175" t="s">
        <v>5040</v>
      </c>
      <c r="L65" s="432" t="s">
        <v>5041</v>
      </c>
      <c r="M65" s="391"/>
      <c r="N65" s="175" t="s">
        <v>5042</v>
      </c>
      <c r="O65" s="175"/>
      <c r="P65" s="321"/>
      <c r="Q65" s="321"/>
    </row>
    <row r="66" ht="14.25" customHeight="1">
      <c r="A66" s="253">
        <v>53.0</v>
      </c>
      <c r="B66" s="175" t="s">
        <v>100</v>
      </c>
      <c r="C66" s="175" t="s">
        <v>100</v>
      </c>
      <c r="D66" s="175" t="s">
        <v>4829</v>
      </c>
      <c r="E66" s="175" t="s">
        <v>70</v>
      </c>
      <c r="F66" s="177">
        <v>1.715E7</v>
      </c>
      <c r="G66" s="175" t="s">
        <v>5037</v>
      </c>
      <c r="H66" s="15" t="s">
        <v>92</v>
      </c>
      <c r="I66" s="690" t="s">
        <v>5043</v>
      </c>
      <c r="J66" s="175" t="s">
        <v>5044</v>
      </c>
      <c r="K66" s="175" t="s">
        <v>5045</v>
      </c>
      <c r="L66" s="432" t="s">
        <v>5046</v>
      </c>
      <c r="M66" s="391"/>
      <c r="N66" s="175" t="s">
        <v>5047</v>
      </c>
      <c r="O66" s="175"/>
      <c r="P66" s="321"/>
      <c r="Q66" s="321"/>
    </row>
    <row r="67" ht="14.25" customHeight="1">
      <c r="A67" s="253">
        <v>54.0</v>
      </c>
      <c r="B67" s="175" t="s">
        <v>100</v>
      </c>
      <c r="C67" s="175" t="s">
        <v>100</v>
      </c>
      <c r="D67" s="175" t="s">
        <v>4829</v>
      </c>
      <c r="E67" s="175" t="s">
        <v>70</v>
      </c>
      <c r="F67" s="177">
        <v>1.715E7</v>
      </c>
      <c r="G67" s="175" t="s">
        <v>5037</v>
      </c>
      <c r="H67" s="175" t="s">
        <v>92</v>
      </c>
      <c r="I67" s="178" t="s">
        <v>5048</v>
      </c>
      <c r="J67" s="175" t="s">
        <v>5049</v>
      </c>
      <c r="K67" s="175" t="s">
        <v>5050</v>
      </c>
      <c r="L67" s="432" t="s">
        <v>5051</v>
      </c>
      <c r="M67" s="391"/>
      <c r="N67" s="175" t="s">
        <v>5052</v>
      </c>
      <c r="O67" s="175"/>
      <c r="P67" s="321"/>
      <c r="Q67" s="321"/>
    </row>
    <row r="68" ht="14.25" customHeight="1">
      <c r="A68" s="253">
        <v>55.0</v>
      </c>
      <c r="B68" s="175" t="s">
        <v>100</v>
      </c>
      <c r="C68" s="175" t="s">
        <v>100</v>
      </c>
      <c r="D68" s="175" t="s">
        <v>4829</v>
      </c>
      <c r="E68" s="175" t="s">
        <v>70</v>
      </c>
      <c r="F68" s="177">
        <v>1.715E7</v>
      </c>
      <c r="G68" s="175" t="s">
        <v>5037</v>
      </c>
      <c r="H68" s="15" t="s">
        <v>92</v>
      </c>
      <c r="I68" s="690" t="s">
        <v>5053</v>
      </c>
      <c r="J68" s="175" t="s">
        <v>5054</v>
      </c>
      <c r="K68" s="178" t="s">
        <v>5055</v>
      </c>
      <c r="L68" s="17" t="s">
        <v>5056</v>
      </c>
      <c r="M68" s="391"/>
      <c r="N68" s="175" t="s">
        <v>5057</v>
      </c>
      <c r="O68" s="175" t="s">
        <v>4892</v>
      </c>
      <c r="P68" s="321"/>
      <c r="Q68" s="321"/>
    </row>
    <row r="69" ht="14.25" customHeight="1">
      <c r="A69" s="253">
        <v>56.0</v>
      </c>
      <c r="B69" s="175" t="s">
        <v>100</v>
      </c>
      <c r="C69" s="175" t="s">
        <v>100</v>
      </c>
      <c r="D69" s="175" t="s">
        <v>4829</v>
      </c>
      <c r="E69" s="175" t="s">
        <v>70</v>
      </c>
      <c r="F69" s="177">
        <v>1.715E7</v>
      </c>
      <c r="G69" s="175" t="s">
        <v>5037</v>
      </c>
      <c r="H69" s="15" t="s">
        <v>92</v>
      </c>
      <c r="I69" s="690" t="s">
        <v>5058</v>
      </c>
      <c r="J69" s="175" t="s">
        <v>5059</v>
      </c>
      <c r="K69" s="175" t="s">
        <v>5060</v>
      </c>
      <c r="L69" s="432" t="s">
        <v>5061</v>
      </c>
      <c r="M69" s="391"/>
      <c r="N69" s="690" t="s">
        <v>5062</v>
      </c>
      <c r="O69" s="175"/>
      <c r="P69" s="321"/>
      <c r="Q69" s="321"/>
    </row>
    <row r="70" ht="14.25" customHeight="1">
      <c r="A70" s="253">
        <v>57.0</v>
      </c>
      <c r="B70" s="175" t="s">
        <v>100</v>
      </c>
      <c r="C70" s="175" t="s">
        <v>100</v>
      </c>
      <c r="D70" s="175" t="s">
        <v>4829</v>
      </c>
      <c r="E70" s="175" t="s">
        <v>70</v>
      </c>
      <c r="F70" s="177">
        <v>1.715E7</v>
      </c>
      <c r="G70" s="175" t="s">
        <v>5037</v>
      </c>
      <c r="H70" s="15" t="s">
        <v>92</v>
      </c>
      <c r="I70" s="178" t="s">
        <v>5063</v>
      </c>
      <c r="J70" s="175" t="s">
        <v>5064</v>
      </c>
      <c r="K70" s="175"/>
      <c r="L70" s="175" t="s">
        <v>5065</v>
      </c>
      <c r="M70" s="391"/>
      <c r="N70" s="175" t="s">
        <v>5066</v>
      </c>
      <c r="O70" s="175"/>
      <c r="P70" s="321"/>
      <c r="Q70" s="321"/>
    </row>
    <row r="71" ht="14.25" customHeight="1">
      <c r="A71" s="253">
        <v>58.0</v>
      </c>
      <c r="B71" s="175" t="s">
        <v>100</v>
      </c>
      <c r="C71" s="175" t="s">
        <v>100</v>
      </c>
      <c r="D71" s="175" t="s">
        <v>4829</v>
      </c>
      <c r="E71" s="175" t="s">
        <v>70</v>
      </c>
      <c r="F71" s="177">
        <v>1.715E7</v>
      </c>
      <c r="G71" s="175" t="s">
        <v>5037</v>
      </c>
      <c r="H71" s="175" t="s">
        <v>92</v>
      </c>
      <c r="I71" s="178" t="s">
        <v>5067</v>
      </c>
      <c r="J71" s="175" t="s">
        <v>5068</v>
      </c>
      <c r="K71" s="175" t="s">
        <v>5069</v>
      </c>
      <c r="L71" s="432" t="s">
        <v>5070</v>
      </c>
      <c r="M71" s="391"/>
      <c r="N71" s="175" t="s">
        <v>5071</v>
      </c>
      <c r="O71" s="175"/>
      <c r="P71" s="321"/>
      <c r="Q71" s="321"/>
    </row>
    <row r="72" ht="14.25" customHeight="1">
      <c r="A72" s="253">
        <v>59.0</v>
      </c>
      <c r="B72" s="175" t="s">
        <v>100</v>
      </c>
      <c r="C72" s="175" t="s">
        <v>100</v>
      </c>
      <c r="D72" s="175" t="s">
        <v>4829</v>
      </c>
      <c r="E72" s="175" t="s">
        <v>70</v>
      </c>
      <c r="F72" s="177">
        <v>1.44074E7</v>
      </c>
      <c r="G72" s="175" t="s">
        <v>2956</v>
      </c>
      <c r="H72" s="175" t="s">
        <v>92</v>
      </c>
      <c r="I72" s="175" t="s">
        <v>5072</v>
      </c>
      <c r="J72" s="175" t="s">
        <v>5073</v>
      </c>
      <c r="K72" s="175"/>
      <c r="L72" s="175" t="s">
        <v>5074</v>
      </c>
      <c r="M72" s="391" t="s">
        <v>5075</v>
      </c>
      <c r="N72" s="175" t="s">
        <v>5076</v>
      </c>
      <c r="O72" s="175"/>
      <c r="P72" s="321"/>
      <c r="Q72" s="321"/>
    </row>
    <row r="73" ht="14.25" customHeight="1">
      <c r="A73" s="253">
        <v>60.0</v>
      </c>
      <c r="B73" s="175" t="s">
        <v>100</v>
      </c>
      <c r="C73" s="175" t="s">
        <v>5077</v>
      </c>
      <c r="D73" s="175" t="s">
        <v>4829</v>
      </c>
      <c r="E73" s="175" t="s">
        <v>70</v>
      </c>
      <c r="F73" s="177">
        <v>1.76E7</v>
      </c>
      <c r="G73" s="175" t="s">
        <v>5078</v>
      </c>
      <c r="H73" s="15" t="s">
        <v>1040</v>
      </c>
      <c r="I73" s="690" t="s">
        <v>5079</v>
      </c>
      <c r="J73" s="178" t="s">
        <v>5080</v>
      </c>
      <c r="K73" s="178" t="s">
        <v>5081</v>
      </c>
      <c r="L73" s="17" t="s">
        <v>5082</v>
      </c>
      <c r="M73" s="391" t="s">
        <v>5075</v>
      </c>
      <c r="N73" s="178" t="s">
        <v>5083</v>
      </c>
      <c r="O73" s="175"/>
      <c r="P73" s="321"/>
      <c r="Q73" s="321"/>
    </row>
    <row r="74" ht="14.25" customHeight="1">
      <c r="A74" s="253">
        <v>61.0</v>
      </c>
      <c r="B74" s="175" t="s">
        <v>100</v>
      </c>
      <c r="C74" s="175" t="s">
        <v>5077</v>
      </c>
      <c r="D74" s="175" t="s">
        <v>4829</v>
      </c>
      <c r="E74" s="175" t="s">
        <v>70</v>
      </c>
      <c r="F74" s="177">
        <v>1.76E7</v>
      </c>
      <c r="G74" s="175" t="s">
        <v>5078</v>
      </c>
      <c r="H74" s="15" t="s">
        <v>1040</v>
      </c>
      <c r="I74" s="690" t="s">
        <v>5084</v>
      </c>
      <c r="J74" s="175" t="s">
        <v>5085</v>
      </c>
      <c r="K74" s="175" t="s">
        <v>5086</v>
      </c>
      <c r="L74" s="432" t="s">
        <v>5087</v>
      </c>
      <c r="M74" s="391" t="s">
        <v>5075</v>
      </c>
      <c r="N74" s="689" t="s">
        <v>5088</v>
      </c>
      <c r="O74" s="175"/>
      <c r="P74" s="321"/>
      <c r="Q74" s="321"/>
    </row>
    <row r="75" ht="14.25" customHeight="1">
      <c r="A75" s="253">
        <v>62.0</v>
      </c>
      <c r="B75" s="175" t="s">
        <v>100</v>
      </c>
      <c r="C75" s="175" t="s">
        <v>5077</v>
      </c>
      <c r="D75" s="175" t="s">
        <v>4829</v>
      </c>
      <c r="E75" s="175" t="s">
        <v>70</v>
      </c>
      <c r="F75" s="177">
        <v>1.76E7</v>
      </c>
      <c r="G75" s="175" t="s">
        <v>5078</v>
      </c>
      <c r="H75" s="15" t="s">
        <v>1040</v>
      </c>
      <c r="I75" s="690" t="s">
        <v>5089</v>
      </c>
      <c r="J75" s="175" t="s">
        <v>5090</v>
      </c>
      <c r="K75" s="178" t="s">
        <v>5091</v>
      </c>
      <c r="L75" s="17" t="s">
        <v>5092</v>
      </c>
      <c r="M75" s="391" t="s">
        <v>5075</v>
      </c>
      <c r="N75" s="175" t="s">
        <v>5093</v>
      </c>
      <c r="O75" s="175"/>
      <c r="P75" s="321"/>
      <c r="Q75" s="321"/>
    </row>
    <row r="76" ht="14.25" customHeight="1">
      <c r="A76" s="253">
        <v>63.0</v>
      </c>
      <c r="B76" s="175" t="s">
        <v>100</v>
      </c>
      <c r="C76" s="175" t="s">
        <v>5077</v>
      </c>
      <c r="D76" s="175" t="s">
        <v>4829</v>
      </c>
      <c r="E76" s="175" t="s">
        <v>70</v>
      </c>
      <c r="F76" s="177">
        <v>1.76E7</v>
      </c>
      <c r="G76" s="175" t="s">
        <v>5078</v>
      </c>
      <c r="H76" s="15" t="s">
        <v>1040</v>
      </c>
      <c r="I76" s="690" t="s">
        <v>5094</v>
      </c>
      <c r="J76" s="175" t="s">
        <v>5095</v>
      </c>
      <c r="K76" s="175" t="s">
        <v>5096</v>
      </c>
      <c r="L76" s="432" t="s">
        <v>5097</v>
      </c>
      <c r="M76" s="391" t="s">
        <v>5075</v>
      </c>
      <c r="N76" s="175" t="s">
        <v>5098</v>
      </c>
      <c r="O76" s="175"/>
      <c r="P76" s="175" t="s">
        <v>5099</v>
      </c>
      <c r="Q76" s="320" t="s">
        <v>2603</v>
      </c>
    </row>
    <row r="77" ht="14.25" customHeight="1">
      <c r="A77" s="253">
        <v>64.0</v>
      </c>
      <c r="B77" s="175" t="s">
        <v>100</v>
      </c>
      <c r="C77" s="175" t="s">
        <v>5077</v>
      </c>
      <c r="D77" s="175" t="s">
        <v>4829</v>
      </c>
      <c r="E77" s="175" t="s">
        <v>70</v>
      </c>
      <c r="F77" s="177">
        <v>1.76E7</v>
      </c>
      <c r="G77" s="175" t="s">
        <v>5078</v>
      </c>
      <c r="H77" s="175" t="s">
        <v>1040</v>
      </c>
      <c r="I77" s="178" t="s">
        <v>5100</v>
      </c>
      <c r="J77" s="175" t="s">
        <v>5101</v>
      </c>
      <c r="K77" s="175" t="s">
        <v>5102</v>
      </c>
      <c r="L77" s="432" t="s">
        <v>5103</v>
      </c>
      <c r="M77" s="391" t="s">
        <v>5075</v>
      </c>
      <c r="N77" s="175" t="s">
        <v>5104</v>
      </c>
      <c r="O77" s="175"/>
      <c r="P77" s="321"/>
      <c r="Q77" s="321"/>
    </row>
    <row r="78" ht="14.25" customHeight="1">
      <c r="A78" s="253">
        <v>65.0</v>
      </c>
      <c r="B78" s="175" t="s">
        <v>100</v>
      </c>
      <c r="C78" s="175" t="s">
        <v>5077</v>
      </c>
      <c r="D78" s="175" t="s">
        <v>4829</v>
      </c>
      <c r="E78" s="175" t="s">
        <v>70</v>
      </c>
      <c r="F78" s="177">
        <v>1.76E7</v>
      </c>
      <c r="G78" s="175" t="s">
        <v>5078</v>
      </c>
      <c r="H78" s="15" t="s">
        <v>1040</v>
      </c>
      <c r="I78" s="690" t="s">
        <v>5105</v>
      </c>
      <c r="J78" s="175" t="s">
        <v>5106</v>
      </c>
      <c r="K78" s="175" t="s">
        <v>5107</v>
      </c>
      <c r="L78" s="432" t="s">
        <v>5108</v>
      </c>
      <c r="M78" s="391" t="s">
        <v>5075</v>
      </c>
      <c r="N78" s="178" t="s">
        <v>5109</v>
      </c>
      <c r="O78" s="175"/>
      <c r="P78" s="321"/>
      <c r="Q78" s="321"/>
    </row>
    <row r="79" ht="14.25" customHeight="1">
      <c r="A79" s="253">
        <v>66.0</v>
      </c>
      <c r="B79" s="175" t="s">
        <v>100</v>
      </c>
      <c r="C79" s="175" t="s">
        <v>5077</v>
      </c>
      <c r="D79" s="175" t="s">
        <v>4829</v>
      </c>
      <c r="E79" s="175" t="s">
        <v>70</v>
      </c>
      <c r="F79" s="177">
        <v>1.76E7</v>
      </c>
      <c r="G79" s="175" t="s">
        <v>5078</v>
      </c>
      <c r="H79" s="15" t="s">
        <v>1040</v>
      </c>
      <c r="I79" s="690" t="s">
        <v>5110</v>
      </c>
      <c r="J79" s="175" t="s">
        <v>5111</v>
      </c>
      <c r="K79" s="178" t="s">
        <v>5112</v>
      </c>
      <c r="L79" s="17" t="s">
        <v>5113</v>
      </c>
      <c r="M79" s="391" t="s">
        <v>5075</v>
      </c>
      <c r="N79" s="689" t="s">
        <v>5114</v>
      </c>
      <c r="O79" s="175"/>
      <c r="P79" s="321"/>
      <c r="Q79" s="321"/>
    </row>
    <row r="80" ht="14.25" customHeight="1">
      <c r="A80" s="253">
        <v>67.0</v>
      </c>
      <c r="B80" s="175" t="s">
        <v>100</v>
      </c>
      <c r="C80" s="175" t="s">
        <v>5077</v>
      </c>
      <c r="D80" s="175" t="s">
        <v>4829</v>
      </c>
      <c r="E80" s="175" t="s">
        <v>70</v>
      </c>
      <c r="F80" s="177">
        <v>1.76E7</v>
      </c>
      <c r="G80" s="175" t="s">
        <v>5078</v>
      </c>
      <c r="H80" s="175" t="s">
        <v>1040</v>
      </c>
      <c r="I80" s="175" t="s">
        <v>5115</v>
      </c>
      <c r="J80" s="175" t="s">
        <v>5116</v>
      </c>
      <c r="K80" s="175"/>
      <c r="L80" s="175" t="s">
        <v>5117</v>
      </c>
      <c r="M80" s="391" t="s">
        <v>5075</v>
      </c>
      <c r="N80" s="175" t="s">
        <v>5118</v>
      </c>
      <c r="O80" s="175"/>
      <c r="P80" s="321"/>
      <c r="Q80" s="321"/>
    </row>
    <row r="81" ht="14.25" customHeight="1">
      <c r="A81" s="253">
        <v>68.0</v>
      </c>
      <c r="B81" s="175" t="s">
        <v>100</v>
      </c>
      <c r="C81" s="175" t="s">
        <v>5077</v>
      </c>
      <c r="D81" s="175" t="s">
        <v>4829</v>
      </c>
      <c r="E81" s="175" t="s">
        <v>70</v>
      </c>
      <c r="F81" s="177">
        <v>1.76E7</v>
      </c>
      <c r="G81" s="175" t="s">
        <v>5078</v>
      </c>
      <c r="H81" s="15" t="s">
        <v>1040</v>
      </c>
      <c r="I81" s="178" t="s">
        <v>5119</v>
      </c>
      <c r="J81" s="175" t="s">
        <v>5120</v>
      </c>
      <c r="K81" s="175" t="s">
        <v>5121</v>
      </c>
      <c r="L81" s="432" t="s">
        <v>5122</v>
      </c>
      <c r="M81" s="391" t="s">
        <v>5075</v>
      </c>
      <c r="N81" s="175" t="s">
        <v>5123</v>
      </c>
      <c r="O81" s="175"/>
      <c r="P81" s="321"/>
      <c r="Q81" s="321"/>
    </row>
    <row r="82" ht="14.25" customHeight="1">
      <c r="A82" s="253">
        <v>69.0</v>
      </c>
      <c r="B82" s="175" t="s">
        <v>100</v>
      </c>
      <c r="C82" s="175" t="s">
        <v>5077</v>
      </c>
      <c r="D82" s="175" t="s">
        <v>4829</v>
      </c>
      <c r="E82" s="175" t="s">
        <v>70</v>
      </c>
      <c r="F82" s="177">
        <v>1.76E7</v>
      </c>
      <c r="G82" s="175" t="s">
        <v>5078</v>
      </c>
      <c r="H82" s="175" t="s">
        <v>1040</v>
      </c>
      <c r="I82" s="178" t="s">
        <v>5124</v>
      </c>
      <c r="J82" s="178" t="s">
        <v>5125</v>
      </c>
      <c r="K82" s="178" t="s">
        <v>5126</v>
      </c>
      <c r="L82" s="17" t="s">
        <v>5127</v>
      </c>
      <c r="M82" s="391" t="s">
        <v>5075</v>
      </c>
      <c r="N82" s="175" t="s">
        <v>5128</v>
      </c>
      <c r="O82" s="175"/>
      <c r="P82" s="321"/>
      <c r="Q82" s="321"/>
    </row>
    <row r="83" ht="14.25" customHeight="1">
      <c r="A83" s="253">
        <v>70.0</v>
      </c>
      <c r="B83" s="175" t="s">
        <v>100</v>
      </c>
      <c r="C83" s="175" t="s">
        <v>5077</v>
      </c>
      <c r="D83" s="175" t="s">
        <v>4829</v>
      </c>
      <c r="E83" s="175" t="s">
        <v>70</v>
      </c>
      <c r="F83" s="177">
        <v>1.76E7</v>
      </c>
      <c r="G83" s="175" t="s">
        <v>5078</v>
      </c>
      <c r="H83" s="175" t="s">
        <v>1040</v>
      </c>
      <c r="I83" s="175" t="s">
        <v>5129</v>
      </c>
      <c r="J83" s="175" t="s">
        <v>5130</v>
      </c>
      <c r="K83" s="175" t="s">
        <v>5131</v>
      </c>
      <c r="L83" s="432" t="s">
        <v>5132</v>
      </c>
      <c r="M83" s="391" t="s">
        <v>5075</v>
      </c>
      <c r="N83" s="175" t="s">
        <v>5133</v>
      </c>
      <c r="O83" s="175"/>
      <c r="P83" s="321"/>
      <c r="Q83" s="321"/>
    </row>
    <row r="84" ht="14.25" customHeight="1">
      <c r="A84" s="253">
        <v>71.0</v>
      </c>
      <c r="B84" s="175" t="s">
        <v>100</v>
      </c>
      <c r="C84" s="175" t="s">
        <v>5077</v>
      </c>
      <c r="D84" s="175" t="s">
        <v>4829</v>
      </c>
      <c r="E84" s="175" t="s">
        <v>70</v>
      </c>
      <c r="F84" s="177">
        <v>1.39E7</v>
      </c>
      <c r="G84" s="175" t="s">
        <v>5134</v>
      </c>
      <c r="H84" s="175" t="s">
        <v>1040</v>
      </c>
      <c r="I84" s="178" t="s">
        <v>5135</v>
      </c>
      <c r="J84" s="175" t="s">
        <v>5136</v>
      </c>
      <c r="K84" s="175" t="s">
        <v>5137</v>
      </c>
      <c r="L84" s="432" t="s">
        <v>5138</v>
      </c>
      <c r="M84" s="391" t="s">
        <v>5075</v>
      </c>
      <c r="N84" s="175" t="s">
        <v>5139</v>
      </c>
      <c r="O84" s="175"/>
      <c r="P84" s="321"/>
      <c r="Q84" s="321"/>
    </row>
    <row r="85" ht="14.25" customHeight="1">
      <c r="A85" s="253">
        <v>72.0</v>
      </c>
      <c r="B85" s="175" t="s">
        <v>100</v>
      </c>
      <c r="C85" s="175" t="s">
        <v>5077</v>
      </c>
      <c r="D85" s="175" t="s">
        <v>4829</v>
      </c>
      <c r="E85" s="175" t="s">
        <v>70</v>
      </c>
      <c r="F85" s="177">
        <v>1.39E7</v>
      </c>
      <c r="G85" s="175" t="s">
        <v>5134</v>
      </c>
      <c r="H85" s="175" t="s">
        <v>1040</v>
      </c>
      <c r="I85" s="178" t="s">
        <v>5140</v>
      </c>
      <c r="J85" s="175" t="s">
        <v>5141</v>
      </c>
      <c r="K85" s="175" t="s">
        <v>5142</v>
      </c>
      <c r="L85" s="432" t="s">
        <v>5143</v>
      </c>
      <c r="M85" s="391" t="s">
        <v>5075</v>
      </c>
      <c r="N85" s="175" t="s">
        <v>5144</v>
      </c>
      <c r="O85" s="175"/>
      <c r="P85" s="321"/>
      <c r="Q85" s="321"/>
    </row>
    <row r="86" ht="14.25" customHeight="1">
      <c r="A86" s="253">
        <v>73.0</v>
      </c>
      <c r="B86" s="175" t="s">
        <v>100</v>
      </c>
      <c r="C86" s="175" t="s">
        <v>5077</v>
      </c>
      <c r="D86" s="175" t="s">
        <v>4829</v>
      </c>
      <c r="E86" s="175" t="s">
        <v>70</v>
      </c>
      <c r="F86" s="177">
        <v>1.39E7</v>
      </c>
      <c r="G86" s="175" t="s">
        <v>5134</v>
      </c>
      <c r="H86" s="15" t="s">
        <v>1040</v>
      </c>
      <c r="I86" s="690" t="s">
        <v>5145</v>
      </c>
      <c r="J86" s="178" t="s">
        <v>5146</v>
      </c>
      <c r="K86" s="178" t="s">
        <v>5147</v>
      </c>
      <c r="L86" s="432" t="s">
        <v>5148</v>
      </c>
      <c r="M86" s="391" t="s">
        <v>5075</v>
      </c>
      <c r="N86" s="178" t="s">
        <v>5149</v>
      </c>
      <c r="O86" s="175"/>
      <c r="P86" s="321"/>
      <c r="Q86" s="321"/>
    </row>
    <row r="87" ht="14.25" customHeight="1">
      <c r="A87" s="253">
        <v>74.0</v>
      </c>
      <c r="B87" s="175" t="s">
        <v>100</v>
      </c>
      <c r="C87" s="175" t="s">
        <v>5077</v>
      </c>
      <c r="D87" s="175" t="s">
        <v>4829</v>
      </c>
      <c r="E87" s="175" t="s">
        <v>70</v>
      </c>
      <c r="F87" s="177">
        <v>1.39E7</v>
      </c>
      <c r="G87" s="175" t="s">
        <v>5134</v>
      </c>
      <c r="H87" s="15" t="s">
        <v>1040</v>
      </c>
      <c r="I87" s="690" t="s">
        <v>5150</v>
      </c>
      <c r="J87" s="178" t="s">
        <v>5151</v>
      </c>
      <c r="K87" s="175" t="s">
        <v>5152</v>
      </c>
      <c r="L87" s="432" t="s">
        <v>5153</v>
      </c>
      <c r="M87" s="391" t="s">
        <v>5075</v>
      </c>
      <c r="N87" s="175" t="s">
        <v>5154</v>
      </c>
      <c r="O87" s="175"/>
      <c r="P87" s="321"/>
      <c r="Q87" s="321"/>
    </row>
    <row r="88" ht="14.25" customHeight="1">
      <c r="A88" s="253">
        <v>75.0</v>
      </c>
      <c r="B88" s="175" t="s">
        <v>100</v>
      </c>
      <c r="C88" s="175" t="s">
        <v>5077</v>
      </c>
      <c r="D88" s="175" t="s">
        <v>4829</v>
      </c>
      <c r="E88" s="175" t="s">
        <v>70</v>
      </c>
      <c r="F88" s="177">
        <v>1.39E7</v>
      </c>
      <c r="G88" s="175" t="s">
        <v>5134</v>
      </c>
      <c r="H88" s="175" t="s">
        <v>1040</v>
      </c>
      <c r="I88" s="178" t="s">
        <v>5155</v>
      </c>
      <c r="J88" s="178" t="s">
        <v>5156</v>
      </c>
      <c r="K88" s="178" t="s">
        <v>5157</v>
      </c>
      <c r="L88" s="432" t="s">
        <v>5158</v>
      </c>
      <c r="M88" s="391" t="s">
        <v>5075</v>
      </c>
      <c r="N88" s="175" t="s">
        <v>5159</v>
      </c>
      <c r="O88" s="175"/>
      <c r="P88" s="321"/>
      <c r="Q88" s="321"/>
    </row>
    <row r="89" ht="14.25" customHeight="1">
      <c r="A89" s="253">
        <v>76.0</v>
      </c>
      <c r="B89" s="175" t="s">
        <v>100</v>
      </c>
      <c r="C89" s="175" t="s">
        <v>5077</v>
      </c>
      <c r="D89" s="175" t="s">
        <v>4829</v>
      </c>
      <c r="E89" s="175" t="s">
        <v>70</v>
      </c>
      <c r="F89" s="177">
        <v>1.39E7</v>
      </c>
      <c r="G89" s="175" t="s">
        <v>5134</v>
      </c>
      <c r="H89" s="175" t="s">
        <v>1040</v>
      </c>
      <c r="I89" s="178" t="s">
        <v>5160</v>
      </c>
      <c r="J89" s="178" t="s">
        <v>5161</v>
      </c>
      <c r="K89" s="178" t="s">
        <v>5162</v>
      </c>
      <c r="L89" s="17" t="s">
        <v>5163</v>
      </c>
      <c r="M89" s="391" t="s">
        <v>5075</v>
      </c>
      <c r="N89" s="175" t="s">
        <v>5164</v>
      </c>
      <c r="O89" s="175"/>
      <c r="P89" s="321"/>
      <c r="Q89" s="321"/>
    </row>
    <row r="90" ht="14.25" customHeight="1">
      <c r="A90" s="253">
        <v>78.0</v>
      </c>
      <c r="B90" s="175" t="s">
        <v>100</v>
      </c>
      <c r="C90" s="175" t="s">
        <v>5077</v>
      </c>
      <c r="D90" s="175" t="s">
        <v>4829</v>
      </c>
      <c r="E90" s="175" t="s">
        <v>70</v>
      </c>
      <c r="F90" s="177">
        <v>1.39E7</v>
      </c>
      <c r="G90" s="175" t="s">
        <v>5134</v>
      </c>
      <c r="H90" s="175" t="s">
        <v>1040</v>
      </c>
      <c r="I90" s="178" t="s">
        <v>5165</v>
      </c>
      <c r="J90" s="178" t="s">
        <v>5166</v>
      </c>
      <c r="K90" s="178" t="s">
        <v>5167</v>
      </c>
      <c r="L90" s="17" t="s">
        <v>5168</v>
      </c>
      <c r="M90" s="391" t="s">
        <v>5075</v>
      </c>
      <c r="N90" s="175" t="s">
        <v>5169</v>
      </c>
      <c r="O90" s="175"/>
      <c r="P90" s="321"/>
      <c r="Q90" s="321"/>
    </row>
    <row r="91" ht="14.25" customHeight="1">
      <c r="A91" s="253">
        <v>79.0</v>
      </c>
      <c r="B91" s="175" t="s">
        <v>100</v>
      </c>
      <c r="C91" s="175" t="s">
        <v>5170</v>
      </c>
      <c r="D91" s="175" t="s">
        <v>4829</v>
      </c>
      <c r="E91" s="175" t="s">
        <v>70</v>
      </c>
      <c r="F91" s="177">
        <v>1.496E7</v>
      </c>
      <c r="G91" s="175" t="s">
        <v>5171</v>
      </c>
      <c r="H91" s="15" t="s">
        <v>1076</v>
      </c>
      <c r="I91" s="15" t="s">
        <v>5172</v>
      </c>
      <c r="J91" s="175" t="s">
        <v>5173</v>
      </c>
      <c r="K91" s="175" t="s">
        <v>5174</v>
      </c>
      <c r="L91" s="432" t="s">
        <v>5175</v>
      </c>
      <c r="M91" s="391" t="s">
        <v>5176</v>
      </c>
      <c r="N91" s="175" t="s">
        <v>5177</v>
      </c>
      <c r="O91" s="175"/>
      <c r="P91" s="321"/>
      <c r="Q91" s="321"/>
    </row>
    <row r="92" ht="14.25" customHeight="1">
      <c r="A92" s="253">
        <v>80.0</v>
      </c>
      <c r="B92" s="175" t="s">
        <v>100</v>
      </c>
      <c r="C92" s="175" t="s">
        <v>5170</v>
      </c>
      <c r="D92" s="175" t="s">
        <v>4829</v>
      </c>
      <c r="E92" s="175" t="s">
        <v>70</v>
      </c>
      <c r="F92" s="177">
        <v>1.496E7</v>
      </c>
      <c r="G92" s="175" t="s">
        <v>5171</v>
      </c>
      <c r="H92" s="15" t="s">
        <v>1076</v>
      </c>
      <c r="I92" s="15" t="s">
        <v>5178</v>
      </c>
      <c r="J92" s="175" t="s">
        <v>5179</v>
      </c>
      <c r="K92" s="175" t="s">
        <v>5180</v>
      </c>
      <c r="L92" s="432" t="s">
        <v>5181</v>
      </c>
      <c r="M92" s="391" t="s">
        <v>5176</v>
      </c>
      <c r="N92" s="690" t="s">
        <v>5182</v>
      </c>
      <c r="O92" s="175"/>
      <c r="P92" s="321"/>
      <c r="Q92" s="321"/>
    </row>
    <row r="93" ht="14.25" customHeight="1">
      <c r="A93" s="253">
        <v>81.0</v>
      </c>
      <c r="B93" s="175" t="s">
        <v>100</v>
      </c>
      <c r="C93" s="175" t="s">
        <v>5170</v>
      </c>
      <c r="D93" s="175" t="s">
        <v>4829</v>
      </c>
      <c r="E93" s="175" t="s">
        <v>70</v>
      </c>
      <c r="F93" s="177">
        <v>1.496E7</v>
      </c>
      <c r="G93" s="175" t="s">
        <v>5171</v>
      </c>
      <c r="H93" s="175" t="s">
        <v>1076</v>
      </c>
      <c r="I93" s="175" t="s">
        <v>5183</v>
      </c>
      <c r="J93" s="175" t="s">
        <v>5184</v>
      </c>
      <c r="K93" s="175" t="s">
        <v>5185</v>
      </c>
      <c r="L93" s="432" t="s">
        <v>5186</v>
      </c>
      <c r="M93" s="391" t="s">
        <v>5176</v>
      </c>
      <c r="N93" s="175"/>
      <c r="O93" s="175"/>
      <c r="P93" s="321"/>
      <c r="Q93" s="321"/>
    </row>
    <row r="94" ht="14.25" customHeight="1">
      <c r="A94" s="253">
        <v>82.0</v>
      </c>
      <c r="B94" s="175" t="s">
        <v>100</v>
      </c>
      <c r="C94" s="175" t="s">
        <v>5170</v>
      </c>
      <c r="D94" s="175" t="s">
        <v>4829</v>
      </c>
      <c r="E94" s="175" t="s">
        <v>70</v>
      </c>
      <c r="F94" s="177">
        <v>1.496E7</v>
      </c>
      <c r="G94" s="175" t="s">
        <v>5171</v>
      </c>
      <c r="H94" s="15" t="s">
        <v>1076</v>
      </c>
      <c r="I94" s="175" t="s">
        <v>5187</v>
      </c>
      <c r="J94" s="175" t="s">
        <v>5188</v>
      </c>
      <c r="K94" s="175" t="s">
        <v>5189</v>
      </c>
      <c r="L94" s="432" t="s">
        <v>5190</v>
      </c>
      <c r="M94" s="391" t="s">
        <v>5176</v>
      </c>
      <c r="N94" s="175" t="s">
        <v>5191</v>
      </c>
      <c r="O94" s="175"/>
      <c r="P94" s="321"/>
      <c r="Q94" s="321"/>
    </row>
    <row r="95" ht="14.25" customHeight="1">
      <c r="A95" s="253">
        <v>83.0</v>
      </c>
      <c r="B95" s="175" t="s">
        <v>100</v>
      </c>
      <c r="C95" s="175" t="s">
        <v>5170</v>
      </c>
      <c r="D95" s="175" t="s">
        <v>4829</v>
      </c>
      <c r="E95" s="175" t="s">
        <v>70</v>
      </c>
      <c r="F95" s="177">
        <v>1.496E7</v>
      </c>
      <c r="G95" s="175" t="s">
        <v>5171</v>
      </c>
      <c r="H95" s="15" t="s">
        <v>1076</v>
      </c>
      <c r="I95" s="175" t="s">
        <v>5192</v>
      </c>
      <c r="J95" s="175" t="s">
        <v>5193</v>
      </c>
      <c r="K95" s="175" t="s">
        <v>5194</v>
      </c>
      <c r="L95" s="432" t="s">
        <v>5195</v>
      </c>
      <c r="M95" s="391" t="s">
        <v>5176</v>
      </c>
      <c r="N95" s="175" t="s">
        <v>5196</v>
      </c>
      <c r="O95" s="175"/>
      <c r="P95" s="321"/>
      <c r="Q95" s="321"/>
    </row>
    <row r="96" ht="14.25" customHeight="1">
      <c r="A96" s="253">
        <v>84.0</v>
      </c>
      <c r="B96" s="175" t="s">
        <v>100</v>
      </c>
      <c r="C96" s="175" t="s">
        <v>5170</v>
      </c>
      <c r="D96" s="175" t="s">
        <v>4829</v>
      </c>
      <c r="E96" s="175" t="s">
        <v>70</v>
      </c>
      <c r="F96" s="177">
        <v>2.2555E7</v>
      </c>
      <c r="G96" s="175" t="s">
        <v>5197</v>
      </c>
      <c r="H96" s="175" t="s">
        <v>1076</v>
      </c>
      <c r="I96" s="175" t="s">
        <v>5198</v>
      </c>
      <c r="J96" s="175" t="s">
        <v>5199</v>
      </c>
      <c r="K96" s="175" t="s">
        <v>5200</v>
      </c>
      <c r="L96" s="432" t="s">
        <v>5201</v>
      </c>
      <c r="M96" s="391" t="s">
        <v>5176</v>
      </c>
      <c r="N96" s="175" t="s">
        <v>5202</v>
      </c>
      <c r="O96" s="175"/>
      <c r="P96" s="321"/>
      <c r="Q96" s="321"/>
    </row>
    <row r="97" ht="14.25" customHeight="1">
      <c r="A97" s="253">
        <v>85.0</v>
      </c>
      <c r="B97" s="175" t="s">
        <v>100</v>
      </c>
      <c r="C97" s="175" t="s">
        <v>5170</v>
      </c>
      <c r="D97" s="175" t="s">
        <v>4829</v>
      </c>
      <c r="E97" s="175" t="s">
        <v>70</v>
      </c>
      <c r="F97" s="177">
        <v>2.2555E7</v>
      </c>
      <c r="G97" s="175" t="s">
        <v>5197</v>
      </c>
      <c r="H97" s="15" t="s">
        <v>1076</v>
      </c>
      <c r="I97" s="15" t="s">
        <v>5203</v>
      </c>
      <c r="J97" s="175" t="s">
        <v>5204</v>
      </c>
      <c r="K97" s="175" t="s">
        <v>5205</v>
      </c>
      <c r="L97" s="432" t="s">
        <v>5206</v>
      </c>
      <c r="M97" s="391" t="s">
        <v>5176</v>
      </c>
      <c r="N97" s="178" t="s">
        <v>5207</v>
      </c>
      <c r="O97" s="175"/>
      <c r="P97" s="321"/>
      <c r="Q97" s="321"/>
    </row>
    <row r="98" ht="14.25" customHeight="1">
      <c r="A98" s="253">
        <v>86.0</v>
      </c>
      <c r="B98" s="175" t="s">
        <v>100</v>
      </c>
      <c r="C98" s="175" t="s">
        <v>5170</v>
      </c>
      <c r="D98" s="175" t="s">
        <v>4829</v>
      </c>
      <c r="E98" s="175" t="s">
        <v>70</v>
      </c>
      <c r="F98" s="177">
        <v>2.2555E7</v>
      </c>
      <c r="G98" s="175" t="s">
        <v>5197</v>
      </c>
      <c r="H98" s="15" t="s">
        <v>1076</v>
      </c>
      <c r="I98" s="15" t="s">
        <v>5208</v>
      </c>
      <c r="J98" s="175" t="s">
        <v>5209</v>
      </c>
      <c r="K98" s="175" t="s">
        <v>5210</v>
      </c>
      <c r="L98" s="432" t="s">
        <v>5211</v>
      </c>
      <c r="M98" s="391" t="s">
        <v>5176</v>
      </c>
      <c r="N98" s="178" t="s">
        <v>5212</v>
      </c>
      <c r="O98" s="175"/>
      <c r="P98" s="321"/>
      <c r="Q98" s="321"/>
    </row>
    <row r="99" ht="14.25" customHeight="1">
      <c r="A99" s="253">
        <v>87.0</v>
      </c>
      <c r="B99" s="175" t="s">
        <v>100</v>
      </c>
      <c r="C99" s="175" t="s">
        <v>5170</v>
      </c>
      <c r="D99" s="175" t="s">
        <v>4829</v>
      </c>
      <c r="E99" s="175" t="s">
        <v>70</v>
      </c>
      <c r="F99" s="177">
        <v>2.2555E7</v>
      </c>
      <c r="G99" s="175" t="s">
        <v>5197</v>
      </c>
      <c r="H99" s="175" t="s">
        <v>1076</v>
      </c>
      <c r="I99" s="15" t="s">
        <v>5213</v>
      </c>
      <c r="J99" s="175" t="s">
        <v>5214</v>
      </c>
      <c r="K99" s="175" t="s">
        <v>5215</v>
      </c>
      <c r="L99" s="432" t="s">
        <v>5216</v>
      </c>
      <c r="M99" s="391" t="s">
        <v>5176</v>
      </c>
      <c r="N99" s="178" t="s">
        <v>5217</v>
      </c>
      <c r="O99" s="175"/>
      <c r="P99" s="321"/>
      <c r="Q99" s="321"/>
    </row>
    <row r="100" ht="14.25" customHeight="1">
      <c r="A100" s="253">
        <v>88.0</v>
      </c>
      <c r="B100" s="175" t="s">
        <v>100</v>
      </c>
      <c r="C100" s="175" t="s">
        <v>5170</v>
      </c>
      <c r="D100" s="175" t="s">
        <v>4829</v>
      </c>
      <c r="E100" s="175" t="s">
        <v>70</v>
      </c>
      <c r="F100" s="177">
        <v>2.2555E7</v>
      </c>
      <c r="G100" s="175" t="s">
        <v>5197</v>
      </c>
      <c r="H100" s="15" t="s">
        <v>1076</v>
      </c>
      <c r="I100" s="15" t="s">
        <v>5218</v>
      </c>
      <c r="J100" s="175" t="s">
        <v>5219</v>
      </c>
      <c r="K100" s="175" t="s">
        <v>5220</v>
      </c>
      <c r="L100" s="432" t="s">
        <v>5221</v>
      </c>
      <c r="M100" s="391" t="s">
        <v>5176</v>
      </c>
      <c r="N100" s="178" t="s">
        <v>5222</v>
      </c>
      <c r="O100" s="175"/>
      <c r="P100" s="321"/>
      <c r="Q100" s="321"/>
    </row>
    <row r="101" ht="14.25" customHeight="1">
      <c r="A101" s="253">
        <v>89.0</v>
      </c>
      <c r="B101" s="175" t="s">
        <v>100</v>
      </c>
      <c r="C101" s="175" t="s">
        <v>5170</v>
      </c>
      <c r="D101" s="175" t="s">
        <v>4829</v>
      </c>
      <c r="E101" s="175" t="s">
        <v>70</v>
      </c>
      <c r="F101" s="177">
        <v>2.2555E7</v>
      </c>
      <c r="G101" s="175" t="s">
        <v>5197</v>
      </c>
      <c r="H101" s="15" t="s">
        <v>1076</v>
      </c>
      <c r="I101" s="15" t="s">
        <v>5223</v>
      </c>
      <c r="J101" s="175" t="s">
        <v>5224</v>
      </c>
      <c r="K101" s="175" t="s">
        <v>5225</v>
      </c>
      <c r="L101" s="432" t="s">
        <v>5226</v>
      </c>
      <c r="M101" s="391" t="s">
        <v>5176</v>
      </c>
      <c r="N101" s="178" t="s">
        <v>5227</v>
      </c>
      <c r="O101" s="175"/>
      <c r="P101" s="321"/>
      <c r="Q101" s="321"/>
    </row>
    <row r="102" ht="14.25" customHeight="1">
      <c r="A102" s="253">
        <v>90.0</v>
      </c>
      <c r="B102" s="175" t="s">
        <v>100</v>
      </c>
      <c r="C102" s="175" t="s">
        <v>5170</v>
      </c>
      <c r="D102" s="175" t="s">
        <v>4829</v>
      </c>
      <c r="E102" s="175" t="s">
        <v>70</v>
      </c>
      <c r="F102" s="177">
        <v>1.69E7</v>
      </c>
      <c r="G102" s="175" t="s">
        <v>5228</v>
      </c>
      <c r="H102" s="15" t="s">
        <v>1076</v>
      </c>
      <c r="I102" s="15" t="s">
        <v>5229</v>
      </c>
      <c r="J102" s="175" t="s">
        <v>5230</v>
      </c>
      <c r="K102" s="175" t="s">
        <v>5231</v>
      </c>
      <c r="L102" s="432" t="s">
        <v>5232</v>
      </c>
      <c r="M102" s="391" t="s">
        <v>5176</v>
      </c>
      <c r="N102" s="175" t="s">
        <v>5233</v>
      </c>
      <c r="O102" s="175"/>
      <c r="P102" s="321"/>
      <c r="Q102" s="321"/>
    </row>
    <row r="103" ht="14.25" customHeight="1">
      <c r="A103" s="253">
        <v>91.0</v>
      </c>
      <c r="B103" s="175" t="s">
        <v>100</v>
      </c>
      <c r="C103" s="175" t="s">
        <v>5170</v>
      </c>
      <c r="D103" s="175" t="s">
        <v>4829</v>
      </c>
      <c r="E103" s="175" t="s">
        <v>70</v>
      </c>
      <c r="F103" s="177">
        <v>1.69E7</v>
      </c>
      <c r="G103" s="175" t="s">
        <v>5228</v>
      </c>
      <c r="H103" s="15" t="s">
        <v>1076</v>
      </c>
      <c r="I103" s="15" t="s">
        <v>5234</v>
      </c>
      <c r="J103" s="175" t="s">
        <v>5235</v>
      </c>
      <c r="K103" s="175" t="s">
        <v>5236</v>
      </c>
      <c r="L103" s="432" t="s">
        <v>5237</v>
      </c>
      <c r="M103" s="391" t="s">
        <v>5176</v>
      </c>
      <c r="N103" s="175" t="s">
        <v>5238</v>
      </c>
      <c r="O103" s="175"/>
      <c r="P103" s="321"/>
      <c r="Q103" s="321"/>
    </row>
    <row r="104" ht="14.25" customHeight="1">
      <c r="A104" s="253">
        <v>92.0</v>
      </c>
      <c r="B104" s="175" t="s">
        <v>100</v>
      </c>
      <c r="C104" s="175" t="s">
        <v>5170</v>
      </c>
      <c r="D104" s="175" t="s">
        <v>4829</v>
      </c>
      <c r="E104" s="175" t="s">
        <v>70</v>
      </c>
      <c r="F104" s="177">
        <v>1.69E7</v>
      </c>
      <c r="G104" s="175" t="s">
        <v>5228</v>
      </c>
      <c r="H104" s="15" t="s">
        <v>1076</v>
      </c>
      <c r="I104" s="15" t="s">
        <v>5239</v>
      </c>
      <c r="J104" s="175" t="s">
        <v>5240</v>
      </c>
      <c r="K104" s="175" t="s">
        <v>5241</v>
      </c>
      <c r="L104" s="432" t="s">
        <v>5242</v>
      </c>
      <c r="M104" s="391" t="s">
        <v>5176</v>
      </c>
      <c r="N104" s="175" t="s">
        <v>5243</v>
      </c>
      <c r="O104" s="175"/>
      <c r="P104" s="321"/>
      <c r="Q104" s="687" t="s">
        <v>2603</v>
      </c>
    </row>
    <row r="105" ht="14.25" customHeight="1">
      <c r="A105" s="253">
        <v>93.0</v>
      </c>
      <c r="B105" s="175" t="s">
        <v>100</v>
      </c>
      <c r="C105" s="175" t="s">
        <v>5170</v>
      </c>
      <c r="D105" s="175" t="s">
        <v>4829</v>
      </c>
      <c r="E105" s="175" t="s">
        <v>70</v>
      </c>
      <c r="F105" s="177">
        <v>1.69E7</v>
      </c>
      <c r="G105" s="175" t="s">
        <v>5228</v>
      </c>
      <c r="H105" s="15" t="s">
        <v>1076</v>
      </c>
      <c r="I105" s="15" t="s">
        <v>5244</v>
      </c>
      <c r="J105" s="175" t="s">
        <v>5245</v>
      </c>
      <c r="K105" s="175" t="s">
        <v>5246</v>
      </c>
      <c r="L105" s="432" t="s">
        <v>5247</v>
      </c>
      <c r="M105" s="391" t="s">
        <v>5176</v>
      </c>
      <c r="N105" s="178" t="s">
        <v>5248</v>
      </c>
      <c r="O105" s="175"/>
      <c r="P105" s="321"/>
      <c r="Q105" s="321"/>
    </row>
    <row r="106" ht="14.25" customHeight="1">
      <c r="A106" s="253">
        <v>94.0</v>
      </c>
      <c r="B106" s="175" t="s">
        <v>100</v>
      </c>
      <c r="C106" s="175" t="s">
        <v>5170</v>
      </c>
      <c r="D106" s="175" t="s">
        <v>4829</v>
      </c>
      <c r="E106" s="175" t="s">
        <v>70</v>
      </c>
      <c r="F106" s="177">
        <v>1.69E7</v>
      </c>
      <c r="G106" s="175" t="s">
        <v>5228</v>
      </c>
      <c r="H106" s="175" t="s">
        <v>1076</v>
      </c>
      <c r="I106" s="175" t="s">
        <v>5249</v>
      </c>
      <c r="J106" s="175" t="s">
        <v>5250</v>
      </c>
      <c r="K106" s="175" t="s">
        <v>5251</v>
      </c>
      <c r="L106" s="432" t="s">
        <v>5252</v>
      </c>
      <c r="M106" s="391" t="s">
        <v>5176</v>
      </c>
      <c r="N106" s="175" t="s">
        <v>5253</v>
      </c>
      <c r="O106" s="175"/>
      <c r="P106" s="321"/>
      <c r="Q106" s="321"/>
    </row>
    <row r="107" ht="14.25" customHeight="1">
      <c r="A107" s="253">
        <v>95.0</v>
      </c>
      <c r="B107" s="175" t="s">
        <v>100</v>
      </c>
      <c r="C107" s="175" t="s">
        <v>5170</v>
      </c>
      <c r="D107" s="175" t="s">
        <v>4829</v>
      </c>
      <c r="E107" s="175" t="s">
        <v>70</v>
      </c>
      <c r="F107" s="177">
        <v>1.69E7</v>
      </c>
      <c r="G107" s="175" t="s">
        <v>5228</v>
      </c>
      <c r="H107" s="175" t="s">
        <v>1076</v>
      </c>
      <c r="I107" s="175" t="s">
        <v>5254</v>
      </c>
      <c r="J107" s="175" t="s">
        <v>5255</v>
      </c>
      <c r="K107" s="175" t="s">
        <v>5256</v>
      </c>
      <c r="L107" s="432" t="s">
        <v>5257</v>
      </c>
      <c r="M107" s="391" t="s">
        <v>5176</v>
      </c>
      <c r="N107" s="175" t="s">
        <v>5258</v>
      </c>
      <c r="O107" s="175"/>
      <c r="P107" s="321"/>
      <c r="Q107" s="321"/>
    </row>
    <row r="108" ht="14.25" customHeight="1">
      <c r="A108" s="253">
        <v>96.0</v>
      </c>
      <c r="B108" s="175" t="s">
        <v>100</v>
      </c>
      <c r="C108" s="175" t="s">
        <v>5170</v>
      </c>
      <c r="D108" s="175" t="s">
        <v>4829</v>
      </c>
      <c r="E108" s="175" t="s">
        <v>70</v>
      </c>
      <c r="F108" s="177">
        <v>1.69E7</v>
      </c>
      <c r="G108" s="175" t="s">
        <v>5228</v>
      </c>
      <c r="H108" s="15" t="s">
        <v>1076</v>
      </c>
      <c r="I108" s="15" t="s">
        <v>5259</v>
      </c>
      <c r="J108" s="175" t="s">
        <v>5260</v>
      </c>
      <c r="K108" s="175" t="s">
        <v>5261</v>
      </c>
      <c r="L108" s="432" t="s">
        <v>5262</v>
      </c>
      <c r="M108" s="391" t="s">
        <v>5176</v>
      </c>
      <c r="N108" s="178" t="s">
        <v>5263</v>
      </c>
      <c r="O108" s="175"/>
      <c r="P108" s="321"/>
      <c r="Q108" s="321"/>
    </row>
    <row r="109" ht="14.25" customHeight="1">
      <c r="A109" s="253">
        <v>97.0</v>
      </c>
      <c r="B109" s="175" t="s">
        <v>100</v>
      </c>
      <c r="C109" s="175" t="s">
        <v>5170</v>
      </c>
      <c r="D109" s="175" t="s">
        <v>4829</v>
      </c>
      <c r="E109" s="175" t="s">
        <v>70</v>
      </c>
      <c r="F109" s="177">
        <v>1.69E7</v>
      </c>
      <c r="G109" s="175" t="s">
        <v>5228</v>
      </c>
      <c r="H109" s="15" t="s">
        <v>1076</v>
      </c>
      <c r="I109" s="15" t="s">
        <v>5264</v>
      </c>
      <c r="J109" s="175" t="s">
        <v>5265</v>
      </c>
      <c r="K109" s="175" t="s">
        <v>5266</v>
      </c>
      <c r="L109" s="432" t="s">
        <v>5267</v>
      </c>
      <c r="M109" s="391" t="s">
        <v>5176</v>
      </c>
      <c r="N109" s="178" t="s">
        <v>5268</v>
      </c>
      <c r="O109" s="175"/>
      <c r="P109" s="321"/>
      <c r="Q109" s="321"/>
    </row>
    <row r="110" ht="14.25" customHeight="1">
      <c r="A110" s="271">
        <v>98.0</v>
      </c>
      <c r="B110" s="272" t="s">
        <v>100</v>
      </c>
      <c r="C110" s="272" t="s">
        <v>5170</v>
      </c>
      <c r="D110" s="272" t="s">
        <v>4829</v>
      </c>
      <c r="E110" s="272" t="s">
        <v>70</v>
      </c>
      <c r="F110" s="273">
        <v>1.69E7</v>
      </c>
      <c r="G110" s="272" t="s">
        <v>5228</v>
      </c>
      <c r="H110" s="691" t="s">
        <v>1076</v>
      </c>
      <c r="I110" s="691" t="s">
        <v>5269</v>
      </c>
      <c r="J110" s="272" t="s">
        <v>5270</v>
      </c>
      <c r="K110" s="272" t="s">
        <v>5271</v>
      </c>
      <c r="L110" s="432" t="s">
        <v>5272</v>
      </c>
      <c r="M110" s="436" t="s">
        <v>5176</v>
      </c>
      <c r="N110" s="435" t="s">
        <v>5273</v>
      </c>
      <c r="O110" s="272"/>
      <c r="P110" s="321"/>
      <c r="Q110" s="321"/>
    </row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3:M3"/>
    <mergeCell ref="A4:M4"/>
  </mergeCells>
  <hyperlinks>
    <hyperlink r:id="rId1" ref="N38"/>
    <hyperlink r:id="rId2" ref="N74"/>
    <hyperlink r:id="rId3" ref="N79"/>
  </hyperlinks>
  <printOptions/>
  <pageMargins bottom="0.7480314960629921" footer="0.0" header="0.0" left="0.7086614173228347" right="0.7086614173228347" top="0.7480314960629921"/>
  <pageSetup paperSize="5" scale="65" orientation="landscape"/>
  <drawing r:id="rId4"/>
  <tableParts count="1">
    <tablePart r:id="rId6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40.86"/>
    <col customWidth="1" min="3" max="3" width="18.57"/>
    <col customWidth="1" min="4" max="4" width="13.43"/>
    <col customWidth="1" min="5" max="5" width="13.71"/>
    <col customWidth="1" min="6" max="6" width="18.71"/>
    <col customWidth="1" min="7" max="7" width="32.86"/>
    <col customWidth="1" min="8" max="8" width="8.43"/>
    <col customWidth="1" min="9" max="9" width="13.14"/>
    <col customWidth="1" min="10" max="10" width="27.29"/>
    <col customWidth="1" min="11" max="11" width="15.43"/>
    <col customWidth="1" min="12" max="12" width="12.43"/>
    <col customWidth="1" hidden="1" min="13" max="13" width="55.43"/>
    <col customWidth="1" min="14" max="14" width="22.14"/>
    <col customWidth="1" min="15" max="15" width="11.57"/>
    <col customWidth="1" min="16" max="16" width="25.86"/>
    <col customWidth="1" min="17" max="17" width="23.86"/>
    <col customWidth="1" min="18" max="27" width="9.0"/>
  </cols>
  <sheetData>
    <row r="1" ht="12.75" customHeight="1"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</row>
    <row r="2" ht="12.75" customHeight="1"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</row>
    <row r="3" ht="12.75" customHeight="1">
      <c r="A3" s="1" t="s">
        <v>0</v>
      </c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</row>
    <row r="4" ht="12.75" customHeight="1">
      <c r="A4" s="1" t="s">
        <v>1</v>
      </c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</row>
    <row r="5" ht="12.75" customHeight="1"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</row>
    <row r="6" ht="12.75" customHeight="1"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</row>
    <row r="7" ht="12.75" customHeight="1">
      <c r="A7" s="2" t="s">
        <v>2</v>
      </c>
      <c r="C7" s="2" t="s">
        <v>3</v>
      </c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</row>
    <row r="8" ht="12.75" customHeight="1">
      <c r="A8" s="2" t="s">
        <v>4</v>
      </c>
      <c r="C8" s="2" t="s">
        <v>5</v>
      </c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</row>
    <row r="9" ht="12.75" customHeight="1">
      <c r="A9" s="2" t="s">
        <v>6</v>
      </c>
      <c r="C9" s="2" t="s">
        <v>5274</v>
      </c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</row>
    <row r="10" ht="12.75" customHeight="1">
      <c r="A10" s="692" t="s">
        <v>8</v>
      </c>
      <c r="B10" s="170" t="s">
        <v>9</v>
      </c>
      <c r="C10" s="170" t="s">
        <v>2723</v>
      </c>
      <c r="D10" s="170" t="s">
        <v>2724</v>
      </c>
      <c r="E10" s="170" t="s">
        <v>12</v>
      </c>
      <c r="F10" s="170" t="s">
        <v>13</v>
      </c>
      <c r="G10" s="170" t="s">
        <v>14</v>
      </c>
      <c r="H10" s="170" t="s">
        <v>15</v>
      </c>
      <c r="I10" s="170" t="s">
        <v>2725</v>
      </c>
      <c r="J10" s="170" t="s">
        <v>2726</v>
      </c>
      <c r="K10" s="246" t="s">
        <v>1881</v>
      </c>
      <c r="L10" s="170" t="s">
        <v>19</v>
      </c>
      <c r="M10" s="171" t="s">
        <v>20</v>
      </c>
      <c r="N10" s="170" t="s">
        <v>1883</v>
      </c>
      <c r="O10" s="172" t="s">
        <v>5275</v>
      </c>
      <c r="P10" s="172" t="s">
        <v>5276</v>
      </c>
      <c r="Q10" s="172" t="s">
        <v>5277</v>
      </c>
      <c r="R10" s="179"/>
      <c r="S10" s="179"/>
      <c r="T10" s="179"/>
      <c r="U10" s="179"/>
      <c r="V10" s="179"/>
      <c r="W10" s="179"/>
      <c r="X10" s="179"/>
      <c r="Y10" s="179"/>
      <c r="Z10" s="179"/>
      <c r="AA10" s="179"/>
    </row>
    <row r="11" ht="12.75" customHeight="1">
      <c r="A11" s="173" t="s">
        <v>22</v>
      </c>
      <c r="B11" s="173" t="s">
        <v>23</v>
      </c>
      <c r="C11" s="173"/>
      <c r="D11" s="173"/>
      <c r="E11" s="173"/>
      <c r="F11" s="174">
        <f>SUM(F12:F14)</f>
        <v>641850000</v>
      </c>
      <c r="G11" s="173"/>
      <c r="H11" s="173"/>
      <c r="I11" s="173"/>
      <c r="J11" s="173"/>
      <c r="K11" s="173"/>
      <c r="L11" s="173"/>
      <c r="M11" s="173"/>
      <c r="N11" s="175"/>
      <c r="O11" s="431"/>
      <c r="P11" s="431"/>
      <c r="Q11" s="431"/>
      <c r="R11" s="35"/>
      <c r="S11" s="35"/>
      <c r="T11" s="35"/>
      <c r="U11" s="35"/>
      <c r="V11" s="35"/>
      <c r="W11" s="35"/>
      <c r="X11" s="35"/>
      <c r="Y11" s="35"/>
      <c r="Z11" s="35"/>
      <c r="AA11" s="35"/>
    </row>
    <row r="12" ht="12.75" customHeight="1">
      <c r="A12" s="175">
        <v>1.0</v>
      </c>
      <c r="B12" s="175" t="s">
        <v>768</v>
      </c>
      <c r="C12" s="175"/>
      <c r="D12" s="175" t="s">
        <v>5278</v>
      </c>
      <c r="E12" s="175" t="s">
        <v>931</v>
      </c>
      <c r="F12" s="177">
        <v>1.0E8</v>
      </c>
      <c r="G12" s="175" t="s">
        <v>5279</v>
      </c>
      <c r="H12" s="175" t="s">
        <v>782</v>
      </c>
      <c r="I12" s="394" t="s">
        <v>5280</v>
      </c>
      <c r="J12" s="175" t="s">
        <v>5281</v>
      </c>
      <c r="K12" s="17" t="s">
        <v>5282</v>
      </c>
      <c r="L12" s="175" t="s">
        <v>5283</v>
      </c>
      <c r="M12" s="175"/>
      <c r="N12" s="175" t="s">
        <v>931</v>
      </c>
      <c r="O12" s="678" t="s">
        <v>4630</v>
      </c>
      <c r="P12" s="320" t="s">
        <v>5284</v>
      </c>
      <c r="Q12" s="320" t="s">
        <v>5285</v>
      </c>
      <c r="R12" s="35"/>
      <c r="S12" s="35"/>
      <c r="T12" s="35"/>
      <c r="U12" s="35"/>
      <c r="V12" s="35"/>
      <c r="W12" s="35"/>
      <c r="X12" s="35"/>
      <c r="Y12" s="35"/>
      <c r="Z12" s="35"/>
      <c r="AA12" s="35"/>
    </row>
    <row r="13" ht="12.75" customHeight="1">
      <c r="A13" s="175">
        <v>2.0</v>
      </c>
      <c r="B13" s="175" t="s">
        <v>768</v>
      </c>
      <c r="C13" s="175"/>
      <c r="D13" s="175" t="s">
        <v>5278</v>
      </c>
      <c r="E13" s="175" t="s">
        <v>931</v>
      </c>
      <c r="F13" s="177">
        <v>3.2475E8</v>
      </c>
      <c r="G13" s="175" t="s">
        <v>5286</v>
      </c>
      <c r="H13" s="175" t="s">
        <v>979</v>
      </c>
      <c r="I13" s="693" t="s">
        <v>5287</v>
      </c>
      <c r="J13" s="175" t="s">
        <v>5288</v>
      </c>
      <c r="K13" s="17" t="s">
        <v>5289</v>
      </c>
      <c r="L13" s="175" t="s">
        <v>5290</v>
      </c>
      <c r="M13" s="175" t="s">
        <v>5291</v>
      </c>
      <c r="N13" s="175" t="s">
        <v>931</v>
      </c>
      <c r="O13" s="678" t="s">
        <v>4630</v>
      </c>
      <c r="P13" s="320" t="s">
        <v>5284</v>
      </c>
      <c r="Q13" s="320" t="s">
        <v>5285</v>
      </c>
      <c r="R13" s="35"/>
      <c r="S13" s="35"/>
      <c r="T13" s="35"/>
      <c r="U13" s="35"/>
      <c r="V13" s="35"/>
      <c r="W13" s="35"/>
      <c r="X13" s="35"/>
      <c r="Y13" s="35"/>
      <c r="Z13" s="35"/>
      <c r="AA13" s="35"/>
    </row>
    <row r="14" ht="12.75" customHeight="1">
      <c r="A14" s="175">
        <v>3.0</v>
      </c>
      <c r="B14" s="175" t="s">
        <v>768</v>
      </c>
      <c r="C14" s="175"/>
      <c r="D14" s="175" t="s">
        <v>5278</v>
      </c>
      <c r="E14" s="175" t="s">
        <v>70</v>
      </c>
      <c r="F14" s="177">
        <v>2.171E8</v>
      </c>
      <c r="G14" s="175" t="s">
        <v>5292</v>
      </c>
      <c r="H14" s="175" t="s">
        <v>1076</v>
      </c>
      <c r="I14" s="175" t="s">
        <v>5293</v>
      </c>
      <c r="J14" s="175" t="s">
        <v>5294</v>
      </c>
      <c r="K14" s="175"/>
      <c r="L14" s="175"/>
      <c r="M14" s="175"/>
      <c r="N14" s="175" t="s">
        <v>1904</v>
      </c>
      <c r="O14" s="320" t="s">
        <v>4618</v>
      </c>
      <c r="P14" s="320" t="s">
        <v>2859</v>
      </c>
      <c r="Q14" s="431"/>
      <c r="R14" s="35"/>
      <c r="S14" s="35"/>
      <c r="T14" s="35"/>
      <c r="U14" s="35"/>
      <c r="V14" s="35"/>
      <c r="W14" s="35"/>
      <c r="X14" s="35"/>
      <c r="Y14" s="35"/>
      <c r="Z14" s="35"/>
      <c r="AA14" s="35"/>
    </row>
    <row r="15" ht="12.75" customHeight="1">
      <c r="A15" s="173" t="s">
        <v>22</v>
      </c>
      <c r="B15" s="173" t="s">
        <v>99</v>
      </c>
      <c r="C15" s="173"/>
      <c r="D15" s="173"/>
      <c r="E15" s="173"/>
      <c r="F15" s="174">
        <f>SUM(F16:F57)</f>
        <v>640674000</v>
      </c>
      <c r="G15" s="173"/>
      <c r="H15" s="173"/>
      <c r="I15" s="173"/>
      <c r="J15" s="173"/>
      <c r="K15" s="173"/>
      <c r="L15" s="173"/>
      <c r="M15" s="173"/>
      <c r="N15" s="175"/>
      <c r="O15" s="431"/>
      <c r="P15" s="431"/>
      <c r="Q15" s="431"/>
      <c r="R15" s="35"/>
      <c r="S15" s="35"/>
      <c r="T15" s="35"/>
      <c r="U15" s="35"/>
      <c r="V15" s="35"/>
      <c r="W15" s="35"/>
      <c r="X15" s="35"/>
      <c r="Y15" s="35"/>
      <c r="Z15" s="35"/>
      <c r="AA15" s="35"/>
    </row>
    <row r="16" ht="12.75" customHeight="1">
      <c r="A16" s="175">
        <v>1.0</v>
      </c>
      <c r="B16" s="175" t="s">
        <v>100</v>
      </c>
      <c r="C16" s="175"/>
      <c r="D16" s="175" t="s">
        <v>5278</v>
      </c>
      <c r="E16" s="175" t="s">
        <v>3743</v>
      </c>
      <c r="F16" s="177">
        <v>5500000.0</v>
      </c>
      <c r="G16" s="175" t="s">
        <v>144</v>
      </c>
      <c r="H16" s="175" t="s">
        <v>782</v>
      </c>
      <c r="I16" s="694" t="s">
        <v>5295</v>
      </c>
      <c r="J16" s="175" t="s">
        <v>5296</v>
      </c>
      <c r="K16" s="17" t="s">
        <v>5297</v>
      </c>
      <c r="L16" s="175" t="s">
        <v>5298</v>
      </c>
      <c r="M16" s="175"/>
      <c r="N16" s="175" t="s">
        <v>4892</v>
      </c>
      <c r="O16" s="678" t="s">
        <v>4630</v>
      </c>
      <c r="P16" s="320"/>
      <c r="Q16" s="320"/>
      <c r="R16" s="35"/>
      <c r="S16" s="35"/>
      <c r="T16" s="35"/>
      <c r="U16" s="35"/>
      <c r="V16" s="35"/>
      <c r="W16" s="35"/>
      <c r="X16" s="35"/>
      <c r="Y16" s="35"/>
      <c r="Z16" s="35"/>
      <c r="AA16" s="35"/>
    </row>
    <row r="17" ht="12.75" customHeight="1">
      <c r="A17" s="175">
        <v>2.0</v>
      </c>
      <c r="B17" s="175" t="s">
        <v>100</v>
      </c>
      <c r="C17" s="175"/>
      <c r="D17" s="175" t="s">
        <v>5278</v>
      </c>
      <c r="E17" s="175" t="s">
        <v>3743</v>
      </c>
      <c r="F17" s="177">
        <v>5000000.0</v>
      </c>
      <c r="G17" s="175" t="s">
        <v>144</v>
      </c>
      <c r="H17" s="175" t="s">
        <v>782</v>
      </c>
      <c r="I17" s="175" t="s">
        <v>5299</v>
      </c>
      <c r="J17" s="175" t="s">
        <v>5300</v>
      </c>
      <c r="K17" s="17" t="s">
        <v>5301</v>
      </c>
      <c r="L17" s="175" t="s">
        <v>5302</v>
      </c>
      <c r="M17" s="175"/>
      <c r="N17" s="175" t="s">
        <v>5303</v>
      </c>
      <c r="O17" s="320" t="s">
        <v>5304</v>
      </c>
      <c r="P17" s="320" t="s">
        <v>5305</v>
      </c>
      <c r="Q17" s="695" t="s">
        <v>5306</v>
      </c>
      <c r="R17" s="35"/>
      <c r="S17" s="35"/>
      <c r="T17" s="35"/>
      <c r="U17" s="35"/>
      <c r="V17" s="35"/>
      <c r="W17" s="35"/>
      <c r="X17" s="35"/>
      <c r="Y17" s="35"/>
      <c r="Z17" s="35"/>
      <c r="AA17" s="35"/>
    </row>
    <row r="18" ht="12.75" customHeight="1">
      <c r="A18" s="175">
        <v>3.0</v>
      </c>
      <c r="B18" s="175" t="s">
        <v>100</v>
      </c>
      <c r="C18" s="175"/>
      <c r="D18" s="175" t="s">
        <v>5278</v>
      </c>
      <c r="E18" s="175" t="s">
        <v>3743</v>
      </c>
      <c r="F18" s="177">
        <v>5500000.0</v>
      </c>
      <c r="G18" s="175" t="s">
        <v>144</v>
      </c>
      <c r="H18" s="175" t="s">
        <v>782</v>
      </c>
      <c r="I18" s="694" t="s">
        <v>5307</v>
      </c>
      <c r="J18" s="175" t="s">
        <v>5308</v>
      </c>
      <c r="K18" s="17" t="s">
        <v>5309</v>
      </c>
      <c r="L18" s="175" t="s">
        <v>5310</v>
      </c>
      <c r="M18" s="175" t="s">
        <v>5311</v>
      </c>
      <c r="N18" s="175" t="s">
        <v>4892</v>
      </c>
      <c r="O18" s="431"/>
      <c r="P18" s="431"/>
      <c r="Q18" s="431"/>
      <c r="R18" s="35"/>
      <c r="S18" s="35"/>
      <c r="T18" s="35"/>
      <c r="U18" s="35"/>
      <c r="V18" s="35"/>
      <c r="W18" s="35"/>
      <c r="X18" s="35"/>
      <c r="Y18" s="35"/>
      <c r="Z18" s="35"/>
      <c r="AA18" s="35"/>
    </row>
    <row r="19" ht="12.75" customHeight="1">
      <c r="A19" s="175">
        <v>4.0</v>
      </c>
      <c r="B19" s="175" t="s">
        <v>100</v>
      </c>
      <c r="C19" s="175"/>
      <c r="D19" s="175" t="s">
        <v>5278</v>
      </c>
      <c r="E19" s="175" t="s">
        <v>3743</v>
      </c>
      <c r="F19" s="177">
        <v>5500000.0</v>
      </c>
      <c r="G19" s="175" t="s">
        <v>144</v>
      </c>
      <c r="H19" s="175" t="s">
        <v>782</v>
      </c>
      <c r="I19" s="175" t="s">
        <v>5312</v>
      </c>
      <c r="J19" s="175" t="s">
        <v>5313</v>
      </c>
      <c r="K19" s="17" t="s">
        <v>5314</v>
      </c>
      <c r="L19" s="178" t="s">
        <v>5315</v>
      </c>
      <c r="M19" s="175"/>
      <c r="N19" s="175" t="s">
        <v>5316</v>
      </c>
      <c r="O19" s="320" t="s">
        <v>5304</v>
      </c>
      <c r="P19" s="320" t="s">
        <v>5317</v>
      </c>
      <c r="Q19" s="431"/>
      <c r="R19" s="35"/>
      <c r="S19" s="35"/>
      <c r="T19" s="35"/>
      <c r="U19" s="35"/>
      <c r="V19" s="35"/>
      <c r="W19" s="35"/>
      <c r="X19" s="35"/>
      <c r="Y19" s="35"/>
      <c r="Z19" s="35"/>
      <c r="AA19" s="35"/>
    </row>
    <row r="20" ht="12.75" customHeight="1">
      <c r="A20" s="175">
        <v>5.0</v>
      </c>
      <c r="B20" s="175" t="s">
        <v>100</v>
      </c>
      <c r="C20" s="175"/>
      <c r="D20" s="175" t="s">
        <v>5278</v>
      </c>
      <c r="E20" s="175" t="s">
        <v>3743</v>
      </c>
      <c r="F20" s="177">
        <v>5500000.0</v>
      </c>
      <c r="G20" s="175" t="s">
        <v>144</v>
      </c>
      <c r="H20" s="175" t="s">
        <v>782</v>
      </c>
      <c r="I20" s="694" t="s">
        <v>5318</v>
      </c>
      <c r="J20" s="175" t="s">
        <v>5319</v>
      </c>
      <c r="K20" s="17" t="s">
        <v>5320</v>
      </c>
      <c r="L20" s="175" t="s">
        <v>5321</v>
      </c>
      <c r="M20" s="175"/>
      <c r="N20" s="175" t="s">
        <v>4892</v>
      </c>
      <c r="O20" s="678" t="s">
        <v>4630</v>
      </c>
      <c r="P20" s="320" t="s">
        <v>5322</v>
      </c>
      <c r="Q20" s="320"/>
      <c r="R20" s="35"/>
      <c r="S20" s="35"/>
      <c r="T20" s="35"/>
      <c r="U20" s="35"/>
      <c r="V20" s="35"/>
      <c r="W20" s="35"/>
      <c r="X20" s="35"/>
      <c r="Y20" s="35"/>
      <c r="Z20" s="35"/>
      <c r="AA20" s="35"/>
    </row>
    <row r="21" ht="12.75" customHeight="1">
      <c r="A21" s="175">
        <v>6.0</v>
      </c>
      <c r="B21" s="175" t="s">
        <v>100</v>
      </c>
      <c r="C21" s="175"/>
      <c r="D21" s="175" t="s">
        <v>5278</v>
      </c>
      <c r="E21" s="175" t="s">
        <v>3743</v>
      </c>
      <c r="F21" s="177">
        <v>5500000.0</v>
      </c>
      <c r="G21" s="175" t="s">
        <v>144</v>
      </c>
      <c r="H21" s="175" t="s">
        <v>782</v>
      </c>
      <c r="I21" s="175" t="s">
        <v>5323</v>
      </c>
      <c r="J21" s="175" t="s">
        <v>5324</v>
      </c>
      <c r="K21" s="17" t="s">
        <v>5325</v>
      </c>
      <c r="L21" s="175" t="s">
        <v>5326</v>
      </c>
      <c r="M21" s="175"/>
      <c r="N21" s="175" t="s">
        <v>5327</v>
      </c>
      <c r="O21" s="320" t="s">
        <v>5304</v>
      </c>
      <c r="P21" s="320" t="s">
        <v>5328</v>
      </c>
      <c r="Q21" s="695" t="s">
        <v>5306</v>
      </c>
      <c r="R21" s="35"/>
      <c r="S21" s="35"/>
      <c r="T21" s="35"/>
      <c r="U21" s="35"/>
      <c r="V21" s="35"/>
      <c r="W21" s="35"/>
      <c r="X21" s="35"/>
      <c r="Y21" s="35"/>
      <c r="Z21" s="35"/>
      <c r="AA21" s="35"/>
    </row>
    <row r="22" ht="12.75" customHeight="1">
      <c r="A22" s="175">
        <v>7.0</v>
      </c>
      <c r="B22" s="175" t="s">
        <v>100</v>
      </c>
      <c r="C22" s="175"/>
      <c r="D22" s="175" t="s">
        <v>5278</v>
      </c>
      <c r="E22" s="175" t="s">
        <v>3743</v>
      </c>
      <c r="F22" s="177">
        <v>7000000.0</v>
      </c>
      <c r="G22" s="175" t="s">
        <v>1379</v>
      </c>
      <c r="H22" s="175" t="s">
        <v>782</v>
      </c>
      <c r="I22" s="175" t="s">
        <v>5329</v>
      </c>
      <c r="J22" s="175" t="s">
        <v>5330</v>
      </c>
      <c r="K22" s="178" t="s">
        <v>5331</v>
      </c>
      <c r="L22" s="175"/>
      <c r="M22" s="175"/>
      <c r="N22" s="175" t="s">
        <v>5332</v>
      </c>
      <c r="O22" s="320" t="s">
        <v>5304</v>
      </c>
      <c r="P22" s="320" t="s">
        <v>5333</v>
      </c>
      <c r="Q22" s="695" t="s">
        <v>5306</v>
      </c>
      <c r="R22" s="35"/>
      <c r="S22" s="35"/>
      <c r="T22" s="35"/>
      <c r="U22" s="35"/>
      <c r="V22" s="35"/>
      <c r="W22" s="35"/>
      <c r="X22" s="35"/>
      <c r="Y22" s="35"/>
      <c r="Z22" s="35"/>
      <c r="AA22" s="35"/>
    </row>
    <row r="23" ht="12.75" customHeight="1">
      <c r="A23" s="175">
        <v>8.0</v>
      </c>
      <c r="B23" s="175" t="s">
        <v>100</v>
      </c>
      <c r="C23" s="175"/>
      <c r="D23" s="175" t="s">
        <v>5278</v>
      </c>
      <c r="E23" s="175" t="s">
        <v>70</v>
      </c>
      <c r="F23" s="177">
        <v>6000000.0</v>
      </c>
      <c r="G23" s="175" t="s">
        <v>144</v>
      </c>
      <c r="H23" s="175" t="s">
        <v>924</v>
      </c>
      <c r="I23" s="694" t="s">
        <v>5334</v>
      </c>
      <c r="J23" s="175" t="s">
        <v>5335</v>
      </c>
      <c r="K23" s="17" t="s">
        <v>5336</v>
      </c>
      <c r="L23" s="175" t="s">
        <v>5337</v>
      </c>
      <c r="M23" s="175" t="s">
        <v>5338</v>
      </c>
      <c r="N23" s="175" t="s">
        <v>4892</v>
      </c>
      <c r="O23" s="678" t="s">
        <v>4630</v>
      </c>
      <c r="P23" s="320" t="s">
        <v>5322</v>
      </c>
      <c r="Q23" s="320"/>
      <c r="R23" s="35"/>
      <c r="S23" s="35"/>
      <c r="T23" s="35"/>
      <c r="U23" s="35"/>
      <c r="V23" s="35"/>
      <c r="W23" s="35"/>
      <c r="X23" s="35"/>
      <c r="Y23" s="35"/>
      <c r="Z23" s="35"/>
      <c r="AA23" s="35"/>
    </row>
    <row r="24" ht="12.75" customHeight="1">
      <c r="A24" s="175">
        <v>9.0</v>
      </c>
      <c r="B24" s="175" t="s">
        <v>100</v>
      </c>
      <c r="C24" s="175"/>
      <c r="D24" s="175" t="s">
        <v>5278</v>
      </c>
      <c r="E24" s="175" t="s">
        <v>3743</v>
      </c>
      <c r="F24" s="177">
        <v>8000000.0</v>
      </c>
      <c r="G24" s="175" t="s">
        <v>144</v>
      </c>
      <c r="H24" s="175" t="s">
        <v>145</v>
      </c>
      <c r="I24" s="694" t="s">
        <v>5339</v>
      </c>
      <c r="J24" s="175" t="s">
        <v>5340</v>
      </c>
      <c r="K24" s="17" t="s">
        <v>5341</v>
      </c>
      <c r="L24" s="175" t="s">
        <v>5342</v>
      </c>
      <c r="M24" s="175"/>
      <c r="N24" s="175" t="s">
        <v>4892</v>
      </c>
      <c r="O24" s="678" t="s">
        <v>4630</v>
      </c>
      <c r="P24" s="320" t="s">
        <v>5322</v>
      </c>
      <c r="Q24" s="320"/>
      <c r="R24" s="35"/>
      <c r="S24" s="35"/>
      <c r="T24" s="35"/>
      <c r="U24" s="35"/>
      <c r="V24" s="35"/>
      <c r="W24" s="35"/>
      <c r="X24" s="35"/>
      <c r="Y24" s="35"/>
      <c r="Z24" s="35"/>
      <c r="AA24" s="35"/>
    </row>
    <row r="25" ht="12.75" customHeight="1">
      <c r="A25" s="175">
        <v>10.0</v>
      </c>
      <c r="B25" s="175" t="s">
        <v>100</v>
      </c>
      <c r="C25" s="175"/>
      <c r="D25" s="175" t="s">
        <v>5278</v>
      </c>
      <c r="E25" s="175" t="s">
        <v>3743</v>
      </c>
      <c r="F25" s="177">
        <v>1.1E7</v>
      </c>
      <c r="G25" s="175" t="s">
        <v>144</v>
      </c>
      <c r="H25" s="175" t="s">
        <v>948</v>
      </c>
      <c r="I25" s="694" t="s">
        <v>5343</v>
      </c>
      <c r="J25" s="175" t="s">
        <v>5344</v>
      </c>
      <c r="K25" s="17" t="s">
        <v>5345</v>
      </c>
      <c r="L25" s="178" t="s">
        <v>5346</v>
      </c>
      <c r="M25" s="175"/>
      <c r="N25" s="175" t="s">
        <v>4892</v>
      </c>
      <c r="O25" s="678" t="s">
        <v>4630</v>
      </c>
      <c r="P25" s="320" t="s">
        <v>5322</v>
      </c>
      <c r="Q25" s="320"/>
      <c r="R25" s="35"/>
      <c r="S25" s="35"/>
      <c r="T25" s="35"/>
      <c r="U25" s="35"/>
      <c r="V25" s="35"/>
      <c r="W25" s="35"/>
      <c r="X25" s="35"/>
      <c r="Y25" s="35"/>
      <c r="Z25" s="35"/>
      <c r="AA25" s="35"/>
    </row>
    <row r="26" ht="12.75" customHeight="1">
      <c r="A26" s="175">
        <v>11.0</v>
      </c>
      <c r="B26" s="175" t="s">
        <v>100</v>
      </c>
      <c r="C26" s="175"/>
      <c r="D26" s="175" t="s">
        <v>5278</v>
      </c>
      <c r="E26" s="175" t="s">
        <v>70</v>
      </c>
      <c r="F26" s="177">
        <v>1.5475E7</v>
      </c>
      <c r="G26" s="175" t="s">
        <v>2749</v>
      </c>
      <c r="H26" s="175" t="s">
        <v>37</v>
      </c>
      <c r="I26" s="175" t="s">
        <v>5347</v>
      </c>
      <c r="J26" s="175" t="s">
        <v>5348</v>
      </c>
      <c r="K26" s="17" t="s">
        <v>5349</v>
      </c>
      <c r="L26" s="175" t="s">
        <v>5350</v>
      </c>
      <c r="M26" s="175"/>
      <c r="N26" s="175" t="s">
        <v>5351</v>
      </c>
      <c r="O26" s="320" t="s">
        <v>4618</v>
      </c>
      <c r="P26" s="320" t="s">
        <v>5352</v>
      </c>
      <c r="Q26" s="431"/>
      <c r="R26" s="35"/>
      <c r="S26" s="35"/>
      <c r="T26" s="35"/>
      <c r="U26" s="35"/>
      <c r="V26" s="35"/>
      <c r="W26" s="35"/>
      <c r="X26" s="35"/>
      <c r="Y26" s="35"/>
      <c r="Z26" s="35"/>
      <c r="AA26" s="35"/>
    </row>
    <row r="27" ht="12.75" customHeight="1">
      <c r="A27" s="175">
        <v>12.0</v>
      </c>
      <c r="B27" s="175" t="s">
        <v>100</v>
      </c>
      <c r="C27" s="175"/>
      <c r="D27" s="175" t="s">
        <v>5278</v>
      </c>
      <c r="E27" s="175" t="s">
        <v>70</v>
      </c>
      <c r="F27" s="177">
        <v>1.5475E7</v>
      </c>
      <c r="G27" s="175" t="s">
        <v>2749</v>
      </c>
      <c r="H27" s="175" t="s">
        <v>37</v>
      </c>
      <c r="I27" s="694" t="s">
        <v>5353</v>
      </c>
      <c r="J27" s="175" t="s">
        <v>5354</v>
      </c>
      <c r="K27" s="17" t="s">
        <v>5355</v>
      </c>
      <c r="L27" s="175" t="s">
        <v>5356</v>
      </c>
      <c r="M27" s="175"/>
      <c r="N27" s="175" t="s">
        <v>4892</v>
      </c>
      <c r="O27" s="678" t="s">
        <v>4630</v>
      </c>
      <c r="P27" s="320" t="s">
        <v>5322</v>
      </c>
      <c r="Q27" s="320" t="s">
        <v>5357</v>
      </c>
      <c r="R27" s="35"/>
      <c r="S27" s="35"/>
      <c r="T27" s="35"/>
      <c r="U27" s="35"/>
      <c r="V27" s="35"/>
      <c r="W27" s="35"/>
      <c r="X27" s="35"/>
      <c r="Y27" s="35"/>
      <c r="Z27" s="35"/>
      <c r="AA27" s="35"/>
    </row>
    <row r="28" ht="12.75" customHeight="1">
      <c r="A28" s="175">
        <v>13.0</v>
      </c>
      <c r="B28" s="175" t="s">
        <v>100</v>
      </c>
      <c r="C28" s="175"/>
      <c r="D28" s="175" t="s">
        <v>5278</v>
      </c>
      <c r="E28" s="175" t="s">
        <v>70</v>
      </c>
      <c r="F28" s="177">
        <v>1.5475E7</v>
      </c>
      <c r="G28" s="175" t="s">
        <v>2749</v>
      </c>
      <c r="H28" s="175" t="s">
        <v>37</v>
      </c>
      <c r="I28" s="175" t="s">
        <v>5358</v>
      </c>
      <c r="J28" s="175" t="s">
        <v>5359</v>
      </c>
      <c r="K28" s="17" t="s">
        <v>5360</v>
      </c>
      <c r="L28" s="175" t="s">
        <v>5361</v>
      </c>
      <c r="M28" s="175"/>
      <c r="N28" s="175" t="s">
        <v>5362</v>
      </c>
      <c r="O28" s="320" t="s">
        <v>5363</v>
      </c>
      <c r="P28" s="320" t="s">
        <v>5364</v>
      </c>
      <c r="Q28" s="431"/>
      <c r="R28" s="35"/>
      <c r="S28" s="35"/>
      <c r="T28" s="35"/>
      <c r="U28" s="35"/>
      <c r="V28" s="35"/>
      <c r="W28" s="35"/>
      <c r="X28" s="35"/>
      <c r="Y28" s="35"/>
      <c r="Z28" s="35"/>
      <c r="AA28" s="35"/>
    </row>
    <row r="29" ht="12.75" customHeight="1">
      <c r="A29" s="175">
        <v>14.0</v>
      </c>
      <c r="B29" s="175" t="s">
        <v>100</v>
      </c>
      <c r="C29" s="175"/>
      <c r="D29" s="175" t="s">
        <v>5278</v>
      </c>
      <c r="E29" s="175" t="s">
        <v>70</v>
      </c>
      <c r="F29" s="177">
        <v>1.7525E7</v>
      </c>
      <c r="G29" s="175" t="s">
        <v>5365</v>
      </c>
      <c r="H29" s="175" t="s">
        <v>391</v>
      </c>
      <c r="I29" s="694" t="s">
        <v>5366</v>
      </c>
      <c r="J29" s="175" t="s">
        <v>5367</v>
      </c>
      <c r="K29" s="17" t="s">
        <v>5368</v>
      </c>
      <c r="L29" s="175" t="s">
        <v>5369</v>
      </c>
      <c r="M29" s="175"/>
      <c r="N29" s="175" t="s">
        <v>4892</v>
      </c>
      <c r="O29" s="678" t="s">
        <v>4630</v>
      </c>
      <c r="P29" s="320" t="s">
        <v>5322</v>
      </c>
      <c r="Q29" s="320" t="s">
        <v>5357</v>
      </c>
      <c r="R29" s="35"/>
      <c r="S29" s="35"/>
      <c r="T29" s="35"/>
      <c r="U29" s="35"/>
      <c r="V29" s="35"/>
      <c r="W29" s="35"/>
      <c r="X29" s="35"/>
      <c r="Y29" s="35"/>
      <c r="Z29" s="35"/>
      <c r="AA29" s="35"/>
    </row>
    <row r="30" ht="12.75" customHeight="1">
      <c r="A30" s="175">
        <v>15.0</v>
      </c>
      <c r="B30" s="175" t="s">
        <v>100</v>
      </c>
      <c r="C30" s="175"/>
      <c r="D30" s="175" t="s">
        <v>5278</v>
      </c>
      <c r="E30" s="175" t="s">
        <v>70</v>
      </c>
      <c r="F30" s="177">
        <v>1.47E7</v>
      </c>
      <c r="G30" s="175" t="s">
        <v>5370</v>
      </c>
      <c r="H30" s="175" t="s">
        <v>391</v>
      </c>
      <c r="I30" s="175" t="s">
        <v>5371</v>
      </c>
      <c r="J30" s="175" t="s">
        <v>5372</v>
      </c>
      <c r="K30" s="17" t="s">
        <v>5373</v>
      </c>
      <c r="L30" s="175" t="s">
        <v>5374</v>
      </c>
      <c r="M30" s="175"/>
      <c r="N30" s="175" t="s">
        <v>5375</v>
      </c>
      <c r="O30" s="320" t="s">
        <v>4618</v>
      </c>
      <c r="P30" s="320" t="s">
        <v>5376</v>
      </c>
      <c r="Q30" s="431"/>
      <c r="R30" s="35"/>
      <c r="S30" s="35"/>
      <c r="T30" s="35"/>
      <c r="U30" s="35"/>
      <c r="V30" s="35"/>
      <c r="W30" s="35"/>
      <c r="X30" s="35"/>
      <c r="Y30" s="35"/>
      <c r="Z30" s="35"/>
      <c r="AA30" s="35"/>
    </row>
    <row r="31" ht="12.75" customHeight="1">
      <c r="A31" s="175">
        <v>16.0</v>
      </c>
      <c r="B31" s="175" t="s">
        <v>100</v>
      </c>
      <c r="C31" s="175"/>
      <c r="D31" s="175" t="s">
        <v>5278</v>
      </c>
      <c r="E31" s="175" t="s">
        <v>70</v>
      </c>
      <c r="F31" s="177">
        <v>1.6025E7</v>
      </c>
      <c r="G31" s="175" t="s">
        <v>5377</v>
      </c>
      <c r="H31" s="175" t="s">
        <v>391</v>
      </c>
      <c r="I31" s="694" t="s">
        <v>5378</v>
      </c>
      <c r="J31" s="175" t="s">
        <v>5379</v>
      </c>
      <c r="K31" s="17" t="s">
        <v>5380</v>
      </c>
      <c r="L31" s="175" t="s">
        <v>5381</v>
      </c>
      <c r="M31" s="175"/>
      <c r="N31" s="175" t="s">
        <v>4892</v>
      </c>
      <c r="O31" s="678" t="s">
        <v>4630</v>
      </c>
      <c r="P31" s="320" t="s">
        <v>5322</v>
      </c>
      <c r="Q31" s="320" t="s">
        <v>5357</v>
      </c>
      <c r="R31" s="35"/>
      <c r="S31" s="35"/>
      <c r="T31" s="35"/>
      <c r="U31" s="35"/>
      <c r="V31" s="35"/>
      <c r="W31" s="35"/>
      <c r="X31" s="35"/>
      <c r="Y31" s="35"/>
      <c r="Z31" s="35"/>
      <c r="AA31" s="35"/>
    </row>
    <row r="32" ht="12.75" customHeight="1">
      <c r="A32" s="175">
        <v>17.0</v>
      </c>
      <c r="B32" s="175" t="s">
        <v>100</v>
      </c>
      <c r="C32" s="175"/>
      <c r="D32" s="175" t="s">
        <v>5278</v>
      </c>
      <c r="E32" s="175" t="s">
        <v>70</v>
      </c>
      <c r="F32" s="177">
        <v>1.6025E7</v>
      </c>
      <c r="G32" s="175" t="s">
        <v>5377</v>
      </c>
      <c r="H32" s="175" t="s">
        <v>391</v>
      </c>
      <c r="I32" s="175" t="s">
        <v>5382</v>
      </c>
      <c r="J32" s="175" t="s">
        <v>5383</v>
      </c>
      <c r="K32" s="17" t="s">
        <v>5384</v>
      </c>
      <c r="L32" s="175" t="s">
        <v>5385</v>
      </c>
      <c r="M32" s="175"/>
      <c r="N32" s="175" t="s">
        <v>4892</v>
      </c>
      <c r="O32" s="320" t="s">
        <v>5304</v>
      </c>
      <c r="P32" s="320" t="s">
        <v>5364</v>
      </c>
      <c r="Q32" s="431"/>
      <c r="R32" s="35"/>
      <c r="S32" s="35"/>
      <c r="T32" s="35"/>
      <c r="U32" s="35"/>
      <c r="V32" s="35"/>
      <c r="W32" s="35"/>
      <c r="X32" s="35"/>
      <c r="Y32" s="35"/>
      <c r="Z32" s="35"/>
      <c r="AA32" s="35"/>
    </row>
    <row r="33" ht="12.75" customHeight="1">
      <c r="A33" s="175">
        <v>18.0</v>
      </c>
      <c r="B33" s="175" t="s">
        <v>100</v>
      </c>
      <c r="C33" s="175"/>
      <c r="D33" s="175" t="s">
        <v>5278</v>
      </c>
      <c r="E33" s="175" t="s">
        <v>70</v>
      </c>
      <c r="F33" s="177">
        <v>1.6025E7</v>
      </c>
      <c r="G33" s="175" t="s">
        <v>5377</v>
      </c>
      <c r="H33" s="175" t="s">
        <v>391</v>
      </c>
      <c r="I33" s="694" t="s">
        <v>5386</v>
      </c>
      <c r="J33" s="175" t="s">
        <v>5387</v>
      </c>
      <c r="K33" s="175"/>
      <c r="L33" s="175" t="s">
        <v>5388</v>
      </c>
      <c r="M33" s="175"/>
      <c r="N33" s="175" t="s">
        <v>4892</v>
      </c>
      <c r="O33" s="678" t="s">
        <v>4630</v>
      </c>
      <c r="P33" s="320" t="s">
        <v>5322</v>
      </c>
      <c r="Q33" s="320" t="s">
        <v>5357</v>
      </c>
      <c r="R33" s="35"/>
      <c r="S33" s="35"/>
      <c r="T33" s="35"/>
      <c r="U33" s="35"/>
      <c r="V33" s="35"/>
      <c r="W33" s="35"/>
      <c r="X33" s="35"/>
      <c r="Y33" s="35"/>
      <c r="Z33" s="35"/>
      <c r="AA33" s="35"/>
    </row>
    <row r="34" ht="12.75" customHeight="1">
      <c r="A34" s="175">
        <v>19.0</v>
      </c>
      <c r="B34" s="175" t="s">
        <v>100</v>
      </c>
      <c r="C34" s="175"/>
      <c r="D34" s="175" t="s">
        <v>5278</v>
      </c>
      <c r="E34" s="175" t="s">
        <v>70</v>
      </c>
      <c r="F34" s="177">
        <v>1.2975E7</v>
      </c>
      <c r="G34" s="175" t="s">
        <v>1866</v>
      </c>
      <c r="H34" s="175" t="s">
        <v>391</v>
      </c>
      <c r="I34" s="175" t="s">
        <v>5389</v>
      </c>
      <c r="J34" s="175" t="s">
        <v>5390</v>
      </c>
      <c r="K34" s="17" t="s">
        <v>5391</v>
      </c>
      <c r="L34" s="175" t="s">
        <v>5392</v>
      </c>
      <c r="M34" s="175"/>
      <c r="N34" s="175"/>
      <c r="O34" s="431"/>
      <c r="P34" s="431"/>
      <c r="Q34" s="431"/>
      <c r="R34" s="35"/>
      <c r="S34" s="35"/>
      <c r="T34" s="35"/>
      <c r="U34" s="35"/>
      <c r="V34" s="35"/>
      <c r="W34" s="35"/>
      <c r="X34" s="35"/>
      <c r="Y34" s="35"/>
      <c r="Z34" s="35"/>
      <c r="AA34" s="35"/>
    </row>
    <row r="35" ht="12.75" customHeight="1">
      <c r="A35" s="175">
        <v>20.0</v>
      </c>
      <c r="B35" s="175" t="s">
        <v>100</v>
      </c>
      <c r="C35" s="175"/>
      <c r="D35" s="175" t="s">
        <v>5278</v>
      </c>
      <c r="E35" s="175" t="s">
        <v>70</v>
      </c>
      <c r="F35" s="177">
        <v>1.2975E7</v>
      </c>
      <c r="G35" s="175" t="s">
        <v>1866</v>
      </c>
      <c r="H35" s="175" t="s">
        <v>391</v>
      </c>
      <c r="I35" s="175" t="s">
        <v>5393</v>
      </c>
      <c r="J35" s="175" t="s">
        <v>5394</v>
      </c>
      <c r="K35" s="17" t="s">
        <v>5395</v>
      </c>
      <c r="L35" s="178" t="s">
        <v>5396</v>
      </c>
      <c r="M35" s="175"/>
      <c r="N35" s="175" t="s">
        <v>5397</v>
      </c>
      <c r="O35" s="320" t="s">
        <v>5304</v>
      </c>
      <c r="P35" s="320" t="s">
        <v>5398</v>
      </c>
      <c r="Q35" s="695" t="s">
        <v>5306</v>
      </c>
      <c r="R35" s="35"/>
      <c r="S35" s="35"/>
      <c r="T35" s="35"/>
      <c r="U35" s="35"/>
      <c r="V35" s="35"/>
      <c r="W35" s="35"/>
      <c r="X35" s="35"/>
      <c r="Y35" s="35"/>
      <c r="Z35" s="35"/>
      <c r="AA35" s="35"/>
    </row>
    <row r="36" ht="12.75" customHeight="1">
      <c r="A36" s="175">
        <v>21.0</v>
      </c>
      <c r="B36" s="175" t="s">
        <v>100</v>
      </c>
      <c r="C36" s="175"/>
      <c r="D36" s="175" t="s">
        <v>5278</v>
      </c>
      <c r="E36" s="175" t="s">
        <v>70</v>
      </c>
      <c r="F36" s="177">
        <v>1.6025E7</v>
      </c>
      <c r="G36" s="175" t="s">
        <v>5377</v>
      </c>
      <c r="H36" s="175" t="s">
        <v>391</v>
      </c>
      <c r="I36" s="175" t="s">
        <v>5399</v>
      </c>
      <c r="J36" s="175" t="s">
        <v>5400</v>
      </c>
      <c r="K36" s="17" t="s">
        <v>5401</v>
      </c>
      <c r="L36" s="175" t="s">
        <v>5402</v>
      </c>
      <c r="M36" s="175"/>
      <c r="N36" s="175" t="s">
        <v>5403</v>
      </c>
      <c r="O36" s="320" t="s">
        <v>4618</v>
      </c>
      <c r="P36" s="320" t="s">
        <v>5404</v>
      </c>
      <c r="Q36" s="431"/>
      <c r="R36" s="35"/>
      <c r="S36" s="35"/>
      <c r="T36" s="35"/>
      <c r="U36" s="35"/>
      <c r="V36" s="35"/>
      <c r="W36" s="35"/>
      <c r="X36" s="35"/>
      <c r="Y36" s="35"/>
      <c r="Z36" s="35"/>
      <c r="AA36" s="35"/>
    </row>
    <row r="37" ht="12.75" customHeight="1">
      <c r="A37" s="175">
        <v>22.0</v>
      </c>
      <c r="B37" s="175" t="s">
        <v>100</v>
      </c>
      <c r="C37" s="175"/>
      <c r="D37" s="175" t="s">
        <v>5278</v>
      </c>
      <c r="E37" s="175" t="s">
        <v>70</v>
      </c>
      <c r="F37" s="177">
        <v>1.2975E7</v>
      </c>
      <c r="G37" s="175" t="s">
        <v>1866</v>
      </c>
      <c r="H37" s="175" t="s">
        <v>391</v>
      </c>
      <c r="I37" s="694" t="s">
        <v>5393</v>
      </c>
      <c r="J37" s="175" t="s">
        <v>5394</v>
      </c>
      <c r="K37" s="175"/>
      <c r="L37" s="175" t="s">
        <v>5396</v>
      </c>
      <c r="M37" s="175"/>
      <c r="N37" s="175" t="s">
        <v>4892</v>
      </c>
      <c r="O37" s="678" t="s">
        <v>4630</v>
      </c>
      <c r="P37" s="320" t="s">
        <v>5322</v>
      </c>
      <c r="Q37" s="320" t="s">
        <v>5357</v>
      </c>
      <c r="R37" s="35"/>
      <c r="S37" s="35"/>
      <c r="T37" s="35"/>
      <c r="U37" s="35"/>
      <c r="V37" s="35"/>
      <c r="W37" s="35"/>
      <c r="X37" s="35"/>
      <c r="Y37" s="35"/>
      <c r="Z37" s="35"/>
      <c r="AA37" s="35"/>
    </row>
    <row r="38" ht="12.75" customHeight="1">
      <c r="A38" s="175">
        <v>23.0</v>
      </c>
      <c r="B38" s="175" t="s">
        <v>100</v>
      </c>
      <c r="C38" s="175"/>
      <c r="D38" s="175" t="s">
        <v>5278</v>
      </c>
      <c r="E38" s="175" t="s">
        <v>70</v>
      </c>
      <c r="F38" s="177">
        <v>1.2975E7</v>
      </c>
      <c r="G38" s="175" t="s">
        <v>1866</v>
      </c>
      <c r="H38" s="175" t="s">
        <v>391</v>
      </c>
      <c r="I38" s="175" t="s">
        <v>5405</v>
      </c>
      <c r="J38" s="175" t="s">
        <v>5406</v>
      </c>
      <c r="K38" s="17" t="s">
        <v>5407</v>
      </c>
      <c r="L38" s="175" t="s">
        <v>5408</v>
      </c>
      <c r="M38" s="175"/>
      <c r="N38" s="175" t="s">
        <v>5409</v>
      </c>
      <c r="O38" s="320" t="s">
        <v>4618</v>
      </c>
      <c r="P38" s="320" t="s">
        <v>5410</v>
      </c>
      <c r="Q38" s="431"/>
      <c r="R38" s="35"/>
      <c r="S38" s="35"/>
      <c r="T38" s="35"/>
      <c r="U38" s="35"/>
      <c r="V38" s="35"/>
      <c r="W38" s="35"/>
      <c r="X38" s="35"/>
      <c r="Y38" s="35"/>
      <c r="Z38" s="35"/>
      <c r="AA38" s="35"/>
    </row>
    <row r="39" ht="12.75" customHeight="1">
      <c r="A39" s="175">
        <v>24.0</v>
      </c>
      <c r="B39" s="175" t="s">
        <v>100</v>
      </c>
      <c r="C39" s="175"/>
      <c r="D39" s="175" t="s">
        <v>5278</v>
      </c>
      <c r="E39" s="175" t="s">
        <v>3743</v>
      </c>
      <c r="F39" s="177">
        <v>4.0E7</v>
      </c>
      <c r="G39" s="175" t="s">
        <v>1288</v>
      </c>
      <c r="H39" s="175" t="s">
        <v>391</v>
      </c>
      <c r="I39" s="175"/>
      <c r="J39" s="175"/>
      <c r="K39" s="175"/>
      <c r="L39" s="175"/>
      <c r="M39" s="175"/>
      <c r="N39" s="175"/>
      <c r="O39" s="431"/>
      <c r="P39" s="431"/>
      <c r="Q39" s="431"/>
      <c r="R39" s="35"/>
      <c r="S39" s="35"/>
      <c r="T39" s="35"/>
      <c r="U39" s="35"/>
      <c r="V39" s="35"/>
      <c r="W39" s="35"/>
      <c r="X39" s="35"/>
      <c r="Y39" s="35"/>
      <c r="Z39" s="35"/>
      <c r="AA39" s="35"/>
    </row>
    <row r="40" ht="12.75" customHeight="1">
      <c r="A40" s="175">
        <v>25.0</v>
      </c>
      <c r="B40" s="175" t="s">
        <v>100</v>
      </c>
      <c r="C40" s="175"/>
      <c r="D40" s="175" t="s">
        <v>5278</v>
      </c>
      <c r="E40" s="175" t="s">
        <v>3743</v>
      </c>
      <c r="F40" s="177">
        <v>4.0E7</v>
      </c>
      <c r="G40" s="175" t="s">
        <v>1260</v>
      </c>
      <c r="H40" s="175" t="s">
        <v>391</v>
      </c>
      <c r="I40" s="175"/>
      <c r="J40" s="175"/>
      <c r="K40" s="175"/>
      <c r="L40" s="175"/>
      <c r="M40" s="175"/>
      <c r="N40" s="175"/>
      <c r="O40" s="431"/>
      <c r="P40" s="431"/>
      <c r="Q40" s="431"/>
      <c r="R40" s="35"/>
      <c r="S40" s="35"/>
      <c r="T40" s="35"/>
      <c r="U40" s="35"/>
      <c r="V40" s="35"/>
      <c r="W40" s="35"/>
      <c r="X40" s="35"/>
      <c r="Y40" s="35"/>
      <c r="Z40" s="35"/>
      <c r="AA40" s="35"/>
    </row>
    <row r="41" ht="12.75" customHeight="1">
      <c r="A41" s="396">
        <v>26.0</v>
      </c>
      <c r="B41" s="396" t="s">
        <v>100</v>
      </c>
      <c r="C41" s="396"/>
      <c r="D41" s="396" t="s">
        <v>5278</v>
      </c>
      <c r="E41" s="396" t="s">
        <v>70</v>
      </c>
      <c r="F41" s="398">
        <v>1.9671E7</v>
      </c>
      <c r="G41" s="396" t="s">
        <v>2541</v>
      </c>
      <c r="H41" s="396" t="s">
        <v>92</v>
      </c>
      <c r="I41" s="400" t="s">
        <v>5411</v>
      </c>
      <c r="J41" s="396" t="s">
        <v>5412</v>
      </c>
      <c r="K41" s="407" t="s">
        <v>5413</v>
      </c>
      <c r="L41" s="396" t="s">
        <v>5414</v>
      </c>
      <c r="M41" s="396"/>
      <c r="N41" s="396" t="s">
        <v>5415</v>
      </c>
      <c r="O41" s="696" t="s">
        <v>4618</v>
      </c>
      <c r="P41" s="696" t="s">
        <v>5416</v>
      </c>
      <c r="Q41" s="697"/>
      <c r="R41" s="163"/>
      <c r="S41" s="163"/>
      <c r="T41" s="163"/>
      <c r="U41" s="163"/>
      <c r="V41" s="163"/>
      <c r="W41" s="163"/>
      <c r="X41" s="163"/>
      <c r="Y41" s="163"/>
      <c r="Z41" s="163"/>
      <c r="AA41" s="163"/>
    </row>
    <row r="42" ht="12.75" customHeight="1">
      <c r="A42" s="175">
        <v>27.0</v>
      </c>
      <c r="B42" s="175" t="s">
        <v>100</v>
      </c>
      <c r="C42" s="175"/>
      <c r="D42" s="175" t="s">
        <v>5278</v>
      </c>
      <c r="E42" s="175" t="s">
        <v>70</v>
      </c>
      <c r="F42" s="177">
        <v>1.9671E7</v>
      </c>
      <c r="G42" s="175" t="s">
        <v>2541</v>
      </c>
      <c r="H42" s="175" t="s">
        <v>92</v>
      </c>
      <c r="I42" s="175" t="s">
        <v>5417</v>
      </c>
      <c r="J42" s="175" t="s">
        <v>5418</v>
      </c>
      <c r="K42" s="17" t="s">
        <v>5419</v>
      </c>
      <c r="L42" s="175" t="s">
        <v>5420</v>
      </c>
      <c r="M42" s="175"/>
      <c r="N42" s="175" t="s">
        <v>4892</v>
      </c>
      <c r="O42" s="320" t="s">
        <v>4618</v>
      </c>
      <c r="P42" s="320" t="s">
        <v>5421</v>
      </c>
      <c r="Q42" s="431"/>
      <c r="R42" s="35"/>
      <c r="S42" s="35"/>
      <c r="T42" s="35"/>
      <c r="U42" s="35"/>
      <c r="V42" s="35"/>
      <c r="W42" s="35"/>
      <c r="X42" s="35"/>
      <c r="Y42" s="35"/>
      <c r="Z42" s="35"/>
      <c r="AA42" s="35"/>
    </row>
    <row r="43" ht="12.75" customHeight="1">
      <c r="A43" s="175">
        <v>28.0</v>
      </c>
      <c r="B43" s="175" t="s">
        <v>100</v>
      </c>
      <c r="C43" s="175"/>
      <c r="D43" s="175" t="s">
        <v>5278</v>
      </c>
      <c r="E43" s="175" t="s">
        <v>70</v>
      </c>
      <c r="F43" s="177">
        <v>1.9671E7</v>
      </c>
      <c r="G43" s="175" t="s">
        <v>2541</v>
      </c>
      <c r="H43" s="175" t="s">
        <v>92</v>
      </c>
      <c r="I43" s="175" t="s">
        <v>5422</v>
      </c>
      <c r="J43" s="175" t="s">
        <v>5423</v>
      </c>
      <c r="K43" s="17" t="s">
        <v>5424</v>
      </c>
      <c r="L43" s="175" t="s">
        <v>5425</v>
      </c>
      <c r="M43" s="175"/>
      <c r="N43" s="175" t="s">
        <v>5426</v>
      </c>
      <c r="O43" s="320" t="s">
        <v>4618</v>
      </c>
      <c r="P43" s="320" t="s">
        <v>5427</v>
      </c>
      <c r="Q43" s="431"/>
      <c r="R43" s="35"/>
      <c r="S43" s="35"/>
      <c r="T43" s="35"/>
      <c r="U43" s="35"/>
      <c r="V43" s="35"/>
      <c r="W43" s="35"/>
      <c r="X43" s="35"/>
      <c r="Y43" s="35"/>
      <c r="Z43" s="35"/>
      <c r="AA43" s="35"/>
    </row>
    <row r="44" ht="12.75" customHeight="1">
      <c r="A44" s="175">
        <v>29.0</v>
      </c>
      <c r="B44" s="175" t="s">
        <v>100</v>
      </c>
      <c r="C44" s="175"/>
      <c r="D44" s="175" t="s">
        <v>5278</v>
      </c>
      <c r="E44" s="175" t="s">
        <v>70</v>
      </c>
      <c r="F44" s="177">
        <v>1.9671E7</v>
      </c>
      <c r="G44" s="175" t="s">
        <v>2541</v>
      </c>
      <c r="H44" s="175" t="s">
        <v>92</v>
      </c>
      <c r="I44" s="175" t="s">
        <v>5428</v>
      </c>
      <c r="J44" s="175" t="s">
        <v>5429</v>
      </c>
      <c r="K44" s="178" t="s">
        <v>5430</v>
      </c>
      <c r="L44" s="175" t="s">
        <v>5431</v>
      </c>
      <c r="M44" s="175"/>
      <c r="N44" s="175" t="s">
        <v>5432</v>
      </c>
      <c r="O44" s="320" t="s">
        <v>4618</v>
      </c>
      <c r="P44" s="320" t="s">
        <v>5433</v>
      </c>
      <c r="Q44" s="431"/>
      <c r="R44" s="35"/>
      <c r="S44" s="35"/>
      <c r="T44" s="35"/>
      <c r="U44" s="35"/>
      <c r="V44" s="35"/>
      <c r="W44" s="35"/>
      <c r="X44" s="35"/>
      <c r="Y44" s="35"/>
      <c r="Z44" s="35"/>
      <c r="AA44" s="35"/>
    </row>
    <row r="45" ht="12.75" customHeight="1">
      <c r="A45" s="175">
        <v>30.0</v>
      </c>
      <c r="B45" s="175" t="s">
        <v>100</v>
      </c>
      <c r="C45" s="175"/>
      <c r="D45" s="175" t="s">
        <v>5278</v>
      </c>
      <c r="E45" s="175" t="s">
        <v>70</v>
      </c>
      <c r="F45" s="177">
        <v>2.3E7</v>
      </c>
      <c r="G45" s="175" t="s">
        <v>5434</v>
      </c>
      <c r="H45" s="175" t="s">
        <v>58</v>
      </c>
      <c r="I45" s="694" t="s">
        <v>5435</v>
      </c>
      <c r="J45" s="175" t="s">
        <v>5436</v>
      </c>
      <c r="K45" s="17" t="s">
        <v>5437</v>
      </c>
      <c r="L45" s="175" t="s">
        <v>5438</v>
      </c>
      <c r="M45" s="175"/>
      <c r="N45" s="175" t="s">
        <v>4892</v>
      </c>
      <c r="O45" s="678" t="s">
        <v>4630</v>
      </c>
      <c r="P45" s="320" t="s">
        <v>5322</v>
      </c>
      <c r="Q45" s="320" t="s">
        <v>5357</v>
      </c>
      <c r="R45" s="35"/>
      <c r="S45" s="35"/>
      <c r="T45" s="35"/>
      <c r="U45" s="35"/>
      <c r="V45" s="35"/>
      <c r="W45" s="35"/>
      <c r="X45" s="35"/>
      <c r="Y45" s="35"/>
      <c r="Z45" s="35"/>
      <c r="AA45" s="35"/>
    </row>
    <row r="46" ht="12.75" customHeight="1">
      <c r="A46" s="175">
        <v>31.0</v>
      </c>
      <c r="B46" s="175" t="s">
        <v>100</v>
      </c>
      <c r="C46" s="175"/>
      <c r="D46" s="175" t="s">
        <v>5278</v>
      </c>
      <c r="E46" s="175" t="s">
        <v>70</v>
      </c>
      <c r="F46" s="177">
        <v>2.3E7</v>
      </c>
      <c r="G46" s="175" t="s">
        <v>5434</v>
      </c>
      <c r="H46" s="175" t="s">
        <v>58</v>
      </c>
      <c r="I46" s="178" t="s">
        <v>5439</v>
      </c>
      <c r="J46" s="175" t="s">
        <v>5440</v>
      </c>
      <c r="K46" s="17" t="s">
        <v>5441</v>
      </c>
      <c r="L46" s="175" t="s">
        <v>5442</v>
      </c>
      <c r="M46" s="175"/>
      <c r="N46" s="175" t="s">
        <v>5443</v>
      </c>
      <c r="O46" s="320" t="s">
        <v>5304</v>
      </c>
      <c r="P46" s="320" t="s">
        <v>5444</v>
      </c>
      <c r="Q46" s="695" t="s">
        <v>5306</v>
      </c>
      <c r="R46" s="35"/>
      <c r="S46" s="35"/>
      <c r="T46" s="35"/>
      <c r="U46" s="35"/>
      <c r="V46" s="35"/>
      <c r="W46" s="35"/>
      <c r="X46" s="35"/>
      <c r="Y46" s="35"/>
      <c r="Z46" s="35"/>
      <c r="AA46" s="35"/>
    </row>
    <row r="47" ht="12.75" customHeight="1">
      <c r="A47" s="175">
        <v>32.0</v>
      </c>
      <c r="B47" s="175" t="s">
        <v>100</v>
      </c>
      <c r="C47" s="175"/>
      <c r="D47" s="175" t="s">
        <v>5278</v>
      </c>
      <c r="E47" s="175" t="s">
        <v>70</v>
      </c>
      <c r="F47" s="177">
        <v>2.3E7</v>
      </c>
      <c r="G47" s="175" t="s">
        <v>5434</v>
      </c>
      <c r="H47" s="175" t="s">
        <v>58</v>
      </c>
      <c r="I47" s="175" t="s">
        <v>5445</v>
      </c>
      <c r="J47" s="175" t="s">
        <v>5446</v>
      </c>
      <c r="K47" s="17" t="s">
        <v>5447</v>
      </c>
      <c r="L47" s="175" t="s">
        <v>5448</v>
      </c>
      <c r="M47" s="175"/>
      <c r="N47" s="175" t="s">
        <v>5449</v>
      </c>
      <c r="O47" s="320" t="s">
        <v>5304</v>
      </c>
      <c r="P47" s="320" t="s">
        <v>5450</v>
      </c>
      <c r="Q47" s="695" t="s">
        <v>5306</v>
      </c>
      <c r="R47" s="35"/>
      <c r="S47" s="35"/>
      <c r="T47" s="35"/>
      <c r="U47" s="35"/>
      <c r="V47" s="35"/>
      <c r="W47" s="35"/>
      <c r="X47" s="35"/>
      <c r="Y47" s="35"/>
      <c r="Z47" s="35"/>
      <c r="AA47" s="35"/>
    </row>
    <row r="48" ht="12.75" customHeight="1">
      <c r="A48" s="175">
        <v>33.0</v>
      </c>
      <c r="B48" s="175" t="s">
        <v>100</v>
      </c>
      <c r="C48" s="175"/>
      <c r="D48" s="175" t="s">
        <v>5278</v>
      </c>
      <c r="E48" s="175" t="s">
        <v>70</v>
      </c>
      <c r="F48" s="177">
        <v>2.3E7</v>
      </c>
      <c r="G48" s="175" t="s">
        <v>5434</v>
      </c>
      <c r="H48" s="175" t="s">
        <v>58</v>
      </c>
      <c r="I48" s="694" t="s">
        <v>5451</v>
      </c>
      <c r="J48" s="175" t="s">
        <v>5452</v>
      </c>
      <c r="K48" s="17" t="s">
        <v>5453</v>
      </c>
      <c r="L48" s="175" t="s">
        <v>5454</v>
      </c>
      <c r="M48" s="175"/>
      <c r="N48" s="175" t="s">
        <v>4892</v>
      </c>
      <c r="O48" s="678" t="s">
        <v>4630</v>
      </c>
      <c r="P48" s="320" t="s">
        <v>5322</v>
      </c>
      <c r="Q48" s="320" t="s">
        <v>5357</v>
      </c>
      <c r="R48" s="35"/>
      <c r="S48" s="35"/>
      <c r="T48" s="35"/>
      <c r="U48" s="35"/>
      <c r="V48" s="35"/>
      <c r="W48" s="35"/>
      <c r="X48" s="35"/>
      <c r="Y48" s="35"/>
      <c r="Z48" s="35"/>
      <c r="AA48" s="35"/>
    </row>
    <row r="49" ht="12.75" customHeight="1">
      <c r="A49" s="175">
        <v>34.0</v>
      </c>
      <c r="B49" s="175" t="s">
        <v>100</v>
      </c>
      <c r="C49" s="175"/>
      <c r="D49" s="175" t="s">
        <v>5278</v>
      </c>
      <c r="E49" s="175" t="s">
        <v>70</v>
      </c>
      <c r="F49" s="177">
        <v>2.3E7</v>
      </c>
      <c r="G49" s="175" t="s">
        <v>5434</v>
      </c>
      <c r="H49" s="175" t="s">
        <v>58</v>
      </c>
      <c r="I49" s="175" t="s">
        <v>5455</v>
      </c>
      <c r="J49" s="175" t="s">
        <v>5456</v>
      </c>
      <c r="K49" s="175"/>
      <c r="L49" s="175" t="s">
        <v>5457</v>
      </c>
      <c r="M49" s="175"/>
      <c r="N49" s="175" t="s">
        <v>2986</v>
      </c>
      <c r="O49" s="431"/>
      <c r="P49" s="431"/>
      <c r="Q49" s="431"/>
      <c r="R49" s="35"/>
      <c r="S49" s="35"/>
      <c r="T49" s="35"/>
      <c r="U49" s="35"/>
      <c r="V49" s="35"/>
      <c r="W49" s="35"/>
      <c r="X49" s="35"/>
      <c r="Y49" s="35"/>
      <c r="Z49" s="35"/>
      <c r="AA49" s="35"/>
    </row>
    <row r="50" ht="12.75" customHeight="1">
      <c r="A50" s="396">
        <v>35.0</v>
      </c>
      <c r="B50" s="396" t="s">
        <v>100</v>
      </c>
      <c r="C50" s="396"/>
      <c r="D50" s="396" t="s">
        <v>5278</v>
      </c>
      <c r="E50" s="396" t="s">
        <v>70</v>
      </c>
      <c r="F50" s="398">
        <v>1.469E7</v>
      </c>
      <c r="G50" s="396" t="s">
        <v>5458</v>
      </c>
      <c r="H50" s="396" t="s">
        <v>1040</v>
      </c>
      <c r="I50" s="400" t="s">
        <v>5459</v>
      </c>
      <c r="J50" s="396" t="s">
        <v>5460</v>
      </c>
      <c r="K50" s="407" t="s">
        <v>5461</v>
      </c>
      <c r="L50" s="400" t="s">
        <v>5462</v>
      </c>
      <c r="M50" s="396" t="s">
        <v>5338</v>
      </c>
      <c r="N50" s="396" t="s">
        <v>5463</v>
      </c>
      <c r="O50" s="696" t="s">
        <v>4618</v>
      </c>
      <c r="P50" s="696" t="s">
        <v>5464</v>
      </c>
      <c r="Q50" s="697"/>
      <c r="R50" s="163"/>
      <c r="S50" s="163"/>
      <c r="T50" s="163"/>
      <c r="U50" s="163"/>
      <c r="V50" s="163"/>
      <c r="W50" s="163"/>
      <c r="X50" s="163"/>
      <c r="Y50" s="163"/>
      <c r="Z50" s="163"/>
      <c r="AA50" s="163"/>
    </row>
    <row r="51" ht="12.75" customHeight="1">
      <c r="A51" s="175">
        <v>36.0</v>
      </c>
      <c r="B51" s="175" t="s">
        <v>100</v>
      </c>
      <c r="C51" s="175"/>
      <c r="D51" s="175" t="s">
        <v>5278</v>
      </c>
      <c r="E51" s="175" t="s">
        <v>70</v>
      </c>
      <c r="F51" s="177">
        <v>1.469E7</v>
      </c>
      <c r="G51" s="175" t="s">
        <v>5458</v>
      </c>
      <c r="H51" s="175" t="s">
        <v>1040</v>
      </c>
      <c r="I51" s="175" t="s">
        <v>5465</v>
      </c>
      <c r="J51" s="175" t="s">
        <v>5466</v>
      </c>
      <c r="K51" s="17" t="s">
        <v>5467</v>
      </c>
      <c r="L51" s="175" t="s">
        <v>5468</v>
      </c>
      <c r="M51" s="175" t="s">
        <v>5338</v>
      </c>
      <c r="N51" s="175" t="s">
        <v>5469</v>
      </c>
      <c r="O51" s="320" t="s">
        <v>4618</v>
      </c>
      <c r="P51" s="320" t="s">
        <v>5470</v>
      </c>
      <c r="Q51" s="431"/>
      <c r="R51" s="35"/>
      <c r="S51" s="35"/>
      <c r="T51" s="35"/>
      <c r="U51" s="35"/>
      <c r="V51" s="35"/>
      <c r="W51" s="35"/>
      <c r="X51" s="35"/>
      <c r="Y51" s="35"/>
      <c r="Z51" s="35"/>
      <c r="AA51" s="35"/>
    </row>
    <row r="52" ht="12.75" customHeight="1">
      <c r="A52" s="175">
        <v>37.0</v>
      </c>
      <c r="B52" s="175" t="s">
        <v>100</v>
      </c>
      <c r="C52" s="175"/>
      <c r="D52" s="175" t="s">
        <v>5278</v>
      </c>
      <c r="E52" s="175" t="s">
        <v>70</v>
      </c>
      <c r="F52" s="177">
        <v>1.454E7</v>
      </c>
      <c r="G52" s="175" t="s">
        <v>5458</v>
      </c>
      <c r="H52" s="175" t="s">
        <v>1040</v>
      </c>
      <c r="I52" s="175" t="s">
        <v>5471</v>
      </c>
      <c r="J52" s="175" t="s">
        <v>5472</v>
      </c>
      <c r="K52" s="17" t="s">
        <v>5473</v>
      </c>
      <c r="L52" s="175" t="s">
        <v>5474</v>
      </c>
      <c r="M52" s="175" t="s">
        <v>5338</v>
      </c>
      <c r="N52" s="175" t="s">
        <v>5475</v>
      </c>
      <c r="O52" s="320" t="s">
        <v>4618</v>
      </c>
      <c r="P52" s="320" t="s">
        <v>5476</v>
      </c>
      <c r="Q52" s="431"/>
      <c r="R52" s="35"/>
      <c r="S52" s="35"/>
      <c r="T52" s="35"/>
      <c r="U52" s="35"/>
      <c r="V52" s="35"/>
      <c r="W52" s="35"/>
      <c r="X52" s="35"/>
      <c r="Y52" s="35"/>
      <c r="Z52" s="35"/>
      <c r="AA52" s="35"/>
    </row>
    <row r="53" ht="12.75" customHeight="1">
      <c r="A53" s="175">
        <v>38.0</v>
      </c>
      <c r="B53" s="175" t="s">
        <v>100</v>
      </c>
      <c r="C53" s="175"/>
      <c r="D53" s="175" t="s">
        <v>5278</v>
      </c>
      <c r="E53" s="175" t="s">
        <v>70</v>
      </c>
      <c r="F53" s="177">
        <v>1.454E7</v>
      </c>
      <c r="G53" s="175" t="s">
        <v>5458</v>
      </c>
      <c r="H53" s="175" t="s">
        <v>1040</v>
      </c>
      <c r="I53" s="175" t="s">
        <v>5477</v>
      </c>
      <c r="J53" s="175" t="s">
        <v>5478</v>
      </c>
      <c r="K53" s="17" t="s">
        <v>5479</v>
      </c>
      <c r="L53" s="175" t="s">
        <v>5480</v>
      </c>
      <c r="M53" s="175" t="s">
        <v>5338</v>
      </c>
      <c r="N53" s="175" t="s">
        <v>5481</v>
      </c>
      <c r="O53" s="320" t="s">
        <v>4618</v>
      </c>
      <c r="P53" s="320" t="s">
        <v>5482</v>
      </c>
      <c r="Q53" s="431"/>
      <c r="R53" s="35"/>
      <c r="S53" s="35"/>
      <c r="T53" s="35"/>
      <c r="U53" s="35"/>
      <c r="V53" s="35"/>
      <c r="W53" s="35"/>
      <c r="X53" s="35"/>
      <c r="Y53" s="35"/>
      <c r="Z53" s="35"/>
      <c r="AA53" s="35"/>
    </row>
    <row r="54" ht="12.75" customHeight="1">
      <c r="A54" s="175">
        <v>39.0</v>
      </c>
      <c r="B54" s="175" t="s">
        <v>100</v>
      </c>
      <c r="C54" s="175"/>
      <c r="D54" s="175" t="s">
        <v>5278</v>
      </c>
      <c r="E54" s="175" t="s">
        <v>70</v>
      </c>
      <c r="F54" s="177">
        <v>1.454E7</v>
      </c>
      <c r="G54" s="175" t="s">
        <v>5458</v>
      </c>
      <c r="H54" s="175" t="s">
        <v>1040</v>
      </c>
      <c r="I54" s="694" t="s">
        <v>5483</v>
      </c>
      <c r="J54" s="175" t="s">
        <v>5484</v>
      </c>
      <c r="K54" s="17" t="s">
        <v>5485</v>
      </c>
      <c r="L54" s="175" t="s">
        <v>5486</v>
      </c>
      <c r="M54" s="175" t="s">
        <v>5338</v>
      </c>
      <c r="N54" s="175" t="s">
        <v>4892</v>
      </c>
      <c r="O54" s="678" t="s">
        <v>4630</v>
      </c>
      <c r="P54" s="320" t="s">
        <v>5322</v>
      </c>
      <c r="Q54" s="320" t="s">
        <v>5357</v>
      </c>
      <c r="R54" s="35"/>
      <c r="S54" s="35"/>
      <c r="T54" s="35"/>
      <c r="U54" s="35"/>
      <c r="V54" s="35"/>
      <c r="W54" s="35"/>
      <c r="X54" s="35"/>
      <c r="Y54" s="35"/>
      <c r="Z54" s="35"/>
      <c r="AA54" s="35"/>
    </row>
    <row r="55" ht="12.75" customHeight="1">
      <c r="A55" s="175">
        <v>40.0</v>
      </c>
      <c r="B55" s="175" t="s">
        <v>100</v>
      </c>
      <c r="C55" s="175"/>
      <c r="D55" s="175" t="s">
        <v>5278</v>
      </c>
      <c r="E55" s="175" t="s">
        <v>70</v>
      </c>
      <c r="F55" s="177">
        <v>1.454E7</v>
      </c>
      <c r="G55" s="175" t="s">
        <v>5458</v>
      </c>
      <c r="H55" s="175" t="s">
        <v>1040</v>
      </c>
      <c r="I55" s="175" t="s">
        <v>5487</v>
      </c>
      <c r="J55" s="175" t="s">
        <v>5488</v>
      </c>
      <c r="K55" s="17" t="s">
        <v>5489</v>
      </c>
      <c r="L55" s="175" t="s">
        <v>5490</v>
      </c>
      <c r="M55" s="175" t="s">
        <v>5338</v>
      </c>
      <c r="N55" s="175" t="s">
        <v>5491</v>
      </c>
      <c r="O55" s="320" t="s">
        <v>4618</v>
      </c>
      <c r="P55" s="320" t="s">
        <v>5492</v>
      </c>
      <c r="Q55" s="431"/>
      <c r="R55" s="35"/>
      <c r="S55" s="35"/>
      <c r="T55" s="35"/>
      <c r="U55" s="35"/>
      <c r="V55" s="35"/>
      <c r="W55" s="35"/>
      <c r="X55" s="35"/>
      <c r="Y55" s="35"/>
      <c r="Z55" s="35"/>
      <c r="AA55" s="35"/>
    </row>
    <row r="56" ht="12.75" customHeight="1">
      <c r="A56" s="175">
        <v>41.0</v>
      </c>
      <c r="B56" s="175" t="s">
        <v>100</v>
      </c>
      <c r="C56" s="175"/>
      <c r="D56" s="175" t="s">
        <v>5278</v>
      </c>
      <c r="E56" s="175" t="s">
        <v>70</v>
      </c>
      <c r="F56" s="177">
        <v>2.03E7</v>
      </c>
      <c r="G56" s="175" t="s">
        <v>4807</v>
      </c>
      <c r="H56" s="175" t="s">
        <v>1040</v>
      </c>
      <c r="I56" s="300" t="s">
        <v>5493</v>
      </c>
      <c r="J56" s="175" t="s">
        <v>5494</v>
      </c>
      <c r="K56" s="17" t="s">
        <v>5495</v>
      </c>
      <c r="L56" s="178" t="s">
        <v>5496</v>
      </c>
      <c r="M56" s="175" t="s">
        <v>5497</v>
      </c>
      <c r="N56" s="175" t="s">
        <v>5498</v>
      </c>
      <c r="O56" s="320" t="s">
        <v>4618</v>
      </c>
      <c r="P56" s="320" t="s">
        <v>5499</v>
      </c>
      <c r="Q56" s="431"/>
      <c r="R56" s="35"/>
      <c r="S56" s="35"/>
      <c r="T56" s="35"/>
      <c r="U56" s="35"/>
      <c r="V56" s="35"/>
      <c r="W56" s="35"/>
      <c r="X56" s="35"/>
      <c r="Y56" s="35"/>
      <c r="Z56" s="35"/>
      <c r="AA56" s="35"/>
    </row>
    <row r="57" ht="12.75" customHeight="1">
      <c r="A57" s="175">
        <v>42.0</v>
      </c>
      <c r="B57" s="175" t="s">
        <v>100</v>
      </c>
      <c r="C57" s="175"/>
      <c r="D57" s="175" t="s">
        <v>5278</v>
      </c>
      <c r="E57" s="175" t="s">
        <v>70</v>
      </c>
      <c r="F57" s="177"/>
      <c r="G57" s="175" t="s">
        <v>5500</v>
      </c>
      <c r="H57" s="175"/>
      <c r="I57" s="175" t="s">
        <v>5501</v>
      </c>
      <c r="J57" s="178" t="s">
        <v>5502</v>
      </c>
      <c r="K57" s="17" t="s">
        <v>5503</v>
      </c>
      <c r="L57" s="178" t="s">
        <v>5504</v>
      </c>
      <c r="M57" s="175" t="s">
        <v>5497</v>
      </c>
      <c r="N57" s="175" t="s">
        <v>5505</v>
      </c>
      <c r="O57" s="320" t="s">
        <v>4618</v>
      </c>
      <c r="P57" s="320" t="s">
        <v>5506</v>
      </c>
      <c r="Q57" s="431"/>
      <c r="R57" s="35"/>
      <c r="S57" s="35"/>
      <c r="T57" s="35"/>
      <c r="U57" s="35"/>
      <c r="V57" s="35"/>
      <c r="W57" s="35"/>
      <c r="X57" s="35"/>
      <c r="Y57" s="35"/>
      <c r="Z57" s="35"/>
      <c r="AA57" s="35"/>
    </row>
    <row r="58" ht="12.75" customHeight="1">
      <c r="A58" s="35"/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</row>
    <row r="59" ht="12.75" customHeight="1">
      <c r="A59" s="35"/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</row>
    <row r="60" ht="12.75" customHeight="1">
      <c r="A60" s="35"/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35"/>
    </row>
    <row r="61" ht="12.75" customHeight="1">
      <c r="A61" s="35"/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  <c r="AA61" s="35"/>
    </row>
    <row r="62" ht="12.75" customHeight="1">
      <c r="A62" s="35"/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</row>
    <row r="63" ht="12.75" customHeight="1">
      <c r="A63" s="35"/>
      <c r="B63" s="35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5"/>
    </row>
    <row r="64" ht="12.75" customHeight="1">
      <c r="A64" s="35"/>
      <c r="B64" s="35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  <c r="AA64" s="35"/>
    </row>
    <row r="65" ht="12.75" customHeight="1">
      <c r="A65" s="35"/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</row>
    <row r="66" ht="12.75" customHeight="1">
      <c r="A66" s="35"/>
      <c r="B66" s="35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</row>
    <row r="67" ht="12.75" customHeight="1">
      <c r="A67" s="35"/>
      <c r="B67" s="35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  <c r="AA67" s="35"/>
    </row>
    <row r="68" ht="12.75" customHeight="1">
      <c r="A68" s="35"/>
      <c r="B68" s="35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  <c r="AA68" s="35"/>
    </row>
    <row r="69" ht="12.75" customHeight="1">
      <c r="A69" s="35"/>
      <c r="B69" s="35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35"/>
    </row>
    <row r="70" ht="12.75" customHeight="1">
      <c r="A70" s="35"/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  <c r="AA70" s="35"/>
    </row>
    <row r="71" ht="12.75" customHeight="1">
      <c r="A71" s="35"/>
      <c r="B71" s="35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  <c r="AA71" s="35"/>
    </row>
    <row r="72" ht="12.75" customHeight="1">
      <c r="A72" s="35"/>
      <c r="B72" s="35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  <c r="AA72" s="35"/>
    </row>
    <row r="73" ht="12.75" customHeight="1">
      <c r="A73" s="35"/>
      <c r="B73" s="35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  <c r="AA73" s="35"/>
    </row>
    <row r="74" ht="12.75" customHeight="1">
      <c r="A74" s="35"/>
      <c r="B74" s="35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35"/>
    </row>
    <row r="75" ht="12.75" customHeight="1">
      <c r="A75" s="35"/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  <c r="AA75" s="35"/>
    </row>
    <row r="76" ht="12.75" customHeight="1">
      <c r="A76" s="35"/>
      <c r="B76" s="35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  <c r="AA76" s="35"/>
    </row>
    <row r="77" ht="12.75" customHeight="1">
      <c r="A77" s="35"/>
      <c r="B77" s="35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  <c r="AA77" s="35"/>
    </row>
    <row r="78" ht="12.75" customHeight="1">
      <c r="A78" s="35"/>
      <c r="B78" s="35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  <c r="AA78" s="35"/>
    </row>
    <row r="79" ht="12.75" customHeight="1">
      <c r="A79" s="35"/>
      <c r="B79" s="35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  <c r="AA79" s="35"/>
    </row>
    <row r="80" ht="12.75" customHeight="1">
      <c r="A80" s="35"/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  <c r="AA80" s="35"/>
    </row>
    <row r="81" ht="12.75" customHeight="1">
      <c r="A81" s="35"/>
      <c r="B81" s="35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  <c r="AA81" s="35"/>
    </row>
    <row r="82" ht="12.75" customHeight="1">
      <c r="A82" s="35"/>
      <c r="B82" s="35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  <c r="AA82" s="35"/>
    </row>
    <row r="83" ht="12.75" customHeight="1">
      <c r="A83" s="35"/>
      <c r="B83" s="35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  <c r="AA83" s="35"/>
    </row>
    <row r="84" ht="12.75" customHeight="1">
      <c r="A84" s="35"/>
      <c r="B84" s="35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  <c r="AA84" s="35"/>
    </row>
    <row r="85" ht="12.75" customHeight="1">
      <c r="A85" s="35"/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  <c r="AA85" s="35"/>
    </row>
    <row r="86" ht="12.75" customHeight="1">
      <c r="A86" s="35"/>
      <c r="B86" s="35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  <c r="AA86" s="35"/>
    </row>
    <row r="87" ht="12.75" customHeight="1">
      <c r="A87" s="35"/>
      <c r="B87" s="35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  <c r="AA87" s="35"/>
    </row>
    <row r="88" ht="12.75" customHeight="1">
      <c r="A88" s="35"/>
      <c r="B88" s="35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  <c r="AA88" s="35"/>
    </row>
    <row r="89" ht="12.75" customHeight="1">
      <c r="A89" s="35"/>
      <c r="B89" s="35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35"/>
    </row>
    <row r="90" ht="12.75" customHeight="1">
      <c r="A90" s="35"/>
      <c r="B90" s="35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  <c r="AA90" s="35"/>
    </row>
    <row r="91" ht="12.75" customHeight="1">
      <c r="A91" s="35"/>
      <c r="B91" s="35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  <c r="AA91" s="35"/>
    </row>
    <row r="92" ht="12.75" customHeight="1">
      <c r="A92" s="35"/>
      <c r="B92" s="35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  <c r="AA92" s="35"/>
    </row>
    <row r="93" ht="12.75" customHeight="1">
      <c r="A93" s="35"/>
      <c r="B93" s="35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  <c r="AA93" s="35"/>
    </row>
    <row r="94" ht="12.75" customHeight="1">
      <c r="A94" s="35"/>
      <c r="B94" s="35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  <c r="AA94" s="35"/>
    </row>
    <row r="95" ht="12.75" customHeight="1">
      <c r="A95" s="35"/>
      <c r="B95" s="35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  <c r="AA95" s="35"/>
    </row>
    <row r="96" ht="12.75" customHeight="1">
      <c r="A96" s="35"/>
      <c r="B96" s="35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  <c r="AA96" s="35"/>
    </row>
    <row r="97" ht="12.75" customHeight="1">
      <c r="A97" s="35"/>
      <c r="B97" s="35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5"/>
    </row>
    <row r="98" ht="12.75" customHeight="1">
      <c r="A98" s="35"/>
      <c r="B98" s="35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5"/>
    </row>
    <row r="99" ht="12.75" customHeight="1">
      <c r="A99" s="35"/>
      <c r="B99" s="35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5"/>
    </row>
    <row r="100" ht="12.75" customHeight="1">
      <c r="A100" s="35"/>
      <c r="B100" s="35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5"/>
    </row>
    <row r="101" ht="12.75" customHeight="1">
      <c r="A101" s="35"/>
      <c r="B101" s="35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5"/>
    </row>
    <row r="102" ht="12.75" customHeight="1">
      <c r="A102" s="35"/>
      <c r="B102" s="35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5"/>
    </row>
    <row r="103" ht="12.75" customHeight="1">
      <c r="A103" s="35"/>
      <c r="B103" s="35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5"/>
    </row>
    <row r="104" ht="12.75" customHeight="1">
      <c r="A104" s="35"/>
      <c r="B104" s="35"/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5"/>
    </row>
    <row r="105" ht="12.75" customHeight="1">
      <c r="A105" s="35"/>
      <c r="B105" s="35"/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5"/>
    </row>
    <row r="106" ht="12.75" customHeight="1">
      <c r="A106" s="35"/>
      <c r="B106" s="35"/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5"/>
    </row>
    <row r="107" ht="12.75" customHeight="1">
      <c r="A107" s="35"/>
      <c r="B107" s="35"/>
      <c r="C107" s="35"/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  <c r="AA107" s="35"/>
    </row>
    <row r="108" ht="12.75" customHeight="1">
      <c r="A108" s="35"/>
      <c r="B108" s="35"/>
      <c r="C108" s="35"/>
      <c r="D108" s="35"/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  <c r="AA108" s="35"/>
    </row>
    <row r="109" ht="12.75" customHeight="1">
      <c r="A109" s="35"/>
      <c r="B109" s="35"/>
      <c r="C109" s="35"/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  <c r="AA109" s="35"/>
    </row>
    <row r="110" ht="12.75" customHeight="1">
      <c r="A110" s="35"/>
      <c r="B110" s="35"/>
      <c r="C110" s="35"/>
      <c r="D110" s="35"/>
      <c r="E110" s="35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  <c r="AA110" s="35"/>
    </row>
    <row r="111" ht="12.75" customHeight="1">
      <c r="A111" s="35"/>
      <c r="B111" s="35"/>
      <c r="C111" s="35"/>
      <c r="D111" s="35"/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  <c r="AA111" s="35"/>
    </row>
    <row r="112" ht="12.75" customHeight="1">
      <c r="A112" s="35"/>
      <c r="B112" s="35"/>
      <c r="C112" s="35"/>
      <c r="D112" s="35"/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  <c r="AA112" s="35"/>
    </row>
    <row r="113" ht="12.75" customHeight="1">
      <c r="A113" s="35"/>
      <c r="B113" s="35"/>
      <c r="C113" s="35"/>
      <c r="D113" s="35"/>
      <c r="E113" s="35"/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  <c r="AA113" s="35"/>
    </row>
    <row r="114" ht="12.75" customHeight="1">
      <c r="A114" s="35"/>
      <c r="B114" s="35"/>
      <c r="C114" s="35"/>
      <c r="D114" s="35"/>
      <c r="E114" s="35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  <c r="AA114" s="35"/>
    </row>
    <row r="115" ht="12.75" customHeight="1">
      <c r="A115" s="35"/>
      <c r="B115" s="35"/>
      <c r="C115" s="35"/>
      <c r="D115" s="35"/>
      <c r="E115" s="35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  <c r="AA115" s="35"/>
    </row>
    <row r="116" ht="12.75" customHeight="1">
      <c r="A116" s="35"/>
      <c r="B116" s="35"/>
      <c r="C116" s="35"/>
      <c r="D116" s="35"/>
      <c r="E116" s="35"/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  <c r="AA116" s="35"/>
    </row>
    <row r="117" ht="12.75" customHeight="1">
      <c r="A117" s="35"/>
      <c r="B117" s="35"/>
      <c r="C117" s="35"/>
      <c r="D117" s="35"/>
      <c r="E117" s="35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  <c r="AA117" s="35"/>
    </row>
    <row r="118" ht="12.75" customHeight="1">
      <c r="A118" s="35"/>
      <c r="B118" s="35"/>
      <c r="C118" s="35"/>
      <c r="D118" s="35"/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  <c r="AA118" s="35"/>
    </row>
    <row r="119" ht="12.75" customHeight="1">
      <c r="A119" s="35"/>
      <c r="B119" s="35"/>
      <c r="C119" s="35"/>
      <c r="D119" s="35"/>
      <c r="E119" s="35"/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  <c r="AA119" s="35"/>
    </row>
    <row r="120" ht="12.75" customHeight="1">
      <c r="A120" s="35"/>
      <c r="B120" s="35"/>
      <c r="C120" s="35"/>
      <c r="D120" s="35"/>
      <c r="E120" s="35"/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  <c r="AA120" s="35"/>
    </row>
    <row r="121" ht="12.75" customHeight="1">
      <c r="A121" s="35"/>
      <c r="B121" s="35"/>
      <c r="C121" s="35"/>
      <c r="D121" s="35"/>
      <c r="E121" s="35"/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  <c r="AA121" s="35"/>
    </row>
    <row r="122" ht="12.75" customHeight="1">
      <c r="A122" s="35"/>
      <c r="B122" s="35"/>
      <c r="C122" s="35"/>
      <c r="D122" s="35"/>
      <c r="E122" s="35"/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  <c r="AA122" s="35"/>
    </row>
    <row r="123" ht="12.75" customHeight="1">
      <c r="A123" s="35"/>
      <c r="B123" s="35"/>
      <c r="C123" s="35"/>
      <c r="D123" s="35"/>
      <c r="E123" s="35"/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  <c r="AA123" s="35"/>
    </row>
    <row r="124" ht="12.75" customHeight="1">
      <c r="A124" s="35"/>
      <c r="B124" s="35"/>
      <c r="C124" s="35"/>
      <c r="D124" s="35"/>
      <c r="E124" s="35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  <c r="AA124" s="35"/>
    </row>
    <row r="125" ht="12.75" customHeight="1">
      <c r="A125" s="35"/>
      <c r="B125" s="35"/>
      <c r="C125" s="35"/>
      <c r="D125" s="35"/>
      <c r="E125" s="35"/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  <c r="AA125" s="35"/>
    </row>
    <row r="126" ht="12.75" customHeight="1">
      <c r="A126" s="35"/>
      <c r="B126" s="35"/>
      <c r="C126" s="35"/>
      <c r="D126" s="35"/>
      <c r="E126" s="35"/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  <c r="AA126" s="35"/>
    </row>
    <row r="127" ht="12.75" customHeight="1">
      <c r="A127" s="35"/>
      <c r="B127" s="35"/>
      <c r="C127" s="35"/>
      <c r="D127" s="35"/>
      <c r="E127" s="35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  <c r="AA127" s="35"/>
    </row>
    <row r="128" ht="12.75" customHeight="1">
      <c r="A128" s="35"/>
      <c r="B128" s="35"/>
      <c r="C128" s="35"/>
      <c r="D128" s="35"/>
      <c r="E128" s="35"/>
      <c r="F128" s="35"/>
      <c r="G128" s="35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  <c r="AA128" s="35"/>
    </row>
    <row r="129" ht="12.75" customHeight="1">
      <c r="A129" s="35"/>
      <c r="B129" s="35"/>
      <c r="C129" s="35"/>
      <c r="D129" s="35"/>
      <c r="E129" s="35"/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  <c r="AA129" s="35"/>
    </row>
    <row r="130" ht="12.75" customHeight="1">
      <c r="A130" s="35"/>
      <c r="B130" s="35"/>
      <c r="C130" s="35"/>
      <c r="D130" s="35"/>
      <c r="E130" s="35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  <c r="AA130" s="35"/>
    </row>
    <row r="131" ht="12.75" customHeight="1">
      <c r="A131" s="35"/>
      <c r="B131" s="35"/>
      <c r="C131" s="35"/>
      <c r="D131" s="35"/>
      <c r="E131" s="35"/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  <c r="AA131" s="35"/>
    </row>
    <row r="132" ht="12.75" customHeight="1">
      <c r="A132" s="35"/>
      <c r="B132" s="35"/>
      <c r="C132" s="35"/>
      <c r="D132" s="35"/>
      <c r="E132" s="35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  <c r="AA132" s="35"/>
    </row>
    <row r="133" ht="12.75" customHeight="1">
      <c r="A133" s="35"/>
      <c r="B133" s="35"/>
      <c r="C133" s="35"/>
      <c r="D133" s="35"/>
      <c r="E133" s="35"/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  <c r="AA133" s="35"/>
    </row>
    <row r="134" ht="12.75" customHeight="1">
      <c r="A134" s="35"/>
      <c r="B134" s="35"/>
      <c r="C134" s="35"/>
      <c r="D134" s="35"/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  <c r="AA134" s="35"/>
    </row>
    <row r="135" ht="12.75" customHeight="1">
      <c r="A135" s="35"/>
      <c r="B135" s="35"/>
      <c r="C135" s="35"/>
      <c r="D135" s="35"/>
      <c r="E135" s="35"/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  <c r="AA135" s="35"/>
    </row>
    <row r="136" ht="12.75" customHeight="1">
      <c r="A136" s="35"/>
      <c r="B136" s="35"/>
      <c r="C136" s="35"/>
      <c r="D136" s="35"/>
      <c r="E136" s="35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  <c r="AA136" s="35"/>
    </row>
    <row r="137" ht="12.75" customHeight="1">
      <c r="A137" s="35"/>
      <c r="B137" s="35"/>
      <c r="C137" s="35"/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  <c r="AA137" s="35"/>
    </row>
    <row r="138" ht="12.75" customHeight="1">
      <c r="A138" s="35"/>
      <c r="B138" s="35"/>
      <c r="C138" s="35"/>
      <c r="D138" s="35"/>
      <c r="E138" s="35"/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  <c r="AA138" s="35"/>
    </row>
    <row r="139" ht="12.75" customHeight="1">
      <c r="A139" s="35"/>
      <c r="B139" s="35"/>
      <c r="C139" s="35"/>
      <c r="D139" s="35"/>
      <c r="E139" s="35"/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  <c r="AA139" s="35"/>
    </row>
    <row r="140" ht="12.75" customHeight="1">
      <c r="A140" s="35"/>
      <c r="B140" s="35"/>
      <c r="C140" s="35"/>
      <c r="D140" s="35"/>
      <c r="E140" s="35"/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  <c r="AA140" s="35"/>
    </row>
    <row r="141" ht="12.75" customHeight="1">
      <c r="A141" s="35"/>
      <c r="B141" s="35"/>
      <c r="C141" s="35"/>
      <c r="D141" s="35"/>
      <c r="E141" s="35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  <c r="AA141" s="35"/>
    </row>
    <row r="142" ht="12.75" customHeight="1">
      <c r="A142" s="35"/>
      <c r="B142" s="35"/>
      <c r="C142" s="35"/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  <c r="AA142" s="35"/>
    </row>
    <row r="143" ht="12.75" customHeight="1">
      <c r="A143" s="35"/>
      <c r="B143" s="35"/>
      <c r="C143" s="35"/>
      <c r="D143" s="35"/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  <c r="AA143" s="35"/>
    </row>
    <row r="144" ht="12.75" customHeight="1">
      <c r="A144" s="35"/>
      <c r="B144" s="35"/>
      <c r="C144" s="35"/>
      <c r="D144" s="35"/>
      <c r="E144" s="35"/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  <c r="Z144" s="35"/>
      <c r="AA144" s="35"/>
    </row>
    <row r="145" ht="12.75" customHeight="1">
      <c r="A145" s="35"/>
      <c r="B145" s="35"/>
      <c r="C145" s="35"/>
      <c r="D145" s="35"/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  <c r="AA145" s="35"/>
    </row>
    <row r="146" ht="12.75" customHeight="1">
      <c r="A146" s="35"/>
      <c r="B146" s="35"/>
      <c r="C146" s="35"/>
      <c r="D146" s="35"/>
      <c r="E146" s="35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5"/>
      <c r="AA146" s="35"/>
    </row>
    <row r="147" ht="12.75" customHeight="1">
      <c r="A147" s="35"/>
      <c r="B147" s="35"/>
      <c r="C147" s="35"/>
      <c r="D147" s="35"/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  <c r="AA147" s="35"/>
    </row>
    <row r="148" ht="12.75" customHeight="1">
      <c r="A148" s="35"/>
      <c r="B148" s="35"/>
      <c r="C148" s="35"/>
      <c r="D148" s="35"/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  <c r="Z148" s="35"/>
      <c r="AA148" s="35"/>
    </row>
    <row r="149" ht="12.75" customHeight="1">
      <c r="A149" s="35"/>
      <c r="B149" s="35"/>
      <c r="C149" s="35"/>
      <c r="D149" s="35"/>
      <c r="E149" s="35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5"/>
      <c r="AA149" s="35"/>
    </row>
    <row r="150" ht="12.75" customHeight="1">
      <c r="A150" s="35"/>
      <c r="B150" s="35"/>
      <c r="C150" s="35"/>
      <c r="D150" s="35"/>
      <c r="E150" s="35"/>
      <c r="F150" s="35"/>
      <c r="G150" s="35"/>
      <c r="H150" s="35"/>
      <c r="I150" s="35"/>
      <c r="J150" s="35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5"/>
      <c r="AA150" s="35"/>
    </row>
    <row r="151" ht="12.75" customHeight="1">
      <c r="A151" s="35"/>
      <c r="B151" s="35"/>
      <c r="C151" s="35"/>
      <c r="D151" s="35"/>
      <c r="E151" s="35"/>
      <c r="F151" s="35"/>
      <c r="G151" s="35"/>
      <c r="H151" s="35"/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  <c r="AA151" s="35"/>
    </row>
    <row r="152" ht="12.75" customHeight="1">
      <c r="A152" s="35"/>
      <c r="B152" s="35"/>
      <c r="C152" s="35"/>
      <c r="D152" s="35"/>
      <c r="E152" s="35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5"/>
      <c r="AA152" s="35"/>
    </row>
    <row r="153" ht="12.75" customHeight="1">
      <c r="A153" s="35"/>
      <c r="B153" s="35"/>
      <c r="C153" s="35"/>
      <c r="D153" s="35"/>
      <c r="E153" s="35"/>
      <c r="F153" s="35"/>
      <c r="G153" s="35"/>
      <c r="H153" s="35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  <c r="AA153" s="35"/>
    </row>
    <row r="154" ht="12.75" customHeight="1">
      <c r="A154" s="35"/>
      <c r="B154" s="35"/>
      <c r="C154" s="35"/>
      <c r="D154" s="35"/>
      <c r="E154" s="35"/>
      <c r="F154" s="35"/>
      <c r="G154" s="35"/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  <c r="AA154" s="35"/>
    </row>
    <row r="155" ht="12.75" customHeight="1">
      <c r="A155" s="35"/>
      <c r="B155" s="35"/>
      <c r="C155" s="35"/>
      <c r="D155" s="35"/>
      <c r="E155" s="35"/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  <c r="AA155" s="35"/>
    </row>
    <row r="156" ht="12.75" customHeight="1">
      <c r="A156" s="35"/>
      <c r="B156" s="35"/>
      <c r="C156" s="35"/>
      <c r="D156" s="35"/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  <c r="AA156" s="35"/>
    </row>
    <row r="157" ht="12.75" customHeight="1">
      <c r="A157" s="35"/>
      <c r="B157" s="35"/>
      <c r="C157" s="35"/>
      <c r="D157" s="35"/>
      <c r="E157" s="35"/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  <c r="AA157" s="35"/>
    </row>
    <row r="158" ht="12.75" customHeight="1">
      <c r="A158" s="35"/>
      <c r="B158" s="35"/>
      <c r="C158" s="35"/>
      <c r="D158" s="35"/>
      <c r="E158" s="35"/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  <c r="AA158" s="35"/>
    </row>
    <row r="159" ht="12.75" customHeight="1">
      <c r="A159" s="35"/>
      <c r="B159" s="35"/>
      <c r="C159" s="35"/>
      <c r="D159" s="35"/>
      <c r="E159" s="35"/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  <c r="AA159" s="35"/>
    </row>
    <row r="160" ht="12.75" customHeight="1">
      <c r="A160" s="35"/>
      <c r="B160" s="35"/>
      <c r="C160" s="35"/>
      <c r="D160" s="35"/>
      <c r="E160" s="35"/>
      <c r="F160" s="35"/>
      <c r="G160" s="35"/>
      <c r="H160" s="35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  <c r="AA160" s="35"/>
    </row>
    <row r="161" ht="12.75" customHeight="1">
      <c r="A161" s="35"/>
      <c r="B161" s="35"/>
      <c r="C161" s="35"/>
      <c r="D161" s="35"/>
      <c r="E161" s="35"/>
      <c r="F161" s="35"/>
      <c r="G161" s="35"/>
      <c r="H161" s="35"/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  <c r="AA161" s="35"/>
    </row>
    <row r="162" ht="12.75" customHeight="1">
      <c r="A162" s="35"/>
      <c r="B162" s="35"/>
      <c r="C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5"/>
      <c r="AA162" s="35"/>
    </row>
    <row r="163" ht="12.75" customHeight="1">
      <c r="A163" s="35"/>
      <c r="B163" s="35"/>
      <c r="C163" s="35"/>
      <c r="D163" s="35"/>
      <c r="E163" s="35"/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  <c r="AA163" s="35"/>
    </row>
    <row r="164" ht="12.75" customHeight="1">
      <c r="A164" s="35"/>
      <c r="B164" s="35"/>
      <c r="C164" s="35"/>
      <c r="D164" s="35"/>
      <c r="E164" s="35"/>
      <c r="F164" s="35"/>
      <c r="G164" s="35"/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  <c r="AA164" s="35"/>
    </row>
    <row r="165" ht="12.75" customHeight="1">
      <c r="A165" s="35"/>
      <c r="B165" s="35"/>
      <c r="C165" s="35"/>
      <c r="D165" s="35"/>
      <c r="E165" s="35"/>
      <c r="F165" s="35"/>
      <c r="G165" s="35"/>
      <c r="H165" s="35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  <c r="AA165" s="35"/>
    </row>
    <row r="166" ht="12.75" customHeight="1">
      <c r="A166" s="35"/>
      <c r="B166" s="35"/>
      <c r="C166" s="35"/>
      <c r="D166" s="35"/>
      <c r="E166" s="35"/>
      <c r="F166" s="35"/>
      <c r="G166" s="35"/>
      <c r="H166" s="35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35"/>
      <c r="AA166" s="35"/>
    </row>
    <row r="167" ht="12.75" customHeight="1">
      <c r="A167" s="35"/>
      <c r="B167" s="35"/>
      <c r="C167" s="35"/>
      <c r="D167" s="35"/>
      <c r="E167" s="35"/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  <c r="AA167" s="35"/>
    </row>
    <row r="168" ht="12.75" customHeight="1">
      <c r="A168" s="35"/>
      <c r="B168" s="35"/>
      <c r="C168" s="35"/>
      <c r="D168" s="35"/>
      <c r="E168" s="35"/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  <c r="Z168" s="35"/>
      <c r="AA168" s="35"/>
    </row>
    <row r="169" ht="12.75" customHeight="1">
      <c r="A169" s="35"/>
      <c r="B169" s="35"/>
      <c r="C169" s="35"/>
      <c r="D169" s="35"/>
      <c r="E169" s="35"/>
      <c r="F169" s="35"/>
      <c r="G169" s="35"/>
      <c r="H169" s="35"/>
      <c r="I169" s="35"/>
      <c r="J169" s="35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  <c r="Z169" s="35"/>
      <c r="AA169" s="35"/>
    </row>
    <row r="170" ht="12.75" customHeight="1">
      <c r="A170" s="35"/>
      <c r="B170" s="35"/>
      <c r="C170" s="35"/>
      <c r="D170" s="35"/>
      <c r="E170" s="35"/>
      <c r="F170" s="35"/>
      <c r="G170" s="35"/>
      <c r="H170" s="35"/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35"/>
      <c r="AA170" s="35"/>
    </row>
    <row r="171" ht="12.75" customHeight="1">
      <c r="A171" s="35"/>
      <c r="B171" s="35"/>
      <c r="C171" s="35"/>
      <c r="D171" s="35"/>
      <c r="E171" s="35"/>
      <c r="F171" s="35"/>
      <c r="G171" s="35"/>
      <c r="H171" s="35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  <c r="AA171" s="35"/>
    </row>
    <row r="172" ht="12.75" customHeight="1">
      <c r="A172" s="35"/>
      <c r="B172" s="35"/>
      <c r="C172" s="35"/>
      <c r="D172" s="35"/>
      <c r="E172" s="35"/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  <c r="Z172" s="35"/>
      <c r="AA172" s="35"/>
    </row>
    <row r="173" ht="12.75" customHeight="1">
      <c r="A173" s="35"/>
      <c r="B173" s="35"/>
      <c r="C173" s="35"/>
      <c r="D173" s="35"/>
      <c r="E173" s="35"/>
      <c r="F173" s="35"/>
      <c r="G173" s="35"/>
      <c r="H173" s="35"/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  <c r="Z173" s="35"/>
      <c r="AA173" s="35"/>
    </row>
    <row r="174" ht="12.75" customHeight="1">
      <c r="A174" s="35"/>
      <c r="B174" s="35"/>
      <c r="C174" s="35"/>
      <c r="D174" s="35"/>
      <c r="E174" s="35"/>
      <c r="F174" s="35"/>
      <c r="G174" s="35"/>
      <c r="H174" s="35"/>
      <c r="I174" s="35"/>
      <c r="J174" s="35"/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  <c r="Z174" s="35"/>
      <c r="AA174" s="35"/>
    </row>
    <row r="175" ht="12.75" customHeight="1">
      <c r="A175" s="35"/>
      <c r="B175" s="35"/>
      <c r="C175" s="35"/>
      <c r="D175" s="35"/>
      <c r="E175" s="35"/>
      <c r="F175" s="35"/>
      <c r="G175" s="35"/>
      <c r="H175" s="35"/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5"/>
      <c r="AA175" s="35"/>
    </row>
    <row r="176" ht="12.75" customHeight="1">
      <c r="A176" s="35"/>
      <c r="B176" s="35"/>
      <c r="C176" s="35"/>
      <c r="D176" s="35"/>
      <c r="E176" s="35"/>
      <c r="F176" s="35"/>
      <c r="G176" s="35"/>
      <c r="H176" s="35"/>
      <c r="I176" s="35"/>
      <c r="J176" s="35"/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5"/>
      <c r="AA176" s="35"/>
    </row>
    <row r="177" ht="12.75" customHeight="1">
      <c r="A177" s="35"/>
      <c r="B177" s="35"/>
      <c r="C177" s="35"/>
      <c r="D177" s="35"/>
      <c r="E177" s="35"/>
      <c r="F177" s="35"/>
      <c r="G177" s="35"/>
      <c r="H177" s="35"/>
      <c r="I177" s="35"/>
      <c r="J177" s="35"/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  <c r="Z177" s="35"/>
      <c r="AA177" s="35"/>
    </row>
    <row r="178" ht="12.75" customHeight="1">
      <c r="A178" s="35"/>
      <c r="B178" s="35"/>
      <c r="C178" s="35"/>
      <c r="D178" s="35"/>
      <c r="E178" s="35"/>
      <c r="F178" s="35"/>
      <c r="G178" s="35"/>
      <c r="H178" s="35"/>
      <c r="I178" s="35"/>
      <c r="J178" s="35"/>
      <c r="K178" s="35"/>
      <c r="L178" s="35"/>
      <c r="M178" s="35"/>
      <c r="N178" s="35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  <c r="Z178" s="35"/>
      <c r="AA178" s="35"/>
    </row>
    <row r="179" ht="12.75" customHeight="1">
      <c r="A179" s="35"/>
      <c r="B179" s="35"/>
      <c r="C179" s="35"/>
      <c r="D179" s="35"/>
      <c r="E179" s="35"/>
      <c r="F179" s="35"/>
      <c r="G179" s="35"/>
      <c r="H179" s="35"/>
      <c r="I179" s="35"/>
      <c r="J179" s="35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  <c r="Z179" s="35"/>
      <c r="AA179" s="35"/>
    </row>
    <row r="180" ht="12.75" customHeight="1">
      <c r="A180" s="35"/>
      <c r="B180" s="35"/>
      <c r="C180" s="35"/>
      <c r="D180" s="35"/>
      <c r="E180" s="35"/>
      <c r="F180" s="35"/>
      <c r="G180" s="35"/>
      <c r="H180" s="35"/>
      <c r="I180" s="35"/>
      <c r="J180" s="35"/>
      <c r="K180" s="35"/>
      <c r="L180" s="35"/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  <c r="Z180" s="35"/>
      <c r="AA180" s="35"/>
    </row>
    <row r="181" ht="12.75" customHeight="1">
      <c r="A181" s="35"/>
      <c r="B181" s="35"/>
      <c r="C181" s="35"/>
      <c r="D181" s="35"/>
      <c r="E181" s="35"/>
      <c r="F181" s="35"/>
      <c r="G181" s="35"/>
      <c r="H181" s="35"/>
      <c r="I181" s="35"/>
      <c r="J181" s="35"/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  <c r="Z181" s="35"/>
      <c r="AA181" s="35"/>
    </row>
    <row r="182" ht="12.75" customHeight="1">
      <c r="A182" s="35"/>
      <c r="B182" s="35"/>
      <c r="C182" s="35"/>
      <c r="D182" s="35"/>
      <c r="E182" s="35"/>
      <c r="F182" s="35"/>
      <c r="G182" s="35"/>
      <c r="H182" s="35"/>
      <c r="I182" s="35"/>
      <c r="J182" s="35"/>
      <c r="K182" s="35"/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  <c r="Z182" s="35"/>
      <c r="AA182" s="35"/>
    </row>
    <row r="183" ht="12.75" customHeight="1">
      <c r="A183" s="35"/>
      <c r="B183" s="35"/>
      <c r="C183" s="35"/>
      <c r="D183" s="35"/>
      <c r="E183" s="35"/>
      <c r="F183" s="35"/>
      <c r="G183" s="35"/>
      <c r="H183" s="35"/>
      <c r="I183" s="35"/>
      <c r="J183" s="35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  <c r="Z183" s="35"/>
      <c r="AA183" s="35"/>
    </row>
    <row r="184" ht="12.75" customHeight="1">
      <c r="A184" s="35"/>
      <c r="B184" s="35"/>
      <c r="C184" s="35"/>
      <c r="D184" s="35"/>
      <c r="E184" s="35"/>
      <c r="F184" s="35"/>
      <c r="G184" s="35"/>
      <c r="H184" s="35"/>
      <c r="I184" s="35"/>
      <c r="J184" s="35"/>
      <c r="K184" s="35"/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  <c r="Z184" s="35"/>
      <c r="AA184" s="35"/>
    </row>
    <row r="185" ht="12.75" customHeight="1">
      <c r="A185" s="35"/>
      <c r="B185" s="35"/>
      <c r="C185" s="35"/>
      <c r="D185" s="35"/>
      <c r="E185" s="35"/>
      <c r="F185" s="35"/>
      <c r="G185" s="35"/>
      <c r="H185" s="35"/>
      <c r="I185" s="35"/>
      <c r="J185" s="35"/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  <c r="Z185" s="35"/>
      <c r="AA185" s="35"/>
    </row>
    <row r="186" ht="12.75" customHeight="1">
      <c r="A186" s="35"/>
      <c r="B186" s="35"/>
      <c r="C186" s="35"/>
      <c r="D186" s="35"/>
      <c r="E186" s="35"/>
      <c r="F186" s="35"/>
      <c r="G186" s="35"/>
      <c r="H186" s="35"/>
      <c r="I186" s="35"/>
      <c r="J186" s="35"/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  <c r="Z186" s="35"/>
      <c r="AA186" s="35"/>
    </row>
    <row r="187" ht="12.75" customHeight="1">
      <c r="A187" s="35"/>
      <c r="B187" s="35"/>
      <c r="C187" s="35"/>
      <c r="D187" s="35"/>
      <c r="E187" s="35"/>
      <c r="F187" s="35"/>
      <c r="G187" s="35"/>
      <c r="H187" s="35"/>
      <c r="I187" s="35"/>
      <c r="J187" s="35"/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35"/>
      <c r="AA187" s="35"/>
    </row>
    <row r="188" ht="12.75" customHeight="1">
      <c r="A188" s="35"/>
      <c r="B188" s="35"/>
      <c r="C188" s="35"/>
      <c r="D188" s="35"/>
      <c r="E188" s="35"/>
      <c r="F188" s="35"/>
      <c r="G188" s="35"/>
      <c r="H188" s="35"/>
      <c r="I188" s="35"/>
      <c r="J188" s="35"/>
      <c r="K188" s="35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  <c r="Z188" s="35"/>
      <c r="AA188" s="35"/>
    </row>
    <row r="189" ht="12.75" customHeight="1">
      <c r="A189" s="35"/>
      <c r="B189" s="35"/>
      <c r="C189" s="35"/>
      <c r="D189" s="35"/>
      <c r="E189" s="35"/>
      <c r="F189" s="35"/>
      <c r="G189" s="35"/>
      <c r="H189" s="35"/>
      <c r="I189" s="35"/>
      <c r="J189" s="35"/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  <c r="Z189" s="35"/>
      <c r="AA189" s="35"/>
    </row>
    <row r="190" ht="12.75" customHeight="1">
      <c r="A190" s="35"/>
      <c r="B190" s="35"/>
      <c r="C190" s="35"/>
      <c r="D190" s="35"/>
      <c r="E190" s="35"/>
      <c r="F190" s="35"/>
      <c r="G190" s="35"/>
      <c r="H190" s="35"/>
      <c r="I190" s="35"/>
      <c r="J190" s="35"/>
      <c r="K190" s="35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  <c r="Z190" s="35"/>
      <c r="AA190" s="35"/>
    </row>
    <row r="191" ht="12.75" customHeight="1">
      <c r="A191" s="35"/>
      <c r="B191" s="35"/>
      <c r="C191" s="35"/>
      <c r="D191" s="35"/>
      <c r="E191" s="35"/>
      <c r="F191" s="35"/>
      <c r="G191" s="35"/>
      <c r="H191" s="35"/>
      <c r="I191" s="35"/>
      <c r="J191" s="35"/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  <c r="Z191" s="35"/>
      <c r="AA191" s="35"/>
    </row>
    <row r="192" ht="12.75" customHeight="1">
      <c r="A192" s="35"/>
      <c r="B192" s="35"/>
      <c r="C192" s="35"/>
      <c r="D192" s="35"/>
      <c r="E192" s="35"/>
      <c r="F192" s="35"/>
      <c r="G192" s="35"/>
      <c r="H192" s="35"/>
      <c r="I192" s="35"/>
      <c r="J192" s="35"/>
      <c r="K192" s="35"/>
      <c r="L192" s="35"/>
      <c r="M192" s="35"/>
      <c r="N192" s="35"/>
      <c r="O192" s="35"/>
      <c r="P192" s="35"/>
      <c r="Q192" s="35"/>
      <c r="R192" s="35"/>
      <c r="S192" s="35"/>
      <c r="T192" s="35"/>
      <c r="U192" s="35"/>
      <c r="V192" s="35"/>
      <c r="W192" s="35"/>
      <c r="X192" s="35"/>
      <c r="Y192" s="35"/>
      <c r="Z192" s="35"/>
      <c r="AA192" s="35"/>
    </row>
    <row r="193" ht="12.75" customHeight="1">
      <c r="A193" s="35"/>
      <c r="B193" s="35"/>
      <c r="C193" s="35"/>
      <c r="D193" s="35"/>
      <c r="E193" s="35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  <c r="AA193" s="35"/>
    </row>
    <row r="194" ht="12.75" customHeight="1">
      <c r="A194" s="35"/>
      <c r="B194" s="35"/>
      <c r="C194" s="35"/>
      <c r="D194" s="35"/>
      <c r="E194" s="35"/>
      <c r="F194" s="35"/>
      <c r="G194" s="35"/>
      <c r="H194" s="35"/>
      <c r="I194" s="35"/>
      <c r="J194" s="35"/>
      <c r="K194" s="35"/>
      <c r="L194" s="35"/>
      <c r="M194" s="35"/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  <c r="Z194" s="35"/>
      <c r="AA194" s="35"/>
    </row>
    <row r="195" ht="12.75" customHeight="1">
      <c r="A195" s="35"/>
      <c r="B195" s="35"/>
      <c r="C195" s="35"/>
      <c r="D195" s="35"/>
      <c r="E195" s="35"/>
      <c r="F195" s="35"/>
      <c r="G195" s="35"/>
      <c r="H195" s="35"/>
      <c r="I195" s="35"/>
      <c r="J195" s="35"/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  <c r="Z195" s="35"/>
      <c r="AA195" s="35"/>
    </row>
    <row r="196" ht="12.75" customHeight="1">
      <c r="A196" s="35"/>
      <c r="B196" s="35"/>
      <c r="C196" s="35"/>
      <c r="D196" s="35"/>
      <c r="E196" s="35"/>
      <c r="F196" s="35"/>
      <c r="G196" s="35"/>
      <c r="H196" s="35"/>
      <c r="I196" s="35"/>
      <c r="J196" s="35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  <c r="Z196" s="35"/>
      <c r="AA196" s="35"/>
    </row>
    <row r="197" ht="12.75" customHeight="1">
      <c r="A197" s="35"/>
      <c r="B197" s="35"/>
      <c r="C197" s="35"/>
      <c r="D197" s="35"/>
      <c r="E197" s="35"/>
      <c r="F197" s="35"/>
      <c r="G197" s="35"/>
      <c r="H197" s="35"/>
      <c r="I197" s="35"/>
      <c r="J197" s="35"/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  <c r="Z197" s="35"/>
      <c r="AA197" s="35"/>
    </row>
    <row r="198" ht="12.75" customHeight="1">
      <c r="A198" s="35"/>
      <c r="B198" s="35"/>
      <c r="C198" s="35"/>
      <c r="D198" s="35"/>
      <c r="E198" s="35"/>
      <c r="F198" s="35"/>
      <c r="G198" s="35"/>
      <c r="H198" s="35"/>
      <c r="I198" s="35"/>
      <c r="J198" s="35"/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  <c r="Z198" s="35"/>
      <c r="AA198" s="35"/>
    </row>
    <row r="199" ht="12.75" customHeight="1">
      <c r="A199" s="35"/>
      <c r="B199" s="35"/>
      <c r="C199" s="35"/>
      <c r="D199" s="35"/>
      <c r="E199" s="35"/>
      <c r="F199" s="35"/>
      <c r="G199" s="35"/>
      <c r="H199" s="35"/>
      <c r="I199" s="35"/>
      <c r="J199" s="35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  <c r="Z199" s="35"/>
      <c r="AA199" s="35"/>
    </row>
    <row r="200" ht="12.75" customHeight="1">
      <c r="A200" s="35"/>
      <c r="B200" s="35"/>
      <c r="C200" s="35"/>
      <c r="D200" s="35"/>
      <c r="E200" s="35"/>
      <c r="F200" s="35"/>
      <c r="G200" s="35"/>
      <c r="H200" s="35"/>
      <c r="I200" s="35"/>
      <c r="J200" s="35"/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  <c r="Z200" s="35"/>
      <c r="AA200" s="35"/>
    </row>
    <row r="201" ht="12.75" customHeight="1">
      <c r="A201" s="35"/>
      <c r="B201" s="35"/>
      <c r="C201" s="35"/>
      <c r="D201" s="35"/>
      <c r="E201" s="35"/>
      <c r="F201" s="35"/>
      <c r="G201" s="35"/>
      <c r="H201" s="35"/>
      <c r="I201" s="35"/>
      <c r="J201" s="35"/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  <c r="Z201" s="35"/>
      <c r="AA201" s="35"/>
    </row>
    <row r="202" ht="12.75" customHeight="1">
      <c r="A202" s="35"/>
      <c r="B202" s="35"/>
      <c r="C202" s="35"/>
      <c r="D202" s="35"/>
      <c r="E202" s="35"/>
      <c r="F202" s="35"/>
      <c r="G202" s="35"/>
      <c r="H202" s="35"/>
      <c r="I202" s="35"/>
      <c r="J202" s="35"/>
      <c r="K202" s="35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  <c r="Z202" s="35"/>
      <c r="AA202" s="35"/>
    </row>
    <row r="203" ht="12.75" customHeight="1">
      <c r="A203" s="35"/>
      <c r="B203" s="35"/>
      <c r="C203" s="35"/>
      <c r="D203" s="35"/>
      <c r="E203" s="35"/>
      <c r="F203" s="35"/>
      <c r="G203" s="35"/>
      <c r="H203" s="35"/>
      <c r="I203" s="35"/>
      <c r="J203" s="35"/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  <c r="Z203" s="35"/>
      <c r="AA203" s="35"/>
    </row>
    <row r="204" ht="12.75" customHeight="1">
      <c r="A204" s="35"/>
      <c r="B204" s="35"/>
      <c r="C204" s="35"/>
      <c r="D204" s="35"/>
      <c r="E204" s="35"/>
      <c r="F204" s="35"/>
      <c r="G204" s="35"/>
      <c r="H204" s="35"/>
      <c r="I204" s="35"/>
      <c r="J204" s="35"/>
      <c r="K204" s="35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  <c r="Z204" s="35"/>
      <c r="AA204" s="35"/>
    </row>
    <row r="205" ht="12.75" customHeight="1">
      <c r="A205" s="35"/>
      <c r="B205" s="35"/>
      <c r="C205" s="35"/>
      <c r="D205" s="35"/>
      <c r="E205" s="35"/>
      <c r="F205" s="35"/>
      <c r="G205" s="35"/>
      <c r="H205" s="35"/>
      <c r="I205" s="35"/>
      <c r="J205" s="35"/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  <c r="Z205" s="35"/>
      <c r="AA205" s="35"/>
    </row>
    <row r="206" ht="12.75" customHeight="1">
      <c r="A206" s="35"/>
      <c r="B206" s="35"/>
      <c r="C206" s="35"/>
      <c r="D206" s="35"/>
      <c r="E206" s="35"/>
      <c r="F206" s="35"/>
      <c r="G206" s="35"/>
      <c r="H206" s="35"/>
      <c r="I206" s="35"/>
      <c r="J206" s="35"/>
      <c r="K206" s="35"/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  <c r="Z206" s="35"/>
      <c r="AA206" s="35"/>
    </row>
    <row r="207" ht="12.75" customHeight="1">
      <c r="A207" s="35"/>
      <c r="B207" s="35"/>
      <c r="C207" s="35"/>
      <c r="D207" s="35"/>
      <c r="E207" s="35"/>
      <c r="F207" s="35"/>
      <c r="G207" s="35"/>
      <c r="H207" s="35"/>
      <c r="I207" s="35"/>
      <c r="J207" s="35"/>
      <c r="K207" s="35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35"/>
      <c r="Z207" s="35"/>
      <c r="AA207" s="35"/>
    </row>
    <row r="208" ht="12.75" customHeight="1">
      <c r="A208" s="35"/>
      <c r="B208" s="35"/>
      <c r="C208" s="35"/>
      <c r="D208" s="35"/>
      <c r="E208" s="35"/>
      <c r="F208" s="35"/>
      <c r="G208" s="35"/>
      <c r="H208" s="35"/>
      <c r="I208" s="35"/>
      <c r="J208" s="35"/>
      <c r="K208" s="35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  <c r="Z208" s="35"/>
      <c r="AA208" s="35"/>
    </row>
    <row r="209" ht="12.75" customHeight="1">
      <c r="A209" s="35"/>
      <c r="B209" s="35"/>
      <c r="C209" s="35"/>
      <c r="D209" s="35"/>
      <c r="E209" s="35"/>
      <c r="F209" s="35"/>
      <c r="G209" s="35"/>
      <c r="H209" s="35"/>
      <c r="I209" s="35"/>
      <c r="J209" s="35"/>
      <c r="K209" s="35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5"/>
      <c r="W209" s="35"/>
      <c r="X209" s="35"/>
      <c r="Y209" s="35"/>
      <c r="Z209" s="35"/>
      <c r="AA209" s="35"/>
    </row>
    <row r="210" ht="12.75" customHeight="1">
      <c r="A210" s="35"/>
      <c r="B210" s="35"/>
      <c r="C210" s="35"/>
      <c r="D210" s="35"/>
      <c r="E210" s="35"/>
      <c r="F210" s="35"/>
      <c r="G210" s="35"/>
      <c r="H210" s="35"/>
      <c r="I210" s="35"/>
      <c r="J210" s="35"/>
      <c r="K210" s="35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35"/>
      <c r="W210" s="35"/>
      <c r="X210" s="35"/>
      <c r="Y210" s="35"/>
      <c r="Z210" s="35"/>
      <c r="AA210" s="35"/>
    </row>
    <row r="211" ht="12.75" customHeight="1">
      <c r="A211" s="35"/>
      <c r="B211" s="35"/>
      <c r="C211" s="35"/>
      <c r="D211" s="35"/>
      <c r="E211" s="35"/>
      <c r="F211" s="35"/>
      <c r="G211" s="35"/>
      <c r="H211" s="35"/>
      <c r="I211" s="35"/>
      <c r="J211" s="35"/>
      <c r="K211" s="35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  <c r="Z211" s="35"/>
      <c r="AA211" s="35"/>
    </row>
    <row r="212" ht="12.75" customHeight="1">
      <c r="A212" s="35"/>
      <c r="B212" s="35"/>
      <c r="C212" s="35"/>
      <c r="D212" s="35"/>
      <c r="E212" s="35"/>
      <c r="F212" s="35"/>
      <c r="G212" s="35"/>
      <c r="H212" s="35"/>
      <c r="I212" s="35"/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35"/>
      <c r="AA212" s="35"/>
    </row>
    <row r="213" ht="12.75" customHeight="1">
      <c r="A213" s="35"/>
      <c r="B213" s="35"/>
      <c r="C213" s="35"/>
      <c r="D213" s="35"/>
      <c r="E213" s="35"/>
      <c r="F213" s="35"/>
      <c r="G213" s="35"/>
      <c r="H213" s="35"/>
      <c r="I213" s="35"/>
      <c r="J213" s="35"/>
      <c r="K213" s="35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  <c r="Z213" s="35"/>
      <c r="AA213" s="35"/>
    </row>
    <row r="214" ht="12.75" customHeight="1">
      <c r="A214" s="35"/>
      <c r="B214" s="35"/>
      <c r="C214" s="35"/>
      <c r="D214" s="35"/>
      <c r="E214" s="35"/>
      <c r="F214" s="35"/>
      <c r="G214" s="35"/>
      <c r="H214" s="35"/>
      <c r="I214" s="35"/>
      <c r="J214" s="35"/>
      <c r="K214" s="35"/>
      <c r="L214" s="35"/>
      <c r="M214" s="35"/>
      <c r="N214" s="35"/>
      <c r="O214" s="35"/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5"/>
      <c r="AA214" s="35"/>
    </row>
    <row r="215" ht="12.75" customHeight="1">
      <c r="A215" s="35"/>
      <c r="B215" s="35"/>
      <c r="C215" s="35"/>
      <c r="D215" s="35"/>
      <c r="E215" s="35"/>
      <c r="F215" s="35"/>
      <c r="G215" s="35"/>
      <c r="H215" s="35"/>
      <c r="I215" s="35"/>
      <c r="J215" s="35"/>
      <c r="K215" s="35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  <c r="Z215" s="35"/>
      <c r="AA215" s="35"/>
    </row>
    <row r="216" ht="12.75" customHeight="1">
      <c r="A216" s="35"/>
      <c r="B216" s="35"/>
      <c r="C216" s="35"/>
      <c r="D216" s="35"/>
      <c r="E216" s="35"/>
      <c r="F216" s="35"/>
      <c r="G216" s="35"/>
      <c r="H216" s="35"/>
      <c r="I216" s="35"/>
      <c r="J216" s="35"/>
      <c r="K216" s="35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35"/>
      <c r="AA216" s="35"/>
    </row>
    <row r="217" ht="12.75" customHeight="1">
      <c r="A217" s="35"/>
      <c r="B217" s="35"/>
      <c r="C217" s="35"/>
      <c r="D217" s="35"/>
      <c r="E217" s="35"/>
      <c r="F217" s="35"/>
      <c r="G217" s="35"/>
      <c r="H217" s="35"/>
      <c r="I217" s="35"/>
      <c r="J217" s="35"/>
      <c r="K217" s="35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  <c r="Z217" s="35"/>
      <c r="AA217" s="35"/>
    </row>
    <row r="218" ht="12.75" customHeight="1">
      <c r="A218" s="35"/>
      <c r="B218" s="35"/>
      <c r="C218" s="35"/>
      <c r="D218" s="35"/>
      <c r="E218" s="35"/>
      <c r="F218" s="35"/>
      <c r="G218" s="35"/>
      <c r="H218" s="35"/>
      <c r="I218" s="35"/>
      <c r="J218" s="35"/>
      <c r="K218" s="35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35"/>
      <c r="W218" s="35"/>
      <c r="X218" s="35"/>
      <c r="Y218" s="35"/>
      <c r="Z218" s="35"/>
      <c r="AA218" s="35"/>
    </row>
    <row r="219" ht="12.75" customHeight="1">
      <c r="A219" s="35"/>
      <c r="B219" s="35"/>
      <c r="C219" s="35"/>
      <c r="D219" s="35"/>
      <c r="E219" s="35"/>
      <c r="F219" s="35"/>
      <c r="G219" s="35"/>
      <c r="H219" s="35"/>
      <c r="I219" s="35"/>
      <c r="J219" s="35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  <c r="Z219" s="35"/>
      <c r="AA219" s="35"/>
    </row>
    <row r="220" ht="12.75" customHeight="1">
      <c r="A220" s="35"/>
      <c r="B220" s="35"/>
      <c r="C220" s="35"/>
      <c r="D220" s="35"/>
      <c r="E220" s="35"/>
      <c r="F220" s="35"/>
      <c r="G220" s="35"/>
      <c r="H220" s="35"/>
      <c r="I220" s="35"/>
      <c r="J220" s="35"/>
      <c r="K220" s="35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  <c r="Z220" s="35"/>
      <c r="AA220" s="35"/>
    </row>
    <row r="221" ht="12.75" customHeight="1">
      <c r="A221" s="35"/>
      <c r="B221" s="35"/>
      <c r="C221" s="35"/>
      <c r="D221" s="35"/>
      <c r="E221" s="35"/>
      <c r="F221" s="35"/>
      <c r="G221" s="35"/>
      <c r="H221" s="35"/>
      <c r="I221" s="35"/>
      <c r="J221" s="35"/>
      <c r="K221" s="35"/>
      <c r="L221" s="35"/>
      <c r="M221" s="35"/>
      <c r="N221" s="35"/>
      <c r="O221" s="35"/>
      <c r="P221" s="35"/>
      <c r="Q221" s="35"/>
      <c r="R221" s="35"/>
      <c r="S221" s="35"/>
      <c r="T221" s="35"/>
      <c r="U221" s="35"/>
      <c r="V221" s="35"/>
      <c r="W221" s="35"/>
      <c r="X221" s="35"/>
      <c r="Y221" s="35"/>
      <c r="Z221" s="35"/>
      <c r="AA221" s="35"/>
    </row>
    <row r="222" ht="12.75" customHeight="1">
      <c r="A222" s="35"/>
      <c r="B222" s="35"/>
      <c r="C222" s="35"/>
      <c r="D222" s="35"/>
      <c r="E222" s="35"/>
      <c r="F222" s="35"/>
      <c r="G222" s="35"/>
      <c r="H222" s="35"/>
      <c r="I222" s="35"/>
      <c r="J222" s="35"/>
      <c r="K222" s="35"/>
      <c r="L222" s="35"/>
      <c r="M222" s="35"/>
      <c r="N222" s="35"/>
      <c r="O222" s="35"/>
      <c r="P222" s="35"/>
      <c r="Q222" s="35"/>
      <c r="R222" s="35"/>
      <c r="S222" s="35"/>
      <c r="T222" s="35"/>
      <c r="U222" s="35"/>
      <c r="V222" s="35"/>
      <c r="W222" s="35"/>
      <c r="X222" s="35"/>
      <c r="Y222" s="35"/>
      <c r="Z222" s="35"/>
      <c r="AA222" s="35"/>
    </row>
    <row r="223" ht="12.75" customHeight="1">
      <c r="A223" s="35"/>
      <c r="B223" s="35"/>
      <c r="C223" s="35"/>
      <c r="D223" s="35"/>
      <c r="E223" s="35"/>
      <c r="F223" s="35"/>
      <c r="G223" s="35"/>
      <c r="H223" s="35"/>
      <c r="I223" s="35"/>
      <c r="J223" s="35"/>
      <c r="K223" s="35"/>
      <c r="L223" s="35"/>
      <c r="M223" s="35"/>
      <c r="N223" s="35"/>
      <c r="O223" s="35"/>
      <c r="P223" s="35"/>
      <c r="Q223" s="35"/>
      <c r="R223" s="35"/>
      <c r="S223" s="35"/>
      <c r="T223" s="35"/>
      <c r="U223" s="35"/>
      <c r="V223" s="35"/>
      <c r="W223" s="35"/>
      <c r="X223" s="35"/>
      <c r="Y223" s="35"/>
      <c r="Z223" s="35"/>
      <c r="AA223" s="35"/>
    </row>
    <row r="224" ht="12.75" customHeight="1">
      <c r="A224" s="35"/>
      <c r="B224" s="35"/>
      <c r="C224" s="35"/>
      <c r="D224" s="35"/>
      <c r="E224" s="35"/>
      <c r="F224" s="35"/>
      <c r="G224" s="35"/>
      <c r="H224" s="35"/>
      <c r="I224" s="35"/>
      <c r="J224" s="35"/>
      <c r="K224" s="35"/>
      <c r="L224" s="35"/>
      <c r="M224" s="35"/>
      <c r="N224" s="35"/>
      <c r="O224" s="35"/>
      <c r="P224" s="35"/>
      <c r="Q224" s="35"/>
      <c r="R224" s="35"/>
      <c r="S224" s="35"/>
      <c r="T224" s="35"/>
      <c r="U224" s="35"/>
      <c r="V224" s="35"/>
      <c r="W224" s="35"/>
      <c r="X224" s="35"/>
      <c r="Y224" s="35"/>
      <c r="Z224" s="35"/>
      <c r="AA224" s="35"/>
    </row>
    <row r="225" ht="12.75" customHeight="1">
      <c r="A225" s="35"/>
      <c r="B225" s="35"/>
      <c r="C225" s="35"/>
      <c r="D225" s="35"/>
      <c r="E225" s="35"/>
      <c r="F225" s="35"/>
      <c r="G225" s="35"/>
      <c r="H225" s="35"/>
      <c r="I225" s="35"/>
      <c r="J225" s="35"/>
      <c r="K225" s="35"/>
      <c r="L225" s="35"/>
      <c r="M225" s="35"/>
      <c r="N225" s="35"/>
      <c r="O225" s="35"/>
      <c r="P225" s="35"/>
      <c r="Q225" s="35"/>
      <c r="R225" s="35"/>
      <c r="S225" s="35"/>
      <c r="T225" s="35"/>
      <c r="U225" s="35"/>
      <c r="V225" s="35"/>
      <c r="W225" s="35"/>
      <c r="X225" s="35"/>
      <c r="Y225" s="35"/>
      <c r="Z225" s="35"/>
      <c r="AA225" s="35"/>
    </row>
    <row r="226" ht="12.75" customHeight="1">
      <c r="A226" s="35"/>
      <c r="B226" s="35"/>
      <c r="C226" s="35"/>
      <c r="D226" s="35"/>
      <c r="E226" s="35"/>
      <c r="F226" s="35"/>
      <c r="G226" s="35"/>
      <c r="H226" s="35"/>
      <c r="I226" s="35"/>
      <c r="J226" s="35"/>
      <c r="K226" s="35"/>
      <c r="L226" s="35"/>
      <c r="M226" s="35"/>
      <c r="N226" s="35"/>
      <c r="O226" s="35"/>
      <c r="P226" s="35"/>
      <c r="Q226" s="35"/>
      <c r="R226" s="35"/>
      <c r="S226" s="35"/>
      <c r="T226" s="35"/>
      <c r="U226" s="35"/>
      <c r="V226" s="35"/>
      <c r="W226" s="35"/>
      <c r="X226" s="35"/>
      <c r="Y226" s="35"/>
      <c r="Z226" s="35"/>
      <c r="AA226" s="35"/>
    </row>
    <row r="227" ht="12.75" customHeight="1">
      <c r="A227" s="35"/>
      <c r="B227" s="35"/>
      <c r="C227" s="35"/>
      <c r="D227" s="35"/>
      <c r="E227" s="35"/>
      <c r="F227" s="35"/>
      <c r="G227" s="35"/>
      <c r="H227" s="35"/>
      <c r="I227" s="35"/>
      <c r="J227" s="35"/>
      <c r="K227" s="35"/>
      <c r="L227" s="35"/>
      <c r="M227" s="35"/>
      <c r="N227" s="35"/>
      <c r="O227" s="35"/>
      <c r="P227" s="35"/>
      <c r="Q227" s="35"/>
      <c r="R227" s="35"/>
      <c r="S227" s="35"/>
      <c r="T227" s="35"/>
      <c r="U227" s="35"/>
      <c r="V227" s="35"/>
      <c r="W227" s="35"/>
      <c r="X227" s="35"/>
      <c r="Y227" s="35"/>
      <c r="Z227" s="35"/>
      <c r="AA227" s="35"/>
    </row>
    <row r="228" ht="12.75" customHeight="1">
      <c r="A228" s="35"/>
      <c r="B228" s="35"/>
      <c r="C228" s="35"/>
      <c r="D228" s="35"/>
      <c r="E228" s="35"/>
      <c r="F228" s="35"/>
      <c r="G228" s="35"/>
      <c r="H228" s="35"/>
      <c r="I228" s="35"/>
      <c r="J228" s="35"/>
      <c r="K228" s="35"/>
      <c r="L228" s="35"/>
      <c r="M228" s="35"/>
      <c r="N228" s="35"/>
      <c r="O228" s="35"/>
      <c r="P228" s="35"/>
      <c r="Q228" s="35"/>
      <c r="R228" s="35"/>
      <c r="S228" s="35"/>
      <c r="T228" s="35"/>
      <c r="U228" s="35"/>
      <c r="V228" s="35"/>
      <c r="W228" s="35"/>
      <c r="X228" s="35"/>
      <c r="Y228" s="35"/>
      <c r="Z228" s="35"/>
      <c r="AA228" s="35"/>
    </row>
    <row r="229" ht="12.75" customHeight="1">
      <c r="A229" s="35"/>
      <c r="B229" s="35"/>
      <c r="C229" s="35"/>
      <c r="D229" s="35"/>
      <c r="E229" s="35"/>
      <c r="F229" s="35"/>
      <c r="G229" s="35"/>
      <c r="H229" s="35"/>
      <c r="I229" s="35"/>
      <c r="J229" s="35"/>
      <c r="K229" s="35"/>
      <c r="L229" s="35"/>
      <c r="M229" s="35"/>
      <c r="N229" s="35"/>
      <c r="O229" s="35"/>
      <c r="P229" s="35"/>
      <c r="Q229" s="35"/>
      <c r="R229" s="35"/>
      <c r="S229" s="35"/>
      <c r="T229" s="35"/>
      <c r="U229" s="35"/>
      <c r="V229" s="35"/>
      <c r="W229" s="35"/>
      <c r="X229" s="35"/>
      <c r="Y229" s="35"/>
      <c r="Z229" s="35"/>
      <c r="AA229" s="35"/>
    </row>
    <row r="230" ht="12.75" customHeight="1">
      <c r="A230" s="35"/>
      <c r="B230" s="35"/>
      <c r="C230" s="35"/>
      <c r="D230" s="35"/>
      <c r="E230" s="35"/>
      <c r="F230" s="35"/>
      <c r="G230" s="35"/>
      <c r="H230" s="35"/>
      <c r="I230" s="35"/>
      <c r="J230" s="35"/>
      <c r="K230" s="35"/>
      <c r="L230" s="35"/>
      <c r="M230" s="35"/>
      <c r="N230" s="35"/>
      <c r="O230" s="35"/>
      <c r="P230" s="35"/>
      <c r="Q230" s="35"/>
      <c r="R230" s="35"/>
      <c r="S230" s="35"/>
      <c r="T230" s="35"/>
      <c r="U230" s="35"/>
      <c r="V230" s="35"/>
      <c r="W230" s="35"/>
      <c r="X230" s="35"/>
      <c r="Y230" s="35"/>
      <c r="Z230" s="35"/>
      <c r="AA230" s="35"/>
    </row>
    <row r="231" ht="12.75" customHeight="1">
      <c r="A231" s="35"/>
      <c r="B231" s="35"/>
      <c r="C231" s="35"/>
      <c r="D231" s="35"/>
      <c r="E231" s="35"/>
      <c r="F231" s="35"/>
      <c r="G231" s="35"/>
      <c r="H231" s="35"/>
      <c r="I231" s="35"/>
      <c r="J231" s="35"/>
      <c r="K231" s="35"/>
      <c r="L231" s="35"/>
      <c r="M231" s="35"/>
      <c r="N231" s="35"/>
      <c r="O231" s="35"/>
      <c r="P231" s="35"/>
      <c r="Q231" s="35"/>
      <c r="R231" s="35"/>
      <c r="S231" s="35"/>
      <c r="T231" s="35"/>
      <c r="U231" s="35"/>
      <c r="V231" s="35"/>
      <c r="W231" s="35"/>
      <c r="X231" s="35"/>
      <c r="Y231" s="35"/>
      <c r="Z231" s="35"/>
      <c r="AA231" s="35"/>
    </row>
    <row r="232" ht="12.75" customHeight="1">
      <c r="A232" s="35"/>
      <c r="B232" s="35"/>
      <c r="C232" s="35"/>
      <c r="D232" s="35"/>
      <c r="E232" s="35"/>
      <c r="F232" s="35"/>
      <c r="G232" s="35"/>
      <c r="H232" s="35"/>
      <c r="I232" s="35"/>
      <c r="J232" s="35"/>
      <c r="K232" s="35"/>
      <c r="L232" s="35"/>
      <c r="M232" s="35"/>
      <c r="N232" s="35"/>
      <c r="O232" s="35"/>
      <c r="P232" s="35"/>
      <c r="Q232" s="35"/>
      <c r="R232" s="35"/>
      <c r="S232" s="35"/>
      <c r="T232" s="35"/>
      <c r="U232" s="35"/>
      <c r="V232" s="35"/>
      <c r="W232" s="35"/>
      <c r="X232" s="35"/>
      <c r="Y232" s="35"/>
      <c r="Z232" s="35"/>
      <c r="AA232" s="35"/>
    </row>
    <row r="233" ht="12.75" customHeight="1">
      <c r="A233" s="35"/>
      <c r="B233" s="35"/>
      <c r="C233" s="35"/>
      <c r="D233" s="35"/>
      <c r="E233" s="35"/>
      <c r="F233" s="35"/>
      <c r="G233" s="35"/>
      <c r="H233" s="35"/>
      <c r="I233" s="35"/>
      <c r="J233" s="35"/>
      <c r="K233" s="35"/>
      <c r="L233" s="35"/>
      <c r="M233" s="35"/>
      <c r="N233" s="35"/>
      <c r="O233" s="35"/>
      <c r="P233" s="35"/>
      <c r="Q233" s="35"/>
      <c r="R233" s="35"/>
      <c r="S233" s="35"/>
      <c r="T233" s="35"/>
      <c r="U233" s="35"/>
      <c r="V233" s="35"/>
      <c r="W233" s="35"/>
      <c r="X233" s="35"/>
      <c r="Y233" s="35"/>
      <c r="Z233" s="35"/>
      <c r="AA233" s="35"/>
    </row>
    <row r="234" ht="12.75" customHeight="1">
      <c r="A234" s="35"/>
      <c r="B234" s="35"/>
      <c r="C234" s="35"/>
      <c r="D234" s="35"/>
      <c r="E234" s="35"/>
      <c r="F234" s="35"/>
      <c r="G234" s="35"/>
      <c r="H234" s="35"/>
      <c r="I234" s="35"/>
      <c r="J234" s="35"/>
      <c r="K234" s="35"/>
      <c r="L234" s="35"/>
      <c r="M234" s="35"/>
      <c r="N234" s="35"/>
      <c r="O234" s="35"/>
      <c r="P234" s="35"/>
      <c r="Q234" s="35"/>
      <c r="R234" s="35"/>
      <c r="S234" s="35"/>
      <c r="T234" s="35"/>
      <c r="U234" s="35"/>
      <c r="V234" s="35"/>
      <c r="W234" s="35"/>
      <c r="X234" s="35"/>
      <c r="Y234" s="35"/>
      <c r="Z234" s="35"/>
      <c r="AA234" s="35"/>
    </row>
    <row r="235" ht="12.75" customHeight="1">
      <c r="A235" s="35"/>
      <c r="B235" s="35"/>
      <c r="C235" s="35"/>
      <c r="D235" s="35"/>
      <c r="E235" s="35"/>
      <c r="F235" s="35"/>
      <c r="G235" s="35"/>
      <c r="H235" s="35"/>
      <c r="I235" s="35"/>
      <c r="J235" s="35"/>
      <c r="K235" s="35"/>
      <c r="L235" s="35"/>
      <c r="M235" s="35"/>
      <c r="N235" s="35"/>
      <c r="O235" s="35"/>
      <c r="P235" s="35"/>
      <c r="Q235" s="35"/>
      <c r="R235" s="35"/>
      <c r="S235" s="35"/>
      <c r="T235" s="35"/>
      <c r="U235" s="35"/>
      <c r="V235" s="35"/>
      <c r="W235" s="35"/>
      <c r="X235" s="35"/>
      <c r="Y235" s="35"/>
      <c r="Z235" s="35"/>
      <c r="AA235" s="35"/>
    </row>
    <row r="236" ht="12.75" customHeight="1">
      <c r="A236" s="35"/>
      <c r="B236" s="35"/>
      <c r="C236" s="35"/>
      <c r="D236" s="35"/>
      <c r="E236" s="35"/>
      <c r="F236" s="35"/>
      <c r="G236" s="35"/>
      <c r="H236" s="35"/>
      <c r="I236" s="35"/>
      <c r="J236" s="35"/>
      <c r="K236" s="35"/>
      <c r="L236" s="35"/>
      <c r="M236" s="35"/>
      <c r="N236" s="35"/>
      <c r="O236" s="35"/>
      <c r="P236" s="35"/>
      <c r="Q236" s="35"/>
      <c r="R236" s="35"/>
      <c r="S236" s="35"/>
      <c r="T236" s="35"/>
      <c r="U236" s="35"/>
      <c r="V236" s="35"/>
      <c r="W236" s="35"/>
      <c r="X236" s="35"/>
      <c r="Y236" s="35"/>
      <c r="Z236" s="35"/>
      <c r="AA236" s="35"/>
    </row>
    <row r="237" ht="12.75" customHeight="1">
      <c r="A237" s="35"/>
      <c r="B237" s="35"/>
      <c r="C237" s="35"/>
      <c r="D237" s="35"/>
      <c r="E237" s="35"/>
      <c r="F237" s="35"/>
      <c r="G237" s="35"/>
      <c r="H237" s="35"/>
      <c r="I237" s="35"/>
      <c r="J237" s="35"/>
      <c r="K237" s="35"/>
      <c r="L237" s="35"/>
      <c r="M237" s="35"/>
      <c r="N237" s="35"/>
      <c r="O237" s="35"/>
      <c r="P237" s="35"/>
      <c r="Q237" s="35"/>
      <c r="R237" s="35"/>
      <c r="S237" s="35"/>
      <c r="T237" s="35"/>
      <c r="U237" s="35"/>
      <c r="V237" s="35"/>
      <c r="W237" s="35"/>
      <c r="X237" s="35"/>
      <c r="Y237" s="35"/>
      <c r="Z237" s="35"/>
      <c r="AA237" s="35"/>
    </row>
    <row r="238" ht="12.75" customHeight="1">
      <c r="A238" s="35"/>
      <c r="B238" s="35"/>
      <c r="C238" s="35"/>
      <c r="D238" s="35"/>
      <c r="E238" s="35"/>
      <c r="F238" s="35"/>
      <c r="G238" s="35"/>
      <c r="H238" s="35"/>
      <c r="I238" s="35"/>
      <c r="J238" s="35"/>
      <c r="K238" s="35"/>
      <c r="L238" s="35"/>
      <c r="M238" s="35"/>
      <c r="N238" s="35"/>
      <c r="O238" s="35"/>
      <c r="P238" s="35"/>
      <c r="Q238" s="35"/>
      <c r="R238" s="35"/>
      <c r="S238" s="35"/>
      <c r="T238" s="35"/>
      <c r="U238" s="35"/>
      <c r="V238" s="35"/>
      <c r="W238" s="35"/>
      <c r="X238" s="35"/>
      <c r="Y238" s="35"/>
      <c r="Z238" s="35"/>
      <c r="AA238" s="35"/>
    </row>
    <row r="239" ht="12.75" customHeight="1">
      <c r="A239" s="35"/>
      <c r="B239" s="35"/>
      <c r="C239" s="35"/>
      <c r="D239" s="35"/>
      <c r="E239" s="35"/>
      <c r="F239" s="35"/>
      <c r="G239" s="35"/>
      <c r="H239" s="35"/>
      <c r="I239" s="35"/>
      <c r="J239" s="35"/>
      <c r="K239" s="35"/>
      <c r="L239" s="35"/>
      <c r="M239" s="35"/>
      <c r="N239" s="35"/>
      <c r="O239" s="35"/>
      <c r="P239" s="35"/>
      <c r="Q239" s="35"/>
      <c r="R239" s="35"/>
      <c r="S239" s="35"/>
      <c r="T239" s="35"/>
      <c r="U239" s="35"/>
      <c r="V239" s="35"/>
      <c r="W239" s="35"/>
      <c r="X239" s="35"/>
      <c r="Y239" s="35"/>
      <c r="Z239" s="35"/>
      <c r="AA239" s="35"/>
    </row>
    <row r="240" ht="12.75" customHeight="1">
      <c r="A240" s="35"/>
      <c r="B240" s="35"/>
      <c r="C240" s="35"/>
      <c r="D240" s="35"/>
      <c r="E240" s="35"/>
      <c r="F240" s="35"/>
      <c r="G240" s="35"/>
      <c r="H240" s="35"/>
      <c r="I240" s="35"/>
      <c r="J240" s="35"/>
      <c r="K240" s="35"/>
      <c r="L240" s="35"/>
      <c r="M240" s="35"/>
      <c r="N240" s="35"/>
      <c r="O240" s="35"/>
      <c r="P240" s="35"/>
      <c r="Q240" s="35"/>
      <c r="R240" s="35"/>
      <c r="S240" s="35"/>
      <c r="T240" s="35"/>
      <c r="U240" s="35"/>
      <c r="V240" s="35"/>
      <c r="W240" s="35"/>
      <c r="X240" s="35"/>
      <c r="Y240" s="35"/>
      <c r="Z240" s="35"/>
      <c r="AA240" s="35"/>
    </row>
    <row r="241" ht="12.75" customHeight="1">
      <c r="A241" s="35"/>
      <c r="B241" s="35"/>
      <c r="C241" s="35"/>
      <c r="D241" s="35"/>
      <c r="E241" s="35"/>
      <c r="F241" s="35"/>
      <c r="G241" s="35"/>
      <c r="H241" s="35"/>
      <c r="I241" s="35"/>
      <c r="J241" s="35"/>
      <c r="K241" s="35"/>
      <c r="L241" s="35"/>
      <c r="M241" s="35"/>
      <c r="N241" s="35"/>
      <c r="O241" s="35"/>
      <c r="P241" s="35"/>
      <c r="Q241" s="35"/>
      <c r="R241" s="35"/>
      <c r="S241" s="35"/>
      <c r="T241" s="35"/>
      <c r="U241" s="35"/>
      <c r="V241" s="35"/>
      <c r="W241" s="35"/>
      <c r="X241" s="35"/>
      <c r="Y241" s="35"/>
      <c r="Z241" s="35"/>
      <c r="AA241" s="35"/>
    </row>
    <row r="242" ht="12.75" customHeight="1">
      <c r="A242" s="35"/>
      <c r="B242" s="35"/>
      <c r="C242" s="35"/>
      <c r="D242" s="35"/>
      <c r="E242" s="35"/>
      <c r="F242" s="35"/>
      <c r="G242" s="35"/>
      <c r="H242" s="35"/>
      <c r="I242" s="35"/>
      <c r="J242" s="35"/>
      <c r="K242" s="35"/>
      <c r="L242" s="35"/>
      <c r="M242" s="35"/>
      <c r="N242" s="35"/>
      <c r="O242" s="35"/>
      <c r="P242" s="35"/>
      <c r="Q242" s="35"/>
      <c r="R242" s="35"/>
      <c r="S242" s="35"/>
      <c r="T242" s="35"/>
      <c r="U242" s="35"/>
      <c r="V242" s="35"/>
      <c r="W242" s="35"/>
      <c r="X242" s="35"/>
      <c r="Y242" s="35"/>
      <c r="Z242" s="35"/>
      <c r="AA242" s="35"/>
    </row>
    <row r="243" ht="12.75" customHeight="1">
      <c r="A243" s="35"/>
      <c r="B243" s="35"/>
      <c r="C243" s="35"/>
      <c r="D243" s="35"/>
      <c r="E243" s="35"/>
      <c r="F243" s="35"/>
      <c r="G243" s="35"/>
      <c r="H243" s="35"/>
      <c r="I243" s="35"/>
      <c r="J243" s="35"/>
      <c r="K243" s="35"/>
      <c r="L243" s="35"/>
      <c r="M243" s="35"/>
      <c r="N243" s="35"/>
      <c r="O243" s="35"/>
      <c r="P243" s="35"/>
      <c r="Q243" s="35"/>
      <c r="R243" s="35"/>
      <c r="S243" s="35"/>
      <c r="T243" s="35"/>
      <c r="U243" s="35"/>
      <c r="V243" s="35"/>
      <c r="W243" s="35"/>
      <c r="X243" s="35"/>
      <c r="Y243" s="35"/>
      <c r="Z243" s="35"/>
      <c r="AA243" s="35"/>
    </row>
    <row r="244" ht="12.75" customHeight="1">
      <c r="A244" s="35"/>
      <c r="B244" s="35"/>
      <c r="C244" s="35"/>
      <c r="D244" s="35"/>
      <c r="E244" s="35"/>
      <c r="F244" s="35"/>
      <c r="G244" s="35"/>
      <c r="H244" s="35"/>
      <c r="I244" s="35"/>
      <c r="J244" s="35"/>
      <c r="K244" s="35"/>
      <c r="L244" s="35"/>
      <c r="M244" s="35"/>
      <c r="N244" s="35"/>
      <c r="O244" s="35"/>
      <c r="P244" s="35"/>
      <c r="Q244" s="35"/>
      <c r="R244" s="35"/>
      <c r="S244" s="35"/>
      <c r="T244" s="35"/>
      <c r="U244" s="35"/>
      <c r="V244" s="35"/>
      <c r="W244" s="35"/>
      <c r="X244" s="35"/>
      <c r="Y244" s="35"/>
      <c r="Z244" s="35"/>
      <c r="AA244" s="35"/>
    </row>
    <row r="245" ht="12.75" customHeight="1">
      <c r="A245" s="35"/>
      <c r="B245" s="35"/>
      <c r="C245" s="35"/>
      <c r="D245" s="35"/>
      <c r="E245" s="35"/>
      <c r="F245" s="35"/>
      <c r="G245" s="35"/>
      <c r="H245" s="35"/>
      <c r="I245" s="35"/>
      <c r="J245" s="35"/>
      <c r="K245" s="35"/>
      <c r="L245" s="35"/>
      <c r="M245" s="35"/>
      <c r="N245" s="35"/>
      <c r="O245" s="35"/>
      <c r="P245" s="35"/>
      <c r="Q245" s="35"/>
      <c r="R245" s="35"/>
      <c r="S245" s="35"/>
      <c r="T245" s="35"/>
      <c r="U245" s="35"/>
      <c r="V245" s="35"/>
      <c r="W245" s="35"/>
      <c r="X245" s="35"/>
      <c r="Y245" s="35"/>
      <c r="Z245" s="35"/>
      <c r="AA245" s="35"/>
    </row>
    <row r="246" ht="12.75" customHeight="1">
      <c r="A246" s="35"/>
      <c r="B246" s="35"/>
      <c r="C246" s="35"/>
      <c r="D246" s="35"/>
      <c r="E246" s="35"/>
      <c r="F246" s="35"/>
      <c r="G246" s="35"/>
      <c r="H246" s="35"/>
      <c r="I246" s="35"/>
      <c r="J246" s="35"/>
      <c r="K246" s="35"/>
      <c r="L246" s="35"/>
      <c r="M246" s="35"/>
      <c r="N246" s="35"/>
      <c r="O246" s="35"/>
      <c r="P246" s="35"/>
      <c r="Q246" s="35"/>
      <c r="R246" s="35"/>
      <c r="S246" s="35"/>
      <c r="T246" s="35"/>
      <c r="U246" s="35"/>
      <c r="V246" s="35"/>
      <c r="W246" s="35"/>
      <c r="X246" s="35"/>
      <c r="Y246" s="35"/>
      <c r="Z246" s="35"/>
      <c r="AA246" s="35"/>
    </row>
    <row r="247" ht="12.75" customHeight="1">
      <c r="A247" s="35"/>
      <c r="B247" s="35"/>
      <c r="C247" s="35"/>
      <c r="D247" s="35"/>
      <c r="E247" s="35"/>
      <c r="F247" s="35"/>
      <c r="G247" s="35"/>
      <c r="H247" s="35"/>
      <c r="I247" s="35"/>
      <c r="J247" s="35"/>
      <c r="K247" s="35"/>
      <c r="L247" s="35"/>
      <c r="M247" s="35"/>
      <c r="N247" s="35"/>
      <c r="O247" s="35"/>
      <c r="P247" s="35"/>
      <c r="Q247" s="35"/>
      <c r="R247" s="35"/>
      <c r="S247" s="35"/>
      <c r="T247" s="35"/>
      <c r="U247" s="35"/>
      <c r="V247" s="35"/>
      <c r="W247" s="35"/>
      <c r="X247" s="35"/>
      <c r="Y247" s="35"/>
      <c r="Z247" s="35"/>
      <c r="AA247" s="35"/>
    </row>
    <row r="248" ht="12.75" customHeight="1">
      <c r="A248" s="35"/>
      <c r="B248" s="35"/>
      <c r="C248" s="35"/>
      <c r="D248" s="35"/>
      <c r="E248" s="35"/>
      <c r="F248" s="35"/>
      <c r="G248" s="35"/>
      <c r="H248" s="35"/>
      <c r="I248" s="35"/>
      <c r="J248" s="35"/>
      <c r="K248" s="35"/>
      <c r="L248" s="35"/>
      <c r="M248" s="35"/>
      <c r="N248" s="35"/>
      <c r="O248" s="35"/>
      <c r="P248" s="35"/>
      <c r="Q248" s="35"/>
      <c r="R248" s="35"/>
      <c r="S248" s="35"/>
      <c r="T248" s="35"/>
      <c r="U248" s="35"/>
      <c r="V248" s="35"/>
      <c r="W248" s="35"/>
      <c r="X248" s="35"/>
      <c r="Y248" s="35"/>
      <c r="Z248" s="35"/>
      <c r="AA248" s="35"/>
    </row>
    <row r="249" ht="12.75" customHeight="1">
      <c r="A249" s="35"/>
      <c r="B249" s="35"/>
      <c r="C249" s="35"/>
      <c r="D249" s="35"/>
      <c r="E249" s="35"/>
      <c r="F249" s="35"/>
      <c r="G249" s="35"/>
      <c r="H249" s="35"/>
      <c r="I249" s="35"/>
      <c r="J249" s="35"/>
      <c r="K249" s="35"/>
      <c r="L249" s="35"/>
      <c r="M249" s="35"/>
      <c r="N249" s="35"/>
      <c r="O249" s="35"/>
      <c r="P249" s="35"/>
      <c r="Q249" s="35"/>
      <c r="R249" s="35"/>
      <c r="S249" s="35"/>
      <c r="T249" s="35"/>
      <c r="U249" s="35"/>
      <c r="V249" s="35"/>
      <c r="W249" s="35"/>
      <c r="X249" s="35"/>
      <c r="Y249" s="35"/>
      <c r="Z249" s="35"/>
      <c r="AA249" s="35"/>
    </row>
    <row r="250" ht="12.75" customHeight="1">
      <c r="A250" s="35"/>
      <c r="B250" s="35"/>
      <c r="C250" s="35"/>
      <c r="D250" s="35"/>
      <c r="E250" s="35"/>
      <c r="F250" s="35"/>
      <c r="G250" s="35"/>
      <c r="H250" s="35"/>
      <c r="I250" s="35"/>
      <c r="J250" s="35"/>
      <c r="K250" s="35"/>
      <c r="L250" s="35"/>
      <c r="M250" s="35"/>
      <c r="N250" s="35"/>
      <c r="O250" s="35"/>
      <c r="P250" s="35"/>
      <c r="Q250" s="35"/>
      <c r="R250" s="35"/>
      <c r="S250" s="35"/>
      <c r="T250" s="35"/>
      <c r="U250" s="35"/>
      <c r="V250" s="35"/>
      <c r="W250" s="35"/>
      <c r="X250" s="35"/>
      <c r="Y250" s="35"/>
      <c r="Z250" s="35"/>
      <c r="AA250" s="35"/>
    </row>
    <row r="251" ht="12.75" customHeight="1">
      <c r="A251" s="35"/>
      <c r="B251" s="35"/>
      <c r="C251" s="35"/>
      <c r="D251" s="35"/>
      <c r="E251" s="35"/>
      <c r="F251" s="35"/>
      <c r="G251" s="35"/>
      <c r="H251" s="35"/>
      <c r="I251" s="35"/>
      <c r="J251" s="35"/>
      <c r="K251" s="35"/>
      <c r="L251" s="35"/>
      <c r="M251" s="35"/>
      <c r="N251" s="35"/>
      <c r="O251" s="35"/>
      <c r="P251" s="35"/>
      <c r="Q251" s="35"/>
      <c r="R251" s="35"/>
      <c r="S251" s="35"/>
      <c r="T251" s="35"/>
      <c r="U251" s="35"/>
      <c r="V251" s="35"/>
      <c r="W251" s="35"/>
      <c r="X251" s="35"/>
      <c r="Y251" s="35"/>
      <c r="Z251" s="35"/>
      <c r="AA251" s="35"/>
    </row>
    <row r="252" ht="12.75" customHeight="1">
      <c r="A252" s="35"/>
      <c r="B252" s="35"/>
      <c r="C252" s="35"/>
      <c r="D252" s="35"/>
      <c r="E252" s="35"/>
      <c r="F252" s="35"/>
      <c r="G252" s="35"/>
      <c r="H252" s="35"/>
      <c r="I252" s="35"/>
      <c r="J252" s="35"/>
      <c r="K252" s="35"/>
      <c r="L252" s="35"/>
      <c r="M252" s="35"/>
      <c r="N252" s="35"/>
      <c r="O252" s="35"/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5"/>
      <c r="AA252" s="35"/>
    </row>
    <row r="253" ht="12.75" customHeight="1">
      <c r="A253" s="35"/>
      <c r="B253" s="35"/>
      <c r="C253" s="35"/>
      <c r="D253" s="35"/>
      <c r="E253" s="35"/>
      <c r="F253" s="35"/>
      <c r="G253" s="35"/>
      <c r="H253" s="35"/>
      <c r="I253" s="35"/>
      <c r="J253" s="35"/>
      <c r="K253" s="35"/>
      <c r="L253" s="35"/>
      <c r="M253" s="35"/>
      <c r="N253" s="35"/>
      <c r="O253" s="35"/>
      <c r="P253" s="35"/>
      <c r="Q253" s="35"/>
      <c r="R253" s="35"/>
      <c r="S253" s="35"/>
      <c r="T253" s="35"/>
      <c r="U253" s="35"/>
      <c r="V253" s="35"/>
      <c r="W253" s="35"/>
      <c r="X253" s="35"/>
      <c r="Y253" s="35"/>
      <c r="Z253" s="35"/>
      <c r="AA253" s="35"/>
    </row>
    <row r="254" ht="12.75" customHeight="1">
      <c r="A254" s="35"/>
      <c r="B254" s="35"/>
      <c r="C254" s="35"/>
      <c r="D254" s="35"/>
      <c r="E254" s="35"/>
      <c r="F254" s="35"/>
      <c r="G254" s="35"/>
      <c r="H254" s="35"/>
      <c r="I254" s="35"/>
      <c r="J254" s="35"/>
      <c r="K254" s="35"/>
      <c r="L254" s="35"/>
      <c r="M254" s="35"/>
      <c r="N254" s="35"/>
      <c r="O254" s="35"/>
      <c r="P254" s="35"/>
      <c r="Q254" s="35"/>
      <c r="R254" s="35"/>
      <c r="S254" s="35"/>
      <c r="T254" s="35"/>
      <c r="U254" s="35"/>
      <c r="V254" s="35"/>
      <c r="W254" s="35"/>
      <c r="X254" s="35"/>
      <c r="Y254" s="35"/>
      <c r="Z254" s="35"/>
      <c r="AA254" s="35"/>
    </row>
    <row r="255" ht="12.75" customHeight="1">
      <c r="A255" s="35"/>
      <c r="B255" s="35"/>
      <c r="C255" s="35"/>
      <c r="D255" s="35"/>
      <c r="E255" s="35"/>
      <c r="F255" s="35"/>
      <c r="G255" s="35"/>
      <c r="H255" s="35"/>
      <c r="I255" s="35"/>
      <c r="J255" s="35"/>
      <c r="K255" s="35"/>
      <c r="L255" s="35"/>
      <c r="M255" s="35"/>
      <c r="N255" s="35"/>
      <c r="O255" s="35"/>
      <c r="P255" s="35"/>
      <c r="Q255" s="35"/>
      <c r="R255" s="35"/>
      <c r="S255" s="35"/>
      <c r="T255" s="35"/>
      <c r="U255" s="35"/>
      <c r="V255" s="35"/>
      <c r="W255" s="35"/>
      <c r="X255" s="35"/>
      <c r="Y255" s="35"/>
      <c r="Z255" s="35"/>
      <c r="AA255" s="35"/>
    </row>
    <row r="256" ht="12.75" customHeight="1">
      <c r="A256" s="35"/>
      <c r="B256" s="35"/>
      <c r="C256" s="35"/>
      <c r="D256" s="35"/>
      <c r="E256" s="35"/>
      <c r="F256" s="35"/>
      <c r="G256" s="35"/>
      <c r="H256" s="35"/>
      <c r="I256" s="35"/>
      <c r="J256" s="35"/>
      <c r="K256" s="35"/>
      <c r="L256" s="35"/>
      <c r="M256" s="35"/>
      <c r="N256" s="35"/>
      <c r="O256" s="35"/>
      <c r="P256" s="35"/>
      <c r="Q256" s="35"/>
      <c r="R256" s="35"/>
      <c r="S256" s="35"/>
      <c r="T256" s="35"/>
      <c r="U256" s="35"/>
      <c r="V256" s="35"/>
      <c r="W256" s="35"/>
      <c r="X256" s="35"/>
      <c r="Y256" s="35"/>
      <c r="Z256" s="35"/>
      <c r="AA256" s="35"/>
    </row>
    <row r="257" ht="12.75" customHeight="1">
      <c r="A257" s="35"/>
      <c r="B257" s="35"/>
      <c r="C257" s="35"/>
      <c r="D257" s="35"/>
      <c r="E257" s="35"/>
      <c r="F257" s="35"/>
      <c r="G257" s="35"/>
      <c r="H257" s="35"/>
      <c r="I257" s="35"/>
      <c r="J257" s="35"/>
      <c r="K257" s="35"/>
      <c r="L257" s="35"/>
      <c r="M257" s="35"/>
      <c r="N257" s="35"/>
      <c r="O257" s="35"/>
      <c r="P257" s="35"/>
      <c r="Q257" s="35"/>
      <c r="R257" s="35"/>
      <c r="S257" s="35"/>
      <c r="T257" s="35"/>
      <c r="U257" s="35"/>
      <c r="V257" s="35"/>
      <c r="W257" s="35"/>
      <c r="X257" s="35"/>
      <c r="Y257" s="35"/>
      <c r="Z257" s="35"/>
      <c r="AA257" s="35"/>
    </row>
    <row r="258" ht="12.75" customHeight="1">
      <c r="A258" s="35"/>
      <c r="B258" s="35"/>
      <c r="C258" s="35"/>
      <c r="D258" s="35"/>
      <c r="E258" s="35"/>
      <c r="F258" s="35"/>
      <c r="G258" s="35"/>
      <c r="H258" s="35"/>
      <c r="I258" s="35"/>
      <c r="J258" s="35"/>
      <c r="K258" s="35"/>
      <c r="L258" s="35"/>
      <c r="M258" s="35"/>
      <c r="N258" s="35"/>
      <c r="O258" s="35"/>
      <c r="P258" s="35"/>
      <c r="Q258" s="35"/>
      <c r="R258" s="35"/>
      <c r="S258" s="35"/>
      <c r="T258" s="35"/>
      <c r="U258" s="35"/>
      <c r="V258" s="35"/>
      <c r="W258" s="35"/>
      <c r="X258" s="35"/>
      <c r="Y258" s="35"/>
      <c r="Z258" s="35"/>
      <c r="AA258" s="35"/>
    </row>
    <row r="259" ht="12.75" customHeight="1">
      <c r="A259" s="35"/>
      <c r="B259" s="35"/>
      <c r="C259" s="35"/>
      <c r="D259" s="35"/>
      <c r="E259" s="35"/>
      <c r="F259" s="35"/>
      <c r="G259" s="35"/>
      <c r="H259" s="35"/>
      <c r="I259" s="35"/>
      <c r="J259" s="35"/>
      <c r="K259" s="35"/>
      <c r="L259" s="35"/>
      <c r="M259" s="35"/>
      <c r="N259" s="35"/>
      <c r="O259" s="35"/>
      <c r="P259" s="35"/>
      <c r="Q259" s="35"/>
      <c r="R259" s="35"/>
      <c r="S259" s="35"/>
      <c r="T259" s="35"/>
      <c r="U259" s="35"/>
      <c r="V259" s="35"/>
      <c r="W259" s="35"/>
      <c r="X259" s="35"/>
      <c r="Y259" s="35"/>
      <c r="Z259" s="35"/>
      <c r="AA259" s="35"/>
    </row>
    <row r="260" ht="12.75" customHeight="1">
      <c r="A260" s="35"/>
      <c r="B260" s="35"/>
      <c r="C260" s="35"/>
      <c r="D260" s="35"/>
      <c r="E260" s="35"/>
      <c r="F260" s="35"/>
      <c r="G260" s="35"/>
      <c r="H260" s="35"/>
      <c r="I260" s="35"/>
      <c r="J260" s="35"/>
      <c r="K260" s="35"/>
      <c r="L260" s="35"/>
      <c r="M260" s="35"/>
      <c r="N260" s="35"/>
      <c r="O260" s="35"/>
      <c r="P260" s="35"/>
      <c r="Q260" s="35"/>
      <c r="R260" s="35"/>
      <c r="S260" s="35"/>
      <c r="T260" s="35"/>
      <c r="U260" s="35"/>
      <c r="V260" s="35"/>
      <c r="W260" s="35"/>
      <c r="X260" s="35"/>
      <c r="Y260" s="35"/>
      <c r="Z260" s="35"/>
      <c r="AA260" s="35"/>
    </row>
    <row r="261" ht="12.75" customHeight="1">
      <c r="A261" s="35"/>
      <c r="B261" s="35"/>
      <c r="C261" s="35"/>
      <c r="D261" s="35"/>
      <c r="E261" s="35"/>
      <c r="F261" s="35"/>
      <c r="G261" s="35"/>
      <c r="H261" s="35"/>
      <c r="I261" s="35"/>
      <c r="J261" s="35"/>
      <c r="K261" s="35"/>
      <c r="L261" s="35"/>
      <c r="M261" s="35"/>
      <c r="N261" s="35"/>
      <c r="O261" s="35"/>
      <c r="P261" s="35"/>
      <c r="Q261" s="35"/>
      <c r="R261" s="35"/>
      <c r="S261" s="35"/>
      <c r="T261" s="35"/>
      <c r="U261" s="35"/>
      <c r="V261" s="35"/>
      <c r="W261" s="35"/>
      <c r="X261" s="35"/>
      <c r="Y261" s="35"/>
      <c r="Z261" s="35"/>
      <c r="AA261" s="35"/>
    </row>
    <row r="262" ht="12.75" customHeight="1">
      <c r="A262" s="35"/>
      <c r="B262" s="35"/>
      <c r="C262" s="35"/>
      <c r="D262" s="35"/>
      <c r="E262" s="35"/>
      <c r="F262" s="35"/>
      <c r="G262" s="35"/>
      <c r="H262" s="35"/>
      <c r="I262" s="35"/>
      <c r="J262" s="35"/>
      <c r="K262" s="35"/>
      <c r="L262" s="35"/>
      <c r="M262" s="35"/>
      <c r="N262" s="35"/>
      <c r="O262" s="35"/>
      <c r="P262" s="35"/>
      <c r="Q262" s="35"/>
      <c r="R262" s="35"/>
      <c r="S262" s="35"/>
      <c r="T262" s="35"/>
      <c r="U262" s="35"/>
      <c r="V262" s="35"/>
      <c r="W262" s="35"/>
      <c r="X262" s="35"/>
      <c r="Y262" s="35"/>
      <c r="Z262" s="35"/>
      <c r="AA262" s="35"/>
    </row>
    <row r="263" ht="12.75" customHeight="1">
      <c r="A263" s="35"/>
      <c r="B263" s="35"/>
      <c r="C263" s="35"/>
      <c r="D263" s="35"/>
      <c r="E263" s="35"/>
      <c r="F263" s="35"/>
      <c r="G263" s="35"/>
      <c r="H263" s="35"/>
      <c r="I263" s="35"/>
      <c r="J263" s="35"/>
      <c r="K263" s="35"/>
      <c r="L263" s="35"/>
      <c r="M263" s="35"/>
      <c r="N263" s="35"/>
      <c r="O263" s="35"/>
      <c r="P263" s="35"/>
      <c r="Q263" s="35"/>
      <c r="R263" s="35"/>
      <c r="S263" s="35"/>
      <c r="T263" s="35"/>
      <c r="U263" s="35"/>
      <c r="V263" s="35"/>
      <c r="W263" s="35"/>
      <c r="X263" s="35"/>
      <c r="Y263" s="35"/>
      <c r="Z263" s="35"/>
      <c r="AA263" s="35"/>
    </row>
    <row r="264" ht="12.75" customHeight="1">
      <c r="A264" s="35"/>
      <c r="B264" s="35"/>
      <c r="C264" s="35"/>
      <c r="D264" s="35"/>
      <c r="E264" s="35"/>
      <c r="F264" s="35"/>
      <c r="G264" s="35"/>
      <c r="H264" s="35"/>
      <c r="I264" s="35"/>
      <c r="J264" s="35"/>
      <c r="K264" s="35"/>
      <c r="L264" s="35"/>
      <c r="M264" s="35"/>
      <c r="N264" s="35"/>
      <c r="O264" s="35"/>
      <c r="P264" s="35"/>
      <c r="Q264" s="35"/>
      <c r="R264" s="35"/>
      <c r="S264" s="35"/>
      <c r="T264" s="35"/>
      <c r="U264" s="35"/>
      <c r="V264" s="35"/>
      <c r="W264" s="35"/>
      <c r="X264" s="35"/>
      <c r="Y264" s="35"/>
      <c r="Z264" s="35"/>
      <c r="AA264" s="35"/>
    </row>
    <row r="265" ht="12.75" customHeight="1">
      <c r="A265" s="35"/>
      <c r="B265" s="35"/>
      <c r="C265" s="35"/>
      <c r="D265" s="35"/>
      <c r="E265" s="35"/>
      <c r="F265" s="35"/>
      <c r="G265" s="35"/>
      <c r="H265" s="35"/>
      <c r="I265" s="35"/>
      <c r="J265" s="35"/>
      <c r="K265" s="35"/>
      <c r="L265" s="35"/>
      <c r="M265" s="35"/>
      <c r="N265" s="35"/>
      <c r="O265" s="35"/>
      <c r="P265" s="35"/>
      <c r="Q265" s="35"/>
      <c r="R265" s="35"/>
      <c r="S265" s="35"/>
      <c r="T265" s="35"/>
      <c r="U265" s="35"/>
      <c r="V265" s="35"/>
      <c r="W265" s="35"/>
      <c r="X265" s="35"/>
      <c r="Y265" s="35"/>
      <c r="Z265" s="35"/>
      <c r="AA265" s="35"/>
    </row>
    <row r="266" ht="12.75" customHeight="1">
      <c r="A266" s="35"/>
      <c r="B266" s="35"/>
      <c r="C266" s="35"/>
      <c r="D266" s="35"/>
      <c r="E266" s="35"/>
      <c r="F266" s="35"/>
      <c r="G266" s="35"/>
      <c r="H266" s="35"/>
      <c r="I266" s="35"/>
      <c r="J266" s="35"/>
      <c r="K266" s="35"/>
      <c r="L266" s="35"/>
      <c r="M266" s="35"/>
      <c r="N266" s="35"/>
      <c r="O266" s="35"/>
      <c r="P266" s="35"/>
      <c r="Q266" s="35"/>
      <c r="R266" s="35"/>
      <c r="S266" s="35"/>
      <c r="T266" s="35"/>
      <c r="U266" s="35"/>
      <c r="V266" s="35"/>
      <c r="W266" s="35"/>
      <c r="X266" s="35"/>
      <c r="Y266" s="35"/>
      <c r="Z266" s="35"/>
      <c r="AA266" s="35"/>
    </row>
    <row r="267" ht="12.75" customHeight="1">
      <c r="A267" s="35"/>
      <c r="B267" s="35"/>
      <c r="C267" s="35"/>
      <c r="D267" s="35"/>
      <c r="E267" s="35"/>
      <c r="F267" s="35"/>
      <c r="G267" s="35"/>
      <c r="H267" s="35"/>
      <c r="I267" s="35"/>
      <c r="J267" s="35"/>
      <c r="K267" s="35"/>
      <c r="L267" s="35"/>
      <c r="M267" s="35"/>
      <c r="N267" s="35"/>
      <c r="O267" s="35"/>
      <c r="P267" s="35"/>
      <c r="Q267" s="35"/>
      <c r="R267" s="35"/>
      <c r="S267" s="35"/>
      <c r="T267" s="35"/>
      <c r="U267" s="35"/>
      <c r="V267" s="35"/>
      <c r="W267" s="35"/>
      <c r="X267" s="35"/>
      <c r="Y267" s="35"/>
      <c r="Z267" s="35"/>
      <c r="AA267" s="35"/>
    </row>
    <row r="268" ht="12.75" customHeight="1">
      <c r="A268" s="35"/>
      <c r="B268" s="35"/>
      <c r="C268" s="35"/>
      <c r="D268" s="35"/>
      <c r="E268" s="35"/>
      <c r="F268" s="35"/>
      <c r="G268" s="35"/>
      <c r="H268" s="35"/>
      <c r="I268" s="35"/>
      <c r="J268" s="35"/>
      <c r="K268" s="35"/>
      <c r="L268" s="35"/>
      <c r="M268" s="35"/>
      <c r="N268" s="35"/>
      <c r="O268" s="35"/>
      <c r="P268" s="35"/>
      <c r="Q268" s="35"/>
      <c r="R268" s="35"/>
      <c r="S268" s="35"/>
      <c r="T268" s="35"/>
      <c r="U268" s="35"/>
      <c r="V268" s="35"/>
      <c r="W268" s="35"/>
      <c r="X268" s="35"/>
      <c r="Y268" s="35"/>
      <c r="Z268" s="35"/>
      <c r="AA268" s="35"/>
    </row>
    <row r="269" ht="12.75" customHeight="1">
      <c r="A269" s="35"/>
      <c r="B269" s="35"/>
      <c r="C269" s="35"/>
      <c r="D269" s="35"/>
      <c r="E269" s="35"/>
      <c r="F269" s="35"/>
      <c r="G269" s="35"/>
      <c r="H269" s="35"/>
      <c r="I269" s="35"/>
      <c r="J269" s="35"/>
      <c r="K269" s="35"/>
      <c r="L269" s="35"/>
      <c r="M269" s="35"/>
      <c r="N269" s="35"/>
      <c r="O269" s="35"/>
      <c r="P269" s="35"/>
      <c r="Q269" s="35"/>
      <c r="R269" s="35"/>
      <c r="S269" s="35"/>
      <c r="T269" s="35"/>
      <c r="U269" s="35"/>
      <c r="V269" s="35"/>
      <c r="W269" s="35"/>
      <c r="X269" s="35"/>
      <c r="Y269" s="35"/>
      <c r="Z269" s="35"/>
      <c r="AA269" s="35"/>
    </row>
    <row r="270" ht="12.75" customHeight="1">
      <c r="A270" s="35"/>
      <c r="B270" s="35"/>
      <c r="C270" s="35"/>
      <c r="D270" s="35"/>
      <c r="E270" s="35"/>
      <c r="F270" s="35"/>
      <c r="G270" s="35"/>
      <c r="H270" s="35"/>
      <c r="I270" s="35"/>
      <c r="J270" s="35"/>
      <c r="K270" s="35"/>
      <c r="L270" s="35"/>
      <c r="M270" s="35"/>
      <c r="N270" s="35"/>
      <c r="O270" s="35"/>
      <c r="P270" s="35"/>
      <c r="Q270" s="35"/>
      <c r="R270" s="35"/>
      <c r="S270" s="35"/>
      <c r="T270" s="35"/>
      <c r="U270" s="35"/>
      <c r="V270" s="35"/>
      <c r="W270" s="35"/>
      <c r="X270" s="35"/>
      <c r="Y270" s="35"/>
      <c r="Z270" s="35"/>
      <c r="AA270" s="35"/>
    </row>
    <row r="271" ht="12.75" customHeight="1">
      <c r="A271" s="35"/>
      <c r="B271" s="35"/>
      <c r="C271" s="35"/>
      <c r="D271" s="35"/>
      <c r="E271" s="35"/>
      <c r="F271" s="35"/>
      <c r="G271" s="35"/>
      <c r="H271" s="35"/>
      <c r="I271" s="35"/>
      <c r="J271" s="35"/>
      <c r="K271" s="35"/>
      <c r="L271" s="35"/>
      <c r="M271" s="35"/>
      <c r="N271" s="35"/>
      <c r="O271" s="35"/>
      <c r="P271" s="35"/>
      <c r="Q271" s="35"/>
      <c r="R271" s="35"/>
      <c r="S271" s="35"/>
      <c r="T271" s="35"/>
      <c r="U271" s="35"/>
      <c r="V271" s="35"/>
      <c r="W271" s="35"/>
      <c r="X271" s="35"/>
      <c r="Y271" s="35"/>
      <c r="Z271" s="35"/>
      <c r="AA271" s="35"/>
    </row>
    <row r="272" ht="12.75" customHeight="1">
      <c r="A272" s="35"/>
      <c r="B272" s="35"/>
      <c r="C272" s="35"/>
      <c r="D272" s="35"/>
      <c r="E272" s="35"/>
      <c r="F272" s="35"/>
      <c r="G272" s="35"/>
      <c r="H272" s="35"/>
      <c r="I272" s="35"/>
      <c r="J272" s="35"/>
      <c r="K272" s="35"/>
      <c r="L272" s="35"/>
      <c r="M272" s="35"/>
      <c r="N272" s="35"/>
      <c r="O272" s="35"/>
      <c r="P272" s="35"/>
      <c r="Q272" s="35"/>
      <c r="R272" s="35"/>
      <c r="S272" s="35"/>
      <c r="T272" s="35"/>
      <c r="U272" s="35"/>
      <c r="V272" s="35"/>
      <c r="W272" s="35"/>
      <c r="X272" s="35"/>
      <c r="Y272" s="35"/>
      <c r="Z272" s="35"/>
      <c r="AA272" s="35"/>
    </row>
    <row r="273" ht="12.75" customHeight="1">
      <c r="A273" s="35"/>
      <c r="B273" s="35"/>
      <c r="C273" s="35"/>
      <c r="D273" s="35"/>
      <c r="E273" s="35"/>
      <c r="F273" s="35"/>
      <c r="G273" s="35"/>
      <c r="H273" s="35"/>
      <c r="I273" s="35"/>
      <c r="J273" s="35"/>
      <c r="K273" s="35"/>
      <c r="L273" s="35"/>
      <c r="M273" s="35"/>
      <c r="N273" s="35"/>
      <c r="O273" s="35"/>
      <c r="P273" s="35"/>
      <c r="Q273" s="35"/>
      <c r="R273" s="35"/>
      <c r="S273" s="35"/>
      <c r="T273" s="35"/>
      <c r="U273" s="35"/>
      <c r="V273" s="35"/>
      <c r="W273" s="35"/>
      <c r="X273" s="35"/>
      <c r="Y273" s="35"/>
      <c r="Z273" s="35"/>
      <c r="AA273" s="35"/>
    </row>
    <row r="274" ht="12.75" customHeight="1">
      <c r="A274" s="35"/>
      <c r="B274" s="35"/>
      <c r="C274" s="35"/>
      <c r="D274" s="35"/>
      <c r="E274" s="35"/>
      <c r="F274" s="35"/>
      <c r="G274" s="35"/>
      <c r="H274" s="35"/>
      <c r="I274" s="35"/>
      <c r="J274" s="35"/>
      <c r="K274" s="35"/>
      <c r="L274" s="35"/>
      <c r="M274" s="35"/>
      <c r="N274" s="35"/>
      <c r="O274" s="35"/>
      <c r="P274" s="35"/>
      <c r="Q274" s="35"/>
      <c r="R274" s="35"/>
      <c r="S274" s="35"/>
      <c r="T274" s="35"/>
      <c r="U274" s="35"/>
      <c r="V274" s="35"/>
      <c r="W274" s="35"/>
      <c r="X274" s="35"/>
      <c r="Y274" s="35"/>
      <c r="Z274" s="35"/>
      <c r="AA274" s="35"/>
    </row>
    <row r="275" ht="12.75" customHeight="1">
      <c r="A275" s="35"/>
      <c r="B275" s="35"/>
      <c r="C275" s="35"/>
      <c r="D275" s="35"/>
      <c r="E275" s="35"/>
      <c r="F275" s="35"/>
      <c r="G275" s="35"/>
      <c r="H275" s="35"/>
      <c r="I275" s="35"/>
      <c r="J275" s="35"/>
      <c r="K275" s="35"/>
      <c r="L275" s="35"/>
      <c r="M275" s="35"/>
      <c r="N275" s="35"/>
      <c r="O275" s="35"/>
      <c r="P275" s="35"/>
      <c r="Q275" s="35"/>
      <c r="R275" s="35"/>
      <c r="S275" s="35"/>
      <c r="T275" s="35"/>
      <c r="U275" s="35"/>
      <c r="V275" s="35"/>
      <c r="W275" s="35"/>
      <c r="X275" s="35"/>
      <c r="Y275" s="35"/>
      <c r="Z275" s="35"/>
      <c r="AA275" s="35"/>
    </row>
    <row r="276" ht="12.75" customHeight="1">
      <c r="A276" s="35"/>
      <c r="B276" s="35"/>
      <c r="C276" s="35"/>
      <c r="D276" s="35"/>
      <c r="E276" s="35"/>
      <c r="F276" s="35"/>
      <c r="G276" s="35"/>
      <c r="H276" s="35"/>
      <c r="I276" s="35"/>
      <c r="J276" s="35"/>
      <c r="K276" s="35"/>
      <c r="L276" s="35"/>
      <c r="M276" s="35"/>
      <c r="N276" s="35"/>
      <c r="O276" s="35"/>
      <c r="P276" s="35"/>
      <c r="Q276" s="35"/>
      <c r="R276" s="35"/>
      <c r="S276" s="35"/>
      <c r="T276" s="35"/>
      <c r="U276" s="35"/>
      <c r="V276" s="35"/>
      <c r="W276" s="35"/>
      <c r="X276" s="35"/>
      <c r="Y276" s="35"/>
      <c r="Z276" s="35"/>
      <c r="AA276" s="35"/>
    </row>
    <row r="277" ht="12.75" customHeight="1">
      <c r="A277" s="35"/>
      <c r="B277" s="35"/>
      <c r="C277" s="35"/>
      <c r="D277" s="35"/>
      <c r="E277" s="35"/>
      <c r="F277" s="35"/>
      <c r="G277" s="35"/>
      <c r="H277" s="35"/>
      <c r="I277" s="35"/>
      <c r="J277" s="35"/>
      <c r="K277" s="35"/>
      <c r="L277" s="35"/>
      <c r="M277" s="35"/>
      <c r="N277" s="35"/>
      <c r="O277" s="35"/>
      <c r="P277" s="35"/>
      <c r="Q277" s="35"/>
      <c r="R277" s="35"/>
      <c r="S277" s="35"/>
      <c r="T277" s="35"/>
      <c r="U277" s="35"/>
      <c r="V277" s="35"/>
      <c r="W277" s="35"/>
      <c r="X277" s="35"/>
      <c r="Y277" s="35"/>
      <c r="Z277" s="35"/>
      <c r="AA277" s="35"/>
    </row>
    <row r="278" ht="12.75" customHeight="1">
      <c r="A278" s="35"/>
      <c r="B278" s="35"/>
      <c r="C278" s="35"/>
      <c r="D278" s="35"/>
      <c r="E278" s="35"/>
      <c r="F278" s="35"/>
      <c r="G278" s="35"/>
      <c r="H278" s="35"/>
      <c r="I278" s="35"/>
      <c r="J278" s="35"/>
      <c r="K278" s="35"/>
      <c r="L278" s="35"/>
      <c r="M278" s="35"/>
      <c r="N278" s="35"/>
      <c r="O278" s="35"/>
      <c r="P278" s="35"/>
      <c r="Q278" s="35"/>
      <c r="R278" s="35"/>
      <c r="S278" s="35"/>
      <c r="T278" s="35"/>
      <c r="U278" s="35"/>
      <c r="V278" s="35"/>
      <c r="W278" s="35"/>
      <c r="X278" s="35"/>
      <c r="Y278" s="35"/>
      <c r="Z278" s="35"/>
      <c r="AA278" s="35"/>
    </row>
    <row r="279" ht="12.75" customHeight="1">
      <c r="A279" s="35"/>
      <c r="B279" s="35"/>
      <c r="C279" s="35"/>
      <c r="D279" s="35"/>
      <c r="E279" s="35"/>
      <c r="F279" s="35"/>
      <c r="G279" s="35"/>
      <c r="H279" s="35"/>
      <c r="I279" s="35"/>
      <c r="J279" s="35"/>
      <c r="K279" s="35"/>
      <c r="L279" s="35"/>
      <c r="M279" s="35"/>
      <c r="N279" s="35"/>
      <c r="O279" s="35"/>
      <c r="P279" s="35"/>
      <c r="Q279" s="35"/>
      <c r="R279" s="35"/>
      <c r="S279" s="35"/>
      <c r="T279" s="35"/>
      <c r="U279" s="35"/>
      <c r="V279" s="35"/>
      <c r="W279" s="35"/>
      <c r="X279" s="35"/>
      <c r="Y279" s="35"/>
      <c r="Z279" s="35"/>
      <c r="AA279" s="35"/>
    </row>
    <row r="280" ht="12.75" customHeight="1">
      <c r="A280" s="35"/>
      <c r="B280" s="35"/>
      <c r="C280" s="35"/>
      <c r="D280" s="35"/>
      <c r="E280" s="35"/>
      <c r="F280" s="35"/>
      <c r="G280" s="35"/>
      <c r="H280" s="35"/>
      <c r="I280" s="35"/>
      <c r="J280" s="35"/>
      <c r="K280" s="35"/>
      <c r="L280" s="35"/>
      <c r="M280" s="35"/>
      <c r="N280" s="35"/>
      <c r="O280" s="35"/>
      <c r="P280" s="35"/>
      <c r="Q280" s="35"/>
      <c r="R280" s="35"/>
      <c r="S280" s="35"/>
      <c r="T280" s="35"/>
      <c r="U280" s="35"/>
      <c r="V280" s="35"/>
      <c r="W280" s="35"/>
      <c r="X280" s="35"/>
      <c r="Y280" s="35"/>
      <c r="Z280" s="35"/>
      <c r="AA280" s="35"/>
    </row>
    <row r="281" ht="12.75" customHeight="1">
      <c r="A281" s="35"/>
      <c r="B281" s="35"/>
      <c r="C281" s="35"/>
      <c r="D281" s="35"/>
      <c r="E281" s="35"/>
      <c r="F281" s="35"/>
      <c r="G281" s="35"/>
      <c r="H281" s="35"/>
      <c r="I281" s="35"/>
      <c r="J281" s="35"/>
      <c r="K281" s="35"/>
      <c r="L281" s="35"/>
      <c r="M281" s="35"/>
      <c r="N281" s="35"/>
      <c r="O281" s="35"/>
      <c r="P281" s="35"/>
      <c r="Q281" s="35"/>
      <c r="R281" s="35"/>
      <c r="S281" s="35"/>
      <c r="T281" s="35"/>
      <c r="U281" s="35"/>
      <c r="V281" s="35"/>
      <c r="W281" s="35"/>
      <c r="X281" s="35"/>
      <c r="Y281" s="35"/>
      <c r="Z281" s="35"/>
      <c r="AA281" s="35"/>
    </row>
    <row r="282" ht="12.75" customHeight="1">
      <c r="A282" s="35"/>
      <c r="B282" s="35"/>
      <c r="C282" s="35"/>
      <c r="D282" s="35"/>
      <c r="E282" s="35"/>
      <c r="F282" s="35"/>
      <c r="G282" s="35"/>
      <c r="H282" s="35"/>
      <c r="I282" s="35"/>
      <c r="J282" s="35"/>
      <c r="K282" s="35"/>
      <c r="L282" s="35"/>
      <c r="M282" s="35"/>
      <c r="N282" s="35"/>
      <c r="O282" s="35"/>
      <c r="P282" s="35"/>
      <c r="Q282" s="35"/>
      <c r="R282" s="35"/>
      <c r="S282" s="35"/>
      <c r="T282" s="35"/>
      <c r="U282" s="35"/>
      <c r="V282" s="35"/>
      <c r="W282" s="35"/>
      <c r="X282" s="35"/>
      <c r="Y282" s="35"/>
      <c r="Z282" s="35"/>
      <c r="AA282" s="35"/>
    </row>
    <row r="283" ht="12.75" customHeight="1">
      <c r="A283" s="35"/>
      <c r="B283" s="35"/>
      <c r="C283" s="35"/>
      <c r="D283" s="35"/>
      <c r="E283" s="35"/>
      <c r="F283" s="35"/>
      <c r="G283" s="35"/>
      <c r="H283" s="35"/>
      <c r="I283" s="35"/>
      <c r="J283" s="35"/>
      <c r="K283" s="35"/>
      <c r="L283" s="35"/>
      <c r="M283" s="35"/>
      <c r="N283" s="35"/>
      <c r="O283" s="35"/>
      <c r="P283" s="35"/>
      <c r="Q283" s="35"/>
      <c r="R283" s="35"/>
      <c r="S283" s="35"/>
      <c r="T283" s="35"/>
      <c r="U283" s="35"/>
      <c r="V283" s="35"/>
      <c r="W283" s="35"/>
      <c r="X283" s="35"/>
      <c r="Y283" s="35"/>
      <c r="Z283" s="35"/>
      <c r="AA283" s="35"/>
    </row>
    <row r="284" ht="12.75" customHeight="1">
      <c r="A284" s="35"/>
      <c r="B284" s="35"/>
      <c r="C284" s="35"/>
      <c r="D284" s="35"/>
      <c r="E284" s="35"/>
      <c r="F284" s="35"/>
      <c r="G284" s="35"/>
      <c r="H284" s="35"/>
      <c r="I284" s="35"/>
      <c r="J284" s="35"/>
      <c r="K284" s="35"/>
      <c r="L284" s="35"/>
      <c r="M284" s="35"/>
      <c r="N284" s="35"/>
      <c r="O284" s="35"/>
      <c r="P284" s="35"/>
      <c r="Q284" s="35"/>
      <c r="R284" s="35"/>
      <c r="S284" s="35"/>
      <c r="T284" s="35"/>
      <c r="U284" s="35"/>
      <c r="V284" s="35"/>
      <c r="W284" s="35"/>
      <c r="X284" s="35"/>
      <c r="Y284" s="35"/>
      <c r="Z284" s="35"/>
      <c r="AA284" s="35"/>
    </row>
    <row r="285" ht="12.75" customHeight="1">
      <c r="A285" s="35"/>
      <c r="B285" s="35"/>
      <c r="C285" s="35"/>
      <c r="D285" s="35"/>
      <c r="E285" s="35"/>
      <c r="F285" s="35"/>
      <c r="G285" s="35"/>
      <c r="H285" s="35"/>
      <c r="I285" s="35"/>
      <c r="J285" s="35"/>
      <c r="K285" s="35"/>
      <c r="L285" s="35"/>
      <c r="M285" s="35"/>
      <c r="N285" s="35"/>
      <c r="O285" s="35"/>
      <c r="P285" s="35"/>
      <c r="Q285" s="35"/>
      <c r="R285" s="35"/>
      <c r="S285" s="35"/>
      <c r="T285" s="35"/>
      <c r="U285" s="35"/>
      <c r="V285" s="35"/>
      <c r="W285" s="35"/>
      <c r="X285" s="35"/>
      <c r="Y285" s="35"/>
      <c r="Z285" s="35"/>
      <c r="AA285" s="35"/>
    </row>
    <row r="286" ht="12.75" customHeight="1">
      <c r="A286" s="35"/>
      <c r="B286" s="35"/>
      <c r="C286" s="35"/>
      <c r="D286" s="35"/>
      <c r="E286" s="35"/>
      <c r="F286" s="35"/>
      <c r="G286" s="35"/>
      <c r="H286" s="35"/>
      <c r="I286" s="35"/>
      <c r="J286" s="35"/>
      <c r="K286" s="35"/>
      <c r="L286" s="35"/>
      <c r="M286" s="35"/>
      <c r="N286" s="35"/>
      <c r="O286" s="35"/>
      <c r="P286" s="35"/>
      <c r="Q286" s="35"/>
      <c r="R286" s="35"/>
      <c r="S286" s="35"/>
      <c r="T286" s="35"/>
      <c r="U286" s="35"/>
      <c r="V286" s="35"/>
      <c r="W286" s="35"/>
      <c r="X286" s="35"/>
      <c r="Y286" s="35"/>
      <c r="Z286" s="35"/>
      <c r="AA286" s="35"/>
    </row>
    <row r="287" ht="12.75" customHeight="1">
      <c r="A287" s="35"/>
      <c r="B287" s="35"/>
      <c r="C287" s="35"/>
      <c r="D287" s="35"/>
      <c r="E287" s="35"/>
      <c r="F287" s="35"/>
      <c r="G287" s="35"/>
      <c r="H287" s="35"/>
      <c r="I287" s="35"/>
      <c r="J287" s="35"/>
      <c r="K287" s="35"/>
      <c r="L287" s="35"/>
      <c r="M287" s="35"/>
      <c r="N287" s="35"/>
      <c r="O287" s="35"/>
      <c r="P287" s="35"/>
      <c r="Q287" s="35"/>
      <c r="R287" s="35"/>
      <c r="S287" s="35"/>
      <c r="T287" s="35"/>
      <c r="U287" s="35"/>
      <c r="V287" s="35"/>
      <c r="W287" s="35"/>
      <c r="X287" s="35"/>
      <c r="Y287" s="35"/>
      <c r="Z287" s="35"/>
      <c r="AA287" s="35"/>
    </row>
    <row r="288" ht="12.75" customHeight="1">
      <c r="A288" s="35"/>
      <c r="B288" s="35"/>
      <c r="C288" s="35"/>
      <c r="D288" s="35"/>
      <c r="E288" s="35"/>
      <c r="F288" s="35"/>
      <c r="G288" s="35"/>
      <c r="H288" s="35"/>
      <c r="I288" s="35"/>
      <c r="J288" s="35"/>
      <c r="K288" s="35"/>
      <c r="L288" s="35"/>
      <c r="M288" s="35"/>
      <c r="N288" s="35"/>
      <c r="O288" s="35"/>
      <c r="P288" s="35"/>
      <c r="Q288" s="35"/>
      <c r="R288" s="35"/>
      <c r="S288" s="35"/>
      <c r="T288" s="35"/>
      <c r="U288" s="35"/>
      <c r="V288" s="35"/>
      <c r="W288" s="35"/>
      <c r="X288" s="35"/>
      <c r="Y288" s="35"/>
      <c r="Z288" s="35"/>
      <c r="AA288" s="35"/>
    </row>
    <row r="289" ht="12.75" customHeight="1">
      <c r="A289" s="35"/>
      <c r="B289" s="35"/>
      <c r="C289" s="35"/>
      <c r="D289" s="35"/>
      <c r="E289" s="35"/>
      <c r="F289" s="35"/>
      <c r="G289" s="35"/>
      <c r="H289" s="35"/>
      <c r="I289" s="35"/>
      <c r="J289" s="35"/>
      <c r="K289" s="35"/>
      <c r="L289" s="35"/>
      <c r="M289" s="35"/>
      <c r="N289" s="35"/>
      <c r="O289" s="35"/>
      <c r="P289" s="35"/>
      <c r="Q289" s="35"/>
      <c r="R289" s="35"/>
      <c r="S289" s="35"/>
      <c r="T289" s="35"/>
      <c r="U289" s="35"/>
      <c r="V289" s="35"/>
      <c r="W289" s="35"/>
      <c r="X289" s="35"/>
      <c r="Y289" s="35"/>
      <c r="Z289" s="35"/>
      <c r="AA289" s="35"/>
    </row>
    <row r="290" ht="12.75" customHeight="1">
      <c r="A290" s="35"/>
      <c r="B290" s="35"/>
      <c r="C290" s="35"/>
      <c r="D290" s="35"/>
      <c r="E290" s="35"/>
      <c r="F290" s="35"/>
      <c r="G290" s="35"/>
      <c r="H290" s="35"/>
      <c r="I290" s="35"/>
      <c r="J290" s="35"/>
      <c r="K290" s="35"/>
      <c r="L290" s="35"/>
      <c r="M290" s="35"/>
      <c r="N290" s="35"/>
      <c r="O290" s="35"/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5"/>
      <c r="AA290" s="35"/>
    </row>
    <row r="291" ht="12.75" customHeight="1">
      <c r="A291" s="35"/>
      <c r="B291" s="35"/>
      <c r="C291" s="35"/>
      <c r="D291" s="35"/>
      <c r="E291" s="35"/>
      <c r="F291" s="35"/>
      <c r="G291" s="35"/>
      <c r="H291" s="35"/>
      <c r="I291" s="35"/>
      <c r="J291" s="35"/>
      <c r="K291" s="35"/>
      <c r="L291" s="35"/>
      <c r="M291" s="35"/>
      <c r="N291" s="35"/>
      <c r="O291" s="35"/>
      <c r="P291" s="35"/>
      <c r="Q291" s="35"/>
      <c r="R291" s="35"/>
      <c r="S291" s="35"/>
      <c r="T291" s="35"/>
      <c r="U291" s="35"/>
      <c r="V291" s="35"/>
      <c r="W291" s="35"/>
      <c r="X291" s="35"/>
      <c r="Y291" s="35"/>
      <c r="Z291" s="35"/>
      <c r="AA291" s="35"/>
    </row>
    <row r="292" ht="12.75" customHeight="1">
      <c r="A292" s="35"/>
      <c r="B292" s="35"/>
      <c r="C292" s="35"/>
      <c r="D292" s="35"/>
      <c r="E292" s="35"/>
      <c r="F292" s="35"/>
      <c r="G292" s="35"/>
      <c r="H292" s="35"/>
      <c r="I292" s="35"/>
      <c r="J292" s="35"/>
      <c r="K292" s="35"/>
      <c r="L292" s="35"/>
      <c r="M292" s="35"/>
      <c r="N292" s="35"/>
      <c r="O292" s="35"/>
      <c r="P292" s="35"/>
      <c r="Q292" s="35"/>
      <c r="R292" s="35"/>
      <c r="S292" s="35"/>
      <c r="T292" s="35"/>
      <c r="U292" s="35"/>
      <c r="V292" s="35"/>
      <c r="W292" s="35"/>
      <c r="X292" s="35"/>
      <c r="Y292" s="35"/>
      <c r="Z292" s="35"/>
      <c r="AA292" s="35"/>
    </row>
    <row r="293" ht="12.75" customHeight="1">
      <c r="A293" s="35"/>
      <c r="B293" s="35"/>
      <c r="C293" s="35"/>
      <c r="D293" s="35"/>
      <c r="E293" s="35"/>
      <c r="F293" s="35"/>
      <c r="G293" s="35"/>
      <c r="H293" s="35"/>
      <c r="I293" s="35"/>
      <c r="J293" s="35"/>
      <c r="K293" s="35"/>
      <c r="L293" s="35"/>
      <c r="M293" s="35"/>
      <c r="N293" s="35"/>
      <c r="O293" s="35"/>
      <c r="P293" s="35"/>
      <c r="Q293" s="35"/>
      <c r="R293" s="35"/>
      <c r="S293" s="35"/>
      <c r="T293" s="35"/>
      <c r="U293" s="35"/>
      <c r="V293" s="35"/>
      <c r="W293" s="35"/>
      <c r="X293" s="35"/>
      <c r="Y293" s="35"/>
      <c r="Z293" s="35"/>
      <c r="AA293" s="35"/>
    </row>
    <row r="294" ht="12.75" customHeight="1">
      <c r="A294" s="35"/>
      <c r="B294" s="35"/>
      <c r="C294" s="35"/>
      <c r="D294" s="35"/>
      <c r="E294" s="35"/>
      <c r="F294" s="35"/>
      <c r="G294" s="35"/>
      <c r="H294" s="35"/>
      <c r="I294" s="35"/>
      <c r="J294" s="35"/>
      <c r="K294" s="35"/>
      <c r="L294" s="35"/>
      <c r="M294" s="35"/>
      <c r="N294" s="35"/>
      <c r="O294" s="35"/>
      <c r="P294" s="35"/>
      <c r="Q294" s="35"/>
      <c r="R294" s="35"/>
      <c r="S294" s="35"/>
      <c r="T294" s="35"/>
      <c r="U294" s="35"/>
      <c r="V294" s="35"/>
      <c r="W294" s="35"/>
      <c r="X294" s="35"/>
      <c r="Y294" s="35"/>
      <c r="Z294" s="35"/>
      <c r="AA294" s="35"/>
    </row>
    <row r="295" ht="12.75" customHeight="1">
      <c r="A295" s="35"/>
      <c r="B295" s="35"/>
      <c r="C295" s="35"/>
      <c r="D295" s="35"/>
      <c r="E295" s="35"/>
      <c r="F295" s="35"/>
      <c r="G295" s="35"/>
      <c r="H295" s="35"/>
      <c r="I295" s="35"/>
      <c r="J295" s="35"/>
      <c r="K295" s="35"/>
      <c r="L295" s="35"/>
      <c r="M295" s="35"/>
      <c r="N295" s="35"/>
      <c r="O295" s="35"/>
      <c r="P295" s="35"/>
      <c r="Q295" s="35"/>
      <c r="R295" s="35"/>
      <c r="S295" s="35"/>
      <c r="T295" s="35"/>
      <c r="U295" s="35"/>
      <c r="V295" s="35"/>
      <c r="W295" s="35"/>
      <c r="X295" s="35"/>
      <c r="Y295" s="35"/>
      <c r="Z295" s="35"/>
      <c r="AA295" s="35"/>
    </row>
    <row r="296" ht="12.75" customHeight="1">
      <c r="A296" s="35"/>
      <c r="B296" s="35"/>
      <c r="C296" s="35"/>
      <c r="D296" s="35"/>
      <c r="E296" s="35"/>
      <c r="F296" s="35"/>
      <c r="G296" s="35"/>
      <c r="H296" s="35"/>
      <c r="I296" s="35"/>
      <c r="J296" s="35"/>
      <c r="K296" s="35"/>
      <c r="L296" s="35"/>
      <c r="M296" s="35"/>
      <c r="N296" s="35"/>
      <c r="O296" s="35"/>
      <c r="P296" s="35"/>
      <c r="Q296" s="35"/>
      <c r="R296" s="35"/>
      <c r="S296" s="35"/>
      <c r="T296" s="35"/>
      <c r="U296" s="35"/>
      <c r="V296" s="35"/>
      <c r="W296" s="35"/>
      <c r="X296" s="35"/>
      <c r="Y296" s="35"/>
      <c r="Z296" s="35"/>
      <c r="AA296" s="35"/>
    </row>
    <row r="297" ht="12.75" customHeight="1">
      <c r="A297" s="35"/>
      <c r="B297" s="35"/>
      <c r="C297" s="35"/>
      <c r="D297" s="35"/>
      <c r="E297" s="35"/>
      <c r="F297" s="35"/>
      <c r="G297" s="35"/>
      <c r="H297" s="35"/>
      <c r="I297" s="35"/>
      <c r="J297" s="35"/>
      <c r="K297" s="35"/>
      <c r="L297" s="35"/>
      <c r="M297" s="35"/>
      <c r="N297" s="35"/>
      <c r="O297" s="35"/>
      <c r="P297" s="35"/>
      <c r="Q297" s="35"/>
      <c r="R297" s="35"/>
      <c r="S297" s="35"/>
      <c r="T297" s="35"/>
      <c r="U297" s="35"/>
      <c r="V297" s="35"/>
      <c r="W297" s="35"/>
      <c r="X297" s="35"/>
      <c r="Y297" s="35"/>
      <c r="Z297" s="35"/>
      <c r="AA297" s="35"/>
    </row>
    <row r="298" ht="12.75" customHeight="1">
      <c r="A298" s="35"/>
      <c r="B298" s="35"/>
      <c r="C298" s="35"/>
      <c r="D298" s="35"/>
      <c r="E298" s="35"/>
      <c r="F298" s="35"/>
      <c r="G298" s="35"/>
      <c r="H298" s="35"/>
      <c r="I298" s="35"/>
      <c r="J298" s="35"/>
      <c r="K298" s="35"/>
      <c r="L298" s="35"/>
      <c r="M298" s="35"/>
      <c r="N298" s="35"/>
      <c r="O298" s="35"/>
      <c r="P298" s="35"/>
      <c r="Q298" s="35"/>
      <c r="R298" s="35"/>
      <c r="S298" s="35"/>
      <c r="T298" s="35"/>
      <c r="U298" s="35"/>
      <c r="V298" s="35"/>
      <c r="W298" s="35"/>
      <c r="X298" s="35"/>
      <c r="Y298" s="35"/>
      <c r="Z298" s="35"/>
      <c r="AA298" s="35"/>
    </row>
    <row r="299" ht="12.75" customHeight="1">
      <c r="A299" s="35"/>
      <c r="B299" s="35"/>
      <c r="C299" s="35"/>
      <c r="D299" s="35"/>
      <c r="E299" s="35"/>
      <c r="F299" s="35"/>
      <c r="G299" s="35"/>
      <c r="H299" s="35"/>
      <c r="I299" s="35"/>
      <c r="J299" s="35"/>
      <c r="K299" s="35"/>
      <c r="L299" s="35"/>
      <c r="M299" s="35"/>
      <c r="N299" s="35"/>
      <c r="O299" s="35"/>
      <c r="P299" s="35"/>
      <c r="Q299" s="35"/>
      <c r="R299" s="35"/>
      <c r="S299" s="35"/>
      <c r="T299" s="35"/>
      <c r="U299" s="35"/>
      <c r="V299" s="35"/>
      <c r="W299" s="35"/>
      <c r="X299" s="35"/>
      <c r="Y299" s="35"/>
      <c r="Z299" s="35"/>
      <c r="AA299" s="35"/>
    </row>
    <row r="300" ht="12.75" customHeight="1">
      <c r="A300" s="35"/>
      <c r="B300" s="35"/>
      <c r="C300" s="35"/>
      <c r="D300" s="35"/>
      <c r="E300" s="35"/>
      <c r="F300" s="35"/>
      <c r="G300" s="35"/>
      <c r="H300" s="35"/>
      <c r="I300" s="35"/>
      <c r="J300" s="35"/>
      <c r="K300" s="35"/>
      <c r="L300" s="35"/>
      <c r="M300" s="35"/>
      <c r="N300" s="35"/>
      <c r="O300" s="35"/>
      <c r="P300" s="35"/>
      <c r="Q300" s="35"/>
      <c r="R300" s="35"/>
      <c r="S300" s="35"/>
      <c r="T300" s="35"/>
      <c r="U300" s="35"/>
      <c r="V300" s="35"/>
      <c r="W300" s="35"/>
      <c r="X300" s="35"/>
      <c r="Y300" s="35"/>
      <c r="Z300" s="35"/>
      <c r="AA300" s="35"/>
    </row>
    <row r="301" ht="12.75" customHeight="1">
      <c r="A301" s="35"/>
      <c r="B301" s="35"/>
      <c r="C301" s="35"/>
      <c r="D301" s="35"/>
      <c r="E301" s="35"/>
      <c r="F301" s="35"/>
      <c r="G301" s="35"/>
      <c r="H301" s="35"/>
      <c r="I301" s="35"/>
      <c r="J301" s="35"/>
      <c r="K301" s="35"/>
      <c r="L301" s="35"/>
      <c r="M301" s="35"/>
      <c r="N301" s="35"/>
      <c r="O301" s="35"/>
      <c r="P301" s="35"/>
      <c r="Q301" s="35"/>
      <c r="R301" s="35"/>
      <c r="S301" s="35"/>
      <c r="T301" s="35"/>
      <c r="U301" s="35"/>
      <c r="V301" s="35"/>
      <c r="W301" s="35"/>
      <c r="X301" s="35"/>
      <c r="Y301" s="35"/>
      <c r="Z301" s="35"/>
      <c r="AA301" s="35"/>
    </row>
    <row r="302" ht="12.75" customHeight="1">
      <c r="A302" s="35"/>
      <c r="B302" s="35"/>
      <c r="C302" s="35"/>
      <c r="D302" s="35"/>
      <c r="E302" s="35"/>
      <c r="F302" s="35"/>
      <c r="G302" s="35"/>
      <c r="H302" s="35"/>
      <c r="I302" s="35"/>
      <c r="J302" s="35"/>
      <c r="K302" s="35"/>
      <c r="L302" s="35"/>
      <c r="M302" s="35"/>
      <c r="N302" s="35"/>
      <c r="O302" s="35"/>
      <c r="P302" s="35"/>
      <c r="Q302" s="35"/>
      <c r="R302" s="35"/>
      <c r="S302" s="35"/>
      <c r="T302" s="35"/>
      <c r="U302" s="35"/>
      <c r="V302" s="35"/>
      <c r="W302" s="35"/>
      <c r="X302" s="35"/>
      <c r="Y302" s="35"/>
      <c r="Z302" s="35"/>
      <c r="AA302" s="35"/>
    </row>
    <row r="303" ht="12.75" customHeight="1">
      <c r="A303" s="35"/>
      <c r="B303" s="35"/>
      <c r="C303" s="35"/>
      <c r="D303" s="35"/>
      <c r="E303" s="35"/>
      <c r="F303" s="35"/>
      <c r="G303" s="35"/>
      <c r="H303" s="35"/>
      <c r="I303" s="35"/>
      <c r="J303" s="35"/>
      <c r="K303" s="35"/>
      <c r="L303" s="35"/>
      <c r="M303" s="35"/>
      <c r="N303" s="35"/>
      <c r="O303" s="35"/>
      <c r="P303" s="35"/>
      <c r="Q303" s="35"/>
      <c r="R303" s="35"/>
      <c r="S303" s="35"/>
      <c r="T303" s="35"/>
      <c r="U303" s="35"/>
      <c r="V303" s="35"/>
      <c r="W303" s="35"/>
      <c r="X303" s="35"/>
      <c r="Y303" s="35"/>
      <c r="Z303" s="35"/>
      <c r="AA303" s="35"/>
    </row>
    <row r="304" ht="12.75" customHeight="1">
      <c r="A304" s="35"/>
      <c r="B304" s="35"/>
      <c r="C304" s="35"/>
      <c r="D304" s="35"/>
      <c r="E304" s="35"/>
      <c r="F304" s="35"/>
      <c r="G304" s="35"/>
      <c r="H304" s="35"/>
      <c r="I304" s="35"/>
      <c r="J304" s="35"/>
      <c r="K304" s="35"/>
      <c r="L304" s="35"/>
      <c r="M304" s="35"/>
      <c r="N304" s="35"/>
      <c r="O304" s="35"/>
      <c r="P304" s="35"/>
      <c r="Q304" s="35"/>
      <c r="R304" s="35"/>
      <c r="S304" s="35"/>
      <c r="T304" s="35"/>
      <c r="U304" s="35"/>
      <c r="V304" s="35"/>
      <c r="W304" s="35"/>
      <c r="X304" s="35"/>
      <c r="Y304" s="35"/>
      <c r="Z304" s="35"/>
      <c r="AA304" s="35"/>
    </row>
    <row r="305" ht="12.75" customHeight="1">
      <c r="A305" s="35"/>
      <c r="B305" s="35"/>
      <c r="C305" s="35"/>
      <c r="D305" s="35"/>
      <c r="E305" s="35"/>
      <c r="F305" s="35"/>
      <c r="G305" s="35"/>
      <c r="H305" s="35"/>
      <c r="I305" s="35"/>
      <c r="J305" s="35"/>
      <c r="K305" s="35"/>
      <c r="L305" s="35"/>
      <c r="M305" s="35"/>
      <c r="N305" s="35"/>
      <c r="O305" s="35"/>
      <c r="P305" s="35"/>
      <c r="Q305" s="35"/>
      <c r="R305" s="35"/>
      <c r="S305" s="35"/>
      <c r="T305" s="35"/>
      <c r="U305" s="35"/>
      <c r="V305" s="35"/>
      <c r="W305" s="35"/>
      <c r="X305" s="35"/>
      <c r="Y305" s="35"/>
      <c r="Z305" s="35"/>
      <c r="AA305" s="35"/>
    </row>
    <row r="306" ht="12.75" customHeight="1">
      <c r="A306" s="35"/>
      <c r="B306" s="35"/>
      <c r="C306" s="35"/>
      <c r="D306" s="35"/>
      <c r="E306" s="35"/>
      <c r="F306" s="35"/>
      <c r="G306" s="35"/>
      <c r="H306" s="35"/>
      <c r="I306" s="35"/>
      <c r="J306" s="35"/>
      <c r="K306" s="35"/>
      <c r="L306" s="35"/>
      <c r="M306" s="35"/>
      <c r="N306" s="35"/>
      <c r="O306" s="35"/>
      <c r="P306" s="35"/>
      <c r="Q306" s="35"/>
      <c r="R306" s="35"/>
      <c r="S306" s="35"/>
      <c r="T306" s="35"/>
      <c r="U306" s="35"/>
      <c r="V306" s="35"/>
      <c r="W306" s="35"/>
      <c r="X306" s="35"/>
      <c r="Y306" s="35"/>
      <c r="Z306" s="35"/>
      <c r="AA306" s="35"/>
    </row>
    <row r="307" ht="12.75" customHeight="1">
      <c r="A307" s="35"/>
      <c r="B307" s="35"/>
      <c r="C307" s="35"/>
      <c r="D307" s="35"/>
      <c r="E307" s="35"/>
      <c r="F307" s="35"/>
      <c r="G307" s="35"/>
      <c r="H307" s="35"/>
      <c r="I307" s="35"/>
      <c r="J307" s="35"/>
      <c r="K307" s="35"/>
      <c r="L307" s="35"/>
      <c r="M307" s="35"/>
      <c r="N307" s="35"/>
      <c r="O307" s="35"/>
      <c r="P307" s="35"/>
      <c r="Q307" s="35"/>
      <c r="R307" s="35"/>
      <c r="S307" s="35"/>
      <c r="T307" s="35"/>
      <c r="U307" s="35"/>
      <c r="V307" s="35"/>
      <c r="W307" s="35"/>
      <c r="X307" s="35"/>
      <c r="Y307" s="35"/>
      <c r="Z307" s="35"/>
      <c r="AA307" s="35"/>
    </row>
    <row r="308" ht="12.75" customHeight="1">
      <c r="A308" s="35"/>
      <c r="B308" s="35"/>
      <c r="C308" s="35"/>
      <c r="D308" s="35"/>
      <c r="E308" s="35"/>
      <c r="F308" s="35"/>
      <c r="G308" s="35"/>
      <c r="H308" s="35"/>
      <c r="I308" s="35"/>
      <c r="J308" s="35"/>
      <c r="K308" s="35"/>
      <c r="L308" s="35"/>
      <c r="M308" s="35"/>
      <c r="N308" s="35"/>
      <c r="O308" s="35"/>
      <c r="P308" s="35"/>
      <c r="Q308" s="35"/>
      <c r="R308" s="35"/>
      <c r="S308" s="35"/>
      <c r="T308" s="35"/>
      <c r="U308" s="35"/>
      <c r="V308" s="35"/>
      <c r="W308" s="35"/>
      <c r="X308" s="35"/>
      <c r="Y308" s="35"/>
      <c r="Z308" s="35"/>
      <c r="AA308" s="35"/>
    </row>
    <row r="309" ht="12.75" customHeight="1">
      <c r="A309" s="35"/>
      <c r="B309" s="35"/>
      <c r="C309" s="35"/>
      <c r="D309" s="35"/>
      <c r="E309" s="35"/>
      <c r="F309" s="35"/>
      <c r="G309" s="35"/>
      <c r="H309" s="35"/>
      <c r="I309" s="35"/>
      <c r="J309" s="35"/>
      <c r="K309" s="35"/>
      <c r="L309" s="35"/>
      <c r="M309" s="35"/>
      <c r="N309" s="35"/>
      <c r="O309" s="35"/>
      <c r="P309" s="35"/>
      <c r="Q309" s="35"/>
      <c r="R309" s="35"/>
      <c r="S309" s="35"/>
      <c r="T309" s="35"/>
      <c r="U309" s="35"/>
      <c r="V309" s="35"/>
      <c r="W309" s="35"/>
      <c r="X309" s="35"/>
      <c r="Y309" s="35"/>
      <c r="Z309" s="35"/>
      <c r="AA309" s="35"/>
    </row>
    <row r="310" ht="12.75" customHeight="1">
      <c r="A310" s="35"/>
      <c r="B310" s="35"/>
      <c r="C310" s="35"/>
      <c r="D310" s="35"/>
      <c r="E310" s="35"/>
      <c r="F310" s="35"/>
      <c r="G310" s="35"/>
      <c r="H310" s="35"/>
      <c r="I310" s="35"/>
      <c r="J310" s="35"/>
      <c r="K310" s="35"/>
      <c r="L310" s="35"/>
      <c r="M310" s="35"/>
      <c r="N310" s="35"/>
      <c r="O310" s="35"/>
      <c r="P310" s="35"/>
      <c r="Q310" s="35"/>
      <c r="R310" s="35"/>
      <c r="S310" s="35"/>
      <c r="T310" s="35"/>
      <c r="U310" s="35"/>
      <c r="V310" s="35"/>
      <c r="W310" s="35"/>
      <c r="X310" s="35"/>
      <c r="Y310" s="35"/>
      <c r="Z310" s="35"/>
      <c r="AA310" s="35"/>
    </row>
    <row r="311" ht="12.75" customHeight="1">
      <c r="A311" s="35"/>
      <c r="B311" s="35"/>
      <c r="C311" s="35"/>
      <c r="D311" s="35"/>
      <c r="E311" s="35"/>
      <c r="F311" s="35"/>
      <c r="G311" s="35"/>
      <c r="H311" s="35"/>
      <c r="I311" s="35"/>
      <c r="J311" s="35"/>
      <c r="K311" s="35"/>
      <c r="L311" s="35"/>
      <c r="M311" s="35"/>
      <c r="N311" s="35"/>
      <c r="O311" s="35"/>
      <c r="P311" s="35"/>
      <c r="Q311" s="35"/>
      <c r="R311" s="35"/>
      <c r="S311" s="35"/>
      <c r="T311" s="35"/>
      <c r="U311" s="35"/>
      <c r="V311" s="35"/>
      <c r="W311" s="35"/>
      <c r="X311" s="35"/>
      <c r="Y311" s="35"/>
      <c r="Z311" s="35"/>
      <c r="AA311" s="35"/>
    </row>
    <row r="312" ht="12.75" customHeight="1">
      <c r="A312" s="35"/>
      <c r="B312" s="35"/>
      <c r="C312" s="35"/>
      <c r="D312" s="35"/>
      <c r="E312" s="35"/>
      <c r="F312" s="35"/>
      <c r="G312" s="35"/>
      <c r="H312" s="35"/>
      <c r="I312" s="35"/>
      <c r="J312" s="35"/>
      <c r="K312" s="35"/>
      <c r="L312" s="35"/>
      <c r="M312" s="35"/>
      <c r="N312" s="35"/>
      <c r="O312" s="35"/>
      <c r="P312" s="35"/>
      <c r="Q312" s="35"/>
      <c r="R312" s="35"/>
      <c r="S312" s="35"/>
      <c r="T312" s="35"/>
      <c r="U312" s="35"/>
      <c r="V312" s="35"/>
      <c r="W312" s="35"/>
      <c r="X312" s="35"/>
      <c r="Y312" s="35"/>
      <c r="Z312" s="35"/>
      <c r="AA312" s="35"/>
    </row>
    <row r="313" ht="12.75" customHeight="1">
      <c r="A313" s="35"/>
      <c r="B313" s="35"/>
      <c r="C313" s="35"/>
      <c r="D313" s="35"/>
      <c r="E313" s="35"/>
      <c r="F313" s="35"/>
      <c r="G313" s="35"/>
      <c r="H313" s="35"/>
      <c r="I313" s="35"/>
      <c r="J313" s="35"/>
      <c r="K313" s="35"/>
      <c r="L313" s="35"/>
      <c r="M313" s="35"/>
      <c r="N313" s="35"/>
      <c r="O313" s="35"/>
      <c r="P313" s="35"/>
      <c r="Q313" s="35"/>
      <c r="R313" s="35"/>
      <c r="S313" s="35"/>
      <c r="T313" s="35"/>
      <c r="U313" s="35"/>
      <c r="V313" s="35"/>
      <c r="W313" s="35"/>
      <c r="X313" s="35"/>
      <c r="Y313" s="35"/>
      <c r="Z313" s="35"/>
      <c r="AA313" s="35"/>
    </row>
    <row r="314" ht="12.75" customHeight="1">
      <c r="A314" s="35"/>
      <c r="B314" s="35"/>
      <c r="C314" s="35"/>
      <c r="D314" s="35"/>
      <c r="E314" s="35"/>
      <c r="F314" s="35"/>
      <c r="G314" s="35"/>
      <c r="H314" s="35"/>
      <c r="I314" s="35"/>
      <c r="J314" s="35"/>
      <c r="K314" s="35"/>
      <c r="L314" s="35"/>
      <c r="M314" s="35"/>
      <c r="N314" s="35"/>
      <c r="O314" s="35"/>
      <c r="P314" s="35"/>
      <c r="Q314" s="35"/>
      <c r="R314" s="35"/>
      <c r="S314" s="35"/>
      <c r="T314" s="35"/>
      <c r="U314" s="35"/>
      <c r="V314" s="35"/>
      <c r="W314" s="35"/>
      <c r="X314" s="35"/>
      <c r="Y314" s="35"/>
      <c r="Z314" s="35"/>
      <c r="AA314" s="35"/>
    </row>
    <row r="315" ht="12.75" customHeight="1">
      <c r="A315" s="35"/>
      <c r="B315" s="35"/>
      <c r="C315" s="35"/>
      <c r="D315" s="35"/>
      <c r="E315" s="35"/>
      <c r="F315" s="35"/>
      <c r="G315" s="35"/>
      <c r="H315" s="35"/>
      <c r="I315" s="35"/>
      <c r="J315" s="35"/>
      <c r="K315" s="35"/>
      <c r="L315" s="35"/>
      <c r="M315" s="35"/>
      <c r="N315" s="35"/>
      <c r="O315" s="35"/>
      <c r="P315" s="35"/>
      <c r="Q315" s="35"/>
      <c r="R315" s="35"/>
      <c r="S315" s="35"/>
      <c r="T315" s="35"/>
      <c r="U315" s="35"/>
      <c r="V315" s="35"/>
      <c r="W315" s="35"/>
      <c r="X315" s="35"/>
      <c r="Y315" s="35"/>
      <c r="Z315" s="35"/>
      <c r="AA315" s="35"/>
    </row>
    <row r="316" ht="12.75" customHeight="1">
      <c r="A316" s="35"/>
      <c r="B316" s="35"/>
      <c r="C316" s="35"/>
      <c r="D316" s="35"/>
      <c r="E316" s="35"/>
      <c r="F316" s="35"/>
      <c r="G316" s="35"/>
      <c r="H316" s="35"/>
      <c r="I316" s="35"/>
      <c r="J316" s="35"/>
      <c r="K316" s="35"/>
      <c r="L316" s="35"/>
      <c r="M316" s="35"/>
      <c r="N316" s="35"/>
      <c r="O316" s="35"/>
      <c r="P316" s="35"/>
      <c r="Q316" s="35"/>
      <c r="R316" s="35"/>
      <c r="S316" s="35"/>
      <c r="T316" s="35"/>
      <c r="U316" s="35"/>
      <c r="V316" s="35"/>
      <c r="W316" s="35"/>
      <c r="X316" s="35"/>
      <c r="Y316" s="35"/>
      <c r="Z316" s="35"/>
      <c r="AA316" s="35"/>
    </row>
    <row r="317" ht="12.75" customHeight="1">
      <c r="A317" s="35"/>
      <c r="B317" s="35"/>
      <c r="C317" s="35"/>
      <c r="D317" s="35"/>
      <c r="E317" s="35"/>
      <c r="F317" s="35"/>
      <c r="G317" s="35"/>
      <c r="H317" s="35"/>
      <c r="I317" s="35"/>
      <c r="J317" s="35"/>
      <c r="K317" s="35"/>
      <c r="L317" s="35"/>
      <c r="M317" s="35"/>
      <c r="N317" s="35"/>
      <c r="O317" s="35"/>
      <c r="P317" s="35"/>
      <c r="Q317" s="35"/>
      <c r="R317" s="35"/>
      <c r="S317" s="35"/>
      <c r="T317" s="35"/>
      <c r="U317" s="35"/>
      <c r="V317" s="35"/>
      <c r="W317" s="35"/>
      <c r="X317" s="35"/>
      <c r="Y317" s="35"/>
      <c r="Z317" s="35"/>
      <c r="AA317" s="35"/>
    </row>
    <row r="318" ht="12.75" customHeight="1">
      <c r="A318" s="35"/>
      <c r="B318" s="35"/>
      <c r="C318" s="35"/>
      <c r="D318" s="35"/>
      <c r="E318" s="35"/>
      <c r="F318" s="35"/>
      <c r="G318" s="35"/>
      <c r="H318" s="35"/>
      <c r="I318" s="35"/>
      <c r="J318" s="35"/>
      <c r="K318" s="35"/>
      <c r="L318" s="35"/>
      <c r="M318" s="35"/>
      <c r="N318" s="35"/>
      <c r="O318" s="35"/>
      <c r="P318" s="35"/>
      <c r="Q318" s="35"/>
      <c r="R318" s="35"/>
      <c r="S318" s="35"/>
      <c r="T318" s="35"/>
      <c r="U318" s="35"/>
      <c r="V318" s="35"/>
      <c r="W318" s="35"/>
      <c r="X318" s="35"/>
      <c r="Y318" s="35"/>
      <c r="Z318" s="35"/>
      <c r="AA318" s="35"/>
    </row>
    <row r="319" ht="12.75" customHeight="1">
      <c r="A319" s="35"/>
      <c r="B319" s="35"/>
      <c r="C319" s="35"/>
      <c r="D319" s="35"/>
      <c r="E319" s="35"/>
      <c r="F319" s="35"/>
      <c r="G319" s="35"/>
      <c r="H319" s="35"/>
      <c r="I319" s="35"/>
      <c r="J319" s="35"/>
      <c r="K319" s="35"/>
      <c r="L319" s="35"/>
      <c r="M319" s="35"/>
      <c r="N319" s="35"/>
      <c r="O319" s="35"/>
      <c r="P319" s="35"/>
      <c r="Q319" s="35"/>
      <c r="R319" s="35"/>
      <c r="S319" s="35"/>
      <c r="T319" s="35"/>
      <c r="U319" s="35"/>
      <c r="V319" s="35"/>
      <c r="W319" s="35"/>
      <c r="X319" s="35"/>
      <c r="Y319" s="35"/>
      <c r="Z319" s="35"/>
      <c r="AA319" s="35"/>
    </row>
    <row r="320" ht="12.75" customHeight="1">
      <c r="A320" s="35"/>
      <c r="B320" s="35"/>
      <c r="C320" s="35"/>
      <c r="D320" s="35"/>
      <c r="E320" s="35"/>
      <c r="F320" s="35"/>
      <c r="G320" s="35"/>
      <c r="H320" s="35"/>
      <c r="I320" s="35"/>
      <c r="J320" s="35"/>
      <c r="K320" s="35"/>
      <c r="L320" s="35"/>
      <c r="M320" s="35"/>
      <c r="N320" s="35"/>
      <c r="O320" s="35"/>
      <c r="P320" s="35"/>
      <c r="Q320" s="35"/>
      <c r="R320" s="35"/>
      <c r="S320" s="35"/>
      <c r="T320" s="35"/>
      <c r="U320" s="35"/>
      <c r="V320" s="35"/>
      <c r="W320" s="35"/>
      <c r="X320" s="35"/>
      <c r="Y320" s="35"/>
      <c r="Z320" s="35"/>
      <c r="AA320" s="35"/>
    </row>
    <row r="321" ht="12.75" customHeight="1">
      <c r="A321" s="35"/>
      <c r="B321" s="35"/>
      <c r="C321" s="35"/>
      <c r="D321" s="35"/>
      <c r="E321" s="35"/>
      <c r="F321" s="35"/>
      <c r="G321" s="35"/>
      <c r="H321" s="35"/>
      <c r="I321" s="35"/>
      <c r="J321" s="35"/>
      <c r="K321" s="35"/>
      <c r="L321" s="35"/>
      <c r="M321" s="35"/>
      <c r="N321" s="35"/>
      <c r="O321" s="35"/>
      <c r="P321" s="35"/>
      <c r="Q321" s="35"/>
      <c r="R321" s="35"/>
      <c r="S321" s="35"/>
      <c r="T321" s="35"/>
      <c r="U321" s="35"/>
      <c r="V321" s="35"/>
      <c r="W321" s="35"/>
      <c r="X321" s="35"/>
      <c r="Y321" s="35"/>
      <c r="Z321" s="35"/>
      <c r="AA321" s="35"/>
    </row>
    <row r="322" ht="12.75" customHeight="1">
      <c r="A322" s="35"/>
      <c r="B322" s="35"/>
      <c r="C322" s="35"/>
      <c r="D322" s="35"/>
      <c r="E322" s="35"/>
      <c r="F322" s="35"/>
      <c r="G322" s="35"/>
      <c r="H322" s="35"/>
      <c r="I322" s="35"/>
      <c r="J322" s="35"/>
      <c r="K322" s="35"/>
      <c r="L322" s="35"/>
      <c r="M322" s="35"/>
      <c r="N322" s="35"/>
      <c r="O322" s="35"/>
      <c r="P322" s="35"/>
      <c r="Q322" s="35"/>
      <c r="R322" s="35"/>
      <c r="S322" s="35"/>
      <c r="T322" s="35"/>
      <c r="U322" s="35"/>
      <c r="V322" s="35"/>
      <c r="W322" s="35"/>
      <c r="X322" s="35"/>
      <c r="Y322" s="35"/>
      <c r="Z322" s="35"/>
      <c r="AA322" s="35"/>
    </row>
    <row r="323" ht="12.75" customHeight="1">
      <c r="A323" s="35"/>
      <c r="B323" s="35"/>
      <c r="C323" s="35"/>
      <c r="D323" s="35"/>
      <c r="E323" s="35"/>
      <c r="F323" s="35"/>
      <c r="G323" s="35"/>
      <c r="H323" s="35"/>
      <c r="I323" s="35"/>
      <c r="J323" s="35"/>
      <c r="K323" s="35"/>
      <c r="L323" s="35"/>
      <c r="M323" s="35"/>
      <c r="N323" s="35"/>
      <c r="O323" s="35"/>
      <c r="P323" s="35"/>
      <c r="Q323" s="35"/>
      <c r="R323" s="35"/>
      <c r="S323" s="35"/>
      <c r="T323" s="35"/>
      <c r="U323" s="35"/>
      <c r="V323" s="35"/>
      <c r="W323" s="35"/>
      <c r="X323" s="35"/>
      <c r="Y323" s="35"/>
      <c r="Z323" s="35"/>
      <c r="AA323" s="35"/>
    </row>
    <row r="324" ht="12.75" customHeight="1">
      <c r="A324" s="35"/>
      <c r="B324" s="35"/>
      <c r="C324" s="35"/>
      <c r="D324" s="35"/>
      <c r="E324" s="35"/>
      <c r="F324" s="35"/>
      <c r="G324" s="35"/>
      <c r="H324" s="35"/>
      <c r="I324" s="35"/>
      <c r="J324" s="35"/>
      <c r="K324" s="35"/>
      <c r="L324" s="35"/>
      <c r="M324" s="35"/>
      <c r="N324" s="35"/>
      <c r="O324" s="35"/>
      <c r="P324" s="35"/>
      <c r="Q324" s="35"/>
      <c r="R324" s="35"/>
      <c r="S324" s="35"/>
      <c r="T324" s="35"/>
      <c r="U324" s="35"/>
      <c r="V324" s="35"/>
      <c r="W324" s="35"/>
      <c r="X324" s="35"/>
      <c r="Y324" s="35"/>
      <c r="Z324" s="35"/>
      <c r="AA324" s="35"/>
    </row>
    <row r="325" ht="12.75" customHeight="1">
      <c r="A325" s="35"/>
      <c r="B325" s="35"/>
      <c r="C325" s="35"/>
      <c r="D325" s="35"/>
      <c r="E325" s="35"/>
      <c r="F325" s="35"/>
      <c r="G325" s="35"/>
      <c r="H325" s="35"/>
      <c r="I325" s="35"/>
      <c r="J325" s="35"/>
      <c r="K325" s="35"/>
      <c r="L325" s="35"/>
      <c r="M325" s="35"/>
      <c r="N325" s="35"/>
      <c r="O325" s="35"/>
      <c r="P325" s="35"/>
      <c r="Q325" s="35"/>
      <c r="R325" s="35"/>
      <c r="S325" s="35"/>
      <c r="T325" s="35"/>
      <c r="U325" s="35"/>
      <c r="V325" s="35"/>
      <c r="W325" s="35"/>
      <c r="X325" s="35"/>
      <c r="Y325" s="35"/>
      <c r="Z325" s="35"/>
      <c r="AA325" s="35"/>
    </row>
    <row r="326" ht="12.75" customHeight="1">
      <c r="A326" s="35"/>
      <c r="B326" s="35"/>
      <c r="C326" s="35"/>
      <c r="D326" s="35"/>
      <c r="E326" s="35"/>
      <c r="F326" s="35"/>
      <c r="G326" s="35"/>
      <c r="H326" s="35"/>
      <c r="I326" s="35"/>
      <c r="J326" s="35"/>
      <c r="K326" s="35"/>
      <c r="L326" s="35"/>
      <c r="M326" s="35"/>
      <c r="N326" s="35"/>
      <c r="O326" s="35"/>
      <c r="P326" s="35"/>
      <c r="Q326" s="35"/>
      <c r="R326" s="35"/>
      <c r="S326" s="35"/>
      <c r="T326" s="35"/>
      <c r="U326" s="35"/>
      <c r="V326" s="35"/>
      <c r="W326" s="35"/>
      <c r="X326" s="35"/>
      <c r="Y326" s="35"/>
      <c r="Z326" s="35"/>
      <c r="AA326" s="35"/>
    </row>
    <row r="327" ht="12.75" customHeight="1">
      <c r="A327" s="35"/>
      <c r="B327" s="35"/>
      <c r="C327" s="35"/>
      <c r="D327" s="35"/>
      <c r="E327" s="35"/>
      <c r="F327" s="35"/>
      <c r="G327" s="35"/>
      <c r="H327" s="35"/>
      <c r="I327" s="35"/>
      <c r="J327" s="35"/>
      <c r="K327" s="35"/>
      <c r="L327" s="35"/>
      <c r="M327" s="35"/>
      <c r="N327" s="35"/>
      <c r="O327" s="35"/>
      <c r="P327" s="35"/>
      <c r="Q327" s="35"/>
      <c r="R327" s="35"/>
      <c r="S327" s="35"/>
      <c r="T327" s="35"/>
      <c r="U327" s="35"/>
      <c r="V327" s="35"/>
      <c r="W327" s="35"/>
      <c r="X327" s="35"/>
      <c r="Y327" s="35"/>
      <c r="Z327" s="35"/>
      <c r="AA327" s="35"/>
    </row>
    <row r="328" ht="12.75" customHeight="1">
      <c r="A328" s="35"/>
      <c r="B328" s="35"/>
      <c r="C328" s="35"/>
      <c r="D328" s="35"/>
      <c r="E328" s="35"/>
      <c r="F328" s="35"/>
      <c r="G328" s="35"/>
      <c r="H328" s="35"/>
      <c r="I328" s="35"/>
      <c r="J328" s="35"/>
      <c r="K328" s="35"/>
      <c r="L328" s="35"/>
      <c r="M328" s="35"/>
      <c r="N328" s="35"/>
      <c r="O328" s="35"/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5"/>
      <c r="AA328" s="35"/>
    </row>
    <row r="329" ht="12.75" customHeight="1">
      <c r="A329" s="35"/>
      <c r="B329" s="35"/>
      <c r="C329" s="35"/>
      <c r="D329" s="35"/>
      <c r="E329" s="35"/>
      <c r="F329" s="35"/>
      <c r="G329" s="35"/>
      <c r="H329" s="35"/>
      <c r="I329" s="35"/>
      <c r="J329" s="35"/>
      <c r="K329" s="35"/>
      <c r="L329" s="35"/>
      <c r="M329" s="35"/>
      <c r="N329" s="35"/>
      <c r="O329" s="35"/>
      <c r="P329" s="35"/>
      <c r="Q329" s="35"/>
      <c r="R329" s="35"/>
      <c r="S329" s="35"/>
      <c r="T329" s="35"/>
      <c r="U329" s="35"/>
      <c r="V329" s="35"/>
      <c r="W329" s="35"/>
      <c r="X329" s="35"/>
      <c r="Y329" s="35"/>
      <c r="Z329" s="35"/>
      <c r="AA329" s="35"/>
    </row>
    <row r="330" ht="12.75" customHeight="1">
      <c r="A330" s="35"/>
      <c r="B330" s="35"/>
      <c r="C330" s="35"/>
      <c r="D330" s="35"/>
      <c r="E330" s="35"/>
      <c r="F330" s="35"/>
      <c r="G330" s="35"/>
      <c r="H330" s="35"/>
      <c r="I330" s="35"/>
      <c r="J330" s="35"/>
      <c r="K330" s="35"/>
      <c r="L330" s="35"/>
      <c r="M330" s="35"/>
      <c r="N330" s="35"/>
      <c r="O330" s="35"/>
      <c r="P330" s="35"/>
      <c r="Q330" s="35"/>
      <c r="R330" s="35"/>
      <c r="S330" s="35"/>
      <c r="T330" s="35"/>
      <c r="U330" s="35"/>
      <c r="V330" s="35"/>
      <c r="W330" s="35"/>
      <c r="X330" s="35"/>
      <c r="Y330" s="35"/>
      <c r="Z330" s="35"/>
      <c r="AA330" s="35"/>
    </row>
    <row r="331" ht="12.75" customHeight="1">
      <c r="A331" s="35"/>
      <c r="B331" s="35"/>
      <c r="C331" s="35"/>
      <c r="D331" s="35"/>
      <c r="E331" s="35"/>
      <c r="F331" s="35"/>
      <c r="G331" s="35"/>
      <c r="H331" s="35"/>
      <c r="I331" s="35"/>
      <c r="J331" s="35"/>
      <c r="K331" s="35"/>
      <c r="L331" s="35"/>
      <c r="M331" s="35"/>
      <c r="N331" s="35"/>
      <c r="O331" s="35"/>
      <c r="P331" s="35"/>
      <c r="Q331" s="35"/>
      <c r="R331" s="35"/>
      <c r="S331" s="35"/>
      <c r="T331" s="35"/>
      <c r="U331" s="35"/>
      <c r="V331" s="35"/>
      <c r="W331" s="35"/>
      <c r="X331" s="35"/>
      <c r="Y331" s="35"/>
      <c r="Z331" s="35"/>
      <c r="AA331" s="35"/>
    </row>
    <row r="332" ht="12.75" customHeight="1">
      <c r="A332" s="35"/>
      <c r="B332" s="35"/>
      <c r="C332" s="35"/>
      <c r="D332" s="35"/>
      <c r="E332" s="35"/>
      <c r="F332" s="35"/>
      <c r="G332" s="35"/>
      <c r="H332" s="35"/>
      <c r="I332" s="35"/>
      <c r="J332" s="35"/>
      <c r="K332" s="35"/>
      <c r="L332" s="35"/>
      <c r="M332" s="35"/>
      <c r="N332" s="35"/>
      <c r="O332" s="35"/>
      <c r="P332" s="35"/>
      <c r="Q332" s="35"/>
      <c r="R332" s="35"/>
      <c r="S332" s="35"/>
      <c r="T332" s="35"/>
      <c r="U332" s="35"/>
      <c r="V332" s="35"/>
      <c r="W332" s="35"/>
      <c r="X332" s="35"/>
      <c r="Y332" s="35"/>
      <c r="Z332" s="35"/>
      <c r="AA332" s="35"/>
    </row>
    <row r="333" ht="12.75" customHeight="1">
      <c r="A333" s="35"/>
      <c r="B333" s="35"/>
      <c r="C333" s="35"/>
      <c r="D333" s="35"/>
      <c r="E333" s="35"/>
      <c r="F333" s="35"/>
      <c r="G333" s="35"/>
      <c r="H333" s="35"/>
      <c r="I333" s="35"/>
      <c r="J333" s="35"/>
      <c r="K333" s="35"/>
      <c r="L333" s="35"/>
      <c r="M333" s="35"/>
      <c r="N333" s="35"/>
      <c r="O333" s="35"/>
      <c r="P333" s="35"/>
      <c r="Q333" s="35"/>
      <c r="R333" s="35"/>
      <c r="S333" s="35"/>
      <c r="T333" s="35"/>
      <c r="U333" s="35"/>
      <c r="V333" s="35"/>
      <c r="W333" s="35"/>
      <c r="X333" s="35"/>
      <c r="Y333" s="35"/>
      <c r="Z333" s="35"/>
      <c r="AA333" s="35"/>
    </row>
    <row r="334" ht="12.75" customHeight="1">
      <c r="A334" s="35"/>
      <c r="B334" s="35"/>
      <c r="C334" s="35"/>
      <c r="D334" s="35"/>
      <c r="E334" s="35"/>
      <c r="F334" s="35"/>
      <c r="G334" s="35"/>
      <c r="H334" s="35"/>
      <c r="I334" s="35"/>
      <c r="J334" s="35"/>
      <c r="K334" s="35"/>
      <c r="L334" s="35"/>
      <c r="M334" s="35"/>
      <c r="N334" s="35"/>
      <c r="O334" s="35"/>
      <c r="P334" s="35"/>
      <c r="Q334" s="35"/>
      <c r="R334" s="35"/>
      <c r="S334" s="35"/>
      <c r="T334" s="35"/>
      <c r="U334" s="35"/>
      <c r="V334" s="35"/>
      <c r="W334" s="35"/>
      <c r="X334" s="35"/>
      <c r="Y334" s="35"/>
      <c r="Z334" s="35"/>
      <c r="AA334" s="35"/>
    </row>
    <row r="335" ht="12.75" customHeight="1">
      <c r="A335" s="35"/>
      <c r="B335" s="35"/>
      <c r="C335" s="35"/>
      <c r="D335" s="35"/>
      <c r="E335" s="35"/>
      <c r="F335" s="35"/>
      <c r="G335" s="35"/>
      <c r="H335" s="35"/>
      <c r="I335" s="35"/>
      <c r="J335" s="35"/>
      <c r="K335" s="35"/>
      <c r="L335" s="35"/>
      <c r="M335" s="35"/>
      <c r="N335" s="35"/>
      <c r="O335" s="35"/>
      <c r="P335" s="35"/>
      <c r="Q335" s="35"/>
      <c r="R335" s="35"/>
      <c r="S335" s="35"/>
      <c r="T335" s="35"/>
      <c r="U335" s="35"/>
      <c r="V335" s="35"/>
      <c r="W335" s="35"/>
      <c r="X335" s="35"/>
      <c r="Y335" s="35"/>
      <c r="Z335" s="35"/>
      <c r="AA335" s="35"/>
    </row>
    <row r="336" ht="12.75" customHeight="1">
      <c r="A336" s="35"/>
      <c r="B336" s="35"/>
      <c r="C336" s="35"/>
      <c r="D336" s="35"/>
      <c r="E336" s="35"/>
      <c r="F336" s="35"/>
      <c r="G336" s="35"/>
      <c r="H336" s="35"/>
      <c r="I336" s="35"/>
      <c r="J336" s="35"/>
      <c r="K336" s="35"/>
      <c r="L336" s="35"/>
      <c r="M336" s="35"/>
      <c r="N336" s="35"/>
      <c r="O336" s="35"/>
      <c r="P336" s="35"/>
      <c r="Q336" s="35"/>
      <c r="R336" s="35"/>
      <c r="S336" s="35"/>
      <c r="T336" s="35"/>
      <c r="U336" s="35"/>
      <c r="V336" s="35"/>
      <c r="W336" s="35"/>
      <c r="X336" s="35"/>
      <c r="Y336" s="35"/>
      <c r="Z336" s="35"/>
      <c r="AA336" s="35"/>
    </row>
    <row r="337" ht="12.75" customHeight="1">
      <c r="A337" s="35"/>
      <c r="B337" s="35"/>
      <c r="C337" s="35"/>
      <c r="D337" s="35"/>
      <c r="E337" s="35"/>
      <c r="F337" s="35"/>
      <c r="G337" s="35"/>
      <c r="H337" s="35"/>
      <c r="I337" s="35"/>
      <c r="J337" s="35"/>
      <c r="K337" s="35"/>
      <c r="L337" s="35"/>
      <c r="M337" s="35"/>
      <c r="N337" s="35"/>
      <c r="O337" s="35"/>
      <c r="P337" s="35"/>
      <c r="Q337" s="35"/>
      <c r="R337" s="35"/>
      <c r="S337" s="35"/>
      <c r="T337" s="35"/>
      <c r="U337" s="35"/>
      <c r="V337" s="35"/>
      <c r="W337" s="35"/>
      <c r="X337" s="35"/>
      <c r="Y337" s="35"/>
      <c r="Z337" s="35"/>
      <c r="AA337" s="35"/>
    </row>
    <row r="338" ht="12.75" customHeight="1">
      <c r="A338" s="35"/>
      <c r="B338" s="35"/>
      <c r="C338" s="35"/>
      <c r="D338" s="35"/>
      <c r="E338" s="35"/>
      <c r="F338" s="35"/>
      <c r="G338" s="35"/>
      <c r="H338" s="35"/>
      <c r="I338" s="35"/>
      <c r="J338" s="35"/>
      <c r="K338" s="35"/>
      <c r="L338" s="35"/>
      <c r="M338" s="35"/>
      <c r="N338" s="35"/>
      <c r="O338" s="35"/>
      <c r="P338" s="35"/>
      <c r="Q338" s="35"/>
      <c r="R338" s="35"/>
      <c r="S338" s="35"/>
      <c r="T338" s="35"/>
      <c r="U338" s="35"/>
      <c r="V338" s="35"/>
      <c r="W338" s="35"/>
      <c r="X338" s="35"/>
      <c r="Y338" s="35"/>
      <c r="Z338" s="35"/>
      <c r="AA338" s="35"/>
    </row>
    <row r="339" ht="12.75" customHeight="1">
      <c r="A339" s="35"/>
      <c r="B339" s="35"/>
      <c r="C339" s="35"/>
      <c r="D339" s="35"/>
      <c r="E339" s="35"/>
      <c r="F339" s="35"/>
      <c r="G339" s="35"/>
      <c r="H339" s="35"/>
      <c r="I339" s="35"/>
      <c r="J339" s="35"/>
      <c r="K339" s="35"/>
      <c r="L339" s="35"/>
      <c r="M339" s="35"/>
      <c r="N339" s="35"/>
      <c r="O339" s="35"/>
      <c r="P339" s="35"/>
      <c r="Q339" s="35"/>
      <c r="R339" s="35"/>
      <c r="S339" s="35"/>
      <c r="T339" s="35"/>
      <c r="U339" s="35"/>
      <c r="V339" s="35"/>
      <c r="W339" s="35"/>
      <c r="X339" s="35"/>
      <c r="Y339" s="35"/>
      <c r="Z339" s="35"/>
      <c r="AA339" s="35"/>
    </row>
    <row r="340" ht="12.75" customHeight="1">
      <c r="A340" s="35"/>
      <c r="B340" s="35"/>
      <c r="C340" s="35"/>
      <c r="D340" s="35"/>
      <c r="E340" s="35"/>
      <c r="F340" s="35"/>
      <c r="G340" s="35"/>
      <c r="H340" s="35"/>
      <c r="I340" s="35"/>
      <c r="J340" s="35"/>
      <c r="K340" s="35"/>
      <c r="L340" s="35"/>
      <c r="M340" s="35"/>
      <c r="N340" s="35"/>
      <c r="O340" s="35"/>
      <c r="P340" s="35"/>
      <c r="Q340" s="35"/>
      <c r="R340" s="35"/>
      <c r="S340" s="35"/>
      <c r="T340" s="35"/>
      <c r="U340" s="35"/>
      <c r="V340" s="35"/>
      <c r="W340" s="35"/>
      <c r="X340" s="35"/>
      <c r="Y340" s="35"/>
      <c r="Z340" s="35"/>
      <c r="AA340" s="35"/>
    </row>
    <row r="341" ht="12.75" customHeight="1">
      <c r="A341" s="35"/>
      <c r="B341" s="35"/>
      <c r="C341" s="35"/>
      <c r="D341" s="35"/>
      <c r="E341" s="35"/>
      <c r="F341" s="35"/>
      <c r="G341" s="35"/>
      <c r="H341" s="35"/>
      <c r="I341" s="35"/>
      <c r="J341" s="35"/>
      <c r="K341" s="35"/>
      <c r="L341" s="35"/>
      <c r="M341" s="35"/>
      <c r="N341" s="35"/>
      <c r="O341" s="35"/>
      <c r="P341" s="35"/>
      <c r="Q341" s="35"/>
      <c r="R341" s="35"/>
      <c r="S341" s="35"/>
      <c r="T341" s="35"/>
      <c r="U341" s="35"/>
      <c r="V341" s="35"/>
      <c r="W341" s="35"/>
      <c r="X341" s="35"/>
      <c r="Y341" s="35"/>
      <c r="Z341" s="35"/>
      <c r="AA341" s="35"/>
    </row>
    <row r="342" ht="12.75" customHeight="1">
      <c r="A342" s="35"/>
      <c r="B342" s="35"/>
      <c r="C342" s="35"/>
      <c r="D342" s="35"/>
      <c r="E342" s="35"/>
      <c r="F342" s="35"/>
      <c r="G342" s="35"/>
      <c r="H342" s="35"/>
      <c r="I342" s="35"/>
      <c r="J342" s="35"/>
      <c r="K342" s="35"/>
      <c r="L342" s="35"/>
      <c r="M342" s="35"/>
      <c r="N342" s="35"/>
      <c r="O342" s="35"/>
      <c r="P342" s="35"/>
      <c r="Q342" s="35"/>
      <c r="R342" s="35"/>
      <c r="S342" s="35"/>
      <c r="T342" s="35"/>
      <c r="U342" s="35"/>
      <c r="V342" s="35"/>
      <c r="W342" s="35"/>
      <c r="X342" s="35"/>
      <c r="Y342" s="35"/>
      <c r="Z342" s="35"/>
      <c r="AA342" s="35"/>
    </row>
    <row r="343" ht="12.75" customHeight="1">
      <c r="A343" s="35"/>
      <c r="B343" s="35"/>
      <c r="C343" s="35"/>
      <c r="D343" s="35"/>
      <c r="E343" s="35"/>
      <c r="F343" s="35"/>
      <c r="G343" s="35"/>
      <c r="H343" s="35"/>
      <c r="I343" s="35"/>
      <c r="J343" s="35"/>
      <c r="K343" s="35"/>
      <c r="L343" s="35"/>
      <c r="M343" s="35"/>
      <c r="N343" s="35"/>
      <c r="O343" s="35"/>
      <c r="P343" s="35"/>
      <c r="Q343" s="35"/>
      <c r="R343" s="35"/>
      <c r="S343" s="35"/>
      <c r="T343" s="35"/>
      <c r="U343" s="35"/>
      <c r="V343" s="35"/>
      <c r="W343" s="35"/>
      <c r="X343" s="35"/>
      <c r="Y343" s="35"/>
      <c r="Z343" s="35"/>
      <c r="AA343" s="35"/>
    </row>
    <row r="344" ht="12.75" customHeight="1">
      <c r="A344" s="35"/>
      <c r="B344" s="35"/>
      <c r="C344" s="35"/>
      <c r="D344" s="35"/>
      <c r="E344" s="35"/>
      <c r="F344" s="35"/>
      <c r="G344" s="35"/>
      <c r="H344" s="35"/>
      <c r="I344" s="35"/>
      <c r="J344" s="35"/>
      <c r="K344" s="35"/>
      <c r="L344" s="35"/>
      <c r="M344" s="35"/>
      <c r="N344" s="35"/>
      <c r="O344" s="35"/>
      <c r="P344" s="35"/>
      <c r="Q344" s="35"/>
      <c r="R344" s="35"/>
      <c r="S344" s="35"/>
      <c r="T344" s="35"/>
      <c r="U344" s="35"/>
      <c r="V344" s="35"/>
      <c r="W344" s="35"/>
      <c r="X344" s="35"/>
      <c r="Y344" s="35"/>
      <c r="Z344" s="35"/>
      <c r="AA344" s="35"/>
    </row>
    <row r="345" ht="12.75" customHeight="1">
      <c r="A345" s="35"/>
      <c r="B345" s="35"/>
      <c r="C345" s="35"/>
      <c r="D345" s="35"/>
      <c r="E345" s="35"/>
      <c r="F345" s="35"/>
      <c r="G345" s="35"/>
      <c r="H345" s="35"/>
      <c r="I345" s="35"/>
      <c r="J345" s="35"/>
      <c r="K345" s="35"/>
      <c r="L345" s="35"/>
      <c r="M345" s="35"/>
      <c r="N345" s="35"/>
      <c r="O345" s="35"/>
      <c r="P345" s="35"/>
      <c r="Q345" s="35"/>
      <c r="R345" s="35"/>
      <c r="S345" s="35"/>
      <c r="T345" s="35"/>
      <c r="U345" s="35"/>
      <c r="V345" s="35"/>
      <c r="W345" s="35"/>
      <c r="X345" s="35"/>
      <c r="Y345" s="35"/>
      <c r="Z345" s="35"/>
      <c r="AA345" s="35"/>
    </row>
    <row r="346" ht="12.75" customHeight="1">
      <c r="A346" s="35"/>
      <c r="B346" s="35"/>
      <c r="C346" s="35"/>
      <c r="D346" s="35"/>
      <c r="E346" s="35"/>
      <c r="F346" s="35"/>
      <c r="G346" s="35"/>
      <c r="H346" s="35"/>
      <c r="I346" s="35"/>
      <c r="J346" s="35"/>
      <c r="K346" s="35"/>
      <c r="L346" s="35"/>
      <c r="M346" s="35"/>
      <c r="N346" s="35"/>
      <c r="O346" s="35"/>
      <c r="P346" s="35"/>
      <c r="Q346" s="35"/>
      <c r="R346" s="35"/>
      <c r="S346" s="35"/>
      <c r="T346" s="35"/>
      <c r="U346" s="35"/>
      <c r="V346" s="35"/>
      <c r="W346" s="35"/>
      <c r="X346" s="35"/>
      <c r="Y346" s="35"/>
      <c r="Z346" s="35"/>
      <c r="AA346" s="35"/>
    </row>
    <row r="347" ht="12.75" customHeight="1">
      <c r="A347" s="35"/>
      <c r="B347" s="35"/>
      <c r="C347" s="35"/>
      <c r="D347" s="35"/>
      <c r="E347" s="35"/>
      <c r="F347" s="35"/>
      <c r="G347" s="35"/>
      <c r="H347" s="35"/>
      <c r="I347" s="35"/>
      <c r="J347" s="35"/>
      <c r="K347" s="35"/>
      <c r="L347" s="35"/>
      <c r="M347" s="35"/>
      <c r="N347" s="35"/>
      <c r="O347" s="35"/>
      <c r="P347" s="35"/>
      <c r="Q347" s="35"/>
      <c r="R347" s="35"/>
      <c r="S347" s="35"/>
      <c r="T347" s="35"/>
      <c r="U347" s="35"/>
      <c r="V347" s="35"/>
      <c r="W347" s="35"/>
      <c r="X347" s="35"/>
      <c r="Y347" s="35"/>
      <c r="Z347" s="35"/>
      <c r="AA347" s="35"/>
    </row>
    <row r="348" ht="12.75" customHeight="1">
      <c r="A348" s="35"/>
      <c r="B348" s="35"/>
      <c r="C348" s="35"/>
      <c r="D348" s="35"/>
      <c r="E348" s="35"/>
      <c r="F348" s="35"/>
      <c r="G348" s="35"/>
      <c r="H348" s="35"/>
      <c r="I348" s="35"/>
      <c r="J348" s="35"/>
      <c r="K348" s="35"/>
      <c r="L348" s="35"/>
      <c r="M348" s="35"/>
      <c r="N348" s="35"/>
      <c r="O348" s="35"/>
      <c r="P348" s="35"/>
      <c r="Q348" s="35"/>
      <c r="R348" s="35"/>
      <c r="S348" s="35"/>
      <c r="T348" s="35"/>
      <c r="U348" s="35"/>
      <c r="V348" s="35"/>
      <c r="W348" s="35"/>
      <c r="X348" s="35"/>
      <c r="Y348" s="35"/>
      <c r="Z348" s="35"/>
      <c r="AA348" s="35"/>
    </row>
    <row r="349" ht="12.75" customHeight="1">
      <c r="A349" s="35"/>
      <c r="B349" s="35"/>
      <c r="C349" s="35"/>
      <c r="D349" s="35"/>
      <c r="E349" s="35"/>
      <c r="F349" s="35"/>
      <c r="G349" s="35"/>
      <c r="H349" s="35"/>
      <c r="I349" s="35"/>
      <c r="J349" s="35"/>
      <c r="K349" s="35"/>
      <c r="L349" s="35"/>
      <c r="M349" s="35"/>
      <c r="N349" s="35"/>
      <c r="O349" s="35"/>
      <c r="P349" s="35"/>
      <c r="Q349" s="35"/>
      <c r="R349" s="35"/>
      <c r="S349" s="35"/>
      <c r="T349" s="35"/>
      <c r="U349" s="35"/>
      <c r="V349" s="35"/>
      <c r="W349" s="35"/>
      <c r="X349" s="35"/>
      <c r="Y349" s="35"/>
      <c r="Z349" s="35"/>
      <c r="AA349" s="35"/>
    </row>
    <row r="350" ht="12.75" customHeight="1">
      <c r="A350" s="35"/>
      <c r="B350" s="35"/>
      <c r="C350" s="35"/>
      <c r="D350" s="35"/>
      <c r="E350" s="35"/>
      <c r="F350" s="35"/>
      <c r="G350" s="35"/>
      <c r="H350" s="35"/>
      <c r="I350" s="35"/>
      <c r="J350" s="35"/>
      <c r="K350" s="35"/>
      <c r="L350" s="35"/>
      <c r="M350" s="35"/>
      <c r="N350" s="35"/>
      <c r="O350" s="35"/>
      <c r="P350" s="35"/>
      <c r="Q350" s="35"/>
      <c r="R350" s="35"/>
      <c r="S350" s="35"/>
      <c r="T350" s="35"/>
      <c r="U350" s="35"/>
      <c r="V350" s="35"/>
      <c r="W350" s="35"/>
      <c r="X350" s="35"/>
      <c r="Y350" s="35"/>
      <c r="Z350" s="35"/>
      <c r="AA350" s="35"/>
    </row>
    <row r="351" ht="12.75" customHeight="1">
      <c r="A351" s="35"/>
      <c r="B351" s="35"/>
      <c r="C351" s="35"/>
      <c r="D351" s="35"/>
      <c r="E351" s="35"/>
      <c r="F351" s="35"/>
      <c r="G351" s="35"/>
      <c r="H351" s="35"/>
      <c r="I351" s="35"/>
      <c r="J351" s="35"/>
      <c r="K351" s="35"/>
      <c r="L351" s="35"/>
      <c r="M351" s="35"/>
      <c r="N351" s="35"/>
      <c r="O351" s="35"/>
      <c r="P351" s="35"/>
      <c r="Q351" s="35"/>
      <c r="R351" s="35"/>
      <c r="S351" s="35"/>
      <c r="T351" s="35"/>
      <c r="U351" s="35"/>
      <c r="V351" s="35"/>
      <c r="W351" s="35"/>
      <c r="X351" s="35"/>
      <c r="Y351" s="35"/>
      <c r="Z351" s="35"/>
      <c r="AA351" s="35"/>
    </row>
    <row r="352" ht="12.75" customHeight="1">
      <c r="A352" s="35"/>
      <c r="B352" s="35"/>
      <c r="C352" s="35"/>
      <c r="D352" s="35"/>
      <c r="E352" s="35"/>
      <c r="F352" s="35"/>
      <c r="G352" s="35"/>
      <c r="H352" s="35"/>
      <c r="I352" s="35"/>
      <c r="J352" s="35"/>
      <c r="K352" s="35"/>
      <c r="L352" s="35"/>
      <c r="M352" s="35"/>
      <c r="N352" s="35"/>
      <c r="O352" s="35"/>
      <c r="P352" s="35"/>
      <c r="Q352" s="35"/>
      <c r="R352" s="35"/>
      <c r="S352" s="35"/>
      <c r="T352" s="35"/>
      <c r="U352" s="35"/>
      <c r="V352" s="35"/>
      <c r="W352" s="35"/>
      <c r="X352" s="35"/>
      <c r="Y352" s="35"/>
      <c r="Z352" s="35"/>
      <c r="AA352" s="35"/>
    </row>
    <row r="353" ht="12.75" customHeight="1">
      <c r="A353" s="35"/>
      <c r="B353" s="35"/>
      <c r="C353" s="35"/>
      <c r="D353" s="35"/>
      <c r="E353" s="35"/>
      <c r="F353" s="35"/>
      <c r="G353" s="35"/>
      <c r="H353" s="35"/>
      <c r="I353" s="35"/>
      <c r="J353" s="35"/>
      <c r="K353" s="35"/>
      <c r="L353" s="35"/>
      <c r="M353" s="35"/>
      <c r="N353" s="35"/>
      <c r="O353" s="35"/>
      <c r="P353" s="35"/>
      <c r="Q353" s="35"/>
      <c r="R353" s="35"/>
      <c r="S353" s="35"/>
      <c r="T353" s="35"/>
      <c r="U353" s="35"/>
      <c r="V353" s="35"/>
      <c r="W353" s="35"/>
      <c r="X353" s="35"/>
      <c r="Y353" s="35"/>
      <c r="Z353" s="35"/>
      <c r="AA353" s="35"/>
    </row>
    <row r="354" ht="12.75" customHeight="1">
      <c r="A354" s="35"/>
      <c r="B354" s="35"/>
      <c r="C354" s="35"/>
      <c r="D354" s="35"/>
      <c r="E354" s="35"/>
      <c r="F354" s="35"/>
      <c r="G354" s="35"/>
      <c r="H354" s="35"/>
      <c r="I354" s="35"/>
      <c r="J354" s="35"/>
      <c r="K354" s="35"/>
      <c r="L354" s="35"/>
      <c r="M354" s="35"/>
      <c r="N354" s="35"/>
      <c r="O354" s="35"/>
      <c r="P354" s="35"/>
      <c r="Q354" s="35"/>
      <c r="R354" s="35"/>
      <c r="S354" s="35"/>
      <c r="T354" s="35"/>
      <c r="U354" s="35"/>
      <c r="V354" s="35"/>
      <c r="W354" s="35"/>
      <c r="X354" s="35"/>
      <c r="Y354" s="35"/>
      <c r="Z354" s="35"/>
      <c r="AA354" s="35"/>
    </row>
    <row r="355" ht="12.75" customHeight="1">
      <c r="A355" s="35"/>
      <c r="B355" s="35"/>
      <c r="C355" s="35"/>
      <c r="D355" s="35"/>
      <c r="E355" s="35"/>
      <c r="F355" s="35"/>
      <c r="G355" s="35"/>
      <c r="H355" s="35"/>
      <c r="I355" s="35"/>
      <c r="J355" s="35"/>
      <c r="K355" s="35"/>
      <c r="L355" s="35"/>
      <c r="M355" s="35"/>
      <c r="N355" s="35"/>
      <c r="O355" s="35"/>
      <c r="P355" s="35"/>
      <c r="Q355" s="35"/>
      <c r="R355" s="35"/>
      <c r="S355" s="35"/>
      <c r="T355" s="35"/>
      <c r="U355" s="35"/>
      <c r="V355" s="35"/>
      <c r="W355" s="35"/>
      <c r="X355" s="35"/>
      <c r="Y355" s="35"/>
      <c r="Z355" s="35"/>
      <c r="AA355" s="35"/>
    </row>
    <row r="356" ht="12.75" customHeight="1">
      <c r="A356" s="35"/>
      <c r="B356" s="35"/>
      <c r="C356" s="35"/>
      <c r="D356" s="35"/>
      <c r="E356" s="35"/>
      <c r="F356" s="35"/>
      <c r="G356" s="35"/>
      <c r="H356" s="35"/>
      <c r="I356" s="35"/>
      <c r="J356" s="35"/>
      <c r="K356" s="35"/>
      <c r="L356" s="35"/>
      <c r="M356" s="35"/>
      <c r="N356" s="35"/>
      <c r="O356" s="35"/>
      <c r="P356" s="35"/>
      <c r="Q356" s="35"/>
      <c r="R356" s="35"/>
      <c r="S356" s="35"/>
      <c r="T356" s="35"/>
      <c r="U356" s="35"/>
      <c r="V356" s="35"/>
      <c r="W356" s="35"/>
      <c r="X356" s="35"/>
      <c r="Y356" s="35"/>
      <c r="Z356" s="35"/>
      <c r="AA356" s="35"/>
    </row>
    <row r="357" ht="12.75" customHeight="1">
      <c r="A357" s="35"/>
      <c r="B357" s="35"/>
      <c r="C357" s="35"/>
      <c r="D357" s="35"/>
      <c r="E357" s="35"/>
      <c r="F357" s="35"/>
      <c r="G357" s="35"/>
      <c r="H357" s="35"/>
      <c r="I357" s="35"/>
      <c r="J357" s="35"/>
      <c r="K357" s="35"/>
      <c r="L357" s="35"/>
      <c r="M357" s="35"/>
      <c r="N357" s="35"/>
      <c r="O357" s="35"/>
      <c r="P357" s="35"/>
      <c r="Q357" s="35"/>
      <c r="R357" s="35"/>
      <c r="S357" s="35"/>
      <c r="T357" s="35"/>
      <c r="U357" s="35"/>
      <c r="V357" s="35"/>
      <c r="W357" s="35"/>
      <c r="X357" s="35"/>
      <c r="Y357" s="35"/>
      <c r="Z357" s="35"/>
      <c r="AA357" s="35"/>
    </row>
    <row r="358" ht="12.75" customHeight="1">
      <c r="A358" s="35"/>
      <c r="B358" s="35"/>
      <c r="C358" s="35"/>
      <c r="D358" s="35"/>
      <c r="E358" s="35"/>
      <c r="F358" s="35"/>
      <c r="G358" s="35"/>
      <c r="H358" s="35"/>
      <c r="I358" s="35"/>
      <c r="J358" s="35"/>
      <c r="K358" s="35"/>
      <c r="L358" s="35"/>
      <c r="M358" s="35"/>
      <c r="N358" s="35"/>
      <c r="O358" s="35"/>
      <c r="P358" s="35"/>
      <c r="Q358" s="35"/>
      <c r="R358" s="35"/>
      <c r="S358" s="35"/>
      <c r="T358" s="35"/>
      <c r="U358" s="35"/>
      <c r="V358" s="35"/>
      <c r="W358" s="35"/>
      <c r="X358" s="35"/>
      <c r="Y358" s="35"/>
      <c r="Z358" s="35"/>
      <c r="AA358" s="35"/>
    </row>
    <row r="359" ht="12.75" customHeight="1">
      <c r="A359" s="35"/>
      <c r="B359" s="35"/>
      <c r="C359" s="35"/>
      <c r="D359" s="35"/>
      <c r="E359" s="35"/>
      <c r="F359" s="35"/>
      <c r="G359" s="35"/>
      <c r="H359" s="35"/>
      <c r="I359" s="35"/>
      <c r="J359" s="35"/>
      <c r="K359" s="35"/>
      <c r="L359" s="35"/>
      <c r="M359" s="35"/>
      <c r="N359" s="35"/>
      <c r="O359" s="35"/>
      <c r="P359" s="35"/>
      <c r="Q359" s="35"/>
      <c r="R359" s="35"/>
      <c r="S359" s="35"/>
      <c r="T359" s="35"/>
      <c r="U359" s="35"/>
      <c r="V359" s="35"/>
      <c r="W359" s="35"/>
      <c r="X359" s="35"/>
      <c r="Y359" s="35"/>
      <c r="Z359" s="35"/>
      <c r="AA359" s="35"/>
    </row>
    <row r="360" ht="12.75" customHeight="1">
      <c r="A360" s="35"/>
      <c r="B360" s="35"/>
      <c r="C360" s="35"/>
      <c r="D360" s="35"/>
      <c r="E360" s="35"/>
      <c r="F360" s="35"/>
      <c r="G360" s="35"/>
      <c r="H360" s="35"/>
      <c r="I360" s="35"/>
      <c r="J360" s="35"/>
      <c r="K360" s="35"/>
      <c r="L360" s="35"/>
      <c r="M360" s="35"/>
      <c r="N360" s="35"/>
      <c r="O360" s="35"/>
      <c r="P360" s="35"/>
      <c r="Q360" s="35"/>
      <c r="R360" s="35"/>
      <c r="S360" s="35"/>
      <c r="T360" s="35"/>
      <c r="U360" s="35"/>
      <c r="V360" s="35"/>
      <c r="W360" s="35"/>
      <c r="X360" s="35"/>
      <c r="Y360" s="35"/>
      <c r="Z360" s="35"/>
      <c r="AA360" s="35"/>
    </row>
    <row r="361" ht="12.75" customHeight="1">
      <c r="A361" s="35"/>
      <c r="B361" s="35"/>
      <c r="C361" s="35"/>
      <c r="D361" s="35"/>
      <c r="E361" s="35"/>
      <c r="F361" s="35"/>
      <c r="G361" s="35"/>
      <c r="H361" s="35"/>
      <c r="I361" s="35"/>
      <c r="J361" s="35"/>
      <c r="K361" s="35"/>
      <c r="L361" s="35"/>
      <c r="M361" s="35"/>
      <c r="N361" s="35"/>
      <c r="O361" s="35"/>
      <c r="P361" s="35"/>
      <c r="Q361" s="35"/>
      <c r="R361" s="35"/>
      <c r="S361" s="35"/>
      <c r="T361" s="35"/>
      <c r="U361" s="35"/>
      <c r="V361" s="35"/>
      <c r="W361" s="35"/>
      <c r="X361" s="35"/>
      <c r="Y361" s="35"/>
      <c r="Z361" s="35"/>
      <c r="AA361" s="35"/>
    </row>
    <row r="362" ht="12.75" customHeight="1">
      <c r="A362" s="35"/>
      <c r="B362" s="35"/>
      <c r="C362" s="35"/>
      <c r="D362" s="35"/>
      <c r="E362" s="35"/>
      <c r="F362" s="35"/>
      <c r="G362" s="35"/>
      <c r="H362" s="35"/>
      <c r="I362" s="35"/>
      <c r="J362" s="35"/>
      <c r="K362" s="35"/>
      <c r="L362" s="35"/>
      <c r="M362" s="35"/>
      <c r="N362" s="35"/>
      <c r="O362" s="35"/>
      <c r="P362" s="35"/>
      <c r="Q362" s="35"/>
      <c r="R362" s="35"/>
      <c r="S362" s="35"/>
      <c r="T362" s="35"/>
      <c r="U362" s="35"/>
      <c r="V362" s="35"/>
      <c r="W362" s="35"/>
      <c r="X362" s="35"/>
      <c r="Y362" s="35"/>
      <c r="Z362" s="35"/>
      <c r="AA362" s="35"/>
    </row>
    <row r="363" ht="12.75" customHeight="1">
      <c r="A363" s="35"/>
      <c r="B363" s="35"/>
      <c r="C363" s="35"/>
      <c r="D363" s="35"/>
      <c r="E363" s="35"/>
      <c r="F363" s="35"/>
      <c r="G363" s="35"/>
      <c r="H363" s="35"/>
      <c r="I363" s="35"/>
      <c r="J363" s="35"/>
      <c r="K363" s="35"/>
      <c r="L363" s="35"/>
      <c r="M363" s="35"/>
      <c r="N363" s="35"/>
      <c r="O363" s="35"/>
      <c r="P363" s="35"/>
      <c r="Q363" s="35"/>
      <c r="R363" s="35"/>
      <c r="S363" s="35"/>
      <c r="T363" s="35"/>
      <c r="U363" s="35"/>
      <c r="V363" s="35"/>
      <c r="W363" s="35"/>
      <c r="X363" s="35"/>
      <c r="Y363" s="35"/>
      <c r="Z363" s="35"/>
      <c r="AA363" s="35"/>
    </row>
    <row r="364" ht="12.75" customHeight="1">
      <c r="A364" s="35"/>
      <c r="B364" s="35"/>
      <c r="C364" s="35"/>
      <c r="D364" s="35"/>
      <c r="E364" s="35"/>
      <c r="F364" s="35"/>
      <c r="G364" s="35"/>
      <c r="H364" s="35"/>
      <c r="I364" s="35"/>
      <c r="J364" s="35"/>
      <c r="K364" s="35"/>
      <c r="L364" s="35"/>
      <c r="M364" s="35"/>
      <c r="N364" s="35"/>
      <c r="O364" s="35"/>
      <c r="P364" s="35"/>
      <c r="Q364" s="35"/>
      <c r="R364" s="35"/>
      <c r="S364" s="35"/>
      <c r="T364" s="35"/>
      <c r="U364" s="35"/>
      <c r="V364" s="35"/>
      <c r="W364" s="35"/>
      <c r="X364" s="35"/>
      <c r="Y364" s="35"/>
      <c r="Z364" s="35"/>
      <c r="AA364" s="35"/>
    </row>
    <row r="365" ht="12.75" customHeight="1">
      <c r="A365" s="35"/>
      <c r="B365" s="35"/>
      <c r="C365" s="35"/>
      <c r="D365" s="35"/>
      <c r="E365" s="35"/>
      <c r="F365" s="35"/>
      <c r="G365" s="35"/>
      <c r="H365" s="35"/>
      <c r="I365" s="35"/>
      <c r="J365" s="35"/>
      <c r="K365" s="35"/>
      <c r="L365" s="35"/>
      <c r="M365" s="35"/>
      <c r="N365" s="35"/>
      <c r="O365" s="35"/>
      <c r="P365" s="35"/>
      <c r="Q365" s="35"/>
      <c r="R365" s="35"/>
      <c r="S365" s="35"/>
      <c r="T365" s="35"/>
      <c r="U365" s="35"/>
      <c r="V365" s="35"/>
      <c r="W365" s="35"/>
      <c r="X365" s="35"/>
      <c r="Y365" s="35"/>
      <c r="Z365" s="35"/>
      <c r="AA365" s="35"/>
    </row>
    <row r="366" ht="12.75" customHeight="1">
      <c r="A366" s="35"/>
      <c r="B366" s="35"/>
      <c r="C366" s="35"/>
      <c r="D366" s="35"/>
      <c r="E366" s="35"/>
      <c r="F366" s="35"/>
      <c r="G366" s="35"/>
      <c r="H366" s="35"/>
      <c r="I366" s="35"/>
      <c r="J366" s="35"/>
      <c r="K366" s="35"/>
      <c r="L366" s="35"/>
      <c r="M366" s="35"/>
      <c r="N366" s="35"/>
      <c r="O366" s="35"/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5"/>
      <c r="AA366" s="35"/>
    </row>
    <row r="367" ht="12.75" customHeight="1">
      <c r="A367" s="35"/>
      <c r="B367" s="35"/>
      <c r="C367" s="35"/>
      <c r="D367" s="35"/>
      <c r="E367" s="35"/>
      <c r="F367" s="35"/>
      <c r="G367" s="35"/>
      <c r="H367" s="35"/>
      <c r="I367" s="35"/>
      <c r="J367" s="35"/>
      <c r="K367" s="35"/>
      <c r="L367" s="35"/>
      <c r="M367" s="35"/>
      <c r="N367" s="35"/>
      <c r="O367" s="35"/>
      <c r="P367" s="35"/>
      <c r="Q367" s="35"/>
      <c r="R367" s="35"/>
      <c r="S367" s="35"/>
      <c r="T367" s="35"/>
      <c r="U367" s="35"/>
      <c r="V367" s="35"/>
      <c r="W367" s="35"/>
      <c r="X367" s="35"/>
      <c r="Y367" s="35"/>
      <c r="Z367" s="35"/>
      <c r="AA367" s="35"/>
    </row>
    <row r="368" ht="12.75" customHeight="1">
      <c r="A368" s="35"/>
      <c r="B368" s="35"/>
      <c r="C368" s="35"/>
      <c r="D368" s="35"/>
      <c r="E368" s="35"/>
      <c r="F368" s="35"/>
      <c r="G368" s="35"/>
      <c r="H368" s="35"/>
      <c r="I368" s="35"/>
      <c r="J368" s="35"/>
      <c r="K368" s="35"/>
      <c r="L368" s="35"/>
      <c r="M368" s="35"/>
      <c r="N368" s="35"/>
      <c r="O368" s="35"/>
      <c r="P368" s="35"/>
      <c r="Q368" s="35"/>
      <c r="R368" s="35"/>
      <c r="S368" s="35"/>
      <c r="T368" s="35"/>
      <c r="U368" s="35"/>
      <c r="V368" s="35"/>
      <c r="W368" s="35"/>
      <c r="X368" s="35"/>
      <c r="Y368" s="35"/>
      <c r="Z368" s="35"/>
      <c r="AA368" s="35"/>
    </row>
    <row r="369" ht="12.75" customHeight="1">
      <c r="A369" s="35"/>
      <c r="B369" s="35"/>
      <c r="C369" s="35"/>
      <c r="D369" s="35"/>
      <c r="E369" s="35"/>
      <c r="F369" s="35"/>
      <c r="G369" s="35"/>
      <c r="H369" s="35"/>
      <c r="I369" s="35"/>
      <c r="J369" s="35"/>
      <c r="K369" s="35"/>
      <c r="L369" s="35"/>
      <c r="M369" s="35"/>
      <c r="N369" s="35"/>
      <c r="O369" s="35"/>
      <c r="P369" s="35"/>
      <c r="Q369" s="35"/>
      <c r="R369" s="35"/>
      <c r="S369" s="35"/>
      <c r="T369" s="35"/>
      <c r="U369" s="35"/>
      <c r="V369" s="35"/>
      <c r="W369" s="35"/>
      <c r="X369" s="35"/>
      <c r="Y369" s="35"/>
      <c r="Z369" s="35"/>
      <c r="AA369" s="35"/>
    </row>
    <row r="370" ht="12.75" customHeight="1">
      <c r="A370" s="35"/>
      <c r="B370" s="35"/>
      <c r="C370" s="35"/>
      <c r="D370" s="35"/>
      <c r="E370" s="35"/>
      <c r="F370" s="35"/>
      <c r="G370" s="35"/>
      <c r="H370" s="35"/>
      <c r="I370" s="35"/>
      <c r="J370" s="35"/>
      <c r="K370" s="35"/>
      <c r="L370" s="35"/>
      <c r="M370" s="35"/>
      <c r="N370" s="35"/>
      <c r="O370" s="35"/>
      <c r="P370" s="35"/>
      <c r="Q370" s="35"/>
      <c r="R370" s="35"/>
      <c r="S370" s="35"/>
      <c r="T370" s="35"/>
      <c r="U370" s="35"/>
      <c r="V370" s="35"/>
      <c r="W370" s="35"/>
      <c r="X370" s="35"/>
      <c r="Y370" s="35"/>
      <c r="Z370" s="35"/>
      <c r="AA370" s="35"/>
    </row>
    <row r="371" ht="12.75" customHeight="1">
      <c r="A371" s="35"/>
      <c r="B371" s="35"/>
      <c r="C371" s="35"/>
      <c r="D371" s="35"/>
      <c r="E371" s="35"/>
      <c r="F371" s="35"/>
      <c r="G371" s="35"/>
      <c r="H371" s="35"/>
      <c r="I371" s="35"/>
      <c r="J371" s="35"/>
      <c r="K371" s="35"/>
      <c r="L371" s="35"/>
      <c r="M371" s="35"/>
      <c r="N371" s="35"/>
      <c r="O371" s="35"/>
      <c r="P371" s="35"/>
      <c r="Q371" s="35"/>
      <c r="R371" s="35"/>
      <c r="S371" s="35"/>
      <c r="T371" s="35"/>
      <c r="U371" s="35"/>
      <c r="V371" s="35"/>
      <c r="W371" s="35"/>
      <c r="X371" s="35"/>
      <c r="Y371" s="35"/>
      <c r="Z371" s="35"/>
      <c r="AA371" s="35"/>
    </row>
    <row r="372" ht="12.75" customHeight="1">
      <c r="A372" s="35"/>
      <c r="B372" s="35"/>
      <c r="C372" s="35"/>
      <c r="D372" s="35"/>
      <c r="E372" s="35"/>
      <c r="F372" s="35"/>
      <c r="G372" s="35"/>
      <c r="H372" s="35"/>
      <c r="I372" s="35"/>
      <c r="J372" s="35"/>
      <c r="K372" s="35"/>
      <c r="L372" s="35"/>
      <c r="M372" s="35"/>
      <c r="N372" s="35"/>
      <c r="O372" s="35"/>
      <c r="P372" s="35"/>
      <c r="Q372" s="35"/>
      <c r="R372" s="35"/>
      <c r="S372" s="35"/>
      <c r="T372" s="35"/>
      <c r="U372" s="35"/>
      <c r="V372" s="35"/>
      <c r="W372" s="35"/>
      <c r="X372" s="35"/>
      <c r="Y372" s="35"/>
      <c r="Z372" s="35"/>
      <c r="AA372" s="35"/>
    </row>
    <row r="373" ht="12.75" customHeight="1">
      <c r="A373" s="35"/>
      <c r="B373" s="35"/>
      <c r="C373" s="35"/>
      <c r="D373" s="35"/>
      <c r="E373" s="35"/>
      <c r="F373" s="35"/>
      <c r="G373" s="35"/>
      <c r="H373" s="35"/>
      <c r="I373" s="35"/>
      <c r="J373" s="35"/>
      <c r="K373" s="35"/>
      <c r="L373" s="35"/>
      <c r="M373" s="35"/>
      <c r="N373" s="35"/>
      <c r="O373" s="35"/>
      <c r="P373" s="35"/>
      <c r="Q373" s="35"/>
      <c r="R373" s="35"/>
      <c r="S373" s="35"/>
      <c r="T373" s="35"/>
      <c r="U373" s="35"/>
      <c r="V373" s="35"/>
      <c r="W373" s="35"/>
      <c r="X373" s="35"/>
      <c r="Y373" s="35"/>
      <c r="Z373" s="35"/>
      <c r="AA373" s="35"/>
    </row>
    <row r="374" ht="12.75" customHeight="1">
      <c r="A374" s="35"/>
      <c r="B374" s="35"/>
      <c r="C374" s="35"/>
      <c r="D374" s="35"/>
      <c r="E374" s="35"/>
      <c r="F374" s="35"/>
      <c r="G374" s="35"/>
      <c r="H374" s="35"/>
      <c r="I374" s="35"/>
      <c r="J374" s="35"/>
      <c r="K374" s="35"/>
      <c r="L374" s="35"/>
      <c r="M374" s="35"/>
      <c r="N374" s="35"/>
      <c r="O374" s="35"/>
      <c r="P374" s="35"/>
      <c r="Q374" s="35"/>
      <c r="R374" s="35"/>
      <c r="S374" s="35"/>
      <c r="T374" s="35"/>
      <c r="U374" s="35"/>
      <c r="V374" s="35"/>
      <c r="W374" s="35"/>
      <c r="X374" s="35"/>
      <c r="Y374" s="35"/>
      <c r="Z374" s="35"/>
      <c r="AA374" s="35"/>
    </row>
    <row r="375" ht="12.75" customHeight="1">
      <c r="A375" s="35"/>
      <c r="B375" s="35"/>
      <c r="C375" s="35"/>
      <c r="D375" s="35"/>
      <c r="E375" s="35"/>
      <c r="F375" s="35"/>
      <c r="G375" s="35"/>
      <c r="H375" s="35"/>
      <c r="I375" s="35"/>
      <c r="J375" s="35"/>
      <c r="K375" s="35"/>
      <c r="L375" s="35"/>
      <c r="M375" s="35"/>
      <c r="N375" s="35"/>
      <c r="O375" s="35"/>
      <c r="P375" s="35"/>
      <c r="Q375" s="35"/>
      <c r="R375" s="35"/>
      <c r="S375" s="35"/>
      <c r="T375" s="35"/>
      <c r="U375" s="35"/>
      <c r="V375" s="35"/>
      <c r="W375" s="35"/>
      <c r="X375" s="35"/>
      <c r="Y375" s="35"/>
      <c r="Z375" s="35"/>
      <c r="AA375" s="35"/>
    </row>
    <row r="376" ht="12.75" customHeight="1">
      <c r="A376" s="35"/>
      <c r="B376" s="35"/>
      <c r="C376" s="35"/>
      <c r="D376" s="35"/>
      <c r="E376" s="35"/>
      <c r="F376" s="35"/>
      <c r="G376" s="35"/>
      <c r="H376" s="35"/>
      <c r="I376" s="35"/>
      <c r="J376" s="35"/>
      <c r="K376" s="35"/>
      <c r="L376" s="35"/>
      <c r="M376" s="35"/>
      <c r="N376" s="35"/>
      <c r="O376" s="35"/>
      <c r="P376" s="35"/>
      <c r="Q376" s="35"/>
      <c r="R376" s="35"/>
      <c r="S376" s="35"/>
      <c r="T376" s="35"/>
      <c r="U376" s="35"/>
      <c r="V376" s="35"/>
      <c r="W376" s="35"/>
      <c r="X376" s="35"/>
      <c r="Y376" s="35"/>
      <c r="Z376" s="35"/>
      <c r="AA376" s="35"/>
    </row>
    <row r="377" ht="12.75" customHeight="1">
      <c r="A377" s="35"/>
      <c r="B377" s="35"/>
      <c r="C377" s="35"/>
      <c r="D377" s="35"/>
      <c r="E377" s="35"/>
      <c r="F377" s="35"/>
      <c r="G377" s="35"/>
      <c r="H377" s="35"/>
      <c r="I377" s="35"/>
      <c r="J377" s="35"/>
      <c r="K377" s="35"/>
      <c r="L377" s="35"/>
      <c r="M377" s="35"/>
      <c r="N377" s="35"/>
      <c r="O377" s="35"/>
      <c r="P377" s="35"/>
      <c r="Q377" s="35"/>
      <c r="R377" s="35"/>
      <c r="S377" s="35"/>
      <c r="T377" s="35"/>
      <c r="U377" s="35"/>
      <c r="V377" s="35"/>
      <c r="W377" s="35"/>
      <c r="X377" s="35"/>
      <c r="Y377" s="35"/>
      <c r="Z377" s="35"/>
      <c r="AA377" s="35"/>
    </row>
    <row r="378" ht="12.75" customHeight="1">
      <c r="A378" s="35"/>
      <c r="B378" s="35"/>
      <c r="C378" s="35"/>
      <c r="D378" s="35"/>
      <c r="E378" s="35"/>
      <c r="F378" s="35"/>
      <c r="G378" s="35"/>
      <c r="H378" s="35"/>
      <c r="I378" s="35"/>
      <c r="J378" s="35"/>
      <c r="K378" s="35"/>
      <c r="L378" s="35"/>
      <c r="M378" s="35"/>
      <c r="N378" s="35"/>
      <c r="O378" s="35"/>
      <c r="P378" s="35"/>
      <c r="Q378" s="35"/>
      <c r="R378" s="35"/>
      <c r="S378" s="35"/>
      <c r="T378" s="35"/>
      <c r="U378" s="35"/>
      <c r="V378" s="35"/>
      <c r="W378" s="35"/>
      <c r="X378" s="35"/>
      <c r="Y378" s="35"/>
      <c r="Z378" s="35"/>
      <c r="AA378" s="35"/>
    </row>
    <row r="379" ht="12.75" customHeight="1">
      <c r="A379" s="35"/>
      <c r="B379" s="35"/>
      <c r="C379" s="35"/>
      <c r="D379" s="35"/>
      <c r="E379" s="35"/>
      <c r="F379" s="35"/>
      <c r="G379" s="35"/>
      <c r="H379" s="35"/>
      <c r="I379" s="35"/>
      <c r="J379" s="35"/>
      <c r="K379" s="35"/>
      <c r="L379" s="35"/>
      <c r="M379" s="35"/>
      <c r="N379" s="35"/>
      <c r="O379" s="35"/>
      <c r="P379" s="35"/>
      <c r="Q379" s="35"/>
      <c r="R379" s="35"/>
      <c r="S379" s="35"/>
      <c r="T379" s="35"/>
      <c r="U379" s="35"/>
      <c r="V379" s="35"/>
      <c r="W379" s="35"/>
      <c r="X379" s="35"/>
      <c r="Y379" s="35"/>
      <c r="Z379" s="35"/>
      <c r="AA379" s="35"/>
    </row>
    <row r="380" ht="12.75" customHeight="1">
      <c r="A380" s="35"/>
      <c r="B380" s="35"/>
      <c r="C380" s="35"/>
      <c r="D380" s="35"/>
      <c r="E380" s="35"/>
      <c r="F380" s="35"/>
      <c r="G380" s="35"/>
      <c r="H380" s="35"/>
      <c r="I380" s="35"/>
      <c r="J380" s="35"/>
      <c r="K380" s="35"/>
      <c r="L380" s="35"/>
      <c r="M380" s="35"/>
      <c r="N380" s="35"/>
      <c r="O380" s="35"/>
      <c r="P380" s="35"/>
      <c r="Q380" s="35"/>
      <c r="R380" s="35"/>
      <c r="S380" s="35"/>
      <c r="T380" s="35"/>
      <c r="U380" s="35"/>
      <c r="V380" s="35"/>
      <c r="W380" s="35"/>
      <c r="X380" s="35"/>
      <c r="Y380" s="35"/>
      <c r="Z380" s="35"/>
      <c r="AA380" s="35"/>
    </row>
    <row r="381" ht="12.75" customHeight="1">
      <c r="A381" s="35"/>
      <c r="B381" s="35"/>
      <c r="C381" s="35"/>
      <c r="D381" s="35"/>
      <c r="E381" s="35"/>
      <c r="F381" s="35"/>
      <c r="G381" s="35"/>
      <c r="H381" s="35"/>
      <c r="I381" s="35"/>
      <c r="J381" s="35"/>
      <c r="K381" s="35"/>
      <c r="L381" s="35"/>
      <c r="M381" s="35"/>
      <c r="N381" s="35"/>
      <c r="O381" s="35"/>
      <c r="P381" s="35"/>
      <c r="Q381" s="35"/>
      <c r="R381" s="35"/>
      <c r="S381" s="35"/>
      <c r="T381" s="35"/>
      <c r="U381" s="35"/>
      <c r="V381" s="35"/>
      <c r="W381" s="35"/>
      <c r="X381" s="35"/>
      <c r="Y381" s="35"/>
      <c r="Z381" s="35"/>
      <c r="AA381" s="35"/>
    </row>
    <row r="382" ht="12.75" customHeight="1">
      <c r="A382" s="35"/>
      <c r="B382" s="35"/>
      <c r="C382" s="35"/>
      <c r="D382" s="35"/>
      <c r="E382" s="35"/>
      <c r="F382" s="35"/>
      <c r="G382" s="35"/>
      <c r="H382" s="35"/>
      <c r="I382" s="35"/>
      <c r="J382" s="35"/>
      <c r="K382" s="35"/>
      <c r="L382" s="35"/>
      <c r="M382" s="35"/>
      <c r="N382" s="35"/>
      <c r="O382" s="35"/>
      <c r="P382" s="35"/>
      <c r="Q382" s="35"/>
      <c r="R382" s="35"/>
      <c r="S382" s="35"/>
      <c r="T382" s="35"/>
      <c r="U382" s="35"/>
      <c r="V382" s="35"/>
      <c r="W382" s="35"/>
      <c r="X382" s="35"/>
      <c r="Y382" s="35"/>
      <c r="Z382" s="35"/>
      <c r="AA382" s="35"/>
    </row>
    <row r="383" ht="12.75" customHeight="1">
      <c r="A383" s="35"/>
      <c r="B383" s="35"/>
      <c r="C383" s="35"/>
      <c r="D383" s="35"/>
      <c r="E383" s="35"/>
      <c r="F383" s="35"/>
      <c r="G383" s="35"/>
      <c r="H383" s="35"/>
      <c r="I383" s="35"/>
      <c r="J383" s="35"/>
      <c r="K383" s="35"/>
      <c r="L383" s="35"/>
      <c r="M383" s="35"/>
      <c r="N383" s="35"/>
      <c r="O383" s="35"/>
      <c r="P383" s="35"/>
      <c r="Q383" s="35"/>
      <c r="R383" s="35"/>
      <c r="S383" s="35"/>
      <c r="T383" s="35"/>
      <c r="U383" s="35"/>
      <c r="V383" s="35"/>
      <c r="W383" s="35"/>
      <c r="X383" s="35"/>
      <c r="Y383" s="35"/>
      <c r="Z383" s="35"/>
      <c r="AA383" s="35"/>
    </row>
    <row r="384" ht="12.75" customHeight="1">
      <c r="A384" s="35"/>
      <c r="B384" s="35"/>
      <c r="C384" s="35"/>
      <c r="D384" s="35"/>
      <c r="E384" s="35"/>
      <c r="F384" s="35"/>
      <c r="G384" s="35"/>
      <c r="H384" s="35"/>
      <c r="I384" s="35"/>
      <c r="J384" s="35"/>
      <c r="K384" s="35"/>
      <c r="L384" s="35"/>
      <c r="M384" s="35"/>
      <c r="N384" s="35"/>
      <c r="O384" s="35"/>
      <c r="P384" s="35"/>
      <c r="Q384" s="35"/>
      <c r="R384" s="35"/>
      <c r="S384" s="35"/>
      <c r="T384" s="35"/>
      <c r="U384" s="35"/>
      <c r="V384" s="35"/>
      <c r="W384" s="35"/>
      <c r="X384" s="35"/>
      <c r="Y384" s="35"/>
      <c r="Z384" s="35"/>
      <c r="AA384" s="35"/>
    </row>
    <row r="385" ht="12.75" customHeight="1">
      <c r="A385" s="35"/>
      <c r="B385" s="35"/>
      <c r="C385" s="35"/>
      <c r="D385" s="35"/>
      <c r="E385" s="35"/>
      <c r="F385" s="35"/>
      <c r="G385" s="35"/>
      <c r="H385" s="35"/>
      <c r="I385" s="35"/>
      <c r="J385" s="35"/>
      <c r="K385" s="35"/>
      <c r="L385" s="35"/>
      <c r="M385" s="35"/>
      <c r="N385" s="35"/>
      <c r="O385" s="35"/>
      <c r="P385" s="35"/>
      <c r="Q385" s="35"/>
      <c r="R385" s="35"/>
      <c r="S385" s="35"/>
      <c r="T385" s="35"/>
      <c r="U385" s="35"/>
      <c r="V385" s="35"/>
      <c r="W385" s="35"/>
      <c r="X385" s="35"/>
      <c r="Y385" s="35"/>
      <c r="Z385" s="35"/>
      <c r="AA385" s="35"/>
    </row>
    <row r="386" ht="12.75" customHeight="1">
      <c r="A386" s="35"/>
      <c r="B386" s="35"/>
      <c r="C386" s="35"/>
      <c r="D386" s="35"/>
      <c r="E386" s="35"/>
      <c r="F386" s="35"/>
      <c r="G386" s="35"/>
      <c r="H386" s="35"/>
      <c r="I386" s="35"/>
      <c r="J386" s="35"/>
      <c r="K386" s="35"/>
      <c r="L386" s="35"/>
      <c r="M386" s="35"/>
      <c r="N386" s="35"/>
      <c r="O386" s="35"/>
      <c r="P386" s="35"/>
      <c r="Q386" s="35"/>
      <c r="R386" s="35"/>
      <c r="S386" s="35"/>
      <c r="T386" s="35"/>
      <c r="U386" s="35"/>
      <c r="V386" s="35"/>
      <c r="W386" s="35"/>
      <c r="X386" s="35"/>
      <c r="Y386" s="35"/>
      <c r="Z386" s="35"/>
      <c r="AA386" s="35"/>
    </row>
    <row r="387" ht="12.75" customHeight="1">
      <c r="A387" s="35"/>
      <c r="B387" s="35"/>
      <c r="C387" s="35"/>
      <c r="D387" s="35"/>
      <c r="E387" s="35"/>
      <c r="F387" s="35"/>
      <c r="G387" s="35"/>
      <c r="H387" s="35"/>
      <c r="I387" s="35"/>
      <c r="J387" s="35"/>
      <c r="K387" s="35"/>
      <c r="L387" s="35"/>
      <c r="M387" s="35"/>
      <c r="N387" s="35"/>
      <c r="O387" s="35"/>
      <c r="P387" s="35"/>
      <c r="Q387" s="35"/>
      <c r="R387" s="35"/>
      <c r="S387" s="35"/>
      <c r="T387" s="35"/>
      <c r="U387" s="35"/>
      <c r="V387" s="35"/>
      <c r="W387" s="35"/>
      <c r="X387" s="35"/>
      <c r="Y387" s="35"/>
      <c r="Z387" s="35"/>
      <c r="AA387" s="35"/>
    </row>
    <row r="388" ht="12.75" customHeight="1">
      <c r="A388" s="35"/>
      <c r="B388" s="35"/>
      <c r="C388" s="35"/>
      <c r="D388" s="35"/>
      <c r="E388" s="35"/>
      <c r="F388" s="35"/>
      <c r="G388" s="35"/>
      <c r="H388" s="35"/>
      <c r="I388" s="35"/>
      <c r="J388" s="35"/>
      <c r="K388" s="35"/>
      <c r="L388" s="35"/>
      <c r="M388" s="35"/>
      <c r="N388" s="35"/>
      <c r="O388" s="35"/>
      <c r="P388" s="35"/>
      <c r="Q388" s="35"/>
      <c r="R388" s="35"/>
      <c r="S388" s="35"/>
      <c r="T388" s="35"/>
      <c r="U388" s="35"/>
      <c r="V388" s="35"/>
      <c r="W388" s="35"/>
      <c r="X388" s="35"/>
      <c r="Y388" s="35"/>
      <c r="Z388" s="35"/>
      <c r="AA388" s="35"/>
    </row>
    <row r="389" ht="12.75" customHeight="1">
      <c r="A389" s="35"/>
      <c r="B389" s="35"/>
      <c r="C389" s="35"/>
      <c r="D389" s="35"/>
      <c r="E389" s="35"/>
      <c r="F389" s="35"/>
      <c r="G389" s="35"/>
      <c r="H389" s="35"/>
      <c r="I389" s="35"/>
      <c r="J389" s="35"/>
      <c r="K389" s="35"/>
      <c r="L389" s="35"/>
      <c r="M389" s="35"/>
      <c r="N389" s="35"/>
      <c r="O389" s="35"/>
      <c r="P389" s="35"/>
      <c r="Q389" s="35"/>
      <c r="R389" s="35"/>
      <c r="S389" s="35"/>
      <c r="T389" s="35"/>
      <c r="U389" s="35"/>
      <c r="V389" s="35"/>
      <c r="W389" s="35"/>
      <c r="X389" s="35"/>
      <c r="Y389" s="35"/>
      <c r="Z389" s="35"/>
      <c r="AA389" s="35"/>
    </row>
    <row r="390" ht="12.75" customHeight="1">
      <c r="A390" s="35"/>
      <c r="B390" s="35"/>
      <c r="C390" s="35"/>
      <c r="D390" s="35"/>
      <c r="E390" s="35"/>
      <c r="F390" s="35"/>
      <c r="G390" s="35"/>
      <c r="H390" s="35"/>
      <c r="I390" s="35"/>
      <c r="J390" s="35"/>
      <c r="K390" s="35"/>
      <c r="L390" s="35"/>
      <c r="M390" s="35"/>
      <c r="N390" s="35"/>
      <c r="O390" s="35"/>
      <c r="P390" s="35"/>
      <c r="Q390" s="35"/>
      <c r="R390" s="35"/>
      <c r="S390" s="35"/>
      <c r="T390" s="35"/>
      <c r="U390" s="35"/>
      <c r="V390" s="35"/>
      <c r="W390" s="35"/>
      <c r="X390" s="35"/>
      <c r="Y390" s="35"/>
      <c r="Z390" s="35"/>
      <c r="AA390" s="35"/>
    </row>
    <row r="391" ht="12.75" customHeight="1">
      <c r="A391" s="35"/>
      <c r="B391" s="35"/>
      <c r="C391" s="35"/>
      <c r="D391" s="35"/>
      <c r="E391" s="35"/>
      <c r="F391" s="35"/>
      <c r="G391" s="35"/>
      <c r="H391" s="35"/>
      <c r="I391" s="35"/>
      <c r="J391" s="35"/>
      <c r="K391" s="35"/>
      <c r="L391" s="35"/>
      <c r="M391" s="35"/>
      <c r="N391" s="35"/>
      <c r="O391" s="35"/>
      <c r="P391" s="35"/>
      <c r="Q391" s="35"/>
      <c r="R391" s="35"/>
      <c r="S391" s="35"/>
      <c r="T391" s="35"/>
      <c r="U391" s="35"/>
      <c r="V391" s="35"/>
      <c r="W391" s="35"/>
      <c r="X391" s="35"/>
      <c r="Y391" s="35"/>
      <c r="Z391" s="35"/>
      <c r="AA391" s="35"/>
    </row>
    <row r="392" ht="12.75" customHeight="1">
      <c r="A392" s="35"/>
      <c r="B392" s="35"/>
      <c r="C392" s="35"/>
      <c r="D392" s="35"/>
      <c r="E392" s="35"/>
      <c r="F392" s="35"/>
      <c r="G392" s="35"/>
      <c r="H392" s="35"/>
      <c r="I392" s="35"/>
      <c r="J392" s="35"/>
      <c r="K392" s="35"/>
      <c r="L392" s="35"/>
      <c r="M392" s="35"/>
      <c r="N392" s="35"/>
      <c r="O392" s="35"/>
      <c r="P392" s="35"/>
      <c r="Q392" s="35"/>
      <c r="R392" s="35"/>
      <c r="S392" s="35"/>
      <c r="T392" s="35"/>
      <c r="U392" s="35"/>
      <c r="V392" s="35"/>
      <c r="W392" s="35"/>
      <c r="X392" s="35"/>
      <c r="Y392" s="35"/>
      <c r="Z392" s="35"/>
      <c r="AA392" s="35"/>
    </row>
    <row r="393" ht="12.75" customHeight="1">
      <c r="A393" s="35"/>
      <c r="B393" s="35"/>
      <c r="C393" s="35"/>
      <c r="D393" s="35"/>
      <c r="E393" s="35"/>
      <c r="F393" s="35"/>
      <c r="G393" s="35"/>
      <c r="H393" s="35"/>
      <c r="I393" s="35"/>
      <c r="J393" s="35"/>
      <c r="K393" s="35"/>
      <c r="L393" s="35"/>
      <c r="M393" s="35"/>
      <c r="N393" s="35"/>
      <c r="O393" s="35"/>
      <c r="P393" s="35"/>
      <c r="Q393" s="35"/>
      <c r="R393" s="35"/>
      <c r="S393" s="35"/>
      <c r="T393" s="35"/>
      <c r="U393" s="35"/>
      <c r="V393" s="35"/>
      <c r="W393" s="35"/>
      <c r="X393" s="35"/>
      <c r="Y393" s="35"/>
      <c r="Z393" s="35"/>
      <c r="AA393" s="35"/>
    </row>
    <row r="394" ht="12.75" customHeight="1">
      <c r="A394" s="35"/>
      <c r="B394" s="35"/>
      <c r="C394" s="35"/>
      <c r="D394" s="35"/>
      <c r="E394" s="35"/>
      <c r="F394" s="35"/>
      <c r="G394" s="35"/>
      <c r="H394" s="35"/>
      <c r="I394" s="35"/>
      <c r="J394" s="35"/>
      <c r="K394" s="35"/>
      <c r="L394" s="35"/>
      <c r="M394" s="35"/>
      <c r="N394" s="35"/>
      <c r="O394" s="35"/>
      <c r="P394" s="35"/>
      <c r="Q394" s="35"/>
      <c r="R394" s="35"/>
      <c r="S394" s="35"/>
      <c r="T394" s="35"/>
      <c r="U394" s="35"/>
      <c r="V394" s="35"/>
      <c r="W394" s="35"/>
      <c r="X394" s="35"/>
      <c r="Y394" s="35"/>
      <c r="Z394" s="35"/>
      <c r="AA394" s="35"/>
    </row>
    <row r="395" ht="12.75" customHeight="1">
      <c r="A395" s="35"/>
      <c r="B395" s="35"/>
      <c r="C395" s="35"/>
      <c r="D395" s="35"/>
      <c r="E395" s="35"/>
      <c r="F395" s="35"/>
      <c r="G395" s="35"/>
      <c r="H395" s="35"/>
      <c r="I395" s="35"/>
      <c r="J395" s="35"/>
      <c r="K395" s="35"/>
      <c r="L395" s="35"/>
      <c r="M395" s="35"/>
      <c r="N395" s="35"/>
      <c r="O395" s="35"/>
      <c r="P395" s="35"/>
      <c r="Q395" s="35"/>
      <c r="R395" s="35"/>
      <c r="S395" s="35"/>
      <c r="T395" s="35"/>
      <c r="U395" s="35"/>
      <c r="V395" s="35"/>
      <c r="W395" s="35"/>
      <c r="X395" s="35"/>
      <c r="Y395" s="35"/>
      <c r="Z395" s="35"/>
      <c r="AA395" s="35"/>
    </row>
    <row r="396" ht="12.75" customHeight="1">
      <c r="A396" s="35"/>
      <c r="B396" s="35"/>
      <c r="C396" s="35"/>
      <c r="D396" s="35"/>
      <c r="E396" s="35"/>
      <c r="F396" s="35"/>
      <c r="G396" s="35"/>
      <c r="H396" s="35"/>
      <c r="I396" s="35"/>
      <c r="J396" s="35"/>
      <c r="K396" s="35"/>
      <c r="L396" s="35"/>
      <c r="M396" s="35"/>
      <c r="N396" s="35"/>
      <c r="O396" s="35"/>
      <c r="P396" s="35"/>
      <c r="Q396" s="35"/>
      <c r="R396" s="35"/>
      <c r="S396" s="35"/>
      <c r="T396" s="35"/>
      <c r="U396" s="35"/>
      <c r="V396" s="35"/>
      <c r="W396" s="35"/>
      <c r="X396" s="35"/>
      <c r="Y396" s="35"/>
      <c r="Z396" s="35"/>
      <c r="AA396" s="35"/>
    </row>
    <row r="397" ht="12.75" customHeight="1">
      <c r="A397" s="35"/>
      <c r="B397" s="35"/>
      <c r="C397" s="35"/>
      <c r="D397" s="35"/>
      <c r="E397" s="35"/>
      <c r="F397" s="35"/>
      <c r="G397" s="35"/>
      <c r="H397" s="35"/>
      <c r="I397" s="35"/>
      <c r="J397" s="35"/>
      <c r="K397" s="35"/>
      <c r="L397" s="35"/>
      <c r="M397" s="35"/>
      <c r="N397" s="35"/>
      <c r="O397" s="35"/>
      <c r="P397" s="35"/>
      <c r="Q397" s="35"/>
      <c r="R397" s="35"/>
      <c r="S397" s="35"/>
      <c r="T397" s="35"/>
      <c r="U397" s="35"/>
      <c r="V397" s="35"/>
      <c r="W397" s="35"/>
      <c r="X397" s="35"/>
      <c r="Y397" s="35"/>
      <c r="Z397" s="35"/>
      <c r="AA397" s="35"/>
    </row>
    <row r="398" ht="12.75" customHeight="1">
      <c r="A398" s="35"/>
      <c r="B398" s="35"/>
      <c r="C398" s="35"/>
      <c r="D398" s="35"/>
      <c r="E398" s="35"/>
      <c r="F398" s="35"/>
      <c r="G398" s="35"/>
      <c r="H398" s="35"/>
      <c r="I398" s="35"/>
      <c r="J398" s="35"/>
      <c r="K398" s="35"/>
      <c r="L398" s="35"/>
      <c r="M398" s="35"/>
      <c r="N398" s="35"/>
      <c r="O398" s="35"/>
      <c r="P398" s="35"/>
      <c r="Q398" s="35"/>
      <c r="R398" s="35"/>
      <c r="S398" s="35"/>
      <c r="T398" s="35"/>
      <c r="U398" s="35"/>
      <c r="V398" s="35"/>
      <c r="W398" s="35"/>
      <c r="X398" s="35"/>
      <c r="Y398" s="35"/>
      <c r="Z398" s="35"/>
      <c r="AA398" s="35"/>
    </row>
    <row r="399" ht="12.75" customHeight="1">
      <c r="A399" s="35"/>
      <c r="B399" s="35"/>
      <c r="C399" s="35"/>
      <c r="D399" s="35"/>
      <c r="E399" s="35"/>
      <c r="F399" s="35"/>
      <c r="G399" s="35"/>
      <c r="H399" s="35"/>
      <c r="I399" s="35"/>
      <c r="J399" s="35"/>
      <c r="K399" s="35"/>
      <c r="L399" s="35"/>
      <c r="M399" s="35"/>
      <c r="N399" s="35"/>
      <c r="O399" s="35"/>
      <c r="P399" s="35"/>
      <c r="Q399" s="35"/>
      <c r="R399" s="35"/>
      <c r="S399" s="35"/>
      <c r="T399" s="35"/>
      <c r="U399" s="35"/>
      <c r="V399" s="35"/>
      <c r="W399" s="35"/>
      <c r="X399" s="35"/>
      <c r="Y399" s="35"/>
      <c r="Z399" s="35"/>
      <c r="AA399" s="35"/>
    </row>
    <row r="400" ht="12.75" customHeight="1">
      <c r="A400" s="35"/>
      <c r="B400" s="35"/>
      <c r="C400" s="35"/>
      <c r="D400" s="35"/>
      <c r="E400" s="35"/>
      <c r="F400" s="35"/>
      <c r="G400" s="35"/>
      <c r="H400" s="35"/>
      <c r="I400" s="35"/>
      <c r="J400" s="35"/>
      <c r="K400" s="35"/>
      <c r="L400" s="35"/>
      <c r="M400" s="35"/>
      <c r="N400" s="35"/>
      <c r="O400" s="35"/>
      <c r="P400" s="35"/>
      <c r="Q400" s="35"/>
      <c r="R400" s="35"/>
      <c r="S400" s="35"/>
      <c r="T400" s="35"/>
      <c r="U400" s="35"/>
      <c r="V400" s="35"/>
      <c r="W400" s="35"/>
      <c r="X400" s="35"/>
      <c r="Y400" s="35"/>
      <c r="Z400" s="35"/>
      <c r="AA400" s="35"/>
    </row>
    <row r="401" ht="12.75" customHeight="1">
      <c r="A401" s="35"/>
      <c r="B401" s="35"/>
      <c r="C401" s="35"/>
      <c r="D401" s="35"/>
      <c r="E401" s="35"/>
      <c r="F401" s="35"/>
      <c r="G401" s="35"/>
      <c r="H401" s="35"/>
      <c r="I401" s="35"/>
      <c r="J401" s="35"/>
      <c r="K401" s="35"/>
      <c r="L401" s="35"/>
      <c r="M401" s="35"/>
      <c r="N401" s="35"/>
      <c r="O401" s="35"/>
      <c r="P401" s="35"/>
      <c r="Q401" s="35"/>
      <c r="R401" s="35"/>
      <c r="S401" s="35"/>
      <c r="T401" s="35"/>
      <c r="U401" s="35"/>
      <c r="V401" s="35"/>
      <c r="W401" s="35"/>
      <c r="X401" s="35"/>
      <c r="Y401" s="35"/>
      <c r="Z401" s="35"/>
      <c r="AA401" s="35"/>
    </row>
    <row r="402" ht="12.75" customHeight="1">
      <c r="A402" s="35"/>
      <c r="B402" s="35"/>
      <c r="C402" s="35"/>
      <c r="D402" s="35"/>
      <c r="E402" s="35"/>
      <c r="F402" s="35"/>
      <c r="G402" s="35"/>
      <c r="H402" s="35"/>
      <c r="I402" s="35"/>
      <c r="J402" s="35"/>
      <c r="K402" s="35"/>
      <c r="L402" s="35"/>
      <c r="M402" s="35"/>
      <c r="N402" s="35"/>
      <c r="O402" s="35"/>
      <c r="P402" s="35"/>
      <c r="Q402" s="35"/>
      <c r="R402" s="35"/>
      <c r="S402" s="35"/>
      <c r="T402" s="35"/>
      <c r="U402" s="35"/>
      <c r="V402" s="35"/>
      <c r="W402" s="35"/>
      <c r="X402" s="35"/>
      <c r="Y402" s="35"/>
      <c r="Z402" s="35"/>
      <c r="AA402" s="35"/>
    </row>
    <row r="403" ht="12.75" customHeight="1">
      <c r="A403" s="35"/>
      <c r="B403" s="35"/>
      <c r="C403" s="35"/>
      <c r="D403" s="35"/>
      <c r="E403" s="35"/>
      <c r="F403" s="35"/>
      <c r="G403" s="35"/>
      <c r="H403" s="35"/>
      <c r="I403" s="35"/>
      <c r="J403" s="35"/>
      <c r="K403" s="35"/>
      <c r="L403" s="35"/>
      <c r="M403" s="35"/>
      <c r="N403" s="35"/>
      <c r="O403" s="35"/>
      <c r="P403" s="35"/>
      <c r="Q403" s="35"/>
      <c r="R403" s="35"/>
      <c r="S403" s="35"/>
      <c r="T403" s="35"/>
      <c r="U403" s="35"/>
      <c r="V403" s="35"/>
      <c r="W403" s="35"/>
      <c r="X403" s="35"/>
      <c r="Y403" s="35"/>
      <c r="Z403" s="35"/>
      <c r="AA403" s="35"/>
    </row>
    <row r="404" ht="12.75" customHeight="1">
      <c r="A404" s="35"/>
      <c r="B404" s="35"/>
      <c r="C404" s="35"/>
      <c r="D404" s="35"/>
      <c r="E404" s="35"/>
      <c r="F404" s="35"/>
      <c r="G404" s="35"/>
      <c r="H404" s="35"/>
      <c r="I404" s="35"/>
      <c r="J404" s="35"/>
      <c r="K404" s="35"/>
      <c r="L404" s="35"/>
      <c r="M404" s="35"/>
      <c r="N404" s="35"/>
      <c r="O404" s="35"/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5"/>
      <c r="AA404" s="35"/>
    </row>
    <row r="405" ht="12.75" customHeight="1">
      <c r="A405" s="35"/>
      <c r="B405" s="35"/>
      <c r="C405" s="35"/>
      <c r="D405" s="35"/>
      <c r="E405" s="35"/>
      <c r="F405" s="35"/>
      <c r="G405" s="35"/>
      <c r="H405" s="35"/>
      <c r="I405" s="35"/>
      <c r="J405" s="35"/>
      <c r="K405" s="35"/>
      <c r="L405" s="35"/>
      <c r="M405" s="35"/>
      <c r="N405" s="35"/>
      <c r="O405" s="35"/>
      <c r="P405" s="35"/>
      <c r="Q405" s="35"/>
      <c r="R405" s="35"/>
      <c r="S405" s="35"/>
      <c r="T405" s="35"/>
      <c r="U405" s="35"/>
      <c r="V405" s="35"/>
      <c r="W405" s="35"/>
      <c r="X405" s="35"/>
      <c r="Y405" s="35"/>
      <c r="Z405" s="35"/>
      <c r="AA405" s="35"/>
    </row>
    <row r="406" ht="12.75" customHeight="1">
      <c r="A406" s="35"/>
      <c r="B406" s="35"/>
      <c r="C406" s="35"/>
      <c r="D406" s="35"/>
      <c r="E406" s="35"/>
      <c r="F406" s="35"/>
      <c r="G406" s="35"/>
      <c r="H406" s="35"/>
      <c r="I406" s="35"/>
      <c r="J406" s="35"/>
      <c r="K406" s="35"/>
      <c r="L406" s="35"/>
      <c r="M406" s="35"/>
      <c r="N406" s="35"/>
      <c r="O406" s="35"/>
      <c r="P406" s="35"/>
      <c r="Q406" s="35"/>
      <c r="R406" s="35"/>
      <c r="S406" s="35"/>
      <c r="T406" s="35"/>
      <c r="U406" s="35"/>
      <c r="V406" s="35"/>
      <c r="W406" s="35"/>
      <c r="X406" s="35"/>
      <c r="Y406" s="35"/>
      <c r="Z406" s="35"/>
      <c r="AA406" s="35"/>
    </row>
    <row r="407" ht="12.75" customHeight="1">
      <c r="A407" s="35"/>
      <c r="B407" s="35"/>
      <c r="C407" s="35"/>
      <c r="D407" s="35"/>
      <c r="E407" s="35"/>
      <c r="F407" s="35"/>
      <c r="G407" s="35"/>
      <c r="H407" s="35"/>
      <c r="I407" s="35"/>
      <c r="J407" s="35"/>
      <c r="K407" s="35"/>
      <c r="L407" s="35"/>
      <c r="M407" s="35"/>
      <c r="N407" s="35"/>
      <c r="O407" s="35"/>
      <c r="P407" s="35"/>
      <c r="Q407" s="35"/>
      <c r="R407" s="35"/>
      <c r="S407" s="35"/>
      <c r="T407" s="35"/>
      <c r="U407" s="35"/>
      <c r="V407" s="35"/>
      <c r="W407" s="35"/>
      <c r="X407" s="35"/>
      <c r="Y407" s="35"/>
      <c r="Z407" s="35"/>
      <c r="AA407" s="35"/>
    </row>
    <row r="408" ht="12.75" customHeight="1">
      <c r="A408" s="35"/>
      <c r="B408" s="35"/>
      <c r="C408" s="35"/>
      <c r="D408" s="35"/>
      <c r="E408" s="35"/>
      <c r="F408" s="35"/>
      <c r="G408" s="35"/>
      <c r="H408" s="35"/>
      <c r="I408" s="35"/>
      <c r="J408" s="35"/>
      <c r="K408" s="35"/>
      <c r="L408" s="35"/>
      <c r="M408" s="35"/>
      <c r="N408" s="35"/>
      <c r="O408" s="35"/>
      <c r="P408" s="35"/>
      <c r="Q408" s="35"/>
      <c r="R408" s="35"/>
      <c r="S408" s="35"/>
      <c r="T408" s="35"/>
      <c r="U408" s="35"/>
      <c r="V408" s="35"/>
      <c r="W408" s="35"/>
      <c r="X408" s="35"/>
      <c r="Y408" s="35"/>
      <c r="Z408" s="35"/>
      <c r="AA408" s="35"/>
    </row>
    <row r="409" ht="12.75" customHeight="1">
      <c r="A409" s="35"/>
      <c r="B409" s="35"/>
      <c r="C409" s="35"/>
      <c r="D409" s="35"/>
      <c r="E409" s="35"/>
      <c r="F409" s="35"/>
      <c r="G409" s="35"/>
      <c r="H409" s="35"/>
      <c r="I409" s="35"/>
      <c r="J409" s="35"/>
      <c r="K409" s="35"/>
      <c r="L409" s="35"/>
      <c r="M409" s="35"/>
      <c r="N409" s="35"/>
      <c r="O409" s="35"/>
      <c r="P409" s="35"/>
      <c r="Q409" s="35"/>
      <c r="R409" s="35"/>
      <c r="S409" s="35"/>
      <c r="T409" s="35"/>
      <c r="U409" s="35"/>
      <c r="V409" s="35"/>
      <c r="W409" s="35"/>
      <c r="X409" s="35"/>
      <c r="Y409" s="35"/>
      <c r="Z409" s="35"/>
      <c r="AA409" s="35"/>
    </row>
    <row r="410" ht="12.75" customHeight="1">
      <c r="A410" s="35"/>
      <c r="B410" s="35"/>
      <c r="C410" s="35"/>
      <c r="D410" s="35"/>
      <c r="E410" s="35"/>
      <c r="F410" s="35"/>
      <c r="G410" s="35"/>
      <c r="H410" s="35"/>
      <c r="I410" s="35"/>
      <c r="J410" s="35"/>
      <c r="K410" s="35"/>
      <c r="L410" s="35"/>
      <c r="M410" s="35"/>
      <c r="N410" s="35"/>
      <c r="O410" s="35"/>
      <c r="P410" s="35"/>
      <c r="Q410" s="35"/>
      <c r="R410" s="35"/>
      <c r="S410" s="35"/>
      <c r="T410" s="35"/>
      <c r="U410" s="35"/>
      <c r="V410" s="35"/>
      <c r="W410" s="35"/>
      <c r="X410" s="35"/>
      <c r="Y410" s="35"/>
      <c r="Z410" s="35"/>
      <c r="AA410" s="35"/>
    </row>
    <row r="411" ht="12.75" customHeight="1">
      <c r="A411" s="35"/>
      <c r="B411" s="35"/>
      <c r="C411" s="35"/>
      <c r="D411" s="35"/>
      <c r="E411" s="35"/>
      <c r="F411" s="35"/>
      <c r="G411" s="35"/>
      <c r="H411" s="35"/>
      <c r="I411" s="35"/>
      <c r="J411" s="35"/>
      <c r="K411" s="35"/>
      <c r="L411" s="35"/>
      <c r="M411" s="35"/>
      <c r="N411" s="35"/>
      <c r="O411" s="35"/>
      <c r="P411" s="35"/>
      <c r="Q411" s="35"/>
      <c r="R411" s="35"/>
      <c r="S411" s="35"/>
      <c r="T411" s="35"/>
      <c r="U411" s="35"/>
      <c r="V411" s="35"/>
      <c r="W411" s="35"/>
      <c r="X411" s="35"/>
      <c r="Y411" s="35"/>
      <c r="Z411" s="35"/>
      <c r="AA411" s="35"/>
    </row>
    <row r="412" ht="12.75" customHeight="1">
      <c r="A412" s="35"/>
      <c r="B412" s="35"/>
      <c r="C412" s="35"/>
      <c r="D412" s="35"/>
      <c r="E412" s="35"/>
      <c r="F412" s="35"/>
      <c r="G412" s="35"/>
      <c r="H412" s="35"/>
      <c r="I412" s="35"/>
      <c r="J412" s="35"/>
      <c r="K412" s="35"/>
      <c r="L412" s="35"/>
      <c r="M412" s="35"/>
      <c r="N412" s="35"/>
      <c r="O412" s="35"/>
      <c r="P412" s="35"/>
      <c r="Q412" s="35"/>
      <c r="R412" s="35"/>
      <c r="S412" s="35"/>
      <c r="T412" s="35"/>
      <c r="U412" s="35"/>
      <c r="V412" s="35"/>
      <c r="W412" s="35"/>
      <c r="X412" s="35"/>
      <c r="Y412" s="35"/>
      <c r="Z412" s="35"/>
      <c r="AA412" s="35"/>
    </row>
    <row r="413" ht="12.75" customHeight="1">
      <c r="A413" s="35"/>
      <c r="B413" s="35"/>
      <c r="C413" s="35"/>
      <c r="D413" s="35"/>
      <c r="E413" s="35"/>
      <c r="F413" s="35"/>
      <c r="G413" s="35"/>
      <c r="H413" s="35"/>
      <c r="I413" s="35"/>
      <c r="J413" s="35"/>
      <c r="K413" s="35"/>
      <c r="L413" s="35"/>
      <c r="M413" s="35"/>
      <c r="N413" s="35"/>
      <c r="O413" s="35"/>
      <c r="P413" s="35"/>
      <c r="Q413" s="35"/>
      <c r="R413" s="35"/>
      <c r="S413" s="35"/>
      <c r="T413" s="35"/>
      <c r="U413" s="35"/>
      <c r="V413" s="35"/>
      <c r="W413" s="35"/>
      <c r="X413" s="35"/>
      <c r="Y413" s="35"/>
      <c r="Z413" s="35"/>
      <c r="AA413" s="35"/>
    </row>
    <row r="414" ht="12.75" customHeight="1">
      <c r="A414" s="35"/>
      <c r="B414" s="35"/>
      <c r="C414" s="35"/>
      <c r="D414" s="35"/>
      <c r="E414" s="35"/>
      <c r="F414" s="35"/>
      <c r="G414" s="35"/>
      <c r="H414" s="35"/>
      <c r="I414" s="35"/>
      <c r="J414" s="35"/>
      <c r="K414" s="35"/>
      <c r="L414" s="35"/>
      <c r="M414" s="35"/>
      <c r="N414" s="35"/>
      <c r="O414" s="35"/>
      <c r="P414" s="35"/>
      <c r="Q414" s="35"/>
      <c r="R414" s="35"/>
      <c r="S414" s="35"/>
      <c r="T414" s="35"/>
      <c r="U414" s="35"/>
      <c r="V414" s="35"/>
      <c r="W414" s="35"/>
      <c r="X414" s="35"/>
      <c r="Y414" s="35"/>
      <c r="Z414" s="35"/>
      <c r="AA414" s="35"/>
    </row>
    <row r="415" ht="12.75" customHeight="1">
      <c r="A415" s="35"/>
      <c r="B415" s="35"/>
      <c r="C415" s="35"/>
      <c r="D415" s="35"/>
      <c r="E415" s="35"/>
      <c r="F415" s="35"/>
      <c r="G415" s="35"/>
      <c r="H415" s="35"/>
      <c r="I415" s="35"/>
      <c r="J415" s="35"/>
      <c r="K415" s="35"/>
      <c r="L415" s="35"/>
      <c r="M415" s="35"/>
      <c r="N415" s="35"/>
      <c r="O415" s="35"/>
      <c r="P415" s="35"/>
      <c r="Q415" s="35"/>
      <c r="R415" s="35"/>
      <c r="S415" s="35"/>
      <c r="T415" s="35"/>
      <c r="U415" s="35"/>
      <c r="V415" s="35"/>
      <c r="W415" s="35"/>
      <c r="X415" s="35"/>
      <c r="Y415" s="35"/>
      <c r="Z415" s="35"/>
      <c r="AA415" s="35"/>
    </row>
    <row r="416" ht="12.75" customHeight="1">
      <c r="A416" s="35"/>
      <c r="B416" s="35"/>
      <c r="C416" s="35"/>
      <c r="D416" s="35"/>
      <c r="E416" s="35"/>
      <c r="F416" s="35"/>
      <c r="G416" s="35"/>
      <c r="H416" s="35"/>
      <c r="I416" s="35"/>
      <c r="J416" s="35"/>
      <c r="K416" s="35"/>
      <c r="L416" s="35"/>
      <c r="M416" s="35"/>
      <c r="N416" s="35"/>
      <c r="O416" s="35"/>
      <c r="P416" s="35"/>
      <c r="Q416" s="35"/>
      <c r="R416" s="35"/>
      <c r="S416" s="35"/>
      <c r="T416" s="35"/>
      <c r="U416" s="35"/>
      <c r="V416" s="35"/>
      <c r="W416" s="35"/>
      <c r="X416" s="35"/>
      <c r="Y416" s="35"/>
      <c r="Z416" s="35"/>
      <c r="AA416" s="35"/>
    </row>
    <row r="417" ht="12.75" customHeight="1">
      <c r="A417" s="35"/>
      <c r="B417" s="35"/>
      <c r="C417" s="35"/>
      <c r="D417" s="35"/>
      <c r="E417" s="35"/>
      <c r="F417" s="35"/>
      <c r="G417" s="35"/>
      <c r="H417" s="35"/>
      <c r="I417" s="35"/>
      <c r="J417" s="35"/>
      <c r="K417" s="35"/>
      <c r="L417" s="35"/>
      <c r="M417" s="35"/>
      <c r="N417" s="35"/>
      <c r="O417" s="35"/>
      <c r="P417" s="35"/>
      <c r="Q417" s="35"/>
      <c r="R417" s="35"/>
      <c r="S417" s="35"/>
      <c r="T417" s="35"/>
      <c r="U417" s="35"/>
      <c r="V417" s="35"/>
      <c r="W417" s="35"/>
      <c r="X417" s="35"/>
      <c r="Y417" s="35"/>
      <c r="Z417" s="35"/>
      <c r="AA417" s="35"/>
    </row>
    <row r="418" ht="12.75" customHeight="1">
      <c r="A418" s="35"/>
      <c r="B418" s="35"/>
      <c r="C418" s="35"/>
      <c r="D418" s="35"/>
      <c r="E418" s="35"/>
      <c r="F418" s="35"/>
      <c r="G418" s="35"/>
      <c r="H418" s="35"/>
      <c r="I418" s="35"/>
      <c r="J418" s="35"/>
      <c r="K418" s="35"/>
      <c r="L418" s="35"/>
      <c r="M418" s="35"/>
      <c r="N418" s="35"/>
      <c r="O418" s="35"/>
      <c r="P418" s="35"/>
      <c r="Q418" s="35"/>
      <c r="R418" s="35"/>
      <c r="S418" s="35"/>
      <c r="T418" s="35"/>
      <c r="U418" s="35"/>
      <c r="V418" s="35"/>
      <c r="W418" s="35"/>
      <c r="X418" s="35"/>
      <c r="Y418" s="35"/>
      <c r="Z418" s="35"/>
      <c r="AA418" s="35"/>
    </row>
    <row r="419" ht="12.75" customHeight="1">
      <c r="A419" s="35"/>
      <c r="B419" s="35"/>
      <c r="C419" s="35"/>
      <c r="D419" s="35"/>
      <c r="E419" s="35"/>
      <c r="F419" s="35"/>
      <c r="G419" s="35"/>
      <c r="H419" s="35"/>
      <c r="I419" s="35"/>
      <c r="J419" s="35"/>
      <c r="K419" s="35"/>
      <c r="L419" s="35"/>
      <c r="M419" s="35"/>
      <c r="N419" s="35"/>
      <c r="O419" s="35"/>
      <c r="P419" s="35"/>
      <c r="Q419" s="35"/>
      <c r="R419" s="35"/>
      <c r="S419" s="35"/>
      <c r="T419" s="35"/>
      <c r="U419" s="35"/>
      <c r="V419" s="35"/>
      <c r="W419" s="35"/>
      <c r="X419" s="35"/>
      <c r="Y419" s="35"/>
      <c r="Z419" s="35"/>
      <c r="AA419" s="35"/>
    </row>
    <row r="420" ht="12.75" customHeight="1">
      <c r="A420" s="35"/>
      <c r="B420" s="35"/>
      <c r="C420" s="35"/>
      <c r="D420" s="35"/>
      <c r="E420" s="35"/>
      <c r="F420" s="35"/>
      <c r="G420" s="35"/>
      <c r="H420" s="35"/>
      <c r="I420" s="35"/>
      <c r="J420" s="35"/>
      <c r="K420" s="35"/>
      <c r="L420" s="35"/>
      <c r="M420" s="35"/>
      <c r="N420" s="35"/>
      <c r="O420" s="35"/>
      <c r="P420" s="35"/>
      <c r="Q420" s="35"/>
      <c r="R420" s="35"/>
      <c r="S420" s="35"/>
      <c r="T420" s="35"/>
      <c r="U420" s="35"/>
      <c r="V420" s="35"/>
      <c r="W420" s="35"/>
      <c r="X420" s="35"/>
      <c r="Y420" s="35"/>
      <c r="Z420" s="35"/>
      <c r="AA420" s="35"/>
    </row>
    <row r="421" ht="12.75" customHeight="1">
      <c r="A421" s="35"/>
      <c r="B421" s="35"/>
      <c r="C421" s="35"/>
      <c r="D421" s="35"/>
      <c r="E421" s="35"/>
      <c r="F421" s="35"/>
      <c r="G421" s="35"/>
      <c r="H421" s="35"/>
      <c r="I421" s="35"/>
      <c r="J421" s="35"/>
      <c r="K421" s="35"/>
      <c r="L421" s="35"/>
      <c r="M421" s="35"/>
      <c r="N421" s="35"/>
      <c r="O421" s="35"/>
      <c r="P421" s="35"/>
      <c r="Q421" s="35"/>
      <c r="R421" s="35"/>
      <c r="S421" s="35"/>
      <c r="T421" s="35"/>
      <c r="U421" s="35"/>
      <c r="V421" s="35"/>
      <c r="W421" s="35"/>
      <c r="X421" s="35"/>
      <c r="Y421" s="35"/>
      <c r="Z421" s="35"/>
      <c r="AA421" s="35"/>
    </row>
    <row r="422" ht="12.75" customHeight="1">
      <c r="A422" s="35"/>
      <c r="B422" s="35"/>
      <c r="C422" s="35"/>
      <c r="D422" s="35"/>
      <c r="E422" s="35"/>
      <c r="F422" s="35"/>
      <c r="G422" s="35"/>
      <c r="H422" s="35"/>
      <c r="I422" s="35"/>
      <c r="J422" s="35"/>
      <c r="K422" s="35"/>
      <c r="L422" s="35"/>
      <c r="M422" s="35"/>
      <c r="N422" s="35"/>
      <c r="O422" s="35"/>
      <c r="P422" s="35"/>
      <c r="Q422" s="35"/>
      <c r="R422" s="35"/>
      <c r="S422" s="35"/>
      <c r="T422" s="35"/>
      <c r="U422" s="35"/>
      <c r="V422" s="35"/>
      <c r="W422" s="35"/>
      <c r="X422" s="35"/>
      <c r="Y422" s="35"/>
      <c r="Z422" s="35"/>
      <c r="AA422" s="35"/>
    </row>
    <row r="423" ht="12.75" customHeight="1">
      <c r="A423" s="35"/>
      <c r="B423" s="35"/>
      <c r="C423" s="35"/>
      <c r="D423" s="35"/>
      <c r="E423" s="35"/>
      <c r="F423" s="35"/>
      <c r="G423" s="35"/>
      <c r="H423" s="35"/>
      <c r="I423" s="35"/>
      <c r="J423" s="35"/>
      <c r="K423" s="35"/>
      <c r="L423" s="35"/>
      <c r="M423" s="35"/>
      <c r="N423" s="35"/>
      <c r="O423" s="35"/>
      <c r="P423" s="35"/>
      <c r="Q423" s="35"/>
      <c r="R423" s="35"/>
      <c r="S423" s="35"/>
      <c r="T423" s="35"/>
      <c r="U423" s="35"/>
      <c r="V423" s="35"/>
      <c r="W423" s="35"/>
      <c r="X423" s="35"/>
      <c r="Y423" s="35"/>
      <c r="Z423" s="35"/>
      <c r="AA423" s="35"/>
    </row>
    <row r="424" ht="12.75" customHeight="1">
      <c r="A424" s="35"/>
      <c r="B424" s="35"/>
      <c r="C424" s="35"/>
      <c r="D424" s="35"/>
      <c r="E424" s="35"/>
      <c r="F424" s="35"/>
      <c r="G424" s="35"/>
      <c r="H424" s="35"/>
      <c r="I424" s="35"/>
      <c r="J424" s="35"/>
      <c r="K424" s="35"/>
      <c r="L424" s="35"/>
      <c r="M424" s="35"/>
      <c r="N424" s="35"/>
      <c r="O424" s="35"/>
      <c r="P424" s="35"/>
      <c r="Q424" s="35"/>
      <c r="R424" s="35"/>
      <c r="S424" s="35"/>
      <c r="T424" s="35"/>
      <c r="U424" s="35"/>
      <c r="V424" s="35"/>
      <c r="W424" s="35"/>
      <c r="X424" s="35"/>
      <c r="Y424" s="35"/>
      <c r="Z424" s="35"/>
      <c r="AA424" s="35"/>
    </row>
    <row r="425" ht="12.75" customHeight="1">
      <c r="A425" s="35"/>
      <c r="B425" s="35"/>
      <c r="C425" s="35"/>
      <c r="D425" s="35"/>
      <c r="E425" s="35"/>
      <c r="F425" s="35"/>
      <c r="G425" s="35"/>
      <c r="H425" s="35"/>
      <c r="I425" s="35"/>
      <c r="J425" s="35"/>
      <c r="K425" s="35"/>
      <c r="L425" s="35"/>
      <c r="M425" s="35"/>
      <c r="N425" s="35"/>
      <c r="O425" s="35"/>
      <c r="P425" s="35"/>
      <c r="Q425" s="35"/>
      <c r="R425" s="35"/>
      <c r="S425" s="35"/>
      <c r="T425" s="35"/>
      <c r="U425" s="35"/>
      <c r="V425" s="35"/>
      <c r="W425" s="35"/>
      <c r="X425" s="35"/>
      <c r="Y425" s="35"/>
      <c r="Z425" s="35"/>
      <c r="AA425" s="35"/>
    </row>
    <row r="426" ht="12.75" customHeight="1">
      <c r="A426" s="35"/>
      <c r="B426" s="35"/>
      <c r="C426" s="35"/>
      <c r="D426" s="35"/>
      <c r="E426" s="35"/>
      <c r="F426" s="35"/>
      <c r="G426" s="35"/>
      <c r="H426" s="35"/>
      <c r="I426" s="35"/>
      <c r="J426" s="35"/>
      <c r="K426" s="35"/>
      <c r="L426" s="35"/>
      <c r="M426" s="35"/>
      <c r="N426" s="35"/>
      <c r="O426" s="35"/>
      <c r="P426" s="35"/>
      <c r="Q426" s="35"/>
      <c r="R426" s="35"/>
      <c r="S426" s="35"/>
      <c r="T426" s="35"/>
      <c r="U426" s="35"/>
      <c r="V426" s="35"/>
      <c r="W426" s="35"/>
      <c r="X426" s="35"/>
      <c r="Y426" s="35"/>
      <c r="Z426" s="35"/>
      <c r="AA426" s="35"/>
    </row>
    <row r="427" ht="12.75" customHeight="1">
      <c r="A427" s="35"/>
      <c r="B427" s="35"/>
      <c r="C427" s="35"/>
      <c r="D427" s="35"/>
      <c r="E427" s="35"/>
      <c r="F427" s="35"/>
      <c r="G427" s="35"/>
      <c r="H427" s="35"/>
      <c r="I427" s="35"/>
      <c r="J427" s="35"/>
      <c r="K427" s="35"/>
      <c r="L427" s="35"/>
      <c r="M427" s="35"/>
      <c r="N427" s="35"/>
      <c r="O427" s="35"/>
      <c r="P427" s="35"/>
      <c r="Q427" s="35"/>
      <c r="R427" s="35"/>
      <c r="S427" s="35"/>
      <c r="T427" s="35"/>
      <c r="U427" s="35"/>
      <c r="V427" s="35"/>
      <c r="W427" s="35"/>
      <c r="X427" s="35"/>
      <c r="Y427" s="35"/>
      <c r="Z427" s="35"/>
      <c r="AA427" s="35"/>
    </row>
    <row r="428" ht="12.75" customHeight="1">
      <c r="A428" s="35"/>
      <c r="B428" s="35"/>
      <c r="C428" s="35"/>
      <c r="D428" s="35"/>
      <c r="E428" s="35"/>
      <c r="F428" s="35"/>
      <c r="G428" s="35"/>
      <c r="H428" s="35"/>
      <c r="I428" s="35"/>
      <c r="J428" s="35"/>
      <c r="K428" s="35"/>
      <c r="L428" s="35"/>
      <c r="M428" s="35"/>
      <c r="N428" s="35"/>
      <c r="O428" s="35"/>
      <c r="P428" s="35"/>
      <c r="Q428" s="35"/>
      <c r="R428" s="35"/>
      <c r="S428" s="35"/>
      <c r="T428" s="35"/>
      <c r="U428" s="35"/>
      <c r="V428" s="35"/>
      <c r="W428" s="35"/>
      <c r="X428" s="35"/>
      <c r="Y428" s="35"/>
      <c r="Z428" s="35"/>
      <c r="AA428" s="35"/>
    </row>
    <row r="429" ht="12.75" customHeight="1">
      <c r="A429" s="35"/>
      <c r="B429" s="35"/>
      <c r="C429" s="35"/>
      <c r="D429" s="35"/>
      <c r="E429" s="35"/>
      <c r="F429" s="35"/>
      <c r="G429" s="35"/>
      <c r="H429" s="35"/>
      <c r="I429" s="35"/>
      <c r="J429" s="35"/>
      <c r="K429" s="35"/>
      <c r="L429" s="35"/>
      <c r="M429" s="35"/>
      <c r="N429" s="35"/>
      <c r="O429" s="35"/>
      <c r="P429" s="35"/>
      <c r="Q429" s="35"/>
      <c r="R429" s="35"/>
      <c r="S429" s="35"/>
      <c r="T429" s="35"/>
      <c r="U429" s="35"/>
      <c r="V429" s="35"/>
      <c r="W429" s="35"/>
      <c r="X429" s="35"/>
      <c r="Y429" s="35"/>
      <c r="Z429" s="35"/>
      <c r="AA429" s="35"/>
    </row>
    <row r="430" ht="12.75" customHeight="1">
      <c r="A430" s="35"/>
      <c r="B430" s="35"/>
      <c r="C430" s="35"/>
      <c r="D430" s="35"/>
      <c r="E430" s="35"/>
      <c r="F430" s="35"/>
      <c r="G430" s="35"/>
      <c r="H430" s="35"/>
      <c r="I430" s="35"/>
      <c r="J430" s="35"/>
      <c r="K430" s="35"/>
      <c r="L430" s="35"/>
      <c r="M430" s="35"/>
      <c r="N430" s="35"/>
      <c r="O430" s="35"/>
      <c r="P430" s="35"/>
      <c r="Q430" s="35"/>
      <c r="R430" s="35"/>
      <c r="S430" s="35"/>
      <c r="T430" s="35"/>
      <c r="U430" s="35"/>
      <c r="V430" s="35"/>
      <c r="W430" s="35"/>
      <c r="X430" s="35"/>
      <c r="Y430" s="35"/>
      <c r="Z430" s="35"/>
      <c r="AA430" s="35"/>
    </row>
    <row r="431" ht="12.75" customHeight="1">
      <c r="A431" s="35"/>
      <c r="B431" s="35"/>
      <c r="C431" s="35"/>
      <c r="D431" s="35"/>
      <c r="E431" s="35"/>
      <c r="F431" s="35"/>
      <c r="G431" s="35"/>
      <c r="H431" s="35"/>
      <c r="I431" s="35"/>
      <c r="J431" s="35"/>
      <c r="K431" s="35"/>
      <c r="L431" s="35"/>
      <c r="M431" s="35"/>
      <c r="N431" s="35"/>
      <c r="O431" s="35"/>
      <c r="P431" s="35"/>
      <c r="Q431" s="35"/>
      <c r="R431" s="35"/>
      <c r="S431" s="35"/>
      <c r="T431" s="35"/>
      <c r="U431" s="35"/>
      <c r="V431" s="35"/>
      <c r="W431" s="35"/>
      <c r="X431" s="35"/>
      <c r="Y431" s="35"/>
      <c r="Z431" s="35"/>
      <c r="AA431" s="35"/>
    </row>
    <row r="432" ht="12.75" customHeight="1">
      <c r="A432" s="35"/>
      <c r="B432" s="35"/>
      <c r="C432" s="35"/>
      <c r="D432" s="35"/>
      <c r="E432" s="35"/>
      <c r="F432" s="35"/>
      <c r="G432" s="35"/>
      <c r="H432" s="35"/>
      <c r="I432" s="35"/>
      <c r="J432" s="35"/>
      <c r="K432" s="35"/>
      <c r="L432" s="35"/>
      <c r="M432" s="35"/>
      <c r="N432" s="35"/>
      <c r="O432" s="35"/>
      <c r="P432" s="35"/>
      <c r="Q432" s="35"/>
      <c r="R432" s="35"/>
      <c r="S432" s="35"/>
      <c r="T432" s="35"/>
      <c r="U432" s="35"/>
      <c r="V432" s="35"/>
      <c r="W432" s="35"/>
      <c r="X432" s="35"/>
      <c r="Y432" s="35"/>
      <c r="Z432" s="35"/>
      <c r="AA432" s="35"/>
    </row>
    <row r="433" ht="12.75" customHeight="1">
      <c r="A433" s="35"/>
      <c r="B433" s="35"/>
      <c r="C433" s="35"/>
      <c r="D433" s="35"/>
      <c r="E433" s="35"/>
      <c r="F433" s="35"/>
      <c r="G433" s="35"/>
      <c r="H433" s="35"/>
      <c r="I433" s="35"/>
      <c r="J433" s="35"/>
      <c r="K433" s="35"/>
      <c r="L433" s="35"/>
      <c r="M433" s="35"/>
      <c r="N433" s="35"/>
      <c r="O433" s="35"/>
      <c r="P433" s="35"/>
      <c r="Q433" s="35"/>
      <c r="R433" s="35"/>
      <c r="S433" s="35"/>
      <c r="T433" s="35"/>
      <c r="U433" s="35"/>
      <c r="V433" s="35"/>
      <c r="W433" s="35"/>
      <c r="X433" s="35"/>
      <c r="Y433" s="35"/>
      <c r="Z433" s="35"/>
      <c r="AA433" s="35"/>
    </row>
    <row r="434" ht="12.75" customHeight="1">
      <c r="A434" s="35"/>
      <c r="B434" s="35"/>
      <c r="C434" s="35"/>
      <c r="D434" s="35"/>
      <c r="E434" s="35"/>
      <c r="F434" s="35"/>
      <c r="G434" s="35"/>
      <c r="H434" s="35"/>
      <c r="I434" s="35"/>
      <c r="J434" s="35"/>
      <c r="K434" s="35"/>
      <c r="L434" s="35"/>
      <c r="M434" s="35"/>
      <c r="N434" s="35"/>
      <c r="O434" s="35"/>
      <c r="P434" s="35"/>
      <c r="Q434" s="35"/>
      <c r="R434" s="35"/>
      <c r="S434" s="35"/>
      <c r="T434" s="35"/>
      <c r="U434" s="35"/>
      <c r="V434" s="35"/>
      <c r="W434" s="35"/>
      <c r="X434" s="35"/>
      <c r="Y434" s="35"/>
      <c r="Z434" s="35"/>
      <c r="AA434" s="35"/>
    </row>
    <row r="435" ht="12.75" customHeight="1">
      <c r="A435" s="35"/>
      <c r="B435" s="35"/>
      <c r="C435" s="35"/>
      <c r="D435" s="35"/>
      <c r="E435" s="35"/>
      <c r="F435" s="35"/>
      <c r="G435" s="35"/>
      <c r="H435" s="35"/>
      <c r="I435" s="35"/>
      <c r="J435" s="35"/>
      <c r="K435" s="35"/>
      <c r="L435" s="35"/>
      <c r="M435" s="35"/>
      <c r="N435" s="35"/>
      <c r="O435" s="35"/>
      <c r="P435" s="35"/>
      <c r="Q435" s="35"/>
      <c r="R435" s="35"/>
      <c r="S435" s="35"/>
      <c r="T435" s="35"/>
      <c r="U435" s="35"/>
      <c r="V435" s="35"/>
      <c r="W435" s="35"/>
      <c r="X435" s="35"/>
      <c r="Y435" s="35"/>
      <c r="Z435" s="35"/>
      <c r="AA435" s="35"/>
    </row>
    <row r="436" ht="12.75" customHeight="1">
      <c r="A436" s="35"/>
      <c r="B436" s="35"/>
      <c r="C436" s="35"/>
      <c r="D436" s="35"/>
      <c r="E436" s="35"/>
      <c r="F436" s="35"/>
      <c r="G436" s="35"/>
      <c r="H436" s="35"/>
      <c r="I436" s="35"/>
      <c r="J436" s="35"/>
      <c r="K436" s="35"/>
      <c r="L436" s="35"/>
      <c r="M436" s="35"/>
      <c r="N436" s="35"/>
      <c r="O436" s="35"/>
      <c r="P436" s="35"/>
      <c r="Q436" s="35"/>
      <c r="R436" s="35"/>
      <c r="S436" s="35"/>
      <c r="T436" s="35"/>
      <c r="U436" s="35"/>
      <c r="V436" s="35"/>
      <c r="W436" s="35"/>
      <c r="X436" s="35"/>
      <c r="Y436" s="35"/>
      <c r="Z436" s="35"/>
      <c r="AA436" s="35"/>
    </row>
    <row r="437" ht="12.75" customHeight="1">
      <c r="A437" s="35"/>
      <c r="B437" s="35"/>
      <c r="C437" s="35"/>
      <c r="D437" s="35"/>
      <c r="E437" s="35"/>
      <c r="F437" s="35"/>
      <c r="G437" s="35"/>
      <c r="H437" s="35"/>
      <c r="I437" s="35"/>
      <c r="J437" s="35"/>
      <c r="K437" s="35"/>
      <c r="L437" s="35"/>
      <c r="M437" s="35"/>
      <c r="N437" s="35"/>
      <c r="O437" s="35"/>
      <c r="P437" s="35"/>
      <c r="Q437" s="35"/>
      <c r="R437" s="35"/>
      <c r="S437" s="35"/>
      <c r="T437" s="35"/>
      <c r="U437" s="35"/>
      <c r="V437" s="35"/>
      <c r="W437" s="35"/>
      <c r="X437" s="35"/>
      <c r="Y437" s="35"/>
      <c r="Z437" s="35"/>
      <c r="AA437" s="35"/>
    </row>
    <row r="438" ht="12.75" customHeight="1">
      <c r="A438" s="35"/>
      <c r="B438" s="35"/>
      <c r="C438" s="35"/>
      <c r="D438" s="35"/>
      <c r="E438" s="35"/>
      <c r="F438" s="35"/>
      <c r="G438" s="35"/>
      <c r="H438" s="35"/>
      <c r="I438" s="35"/>
      <c r="J438" s="35"/>
      <c r="K438" s="35"/>
      <c r="L438" s="35"/>
      <c r="M438" s="35"/>
      <c r="N438" s="35"/>
      <c r="O438" s="35"/>
      <c r="P438" s="35"/>
      <c r="Q438" s="35"/>
      <c r="R438" s="35"/>
      <c r="S438" s="35"/>
      <c r="T438" s="35"/>
      <c r="U438" s="35"/>
      <c r="V438" s="35"/>
      <c r="W438" s="35"/>
      <c r="X438" s="35"/>
      <c r="Y438" s="35"/>
      <c r="Z438" s="35"/>
      <c r="AA438" s="35"/>
    </row>
    <row r="439" ht="12.75" customHeight="1">
      <c r="A439" s="35"/>
      <c r="B439" s="35"/>
      <c r="C439" s="35"/>
      <c r="D439" s="35"/>
      <c r="E439" s="35"/>
      <c r="F439" s="35"/>
      <c r="G439" s="35"/>
      <c r="H439" s="35"/>
      <c r="I439" s="35"/>
      <c r="J439" s="35"/>
      <c r="K439" s="35"/>
      <c r="L439" s="35"/>
      <c r="M439" s="35"/>
      <c r="N439" s="35"/>
      <c r="O439" s="35"/>
      <c r="P439" s="35"/>
      <c r="Q439" s="35"/>
      <c r="R439" s="35"/>
      <c r="S439" s="35"/>
      <c r="T439" s="35"/>
      <c r="U439" s="35"/>
      <c r="V439" s="35"/>
      <c r="W439" s="35"/>
      <c r="X439" s="35"/>
      <c r="Y439" s="35"/>
      <c r="Z439" s="35"/>
      <c r="AA439" s="35"/>
    </row>
    <row r="440" ht="12.75" customHeight="1">
      <c r="A440" s="35"/>
      <c r="B440" s="35"/>
      <c r="C440" s="35"/>
      <c r="D440" s="35"/>
      <c r="E440" s="35"/>
      <c r="F440" s="35"/>
      <c r="G440" s="35"/>
      <c r="H440" s="35"/>
      <c r="I440" s="35"/>
      <c r="J440" s="35"/>
      <c r="K440" s="35"/>
      <c r="L440" s="35"/>
      <c r="M440" s="35"/>
      <c r="N440" s="35"/>
      <c r="O440" s="35"/>
      <c r="P440" s="35"/>
      <c r="Q440" s="35"/>
      <c r="R440" s="35"/>
      <c r="S440" s="35"/>
      <c r="T440" s="35"/>
      <c r="U440" s="35"/>
      <c r="V440" s="35"/>
      <c r="W440" s="35"/>
      <c r="X440" s="35"/>
      <c r="Y440" s="35"/>
      <c r="Z440" s="35"/>
      <c r="AA440" s="35"/>
    </row>
    <row r="441" ht="12.75" customHeight="1">
      <c r="A441" s="35"/>
      <c r="B441" s="35"/>
      <c r="C441" s="35"/>
      <c r="D441" s="35"/>
      <c r="E441" s="35"/>
      <c r="F441" s="35"/>
      <c r="G441" s="35"/>
      <c r="H441" s="35"/>
      <c r="I441" s="35"/>
      <c r="J441" s="35"/>
      <c r="K441" s="35"/>
      <c r="L441" s="35"/>
      <c r="M441" s="35"/>
      <c r="N441" s="35"/>
      <c r="O441" s="35"/>
      <c r="P441" s="35"/>
      <c r="Q441" s="35"/>
      <c r="R441" s="35"/>
      <c r="S441" s="35"/>
      <c r="T441" s="35"/>
      <c r="U441" s="35"/>
      <c r="V441" s="35"/>
      <c r="W441" s="35"/>
      <c r="X441" s="35"/>
      <c r="Y441" s="35"/>
      <c r="Z441" s="35"/>
      <c r="AA441" s="35"/>
    </row>
    <row r="442" ht="12.75" customHeight="1">
      <c r="A442" s="35"/>
      <c r="B442" s="35"/>
      <c r="C442" s="35"/>
      <c r="D442" s="35"/>
      <c r="E442" s="35"/>
      <c r="F442" s="35"/>
      <c r="G442" s="35"/>
      <c r="H442" s="35"/>
      <c r="I442" s="35"/>
      <c r="J442" s="35"/>
      <c r="K442" s="35"/>
      <c r="L442" s="35"/>
      <c r="M442" s="35"/>
      <c r="N442" s="35"/>
      <c r="O442" s="35"/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5"/>
      <c r="AA442" s="35"/>
    </row>
    <row r="443" ht="12.75" customHeight="1">
      <c r="A443" s="35"/>
      <c r="B443" s="35"/>
      <c r="C443" s="35"/>
      <c r="D443" s="35"/>
      <c r="E443" s="35"/>
      <c r="F443" s="35"/>
      <c r="G443" s="35"/>
      <c r="H443" s="35"/>
      <c r="I443" s="35"/>
      <c r="J443" s="35"/>
      <c r="K443" s="35"/>
      <c r="L443" s="35"/>
      <c r="M443" s="35"/>
      <c r="N443" s="35"/>
      <c r="O443" s="35"/>
      <c r="P443" s="35"/>
      <c r="Q443" s="35"/>
      <c r="R443" s="35"/>
      <c r="S443" s="35"/>
      <c r="T443" s="35"/>
      <c r="U443" s="35"/>
      <c r="V443" s="35"/>
      <c r="W443" s="35"/>
      <c r="X443" s="35"/>
      <c r="Y443" s="35"/>
      <c r="Z443" s="35"/>
      <c r="AA443" s="35"/>
    </row>
    <row r="444" ht="12.75" customHeight="1">
      <c r="A444" s="35"/>
      <c r="B444" s="35"/>
      <c r="C444" s="35"/>
      <c r="D444" s="35"/>
      <c r="E444" s="35"/>
      <c r="F444" s="35"/>
      <c r="G444" s="35"/>
      <c r="H444" s="35"/>
      <c r="I444" s="35"/>
      <c r="J444" s="35"/>
      <c r="K444" s="35"/>
      <c r="L444" s="35"/>
      <c r="M444" s="35"/>
      <c r="N444" s="35"/>
      <c r="O444" s="35"/>
      <c r="P444" s="35"/>
      <c r="Q444" s="35"/>
      <c r="R444" s="35"/>
      <c r="S444" s="35"/>
      <c r="T444" s="35"/>
      <c r="U444" s="35"/>
      <c r="V444" s="35"/>
      <c r="W444" s="35"/>
      <c r="X444" s="35"/>
      <c r="Y444" s="35"/>
      <c r="Z444" s="35"/>
      <c r="AA444" s="35"/>
    </row>
    <row r="445" ht="12.75" customHeight="1">
      <c r="A445" s="35"/>
      <c r="B445" s="35"/>
      <c r="C445" s="35"/>
      <c r="D445" s="35"/>
      <c r="E445" s="35"/>
      <c r="F445" s="35"/>
      <c r="G445" s="35"/>
      <c r="H445" s="35"/>
      <c r="I445" s="35"/>
      <c r="J445" s="35"/>
      <c r="K445" s="35"/>
      <c r="L445" s="35"/>
      <c r="M445" s="35"/>
      <c r="N445" s="35"/>
      <c r="O445" s="35"/>
      <c r="P445" s="35"/>
      <c r="Q445" s="35"/>
      <c r="R445" s="35"/>
      <c r="S445" s="35"/>
      <c r="T445" s="35"/>
      <c r="U445" s="35"/>
      <c r="V445" s="35"/>
      <c r="W445" s="35"/>
      <c r="X445" s="35"/>
      <c r="Y445" s="35"/>
      <c r="Z445" s="35"/>
      <c r="AA445" s="35"/>
    </row>
    <row r="446" ht="12.75" customHeight="1">
      <c r="A446" s="35"/>
      <c r="B446" s="35"/>
      <c r="C446" s="35"/>
      <c r="D446" s="35"/>
      <c r="E446" s="35"/>
      <c r="F446" s="35"/>
      <c r="G446" s="35"/>
      <c r="H446" s="35"/>
      <c r="I446" s="35"/>
      <c r="J446" s="35"/>
      <c r="K446" s="35"/>
      <c r="L446" s="35"/>
      <c r="M446" s="35"/>
      <c r="N446" s="35"/>
      <c r="O446" s="35"/>
      <c r="P446" s="35"/>
      <c r="Q446" s="35"/>
      <c r="R446" s="35"/>
      <c r="S446" s="35"/>
      <c r="T446" s="35"/>
      <c r="U446" s="35"/>
      <c r="V446" s="35"/>
      <c r="W446" s="35"/>
      <c r="X446" s="35"/>
      <c r="Y446" s="35"/>
      <c r="Z446" s="35"/>
      <c r="AA446" s="35"/>
    </row>
    <row r="447" ht="12.75" customHeight="1">
      <c r="A447" s="35"/>
      <c r="B447" s="35"/>
      <c r="C447" s="35"/>
      <c r="D447" s="35"/>
      <c r="E447" s="35"/>
      <c r="F447" s="35"/>
      <c r="G447" s="35"/>
      <c r="H447" s="35"/>
      <c r="I447" s="35"/>
      <c r="J447" s="35"/>
      <c r="K447" s="35"/>
      <c r="L447" s="35"/>
      <c r="M447" s="35"/>
      <c r="N447" s="35"/>
      <c r="O447" s="35"/>
      <c r="P447" s="35"/>
      <c r="Q447" s="35"/>
      <c r="R447" s="35"/>
      <c r="S447" s="35"/>
      <c r="T447" s="35"/>
      <c r="U447" s="35"/>
      <c r="V447" s="35"/>
      <c r="W447" s="35"/>
      <c r="X447" s="35"/>
      <c r="Y447" s="35"/>
      <c r="Z447" s="35"/>
      <c r="AA447" s="35"/>
    </row>
    <row r="448" ht="12.75" customHeight="1">
      <c r="A448" s="35"/>
      <c r="B448" s="35"/>
      <c r="C448" s="35"/>
      <c r="D448" s="35"/>
      <c r="E448" s="35"/>
      <c r="F448" s="35"/>
      <c r="G448" s="35"/>
      <c r="H448" s="35"/>
      <c r="I448" s="35"/>
      <c r="J448" s="35"/>
      <c r="K448" s="35"/>
      <c r="L448" s="35"/>
      <c r="M448" s="35"/>
      <c r="N448" s="35"/>
      <c r="O448" s="35"/>
      <c r="P448" s="35"/>
      <c r="Q448" s="35"/>
      <c r="R448" s="35"/>
      <c r="S448" s="35"/>
      <c r="T448" s="35"/>
      <c r="U448" s="35"/>
      <c r="V448" s="35"/>
      <c r="W448" s="35"/>
      <c r="X448" s="35"/>
      <c r="Y448" s="35"/>
      <c r="Z448" s="35"/>
      <c r="AA448" s="35"/>
    </row>
    <row r="449" ht="12.75" customHeight="1">
      <c r="A449" s="35"/>
      <c r="B449" s="35"/>
      <c r="C449" s="35"/>
      <c r="D449" s="35"/>
      <c r="E449" s="35"/>
      <c r="F449" s="35"/>
      <c r="G449" s="35"/>
      <c r="H449" s="35"/>
      <c r="I449" s="35"/>
      <c r="J449" s="35"/>
      <c r="K449" s="35"/>
      <c r="L449" s="35"/>
      <c r="M449" s="35"/>
      <c r="N449" s="35"/>
      <c r="O449" s="35"/>
      <c r="P449" s="35"/>
      <c r="Q449" s="35"/>
      <c r="R449" s="35"/>
      <c r="S449" s="35"/>
      <c r="T449" s="35"/>
      <c r="U449" s="35"/>
      <c r="V449" s="35"/>
      <c r="W449" s="35"/>
      <c r="X449" s="35"/>
      <c r="Y449" s="35"/>
      <c r="Z449" s="35"/>
      <c r="AA449" s="35"/>
    </row>
    <row r="450" ht="12.75" customHeight="1">
      <c r="A450" s="35"/>
      <c r="B450" s="35"/>
      <c r="C450" s="35"/>
      <c r="D450" s="35"/>
      <c r="E450" s="35"/>
      <c r="F450" s="35"/>
      <c r="G450" s="35"/>
      <c r="H450" s="35"/>
      <c r="I450" s="35"/>
      <c r="J450" s="35"/>
      <c r="K450" s="35"/>
      <c r="L450" s="35"/>
      <c r="M450" s="35"/>
      <c r="N450" s="35"/>
      <c r="O450" s="35"/>
      <c r="P450" s="35"/>
      <c r="Q450" s="35"/>
      <c r="R450" s="35"/>
      <c r="S450" s="35"/>
      <c r="T450" s="35"/>
      <c r="U450" s="35"/>
      <c r="V450" s="35"/>
      <c r="W450" s="35"/>
      <c r="X450" s="35"/>
      <c r="Y450" s="35"/>
      <c r="Z450" s="35"/>
      <c r="AA450" s="35"/>
    </row>
    <row r="451" ht="12.75" customHeight="1">
      <c r="A451" s="35"/>
      <c r="B451" s="35"/>
      <c r="C451" s="35"/>
      <c r="D451" s="35"/>
      <c r="E451" s="35"/>
      <c r="F451" s="35"/>
      <c r="G451" s="35"/>
      <c r="H451" s="35"/>
      <c r="I451" s="35"/>
      <c r="J451" s="35"/>
      <c r="K451" s="35"/>
      <c r="L451" s="35"/>
      <c r="M451" s="35"/>
      <c r="N451" s="35"/>
      <c r="O451" s="35"/>
      <c r="P451" s="35"/>
      <c r="Q451" s="35"/>
      <c r="R451" s="35"/>
      <c r="S451" s="35"/>
      <c r="T451" s="35"/>
      <c r="U451" s="35"/>
      <c r="V451" s="35"/>
      <c r="W451" s="35"/>
      <c r="X451" s="35"/>
      <c r="Y451" s="35"/>
      <c r="Z451" s="35"/>
      <c r="AA451" s="35"/>
    </row>
    <row r="452" ht="12.75" customHeight="1">
      <c r="A452" s="35"/>
      <c r="B452" s="35"/>
      <c r="C452" s="35"/>
      <c r="D452" s="35"/>
      <c r="E452" s="35"/>
      <c r="F452" s="35"/>
      <c r="G452" s="35"/>
      <c r="H452" s="35"/>
      <c r="I452" s="35"/>
      <c r="J452" s="35"/>
      <c r="K452" s="35"/>
      <c r="L452" s="35"/>
      <c r="M452" s="35"/>
      <c r="N452" s="35"/>
      <c r="O452" s="35"/>
      <c r="P452" s="35"/>
      <c r="Q452" s="35"/>
      <c r="R452" s="35"/>
      <c r="S452" s="35"/>
      <c r="T452" s="35"/>
      <c r="U452" s="35"/>
      <c r="V452" s="35"/>
      <c r="W452" s="35"/>
      <c r="X452" s="35"/>
      <c r="Y452" s="35"/>
      <c r="Z452" s="35"/>
      <c r="AA452" s="35"/>
    </row>
    <row r="453" ht="12.75" customHeight="1">
      <c r="A453" s="35"/>
      <c r="B453" s="35"/>
      <c r="C453" s="35"/>
      <c r="D453" s="35"/>
      <c r="E453" s="35"/>
      <c r="F453" s="35"/>
      <c r="G453" s="35"/>
      <c r="H453" s="35"/>
      <c r="I453" s="35"/>
      <c r="J453" s="35"/>
      <c r="K453" s="35"/>
      <c r="L453" s="35"/>
      <c r="M453" s="35"/>
      <c r="N453" s="35"/>
      <c r="O453" s="35"/>
      <c r="P453" s="35"/>
      <c r="Q453" s="35"/>
      <c r="R453" s="35"/>
      <c r="S453" s="35"/>
      <c r="T453" s="35"/>
      <c r="U453" s="35"/>
      <c r="V453" s="35"/>
      <c r="W453" s="35"/>
      <c r="X453" s="35"/>
      <c r="Y453" s="35"/>
      <c r="Z453" s="35"/>
      <c r="AA453" s="35"/>
    </row>
    <row r="454" ht="12.75" customHeight="1">
      <c r="A454" s="35"/>
      <c r="B454" s="35"/>
      <c r="C454" s="35"/>
      <c r="D454" s="35"/>
      <c r="E454" s="35"/>
      <c r="F454" s="35"/>
      <c r="G454" s="35"/>
      <c r="H454" s="35"/>
      <c r="I454" s="35"/>
      <c r="J454" s="35"/>
      <c r="K454" s="35"/>
      <c r="L454" s="35"/>
      <c r="M454" s="35"/>
      <c r="N454" s="35"/>
      <c r="O454" s="35"/>
      <c r="P454" s="35"/>
      <c r="Q454" s="35"/>
      <c r="R454" s="35"/>
      <c r="S454" s="35"/>
      <c r="T454" s="35"/>
      <c r="U454" s="35"/>
      <c r="V454" s="35"/>
      <c r="W454" s="35"/>
      <c r="X454" s="35"/>
      <c r="Y454" s="35"/>
      <c r="Z454" s="35"/>
      <c r="AA454" s="35"/>
    </row>
    <row r="455" ht="12.75" customHeight="1">
      <c r="A455" s="35"/>
      <c r="B455" s="35"/>
      <c r="C455" s="35"/>
      <c r="D455" s="35"/>
      <c r="E455" s="35"/>
      <c r="F455" s="35"/>
      <c r="G455" s="35"/>
      <c r="H455" s="35"/>
      <c r="I455" s="35"/>
      <c r="J455" s="35"/>
      <c r="K455" s="35"/>
      <c r="L455" s="35"/>
      <c r="M455" s="35"/>
      <c r="N455" s="35"/>
      <c r="O455" s="35"/>
      <c r="P455" s="35"/>
      <c r="Q455" s="35"/>
      <c r="R455" s="35"/>
      <c r="S455" s="35"/>
      <c r="T455" s="35"/>
      <c r="U455" s="35"/>
      <c r="V455" s="35"/>
      <c r="W455" s="35"/>
      <c r="X455" s="35"/>
      <c r="Y455" s="35"/>
      <c r="Z455" s="35"/>
      <c r="AA455" s="35"/>
    </row>
    <row r="456" ht="12.75" customHeight="1">
      <c r="A456" s="35"/>
      <c r="B456" s="35"/>
      <c r="C456" s="35"/>
      <c r="D456" s="35"/>
      <c r="E456" s="35"/>
      <c r="F456" s="35"/>
      <c r="G456" s="35"/>
      <c r="H456" s="35"/>
      <c r="I456" s="35"/>
      <c r="J456" s="35"/>
      <c r="K456" s="35"/>
      <c r="L456" s="35"/>
      <c r="M456" s="35"/>
      <c r="N456" s="35"/>
      <c r="O456" s="35"/>
      <c r="P456" s="35"/>
      <c r="Q456" s="35"/>
      <c r="R456" s="35"/>
      <c r="S456" s="35"/>
      <c r="T456" s="35"/>
      <c r="U456" s="35"/>
      <c r="V456" s="35"/>
      <c r="W456" s="35"/>
      <c r="X456" s="35"/>
      <c r="Y456" s="35"/>
      <c r="Z456" s="35"/>
      <c r="AA456" s="35"/>
    </row>
    <row r="457" ht="12.75" customHeight="1">
      <c r="A457" s="35"/>
      <c r="B457" s="35"/>
      <c r="C457" s="35"/>
      <c r="D457" s="35"/>
      <c r="E457" s="35"/>
      <c r="F457" s="35"/>
      <c r="G457" s="35"/>
      <c r="H457" s="35"/>
      <c r="I457" s="35"/>
      <c r="J457" s="35"/>
      <c r="K457" s="35"/>
      <c r="L457" s="35"/>
      <c r="M457" s="35"/>
      <c r="N457" s="35"/>
      <c r="O457" s="35"/>
      <c r="P457" s="35"/>
      <c r="Q457" s="35"/>
      <c r="R457" s="35"/>
      <c r="S457" s="35"/>
      <c r="T457" s="35"/>
      <c r="U457" s="35"/>
      <c r="V457" s="35"/>
      <c r="W457" s="35"/>
      <c r="X457" s="35"/>
      <c r="Y457" s="35"/>
      <c r="Z457" s="35"/>
      <c r="AA457" s="35"/>
    </row>
    <row r="458" ht="12.75" customHeight="1">
      <c r="A458" s="35"/>
      <c r="B458" s="35"/>
      <c r="C458" s="35"/>
      <c r="D458" s="35"/>
      <c r="E458" s="35"/>
      <c r="F458" s="35"/>
      <c r="G458" s="35"/>
      <c r="H458" s="35"/>
      <c r="I458" s="35"/>
      <c r="J458" s="35"/>
      <c r="K458" s="35"/>
      <c r="L458" s="35"/>
      <c r="M458" s="35"/>
      <c r="N458" s="35"/>
      <c r="O458" s="35"/>
      <c r="P458" s="35"/>
      <c r="Q458" s="35"/>
      <c r="R458" s="35"/>
      <c r="S458" s="35"/>
      <c r="T458" s="35"/>
      <c r="U458" s="35"/>
      <c r="V458" s="35"/>
      <c r="W458" s="35"/>
      <c r="X458" s="35"/>
      <c r="Y458" s="35"/>
      <c r="Z458" s="35"/>
      <c r="AA458" s="35"/>
    </row>
    <row r="459" ht="12.75" customHeight="1">
      <c r="A459" s="35"/>
      <c r="B459" s="35"/>
      <c r="C459" s="35"/>
      <c r="D459" s="35"/>
      <c r="E459" s="35"/>
      <c r="F459" s="35"/>
      <c r="G459" s="35"/>
      <c r="H459" s="35"/>
      <c r="I459" s="35"/>
      <c r="J459" s="35"/>
      <c r="K459" s="35"/>
      <c r="L459" s="35"/>
      <c r="M459" s="35"/>
      <c r="N459" s="35"/>
      <c r="O459" s="35"/>
      <c r="P459" s="35"/>
      <c r="Q459" s="35"/>
      <c r="R459" s="35"/>
      <c r="S459" s="35"/>
      <c r="T459" s="35"/>
      <c r="U459" s="35"/>
      <c r="V459" s="35"/>
      <c r="W459" s="35"/>
      <c r="X459" s="35"/>
      <c r="Y459" s="35"/>
      <c r="Z459" s="35"/>
      <c r="AA459" s="35"/>
    </row>
    <row r="460" ht="12.75" customHeight="1">
      <c r="A460" s="35"/>
      <c r="B460" s="35"/>
      <c r="C460" s="35"/>
      <c r="D460" s="35"/>
      <c r="E460" s="35"/>
      <c r="F460" s="35"/>
      <c r="G460" s="35"/>
      <c r="H460" s="35"/>
      <c r="I460" s="35"/>
      <c r="J460" s="35"/>
      <c r="K460" s="35"/>
      <c r="L460" s="35"/>
      <c r="M460" s="35"/>
      <c r="N460" s="35"/>
      <c r="O460" s="35"/>
      <c r="P460" s="35"/>
      <c r="Q460" s="35"/>
      <c r="R460" s="35"/>
      <c r="S460" s="35"/>
      <c r="T460" s="35"/>
      <c r="U460" s="35"/>
      <c r="V460" s="35"/>
      <c r="W460" s="35"/>
      <c r="X460" s="35"/>
      <c r="Y460" s="35"/>
      <c r="Z460" s="35"/>
      <c r="AA460" s="35"/>
    </row>
    <row r="461" ht="12.75" customHeight="1">
      <c r="A461" s="35"/>
      <c r="B461" s="35"/>
      <c r="C461" s="35"/>
      <c r="D461" s="35"/>
      <c r="E461" s="35"/>
      <c r="F461" s="35"/>
      <c r="G461" s="35"/>
      <c r="H461" s="35"/>
      <c r="I461" s="35"/>
      <c r="J461" s="35"/>
      <c r="K461" s="35"/>
      <c r="L461" s="35"/>
      <c r="M461" s="35"/>
      <c r="N461" s="35"/>
      <c r="O461" s="35"/>
      <c r="P461" s="35"/>
      <c r="Q461" s="35"/>
      <c r="R461" s="35"/>
      <c r="S461" s="35"/>
      <c r="T461" s="35"/>
      <c r="U461" s="35"/>
      <c r="V461" s="35"/>
      <c r="W461" s="35"/>
      <c r="X461" s="35"/>
      <c r="Y461" s="35"/>
      <c r="Z461" s="35"/>
      <c r="AA461" s="35"/>
    </row>
    <row r="462" ht="12.75" customHeight="1">
      <c r="A462" s="35"/>
      <c r="B462" s="35"/>
      <c r="C462" s="35"/>
      <c r="D462" s="35"/>
      <c r="E462" s="35"/>
      <c r="F462" s="35"/>
      <c r="G462" s="35"/>
      <c r="H462" s="35"/>
      <c r="I462" s="35"/>
      <c r="J462" s="35"/>
      <c r="K462" s="35"/>
      <c r="L462" s="35"/>
      <c r="M462" s="35"/>
      <c r="N462" s="35"/>
      <c r="O462" s="35"/>
      <c r="P462" s="35"/>
      <c r="Q462" s="35"/>
      <c r="R462" s="35"/>
      <c r="S462" s="35"/>
      <c r="T462" s="35"/>
      <c r="U462" s="35"/>
      <c r="V462" s="35"/>
      <c r="W462" s="35"/>
      <c r="X462" s="35"/>
      <c r="Y462" s="35"/>
      <c r="Z462" s="35"/>
      <c r="AA462" s="35"/>
    </row>
    <row r="463" ht="12.75" customHeight="1">
      <c r="A463" s="35"/>
      <c r="B463" s="35"/>
      <c r="C463" s="35"/>
      <c r="D463" s="35"/>
      <c r="E463" s="35"/>
      <c r="F463" s="35"/>
      <c r="G463" s="35"/>
      <c r="H463" s="35"/>
      <c r="I463" s="35"/>
      <c r="J463" s="35"/>
      <c r="K463" s="35"/>
      <c r="L463" s="35"/>
      <c r="M463" s="35"/>
      <c r="N463" s="35"/>
      <c r="O463" s="35"/>
      <c r="P463" s="35"/>
      <c r="Q463" s="35"/>
      <c r="R463" s="35"/>
      <c r="S463" s="35"/>
      <c r="T463" s="35"/>
      <c r="U463" s="35"/>
      <c r="V463" s="35"/>
      <c r="W463" s="35"/>
      <c r="X463" s="35"/>
      <c r="Y463" s="35"/>
      <c r="Z463" s="35"/>
      <c r="AA463" s="35"/>
    </row>
    <row r="464" ht="12.75" customHeight="1">
      <c r="A464" s="35"/>
      <c r="B464" s="35"/>
      <c r="C464" s="35"/>
      <c r="D464" s="35"/>
      <c r="E464" s="35"/>
      <c r="F464" s="35"/>
      <c r="G464" s="35"/>
      <c r="H464" s="35"/>
      <c r="I464" s="35"/>
      <c r="J464" s="35"/>
      <c r="K464" s="35"/>
      <c r="L464" s="35"/>
      <c r="M464" s="35"/>
      <c r="N464" s="35"/>
      <c r="O464" s="35"/>
      <c r="P464" s="35"/>
      <c r="Q464" s="35"/>
      <c r="R464" s="35"/>
      <c r="S464" s="35"/>
      <c r="T464" s="35"/>
      <c r="U464" s="35"/>
      <c r="V464" s="35"/>
      <c r="W464" s="35"/>
      <c r="X464" s="35"/>
      <c r="Y464" s="35"/>
      <c r="Z464" s="35"/>
      <c r="AA464" s="35"/>
    </row>
    <row r="465" ht="12.75" customHeight="1">
      <c r="A465" s="35"/>
      <c r="B465" s="35"/>
      <c r="C465" s="35"/>
      <c r="D465" s="35"/>
      <c r="E465" s="35"/>
      <c r="F465" s="35"/>
      <c r="G465" s="35"/>
      <c r="H465" s="35"/>
      <c r="I465" s="35"/>
      <c r="J465" s="35"/>
      <c r="K465" s="35"/>
      <c r="L465" s="35"/>
      <c r="M465" s="35"/>
      <c r="N465" s="35"/>
      <c r="O465" s="35"/>
      <c r="P465" s="35"/>
      <c r="Q465" s="35"/>
      <c r="R465" s="35"/>
      <c r="S465" s="35"/>
      <c r="T465" s="35"/>
      <c r="U465" s="35"/>
      <c r="V465" s="35"/>
      <c r="W465" s="35"/>
      <c r="X465" s="35"/>
      <c r="Y465" s="35"/>
      <c r="Z465" s="35"/>
      <c r="AA465" s="35"/>
    </row>
    <row r="466" ht="12.75" customHeight="1">
      <c r="A466" s="35"/>
      <c r="B466" s="35"/>
      <c r="C466" s="35"/>
      <c r="D466" s="35"/>
      <c r="E466" s="35"/>
      <c r="F466" s="35"/>
      <c r="G466" s="35"/>
      <c r="H466" s="35"/>
      <c r="I466" s="35"/>
      <c r="J466" s="35"/>
      <c r="K466" s="35"/>
      <c r="L466" s="35"/>
      <c r="M466" s="35"/>
      <c r="N466" s="35"/>
      <c r="O466" s="35"/>
      <c r="P466" s="35"/>
      <c r="Q466" s="35"/>
      <c r="R466" s="35"/>
      <c r="S466" s="35"/>
      <c r="T466" s="35"/>
      <c r="U466" s="35"/>
      <c r="V466" s="35"/>
      <c r="W466" s="35"/>
      <c r="X466" s="35"/>
      <c r="Y466" s="35"/>
      <c r="Z466" s="35"/>
      <c r="AA466" s="35"/>
    </row>
    <row r="467" ht="12.75" customHeight="1">
      <c r="A467" s="35"/>
      <c r="B467" s="35"/>
      <c r="C467" s="35"/>
      <c r="D467" s="35"/>
      <c r="E467" s="35"/>
      <c r="F467" s="35"/>
      <c r="G467" s="35"/>
      <c r="H467" s="35"/>
      <c r="I467" s="35"/>
      <c r="J467" s="35"/>
      <c r="K467" s="35"/>
      <c r="L467" s="35"/>
      <c r="M467" s="35"/>
      <c r="N467" s="35"/>
      <c r="O467" s="35"/>
      <c r="P467" s="35"/>
      <c r="Q467" s="35"/>
      <c r="R467" s="35"/>
      <c r="S467" s="35"/>
      <c r="T467" s="35"/>
      <c r="U467" s="35"/>
      <c r="V467" s="35"/>
      <c r="W467" s="35"/>
      <c r="X467" s="35"/>
      <c r="Y467" s="35"/>
      <c r="Z467" s="35"/>
      <c r="AA467" s="35"/>
    </row>
    <row r="468" ht="12.75" customHeight="1">
      <c r="A468" s="35"/>
      <c r="B468" s="35"/>
      <c r="C468" s="35"/>
      <c r="D468" s="35"/>
      <c r="E468" s="35"/>
      <c r="F468" s="35"/>
      <c r="G468" s="35"/>
      <c r="H468" s="35"/>
      <c r="I468" s="35"/>
      <c r="J468" s="35"/>
      <c r="K468" s="35"/>
      <c r="L468" s="35"/>
      <c r="M468" s="35"/>
      <c r="N468" s="35"/>
      <c r="O468" s="35"/>
      <c r="P468" s="35"/>
      <c r="Q468" s="35"/>
      <c r="R468" s="35"/>
      <c r="S468" s="35"/>
      <c r="T468" s="35"/>
      <c r="U468" s="35"/>
      <c r="V468" s="35"/>
      <c r="W468" s="35"/>
      <c r="X468" s="35"/>
      <c r="Y468" s="35"/>
      <c r="Z468" s="35"/>
      <c r="AA468" s="35"/>
    </row>
    <row r="469" ht="12.75" customHeight="1">
      <c r="A469" s="35"/>
      <c r="B469" s="35"/>
      <c r="C469" s="35"/>
      <c r="D469" s="35"/>
      <c r="E469" s="35"/>
      <c r="F469" s="35"/>
      <c r="G469" s="35"/>
      <c r="H469" s="35"/>
      <c r="I469" s="35"/>
      <c r="J469" s="35"/>
      <c r="K469" s="35"/>
      <c r="L469" s="35"/>
      <c r="M469" s="35"/>
      <c r="N469" s="35"/>
      <c r="O469" s="35"/>
      <c r="P469" s="35"/>
      <c r="Q469" s="35"/>
      <c r="R469" s="35"/>
      <c r="S469" s="35"/>
      <c r="T469" s="35"/>
      <c r="U469" s="35"/>
      <c r="V469" s="35"/>
      <c r="W469" s="35"/>
      <c r="X469" s="35"/>
      <c r="Y469" s="35"/>
      <c r="Z469" s="35"/>
      <c r="AA469" s="35"/>
    </row>
    <row r="470" ht="12.75" customHeight="1">
      <c r="A470" s="35"/>
      <c r="B470" s="35"/>
      <c r="C470" s="35"/>
      <c r="D470" s="35"/>
      <c r="E470" s="35"/>
      <c r="F470" s="35"/>
      <c r="G470" s="35"/>
      <c r="H470" s="35"/>
      <c r="I470" s="35"/>
      <c r="J470" s="35"/>
      <c r="K470" s="35"/>
      <c r="L470" s="35"/>
      <c r="M470" s="35"/>
      <c r="N470" s="35"/>
      <c r="O470" s="35"/>
      <c r="P470" s="35"/>
      <c r="Q470" s="35"/>
      <c r="R470" s="35"/>
      <c r="S470" s="35"/>
      <c r="T470" s="35"/>
      <c r="U470" s="35"/>
      <c r="V470" s="35"/>
      <c r="W470" s="35"/>
      <c r="X470" s="35"/>
      <c r="Y470" s="35"/>
      <c r="Z470" s="35"/>
      <c r="AA470" s="35"/>
    </row>
    <row r="471" ht="12.75" customHeight="1">
      <c r="A471" s="35"/>
      <c r="B471" s="35"/>
      <c r="C471" s="35"/>
      <c r="D471" s="35"/>
      <c r="E471" s="35"/>
      <c r="F471" s="35"/>
      <c r="G471" s="35"/>
      <c r="H471" s="35"/>
      <c r="I471" s="35"/>
      <c r="J471" s="35"/>
      <c r="K471" s="35"/>
      <c r="L471" s="35"/>
      <c r="M471" s="35"/>
      <c r="N471" s="35"/>
      <c r="O471" s="35"/>
      <c r="P471" s="35"/>
      <c r="Q471" s="35"/>
      <c r="R471" s="35"/>
      <c r="S471" s="35"/>
      <c r="T471" s="35"/>
      <c r="U471" s="35"/>
      <c r="V471" s="35"/>
      <c r="W471" s="35"/>
      <c r="X471" s="35"/>
      <c r="Y471" s="35"/>
      <c r="Z471" s="35"/>
      <c r="AA471" s="35"/>
    </row>
    <row r="472" ht="12.75" customHeight="1">
      <c r="A472" s="35"/>
      <c r="B472" s="35"/>
      <c r="C472" s="35"/>
      <c r="D472" s="35"/>
      <c r="E472" s="35"/>
      <c r="F472" s="35"/>
      <c r="G472" s="35"/>
      <c r="H472" s="35"/>
      <c r="I472" s="35"/>
      <c r="J472" s="35"/>
      <c r="K472" s="35"/>
      <c r="L472" s="35"/>
      <c r="M472" s="35"/>
      <c r="N472" s="35"/>
      <c r="O472" s="35"/>
      <c r="P472" s="35"/>
      <c r="Q472" s="35"/>
      <c r="R472" s="35"/>
      <c r="S472" s="35"/>
      <c r="T472" s="35"/>
      <c r="U472" s="35"/>
      <c r="V472" s="35"/>
      <c r="W472" s="35"/>
      <c r="X472" s="35"/>
      <c r="Y472" s="35"/>
      <c r="Z472" s="35"/>
      <c r="AA472" s="35"/>
    </row>
    <row r="473" ht="12.75" customHeight="1">
      <c r="A473" s="35"/>
      <c r="B473" s="35"/>
      <c r="C473" s="35"/>
      <c r="D473" s="35"/>
      <c r="E473" s="35"/>
      <c r="F473" s="35"/>
      <c r="G473" s="35"/>
      <c r="H473" s="35"/>
      <c r="I473" s="35"/>
      <c r="J473" s="35"/>
      <c r="K473" s="35"/>
      <c r="L473" s="35"/>
      <c r="M473" s="35"/>
      <c r="N473" s="35"/>
      <c r="O473" s="35"/>
      <c r="P473" s="35"/>
      <c r="Q473" s="35"/>
      <c r="R473" s="35"/>
      <c r="S473" s="35"/>
      <c r="T473" s="35"/>
      <c r="U473" s="35"/>
      <c r="V473" s="35"/>
      <c r="W473" s="35"/>
      <c r="X473" s="35"/>
      <c r="Y473" s="35"/>
      <c r="Z473" s="35"/>
      <c r="AA473" s="35"/>
    </row>
    <row r="474" ht="12.75" customHeight="1">
      <c r="A474" s="35"/>
      <c r="B474" s="35"/>
      <c r="C474" s="35"/>
      <c r="D474" s="35"/>
      <c r="E474" s="35"/>
      <c r="F474" s="35"/>
      <c r="G474" s="35"/>
      <c r="H474" s="35"/>
      <c r="I474" s="35"/>
      <c r="J474" s="35"/>
      <c r="K474" s="35"/>
      <c r="L474" s="35"/>
      <c r="M474" s="35"/>
      <c r="N474" s="35"/>
      <c r="O474" s="35"/>
      <c r="P474" s="35"/>
      <c r="Q474" s="35"/>
      <c r="R474" s="35"/>
      <c r="S474" s="35"/>
      <c r="T474" s="35"/>
      <c r="U474" s="35"/>
      <c r="V474" s="35"/>
      <c r="W474" s="35"/>
      <c r="X474" s="35"/>
      <c r="Y474" s="35"/>
      <c r="Z474" s="35"/>
      <c r="AA474" s="35"/>
    </row>
    <row r="475" ht="12.75" customHeight="1">
      <c r="A475" s="35"/>
      <c r="B475" s="35"/>
      <c r="C475" s="35"/>
      <c r="D475" s="35"/>
      <c r="E475" s="35"/>
      <c r="F475" s="35"/>
      <c r="G475" s="35"/>
      <c r="H475" s="35"/>
      <c r="I475" s="35"/>
      <c r="J475" s="35"/>
      <c r="K475" s="35"/>
      <c r="L475" s="35"/>
      <c r="M475" s="35"/>
      <c r="N475" s="35"/>
      <c r="O475" s="35"/>
      <c r="P475" s="35"/>
      <c r="Q475" s="35"/>
      <c r="R475" s="35"/>
      <c r="S475" s="35"/>
      <c r="T475" s="35"/>
      <c r="U475" s="35"/>
      <c r="V475" s="35"/>
      <c r="W475" s="35"/>
      <c r="X475" s="35"/>
      <c r="Y475" s="35"/>
      <c r="Z475" s="35"/>
      <c r="AA475" s="35"/>
    </row>
    <row r="476" ht="12.75" customHeight="1">
      <c r="A476" s="35"/>
      <c r="B476" s="35"/>
      <c r="C476" s="35"/>
      <c r="D476" s="35"/>
      <c r="E476" s="35"/>
      <c r="F476" s="35"/>
      <c r="G476" s="35"/>
      <c r="H476" s="35"/>
      <c r="I476" s="35"/>
      <c r="J476" s="35"/>
      <c r="K476" s="35"/>
      <c r="L476" s="35"/>
      <c r="M476" s="35"/>
      <c r="N476" s="35"/>
      <c r="O476" s="35"/>
      <c r="P476" s="35"/>
      <c r="Q476" s="35"/>
      <c r="R476" s="35"/>
      <c r="S476" s="35"/>
      <c r="T476" s="35"/>
      <c r="U476" s="35"/>
      <c r="V476" s="35"/>
      <c r="W476" s="35"/>
      <c r="X476" s="35"/>
      <c r="Y476" s="35"/>
      <c r="Z476" s="35"/>
      <c r="AA476" s="35"/>
    </row>
    <row r="477" ht="12.75" customHeight="1">
      <c r="A477" s="35"/>
      <c r="B477" s="35"/>
      <c r="C477" s="35"/>
      <c r="D477" s="35"/>
      <c r="E477" s="35"/>
      <c r="F477" s="35"/>
      <c r="G477" s="35"/>
      <c r="H477" s="35"/>
      <c r="I477" s="35"/>
      <c r="J477" s="35"/>
      <c r="K477" s="35"/>
      <c r="L477" s="35"/>
      <c r="M477" s="35"/>
      <c r="N477" s="35"/>
      <c r="O477" s="35"/>
      <c r="P477" s="35"/>
      <c r="Q477" s="35"/>
      <c r="R477" s="35"/>
      <c r="S477" s="35"/>
      <c r="T477" s="35"/>
      <c r="U477" s="35"/>
      <c r="V477" s="35"/>
      <c r="W477" s="35"/>
      <c r="X477" s="35"/>
      <c r="Y477" s="35"/>
      <c r="Z477" s="35"/>
      <c r="AA477" s="35"/>
    </row>
    <row r="478" ht="12.75" customHeight="1">
      <c r="A478" s="35"/>
      <c r="B478" s="35"/>
      <c r="C478" s="35"/>
      <c r="D478" s="35"/>
      <c r="E478" s="35"/>
      <c r="F478" s="35"/>
      <c r="G478" s="35"/>
      <c r="H478" s="35"/>
      <c r="I478" s="35"/>
      <c r="J478" s="35"/>
      <c r="K478" s="35"/>
      <c r="L478" s="35"/>
      <c r="M478" s="35"/>
      <c r="N478" s="35"/>
      <c r="O478" s="35"/>
      <c r="P478" s="35"/>
      <c r="Q478" s="35"/>
      <c r="R478" s="35"/>
      <c r="S478" s="35"/>
      <c r="T478" s="35"/>
      <c r="U478" s="35"/>
      <c r="V478" s="35"/>
      <c r="W478" s="35"/>
      <c r="X478" s="35"/>
      <c r="Y478" s="35"/>
      <c r="Z478" s="35"/>
      <c r="AA478" s="35"/>
    </row>
    <row r="479" ht="12.75" customHeight="1">
      <c r="A479" s="35"/>
      <c r="B479" s="35"/>
      <c r="C479" s="35"/>
      <c r="D479" s="35"/>
      <c r="E479" s="35"/>
      <c r="F479" s="35"/>
      <c r="G479" s="35"/>
      <c r="H479" s="35"/>
      <c r="I479" s="35"/>
      <c r="J479" s="35"/>
      <c r="K479" s="35"/>
      <c r="L479" s="35"/>
      <c r="M479" s="35"/>
      <c r="N479" s="35"/>
      <c r="O479" s="35"/>
      <c r="P479" s="35"/>
      <c r="Q479" s="35"/>
      <c r="R479" s="35"/>
      <c r="S479" s="35"/>
      <c r="T479" s="35"/>
      <c r="U479" s="35"/>
      <c r="V479" s="35"/>
      <c r="W479" s="35"/>
      <c r="X479" s="35"/>
      <c r="Y479" s="35"/>
      <c r="Z479" s="35"/>
      <c r="AA479" s="35"/>
    </row>
    <row r="480" ht="12.75" customHeight="1">
      <c r="A480" s="35"/>
      <c r="B480" s="35"/>
      <c r="C480" s="35"/>
      <c r="D480" s="35"/>
      <c r="E480" s="35"/>
      <c r="F480" s="35"/>
      <c r="G480" s="35"/>
      <c r="H480" s="35"/>
      <c r="I480" s="35"/>
      <c r="J480" s="35"/>
      <c r="K480" s="35"/>
      <c r="L480" s="35"/>
      <c r="M480" s="35"/>
      <c r="N480" s="35"/>
      <c r="O480" s="35"/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5"/>
      <c r="AA480" s="35"/>
    </row>
    <row r="481" ht="12.75" customHeight="1">
      <c r="A481" s="35"/>
      <c r="B481" s="35"/>
      <c r="C481" s="35"/>
      <c r="D481" s="35"/>
      <c r="E481" s="35"/>
      <c r="F481" s="35"/>
      <c r="G481" s="35"/>
      <c r="H481" s="35"/>
      <c r="I481" s="35"/>
      <c r="J481" s="35"/>
      <c r="K481" s="35"/>
      <c r="L481" s="35"/>
      <c r="M481" s="35"/>
      <c r="N481" s="35"/>
      <c r="O481" s="35"/>
      <c r="P481" s="35"/>
      <c r="Q481" s="35"/>
      <c r="R481" s="35"/>
      <c r="S481" s="35"/>
      <c r="T481" s="35"/>
      <c r="U481" s="35"/>
      <c r="V481" s="35"/>
      <c r="W481" s="35"/>
      <c r="X481" s="35"/>
      <c r="Y481" s="35"/>
      <c r="Z481" s="35"/>
      <c r="AA481" s="35"/>
    </row>
    <row r="482" ht="12.75" customHeight="1">
      <c r="A482" s="35"/>
      <c r="B482" s="35"/>
      <c r="C482" s="35"/>
      <c r="D482" s="35"/>
      <c r="E482" s="35"/>
      <c r="F482" s="35"/>
      <c r="G482" s="35"/>
      <c r="H482" s="35"/>
      <c r="I482" s="35"/>
      <c r="J482" s="35"/>
      <c r="K482" s="35"/>
      <c r="L482" s="35"/>
      <c r="M482" s="35"/>
      <c r="N482" s="35"/>
      <c r="O482" s="35"/>
      <c r="P482" s="35"/>
      <c r="Q482" s="35"/>
      <c r="R482" s="35"/>
      <c r="S482" s="35"/>
      <c r="T482" s="35"/>
      <c r="U482" s="35"/>
      <c r="V482" s="35"/>
      <c r="W482" s="35"/>
      <c r="X482" s="35"/>
      <c r="Y482" s="35"/>
      <c r="Z482" s="35"/>
      <c r="AA482" s="35"/>
    </row>
    <row r="483" ht="12.75" customHeight="1">
      <c r="A483" s="35"/>
      <c r="B483" s="35"/>
      <c r="C483" s="35"/>
      <c r="D483" s="35"/>
      <c r="E483" s="35"/>
      <c r="F483" s="35"/>
      <c r="G483" s="35"/>
      <c r="H483" s="35"/>
      <c r="I483" s="35"/>
      <c r="J483" s="35"/>
      <c r="K483" s="35"/>
      <c r="L483" s="35"/>
      <c r="M483" s="35"/>
      <c r="N483" s="35"/>
      <c r="O483" s="35"/>
      <c r="P483" s="35"/>
      <c r="Q483" s="35"/>
      <c r="R483" s="35"/>
      <c r="S483" s="35"/>
      <c r="T483" s="35"/>
      <c r="U483" s="35"/>
      <c r="V483" s="35"/>
      <c r="W483" s="35"/>
      <c r="X483" s="35"/>
      <c r="Y483" s="35"/>
      <c r="Z483" s="35"/>
      <c r="AA483" s="35"/>
    </row>
    <row r="484" ht="12.75" customHeight="1">
      <c r="A484" s="35"/>
      <c r="B484" s="35"/>
      <c r="C484" s="35"/>
      <c r="D484" s="35"/>
      <c r="E484" s="35"/>
      <c r="F484" s="35"/>
      <c r="G484" s="35"/>
      <c r="H484" s="35"/>
      <c r="I484" s="35"/>
      <c r="J484" s="35"/>
      <c r="K484" s="35"/>
      <c r="L484" s="35"/>
      <c r="M484" s="35"/>
      <c r="N484" s="35"/>
      <c r="O484" s="35"/>
      <c r="P484" s="35"/>
      <c r="Q484" s="35"/>
      <c r="R484" s="35"/>
      <c r="S484" s="35"/>
      <c r="T484" s="35"/>
      <c r="U484" s="35"/>
      <c r="V484" s="35"/>
      <c r="W484" s="35"/>
      <c r="X484" s="35"/>
      <c r="Y484" s="35"/>
      <c r="Z484" s="35"/>
      <c r="AA484" s="35"/>
    </row>
    <row r="485" ht="12.75" customHeight="1">
      <c r="A485" s="35"/>
      <c r="B485" s="35"/>
      <c r="C485" s="35"/>
      <c r="D485" s="35"/>
      <c r="E485" s="35"/>
      <c r="F485" s="35"/>
      <c r="G485" s="35"/>
      <c r="H485" s="35"/>
      <c r="I485" s="35"/>
      <c r="J485" s="35"/>
      <c r="K485" s="35"/>
      <c r="L485" s="35"/>
      <c r="M485" s="35"/>
      <c r="N485" s="35"/>
      <c r="O485" s="35"/>
      <c r="P485" s="35"/>
      <c r="Q485" s="35"/>
      <c r="R485" s="35"/>
      <c r="S485" s="35"/>
      <c r="T485" s="35"/>
      <c r="U485" s="35"/>
      <c r="V485" s="35"/>
      <c r="W485" s="35"/>
      <c r="X485" s="35"/>
      <c r="Y485" s="35"/>
      <c r="Z485" s="35"/>
      <c r="AA485" s="35"/>
    </row>
    <row r="486" ht="12.75" customHeight="1">
      <c r="A486" s="35"/>
      <c r="B486" s="35"/>
      <c r="C486" s="35"/>
      <c r="D486" s="35"/>
      <c r="E486" s="35"/>
      <c r="F486" s="35"/>
      <c r="G486" s="35"/>
      <c r="H486" s="35"/>
      <c r="I486" s="35"/>
      <c r="J486" s="35"/>
      <c r="K486" s="35"/>
      <c r="L486" s="35"/>
      <c r="M486" s="35"/>
      <c r="N486" s="35"/>
      <c r="O486" s="35"/>
      <c r="P486" s="35"/>
      <c r="Q486" s="35"/>
      <c r="R486" s="35"/>
      <c r="S486" s="35"/>
      <c r="T486" s="35"/>
      <c r="U486" s="35"/>
      <c r="V486" s="35"/>
      <c r="W486" s="35"/>
      <c r="X486" s="35"/>
      <c r="Y486" s="35"/>
      <c r="Z486" s="35"/>
      <c r="AA486" s="35"/>
    </row>
    <row r="487" ht="12.75" customHeight="1">
      <c r="A487" s="35"/>
      <c r="B487" s="35"/>
      <c r="C487" s="35"/>
      <c r="D487" s="35"/>
      <c r="E487" s="35"/>
      <c r="F487" s="35"/>
      <c r="G487" s="35"/>
      <c r="H487" s="35"/>
      <c r="I487" s="35"/>
      <c r="J487" s="35"/>
      <c r="K487" s="35"/>
      <c r="L487" s="35"/>
      <c r="M487" s="35"/>
      <c r="N487" s="35"/>
      <c r="O487" s="35"/>
      <c r="P487" s="35"/>
      <c r="Q487" s="35"/>
      <c r="R487" s="35"/>
      <c r="S487" s="35"/>
      <c r="T487" s="35"/>
      <c r="U487" s="35"/>
      <c r="V487" s="35"/>
      <c r="W487" s="35"/>
      <c r="X487" s="35"/>
      <c r="Y487" s="35"/>
      <c r="Z487" s="35"/>
      <c r="AA487" s="35"/>
    </row>
    <row r="488" ht="12.75" customHeight="1">
      <c r="A488" s="35"/>
      <c r="B488" s="35"/>
      <c r="C488" s="35"/>
      <c r="D488" s="35"/>
      <c r="E488" s="35"/>
      <c r="F488" s="35"/>
      <c r="G488" s="35"/>
      <c r="H488" s="35"/>
      <c r="I488" s="35"/>
      <c r="J488" s="35"/>
      <c r="K488" s="35"/>
      <c r="L488" s="35"/>
      <c r="M488" s="35"/>
      <c r="N488" s="35"/>
      <c r="O488" s="35"/>
      <c r="P488" s="35"/>
      <c r="Q488" s="35"/>
      <c r="R488" s="35"/>
      <c r="S488" s="35"/>
      <c r="T488" s="35"/>
      <c r="U488" s="35"/>
      <c r="V488" s="35"/>
      <c r="W488" s="35"/>
      <c r="X488" s="35"/>
      <c r="Y488" s="35"/>
      <c r="Z488" s="35"/>
      <c r="AA488" s="35"/>
    </row>
    <row r="489" ht="12.75" customHeight="1">
      <c r="A489" s="35"/>
      <c r="B489" s="35"/>
      <c r="C489" s="35"/>
      <c r="D489" s="35"/>
      <c r="E489" s="35"/>
      <c r="F489" s="35"/>
      <c r="G489" s="35"/>
      <c r="H489" s="35"/>
      <c r="I489" s="35"/>
      <c r="J489" s="35"/>
      <c r="K489" s="35"/>
      <c r="L489" s="35"/>
      <c r="M489" s="35"/>
      <c r="N489" s="35"/>
      <c r="O489" s="35"/>
      <c r="P489" s="35"/>
      <c r="Q489" s="35"/>
      <c r="R489" s="35"/>
      <c r="S489" s="35"/>
      <c r="T489" s="35"/>
      <c r="U489" s="35"/>
      <c r="V489" s="35"/>
      <c r="W489" s="35"/>
      <c r="X489" s="35"/>
      <c r="Y489" s="35"/>
      <c r="Z489" s="35"/>
      <c r="AA489" s="35"/>
    </row>
    <row r="490" ht="12.75" customHeight="1">
      <c r="A490" s="35"/>
      <c r="B490" s="35"/>
      <c r="C490" s="35"/>
      <c r="D490" s="35"/>
      <c r="E490" s="35"/>
      <c r="F490" s="35"/>
      <c r="G490" s="35"/>
      <c r="H490" s="35"/>
      <c r="I490" s="35"/>
      <c r="J490" s="35"/>
      <c r="K490" s="35"/>
      <c r="L490" s="35"/>
      <c r="M490" s="35"/>
      <c r="N490" s="35"/>
      <c r="O490" s="35"/>
      <c r="P490" s="35"/>
      <c r="Q490" s="35"/>
      <c r="R490" s="35"/>
      <c r="S490" s="35"/>
      <c r="T490" s="35"/>
      <c r="U490" s="35"/>
      <c r="V490" s="35"/>
      <c r="W490" s="35"/>
      <c r="X490" s="35"/>
      <c r="Y490" s="35"/>
      <c r="Z490" s="35"/>
      <c r="AA490" s="35"/>
    </row>
    <row r="491" ht="12.75" customHeight="1">
      <c r="A491" s="35"/>
      <c r="B491" s="35"/>
      <c r="C491" s="35"/>
      <c r="D491" s="35"/>
      <c r="E491" s="35"/>
      <c r="F491" s="35"/>
      <c r="G491" s="35"/>
      <c r="H491" s="35"/>
      <c r="I491" s="35"/>
      <c r="J491" s="35"/>
      <c r="K491" s="35"/>
      <c r="L491" s="35"/>
      <c r="M491" s="35"/>
      <c r="N491" s="35"/>
      <c r="O491" s="35"/>
      <c r="P491" s="35"/>
      <c r="Q491" s="35"/>
      <c r="R491" s="35"/>
      <c r="S491" s="35"/>
      <c r="T491" s="35"/>
      <c r="U491" s="35"/>
      <c r="V491" s="35"/>
      <c r="W491" s="35"/>
      <c r="X491" s="35"/>
      <c r="Y491" s="35"/>
      <c r="Z491" s="35"/>
      <c r="AA491" s="35"/>
    </row>
    <row r="492" ht="12.75" customHeight="1">
      <c r="A492" s="35"/>
      <c r="B492" s="35"/>
      <c r="C492" s="35"/>
      <c r="D492" s="35"/>
      <c r="E492" s="35"/>
      <c r="F492" s="35"/>
      <c r="G492" s="35"/>
      <c r="H492" s="35"/>
      <c r="I492" s="35"/>
      <c r="J492" s="35"/>
      <c r="K492" s="35"/>
      <c r="L492" s="35"/>
      <c r="M492" s="35"/>
      <c r="N492" s="35"/>
      <c r="O492" s="35"/>
      <c r="P492" s="35"/>
      <c r="Q492" s="35"/>
      <c r="R492" s="35"/>
      <c r="S492" s="35"/>
      <c r="T492" s="35"/>
      <c r="U492" s="35"/>
      <c r="V492" s="35"/>
      <c r="W492" s="35"/>
      <c r="X492" s="35"/>
      <c r="Y492" s="35"/>
      <c r="Z492" s="35"/>
      <c r="AA492" s="35"/>
    </row>
    <row r="493" ht="12.75" customHeight="1">
      <c r="A493" s="35"/>
      <c r="B493" s="35"/>
      <c r="C493" s="35"/>
      <c r="D493" s="35"/>
      <c r="E493" s="35"/>
      <c r="F493" s="35"/>
      <c r="G493" s="35"/>
      <c r="H493" s="35"/>
      <c r="I493" s="35"/>
      <c r="J493" s="35"/>
      <c r="K493" s="35"/>
      <c r="L493" s="35"/>
      <c r="M493" s="35"/>
      <c r="N493" s="35"/>
      <c r="O493" s="35"/>
      <c r="P493" s="35"/>
      <c r="Q493" s="35"/>
      <c r="R493" s="35"/>
      <c r="S493" s="35"/>
      <c r="T493" s="35"/>
      <c r="U493" s="35"/>
      <c r="V493" s="35"/>
      <c r="W493" s="35"/>
      <c r="X493" s="35"/>
      <c r="Y493" s="35"/>
      <c r="Z493" s="35"/>
      <c r="AA493" s="35"/>
    </row>
    <row r="494" ht="12.75" customHeight="1">
      <c r="A494" s="35"/>
      <c r="B494" s="35"/>
      <c r="C494" s="35"/>
      <c r="D494" s="35"/>
      <c r="E494" s="35"/>
      <c r="F494" s="35"/>
      <c r="G494" s="35"/>
      <c r="H494" s="35"/>
      <c r="I494" s="35"/>
      <c r="J494" s="35"/>
      <c r="K494" s="35"/>
      <c r="L494" s="35"/>
      <c r="M494" s="35"/>
      <c r="N494" s="35"/>
      <c r="O494" s="35"/>
      <c r="P494" s="35"/>
      <c r="Q494" s="35"/>
      <c r="R494" s="35"/>
      <c r="S494" s="35"/>
      <c r="T494" s="35"/>
      <c r="U494" s="35"/>
      <c r="V494" s="35"/>
      <c r="W494" s="35"/>
      <c r="X494" s="35"/>
      <c r="Y494" s="35"/>
      <c r="Z494" s="35"/>
      <c r="AA494" s="35"/>
    </row>
    <row r="495" ht="12.75" customHeight="1">
      <c r="A495" s="35"/>
      <c r="B495" s="35"/>
      <c r="C495" s="35"/>
      <c r="D495" s="35"/>
      <c r="E495" s="35"/>
      <c r="F495" s="35"/>
      <c r="G495" s="35"/>
      <c r="H495" s="35"/>
      <c r="I495" s="35"/>
      <c r="J495" s="35"/>
      <c r="K495" s="35"/>
      <c r="L495" s="35"/>
      <c r="M495" s="35"/>
      <c r="N495" s="35"/>
      <c r="O495" s="35"/>
      <c r="P495" s="35"/>
      <c r="Q495" s="35"/>
      <c r="R495" s="35"/>
      <c r="S495" s="35"/>
      <c r="T495" s="35"/>
      <c r="U495" s="35"/>
      <c r="V495" s="35"/>
      <c r="W495" s="35"/>
      <c r="X495" s="35"/>
      <c r="Y495" s="35"/>
      <c r="Z495" s="35"/>
      <c r="AA495" s="35"/>
    </row>
    <row r="496" ht="12.75" customHeight="1">
      <c r="A496" s="35"/>
      <c r="B496" s="35"/>
      <c r="C496" s="35"/>
      <c r="D496" s="35"/>
      <c r="E496" s="35"/>
      <c r="F496" s="35"/>
      <c r="G496" s="35"/>
      <c r="H496" s="35"/>
      <c r="I496" s="35"/>
      <c r="J496" s="35"/>
      <c r="K496" s="35"/>
      <c r="L496" s="35"/>
      <c r="M496" s="35"/>
      <c r="N496" s="35"/>
      <c r="O496" s="35"/>
      <c r="P496" s="35"/>
      <c r="Q496" s="35"/>
      <c r="R496" s="35"/>
      <c r="S496" s="35"/>
      <c r="T496" s="35"/>
      <c r="U496" s="35"/>
      <c r="V496" s="35"/>
      <c r="W496" s="35"/>
      <c r="X496" s="35"/>
      <c r="Y496" s="35"/>
      <c r="Z496" s="35"/>
      <c r="AA496" s="35"/>
    </row>
    <row r="497" ht="12.75" customHeight="1">
      <c r="A497" s="35"/>
      <c r="B497" s="35"/>
      <c r="C497" s="35"/>
      <c r="D497" s="35"/>
      <c r="E497" s="35"/>
      <c r="F497" s="35"/>
      <c r="G497" s="35"/>
      <c r="H497" s="35"/>
      <c r="I497" s="35"/>
      <c r="J497" s="35"/>
      <c r="K497" s="35"/>
      <c r="L497" s="35"/>
      <c r="M497" s="35"/>
      <c r="N497" s="35"/>
      <c r="O497" s="35"/>
      <c r="P497" s="35"/>
      <c r="Q497" s="35"/>
      <c r="R497" s="35"/>
      <c r="S497" s="35"/>
      <c r="T497" s="35"/>
      <c r="U497" s="35"/>
      <c r="V497" s="35"/>
      <c r="W497" s="35"/>
      <c r="X497" s="35"/>
      <c r="Y497" s="35"/>
      <c r="Z497" s="35"/>
      <c r="AA497" s="35"/>
    </row>
    <row r="498" ht="12.75" customHeight="1">
      <c r="A498" s="35"/>
      <c r="B498" s="35"/>
      <c r="C498" s="35"/>
      <c r="D498" s="35"/>
      <c r="E498" s="35"/>
      <c r="F498" s="35"/>
      <c r="G498" s="35"/>
      <c r="H498" s="35"/>
      <c r="I498" s="35"/>
      <c r="J498" s="35"/>
      <c r="K498" s="35"/>
      <c r="L498" s="35"/>
      <c r="M498" s="35"/>
      <c r="N498" s="35"/>
      <c r="O498" s="35"/>
      <c r="P498" s="35"/>
      <c r="Q498" s="35"/>
      <c r="R498" s="35"/>
      <c r="S498" s="35"/>
      <c r="T498" s="35"/>
      <c r="U498" s="35"/>
      <c r="V498" s="35"/>
      <c r="W498" s="35"/>
      <c r="X498" s="35"/>
      <c r="Y498" s="35"/>
      <c r="Z498" s="35"/>
      <c r="AA498" s="35"/>
    </row>
    <row r="499" ht="12.75" customHeight="1">
      <c r="A499" s="35"/>
      <c r="B499" s="35"/>
      <c r="C499" s="35"/>
      <c r="D499" s="35"/>
      <c r="E499" s="35"/>
      <c r="F499" s="35"/>
      <c r="G499" s="35"/>
      <c r="H499" s="35"/>
      <c r="I499" s="35"/>
      <c r="J499" s="35"/>
      <c r="K499" s="35"/>
      <c r="L499" s="35"/>
      <c r="M499" s="35"/>
      <c r="N499" s="35"/>
      <c r="O499" s="35"/>
      <c r="P499" s="35"/>
      <c r="Q499" s="35"/>
      <c r="R499" s="35"/>
      <c r="S499" s="35"/>
      <c r="T499" s="35"/>
      <c r="U499" s="35"/>
      <c r="V499" s="35"/>
      <c r="W499" s="35"/>
      <c r="X499" s="35"/>
      <c r="Y499" s="35"/>
      <c r="Z499" s="35"/>
      <c r="AA499" s="35"/>
    </row>
    <row r="500" ht="12.75" customHeight="1">
      <c r="A500" s="35"/>
      <c r="B500" s="35"/>
      <c r="C500" s="35"/>
      <c r="D500" s="35"/>
      <c r="E500" s="35"/>
      <c r="F500" s="35"/>
      <c r="G500" s="35"/>
      <c r="H500" s="35"/>
      <c r="I500" s="35"/>
      <c r="J500" s="35"/>
      <c r="K500" s="35"/>
      <c r="L500" s="35"/>
      <c r="M500" s="35"/>
      <c r="N500" s="35"/>
      <c r="O500" s="35"/>
      <c r="P500" s="35"/>
      <c r="Q500" s="35"/>
      <c r="R500" s="35"/>
      <c r="S500" s="35"/>
      <c r="T500" s="35"/>
      <c r="U500" s="35"/>
      <c r="V500" s="35"/>
      <c r="W500" s="35"/>
      <c r="X500" s="35"/>
      <c r="Y500" s="35"/>
      <c r="Z500" s="35"/>
      <c r="AA500" s="35"/>
    </row>
    <row r="501" ht="12.75" customHeight="1">
      <c r="A501" s="35"/>
      <c r="B501" s="35"/>
      <c r="C501" s="35"/>
      <c r="D501" s="35"/>
      <c r="E501" s="35"/>
      <c r="F501" s="35"/>
      <c r="G501" s="35"/>
      <c r="H501" s="35"/>
      <c r="I501" s="35"/>
      <c r="J501" s="35"/>
      <c r="K501" s="35"/>
      <c r="L501" s="35"/>
      <c r="M501" s="35"/>
      <c r="N501" s="35"/>
      <c r="O501" s="35"/>
      <c r="P501" s="35"/>
      <c r="Q501" s="35"/>
      <c r="R501" s="35"/>
      <c r="S501" s="35"/>
      <c r="T501" s="35"/>
      <c r="U501" s="35"/>
      <c r="V501" s="35"/>
      <c r="W501" s="35"/>
      <c r="X501" s="35"/>
      <c r="Y501" s="35"/>
      <c r="Z501" s="35"/>
      <c r="AA501" s="35"/>
    </row>
    <row r="502" ht="12.75" customHeight="1">
      <c r="A502" s="35"/>
      <c r="B502" s="35"/>
      <c r="C502" s="35"/>
      <c r="D502" s="35"/>
      <c r="E502" s="35"/>
      <c r="F502" s="35"/>
      <c r="G502" s="35"/>
      <c r="H502" s="35"/>
      <c r="I502" s="35"/>
      <c r="J502" s="35"/>
      <c r="K502" s="35"/>
      <c r="L502" s="35"/>
      <c r="M502" s="35"/>
      <c r="N502" s="35"/>
      <c r="O502" s="35"/>
      <c r="P502" s="35"/>
      <c r="Q502" s="35"/>
      <c r="R502" s="35"/>
      <c r="S502" s="35"/>
      <c r="T502" s="35"/>
      <c r="U502" s="35"/>
      <c r="V502" s="35"/>
      <c r="W502" s="35"/>
      <c r="X502" s="35"/>
      <c r="Y502" s="35"/>
      <c r="Z502" s="35"/>
      <c r="AA502" s="35"/>
    </row>
    <row r="503" ht="12.75" customHeight="1">
      <c r="A503" s="35"/>
      <c r="B503" s="35"/>
      <c r="C503" s="35"/>
      <c r="D503" s="35"/>
      <c r="E503" s="35"/>
      <c r="F503" s="35"/>
      <c r="G503" s="35"/>
      <c r="H503" s="35"/>
      <c r="I503" s="35"/>
      <c r="J503" s="35"/>
      <c r="K503" s="35"/>
      <c r="L503" s="35"/>
      <c r="M503" s="35"/>
      <c r="N503" s="35"/>
      <c r="O503" s="35"/>
      <c r="P503" s="35"/>
      <c r="Q503" s="35"/>
      <c r="R503" s="35"/>
      <c r="S503" s="35"/>
      <c r="T503" s="35"/>
      <c r="U503" s="35"/>
      <c r="V503" s="35"/>
      <c r="W503" s="35"/>
      <c r="X503" s="35"/>
      <c r="Y503" s="35"/>
      <c r="Z503" s="35"/>
      <c r="AA503" s="35"/>
    </row>
    <row r="504" ht="12.75" customHeight="1">
      <c r="A504" s="35"/>
      <c r="B504" s="35"/>
      <c r="C504" s="35"/>
      <c r="D504" s="35"/>
      <c r="E504" s="35"/>
      <c r="F504" s="35"/>
      <c r="G504" s="35"/>
      <c r="H504" s="35"/>
      <c r="I504" s="35"/>
      <c r="J504" s="35"/>
      <c r="K504" s="35"/>
      <c r="L504" s="35"/>
      <c r="M504" s="35"/>
      <c r="N504" s="35"/>
      <c r="O504" s="35"/>
      <c r="P504" s="35"/>
      <c r="Q504" s="35"/>
      <c r="R504" s="35"/>
      <c r="S504" s="35"/>
      <c r="T504" s="35"/>
      <c r="U504" s="35"/>
      <c r="V504" s="35"/>
      <c r="W504" s="35"/>
      <c r="X504" s="35"/>
      <c r="Y504" s="35"/>
      <c r="Z504" s="35"/>
      <c r="AA504" s="35"/>
    </row>
    <row r="505" ht="12.75" customHeight="1">
      <c r="A505" s="35"/>
      <c r="B505" s="35"/>
      <c r="C505" s="35"/>
      <c r="D505" s="35"/>
      <c r="E505" s="35"/>
      <c r="F505" s="35"/>
      <c r="G505" s="35"/>
      <c r="H505" s="35"/>
      <c r="I505" s="35"/>
      <c r="J505" s="35"/>
      <c r="K505" s="35"/>
      <c r="L505" s="35"/>
      <c r="M505" s="35"/>
      <c r="N505" s="35"/>
      <c r="O505" s="35"/>
      <c r="P505" s="35"/>
      <c r="Q505" s="35"/>
      <c r="R505" s="35"/>
      <c r="S505" s="35"/>
      <c r="T505" s="35"/>
      <c r="U505" s="35"/>
      <c r="V505" s="35"/>
      <c r="W505" s="35"/>
      <c r="X505" s="35"/>
      <c r="Y505" s="35"/>
      <c r="Z505" s="35"/>
      <c r="AA505" s="35"/>
    </row>
    <row r="506" ht="12.75" customHeight="1">
      <c r="A506" s="35"/>
      <c r="B506" s="35"/>
      <c r="C506" s="35"/>
      <c r="D506" s="35"/>
      <c r="E506" s="35"/>
      <c r="F506" s="35"/>
      <c r="G506" s="35"/>
      <c r="H506" s="35"/>
      <c r="I506" s="35"/>
      <c r="J506" s="35"/>
      <c r="K506" s="35"/>
      <c r="L506" s="35"/>
      <c r="M506" s="35"/>
      <c r="N506" s="35"/>
      <c r="O506" s="35"/>
      <c r="P506" s="35"/>
      <c r="Q506" s="35"/>
      <c r="R506" s="35"/>
      <c r="S506" s="35"/>
      <c r="T506" s="35"/>
      <c r="U506" s="35"/>
      <c r="V506" s="35"/>
      <c r="W506" s="35"/>
      <c r="X506" s="35"/>
      <c r="Y506" s="35"/>
      <c r="Z506" s="35"/>
      <c r="AA506" s="35"/>
    </row>
    <row r="507" ht="12.75" customHeight="1">
      <c r="A507" s="35"/>
      <c r="B507" s="35"/>
      <c r="C507" s="35"/>
      <c r="D507" s="35"/>
      <c r="E507" s="35"/>
      <c r="F507" s="35"/>
      <c r="G507" s="35"/>
      <c r="H507" s="35"/>
      <c r="I507" s="35"/>
      <c r="J507" s="35"/>
      <c r="K507" s="35"/>
      <c r="L507" s="35"/>
      <c r="M507" s="35"/>
      <c r="N507" s="35"/>
      <c r="O507" s="35"/>
      <c r="P507" s="35"/>
      <c r="Q507" s="35"/>
      <c r="R507" s="35"/>
      <c r="S507" s="35"/>
      <c r="T507" s="35"/>
      <c r="U507" s="35"/>
      <c r="V507" s="35"/>
      <c r="W507" s="35"/>
      <c r="X507" s="35"/>
      <c r="Y507" s="35"/>
      <c r="Z507" s="35"/>
      <c r="AA507" s="35"/>
    </row>
    <row r="508" ht="12.75" customHeight="1">
      <c r="A508" s="35"/>
      <c r="B508" s="35"/>
      <c r="C508" s="35"/>
      <c r="D508" s="35"/>
      <c r="E508" s="35"/>
      <c r="F508" s="35"/>
      <c r="G508" s="35"/>
      <c r="H508" s="35"/>
      <c r="I508" s="35"/>
      <c r="J508" s="35"/>
      <c r="K508" s="35"/>
      <c r="L508" s="35"/>
      <c r="M508" s="35"/>
      <c r="N508" s="35"/>
      <c r="O508" s="35"/>
      <c r="P508" s="35"/>
      <c r="Q508" s="35"/>
      <c r="R508" s="35"/>
      <c r="S508" s="35"/>
      <c r="T508" s="35"/>
      <c r="U508" s="35"/>
      <c r="V508" s="35"/>
      <c r="W508" s="35"/>
      <c r="X508" s="35"/>
      <c r="Y508" s="35"/>
      <c r="Z508" s="35"/>
      <c r="AA508" s="35"/>
    </row>
    <row r="509" ht="12.75" customHeight="1">
      <c r="A509" s="35"/>
      <c r="B509" s="35"/>
      <c r="C509" s="35"/>
      <c r="D509" s="35"/>
      <c r="E509" s="35"/>
      <c r="F509" s="35"/>
      <c r="G509" s="35"/>
      <c r="H509" s="35"/>
      <c r="I509" s="35"/>
      <c r="J509" s="35"/>
      <c r="K509" s="35"/>
      <c r="L509" s="35"/>
      <c r="M509" s="35"/>
      <c r="N509" s="35"/>
      <c r="O509" s="35"/>
      <c r="P509" s="35"/>
      <c r="Q509" s="35"/>
      <c r="R509" s="35"/>
      <c r="S509" s="35"/>
      <c r="T509" s="35"/>
      <c r="U509" s="35"/>
      <c r="V509" s="35"/>
      <c r="W509" s="35"/>
      <c r="X509" s="35"/>
      <c r="Y509" s="35"/>
      <c r="Z509" s="35"/>
      <c r="AA509" s="35"/>
    </row>
    <row r="510" ht="12.75" customHeight="1">
      <c r="A510" s="35"/>
      <c r="B510" s="35"/>
      <c r="C510" s="35"/>
      <c r="D510" s="35"/>
      <c r="E510" s="35"/>
      <c r="F510" s="35"/>
      <c r="G510" s="35"/>
      <c r="H510" s="35"/>
      <c r="I510" s="35"/>
      <c r="J510" s="35"/>
      <c r="K510" s="35"/>
      <c r="L510" s="35"/>
      <c r="M510" s="35"/>
      <c r="N510" s="35"/>
      <c r="O510" s="35"/>
      <c r="P510" s="35"/>
      <c r="Q510" s="35"/>
      <c r="R510" s="35"/>
      <c r="S510" s="35"/>
      <c r="T510" s="35"/>
      <c r="U510" s="35"/>
      <c r="V510" s="35"/>
      <c r="W510" s="35"/>
      <c r="X510" s="35"/>
      <c r="Y510" s="35"/>
      <c r="Z510" s="35"/>
      <c r="AA510" s="35"/>
    </row>
    <row r="511" ht="12.75" customHeight="1">
      <c r="A511" s="35"/>
      <c r="B511" s="35"/>
      <c r="C511" s="35"/>
      <c r="D511" s="35"/>
      <c r="E511" s="35"/>
      <c r="F511" s="35"/>
      <c r="G511" s="35"/>
      <c r="H511" s="35"/>
      <c r="I511" s="35"/>
      <c r="J511" s="35"/>
      <c r="K511" s="35"/>
      <c r="L511" s="35"/>
      <c r="M511" s="35"/>
      <c r="N511" s="35"/>
      <c r="O511" s="35"/>
      <c r="P511" s="35"/>
      <c r="Q511" s="35"/>
      <c r="R511" s="35"/>
      <c r="S511" s="35"/>
      <c r="T511" s="35"/>
      <c r="U511" s="35"/>
      <c r="V511" s="35"/>
      <c r="W511" s="35"/>
      <c r="X511" s="35"/>
      <c r="Y511" s="35"/>
      <c r="Z511" s="35"/>
      <c r="AA511" s="35"/>
    </row>
    <row r="512" ht="12.75" customHeight="1">
      <c r="A512" s="35"/>
      <c r="B512" s="35"/>
      <c r="C512" s="35"/>
      <c r="D512" s="35"/>
      <c r="E512" s="35"/>
      <c r="F512" s="35"/>
      <c r="G512" s="35"/>
      <c r="H512" s="35"/>
      <c r="I512" s="35"/>
      <c r="J512" s="35"/>
      <c r="K512" s="35"/>
      <c r="L512" s="35"/>
      <c r="M512" s="35"/>
      <c r="N512" s="35"/>
      <c r="O512" s="35"/>
      <c r="P512" s="35"/>
      <c r="Q512" s="35"/>
      <c r="R512" s="35"/>
      <c r="S512" s="35"/>
      <c r="T512" s="35"/>
      <c r="U512" s="35"/>
      <c r="V512" s="35"/>
      <c r="W512" s="35"/>
      <c r="X512" s="35"/>
      <c r="Y512" s="35"/>
      <c r="Z512" s="35"/>
      <c r="AA512" s="35"/>
    </row>
    <row r="513" ht="12.75" customHeight="1">
      <c r="A513" s="35"/>
      <c r="B513" s="35"/>
      <c r="C513" s="35"/>
      <c r="D513" s="35"/>
      <c r="E513" s="35"/>
      <c r="F513" s="35"/>
      <c r="G513" s="35"/>
      <c r="H513" s="35"/>
      <c r="I513" s="35"/>
      <c r="J513" s="35"/>
      <c r="K513" s="35"/>
      <c r="L513" s="35"/>
      <c r="M513" s="35"/>
      <c r="N513" s="35"/>
      <c r="O513" s="35"/>
      <c r="P513" s="35"/>
      <c r="Q513" s="35"/>
      <c r="R513" s="35"/>
      <c r="S513" s="35"/>
      <c r="T513" s="35"/>
      <c r="U513" s="35"/>
      <c r="V513" s="35"/>
      <c r="W513" s="35"/>
      <c r="X513" s="35"/>
      <c r="Y513" s="35"/>
      <c r="Z513" s="35"/>
      <c r="AA513" s="35"/>
    </row>
    <row r="514" ht="12.75" customHeight="1">
      <c r="A514" s="35"/>
      <c r="B514" s="35"/>
      <c r="C514" s="35"/>
      <c r="D514" s="35"/>
      <c r="E514" s="35"/>
      <c r="F514" s="35"/>
      <c r="G514" s="35"/>
      <c r="H514" s="35"/>
      <c r="I514" s="35"/>
      <c r="J514" s="35"/>
      <c r="K514" s="35"/>
      <c r="L514" s="35"/>
      <c r="M514" s="35"/>
      <c r="N514" s="35"/>
      <c r="O514" s="35"/>
      <c r="P514" s="35"/>
      <c r="Q514" s="35"/>
      <c r="R514" s="35"/>
      <c r="S514" s="35"/>
      <c r="T514" s="35"/>
      <c r="U514" s="35"/>
      <c r="V514" s="35"/>
      <c r="W514" s="35"/>
      <c r="X514" s="35"/>
      <c r="Y514" s="35"/>
      <c r="Z514" s="35"/>
      <c r="AA514" s="35"/>
    </row>
    <row r="515" ht="12.75" customHeight="1">
      <c r="A515" s="35"/>
      <c r="B515" s="35"/>
      <c r="C515" s="35"/>
      <c r="D515" s="35"/>
      <c r="E515" s="35"/>
      <c r="F515" s="35"/>
      <c r="G515" s="35"/>
      <c r="H515" s="35"/>
      <c r="I515" s="35"/>
      <c r="J515" s="35"/>
      <c r="K515" s="35"/>
      <c r="L515" s="35"/>
      <c r="M515" s="35"/>
      <c r="N515" s="35"/>
      <c r="O515" s="35"/>
      <c r="P515" s="35"/>
      <c r="Q515" s="35"/>
      <c r="R515" s="35"/>
      <c r="S515" s="35"/>
      <c r="T515" s="35"/>
      <c r="U515" s="35"/>
      <c r="V515" s="35"/>
      <c r="W515" s="35"/>
      <c r="X515" s="35"/>
      <c r="Y515" s="35"/>
      <c r="Z515" s="35"/>
      <c r="AA515" s="35"/>
    </row>
    <row r="516" ht="12.75" customHeight="1">
      <c r="A516" s="35"/>
      <c r="B516" s="35"/>
      <c r="C516" s="35"/>
      <c r="D516" s="35"/>
      <c r="E516" s="35"/>
      <c r="F516" s="35"/>
      <c r="G516" s="35"/>
      <c r="H516" s="35"/>
      <c r="I516" s="35"/>
      <c r="J516" s="35"/>
      <c r="K516" s="35"/>
      <c r="L516" s="35"/>
      <c r="M516" s="35"/>
      <c r="N516" s="35"/>
      <c r="O516" s="35"/>
      <c r="P516" s="35"/>
      <c r="Q516" s="35"/>
      <c r="R516" s="35"/>
      <c r="S516" s="35"/>
      <c r="T516" s="35"/>
      <c r="U516" s="35"/>
      <c r="V516" s="35"/>
      <c r="W516" s="35"/>
      <c r="X516" s="35"/>
      <c r="Y516" s="35"/>
      <c r="Z516" s="35"/>
      <c r="AA516" s="35"/>
    </row>
    <row r="517" ht="12.75" customHeight="1">
      <c r="A517" s="35"/>
      <c r="B517" s="35"/>
      <c r="C517" s="35"/>
      <c r="D517" s="35"/>
      <c r="E517" s="35"/>
      <c r="F517" s="35"/>
      <c r="G517" s="35"/>
      <c r="H517" s="35"/>
      <c r="I517" s="35"/>
      <c r="J517" s="35"/>
      <c r="K517" s="35"/>
      <c r="L517" s="35"/>
      <c r="M517" s="35"/>
      <c r="N517" s="35"/>
      <c r="O517" s="35"/>
      <c r="P517" s="35"/>
      <c r="Q517" s="35"/>
      <c r="R517" s="35"/>
      <c r="S517" s="35"/>
      <c r="T517" s="35"/>
      <c r="U517" s="35"/>
      <c r="V517" s="35"/>
      <c r="W517" s="35"/>
      <c r="X517" s="35"/>
      <c r="Y517" s="35"/>
      <c r="Z517" s="35"/>
      <c r="AA517" s="35"/>
    </row>
    <row r="518" ht="12.75" customHeight="1">
      <c r="A518" s="35"/>
      <c r="B518" s="35"/>
      <c r="C518" s="35"/>
      <c r="D518" s="35"/>
      <c r="E518" s="35"/>
      <c r="F518" s="35"/>
      <c r="G518" s="35"/>
      <c r="H518" s="35"/>
      <c r="I518" s="35"/>
      <c r="J518" s="35"/>
      <c r="K518" s="35"/>
      <c r="L518" s="35"/>
      <c r="M518" s="35"/>
      <c r="N518" s="35"/>
      <c r="O518" s="35"/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5"/>
      <c r="AA518" s="35"/>
    </row>
    <row r="519" ht="12.75" customHeight="1">
      <c r="A519" s="35"/>
      <c r="B519" s="35"/>
      <c r="C519" s="35"/>
      <c r="D519" s="35"/>
      <c r="E519" s="35"/>
      <c r="F519" s="35"/>
      <c r="G519" s="35"/>
      <c r="H519" s="35"/>
      <c r="I519" s="35"/>
      <c r="J519" s="35"/>
      <c r="K519" s="35"/>
      <c r="L519" s="35"/>
      <c r="M519" s="35"/>
      <c r="N519" s="35"/>
      <c r="O519" s="35"/>
      <c r="P519" s="35"/>
      <c r="Q519" s="35"/>
      <c r="R519" s="35"/>
      <c r="S519" s="35"/>
      <c r="T519" s="35"/>
      <c r="U519" s="35"/>
      <c r="V519" s="35"/>
      <c r="W519" s="35"/>
      <c r="X519" s="35"/>
      <c r="Y519" s="35"/>
      <c r="Z519" s="35"/>
      <c r="AA519" s="35"/>
    </row>
    <row r="520" ht="12.75" customHeight="1">
      <c r="A520" s="35"/>
      <c r="B520" s="35"/>
      <c r="C520" s="35"/>
      <c r="D520" s="35"/>
      <c r="E520" s="35"/>
      <c r="F520" s="35"/>
      <c r="G520" s="35"/>
      <c r="H520" s="35"/>
      <c r="I520" s="35"/>
      <c r="J520" s="35"/>
      <c r="K520" s="35"/>
      <c r="L520" s="35"/>
      <c r="M520" s="35"/>
      <c r="N520" s="35"/>
      <c r="O520" s="35"/>
      <c r="P520" s="35"/>
      <c r="Q520" s="35"/>
      <c r="R520" s="35"/>
      <c r="S520" s="35"/>
      <c r="T520" s="35"/>
      <c r="U520" s="35"/>
      <c r="V520" s="35"/>
      <c r="W520" s="35"/>
      <c r="X520" s="35"/>
      <c r="Y520" s="35"/>
      <c r="Z520" s="35"/>
      <c r="AA520" s="35"/>
    </row>
    <row r="521" ht="12.75" customHeight="1">
      <c r="A521" s="35"/>
      <c r="B521" s="35"/>
      <c r="C521" s="35"/>
      <c r="D521" s="35"/>
      <c r="E521" s="35"/>
      <c r="F521" s="35"/>
      <c r="G521" s="35"/>
      <c r="H521" s="35"/>
      <c r="I521" s="35"/>
      <c r="J521" s="35"/>
      <c r="K521" s="35"/>
      <c r="L521" s="35"/>
      <c r="M521" s="35"/>
      <c r="N521" s="35"/>
      <c r="O521" s="35"/>
      <c r="P521" s="35"/>
      <c r="Q521" s="35"/>
      <c r="R521" s="35"/>
      <c r="S521" s="35"/>
      <c r="T521" s="35"/>
      <c r="U521" s="35"/>
      <c r="V521" s="35"/>
      <c r="W521" s="35"/>
      <c r="X521" s="35"/>
      <c r="Y521" s="35"/>
      <c r="Z521" s="35"/>
      <c r="AA521" s="35"/>
    </row>
    <row r="522" ht="12.75" customHeight="1">
      <c r="A522" s="35"/>
      <c r="B522" s="35"/>
      <c r="C522" s="35"/>
      <c r="D522" s="35"/>
      <c r="E522" s="35"/>
      <c r="F522" s="35"/>
      <c r="G522" s="35"/>
      <c r="H522" s="35"/>
      <c r="I522" s="35"/>
      <c r="J522" s="35"/>
      <c r="K522" s="35"/>
      <c r="L522" s="35"/>
      <c r="M522" s="35"/>
      <c r="N522" s="35"/>
      <c r="O522" s="35"/>
      <c r="P522" s="35"/>
      <c r="Q522" s="35"/>
      <c r="R522" s="35"/>
      <c r="S522" s="35"/>
      <c r="T522" s="35"/>
      <c r="U522" s="35"/>
      <c r="V522" s="35"/>
      <c r="W522" s="35"/>
      <c r="X522" s="35"/>
      <c r="Y522" s="35"/>
      <c r="Z522" s="35"/>
      <c r="AA522" s="35"/>
    </row>
    <row r="523" ht="12.75" customHeight="1">
      <c r="A523" s="35"/>
      <c r="B523" s="35"/>
      <c r="C523" s="35"/>
      <c r="D523" s="35"/>
      <c r="E523" s="35"/>
      <c r="F523" s="35"/>
      <c r="G523" s="35"/>
      <c r="H523" s="35"/>
      <c r="I523" s="35"/>
      <c r="J523" s="35"/>
      <c r="K523" s="35"/>
      <c r="L523" s="35"/>
      <c r="M523" s="35"/>
      <c r="N523" s="35"/>
      <c r="O523" s="35"/>
      <c r="P523" s="35"/>
      <c r="Q523" s="35"/>
      <c r="R523" s="35"/>
      <c r="S523" s="35"/>
      <c r="T523" s="35"/>
      <c r="U523" s="35"/>
      <c r="V523" s="35"/>
      <c r="W523" s="35"/>
      <c r="X523" s="35"/>
      <c r="Y523" s="35"/>
      <c r="Z523" s="35"/>
      <c r="AA523" s="35"/>
    </row>
    <row r="524" ht="12.75" customHeight="1">
      <c r="A524" s="35"/>
      <c r="B524" s="35"/>
      <c r="C524" s="35"/>
      <c r="D524" s="35"/>
      <c r="E524" s="35"/>
      <c r="F524" s="35"/>
      <c r="G524" s="35"/>
      <c r="H524" s="35"/>
      <c r="I524" s="35"/>
      <c r="J524" s="35"/>
      <c r="K524" s="35"/>
      <c r="L524" s="35"/>
      <c r="M524" s="35"/>
      <c r="N524" s="35"/>
      <c r="O524" s="35"/>
      <c r="P524" s="35"/>
      <c r="Q524" s="35"/>
      <c r="R524" s="35"/>
      <c r="S524" s="35"/>
      <c r="T524" s="35"/>
      <c r="U524" s="35"/>
      <c r="V524" s="35"/>
      <c r="W524" s="35"/>
      <c r="X524" s="35"/>
      <c r="Y524" s="35"/>
      <c r="Z524" s="35"/>
      <c r="AA524" s="35"/>
    </row>
    <row r="525" ht="12.75" customHeight="1">
      <c r="A525" s="35"/>
      <c r="B525" s="35"/>
      <c r="C525" s="35"/>
      <c r="D525" s="35"/>
      <c r="E525" s="35"/>
      <c r="F525" s="35"/>
      <c r="G525" s="35"/>
      <c r="H525" s="35"/>
      <c r="I525" s="35"/>
      <c r="J525" s="35"/>
      <c r="K525" s="35"/>
      <c r="L525" s="35"/>
      <c r="M525" s="35"/>
      <c r="N525" s="35"/>
      <c r="O525" s="35"/>
      <c r="P525" s="35"/>
      <c r="Q525" s="35"/>
      <c r="R525" s="35"/>
      <c r="S525" s="35"/>
      <c r="T525" s="35"/>
      <c r="U525" s="35"/>
      <c r="V525" s="35"/>
      <c r="W525" s="35"/>
      <c r="X525" s="35"/>
      <c r="Y525" s="35"/>
      <c r="Z525" s="35"/>
      <c r="AA525" s="35"/>
    </row>
    <row r="526" ht="12.75" customHeight="1">
      <c r="A526" s="35"/>
      <c r="B526" s="35"/>
      <c r="C526" s="35"/>
      <c r="D526" s="35"/>
      <c r="E526" s="35"/>
      <c r="F526" s="35"/>
      <c r="G526" s="35"/>
      <c r="H526" s="35"/>
      <c r="I526" s="35"/>
      <c r="J526" s="35"/>
      <c r="K526" s="35"/>
      <c r="L526" s="35"/>
      <c r="M526" s="35"/>
      <c r="N526" s="35"/>
      <c r="O526" s="35"/>
      <c r="P526" s="35"/>
      <c r="Q526" s="35"/>
      <c r="R526" s="35"/>
      <c r="S526" s="35"/>
      <c r="T526" s="35"/>
      <c r="U526" s="35"/>
      <c r="V526" s="35"/>
      <c r="W526" s="35"/>
      <c r="X526" s="35"/>
      <c r="Y526" s="35"/>
      <c r="Z526" s="35"/>
      <c r="AA526" s="35"/>
    </row>
    <row r="527" ht="12.75" customHeight="1">
      <c r="A527" s="35"/>
      <c r="B527" s="35"/>
      <c r="C527" s="35"/>
      <c r="D527" s="35"/>
      <c r="E527" s="35"/>
      <c r="F527" s="35"/>
      <c r="G527" s="35"/>
      <c r="H527" s="35"/>
      <c r="I527" s="35"/>
      <c r="J527" s="35"/>
      <c r="K527" s="35"/>
      <c r="L527" s="35"/>
      <c r="M527" s="35"/>
      <c r="N527" s="35"/>
      <c r="O527" s="35"/>
      <c r="P527" s="35"/>
      <c r="Q527" s="35"/>
      <c r="R527" s="35"/>
      <c r="S527" s="35"/>
      <c r="T527" s="35"/>
      <c r="U527" s="35"/>
      <c r="V527" s="35"/>
      <c r="W527" s="35"/>
      <c r="X527" s="35"/>
      <c r="Y527" s="35"/>
      <c r="Z527" s="35"/>
      <c r="AA527" s="35"/>
    </row>
    <row r="528" ht="12.75" customHeight="1">
      <c r="A528" s="35"/>
      <c r="B528" s="35"/>
      <c r="C528" s="35"/>
      <c r="D528" s="35"/>
      <c r="E528" s="35"/>
      <c r="F528" s="35"/>
      <c r="G528" s="35"/>
      <c r="H528" s="35"/>
      <c r="I528" s="35"/>
      <c r="J528" s="35"/>
      <c r="K528" s="35"/>
      <c r="L528" s="35"/>
      <c r="M528" s="35"/>
      <c r="N528" s="35"/>
      <c r="O528" s="35"/>
      <c r="P528" s="35"/>
      <c r="Q528" s="35"/>
      <c r="R528" s="35"/>
      <c r="S528" s="35"/>
      <c r="T528" s="35"/>
      <c r="U528" s="35"/>
      <c r="V528" s="35"/>
      <c r="W528" s="35"/>
      <c r="X528" s="35"/>
      <c r="Y528" s="35"/>
      <c r="Z528" s="35"/>
      <c r="AA528" s="35"/>
    </row>
    <row r="529" ht="12.75" customHeight="1">
      <c r="A529" s="35"/>
      <c r="B529" s="35"/>
      <c r="C529" s="35"/>
      <c r="D529" s="35"/>
      <c r="E529" s="35"/>
      <c r="F529" s="35"/>
      <c r="G529" s="35"/>
      <c r="H529" s="35"/>
      <c r="I529" s="35"/>
      <c r="J529" s="35"/>
      <c r="K529" s="35"/>
      <c r="L529" s="35"/>
      <c r="M529" s="35"/>
      <c r="N529" s="35"/>
      <c r="O529" s="35"/>
      <c r="P529" s="35"/>
      <c r="Q529" s="35"/>
      <c r="R529" s="35"/>
      <c r="S529" s="35"/>
      <c r="T529" s="35"/>
      <c r="U529" s="35"/>
      <c r="V529" s="35"/>
      <c r="W529" s="35"/>
      <c r="X529" s="35"/>
      <c r="Y529" s="35"/>
      <c r="Z529" s="35"/>
      <c r="AA529" s="35"/>
    </row>
    <row r="530" ht="12.75" customHeight="1">
      <c r="A530" s="35"/>
      <c r="B530" s="35"/>
      <c r="C530" s="35"/>
      <c r="D530" s="35"/>
      <c r="E530" s="35"/>
      <c r="F530" s="35"/>
      <c r="G530" s="35"/>
      <c r="H530" s="35"/>
      <c r="I530" s="35"/>
      <c r="J530" s="35"/>
      <c r="K530" s="35"/>
      <c r="L530" s="35"/>
      <c r="M530" s="35"/>
      <c r="N530" s="35"/>
      <c r="O530" s="35"/>
      <c r="P530" s="35"/>
      <c r="Q530" s="35"/>
      <c r="R530" s="35"/>
      <c r="S530" s="35"/>
      <c r="T530" s="35"/>
      <c r="U530" s="35"/>
      <c r="V530" s="35"/>
      <c r="W530" s="35"/>
      <c r="X530" s="35"/>
      <c r="Y530" s="35"/>
      <c r="Z530" s="35"/>
      <c r="AA530" s="35"/>
    </row>
    <row r="531" ht="12.75" customHeight="1">
      <c r="A531" s="35"/>
      <c r="B531" s="35"/>
      <c r="C531" s="35"/>
      <c r="D531" s="35"/>
      <c r="E531" s="35"/>
      <c r="F531" s="35"/>
      <c r="G531" s="35"/>
      <c r="H531" s="35"/>
      <c r="I531" s="35"/>
      <c r="J531" s="35"/>
      <c r="K531" s="35"/>
      <c r="L531" s="35"/>
      <c r="M531" s="35"/>
      <c r="N531" s="35"/>
      <c r="O531" s="35"/>
      <c r="P531" s="35"/>
      <c r="Q531" s="35"/>
      <c r="R531" s="35"/>
      <c r="S531" s="35"/>
      <c r="T531" s="35"/>
      <c r="U531" s="35"/>
      <c r="V531" s="35"/>
      <c r="W531" s="35"/>
      <c r="X531" s="35"/>
      <c r="Y531" s="35"/>
      <c r="Z531" s="35"/>
      <c r="AA531" s="35"/>
    </row>
    <row r="532" ht="12.75" customHeight="1">
      <c r="A532" s="35"/>
      <c r="B532" s="35"/>
      <c r="C532" s="35"/>
      <c r="D532" s="35"/>
      <c r="E532" s="35"/>
      <c r="F532" s="35"/>
      <c r="G532" s="35"/>
      <c r="H532" s="35"/>
      <c r="I532" s="35"/>
      <c r="J532" s="35"/>
      <c r="K532" s="35"/>
      <c r="L532" s="35"/>
      <c r="M532" s="35"/>
      <c r="N532" s="35"/>
      <c r="O532" s="35"/>
      <c r="P532" s="35"/>
      <c r="Q532" s="35"/>
      <c r="R532" s="35"/>
      <c r="S532" s="35"/>
      <c r="T532" s="35"/>
      <c r="U532" s="35"/>
      <c r="V532" s="35"/>
      <c r="W532" s="35"/>
      <c r="X532" s="35"/>
      <c r="Y532" s="35"/>
      <c r="Z532" s="35"/>
      <c r="AA532" s="35"/>
    </row>
    <row r="533" ht="12.75" customHeight="1">
      <c r="A533" s="35"/>
      <c r="B533" s="35"/>
      <c r="C533" s="35"/>
      <c r="D533" s="35"/>
      <c r="E533" s="35"/>
      <c r="F533" s="35"/>
      <c r="G533" s="35"/>
      <c r="H533" s="35"/>
      <c r="I533" s="35"/>
      <c r="J533" s="35"/>
      <c r="K533" s="35"/>
      <c r="L533" s="35"/>
      <c r="M533" s="35"/>
      <c r="N533" s="35"/>
      <c r="O533" s="35"/>
      <c r="P533" s="35"/>
      <c r="Q533" s="35"/>
      <c r="R533" s="35"/>
      <c r="S533" s="35"/>
      <c r="T533" s="35"/>
      <c r="U533" s="35"/>
      <c r="V533" s="35"/>
      <c r="W533" s="35"/>
      <c r="X533" s="35"/>
      <c r="Y533" s="35"/>
      <c r="Z533" s="35"/>
      <c r="AA533" s="35"/>
    </row>
    <row r="534" ht="12.75" customHeight="1">
      <c r="A534" s="35"/>
      <c r="B534" s="35"/>
      <c r="C534" s="35"/>
      <c r="D534" s="35"/>
      <c r="E534" s="35"/>
      <c r="F534" s="35"/>
      <c r="G534" s="35"/>
      <c r="H534" s="35"/>
      <c r="I534" s="35"/>
      <c r="J534" s="35"/>
      <c r="K534" s="35"/>
      <c r="L534" s="35"/>
      <c r="M534" s="35"/>
      <c r="N534" s="35"/>
      <c r="O534" s="35"/>
      <c r="P534" s="35"/>
      <c r="Q534" s="35"/>
      <c r="R534" s="35"/>
      <c r="S534" s="35"/>
      <c r="T534" s="35"/>
      <c r="U534" s="35"/>
      <c r="V534" s="35"/>
      <c r="W534" s="35"/>
      <c r="X534" s="35"/>
      <c r="Y534" s="35"/>
      <c r="Z534" s="35"/>
      <c r="AA534" s="35"/>
    </row>
    <row r="535" ht="12.75" customHeight="1">
      <c r="A535" s="35"/>
      <c r="B535" s="35"/>
      <c r="C535" s="35"/>
      <c r="D535" s="35"/>
      <c r="E535" s="35"/>
      <c r="F535" s="35"/>
      <c r="G535" s="35"/>
      <c r="H535" s="35"/>
      <c r="I535" s="35"/>
      <c r="J535" s="35"/>
      <c r="K535" s="35"/>
      <c r="L535" s="35"/>
      <c r="M535" s="35"/>
      <c r="N535" s="35"/>
      <c r="O535" s="35"/>
      <c r="P535" s="35"/>
      <c r="Q535" s="35"/>
      <c r="R535" s="35"/>
      <c r="S535" s="35"/>
      <c r="T535" s="35"/>
      <c r="U535" s="35"/>
      <c r="V535" s="35"/>
      <c r="W535" s="35"/>
      <c r="X535" s="35"/>
      <c r="Y535" s="35"/>
      <c r="Z535" s="35"/>
      <c r="AA535" s="35"/>
    </row>
    <row r="536" ht="12.75" customHeight="1">
      <c r="A536" s="35"/>
      <c r="B536" s="35"/>
      <c r="C536" s="35"/>
      <c r="D536" s="35"/>
      <c r="E536" s="35"/>
      <c r="F536" s="35"/>
      <c r="G536" s="35"/>
      <c r="H536" s="35"/>
      <c r="I536" s="35"/>
      <c r="J536" s="35"/>
      <c r="K536" s="35"/>
      <c r="L536" s="35"/>
      <c r="M536" s="35"/>
      <c r="N536" s="35"/>
      <c r="O536" s="35"/>
      <c r="P536" s="35"/>
      <c r="Q536" s="35"/>
      <c r="R536" s="35"/>
      <c r="S536" s="35"/>
      <c r="T536" s="35"/>
      <c r="U536" s="35"/>
      <c r="V536" s="35"/>
      <c r="W536" s="35"/>
      <c r="X536" s="35"/>
      <c r="Y536" s="35"/>
      <c r="Z536" s="35"/>
      <c r="AA536" s="35"/>
    </row>
    <row r="537" ht="12.75" customHeight="1">
      <c r="A537" s="35"/>
      <c r="B537" s="35"/>
      <c r="C537" s="35"/>
      <c r="D537" s="35"/>
      <c r="E537" s="35"/>
      <c r="F537" s="35"/>
      <c r="G537" s="35"/>
      <c r="H537" s="35"/>
      <c r="I537" s="35"/>
      <c r="J537" s="35"/>
      <c r="K537" s="35"/>
      <c r="L537" s="35"/>
      <c r="M537" s="35"/>
      <c r="N537" s="35"/>
      <c r="O537" s="35"/>
      <c r="P537" s="35"/>
      <c r="Q537" s="35"/>
      <c r="R537" s="35"/>
      <c r="S537" s="35"/>
      <c r="T537" s="35"/>
      <c r="U537" s="35"/>
      <c r="V537" s="35"/>
      <c r="W537" s="35"/>
      <c r="X537" s="35"/>
      <c r="Y537" s="35"/>
      <c r="Z537" s="35"/>
      <c r="AA537" s="35"/>
    </row>
    <row r="538" ht="12.75" customHeight="1">
      <c r="A538" s="35"/>
      <c r="B538" s="35"/>
      <c r="C538" s="35"/>
      <c r="D538" s="35"/>
      <c r="E538" s="35"/>
      <c r="F538" s="35"/>
      <c r="G538" s="35"/>
      <c r="H538" s="35"/>
      <c r="I538" s="35"/>
      <c r="J538" s="35"/>
      <c r="K538" s="35"/>
      <c r="L538" s="35"/>
      <c r="M538" s="35"/>
      <c r="N538" s="35"/>
      <c r="O538" s="35"/>
      <c r="P538" s="35"/>
      <c r="Q538" s="35"/>
      <c r="R538" s="35"/>
      <c r="S538" s="35"/>
      <c r="T538" s="35"/>
      <c r="U538" s="35"/>
      <c r="V538" s="35"/>
      <c r="W538" s="35"/>
      <c r="X538" s="35"/>
      <c r="Y538" s="35"/>
      <c r="Z538" s="35"/>
      <c r="AA538" s="35"/>
    </row>
    <row r="539" ht="12.75" customHeight="1">
      <c r="A539" s="35"/>
      <c r="B539" s="35"/>
      <c r="C539" s="35"/>
      <c r="D539" s="35"/>
      <c r="E539" s="35"/>
      <c r="F539" s="35"/>
      <c r="G539" s="35"/>
      <c r="H539" s="35"/>
      <c r="I539" s="35"/>
      <c r="J539" s="35"/>
      <c r="K539" s="35"/>
      <c r="L539" s="35"/>
      <c r="M539" s="35"/>
      <c r="N539" s="35"/>
      <c r="O539" s="35"/>
      <c r="P539" s="35"/>
      <c r="Q539" s="35"/>
      <c r="R539" s="35"/>
      <c r="S539" s="35"/>
      <c r="T539" s="35"/>
      <c r="U539" s="35"/>
      <c r="V539" s="35"/>
      <c r="W539" s="35"/>
      <c r="X539" s="35"/>
      <c r="Y539" s="35"/>
      <c r="Z539" s="35"/>
      <c r="AA539" s="35"/>
    </row>
    <row r="540" ht="12.75" customHeight="1">
      <c r="A540" s="35"/>
      <c r="B540" s="35"/>
      <c r="C540" s="35"/>
      <c r="D540" s="35"/>
      <c r="E540" s="35"/>
      <c r="F540" s="35"/>
      <c r="G540" s="35"/>
      <c r="H540" s="35"/>
      <c r="I540" s="35"/>
      <c r="J540" s="35"/>
      <c r="K540" s="35"/>
      <c r="L540" s="35"/>
      <c r="M540" s="35"/>
      <c r="N540" s="35"/>
      <c r="O540" s="35"/>
      <c r="P540" s="35"/>
      <c r="Q540" s="35"/>
      <c r="R540" s="35"/>
      <c r="S540" s="35"/>
      <c r="T540" s="35"/>
      <c r="U540" s="35"/>
      <c r="V540" s="35"/>
      <c r="W540" s="35"/>
      <c r="X540" s="35"/>
      <c r="Y540" s="35"/>
      <c r="Z540" s="35"/>
      <c r="AA540" s="35"/>
    </row>
    <row r="541" ht="12.75" customHeight="1">
      <c r="A541" s="35"/>
      <c r="B541" s="35"/>
      <c r="C541" s="35"/>
      <c r="D541" s="35"/>
      <c r="E541" s="35"/>
      <c r="F541" s="35"/>
      <c r="G541" s="35"/>
      <c r="H541" s="35"/>
      <c r="I541" s="35"/>
      <c r="J541" s="35"/>
      <c r="K541" s="35"/>
      <c r="L541" s="35"/>
      <c r="M541" s="35"/>
      <c r="N541" s="35"/>
      <c r="O541" s="35"/>
      <c r="P541" s="35"/>
      <c r="Q541" s="35"/>
      <c r="R541" s="35"/>
      <c r="S541" s="35"/>
      <c r="T541" s="35"/>
      <c r="U541" s="35"/>
      <c r="V541" s="35"/>
      <c r="W541" s="35"/>
      <c r="X541" s="35"/>
      <c r="Y541" s="35"/>
      <c r="Z541" s="35"/>
      <c r="AA541" s="35"/>
    </row>
    <row r="542" ht="12.75" customHeight="1">
      <c r="A542" s="35"/>
      <c r="B542" s="35"/>
      <c r="C542" s="35"/>
      <c r="D542" s="35"/>
      <c r="E542" s="35"/>
      <c r="F542" s="35"/>
      <c r="G542" s="35"/>
      <c r="H542" s="35"/>
      <c r="I542" s="35"/>
      <c r="J542" s="35"/>
      <c r="K542" s="35"/>
      <c r="L542" s="35"/>
      <c r="M542" s="35"/>
      <c r="N542" s="35"/>
      <c r="O542" s="35"/>
      <c r="P542" s="35"/>
      <c r="Q542" s="35"/>
      <c r="R542" s="35"/>
      <c r="S542" s="35"/>
      <c r="T542" s="35"/>
      <c r="U542" s="35"/>
      <c r="V542" s="35"/>
      <c r="W542" s="35"/>
      <c r="X542" s="35"/>
      <c r="Y542" s="35"/>
      <c r="Z542" s="35"/>
      <c r="AA542" s="35"/>
    </row>
    <row r="543" ht="12.75" customHeight="1">
      <c r="A543" s="35"/>
      <c r="B543" s="35"/>
      <c r="C543" s="35"/>
      <c r="D543" s="35"/>
      <c r="E543" s="35"/>
      <c r="F543" s="35"/>
      <c r="G543" s="35"/>
      <c r="H543" s="35"/>
      <c r="I543" s="35"/>
      <c r="J543" s="35"/>
      <c r="K543" s="35"/>
      <c r="L543" s="35"/>
      <c r="M543" s="35"/>
      <c r="N543" s="35"/>
      <c r="O543" s="35"/>
      <c r="P543" s="35"/>
      <c r="Q543" s="35"/>
      <c r="R543" s="35"/>
      <c r="S543" s="35"/>
      <c r="T543" s="35"/>
      <c r="U543" s="35"/>
      <c r="V543" s="35"/>
      <c r="W543" s="35"/>
      <c r="X543" s="35"/>
      <c r="Y543" s="35"/>
      <c r="Z543" s="35"/>
      <c r="AA543" s="35"/>
    </row>
    <row r="544" ht="12.75" customHeight="1">
      <c r="A544" s="35"/>
      <c r="B544" s="35"/>
      <c r="C544" s="35"/>
      <c r="D544" s="35"/>
      <c r="E544" s="35"/>
      <c r="F544" s="35"/>
      <c r="G544" s="35"/>
      <c r="H544" s="35"/>
      <c r="I544" s="35"/>
      <c r="J544" s="35"/>
      <c r="K544" s="35"/>
      <c r="L544" s="35"/>
      <c r="M544" s="35"/>
      <c r="N544" s="35"/>
      <c r="O544" s="35"/>
      <c r="P544" s="35"/>
      <c r="Q544" s="35"/>
      <c r="R544" s="35"/>
      <c r="S544" s="35"/>
      <c r="T544" s="35"/>
      <c r="U544" s="35"/>
      <c r="V544" s="35"/>
      <c r="W544" s="35"/>
      <c r="X544" s="35"/>
      <c r="Y544" s="35"/>
      <c r="Z544" s="35"/>
      <c r="AA544" s="35"/>
    </row>
    <row r="545" ht="12.75" customHeight="1">
      <c r="A545" s="35"/>
      <c r="B545" s="35"/>
      <c r="C545" s="35"/>
      <c r="D545" s="35"/>
      <c r="E545" s="35"/>
      <c r="F545" s="35"/>
      <c r="G545" s="35"/>
      <c r="H545" s="35"/>
      <c r="I545" s="35"/>
      <c r="J545" s="35"/>
      <c r="K545" s="35"/>
      <c r="L545" s="35"/>
      <c r="M545" s="35"/>
      <c r="N545" s="35"/>
      <c r="O545" s="35"/>
      <c r="P545" s="35"/>
      <c r="Q545" s="35"/>
      <c r="R545" s="35"/>
      <c r="S545" s="35"/>
      <c r="T545" s="35"/>
      <c r="U545" s="35"/>
      <c r="V545" s="35"/>
      <c r="W545" s="35"/>
      <c r="X545" s="35"/>
      <c r="Y545" s="35"/>
      <c r="Z545" s="35"/>
      <c r="AA545" s="35"/>
    </row>
    <row r="546" ht="12.75" customHeight="1">
      <c r="A546" s="35"/>
      <c r="B546" s="35"/>
      <c r="C546" s="35"/>
      <c r="D546" s="35"/>
      <c r="E546" s="35"/>
      <c r="F546" s="35"/>
      <c r="G546" s="35"/>
      <c r="H546" s="35"/>
      <c r="I546" s="35"/>
      <c r="J546" s="35"/>
      <c r="K546" s="35"/>
      <c r="L546" s="35"/>
      <c r="M546" s="35"/>
      <c r="N546" s="35"/>
      <c r="O546" s="35"/>
      <c r="P546" s="35"/>
      <c r="Q546" s="35"/>
      <c r="R546" s="35"/>
      <c r="S546" s="35"/>
      <c r="T546" s="35"/>
      <c r="U546" s="35"/>
      <c r="V546" s="35"/>
      <c r="W546" s="35"/>
      <c r="X546" s="35"/>
      <c r="Y546" s="35"/>
      <c r="Z546" s="35"/>
      <c r="AA546" s="35"/>
    </row>
    <row r="547" ht="12.75" customHeight="1">
      <c r="A547" s="35"/>
      <c r="B547" s="35"/>
      <c r="C547" s="35"/>
      <c r="D547" s="35"/>
      <c r="E547" s="35"/>
      <c r="F547" s="35"/>
      <c r="G547" s="35"/>
      <c r="H547" s="35"/>
      <c r="I547" s="35"/>
      <c r="J547" s="35"/>
      <c r="K547" s="35"/>
      <c r="L547" s="35"/>
      <c r="M547" s="35"/>
      <c r="N547" s="35"/>
      <c r="O547" s="35"/>
      <c r="P547" s="35"/>
      <c r="Q547" s="35"/>
      <c r="R547" s="35"/>
      <c r="S547" s="35"/>
      <c r="T547" s="35"/>
      <c r="U547" s="35"/>
      <c r="V547" s="35"/>
      <c r="W547" s="35"/>
      <c r="X547" s="35"/>
      <c r="Y547" s="35"/>
      <c r="Z547" s="35"/>
      <c r="AA547" s="35"/>
    </row>
    <row r="548" ht="12.75" customHeight="1">
      <c r="A548" s="35"/>
      <c r="B548" s="35"/>
      <c r="C548" s="35"/>
      <c r="D548" s="35"/>
      <c r="E548" s="35"/>
      <c r="F548" s="35"/>
      <c r="G548" s="35"/>
      <c r="H548" s="35"/>
      <c r="I548" s="35"/>
      <c r="J548" s="35"/>
      <c r="K548" s="35"/>
      <c r="L548" s="35"/>
      <c r="M548" s="35"/>
      <c r="N548" s="35"/>
      <c r="O548" s="35"/>
      <c r="P548" s="35"/>
      <c r="Q548" s="35"/>
      <c r="R548" s="35"/>
      <c r="S548" s="35"/>
      <c r="T548" s="35"/>
      <c r="U548" s="35"/>
      <c r="V548" s="35"/>
      <c r="W548" s="35"/>
      <c r="X548" s="35"/>
      <c r="Y548" s="35"/>
      <c r="Z548" s="35"/>
      <c r="AA548" s="35"/>
    </row>
    <row r="549" ht="12.75" customHeight="1">
      <c r="A549" s="35"/>
      <c r="B549" s="35"/>
      <c r="C549" s="35"/>
      <c r="D549" s="35"/>
      <c r="E549" s="35"/>
      <c r="F549" s="35"/>
      <c r="G549" s="35"/>
      <c r="H549" s="35"/>
      <c r="I549" s="35"/>
      <c r="J549" s="35"/>
      <c r="K549" s="35"/>
      <c r="L549" s="35"/>
      <c r="M549" s="35"/>
      <c r="N549" s="35"/>
      <c r="O549" s="35"/>
      <c r="P549" s="35"/>
      <c r="Q549" s="35"/>
      <c r="R549" s="35"/>
      <c r="S549" s="35"/>
      <c r="T549" s="35"/>
      <c r="U549" s="35"/>
      <c r="V549" s="35"/>
      <c r="W549" s="35"/>
      <c r="X549" s="35"/>
      <c r="Y549" s="35"/>
      <c r="Z549" s="35"/>
      <c r="AA549" s="35"/>
    </row>
    <row r="550" ht="12.75" customHeight="1">
      <c r="A550" s="35"/>
      <c r="B550" s="35"/>
      <c r="C550" s="35"/>
      <c r="D550" s="35"/>
      <c r="E550" s="35"/>
      <c r="F550" s="35"/>
      <c r="G550" s="35"/>
      <c r="H550" s="35"/>
      <c r="I550" s="35"/>
      <c r="J550" s="35"/>
      <c r="K550" s="35"/>
      <c r="L550" s="35"/>
      <c r="M550" s="35"/>
      <c r="N550" s="35"/>
      <c r="O550" s="35"/>
      <c r="P550" s="35"/>
      <c r="Q550" s="35"/>
      <c r="R550" s="35"/>
      <c r="S550" s="35"/>
      <c r="T550" s="35"/>
      <c r="U550" s="35"/>
      <c r="V550" s="35"/>
      <c r="W550" s="35"/>
      <c r="X550" s="35"/>
      <c r="Y550" s="35"/>
      <c r="Z550" s="35"/>
      <c r="AA550" s="35"/>
    </row>
    <row r="551" ht="12.75" customHeight="1">
      <c r="A551" s="35"/>
      <c r="B551" s="35"/>
      <c r="C551" s="35"/>
      <c r="D551" s="35"/>
      <c r="E551" s="35"/>
      <c r="F551" s="35"/>
      <c r="G551" s="35"/>
      <c r="H551" s="35"/>
      <c r="I551" s="35"/>
      <c r="J551" s="35"/>
      <c r="K551" s="35"/>
      <c r="L551" s="35"/>
      <c r="M551" s="35"/>
      <c r="N551" s="35"/>
      <c r="O551" s="35"/>
      <c r="P551" s="35"/>
      <c r="Q551" s="35"/>
      <c r="R551" s="35"/>
      <c r="S551" s="35"/>
      <c r="T551" s="35"/>
      <c r="U551" s="35"/>
      <c r="V551" s="35"/>
      <c r="W551" s="35"/>
      <c r="X551" s="35"/>
      <c r="Y551" s="35"/>
      <c r="Z551" s="35"/>
      <c r="AA551" s="35"/>
    </row>
    <row r="552" ht="12.75" customHeight="1">
      <c r="A552" s="35"/>
      <c r="B552" s="35"/>
      <c r="C552" s="35"/>
      <c r="D552" s="35"/>
      <c r="E552" s="35"/>
      <c r="F552" s="35"/>
      <c r="G552" s="35"/>
      <c r="H552" s="35"/>
      <c r="I552" s="35"/>
      <c r="J552" s="35"/>
      <c r="K552" s="35"/>
      <c r="L552" s="35"/>
      <c r="M552" s="35"/>
      <c r="N552" s="35"/>
      <c r="O552" s="35"/>
      <c r="P552" s="35"/>
      <c r="Q552" s="35"/>
      <c r="R552" s="35"/>
      <c r="S552" s="35"/>
      <c r="T552" s="35"/>
      <c r="U552" s="35"/>
      <c r="V552" s="35"/>
      <c r="W552" s="35"/>
      <c r="X552" s="35"/>
      <c r="Y552" s="35"/>
      <c r="Z552" s="35"/>
      <c r="AA552" s="35"/>
    </row>
    <row r="553" ht="12.75" customHeight="1">
      <c r="A553" s="35"/>
      <c r="B553" s="35"/>
      <c r="C553" s="35"/>
      <c r="D553" s="35"/>
      <c r="E553" s="35"/>
      <c r="F553" s="35"/>
      <c r="G553" s="35"/>
      <c r="H553" s="35"/>
      <c r="I553" s="35"/>
      <c r="J553" s="35"/>
      <c r="K553" s="35"/>
      <c r="L553" s="35"/>
      <c r="M553" s="35"/>
      <c r="N553" s="35"/>
      <c r="O553" s="35"/>
      <c r="P553" s="35"/>
      <c r="Q553" s="35"/>
      <c r="R553" s="35"/>
      <c r="S553" s="35"/>
      <c r="T553" s="35"/>
      <c r="U553" s="35"/>
      <c r="V553" s="35"/>
      <c r="W553" s="35"/>
      <c r="X553" s="35"/>
      <c r="Y553" s="35"/>
      <c r="Z553" s="35"/>
      <c r="AA553" s="35"/>
    </row>
    <row r="554" ht="12.75" customHeight="1">
      <c r="A554" s="35"/>
      <c r="B554" s="35"/>
      <c r="C554" s="35"/>
      <c r="D554" s="35"/>
      <c r="E554" s="35"/>
      <c r="F554" s="35"/>
      <c r="G554" s="35"/>
      <c r="H554" s="35"/>
      <c r="I554" s="35"/>
      <c r="J554" s="35"/>
      <c r="K554" s="35"/>
      <c r="L554" s="35"/>
      <c r="M554" s="35"/>
      <c r="N554" s="35"/>
      <c r="O554" s="35"/>
      <c r="P554" s="35"/>
      <c r="Q554" s="35"/>
      <c r="R554" s="35"/>
      <c r="S554" s="35"/>
      <c r="T554" s="35"/>
      <c r="U554" s="35"/>
      <c r="V554" s="35"/>
      <c r="W554" s="35"/>
      <c r="X554" s="35"/>
      <c r="Y554" s="35"/>
      <c r="Z554" s="35"/>
      <c r="AA554" s="35"/>
    </row>
    <row r="555" ht="12.75" customHeight="1">
      <c r="A555" s="35"/>
      <c r="B555" s="35"/>
      <c r="C555" s="35"/>
      <c r="D555" s="35"/>
      <c r="E555" s="35"/>
      <c r="F555" s="35"/>
      <c r="G555" s="35"/>
      <c r="H555" s="35"/>
      <c r="I555" s="35"/>
      <c r="J555" s="35"/>
      <c r="K555" s="35"/>
      <c r="L555" s="35"/>
      <c r="M555" s="35"/>
      <c r="N555" s="35"/>
      <c r="O555" s="35"/>
      <c r="P555" s="35"/>
      <c r="Q555" s="35"/>
      <c r="R555" s="35"/>
      <c r="S555" s="35"/>
      <c r="T555" s="35"/>
      <c r="U555" s="35"/>
      <c r="V555" s="35"/>
      <c r="W555" s="35"/>
      <c r="X555" s="35"/>
      <c r="Y555" s="35"/>
      <c r="Z555" s="35"/>
      <c r="AA555" s="35"/>
    </row>
    <row r="556" ht="12.75" customHeight="1">
      <c r="A556" s="35"/>
      <c r="B556" s="35"/>
      <c r="C556" s="35"/>
      <c r="D556" s="35"/>
      <c r="E556" s="35"/>
      <c r="F556" s="35"/>
      <c r="G556" s="35"/>
      <c r="H556" s="35"/>
      <c r="I556" s="35"/>
      <c r="J556" s="35"/>
      <c r="K556" s="35"/>
      <c r="L556" s="35"/>
      <c r="M556" s="35"/>
      <c r="N556" s="35"/>
      <c r="O556" s="35"/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5"/>
      <c r="AA556" s="35"/>
    </row>
    <row r="557" ht="12.75" customHeight="1">
      <c r="A557" s="35"/>
      <c r="B557" s="35"/>
      <c r="C557" s="35"/>
      <c r="D557" s="35"/>
      <c r="E557" s="35"/>
      <c r="F557" s="35"/>
      <c r="G557" s="35"/>
      <c r="H557" s="35"/>
      <c r="I557" s="35"/>
      <c r="J557" s="35"/>
      <c r="K557" s="35"/>
      <c r="L557" s="35"/>
      <c r="M557" s="35"/>
      <c r="N557" s="35"/>
      <c r="O557" s="35"/>
      <c r="P557" s="35"/>
      <c r="Q557" s="35"/>
      <c r="R557" s="35"/>
      <c r="S557" s="35"/>
      <c r="T557" s="35"/>
      <c r="U557" s="35"/>
      <c r="V557" s="35"/>
      <c r="W557" s="35"/>
      <c r="X557" s="35"/>
      <c r="Y557" s="35"/>
      <c r="Z557" s="35"/>
      <c r="AA557" s="35"/>
    </row>
    <row r="558" ht="12.75" customHeight="1">
      <c r="A558" s="35"/>
      <c r="B558" s="35"/>
      <c r="C558" s="35"/>
      <c r="D558" s="35"/>
      <c r="E558" s="35"/>
      <c r="F558" s="35"/>
      <c r="G558" s="35"/>
      <c r="H558" s="35"/>
      <c r="I558" s="35"/>
      <c r="J558" s="35"/>
      <c r="K558" s="35"/>
      <c r="L558" s="35"/>
      <c r="M558" s="35"/>
      <c r="N558" s="35"/>
      <c r="O558" s="35"/>
      <c r="P558" s="35"/>
      <c r="Q558" s="35"/>
      <c r="R558" s="35"/>
      <c r="S558" s="35"/>
      <c r="T558" s="35"/>
      <c r="U558" s="35"/>
      <c r="V558" s="35"/>
      <c r="W558" s="35"/>
      <c r="X558" s="35"/>
      <c r="Y558" s="35"/>
      <c r="Z558" s="35"/>
      <c r="AA558" s="35"/>
    </row>
    <row r="559" ht="12.75" customHeight="1">
      <c r="A559" s="35"/>
      <c r="B559" s="35"/>
      <c r="C559" s="35"/>
      <c r="D559" s="35"/>
      <c r="E559" s="35"/>
      <c r="F559" s="35"/>
      <c r="G559" s="35"/>
      <c r="H559" s="35"/>
      <c r="I559" s="35"/>
      <c r="J559" s="35"/>
      <c r="K559" s="35"/>
      <c r="L559" s="35"/>
      <c r="M559" s="35"/>
      <c r="N559" s="35"/>
      <c r="O559" s="35"/>
      <c r="P559" s="35"/>
      <c r="Q559" s="35"/>
      <c r="R559" s="35"/>
      <c r="S559" s="35"/>
      <c r="T559" s="35"/>
      <c r="U559" s="35"/>
      <c r="V559" s="35"/>
      <c r="W559" s="35"/>
      <c r="X559" s="35"/>
      <c r="Y559" s="35"/>
      <c r="Z559" s="35"/>
      <c r="AA559" s="35"/>
    </row>
    <row r="560" ht="12.75" customHeight="1">
      <c r="A560" s="35"/>
      <c r="B560" s="35"/>
      <c r="C560" s="35"/>
      <c r="D560" s="35"/>
      <c r="E560" s="35"/>
      <c r="F560" s="35"/>
      <c r="G560" s="35"/>
      <c r="H560" s="35"/>
      <c r="I560" s="35"/>
      <c r="J560" s="35"/>
      <c r="K560" s="35"/>
      <c r="L560" s="35"/>
      <c r="M560" s="35"/>
      <c r="N560" s="35"/>
      <c r="O560" s="35"/>
      <c r="P560" s="35"/>
      <c r="Q560" s="35"/>
      <c r="R560" s="35"/>
      <c r="S560" s="35"/>
      <c r="T560" s="35"/>
      <c r="U560" s="35"/>
      <c r="V560" s="35"/>
      <c r="W560" s="35"/>
      <c r="X560" s="35"/>
      <c r="Y560" s="35"/>
      <c r="Z560" s="35"/>
      <c r="AA560" s="35"/>
    </row>
    <row r="561" ht="12.75" customHeight="1">
      <c r="A561" s="35"/>
      <c r="B561" s="35"/>
      <c r="C561" s="35"/>
      <c r="D561" s="35"/>
      <c r="E561" s="35"/>
      <c r="F561" s="35"/>
      <c r="G561" s="35"/>
      <c r="H561" s="35"/>
      <c r="I561" s="35"/>
      <c r="J561" s="35"/>
      <c r="K561" s="35"/>
      <c r="L561" s="35"/>
      <c r="M561" s="35"/>
      <c r="N561" s="35"/>
      <c r="O561" s="35"/>
      <c r="P561" s="35"/>
      <c r="Q561" s="35"/>
      <c r="R561" s="35"/>
      <c r="S561" s="35"/>
      <c r="T561" s="35"/>
      <c r="U561" s="35"/>
      <c r="V561" s="35"/>
      <c r="W561" s="35"/>
      <c r="X561" s="35"/>
      <c r="Y561" s="35"/>
      <c r="Z561" s="35"/>
      <c r="AA561" s="35"/>
    </row>
    <row r="562" ht="12.75" customHeight="1">
      <c r="A562" s="35"/>
      <c r="B562" s="35"/>
      <c r="C562" s="35"/>
      <c r="D562" s="35"/>
      <c r="E562" s="35"/>
      <c r="F562" s="35"/>
      <c r="G562" s="35"/>
      <c r="H562" s="35"/>
      <c r="I562" s="35"/>
      <c r="J562" s="35"/>
      <c r="K562" s="35"/>
      <c r="L562" s="35"/>
      <c r="M562" s="35"/>
      <c r="N562" s="35"/>
      <c r="O562" s="35"/>
      <c r="P562" s="35"/>
      <c r="Q562" s="35"/>
      <c r="R562" s="35"/>
      <c r="S562" s="35"/>
      <c r="T562" s="35"/>
      <c r="U562" s="35"/>
      <c r="V562" s="35"/>
      <c r="W562" s="35"/>
      <c r="X562" s="35"/>
      <c r="Y562" s="35"/>
      <c r="Z562" s="35"/>
      <c r="AA562" s="35"/>
    </row>
    <row r="563" ht="12.75" customHeight="1">
      <c r="A563" s="35"/>
      <c r="B563" s="35"/>
      <c r="C563" s="35"/>
      <c r="D563" s="35"/>
      <c r="E563" s="35"/>
      <c r="F563" s="35"/>
      <c r="G563" s="35"/>
      <c r="H563" s="35"/>
      <c r="I563" s="35"/>
      <c r="J563" s="35"/>
      <c r="K563" s="35"/>
      <c r="L563" s="35"/>
      <c r="M563" s="35"/>
      <c r="N563" s="35"/>
      <c r="O563" s="35"/>
      <c r="P563" s="35"/>
      <c r="Q563" s="35"/>
      <c r="R563" s="35"/>
      <c r="S563" s="35"/>
      <c r="T563" s="35"/>
      <c r="U563" s="35"/>
      <c r="V563" s="35"/>
      <c r="W563" s="35"/>
      <c r="X563" s="35"/>
      <c r="Y563" s="35"/>
      <c r="Z563" s="35"/>
      <c r="AA563" s="35"/>
    </row>
    <row r="564" ht="12.75" customHeight="1">
      <c r="A564" s="35"/>
      <c r="B564" s="35"/>
      <c r="C564" s="35"/>
      <c r="D564" s="35"/>
      <c r="E564" s="35"/>
      <c r="F564" s="35"/>
      <c r="G564" s="35"/>
      <c r="H564" s="35"/>
      <c r="I564" s="35"/>
      <c r="J564" s="35"/>
      <c r="K564" s="35"/>
      <c r="L564" s="35"/>
      <c r="M564" s="35"/>
      <c r="N564" s="35"/>
      <c r="O564" s="35"/>
      <c r="P564" s="35"/>
      <c r="Q564" s="35"/>
      <c r="R564" s="35"/>
      <c r="S564" s="35"/>
      <c r="T564" s="35"/>
      <c r="U564" s="35"/>
      <c r="V564" s="35"/>
      <c r="W564" s="35"/>
      <c r="X564" s="35"/>
      <c r="Y564" s="35"/>
      <c r="Z564" s="35"/>
      <c r="AA564" s="35"/>
    </row>
    <row r="565" ht="12.75" customHeight="1">
      <c r="A565" s="35"/>
      <c r="B565" s="35"/>
      <c r="C565" s="35"/>
      <c r="D565" s="35"/>
      <c r="E565" s="35"/>
      <c r="F565" s="35"/>
      <c r="G565" s="35"/>
      <c r="H565" s="35"/>
      <c r="I565" s="35"/>
      <c r="J565" s="35"/>
      <c r="K565" s="35"/>
      <c r="L565" s="35"/>
      <c r="M565" s="35"/>
      <c r="N565" s="35"/>
      <c r="O565" s="35"/>
      <c r="P565" s="35"/>
      <c r="Q565" s="35"/>
      <c r="R565" s="35"/>
      <c r="S565" s="35"/>
      <c r="T565" s="35"/>
      <c r="U565" s="35"/>
      <c r="V565" s="35"/>
      <c r="W565" s="35"/>
      <c r="X565" s="35"/>
      <c r="Y565" s="35"/>
      <c r="Z565" s="35"/>
      <c r="AA565" s="35"/>
    </row>
    <row r="566" ht="12.75" customHeight="1">
      <c r="A566" s="35"/>
      <c r="B566" s="35"/>
      <c r="C566" s="35"/>
      <c r="D566" s="35"/>
      <c r="E566" s="35"/>
      <c r="F566" s="35"/>
      <c r="G566" s="35"/>
      <c r="H566" s="35"/>
      <c r="I566" s="35"/>
      <c r="J566" s="35"/>
      <c r="K566" s="35"/>
      <c r="L566" s="35"/>
      <c r="M566" s="35"/>
      <c r="N566" s="35"/>
      <c r="O566" s="35"/>
      <c r="P566" s="35"/>
      <c r="Q566" s="35"/>
      <c r="R566" s="35"/>
      <c r="S566" s="35"/>
      <c r="T566" s="35"/>
      <c r="U566" s="35"/>
      <c r="V566" s="35"/>
      <c r="W566" s="35"/>
      <c r="X566" s="35"/>
      <c r="Y566" s="35"/>
      <c r="Z566" s="35"/>
      <c r="AA566" s="35"/>
    </row>
    <row r="567" ht="12.75" customHeight="1">
      <c r="A567" s="35"/>
      <c r="B567" s="35"/>
      <c r="C567" s="35"/>
      <c r="D567" s="35"/>
      <c r="E567" s="35"/>
      <c r="F567" s="35"/>
      <c r="G567" s="35"/>
      <c r="H567" s="35"/>
      <c r="I567" s="35"/>
      <c r="J567" s="35"/>
      <c r="K567" s="35"/>
      <c r="L567" s="35"/>
      <c r="M567" s="35"/>
      <c r="N567" s="35"/>
      <c r="O567" s="35"/>
      <c r="P567" s="35"/>
      <c r="Q567" s="35"/>
      <c r="R567" s="35"/>
      <c r="S567" s="35"/>
      <c r="T567" s="35"/>
      <c r="U567" s="35"/>
      <c r="V567" s="35"/>
      <c r="W567" s="35"/>
      <c r="X567" s="35"/>
      <c r="Y567" s="35"/>
      <c r="Z567" s="35"/>
      <c r="AA567" s="35"/>
    </row>
    <row r="568" ht="12.75" customHeight="1">
      <c r="A568" s="35"/>
      <c r="B568" s="35"/>
      <c r="C568" s="35"/>
      <c r="D568" s="35"/>
      <c r="E568" s="35"/>
      <c r="F568" s="35"/>
      <c r="G568" s="35"/>
      <c r="H568" s="35"/>
      <c r="I568" s="35"/>
      <c r="J568" s="35"/>
      <c r="K568" s="35"/>
      <c r="L568" s="35"/>
      <c r="M568" s="35"/>
      <c r="N568" s="35"/>
      <c r="O568" s="35"/>
      <c r="P568" s="35"/>
      <c r="Q568" s="35"/>
      <c r="R568" s="35"/>
      <c r="S568" s="35"/>
      <c r="T568" s="35"/>
      <c r="U568" s="35"/>
      <c r="V568" s="35"/>
      <c r="W568" s="35"/>
      <c r="X568" s="35"/>
      <c r="Y568" s="35"/>
      <c r="Z568" s="35"/>
      <c r="AA568" s="35"/>
    </row>
    <row r="569" ht="12.75" customHeight="1">
      <c r="A569" s="35"/>
      <c r="B569" s="35"/>
      <c r="C569" s="35"/>
      <c r="D569" s="35"/>
      <c r="E569" s="35"/>
      <c r="F569" s="35"/>
      <c r="G569" s="35"/>
      <c r="H569" s="35"/>
      <c r="I569" s="35"/>
      <c r="J569" s="35"/>
      <c r="K569" s="35"/>
      <c r="L569" s="35"/>
      <c r="M569" s="35"/>
      <c r="N569" s="35"/>
      <c r="O569" s="35"/>
      <c r="P569" s="35"/>
      <c r="Q569" s="35"/>
      <c r="R569" s="35"/>
      <c r="S569" s="35"/>
      <c r="T569" s="35"/>
      <c r="U569" s="35"/>
      <c r="V569" s="35"/>
      <c r="W569" s="35"/>
      <c r="X569" s="35"/>
      <c r="Y569" s="35"/>
      <c r="Z569" s="35"/>
      <c r="AA569" s="35"/>
    </row>
    <row r="570" ht="12.75" customHeight="1">
      <c r="A570" s="35"/>
      <c r="B570" s="35"/>
      <c r="C570" s="35"/>
      <c r="D570" s="35"/>
      <c r="E570" s="35"/>
      <c r="F570" s="35"/>
      <c r="G570" s="35"/>
      <c r="H570" s="35"/>
      <c r="I570" s="35"/>
      <c r="J570" s="35"/>
      <c r="K570" s="35"/>
      <c r="L570" s="35"/>
      <c r="M570" s="35"/>
      <c r="N570" s="35"/>
      <c r="O570" s="35"/>
      <c r="P570" s="35"/>
      <c r="Q570" s="35"/>
      <c r="R570" s="35"/>
      <c r="S570" s="35"/>
      <c r="T570" s="35"/>
      <c r="U570" s="35"/>
      <c r="V570" s="35"/>
      <c r="W570" s="35"/>
      <c r="X570" s="35"/>
      <c r="Y570" s="35"/>
      <c r="Z570" s="35"/>
      <c r="AA570" s="35"/>
    </row>
    <row r="571" ht="12.75" customHeight="1">
      <c r="A571" s="35"/>
      <c r="B571" s="35"/>
      <c r="C571" s="35"/>
      <c r="D571" s="35"/>
      <c r="E571" s="35"/>
      <c r="F571" s="35"/>
      <c r="G571" s="35"/>
      <c r="H571" s="35"/>
      <c r="I571" s="35"/>
      <c r="J571" s="35"/>
      <c r="K571" s="35"/>
      <c r="L571" s="35"/>
      <c r="M571" s="35"/>
      <c r="N571" s="35"/>
      <c r="O571" s="35"/>
      <c r="P571" s="35"/>
      <c r="Q571" s="35"/>
      <c r="R571" s="35"/>
      <c r="S571" s="35"/>
      <c r="T571" s="35"/>
      <c r="U571" s="35"/>
      <c r="V571" s="35"/>
      <c r="W571" s="35"/>
      <c r="X571" s="35"/>
      <c r="Y571" s="35"/>
      <c r="Z571" s="35"/>
      <c r="AA571" s="35"/>
    </row>
    <row r="572" ht="12.75" customHeight="1">
      <c r="A572" s="35"/>
      <c r="B572" s="35"/>
      <c r="C572" s="35"/>
      <c r="D572" s="35"/>
      <c r="E572" s="35"/>
      <c r="F572" s="35"/>
      <c r="G572" s="35"/>
      <c r="H572" s="35"/>
      <c r="I572" s="35"/>
      <c r="J572" s="35"/>
      <c r="K572" s="35"/>
      <c r="L572" s="35"/>
      <c r="M572" s="35"/>
      <c r="N572" s="35"/>
      <c r="O572" s="35"/>
      <c r="P572" s="35"/>
      <c r="Q572" s="35"/>
      <c r="R572" s="35"/>
      <c r="S572" s="35"/>
      <c r="T572" s="35"/>
      <c r="U572" s="35"/>
      <c r="V572" s="35"/>
      <c r="W572" s="35"/>
      <c r="X572" s="35"/>
      <c r="Y572" s="35"/>
      <c r="Z572" s="35"/>
      <c r="AA572" s="35"/>
    </row>
    <row r="573" ht="12.75" customHeight="1">
      <c r="A573" s="35"/>
      <c r="B573" s="35"/>
      <c r="C573" s="35"/>
      <c r="D573" s="35"/>
      <c r="E573" s="35"/>
      <c r="F573" s="35"/>
      <c r="G573" s="35"/>
      <c r="H573" s="35"/>
      <c r="I573" s="35"/>
      <c r="J573" s="35"/>
      <c r="K573" s="35"/>
      <c r="L573" s="35"/>
      <c r="M573" s="35"/>
      <c r="N573" s="35"/>
      <c r="O573" s="35"/>
      <c r="P573" s="35"/>
      <c r="Q573" s="35"/>
      <c r="R573" s="35"/>
      <c r="S573" s="35"/>
      <c r="T573" s="35"/>
      <c r="U573" s="35"/>
      <c r="V573" s="35"/>
      <c r="W573" s="35"/>
      <c r="X573" s="35"/>
      <c r="Y573" s="35"/>
      <c r="Z573" s="35"/>
      <c r="AA573" s="35"/>
    </row>
    <row r="574" ht="12.75" customHeight="1">
      <c r="A574" s="35"/>
      <c r="B574" s="35"/>
      <c r="C574" s="35"/>
      <c r="D574" s="35"/>
      <c r="E574" s="35"/>
      <c r="F574" s="35"/>
      <c r="G574" s="35"/>
      <c r="H574" s="35"/>
      <c r="I574" s="35"/>
      <c r="J574" s="35"/>
      <c r="K574" s="35"/>
      <c r="L574" s="35"/>
      <c r="M574" s="35"/>
      <c r="N574" s="35"/>
      <c r="O574" s="35"/>
      <c r="P574" s="35"/>
      <c r="Q574" s="35"/>
      <c r="R574" s="35"/>
      <c r="S574" s="35"/>
      <c r="T574" s="35"/>
      <c r="U574" s="35"/>
      <c r="V574" s="35"/>
      <c r="W574" s="35"/>
      <c r="X574" s="35"/>
      <c r="Y574" s="35"/>
      <c r="Z574" s="35"/>
      <c r="AA574" s="35"/>
    </row>
    <row r="575" ht="12.75" customHeight="1">
      <c r="A575" s="35"/>
      <c r="B575" s="35"/>
      <c r="C575" s="35"/>
      <c r="D575" s="35"/>
      <c r="E575" s="35"/>
      <c r="F575" s="35"/>
      <c r="G575" s="35"/>
      <c r="H575" s="35"/>
      <c r="I575" s="35"/>
      <c r="J575" s="35"/>
      <c r="K575" s="35"/>
      <c r="L575" s="35"/>
      <c r="M575" s="35"/>
      <c r="N575" s="35"/>
      <c r="O575" s="35"/>
      <c r="P575" s="35"/>
      <c r="Q575" s="35"/>
      <c r="R575" s="35"/>
      <c r="S575" s="35"/>
      <c r="T575" s="35"/>
      <c r="U575" s="35"/>
      <c r="V575" s="35"/>
      <c r="W575" s="35"/>
      <c r="X575" s="35"/>
      <c r="Y575" s="35"/>
      <c r="Z575" s="35"/>
      <c r="AA575" s="35"/>
    </row>
    <row r="576" ht="12.75" customHeight="1">
      <c r="A576" s="35"/>
      <c r="B576" s="35"/>
      <c r="C576" s="35"/>
      <c r="D576" s="35"/>
      <c r="E576" s="35"/>
      <c r="F576" s="35"/>
      <c r="G576" s="35"/>
      <c r="H576" s="35"/>
      <c r="I576" s="35"/>
      <c r="J576" s="35"/>
      <c r="K576" s="35"/>
      <c r="L576" s="35"/>
      <c r="M576" s="35"/>
      <c r="N576" s="35"/>
      <c r="O576" s="35"/>
      <c r="P576" s="35"/>
      <c r="Q576" s="35"/>
      <c r="R576" s="35"/>
      <c r="S576" s="35"/>
      <c r="T576" s="35"/>
      <c r="U576" s="35"/>
      <c r="V576" s="35"/>
      <c r="W576" s="35"/>
      <c r="X576" s="35"/>
      <c r="Y576" s="35"/>
      <c r="Z576" s="35"/>
      <c r="AA576" s="35"/>
    </row>
    <row r="577" ht="12.75" customHeight="1">
      <c r="A577" s="35"/>
      <c r="B577" s="35"/>
      <c r="C577" s="35"/>
      <c r="D577" s="35"/>
      <c r="E577" s="35"/>
      <c r="F577" s="35"/>
      <c r="G577" s="35"/>
      <c r="H577" s="35"/>
      <c r="I577" s="35"/>
      <c r="J577" s="35"/>
      <c r="K577" s="35"/>
      <c r="L577" s="35"/>
      <c r="M577" s="35"/>
      <c r="N577" s="35"/>
      <c r="O577" s="35"/>
      <c r="P577" s="35"/>
      <c r="Q577" s="35"/>
      <c r="R577" s="35"/>
      <c r="S577" s="35"/>
      <c r="T577" s="35"/>
      <c r="U577" s="35"/>
      <c r="V577" s="35"/>
      <c r="W577" s="35"/>
      <c r="X577" s="35"/>
      <c r="Y577" s="35"/>
      <c r="Z577" s="35"/>
      <c r="AA577" s="35"/>
    </row>
    <row r="578" ht="12.75" customHeight="1">
      <c r="A578" s="35"/>
      <c r="B578" s="35"/>
      <c r="C578" s="35"/>
      <c r="D578" s="35"/>
      <c r="E578" s="35"/>
      <c r="F578" s="35"/>
      <c r="G578" s="35"/>
      <c r="H578" s="35"/>
      <c r="I578" s="35"/>
      <c r="J578" s="35"/>
      <c r="K578" s="35"/>
      <c r="L578" s="35"/>
      <c r="M578" s="35"/>
      <c r="N578" s="35"/>
      <c r="O578" s="35"/>
      <c r="P578" s="35"/>
      <c r="Q578" s="35"/>
      <c r="R578" s="35"/>
      <c r="S578" s="35"/>
      <c r="T578" s="35"/>
      <c r="U578" s="35"/>
      <c r="V578" s="35"/>
      <c r="W578" s="35"/>
      <c r="X578" s="35"/>
      <c r="Y578" s="35"/>
      <c r="Z578" s="35"/>
      <c r="AA578" s="35"/>
    </row>
    <row r="579" ht="12.75" customHeight="1">
      <c r="A579" s="35"/>
      <c r="B579" s="35"/>
      <c r="C579" s="35"/>
      <c r="D579" s="35"/>
      <c r="E579" s="35"/>
      <c r="F579" s="35"/>
      <c r="G579" s="35"/>
      <c r="H579" s="35"/>
      <c r="I579" s="35"/>
      <c r="J579" s="35"/>
      <c r="K579" s="35"/>
      <c r="L579" s="35"/>
      <c r="M579" s="35"/>
      <c r="N579" s="35"/>
      <c r="O579" s="35"/>
      <c r="P579" s="35"/>
      <c r="Q579" s="35"/>
      <c r="R579" s="35"/>
      <c r="S579" s="35"/>
      <c r="T579" s="35"/>
      <c r="U579" s="35"/>
      <c r="V579" s="35"/>
      <c r="W579" s="35"/>
      <c r="X579" s="35"/>
      <c r="Y579" s="35"/>
      <c r="Z579" s="35"/>
      <c r="AA579" s="35"/>
    </row>
    <row r="580" ht="12.75" customHeight="1">
      <c r="A580" s="35"/>
      <c r="B580" s="35"/>
      <c r="C580" s="35"/>
      <c r="D580" s="35"/>
      <c r="E580" s="35"/>
      <c r="F580" s="35"/>
      <c r="G580" s="35"/>
      <c r="H580" s="35"/>
      <c r="I580" s="35"/>
      <c r="J580" s="35"/>
      <c r="K580" s="35"/>
      <c r="L580" s="35"/>
      <c r="M580" s="35"/>
      <c r="N580" s="35"/>
      <c r="O580" s="35"/>
      <c r="P580" s="35"/>
      <c r="Q580" s="35"/>
      <c r="R580" s="35"/>
      <c r="S580" s="35"/>
      <c r="T580" s="35"/>
      <c r="U580" s="35"/>
      <c r="V580" s="35"/>
      <c r="W580" s="35"/>
      <c r="X580" s="35"/>
      <c r="Y580" s="35"/>
      <c r="Z580" s="35"/>
      <c r="AA580" s="35"/>
    </row>
    <row r="581" ht="12.75" customHeight="1">
      <c r="A581" s="35"/>
      <c r="B581" s="35"/>
      <c r="C581" s="35"/>
      <c r="D581" s="35"/>
      <c r="E581" s="35"/>
      <c r="F581" s="35"/>
      <c r="G581" s="35"/>
      <c r="H581" s="35"/>
      <c r="I581" s="35"/>
      <c r="J581" s="35"/>
      <c r="K581" s="35"/>
      <c r="L581" s="35"/>
      <c r="M581" s="35"/>
      <c r="N581" s="35"/>
      <c r="O581" s="35"/>
      <c r="P581" s="35"/>
      <c r="Q581" s="35"/>
      <c r="R581" s="35"/>
      <c r="S581" s="35"/>
      <c r="T581" s="35"/>
      <c r="U581" s="35"/>
      <c r="V581" s="35"/>
      <c r="W581" s="35"/>
      <c r="X581" s="35"/>
      <c r="Y581" s="35"/>
      <c r="Z581" s="35"/>
      <c r="AA581" s="35"/>
    </row>
    <row r="582" ht="12.75" customHeight="1">
      <c r="A582" s="35"/>
      <c r="B582" s="35"/>
      <c r="C582" s="35"/>
      <c r="D582" s="35"/>
      <c r="E582" s="35"/>
      <c r="F582" s="35"/>
      <c r="G582" s="35"/>
      <c r="H582" s="35"/>
      <c r="I582" s="35"/>
      <c r="J582" s="35"/>
      <c r="K582" s="35"/>
      <c r="L582" s="35"/>
      <c r="M582" s="35"/>
      <c r="N582" s="35"/>
      <c r="O582" s="35"/>
      <c r="P582" s="35"/>
      <c r="Q582" s="35"/>
      <c r="R582" s="35"/>
      <c r="S582" s="35"/>
      <c r="T582" s="35"/>
      <c r="U582" s="35"/>
      <c r="V582" s="35"/>
      <c r="W582" s="35"/>
      <c r="X582" s="35"/>
      <c r="Y582" s="35"/>
      <c r="Z582" s="35"/>
      <c r="AA582" s="35"/>
    </row>
    <row r="583" ht="12.75" customHeight="1">
      <c r="A583" s="35"/>
      <c r="B583" s="35"/>
      <c r="C583" s="35"/>
      <c r="D583" s="35"/>
      <c r="E583" s="35"/>
      <c r="F583" s="35"/>
      <c r="G583" s="35"/>
      <c r="H583" s="35"/>
      <c r="I583" s="35"/>
      <c r="J583" s="35"/>
      <c r="K583" s="35"/>
      <c r="L583" s="35"/>
      <c r="M583" s="35"/>
      <c r="N583" s="35"/>
      <c r="O583" s="35"/>
      <c r="P583" s="35"/>
      <c r="Q583" s="35"/>
      <c r="R583" s="35"/>
      <c r="S583" s="35"/>
      <c r="T583" s="35"/>
      <c r="U583" s="35"/>
      <c r="V583" s="35"/>
      <c r="W583" s="35"/>
      <c r="X583" s="35"/>
      <c r="Y583" s="35"/>
      <c r="Z583" s="35"/>
      <c r="AA583" s="35"/>
    </row>
    <row r="584" ht="12.75" customHeight="1">
      <c r="A584" s="35"/>
      <c r="B584" s="35"/>
      <c r="C584" s="35"/>
      <c r="D584" s="35"/>
      <c r="E584" s="35"/>
      <c r="F584" s="35"/>
      <c r="G584" s="35"/>
      <c r="H584" s="35"/>
      <c r="I584" s="35"/>
      <c r="J584" s="35"/>
      <c r="K584" s="35"/>
      <c r="L584" s="35"/>
      <c r="M584" s="35"/>
      <c r="N584" s="35"/>
      <c r="O584" s="35"/>
      <c r="P584" s="35"/>
      <c r="Q584" s="35"/>
      <c r="R584" s="35"/>
      <c r="S584" s="35"/>
      <c r="T584" s="35"/>
      <c r="U584" s="35"/>
      <c r="V584" s="35"/>
      <c r="W584" s="35"/>
      <c r="X584" s="35"/>
      <c r="Y584" s="35"/>
      <c r="Z584" s="35"/>
      <c r="AA584" s="35"/>
    </row>
    <row r="585" ht="12.75" customHeight="1">
      <c r="A585" s="35"/>
      <c r="B585" s="35"/>
      <c r="C585" s="35"/>
      <c r="D585" s="35"/>
      <c r="E585" s="35"/>
      <c r="F585" s="35"/>
      <c r="G585" s="35"/>
      <c r="H585" s="35"/>
      <c r="I585" s="35"/>
      <c r="J585" s="35"/>
      <c r="K585" s="35"/>
      <c r="L585" s="35"/>
      <c r="M585" s="35"/>
      <c r="N585" s="35"/>
      <c r="O585" s="35"/>
      <c r="P585" s="35"/>
      <c r="Q585" s="35"/>
      <c r="R585" s="35"/>
      <c r="S585" s="35"/>
      <c r="T585" s="35"/>
      <c r="U585" s="35"/>
      <c r="V585" s="35"/>
      <c r="W585" s="35"/>
      <c r="X585" s="35"/>
      <c r="Y585" s="35"/>
      <c r="Z585" s="35"/>
      <c r="AA585" s="35"/>
    </row>
    <row r="586" ht="12.75" customHeight="1">
      <c r="A586" s="35"/>
      <c r="B586" s="35"/>
      <c r="C586" s="35"/>
      <c r="D586" s="35"/>
      <c r="E586" s="35"/>
      <c r="F586" s="35"/>
      <c r="G586" s="35"/>
      <c r="H586" s="35"/>
      <c r="I586" s="35"/>
      <c r="J586" s="35"/>
      <c r="K586" s="35"/>
      <c r="L586" s="35"/>
      <c r="M586" s="35"/>
      <c r="N586" s="35"/>
      <c r="O586" s="35"/>
      <c r="P586" s="35"/>
      <c r="Q586" s="35"/>
      <c r="R586" s="35"/>
      <c r="S586" s="35"/>
      <c r="T586" s="35"/>
      <c r="U586" s="35"/>
      <c r="V586" s="35"/>
      <c r="W586" s="35"/>
      <c r="X586" s="35"/>
      <c r="Y586" s="35"/>
      <c r="Z586" s="35"/>
      <c r="AA586" s="35"/>
    </row>
    <row r="587" ht="12.75" customHeight="1">
      <c r="A587" s="35"/>
      <c r="B587" s="35"/>
      <c r="C587" s="35"/>
      <c r="D587" s="35"/>
      <c r="E587" s="35"/>
      <c r="F587" s="35"/>
      <c r="G587" s="35"/>
      <c r="H587" s="35"/>
      <c r="I587" s="35"/>
      <c r="J587" s="35"/>
      <c r="K587" s="35"/>
      <c r="L587" s="35"/>
      <c r="M587" s="35"/>
      <c r="N587" s="35"/>
      <c r="O587" s="35"/>
      <c r="P587" s="35"/>
      <c r="Q587" s="35"/>
      <c r="R587" s="35"/>
      <c r="S587" s="35"/>
      <c r="T587" s="35"/>
      <c r="U587" s="35"/>
      <c r="V587" s="35"/>
      <c r="W587" s="35"/>
      <c r="X587" s="35"/>
      <c r="Y587" s="35"/>
      <c r="Z587" s="35"/>
      <c r="AA587" s="35"/>
    </row>
    <row r="588" ht="12.75" customHeight="1">
      <c r="A588" s="35"/>
      <c r="B588" s="35"/>
      <c r="C588" s="35"/>
      <c r="D588" s="35"/>
      <c r="E588" s="35"/>
      <c r="F588" s="35"/>
      <c r="G588" s="35"/>
      <c r="H588" s="35"/>
      <c r="I588" s="35"/>
      <c r="J588" s="35"/>
      <c r="K588" s="35"/>
      <c r="L588" s="35"/>
      <c r="M588" s="35"/>
      <c r="N588" s="35"/>
      <c r="O588" s="35"/>
      <c r="P588" s="35"/>
      <c r="Q588" s="35"/>
      <c r="R588" s="35"/>
      <c r="S588" s="35"/>
      <c r="T588" s="35"/>
      <c r="U588" s="35"/>
      <c r="V588" s="35"/>
      <c r="W588" s="35"/>
      <c r="X588" s="35"/>
      <c r="Y588" s="35"/>
      <c r="Z588" s="35"/>
      <c r="AA588" s="35"/>
    </row>
    <row r="589" ht="12.75" customHeight="1">
      <c r="A589" s="35"/>
      <c r="B589" s="35"/>
      <c r="C589" s="35"/>
      <c r="D589" s="35"/>
      <c r="E589" s="35"/>
      <c r="F589" s="35"/>
      <c r="G589" s="35"/>
      <c r="H589" s="35"/>
      <c r="I589" s="35"/>
      <c r="J589" s="35"/>
      <c r="K589" s="35"/>
      <c r="L589" s="35"/>
      <c r="M589" s="35"/>
      <c r="N589" s="35"/>
      <c r="O589" s="35"/>
      <c r="P589" s="35"/>
      <c r="Q589" s="35"/>
      <c r="R589" s="35"/>
      <c r="S589" s="35"/>
      <c r="T589" s="35"/>
      <c r="U589" s="35"/>
      <c r="V589" s="35"/>
      <c r="W589" s="35"/>
      <c r="X589" s="35"/>
      <c r="Y589" s="35"/>
      <c r="Z589" s="35"/>
      <c r="AA589" s="35"/>
    </row>
    <row r="590" ht="12.75" customHeight="1">
      <c r="A590" s="35"/>
      <c r="B590" s="35"/>
      <c r="C590" s="35"/>
      <c r="D590" s="35"/>
      <c r="E590" s="35"/>
      <c r="F590" s="35"/>
      <c r="G590" s="35"/>
      <c r="H590" s="35"/>
      <c r="I590" s="35"/>
      <c r="J590" s="35"/>
      <c r="K590" s="35"/>
      <c r="L590" s="35"/>
      <c r="M590" s="35"/>
      <c r="N590" s="35"/>
      <c r="O590" s="35"/>
      <c r="P590" s="35"/>
      <c r="Q590" s="35"/>
      <c r="R590" s="35"/>
      <c r="S590" s="35"/>
      <c r="T590" s="35"/>
      <c r="U590" s="35"/>
      <c r="V590" s="35"/>
      <c r="W590" s="35"/>
      <c r="X590" s="35"/>
      <c r="Y590" s="35"/>
      <c r="Z590" s="35"/>
      <c r="AA590" s="35"/>
    </row>
    <row r="591" ht="12.75" customHeight="1">
      <c r="A591" s="35"/>
      <c r="B591" s="35"/>
      <c r="C591" s="35"/>
      <c r="D591" s="35"/>
      <c r="E591" s="35"/>
      <c r="F591" s="35"/>
      <c r="G591" s="35"/>
      <c r="H591" s="35"/>
      <c r="I591" s="35"/>
      <c r="J591" s="35"/>
      <c r="K591" s="35"/>
      <c r="L591" s="35"/>
      <c r="M591" s="35"/>
      <c r="N591" s="35"/>
      <c r="O591" s="35"/>
      <c r="P591" s="35"/>
      <c r="Q591" s="35"/>
      <c r="R591" s="35"/>
      <c r="S591" s="35"/>
      <c r="T591" s="35"/>
      <c r="U591" s="35"/>
      <c r="V591" s="35"/>
      <c r="W591" s="35"/>
      <c r="X591" s="35"/>
      <c r="Y591" s="35"/>
      <c r="Z591" s="35"/>
      <c r="AA591" s="35"/>
    </row>
    <row r="592" ht="12.75" customHeight="1">
      <c r="A592" s="35"/>
      <c r="B592" s="35"/>
      <c r="C592" s="35"/>
      <c r="D592" s="35"/>
      <c r="E592" s="35"/>
      <c r="F592" s="35"/>
      <c r="G592" s="35"/>
      <c r="H592" s="35"/>
      <c r="I592" s="35"/>
      <c r="J592" s="35"/>
      <c r="K592" s="35"/>
      <c r="L592" s="35"/>
      <c r="M592" s="35"/>
      <c r="N592" s="35"/>
      <c r="O592" s="35"/>
      <c r="P592" s="35"/>
      <c r="Q592" s="35"/>
      <c r="R592" s="35"/>
      <c r="S592" s="35"/>
      <c r="T592" s="35"/>
      <c r="U592" s="35"/>
      <c r="V592" s="35"/>
      <c r="W592" s="35"/>
      <c r="X592" s="35"/>
      <c r="Y592" s="35"/>
      <c r="Z592" s="35"/>
      <c r="AA592" s="35"/>
    </row>
    <row r="593" ht="12.75" customHeight="1">
      <c r="A593" s="35"/>
      <c r="B593" s="35"/>
      <c r="C593" s="35"/>
      <c r="D593" s="35"/>
      <c r="E593" s="35"/>
      <c r="F593" s="35"/>
      <c r="G593" s="35"/>
      <c r="H593" s="35"/>
      <c r="I593" s="35"/>
      <c r="J593" s="35"/>
      <c r="K593" s="35"/>
      <c r="L593" s="35"/>
      <c r="M593" s="35"/>
      <c r="N593" s="35"/>
      <c r="O593" s="35"/>
      <c r="P593" s="35"/>
      <c r="Q593" s="35"/>
      <c r="R593" s="35"/>
      <c r="S593" s="35"/>
      <c r="T593" s="35"/>
      <c r="U593" s="35"/>
      <c r="V593" s="35"/>
      <c r="W593" s="35"/>
      <c r="X593" s="35"/>
      <c r="Y593" s="35"/>
      <c r="Z593" s="35"/>
      <c r="AA593" s="35"/>
    </row>
    <row r="594" ht="12.75" customHeight="1">
      <c r="A594" s="35"/>
      <c r="B594" s="35"/>
      <c r="C594" s="35"/>
      <c r="D594" s="35"/>
      <c r="E594" s="35"/>
      <c r="F594" s="35"/>
      <c r="G594" s="35"/>
      <c r="H594" s="35"/>
      <c r="I594" s="35"/>
      <c r="J594" s="35"/>
      <c r="K594" s="35"/>
      <c r="L594" s="35"/>
      <c r="M594" s="35"/>
      <c r="N594" s="35"/>
      <c r="O594" s="35"/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5"/>
      <c r="AA594" s="35"/>
    </row>
    <row r="595" ht="12.75" customHeight="1">
      <c r="A595" s="35"/>
      <c r="B595" s="35"/>
      <c r="C595" s="35"/>
      <c r="D595" s="35"/>
      <c r="E595" s="35"/>
      <c r="F595" s="35"/>
      <c r="G595" s="35"/>
      <c r="H595" s="35"/>
      <c r="I595" s="35"/>
      <c r="J595" s="35"/>
      <c r="K595" s="35"/>
      <c r="L595" s="35"/>
      <c r="M595" s="35"/>
      <c r="N595" s="35"/>
      <c r="O595" s="35"/>
      <c r="P595" s="35"/>
      <c r="Q595" s="35"/>
      <c r="R595" s="35"/>
      <c r="S595" s="35"/>
      <c r="T595" s="35"/>
      <c r="U595" s="35"/>
      <c r="V595" s="35"/>
      <c r="W595" s="35"/>
      <c r="X595" s="35"/>
      <c r="Y595" s="35"/>
      <c r="Z595" s="35"/>
      <c r="AA595" s="35"/>
    </row>
    <row r="596" ht="12.75" customHeight="1">
      <c r="A596" s="35"/>
      <c r="B596" s="35"/>
      <c r="C596" s="35"/>
      <c r="D596" s="35"/>
      <c r="E596" s="35"/>
      <c r="F596" s="35"/>
      <c r="G596" s="35"/>
      <c r="H596" s="35"/>
      <c r="I596" s="35"/>
      <c r="J596" s="35"/>
      <c r="K596" s="35"/>
      <c r="L596" s="35"/>
      <c r="M596" s="35"/>
      <c r="N596" s="35"/>
      <c r="O596" s="35"/>
      <c r="P596" s="35"/>
      <c r="Q596" s="35"/>
      <c r="R596" s="35"/>
      <c r="S596" s="35"/>
      <c r="T596" s="35"/>
      <c r="U596" s="35"/>
      <c r="V596" s="35"/>
      <c r="W596" s="35"/>
      <c r="X596" s="35"/>
      <c r="Y596" s="35"/>
      <c r="Z596" s="35"/>
      <c r="AA596" s="35"/>
    </row>
    <row r="597" ht="12.75" customHeight="1">
      <c r="A597" s="35"/>
      <c r="B597" s="35"/>
      <c r="C597" s="35"/>
      <c r="D597" s="35"/>
      <c r="E597" s="35"/>
      <c r="F597" s="35"/>
      <c r="G597" s="35"/>
      <c r="H597" s="35"/>
      <c r="I597" s="35"/>
      <c r="J597" s="35"/>
      <c r="K597" s="35"/>
      <c r="L597" s="35"/>
      <c r="M597" s="35"/>
      <c r="N597" s="35"/>
      <c r="O597" s="35"/>
      <c r="P597" s="35"/>
      <c r="Q597" s="35"/>
      <c r="R597" s="35"/>
      <c r="S597" s="35"/>
      <c r="T597" s="35"/>
      <c r="U597" s="35"/>
      <c r="V597" s="35"/>
      <c r="W597" s="35"/>
      <c r="X597" s="35"/>
      <c r="Y597" s="35"/>
      <c r="Z597" s="35"/>
      <c r="AA597" s="35"/>
    </row>
    <row r="598" ht="12.75" customHeight="1">
      <c r="A598" s="35"/>
      <c r="B598" s="35"/>
      <c r="C598" s="35"/>
      <c r="D598" s="35"/>
      <c r="E598" s="35"/>
      <c r="F598" s="35"/>
      <c r="G598" s="35"/>
      <c r="H598" s="35"/>
      <c r="I598" s="35"/>
      <c r="J598" s="35"/>
      <c r="K598" s="35"/>
      <c r="L598" s="35"/>
      <c r="M598" s="35"/>
      <c r="N598" s="35"/>
      <c r="O598" s="35"/>
      <c r="P598" s="35"/>
      <c r="Q598" s="35"/>
      <c r="R598" s="35"/>
      <c r="S598" s="35"/>
      <c r="T598" s="35"/>
      <c r="U598" s="35"/>
      <c r="V598" s="35"/>
      <c r="W598" s="35"/>
      <c r="X598" s="35"/>
      <c r="Y598" s="35"/>
      <c r="Z598" s="35"/>
      <c r="AA598" s="35"/>
    </row>
    <row r="599" ht="12.75" customHeight="1">
      <c r="A599" s="35"/>
      <c r="B599" s="35"/>
      <c r="C599" s="35"/>
      <c r="D599" s="35"/>
      <c r="E599" s="35"/>
      <c r="F599" s="35"/>
      <c r="G599" s="35"/>
      <c r="H599" s="35"/>
      <c r="I599" s="35"/>
      <c r="J599" s="35"/>
      <c r="K599" s="35"/>
      <c r="L599" s="35"/>
      <c r="M599" s="35"/>
      <c r="N599" s="35"/>
      <c r="O599" s="35"/>
      <c r="P599" s="35"/>
      <c r="Q599" s="35"/>
      <c r="R599" s="35"/>
      <c r="S599" s="35"/>
      <c r="T599" s="35"/>
      <c r="U599" s="35"/>
      <c r="V599" s="35"/>
      <c r="W599" s="35"/>
      <c r="X599" s="35"/>
      <c r="Y599" s="35"/>
      <c r="Z599" s="35"/>
      <c r="AA599" s="35"/>
    </row>
    <row r="600" ht="12.75" customHeight="1">
      <c r="A600" s="35"/>
      <c r="B600" s="35"/>
      <c r="C600" s="35"/>
      <c r="D600" s="35"/>
      <c r="E600" s="35"/>
      <c r="F600" s="35"/>
      <c r="G600" s="35"/>
      <c r="H600" s="35"/>
      <c r="I600" s="35"/>
      <c r="J600" s="35"/>
      <c r="K600" s="35"/>
      <c r="L600" s="35"/>
      <c r="M600" s="35"/>
      <c r="N600" s="35"/>
      <c r="O600" s="35"/>
      <c r="P600" s="35"/>
      <c r="Q600" s="35"/>
      <c r="R600" s="35"/>
      <c r="S600" s="35"/>
      <c r="T600" s="35"/>
      <c r="U600" s="35"/>
      <c r="V600" s="35"/>
      <c r="W600" s="35"/>
      <c r="X600" s="35"/>
      <c r="Y600" s="35"/>
      <c r="Z600" s="35"/>
      <c r="AA600" s="35"/>
    </row>
    <row r="601" ht="12.75" customHeight="1">
      <c r="A601" s="35"/>
      <c r="B601" s="35"/>
      <c r="C601" s="35"/>
      <c r="D601" s="35"/>
      <c r="E601" s="35"/>
      <c r="F601" s="35"/>
      <c r="G601" s="35"/>
      <c r="H601" s="35"/>
      <c r="I601" s="35"/>
      <c r="J601" s="35"/>
      <c r="K601" s="35"/>
      <c r="L601" s="35"/>
      <c r="M601" s="35"/>
      <c r="N601" s="35"/>
      <c r="O601" s="35"/>
      <c r="P601" s="35"/>
      <c r="Q601" s="35"/>
      <c r="R601" s="35"/>
      <c r="S601" s="35"/>
      <c r="T601" s="35"/>
      <c r="U601" s="35"/>
      <c r="V601" s="35"/>
      <c r="W601" s="35"/>
      <c r="X601" s="35"/>
      <c r="Y601" s="35"/>
      <c r="Z601" s="35"/>
      <c r="AA601" s="35"/>
    </row>
    <row r="602" ht="12.75" customHeight="1">
      <c r="A602" s="35"/>
      <c r="B602" s="35"/>
      <c r="C602" s="35"/>
      <c r="D602" s="35"/>
      <c r="E602" s="35"/>
      <c r="F602" s="35"/>
      <c r="G602" s="35"/>
      <c r="H602" s="35"/>
      <c r="I602" s="35"/>
      <c r="J602" s="35"/>
      <c r="K602" s="35"/>
      <c r="L602" s="35"/>
      <c r="M602" s="35"/>
      <c r="N602" s="35"/>
      <c r="O602" s="35"/>
      <c r="P602" s="35"/>
      <c r="Q602" s="35"/>
      <c r="R602" s="35"/>
      <c r="S602" s="35"/>
      <c r="T602" s="35"/>
      <c r="U602" s="35"/>
      <c r="V602" s="35"/>
      <c r="W602" s="35"/>
      <c r="X602" s="35"/>
      <c r="Y602" s="35"/>
      <c r="Z602" s="35"/>
      <c r="AA602" s="35"/>
    </row>
    <row r="603" ht="12.75" customHeight="1">
      <c r="A603" s="35"/>
      <c r="B603" s="35"/>
      <c r="C603" s="35"/>
      <c r="D603" s="35"/>
      <c r="E603" s="35"/>
      <c r="F603" s="35"/>
      <c r="G603" s="35"/>
      <c r="H603" s="35"/>
      <c r="I603" s="35"/>
      <c r="J603" s="35"/>
      <c r="K603" s="35"/>
      <c r="L603" s="35"/>
      <c r="M603" s="35"/>
      <c r="N603" s="35"/>
      <c r="O603" s="35"/>
      <c r="P603" s="35"/>
      <c r="Q603" s="35"/>
      <c r="R603" s="35"/>
      <c r="S603" s="35"/>
      <c r="T603" s="35"/>
      <c r="U603" s="35"/>
      <c r="V603" s="35"/>
      <c r="W603" s="35"/>
      <c r="X603" s="35"/>
      <c r="Y603" s="35"/>
      <c r="Z603" s="35"/>
      <c r="AA603" s="35"/>
    </row>
    <row r="604" ht="12.75" customHeight="1">
      <c r="A604" s="35"/>
      <c r="B604" s="35"/>
      <c r="C604" s="35"/>
      <c r="D604" s="35"/>
      <c r="E604" s="35"/>
      <c r="F604" s="35"/>
      <c r="G604" s="35"/>
      <c r="H604" s="35"/>
      <c r="I604" s="35"/>
      <c r="J604" s="35"/>
      <c r="K604" s="35"/>
      <c r="L604" s="35"/>
      <c r="M604" s="35"/>
      <c r="N604" s="35"/>
      <c r="O604" s="35"/>
      <c r="P604" s="35"/>
      <c r="Q604" s="35"/>
      <c r="R604" s="35"/>
      <c r="S604" s="35"/>
      <c r="T604" s="35"/>
      <c r="U604" s="35"/>
      <c r="V604" s="35"/>
      <c r="W604" s="35"/>
      <c r="X604" s="35"/>
      <c r="Y604" s="35"/>
      <c r="Z604" s="35"/>
      <c r="AA604" s="35"/>
    </row>
    <row r="605" ht="12.75" customHeight="1">
      <c r="A605" s="35"/>
      <c r="B605" s="35"/>
      <c r="C605" s="35"/>
      <c r="D605" s="35"/>
      <c r="E605" s="35"/>
      <c r="F605" s="35"/>
      <c r="G605" s="35"/>
      <c r="H605" s="35"/>
      <c r="I605" s="35"/>
      <c r="J605" s="35"/>
      <c r="K605" s="35"/>
      <c r="L605" s="35"/>
      <c r="M605" s="35"/>
      <c r="N605" s="35"/>
      <c r="O605" s="35"/>
      <c r="P605" s="35"/>
      <c r="Q605" s="35"/>
      <c r="R605" s="35"/>
      <c r="S605" s="35"/>
      <c r="T605" s="35"/>
      <c r="U605" s="35"/>
      <c r="V605" s="35"/>
      <c r="W605" s="35"/>
      <c r="X605" s="35"/>
      <c r="Y605" s="35"/>
      <c r="Z605" s="35"/>
      <c r="AA605" s="35"/>
    </row>
    <row r="606" ht="12.75" customHeight="1">
      <c r="A606" s="35"/>
      <c r="B606" s="35"/>
      <c r="C606" s="35"/>
      <c r="D606" s="35"/>
      <c r="E606" s="35"/>
      <c r="F606" s="35"/>
      <c r="G606" s="35"/>
      <c r="H606" s="35"/>
      <c r="I606" s="35"/>
      <c r="J606" s="35"/>
      <c r="K606" s="35"/>
      <c r="L606" s="35"/>
      <c r="M606" s="35"/>
      <c r="N606" s="35"/>
      <c r="O606" s="35"/>
      <c r="P606" s="35"/>
      <c r="Q606" s="35"/>
      <c r="R606" s="35"/>
      <c r="S606" s="35"/>
      <c r="T606" s="35"/>
      <c r="U606" s="35"/>
      <c r="V606" s="35"/>
      <c r="W606" s="35"/>
      <c r="X606" s="35"/>
      <c r="Y606" s="35"/>
      <c r="Z606" s="35"/>
      <c r="AA606" s="35"/>
    </row>
    <row r="607" ht="12.75" customHeight="1">
      <c r="A607" s="35"/>
      <c r="B607" s="35"/>
      <c r="C607" s="35"/>
      <c r="D607" s="35"/>
      <c r="E607" s="35"/>
      <c r="F607" s="35"/>
      <c r="G607" s="35"/>
      <c r="H607" s="35"/>
      <c r="I607" s="35"/>
      <c r="J607" s="35"/>
      <c r="K607" s="35"/>
      <c r="L607" s="35"/>
      <c r="M607" s="35"/>
      <c r="N607" s="35"/>
      <c r="O607" s="35"/>
      <c r="P607" s="35"/>
      <c r="Q607" s="35"/>
      <c r="R607" s="35"/>
      <c r="S607" s="35"/>
      <c r="T607" s="35"/>
      <c r="U607" s="35"/>
      <c r="V607" s="35"/>
      <c r="W607" s="35"/>
      <c r="X607" s="35"/>
      <c r="Y607" s="35"/>
      <c r="Z607" s="35"/>
      <c r="AA607" s="35"/>
    </row>
    <row r="608" ht="12.75" customHeight="1">
      <c r="A608" s="35"/>
      <c r="B608" s="35"/>
      <c r="C608" s="35"/>
      <c r="D608" s="35"/>
      <c r="E608" s="35"/>
      <c r="F608" s="35"/>
      <c r="G608" s="35"/>
      <c r="H608" s="35"/>
      <c r="I608" s="35"/>
      <c r="J608" s="35"/>
      <c r="K608" s="35"/>
      <c r="L608" s="35"/>
      <c r="M608" s="35"/>
      <c r="N608" s="35"/>
      <c r="O608" s="35"/>
      <c r="P608" s="35"/>
      <c r="Q608" s="35"/>
      <c r="R608" s="35"/>
      <c r="S608" s="35"/>
      <c r="T608" s="35"/>
      <c r="U608" s="35"/>
      <c r="V608" s="35"/>
      <c r="W608" s="35"/>
      <c r="X608" s="35"/>
      <c r="Y608" s="35"/>
      <c r="Z608" s="35"/>
      <c r="AA608" s="35"/>
    </row>
    <row r="609" ht="12.75" customHeight="1">
      <c r="A609" s="35"/>
      <c r="B609" s="35"/>
      <c r="C609" s="35"/>
      <c r="D609" s="35"/>
      <c r="E609" s="35"/>
      <c r="F609" s="35"/>
      <c r="G609" s="35"/>
      <c r="H609" s="35"/>
      <c r="I609" s="35"/>
      <c r="J609" s="35"/>
      <c r="K609" s="35"/>
      <c r="L609" s="35"/>
      <c r="M609" s="35"/>
      <c r="N609" s="35"/>
      <c r="O609" s="35"/>
      <c r="P609" s="35"/>
      <c r="Q609" s="35"/>
      <c r="R609" s="35"/>
      <c r="S609" s="35"/>
      <c r="T609" s="35"/>
      <c r="U609" s="35"/>
      <c r="V609" s="35"/>
      <c r="W609" s="35"/>
      <c r="X609" s="35"/>
      <c r="Y609" s="35"/>
      <c r="Z609" s="35"/>
      <c r="AA609" s="35"/>
    </row>
    <row r="610" ht="12.75" customHeight="1">
      <c r="A610" s="35"/>
      <c r="B610" s="35"/>
      <c r="C610" s="35"/>
      <c r="D610" s="35"/>
      <c r="E610" s="35"/>
      <c r="F610" s="35"/>
      <c r="G610" s="35"/>
      <c r="H610" s="35"/>
      <c r="I610" s="35"/>
      <c r="J610" s="35"/>
      <c r="K610" s="35"/>
      <c r="L610" s="35"/>
      <c r="M610" s="35"/>
      <c r="N610" s="35"/>
      <c r="O610" s="35"/>
      <c r="P610" s="35"/>
      <c r="Q610" s="35"/>
      <c r="R610" s="35"/>
      <c r="S610" s="35"/>
      <c r="T610" s="35"/>
      <c r="U610" s="35"/>
      <c r="V610" s="35"/>
      <c r="W610" s="35"/>
      <c r="X610" s="35"/>
      <c r="Y610" s="35"/>
      <c r="Z610" s="35"/>
      <c r="AA610" s="35"/>
    </row>
    <row r="611" ht="12.75" customHeight="1">
      <c r="A611" s="35"/>
      <c r="B611" s="35"/>
      <c r="C611" s="35"/>
      <c r="D611" s="35"/>
      <c r="E611" s="35"/>
      <c r="F611" s="35"/>
      <c r="G611" s="35"/>
      <c r="H611" s="35"/>
      <c r="I611" s="35"/>
      <c r="J611" s="35"/>
      <c r="K611" s="35"/>
      <c r="L611" s="35"/>
      <c r="M611" s="35"/>
      <c r="N611" s="35"/>
      <c r="O611" s="35"/>
      <c r="P611" s="35"/>
      <c r="Q611" s="35"/>
      <c r="R611" s="35"/>
      <c r="S611" s="35"/>
      <c r="T611" s="35"/>
      <c r="U611" s="35"/>
      <c r="V611" s="35"/>
      <c r="W611" s="35"/>
      <c r="X611" s="35"/>
      <c r="Y611" s="35"/>
      <c r="Z611" s="35"/>
      <c r="AA611" s="35"/>
    </row>
    <row r="612" ht="12.75" customHeight="1">
      <c r="A612" s="35"/>
      <c r="B612" s="35"/>
      <c r="C612" s="35"/>
      <c r="D612" s="35"/>
      <c r="E612" s="35"/>
      <c r="F612" s="35"/>
      <c r="G612" s="35"/>
      <c r="H612" s="35"/>
      <c r="I612" s="35"/>
      <c r="J612" s="35"/>
      <c r="K612" s="35"/>
      <c r="L612" s="35"/>
      <c r="M612" s="35"/>
      <c r="N612" s="35"/>
      <c r="O612" s="35"/>
      <c r="P612" s="35"/>
      <c r="Q612" s="35"/>
      <c r="R612" s="35"/>
      <c r="S612" s="35"/>
      <c r="T612" s="35"/>
      <c r="U612" s="35"/>
      <c r="V612" s="35"/>
      <c r="W612" s="35"/>
      <c r="X612" s="35"/>
      <c r="Y612" s="35"/>
      <c r="Z612" s="35"/>
      <c r="AA612" s="35"/>
    </row>
    <row r="613" ht="12.75" customHeight="1">
      <c r="A613" s="35"/>
      <c r="B613" s="35"/>
      <c r="C613" s="35"/>
      <c r="D613" s="35"/>
      <c r="E613" s="35"/>
      <c r="F613" s="35"/>
      <c r="G613" s="35"/>
      <c r="H613" s="35"/>
      <c r="I613" s="35"/>
      <c r="J613" s="35"/>
      <c r="K613" s="35"/>
      <c r="L613" s="35"/>
      <c r="M613" s="35"/>
      <c r="N613" s="35"/>
      <c r="O613" s="35"/>
      <c r="P613" s="35"/>
      <c r="Q613" s="35"/>
      <c r="R613" s="35"/>
      <c r="S613" s="35"/>
      <c r="T613" s="35"/>
      <c r="U613" s="35"/>
      <c r="V613" s="35"/>
      <c r="W613" s="35"/>
      <c r="X613" s="35"/>
      <c r="Y613" s="35"/>
      <c r="Z613" s="35"/>
      <c r="AA613" s="35"/>
    </row>
    <row r="614" ht="12.75" customHeight="1">
      <c r="A614" s="35"/>
      <c r="B614" s="35"/>
      <c r="C614" s="35"/>
      <c r="D614" s="35"/>
      <c r="E614" s="35"/>
      <c r="F614" s="35"/>
      <c r="G614" s="35"/>
      <c r="H614" s="35"/>
      <c r="I614" s="35"/>
      <c r="J614" s="35"/>
      <c r="K614" s="35"/>
      <c r="L614" s="35"/>
      <c r="M614" s="35"/>
      <c r="N614" s="35"/>
      <c r="O614" s="35"/>
      <c r="P614" s="35"/>
      <c r="Q614" s="35"/>
      <c r="R614" s="35"/>
      <c r="S614" s="35"/>
      <c r="T614" s="35"/>
      <c r="U614" s="35"/>
      <c r="V614" s="35"/>
      <c r="W614" s="35"/>
      <c r="X614" s="35"/>
      <c r="Y614" s="35"/>
      <c r="Z614" s="35"/>
      <c r="AA614" s="35"/>
    </row>
    <row r="615" ht="12.75" customHeight="1">
      <c r="A615" s="35"/>
      <c r="B615" s="35"/>
      <c r="C615" s="35"/>
      <c r="D615" s="35"/>
      <c r="E615" s="35"/>
      <c r="F615" s="35"/>
      <c r="G615" s="35"/>
      <c r="H615" s="35"/>
      <c r="I615" s="35"/>
      <c r="J615" s="35"/>
      <c r="K615" s="35"/>
      <c r="L615" s="35"/>
      <c r="M615" s="35"/>
      <c r="N615" s="35"/>
      <c r="O615" s="35"/>
      <c r="P615" s="35"/>
      <c r="Q615" s="35"/>
      <c r="R615" s="35"/>
      <c r="S615" s="35"/>
      <c r="T615" s="35"/>
      <c r="U615" s="35"/>
      <c r="V615" s="35"/>
      <c r="W615" s="35"/>
      <c r="X615" s="35"/>
      <c r="Y615" s="35"/>
      <c r="Z615" s="35"/>
      <c r="AA615" s="35"/>
    </row>
    <row r="616" ht="12.75" customHeight="1">
      <c r="A616" s="35"/>
      <c r="B616" s="35"/>
      <c r="C616" s="35"/>
      <c r="D616" s="35"/>
      <c r="E616" s="35"/>
      <c r="F616" s="35"/>
      <c r="G616" s="35"/>
      <c r="H616" s="35"/>
      <c r="I616" s="35"/>
      <c r="J616" s="35"/>
      <c r="K616" s="35"/>
      <c r="L616" s="35"/>
      <c r="M616" s="35"/>
      <c r="N616" s="35"/>
      <c r="O616" s="35"/>
      <c r="P616" s="35"/>
      <c r="Q616" s="35"/>
      <c r="R616" s="35"/>
      <c r="S616" s="35"/>
      <c r="T616" s="35"/>
      <c r="U616" s="35"/>
      <c r="V616" s="35"/>
      <c r="W616" s="35"/>
      <c r="X616" s="35"/>
      <c r="Y616" s="35"/>
      <c r="Z616" s="35"/>
      <c r="AA616" s="35"/>
    </row>
    <row r="617" ht="12.75" customHeight="1">
      <c r="A617" s="35"/>
      <c r="B617" s="35"/>
      <c r="C617" s="35"/>
      <c r="D617" s="35"/>
      <c r="E617" s="35"/>
      <c r="F617" s="35"/>
      <c r="G617" s="35"/>
      <c r="H617" s="35"/>
      <c r="I617" s="35"/>
      <c r="J617" s="35"/>
      <c r="K617" s="35"/>
      <c r="L617" s="35"/>
      <c r="M617" s="35"/>
      <c r="N617" s="35"/>
      <c r="O617" s="35"/>
      <c r="P617" s="35"/>
      <c r="Q617" s="35"/>
      <c r="R617" s="35"/>
      <c r="S617" s="35"/>
      <c r="T617" s="35"/>
      <c r="U617" s="35"/>
      <c r="V617" s="35"/>
      <c r="W617" s="35"/>
      <c r="X617" s="35"/>
      <c r="Y617" s="35"/>
      <c r="Z617" s="35"/>
      <c r="AA617" s="35"/>
    </row>
    <row r="618" ht="12.75" customHeight="1">
      <c r="A618" s="35"/>
      <c r="B618" s="35"/>
      <c r="C618" s="35"/>
      <c r="D618" s="35"/>
      <c r="E618" s="35"/>
      <c r="F618" s="35"/>
      <c r="G618" s="35"/>
      <c r="H618" s="35"/>
      <c r="I618" s="35"/>
      <c r="J618" s="35"/>
      <c r="K618" s="35"/>
      <c r="L618" s="35"/>
      <c r="M618" s="35"/>
      <c r="N618" s="35"/>
      <c r="O618" s="35"/>
      <c r="P618" s="35"/>
      <c r="Q618" s="35"/>
      <c r="R618" s="35"/>
      <c r="S618" s="35"/>
      <c r="T618" s="35"/>
      <c r="U618" s="35"/>
      <c r="V618" s="35"/>
      <c r="W618" s="35"/>
      <c r="X618" s="35"/>
      <c r="Y618" s="35"/>
      <c r="Z618" s="35"/>
      <c r="AA618" s="35"/>
    </row>
    <row r="619" ht="12.75" customHeight="1">
      <c r="A619" s="35"/>
      <c r="B619" s="35"/>
      <c r="C619" s="35"/>
      <c r="D619" s="35"/>
      <c r="E619" s="35"/>
      <c r="F619" s="35"/>
      <c r="G619" s="35"/>
      <c r="H619" s="35"/>
      <c r="I619" s="35"/>
      <c r="J619" s="35"/>
      <c r="K619" s="35"/>
      <c r="L619" s="35"/>
      <c r="M619" s="35"/>
      <c r="N619" s="35"/>
      <c r="O619" s="35"/>
      <c r="P619" s="35"/>
      <c r="Q619" s="35"/>
      <c r="R619" s="35"/>
      <c r="S619" s="35"/>
      <c r="T619" s="35"/>
      <c r="U619" s="35"/>
      <c r="V619" s="35"/>
      <c r="W619" s="35"/>
      <c r="X619" s="35"/>
      <c r="Y619" s="35"/>
      <c r="Z619" s="35"/>
      <c r="AA619" s="35"/>
    </row>
    <row r="620" ht="12.75" customHeight="1">
      <c r="A620" s="35"/>
      <c r="B620" s="35"/>
      <c r="C620" s="35"/>
      <c r="D620" s="35"/>
      <c r="E620" s="35"/>
      <c r="F620" s="35"/>
      <c r="G620" s="35"/>
      <c r="H620" s="35"/>
      <c r="I620" s="35"/>
      <c r="J620" s="35"/>
      <c r="K620" s="35"/>
      <c r="L620" s="35"/>
      <c r="M620" s="35"/>
      <c r="N620" s="35"/>
      <c r="O620" s="35"/>
      <c r="P620" s="35"/>
      <c r="Q620" s="35"/>
      <c r="R620" s="35"/>
      <c r="S620" s="35"/>
      <c r="T620" s="35"/>
      <c r="U620" s="35"/>
      <c r="V620" s="35"/>
      <c r="W620" s="35"/>
      <c r="X620" s="35"/>
      <c r="Y620" s="35"/>
      <c r="Z620" s="35"/>
      <c r="AA620" s="35"/>
    </row>
    <row r="621" ht="12.75" customHeight="1">
      <c r="A621" s="35"/>
      <c r="B621" s="35"/>
      <c r="C621" s="35"/>
      <c r="D621" s="35"/>
      <c r="E621" s="35"/>
      <c r="F621" s="35"/>
      <c r="G621" s="35"/>
      <c r="H621" s="35"/>
      <c r="I621" s="35"/>
      <c r="J621" s="35"/>
      <c r="K621" s="35"/>
      <c r="L621" s="35"/>
      <c r="M621" s="35"/>
      <c r="N621" s="35"/>
      <c r="O621" s="35"/>
      <c r="P621" s="35"/>
      <c r="Q621" s="35"/>
      <c r="R621" s="35"/>
      <c r="S621" s="35"/>
      <c r="T621" s="35"/>
      <c r="U621" s="35"/>
      <c r="V621" s="35"/>
      <c r="W621" s="35"/>
      <c r="X621" s="35"/>
      <c r="Y621" s="35"/>
      <c r="Z621" s="35"/>
      <c r="AA621" s="35"/>
    </row>
    <row r="622" ht="12.75" customHeight="1">
      <c r="A622" s="35"/>
      <c r="B622" s="35"/>
      <c r="C622" s="35"/>
      <c r="D622" s="35"/>
      <c r="E622" s="35"/>
      <c r="F622" s="35"/>
      <c r="G622" s="35"/>
      <c r="H622" s="35"/>
      <c r="I622" s="35"/>
      <c r="J622" s="35"/>
      <c r="K622" s="35"/>
      <c r="L622" s="35"/>
      <c r="M622" s="35"/>
      <c r="N622" s="35"/>
      <c r="O622" s="35"/>
      <c r="P622" s="35"/>
      <c r="Q622" s="35"/>
      <c r="R622" s="35"/>
      <c r="S622" s="35"/>
      <c r="T622" s="35"/>
      <c r="U622" s="35"/>
      <c r="V622" s="35"/>
      <c r="W622" s="35"/>
      <c r="X622" s="35"/>
      <c r="Y622" s="35"/>
      <c r="Z622" s="35"/>
      <c r="AA622" s="35"/>
    </row>
    <row r="623" ht="12.75" customHeight="1">
      <c r="A623" s="35"/>
      <c r="B623" s="35"/>
      <c r="C623" s="35"/>
      <c r="D623" s="35"/>
      <c r="E623" s="35"/>
      <c r="F623" s="35"/>
      <c r="G623" s="35"/>
      <c r="H623" s="35"/>
      <c r="I623" s="35"/>
      <c r="J623" s="35"/>
      <c r="K623" s="35"/>
      <c r="L623" s="35"/>
      <c r="M623" s="35"/>
      <c r="N623" s="35"/>
      <c r="O623" s="35"/>
      <c r="P623" s="35"/>
      <c r="Q623" s="35"/>
      <c r="R623" s="35"/>
      <c r="S623" s="35"/>
      <c r="T623" s="35"/>
      <c r="U623" s="35"/>
      <c r="V623" s="35"/>
      <c r="W623" s="35"/>
      <c r="X623" s="35"/>
      <c r="Y623" s="35"/>
      <c r="Z623" s="35"/>
      <c r="AA623" s="35"/>
    </row>
    <row r="624" ht="12.75" customHeight="1">
      <c r="A624" s="35"/>
      <c r="B624" s="35"/>
      <c r="C624" s="35"/>
      <c r="D624" s="35"/>
      <c r="E624" s="35"/>
      <c r="F624" s="35"/>
      <c r="G624" s="35"/>
      <c r="H624" s="35"/>
      <c r="I624" s="35"/>
      <c r="J624" s="35"/>
      <c r="K624" s="35"/>
      <c r="L624" s="35"/>
      <c r="M624" s="35"/>
      <c r="N624" s="35"/>
      <c r="O624" s="35"/>
      <c r="P624" s="35"/>
      <c r="Q624" s="35"/>
      <c r="R624" s="35"/>
      <c r="S624" s="35"/>
      <c r="T624" s="35"/>
      <c r="U624" s="35"/>
      <c r="V624" s="35"/>
      <c r="W624" s="35"/>
      <c r="X624" s="35"/>
      <c r="Y624" s="35"/>
      <c r="Z624" s="35"/>
      <c r="AA624" s="35"/>
    </row>
    <row r="625" ht="12.75" customHeight="1">
      <c r="A625" s="35"/>
      <c r="B625" s="35"/>
      <c r="C625" s="35"/>
      <c r="D625" s="35"/>
      <c r="E625" s="35"/>
      <c r="F625" s="35"/>
      <c r="G625" s="35"/>
      <c r="H625" s="35"/>
      <c r="I625" s="35"/>
      <c r="J625" s="35"/>
      <c r="K625" s="35"/>
      <c r="L625" s="35"/>
      <c r="M625" s="35"/>
      <c r="N625" s="35"/>
      <c r="O625" s="35"/>
      <c r="P625" s="35"/>
      <c r="Q625" s="35"/>
      <c r="R625" s="35"/>
      <c r="S625" s="35"/>
      <c r="T625" s="35"/>
      <c r="U625" s="35"/>
      <c r="V625" s="35"/>
      <c r="W625" s="35"/>
      <c r="X625" s="35"/>
      <c r="Y625" s="35"/>
      <c r="Z625" s="35"/>
      <c r="AA625" s="35"/>
    </row>
    <row r="626" ht="12.75" customHeight="1">
      <c r="A626" s="35"/>
      <c r="B626" s="35"/>
      <c r="C626" s="35"/>
      <c r="D626" s="35"/>
      <c r="E626" s="35"/>
      <c r="F626" s="35"/>
      <c r="G626" s="35"/>
      <c r="H626" s="35"/>
      <c r="I626" s="35"/>
      <c r="J626" s="35"/>
      <c r="K626" s="35"/>
      <c r="L626" s="35"/>
      <c r="M626" s="35"/>
      <c r="N626" s="35"/>
      <c r="O626" s="35"/>
      <c r="P626" s="35"/>
      <c r="Q626" s="35"/>
      <c r="R626" s="35"/>
      <c r="S626" s="35"/>
      <c r="T626" s="35"/>
      <c r="U626" s="35"/>
      <c r="V626" s="35"/>
      <c r="W626" s="35"/>
      <c r="X626" s="35"/>
      <c r="Y626" s="35"/>
      <c r="Z626" s="35"/>
      <c r="AA626" s="35"/>
    </row>
    <row r="627" ht="12.75" customHeight="1">
      <c r="A627" s="35"/>
      <c r="B627" s="35"/>
      <c r="C627" s="35"/>
      <c r="D627" s="35"/>
      <c r="E627" s="35"/>
      <c r="F627" s="35"/>
      <c r="G627" s="35"/>
      <c r="H627" s="35"/>
      <c r="I627" s="35"/>
      <c r="J627" s="35"/>
      <c r="K627" s="35"/>
      <c r="L627" s="35"/>
      <c r="M627" s="35"/>
      <c r="N627" s="35"/>
      <c r="O627" s="35"/>
      <c r="P627" s="35"/>
      <c r="Q627" s="35"/>
      <c r="R627" s="35"/>
      <c r="S627" s="35"/>
      <c r="T627" s="35"/>
      <c r="U627" s="35"/>
      <c r="V627" s="35"/>
      <c r="W627" s="35"/>
      <c r="X627" s="35"/>
      <c r="Y627" s="35"/>
      <c r="Z627" s="35"/>
      <c r="AA627" s="35"/>
    </row>
    <row r="628" ht="12.75" customHeight="1">
      <c r="A628" s="35"/>
      <c r="B628" s="35"/>
      <c r="C628" s="35"/>
      <c r="D628" s="35"/>
      <c r="E628" s="35"/>
      <c r="F628" s="35"/>
      <c r="G628" s="35"/>
      <c r="H628" s="35"/>
      <c r="I628" s="35"/>
      <c r="J628" s="35"/>
      <c r="K628" s="35"/>
      <c r="L628" s="35"/>
      <c r="M628" s="35"/>
      <c r="N628" s="35"/>
      <c r="O628" s="35"/>
      <c r="P628" s="35"/>
      <c r="Q628" s="35"/>
      <c r="R628" s="35"/>
      <c r="S628" s="35"/>
      <c r="T628" s="35"/>
      <c r="U628" s="35"/>
      <c r="V628" s="35"/>
      <c r="W628" s="35"/>
      <c r="X628" s="35"/>
      <c r="Y628" s="35"/>
      <c r="Z628" s="35"/>
      <c r="AA628" s="35"/>
    </row>
    <row r="629" ht="12.75" customHeight="1">
      <c r="A629" s="35"/>
      <c r="B629" s="35"/>
      <c r="C629" s="35"/>
      <c r="D629" s="35"/>
      <c r="E629" s="35"/>
      <c r="F629" s="35"/>
      <c r="G629" s="35"/>
      <c r="H629" s="35"/>
      <c r="I629" s="35"/>
      <c r="J629" s="35"/>
      <c r="K629" s="35"/>
      <c r="L629" s="35"/>
      <c r="M629" s="35"/>
      <c r="N629" s="35"/>
      <c r="O629" s="35"/>
      <c r="P629" s="35"/>
      <c r="Q629" s="35"/>
      <c r="R629" s="35"/>
      <c r="S629" s="35"/>
      <c r="T629" s="35"/>
      <c r="U629" s="35"/>
      <c r="V629" s="35"/>
      <c r="W629" s="35"/>
      <c r="X629" s="35"/>
      <c r="Y629" s="35"/>
      <c r="Z629" s="35"/>
      <c r="AA629" s="35"/>
    </row>
    <row r="630" ht="12.75" customHeight="1">
      <c r="A630" s="35"/>
      <c r="B630" s="35"/>
      <c r="C630" s="35"/>
      <c r="D630" s="35"/>
      <c r="E630" s="35"/>
      <c r="F630" s="35"/>
      <c r="G630" s="35"/>
      <c r="H630" s="35"/>
      <c r="I630" s="35"/>
      <c r="J630" s="35"/>
      <c r="K630" s="35"/>
      <c r="L630" s="35"/>
      <c r="M630" s="35"/>
      <c r="N630" s="35"/>
      <c r="O630" s="35"/>
      <c r="P630" s="35"/>
      <c r="Q630" s="35"/>
      <c r="R630" s="35"/>
      <c r="S630" s="35"/>
      <c r="T630" s="35"/>
      <c r="U630" s="35"/>
      <c r="V630" s="35"/>
      <c r="W630" s="35"/>
      <c r="X630" s="35"/>
      <c r="Y630" s="35"/>
      <c r="Z630" s="35"/>
      <c r="AA630" s="35"/>
    </row>
    <row r="631" ht="12.75" customHeight="1">
      <c r="A631" s="35"/>
      <c r="B631" s="35"/>
      <c r="C631" s="35"/>
      <c r="D631" s="35"/>
      <c r="E631" s="35"/>
      <c r="F631" s="35"/>
      <c r="G631" s="35"/>
      <c r="H631" s="35"/>
      <c r="I631" s="35"/>
      <c r="J631" s="35"/>
      <c r="K631" s="35"/>
      <c r="L631" s="35"/>
      <c r="M631" s="35"/>
      <c r="N631" s="35"/>
      <c r="O631" s="35"/>
      <c r="P631" s="35"/>
      <c r="Q631" s="35"/>
      <c r="R631" s="35"/>
      <c r="S631" s="35"/>
      <c r="T631" s="35"/>
      <c r="U631" s="35"/>
      <c r="V631" s="35"/>
      <c r="W631" s="35"/>
      <c r="X631" s="35"/>
      <c r="Y631" s="35"/>
      <c r="Z631" s="35"/>
      <c r="AA631" s="35"/>
    </row>
    <row r="632" ht="12.75" customHeight="1">
      <c r="A632" s="35"/>
      <c r="B632" s="35"/>
      <c r="C632" s="35"/>
      <c r="D632" s="35"/>
      <c r="E632" s="35"/>
      <c r="F632" s="35"/>
      <c r="G632" s="35"/>
      <c r="H632" s="35"/>
      <c r="I632" s="35"/>
      <c r="J632" s="35"/>
      <c r="K632" s="35"/>
      <c r="L632" s="35"/>
      <c r="M632" s="35"/>
      <c r="N632" s="35"/>
      <c r="O632" s="35"/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5"/>
      <c r="AA632" s="35"/>
    </row>
    <row r="633" ht="12.75" customHeight="1">
      <c r="A633" s="35"/>
      <c r="B633" s="35"/>
      <c r="C633" s="35"/>
      <c r="D633" s="35"/>
      <c r="E633" s="35"/>
      <c r="F633" s="35"/>
      <c r="G633" s="35"/>
      <c r="H633" s="35"/>
      <c r="I633" s="35"/>
      <c r="J633" s="35"/>
      <c r="K633" s="35"/>
      <c r="L633" s="35"/>
      <c r="M633" s="35"/>
      <c r="N633" s="35"/>
      <c r="O633" s="35"/>
      <c r="P633" s="35"/>
      <c r="Q633" s="35"/>
      <c r="R633" s="35"/>
      <c r="S633" s="35"/>
      <c r="T633" s="35"/>
      <c r="U633" s="35"/>
      <c r="V633" s="35"/>
      <c r="W633" s="35"/>
      <c r="X633" s="35"/>
      <c r="Y633" s="35"/>
      <c r="Z633" s="35"/>
      <c r="AA633" s="35"/>
    </row>
    <row r="634" ht="12.75" customHeight="1">
      <c r="A634" s="35"/>
      <c r="B634" s="35"/>
      <c r="C634" s="35"/>
      <c r="D634" s="35"/>
      <c r="E634" s="35"/>
      <c r="F634" s="35"/>
      <c r="G634" s="35"/>
      <c r="H634" s="35"/>
      <c r="I634" s="35"/>
      <c r="J634" s="35"/>
      <c r="K634" s="35"/>
      <c r="L634" s="35"/>
      <c r="M634" s="35"/>
      <c r="N634" s="35"/>
      <c r="O634" s="35"/>
      <c r="P634" s="35"/>
      <c r="Q634" s="35"/>
      <c r="R634" s="35"/>
      <c r="S634" s="35"/>
      <c r="T634" s="35"/>
      <c r="U634" s="35"/>
      <c r="V634" s="35"/>
      <c r="W634" s="35"/>
      <c r="X634" s="35"/>
      <c r="Y634" s="35"/>
      <c r="Z634" s="35"/>
      <c r="AA634" s="35"/>
    </row>
    <row r="635" ht="12.75" customHeight="1">
      <c r="A635" s="35"/>
      <c r="B635" s="35"/>
      <c r="C635" s="35"/>
      <c r="D635" s="35"/>
      <c r="E635" s="35"/>
      <c r="F635" s="35"/>
      <c r="G635" s="35"/>
      <c r="H635" s="35"/>
      <c r="I635" s="35"/>
      <c r="J635" s="35"/>
      <c r="K635" s="35"/>
      <c r="L635" s="35"/>
      <c r="M635" s="35"/>
      <c r="N635" s="35"/>
      <c r="O635" s="35"/>
      <c r="P635" s="35"/>
      <c r="Q635" s="35"/>
      <c r="R635" s="35"/>
      <c r="S635" s="35"/>
      <c r="T635" s="35"/>
      <c r="U635" s="35"/>
      <c r="V635" s="35"/>
      <c r="W635" s="35"/>
      <c r="X635" s="35"/>
      <c r="Y635" s="35"/>
      <c r="Z635" s="35"/>
      <c r="AA635" s="35"/>
    </row>
    <row r="636" ht="12.75" customHeight="1">
      <c r="A636" s="35"/>
      <c r="B636" s="35"/>
      <c r="C636" s="35"/>
      <c r="D636" s="35"/>
      <c r="E636" s="35"/>
      <c r="F636" s="35"/>
      <c r="G636" s="35"/>
      <c r="H636" s="35"/>
      <c r="I636" s="35"/>
      <c r="J636" s="35"/>
      <c r="K636" s="35"/>
      <c r="L636" s="35"/>
      <c r="M636" s="35"/>
      <c r="N636" s="35"/>
      <c r="O636" s="35"/>
      <c r="P636" s="35"/>
      <c r="Q636" s="35"/>
      <c r="R636" s="35"/>
      <c r="S636" s="35"/>
      <c r="T636" s="35"/>
      <c r="U636" s="35"/>
      <c r="V636" s="35"/>
      <c r="W636" s="35"/>
      <c r="X636" s="35"/>
      <c r="Y636" s="35"/>
      <c r="Z636" s="35"/>
      <c r="AA636" s="35"/>
    </row>
    <row r="637" ht="12.75" customHeight="1">
      <c r="A637" s="35"/>
      <c r="B637" s="35"/>
      <c r="C637" s="35"/>
      <c r="D637" s="35"/>
      <c r="E637" s="35"/>
      <c r="F637" s="35"/>
      <c r="G637" s="35"/>
      <c r="H637" s="35"/>
      <c r="I637" s="35"/>
      <c r="J637" s="35"/>
      <c r="K637" s="35"/>
      <c r="L637" s="35"/>
      <c r="M637" s="35"/>
      <c r="N637" s="35"/>
      <c r="O637" s="35"/>
      <c r="P637" s="35"/>
      <c r="Q637" s="35"/>
      <c r="R637" s="35"/>
      <c r="S637" s="35"/>
      <c r="T637" s="35"/>
      <c r="U637" s="35"/>
      <c r="V637" s="35"/>
      <c r="W637" s="35"/>
      <c r="X637" s="35"/>
      <c r="Y637" s="35"/>
      <c r="Z637" s="35"/>
      <c r="AA637" s="35"/>
    </row>
    <row r="638" ht="12.75" customHeight="1">
      <c r="A638" s="35"/>
      <c r="B638" s="35"/>
      <c r="C638" s="35"/>
      <c r="D638" s="35"/>
      <c r="E638" s="35"/>
      <c r="F638" s="35"/>
      <c r="G638" s="35"/>
      <c r="H638" s="35"/>
      <c r="I638" s="35"/>
      <c r="J638" s="35"/>
      <c r="K638" s="35"/>
      <c r="L638" s="35"/>
      <c r="M638" s="35"/>
      <c r="N638" s="35"/>
      <c r="O638" s="35"/>
      <c r="P638" s="35"/>
      <c r="Q638" s="35"/>
      <c r="R638" s="35"/>
      <c r="S638" s="35"/>
      <c r="T638" s="35"/>
      <c r="U638" s="35"/>
      <c r="V638" s="35"/>
      <c r="W638" s="35"/>
      <c r="X638" s="35"/>
      <c r="Y638" s="35"/>
      <c r="Z638" s="35"/>
      <c r="AA638" s="35"/>
    </row>
    <row r="639" ht="12.75" customHeight="1">
      <c r="A639" s="35"/>
      <c r="B639" s="35"/>
      <c r="C639" s="35"/>
      <c r="D639" s="35"/>
      <c r="E639" s="35"/>
      <c r="F639" s="35"/>
      <c r="G639" s="35"/>
      <c r="H639" s="35"/>
      <c r="I639" s="35"/>
      <c r="J639" s="35"/>
      <c r="K639" s="35"/>
      <c r="L639" s="35"/>
      <c r="M639" s="35"/>
      <c r="N639" s="35"/>
      <c r="O639" s="35"/>
      <c r="P639" s="35"/>
      <c r="Q639" s="35"/>
      <c r="R639" s="35"/>
      <c r="S639" s="35"/>
      <c r="T639" s="35"/>
      <c r="U639" s="35"/>
      <c r="V639" s="35"/>
      <c r="W639" s="35"/>
      <c r="X639" s="35"/>
      <c r="Y639" s="35"/>
      <c r="Z639" s="35"/>
      <c r="AA639" s="35"/>
    </row>
    <row r="640" ht="12.75" customHeight="1">
      <c r="A640" s="35"/>
      <c r="B640" s="35"/>
      <c r="C640" s="35"/>
      <c r="D640" s="35"/>
      <c r="E640" s="35"/>
      <c r="F640" s="35"/>
      <c r="G640" s="35"/>
      <c r="H640" s="35"/>
      <c r="I640" s="35"/>
      <c r="J640" s="35"/>
      <c r="K640" s="35"/>
      <c r="L640" s="35"/>
      <c r="M640" s="35"/>
      <c r="N640" s="35"/>
      <c r="O640" s="35"/>
      <c r="P640" s="35"/>
      <c r="Q640" s="35"/>
      <c r="R640" s="35"/>
      <c r="S640" s="35"/>
      <c r="T640" s="35"/>
      <c r="U640" s="35"/>
      <c r="V640" s="35"/>
      <c r="W640" s="35"/>
      <c r="X640" s="35"/>
      <c r="Y640" s="35"/>
      <c r="Z640" s="35"/>
      <c r="AA640" s="35"/>
    </row>
    <row r="641" ht="12.75" customHeight="1">
      <c r="A641" s="35"/>
      <c r="B641" s="35"/>
      <c r="C641" s="35"/>
      <c r="D641" s="35"/>
      <c r="E641" s="35"/>
      <c r="F641" s="35"/>
      <c r="G641" s="35"/>
      <c r="H641" s="35"/>
      <c r="I641" s="35"/>
      <c r="J641" s="35"/>
      <c r="K641" s="35"/>
      <c r="L641" s="35"/>
      <c r="M641" s="35"/>
      <c r="N641" s="35"/>
      <c r="O641" s="35"/>
      <c r="P641" s="35"/>
      <c r="Q641" s="35"/>
      <c r="R641" s="35"/>
      <c r="S641" s="35"/>
      <c r="T641" s="35"/>
      <c r="U641" s="35"/>
      <c r="V641" s="35"/>
      <c r="W641" s="35"/>
      <c r="X641" s="35"/>
      <c r="Y641" s="35"/>
      <c r="Z641" s="35"/>
      <c r="AA641" s="35"/>
    </row>
    <row r="642" ht="12.75" customHeight="1">
      <c r="A642" s="35"/>
      <c r="B642" s="35"/>
      <c r="C642" s="35"/>
      <c r="D642" s="35"/>
      <c r="E642" s="35"/>
      <c r="F642" s="35"/>
      <c r="G642" s="35"/>
      <c r="H642" s="35"/>
      <c r="I642" s="35"/>
      <c r="J642" s="35"/>
      <c r="K642" s="35"/>
      <c r="L642" s="35"/>
      <c r="M642" s="35"/>
      <c r="N642" s="35"/>
      <c r="O642" s="35"/>
      <c r="P642" s="35"/>
      <c r="Q642" s="35"/>
      <c r="R642" s="35"/>
      <c r="S642" s="35"/>
      <c r="T642" s="35"/>
      <c r="U642" s="35"/>
      <c r="V642" s="35"/>
      <c r="W642" s="35"/>
      <c r="X642" s="35"/>
      <c r="Y642" s="35"/>
      <c r="Z642" s="35"/>
      <c r="AA642" s="35"/>
    </row>
    <row r="643" ht="12.75" customHeight="1">
      <c r="A643" s="35"/>
      <c r="B643" s="35"/>
      <c r="C643" s="35"/>
      <c r="D643" s="35"/>
      <c r="E643" s="35"/>
      <c r="F643" s="35"/>
      <c r="G643" s="35"/>
      <c r="H643" s="35"/>
      <c r="I643" s="35"/>
      <c r="J643" s="35"/>
      <c r="K643" s="35"/>
      <c r="L643" s="35"/>
      <c r="M643" s="35"/>
      <c r="N643" s="35"/>
      <c r="O643" s="35"/>
      <c r="P643" s="35"/>
      <c r="Q643" s="35"/>
      <c r="R643" s="35"/>
      <c r="S643" s="35"/>
      <c r="T643" s="35"/>
      <c r="U643" s="35"/>
      <c r="V643" s="35"/>
      <c r="W643" s="35"/>
      <c r="X643" s="35"/>
      <c r="Y643" s="35"/>
      <c r="Z643" s="35"/>
      <c r="AA643" s="35"/>
    </row>
    <row r="644" ht="12.75" customHeight="1">
      <c r="A644" s="35"/>
      <c r="B644" s="35"/>
      <c r="C644" s="35"/>
      <c r="D644" s="35"/>
      <c r="E644" s="35"/>
      <c r="F644" s="35"/>
      <c r="G644" s="35"/>
      <c r="H644" s="35"/>
      <c r="I644" s="35"/>
      <c r="J644" s="35"/>
      <c r="K644" s="35"/>
      <c r="L644" s="35"/>
      <c r="M644" s="35"/>
      <c r="N644" s="35"/>
      <c r="O644" s="35"/>
      <c r="P644" s="35"/>
      <c r="Q644" s="35"/>
      <c r="R644" s="35"/>
      <c r="S644" s="35"/>
      <c r="T644" s="35"/>
      <c r="U644" s="35"/>
      <c r="V644" s="35"/>
      <c r="W644" s="35"/>
      <c r="X644" s="35"/>
      <c r="Y644" s="35"/>
      <c r="Z644" s="35"/>
      <c r="AA644" s="35"/>
    </row>
    <row r="645" ht="12.75" customHeight="1">
      <c r="A645" s="35"/>
      <c r="B645" s="35"/>
      <c r="C645" s="35"/>
      <c r="D645" s="35"/>
      <c r="E645" s="35"/>
      <c r="F645" s="35"/>
      <c r="G645" s="35"/>
      <c r="H645" s="35"/>
      <c r="I645" s="35"/>
      <c r="J645" s="35"/>
      <c r="K645" s="35"/>
      <c r="L645" s="35"/>
      <c r="M645" s="35"/>
      <c r="N645" s="35"/>
      <c r="O645" s="35"/>
      <c r="P645" s="35"/>
      <c r="Q645" s="35"/>
      <c r="R645" s="35"/>
      <c r="S645" s="35"/>
      <c r="T645" s="35"/>
      <c r="U645" s="35"/>
      <c r="V645" s="35"/>
      <c r="W645" s="35"/>
      <c r="X645" s="35"/>
      <c r="Y645" s="35"/>
      <c r="Z645" s="35"/>
      <c r="AA645" s="35"/>
    </row>
    <row r="646" ht="12.75" customHeight="1">
      <c r="A646" s="35"/>
      <c r="B646" s="35"/>
      <c r="C646" s="35"/>
      <c r="D646" s="35"/>
      <c r="E646" s="35"/>
      <c r="F646" s="35"/>
      <c r="G646" s="35"/>
      <c r="H646" s="35"/>
      <c r="I646" s="35"/>
      <c r="J646" s="35"/>
      <c r="K646" s="35"/>
      <c r="L646" s="35"/>
      <c r="M646" s="35"/>
      <c r="N646" s="35"/>
      <c r="O646" s="35"/>
      <c r="P646" s="35"/>
      <c r="Q646" s="35"/>
      <c r="R646" s="35"/>
      <c r="S646" s="35"/>
      <c r="T646" s="35"/>
      <c r="U646" s="35"/>
      <c r="V646" s="35"/>
      <c r="W646" s="35"/>
      <c r="X646" s="35"/>
      <c r="Y646" s="35"/>
      <c r="Z646" s="35"/>
      <c r="AA646" s="35"/>
    </row>
    <row r="647" ht="12.75" customHeight="1">
      <c r="A647" s="35"/>
      <c r="B647" s="35"/>
      <c r="C647" s="35"/>
      <c r="D647" s="35"/>
      <c r="E647" s="35"/>
      <c r="F647" s="35"/>
      <c r="G647" s="35"/>
      <c r="H647" s="35"/>
      <c r="I647" s="35"/>
      <c r="J647" s="35"/>
      <c r="K647" s="35"/>
      <c r="L647" s="35"/>
      <c r="M647" s="35"/>
      <c r="N647" s="35"/>
      <c r="O647" s="35"/>
      <c r="P647" s="35"/>
      <c r="Q647" s="35"/>
      <c r="R647" s="35"/>
      <c r="S647" s="35"/>
      <c r="T647" s="35"/>
      <c r="U647" s="35"/>
      <c r="V647" s="35"/>
      <c r="W647" s="35"/>
      <c r="X647" s="35"/>
      <c r="Y647" s="35"/>
      <c r="Z647" s="35"/>
      <c r="AA647" s="35"/>
    </row>
    <row r="648" ht="12.75" customHeight="1">
      <c r="A648" s="35"/>
      <c r="B648" s="35"/>
      <c r="C648" s="35"/>
      <c r="D648" s="35"/>
      <c r="E648" s="35"/>
      <c r="F648" s="35"/>
      <c r="G648" s="35"/>
      <c r="H648" s="35"/>
      <c r="I648" s="35"/>
      <c r="J648" s="35"/>
      <c r="K648" s="35"/>
      <c r="L648" s="35"/>
      <c r="M648" s="35"/>
      <c r="N648" s="35"/>
      <c r="O648" s="35"/>
      <c r="P648" s="35"/>
      <c r="Q648" s="35"/>
      <c r="R648" s="35"/>
      <c r="S648" s="35"/>
      <c r="T648" s="35"/>
      <c r="U648" s="35"/>
      <c r="V648" s="35"/>
      <c r="W648" s="35"/>
      <c r="X648" s="35"/>
      <c r="Y648" s="35"/>
      <c r="Z648" s="35"/>
      <c r="AA648" s="35"/>
    </row>
    <row r="649" ht="12.75" customHeight="1">
      <c r="A649" s="35"/>
      <c r="B649" s="35"/>
      <c r="C649" s="35"/>
      <c r="D649" s="35"/>
      <c r="E649" s="35"/>
      <c r="F649" s="35"/>
      <c r="G649" s="35"/>
      <c r="H649" s="35"/>
      <c r="I649" s="35"/>
      <c r="J649" s="35"/>
      <c r="K649" s="35"/>
      <c r="L649" s="35"/>
      <c r="M649" s="35"/>
      <c r="N649" s="35"/>
      <c r="O649" s="35"/>
      <c r="P649" s="35"/>
      <c r="Q649" s="35"/>
      <c r="R649" s="35"/>
      <c r="S649" s="35"/>
      <c r="T649" s="35"/>
      <c r="U649" s="35"/>
      <c r="V649" s="35"/>
      <c r="W649" s="35"/>
      <c r="X649" s="35"/>
      <c r="Y649" s="35"/>
      <c r="Z649" s="35"/>
      <c r="AA649" s="35"/>
    </row>
    <row r="650" ht="12.75" customHeight="1">
      <c r="A650" s="35"/>
      <c r="B650" s="35"/>
      <c r="C650" s="35"/>
      <c r="D650" s="35"/>
      <c r="E650" s="35"/>
      <c r="F650" s="35"/>
      <c r="G650" s="35"/>
      <c r="H650" s="35"/>
      <c r="I650" s="35"/>
      <c r="J650" s="35"/>
      <c r="K650" s="35"/>
      <c r="L650" s="35"/>
      <c r="M650" s="35"/>
      <c r="N650" s="35"/>
      <c r="O650" s="35"/>
      <c r="P650" s="35"/>
      <c r="Q650" s="35"/>
      <c r="R650" s="35"/>
      <c r="S650" s="35"/>
      <c r="T650" s="35"/>
      <c r="U650" s="35"/>
      <c r="V650" s="35"/>
      <c r="W650" s="35"/>
      <c r="X650" s="35"/>
      <c r="Y650" s="35"/>
      <c r="Z650" s="35"/>
      <c r="AA650" s="35"/>
    </row>
    <row r="651" ht="12.75" customHeight="1">
      <c r="A651" s="35"/>
      <c r="B651" s="35"/>
      <c r="C651" s="35"/>
      <c r="D651" s="35"/>
      <c r="E651" s="35"/>
      <c r="F651" s="35"/>
      <c r="G651" s="35"/>
      <c r="H651" s="35"/>
      <c r="I651" s="35"/>
      <c r="J651" s="35"/>
      <c r="K651" s="35"/>
      <c r="L651" s="35"/>
      <c r="M651" s="35"/>
      <c r="N651" s="35"/>
      <c r="O651" s="35"/>
      <c r="P651" s="35"/>
      <c r="Q651" s="35"/>
      <c r="R651" s="35"/>
      <c r="S651" s="35"/>
      <c r="T651" s="35"/>
      <c r="U651" s="35"/>
      <c r="V651" s="35"/>
      <c r="W651" s="35"/>
      <c r="X651" s="35"/>
      <c r="Y651" s="35"/>
      <c r="Z651" s="35"/>
      <c r="AA651" s="35"/>
    </row>
    <row r="652" ht="12.75" customHeight="1">
      <c r="A652" s="35"/>
      <c r="B652" s="35"/>
      <c r="C652" s="35"/>
      <c r="D652" s="35"/>
      <c r="E652" s="35"/>
      <c r="F652" s="35"/>
      <c r="G652" s="35"/>
      <c r="H652" s="35"/>
      <c r="I652" s="35"/>
      <c r="J652" s="35"/>
      <c r="K652" s="35"/>
      <c r="L652" s="35"/>
      <c r="M652" s="35"/>
      <c r="N652" s="35"/>
      <c r="O652" s="35"/>
      <c r="P652" s="35"/>
      <c r="Q652" s="35"/>
      <c r="R652" s="35"/>
      <c r="S652" s="35"/>
      <c r="T652" s="35"/>
      <c r="U652" s="35"/>
      <c r="V652" s="35"/>
      <c r="W652" s="35"/>
      <c r="X652" s="35"/>
      <c r="Y652" s="35"/>
      <c r="Z652" s="35"/>
      <c r="AA652" s="35"/>
    </row>
    <row r="653" ht="12.75" customHeight="1">
      <c r="A653" s="35"/>
      <c r="B653" s="35"/>
      <c r="C653" s="35"/>
      <c r="D653" s="35"/>
      <c r="E653" s="35"/>
      <c r="F653" s="35"/>
      <c r="G653" s="35"/>
      <c r="H653" s="35"/>
      <c r="I653" s="35"/>
      <c r="J653" s="35"/>
      <c r="K653" s="35"/>
      <c r="L653" s="35"/>
      <c r="M653" s="35"/>
      <c r="N653" s="35"/>
      <c r="O653" s="35"/>
      <c r="P653" s="35"/>
      <c r="Q653" s="35"/>
      <c r="R653" s="35"/>
      <c r="S653" s="35"/>
      <c r="T653" s="35"/>
      <c r="U653" s="35"/>
      <c r="V653" s="35"/>
      <c r="W653" s="35"/>
      <c r="X653" s="35"/>
      <c r="Y653" s="35"/>
      <c r="Z653" s="35"/>
      <c r="AA653" s="35"/>
    </row>
    <row r="654" ht="12.75" customHeight="1">
      <c r="A654" s="35"/>
      <c r="B654" s="35"/>
      <c r="C654" s="35"/>
      <c r="D654" s="35"/>
      <c r="E654" s="35"/>
      <c r="F654" s="35"/>
      <c r="G654" s="35"/>
      <c r="H654" s="35"/>
      <c r="I654" s="35"/>
      <c r="J654" s="35"/>
      <c r="K654" s="35"/>
      <c r="L654" s="35"/>
      <c r="M654" s="35"/>
      <c r="N654" s="35"/>
      <c r="O654" s="35"/>
      <c r="P654" s="35"/>
      <c r="Q654" s="35"/>
      <c r="R654" s="35"/>
      <c r="S654" s="35"/>
      <c r="T654" s="35"/>
      <c r="U654" s="35"/>
      <c r="V654" s="35"/>
      <c r="W654" s="35"/>
      <c r="X654" s="35"/>
      <c r="Y654" s="35"/>
      <c r="Z654" s="35"/>
      <c r="AA654" s="35"/>
    </row>
    <row r="655" ht="12.75" customHeight="1">
      <c r="A655" s="35"/>
      <c r="B655" s="35"/>
      <c r="C655" s="35"/>
      <c r="D655" s="35"/>
      <c r="E655" s="35"/>
      <c r="F655" s="35"/>
      <c r="G655" s="35"/>
      <c r="H655" s="35"/>
      <c r="I655" s="35"/>
      <c r="J655" s="35"/>
      <c r="K655" s="35"/>
      <c r="L655" s="35"/>
      <c r="M655" s="35"/>
      <c r="N655" s="35"/>
      <c r="O655" s="35"/>
      <c r="P655" s="35"/>
      <c r="Q655" s="35"/>
      <c r="R655" s="35"/>
      <c r="S655" s="35"/>
      <c r="T655" s="35"/>
      <c r="U655" s="35"/>
      <c r="V655" s="35"/>
      <c r="W655" s="35"/>
      <c r="X655" s="35"/>
      <c r="Y655" s="35"/>
      <c r="Z655" s="35"/>
      <c r="AA655" s="35"/>
    </row>
    <row r="656" ht="12.75" customHeight="1">
      <c r="A656" s="35"/>
      <c r="B656" s="35"/>
      <c r="C656" s="35"/>
      <c r="D656" s="35"/>
      <c r="E656" s="35"/>
      <c r="F656" s="35"/>
      <c r="G656" s="35"/>
      <c r="H656" s="35"/>
      <c r="I656" s="35"/>
      <c r="J656" s="35"/>
      <c r="K656" s="35"/>
      <c r="L656" s="35"/>
      <c r="M656" s="35"/>
      <c r="N656" s="35"/>
      <c r="O656" s="35"/>
      <c r="P656" s="35"/>
      <c r="Q656" s="35"/>
      <c r="R656" s="35"/>
      <c r="S656" s="35"/>
      <c r="T656" s="35"/>
      <c r="U656" s="35"/>
      <c r="V656" s="35"/>
      <c r="W656" s="35"/>
      <c r="X656" s="35"/>
      <c r="Y656" s="35"/>
      <c r="Z656" s="35"/>
      <c r="AA656" s="35"/>
    </row>
    <row r="657" ht="12.75" customHeight="1">
      <c r="A657" s="35"/>
      <c r="B657" s="35"/>
      <c r="C657" s="35"/>
      <c r="D657" s="35"/>
      <c r="E657" s="35"/>
      <c r="F657" s="35"/>
      <c r="G657" s="35"/>
      <c r="H657" s="35"/>
      <c r="I657" s="35"/>
      <c r="J657" s="35"/>
      <c r="K657" s="35"/>
      <c r="L657" s="35"/>
      <c r="M657" s="35"/>
      <c r="N657" s="35"/>
      <c r="O657" s="35"/>
      <c r="P657" s="35"/>
      <c r="Q657" s="35"/>
      <c r="R657" s="35"/>
      <c r="S657" s="35"/>
      <c r="T657" s="35"/>
      <c r="U657" s="35"/>
      <c r="V657" s="35"/>
      <c r="W657" s="35"/>
      <c r="X657" s="35"/>
      <c r="Y657" s="35"/>
      <c r="Z657" s="35"/>
      <c r="AA657" s="35"/>
    </row>
    <row r="658" ht="12.75" customHeight="1">
      <c r="A658" s="35"/>
      <c r="B658" s="35"/>
      <c r="C658" s="35"/>
      <c r="D658" s="35"/>
      <c r="E658" s="35"/>
      <c r="F658" s="35"/>
      <c r="G658" s="35"/>
      <c r="H658" s="35"/>
      <c r="I658" s="35"/>
      <c r="J658" s="35"/>
      <c r="K658" s="35"/>
      <c r="L658" s="35"/>
      <c r="M658" s="35"/>
      <c r="N658" s="35"/>
      <c r="O658" s="35"/>
      <c r="P658" s="35"/>
      <c r="Q658" s="35"/>
      <c r="R658" s="35"/>
      <c r="S658" s="35"/>
      <c r="T658" s="35"/>
      <c r="U658" s="35"/>
      <c r="V658" s="35"/>
      <c r="W658" s="35"/>
      <c r="X658" s="35"/>
      <c r="Y658" s="35"/>
      <c r="Z658" s="35"/>
      <c r="AA658" s="35"/>
    </row>
    <row r="659" ht="12.75" customHeight="1">
      <c r="A659" s="35"/>
      <c r="B659" s="35"/>
      <c r="C659" s="35"/>
      <c r="D659" s="35"/>
      <c r="E659" s="35"/>
      <c r="F659" s="35"/>
      <c r="G659" s="35"/>
      <c r="H659" s="35"/>
      <c r="I659" s="35"/>
      <c r="J659" s="35"/>
      <c r="K659" s="35"/>
      <c r="L659" s="35"/>
      <c r="M659" s="35"/>
      <c r="N659" s="35"/>
      <c r="O659" s="35"/>
      <c r="P659" s="35"/>
      <c r="Q659" s="35"/>
      <c r="R659" s="35"/>
      <c r="S659" s="35"/>
      <c r="T659" s="35"/>
      <c r="U659" s="35"/>
      <c r="V659" s="35"/>
      <c r="W659" s="35"/>
      <c r="X659" s="35"/>
      <c r="Y659" s="35"/>
      <c r="Z659" s="35"/>
      <c r="AA659" s="35"/>
    </row>
    <row r="660" ht="12.75" customHeight="1">
      <c r="A660" s="35"/>
      <c r="B660" s="35"/>
      <c r="C660" s="35"/>
      <c r="D660" s="35"/>
      <c r="E660" s="35"/>
      <c r="F660" s="35"/>
      <c r="G660" s="35"/>
      <c r="H660" s="35"/>
      <c r="I660" s="35"/>
      <c r="J660" s="35"/>
      <c r="K660" s="35"/>
      <c r="L660" s="35"/>
      <c r="M660" s="35"/>
      <c r="N660" s="35"/>
      <c r="O660" s="35"/>
      <c r="P660" s="35"/>
      <c r="Q660" s="35"/>
      <c r="R660" s="35"/>
      <c r="S660" s="35"/>
      <c r="T660" s="35"/>
      <c r="U660" s="35"/>
      <c r="V660" s="35"/>
      <c r="W660" s="35"/>
      <c r="X660" s="35"/>
      <c r="Y660" s="35"/>
      <c r="Z660" s="35"/>
      <c r="AA660" s="35"/>
    </row>
    <row r="661" ht="12.75" customHeight="1">
      <c r="A661" s="35"/>
      <c r="B661" s="35"/>
      <c r="C661" s="35"/>
      <c r="D661" s="35"/>
      <c r="E661" s="35"/>
      <c r="F661" s="35"/>
      <c r="G661" s="35"/>
      <c r="H661" s="35"/>
      <c r="I661" s="35"/>
      <c r="J661" s="35"/>
      <c r="K661" s="35"/>
      <c r="L661" s="35"/>
      <c r="M661" s="35"/>
      <c r="N661" s="35"/>
      <c r="O661" s="35"/>
      <c r="P661" s="35"/>
      <c r="Q661" s="35"/>
      <c r="R661" s="35"/>
      <c r="S661" s="35"/>
      <c r="T661" s="35"/>
      <c r="U661" s="35"/>
      <c r="V661" s="35"/>
      <c r="W661" s="35"/>
      <c r="X661" s="35"/>
      <c r="Y661" s="35"/>
      <c r="Z661" s="35"/>
      <c r="AA661" s="35"/>
    </row>
    <row r="662" ht="12.75" customHeight="1">
      <c r="A662" s="35"/>
      <c r="B662" s="35"/>
      <c r="C662" s="35"/>
      <c r="D662" s="35"/>
      <c r="E662" s="35"/>
      <c r="F662" s="35"/>
      <c r="G662" s="35"/>
      <c r="H662" s="35"/>
      <c r="I662" s="35"/>
      <c r="J662" s="35"/>
      <c r="K662" s="35"/>
      <c r="L662" s="35"/>
      <c r="M662" s="35"/>
      <c r="N662" s="35"/>
      <c r="O662" s="35"/>
      <c r="P662" s="35"/>
      <c r="Q662" s="35"/>
      <c r="R662" s="35"/>
      <c r="S662" s="35"/>
      <c r="T662" s="35"/>
      <c r="U662" s="35"/>
      <c r="V662" s="35"/>
      <c r="W662" s="35"/>
      <c r="X662" s="35"/>
      <c r="Y662" s="35"/>
      <c r="Z662" s="35"/>
      <c r="AA662" s="35"/>
    </row>
    <row r="663" ht="12.75" customHeight="1">
      <c r="A663" s="35"/>
      <c r="B663" s="35"/>
      <c r="C663" s="35"/>
      <c r="D663" s="35"/>
      <c r="E663" s="35"/>
      <c r="F663" s="35"/>
      <c r="G663" s="35"/>
      <c r="H663" s="35"/>
      <c r="I663" s="35"/>
      <c r="J663" s="35"/>
      <c r="K663" s="35"/>
      <c r="L663" s="35"/>
      <c r="M663" s="35"/>
      <c r="N663" s="35"/>
      <c r="O663" s="35"/>
      <c r="P663" s="35"/>
      <c r="Q663" s="35"/>
      <c r="R663" s="35"/>
      <c r="S663" s="35"/>
      <c r="T663" s="35"/>
      <c r="U663" s="35"/>
      <c r="V663" s="35"/>
      <c r="W663" s="35"/>
      <c r="X663" s="35"/>
      <c r="Y663" s="35"/>
      <c r="Z663" s="35"/>
      <c r="AA663" s="35"/>
    </row>
    <row r="664" ht="12.75" customHeight="1">
      <c r="A664" s="35"/>
      <c r="B664" s="35"/>
      <c r="C664" s="35"/>
      <c r="D664" s="35"/>
      <c r="E664" s="35"/>
      <c r="F664" s="35"/>
      <c r="G664" s="35"/>
      <c r="H664" s="35"/>
      <c r="I664" s="35"/>
      <c r="J664" s="35"/>
      <c r="K664" s="35"/>
      <c r="L664" s="35"/>
      <c r="M664" s="35"/>
      <c r="N664" s="35"/>
      <c r="O664" s="35"/>
      <c r="P664" s="35"/>
      <c r="Q664" s="35"/>
      <c r="R664" s="35"/>
      <c r="S664" s="35"/>
      <c r="T664" s="35"/>
      <c r="U664" s="35"/>
      <c r="V664" s="35"/>
      <c r="W664" s="35"/>
      <c r="X664" s="35"/>
      <c r="Y664" s="35"/>
      <c r="Z664" s="35"/>
      <c r="AA664" s="35"/>
    </row>
    <row r="665" ht="12.75" customHeight="1">
      <c r="A665" s="35"/>
      <c r="B665" s="35"/>
      <c r="C665" s="35"/>
      <c r="D665" s="35"/>
      <c r="E665" s="35"/>
      <c r="F665" s="35"/>
      <c r="G665" s="35"/>
      <c r="H665" s="35"/>
      <c r="I665" s="35"/>
      <c r="J665" s="35"/>
      <c r="K665" s="35"/>
      <c r="L665" s="35"/>
      <c r="M665" s="35"/>
      <c r="N665" s="35"/>
      <c r="O665" s="35"/>
      <c r="P665" s="35"/>
      <c r="Q665" s="35"/>
      <c r="R665" s="35"/>
      <c r="S665" s="35"/>
      <c r="T665" s="35"/>
      <c r="U665" s="35"/>
      <c r="V665" s="35"/>
      <c r="W665" s="35"/>
      <c r="X665" s="35"/>
      <c r="Y665" s="35"/>
      <c r="Z665" s="35"/>
      <c r="AA665" s="35"/>
    </row>
    <row r="666" ht="12.75" customHeight="1">
      <c r="A666" s="35"/>
      <c r="B666" s="35"/>
      <c r="C666" s="35"/>
      <c r="D666" s="35"/>
      <c r="E666" s="35"/>
      <c r="F666" s="35"/>
      <c r="G666" s="35"/>
      <c r="H666" s="35"/>
      <c r="I666" s="35"/>
      <c r="J666" s="35"/>
      <c r="K666" s="35"/>
      <c r="L666" s="35"/>
      <c r="M666" s="35"/>
      <c r="N666" s="35"/>
      <c r="O666" s="35"/>
      <c r="P666" s="35"/>
      <c r="Q666" s="35"/>
      <c r="R666" s="35"/>
      <c r="S666" s="35"/>
      <c r="T666" s="35"/>
      <c r="U666" s="35"/>
      <c r="V666" s="35"/>
      <c r="W666" s="35"/>
      <c r="X666" s="35"/>
      <c r="Y666" s="35"/>
      <c r="Z666" s="35"/>
      <c r="AA666" s="35"/>
    </row>
    <row r="667" ht="12.75" customHeight="1">
      <c r="A667" s="35"/>
      <c r="B667" s="35"/>
      <c r="C667" s="35"/>
      <c r="D667" s="35"/>
      <c r="E667" s="35"/>
      <c r="F667" s="35"/>
      <c r="G667" s="35"/>
      <c r="H667" s="35"/>
      <c r="I667" s="35"/>
      <c r="J667" s="35"/>
      <c r="K667" s="35"/>
      <c r="L667" s="35"/>
      <c r="M667" s="35"/>
      <c r="N667" s="35"/>
      <c r="O667" s="35"/>
      <c r="P667" s="35"/>
      <c r="Q667" s="35"/>
      <c r="R667" s="35"/>
      <c r="S667" s="35"/>
      <c r="T667" s="35"/>
      <c r="U667" s="35"/>
      <c r="V667" s="35"/>
      <c r="W667" s="35"/>
      <c r="X667" s="35"/>
      <c r="Y667" s="35"/>
      <c r="Z667" s="35"/>
      <c r="AA667" s="35"/>
    </row>
    <row r="668" ht="12.75" customHeight="1">
      <c r="A668" s="35"/>
      <c r="B668" s="35"/>
      <c r="C668" s="35"/>
      <c r="D668" s="35"/>
      <c r="E668" s="35"/>
      <c r="F668" s="35"/>
      <c r="G668" s="35"/>
      <c r="H668" s="35"/>
      <c r="I668" s="35"/>
      <c r="J668" s="35"/>
      <c r="K668" s="35"/>
      <c r="L668" s="35"/>
      <c r="M668" s="35"/>
      <c r="N668" s="35"/>
      <c r="O668" s="35"/>
      <c r="P668" s="35"/>
      <c r="Q668" s="35"/>
      <c r="R668" s="35"/>
      <c r="S668" s="35"/>
      <c r="T668" s="35"/>
      <c r="U668" s="35"/>
      <c r="V668" s="35"/>
      <c r="W668" s="35"/>
      <c r="X668" s="35"/>
      <c r="Y668" s="35"/>
      <c r="Z668" s="35"/>
      <c r="AA668" s="35"/>
    </row>
    <row r="669" ht="12.75" customHeight="1">
      <c r="A669" s="35"/>
      <c r="B669" s="35"/>
      <c r="C669" s="35"/>
      <c r="D669" s="35"/>
      <c r="E669" s="35"/>
      <c r="F669" s="35"/>
      <c r="G669" s="35"/>
      <c r="H669" s="35"/>
      <c r="I669" s="35"/>
      <c r="J669" s="35"/>
      <c r="K669" s="35"/>
      <c r="L669" s="35"/>
      <c r="M669" s="35"/>
      <c r="N669" s="35"/>
      <c r="O669" s="35"/>
      <c r="P669" s="35"/>
      <c r="Q669" s="35"/>
      <c r="R669" s="35"/>
      <c r="S669" s="35"/>
      <c r="T669" s="35"/>
      <c r="U669" s="35"/>
      <c r="V669" s="35"/>
      <c r="W669" s="35"/>
      <c r="X669" s="35"/>
      <c r="Y669" s="35"/>
      <c r="Z669" s="35"/>
      <c r="AA669" s="35"/>
    </row>
    <row r="670" ht="12.75" customHeight="1">
      <c r="A670" s="35"/>
      <c r="B670" s="35"/>
      <c r="C670" s="35"/>
      <c r="D670" s="35"/>
      <c r="E670" s="35"/>
      <c r="F670" s="35"/>
      <c r="G670" s="35"/>
      <c r="H670" s="35"/>
      <c r="I670" s="35"/>
      <c r="J670" s="35"/>
      <c r="K670" s="35"/>
      <c r="L670" s="35"/>
      <c r="M670" s="35"/>
      <c r="N670" s="35"/>
      <c r="O670" s="35"/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5"/>
      <c r="AA670" s="35"/>
    </row>
    <row r="671" ht="12.75" customHeight="1">
      <c r="A671" s="35"/>
      <c r="B671" s="35"/>
      <c r="C671" s="35"/>
      <c r="D671" s="35"/>
      <c r="E671" s="35"/>
      <c r="F671" s="35"/>
      <c r="G671" s="35"/>
      <c r="H671" s="35"/>
      <c r="I671" s="35"/>
      <c r="J671" s="35"/>
      <c r="K671" s="35"/>
      <c r="L671" s="35"/>
      <c r="M671" s="35"/>
      <c r="N671" s="35"/>
      <c r="O671" s="35"/>
      <c r="P671" s="35"/>
      <c r="Q671" s="35"/>
      <c r="R671" s="35"/>
      <c r="S671" s="35"/>
      <c r="T671" s="35"/>
      <c r="U671" s="35"/>
      <c r="V671" s="35"/>
      <c r="W671" s="35"/>
      <c r="X671" s="35"/>
      <c r="Y671" s="35"/>
      <c r="Z671" s="35"/>
      <c r="AA671" s="35"/>
    </row>
    <row r="672" ht="12.75" customHeight="1">
      <c r="A672" s="35"/>
      <c r="B672" s="35"/>
      <c r="C672" s="35"/>
      <c r="D672" s="35"/>
      <c r="E672" s="35"/>
      <c r="F672" s="35"/>
      <c r="G672" s="35"/>
      <c r="H672" s="35"/>
      <c r="I672" s="35"/>
      <c r="J672" s="35"/>
      <c r="K672" s="35"/>
      <c r="L672" s="35"/>
      <c r="M672" s="35"/>
      <c r="N672" s="35"/>
      <c r="O672" s="35"/>
      <c r="P672" s="35"/>
      <c r="Q672" s="35"/>
      <c r="R672" s="35"/>
      <c r="S672" s="35"/>
      <c r="T672" s="35"/>
      <c r="U672" s="35"/>
      <c r="V672" s="35"/>
      <c r="W672" s="35"/>
      <c r="X672" s="35"/>
      <c r="Y672" s="35"/>
      <c r="Z672" s="35"/>
      <c r="AA672" s="35"/>
    </row>
    <row r="673" ht="12.75" customHeight="1">
      <c r="A673" s="35"/>
      <c r="B673" s="35"/>
      <c r="C673" s="35"/>
      <c r="D673" s="35"/>
      <c r="E673" s="35"/>
      <c r="F673" s="35"/>
      <c r="G673" s="35"/>
      <c r="H673" s="35"/>
      <c r="I673" s="35"/>
      <c r="J673" s="35"/>
      <c r="K673" s="35"/>
      <c r="L673" s="35"/>
      <c r="M673" s="35"/>
      <c r="N673" s="35"/>
      <c r="O673" s="35"/>
      <c r="P673" s="35"/>
      <c r="Q673" s="35"/>
      <c r="R673" s="35"/>
      <c r="S673" s="35"/>
      <c r="T673" s="35"/>
      <c r="U673" s="35"/>
      <c r="V673" s="35"/>
      <c r="W673" s="35"/>
      <c r="X673" s="35"/>
      <c r="Y673" s="35"/>
      <c r="Z673" s="35"/>
      <c r="AA673" s="35"/>
    </row>
    <row r="674" ht="12.75" customHeight="1">
      <c r="A674" s="35"/>
      <c r="B674" s="35"/>
      <c r="C674" s="35"/>
      <c r="D674" s="35"/>
      <c r="E674" s="35"/>
      <c r="F674" s="35"/>
      <c r="G674" s="35"/>
      <c r="H674" s="35"/>
      <c r="I674" s="35"/>
      <c r="J674" s="35"/>
      <c r="K674" s="35"/>
      <c r="L674" s="35"/>
      <c r="M674" s="35"/>
      <c r="N674" s="35"/>
      <c r="O674" s="35"/>
      <c r="P674" s="35"/>
      <c r="Q674" s="35"/>
      <c r="R674" s="35"/>
      <c r="S674" s="35"/>
      <c r="T674" s="35"/>
      <c r="U674" s="35"/>
      <c r="V674" s="35"/>
      <c r="W674" s="35"/>
      <c r="X674" s="35"/>
      <c r="Y674" s="35"/>
      <c r="Z674" s="35"/>
      <c r="AA674" s="35"/>
    </row>
    <row r="675" ht="12.75" customHeight="1">
      <c r="A675" s="35"/>
      <c r="B675" s="35"/>
      <c r="C675" s="35"/>
      <c r="D675" s="35"/>
      <c r="E675" s="35"/>
      <c r="F675" s="35"/>
      <c r="G675" s="35"/>
      <c r="H675" s="35"/>
      <c r="I675" s="35"/>
      <c r="J675" s="35"/>
      <c r="K675" s="35"/>
      <c r="L675" s="35"/>
      <c r="M675" s="35"/>
      <c r="N675" s="35"/>
      <c r="O675" s="35"/>
      <c r="P675" s="35"/>
      <c r="Q675" s="35"/>
      <c r="R675" s="35"/>
      <c r="S675" s="35"/>
      <c r="T675" s="35"/>
      <c r="U675" s="35"/>
      <c r="V675" s="35"/>
      <c r="W675" s="35"/>
      <c r="X675" s="35"/>
      <c r="Y675" s="35"/>
      <c r="Z675" s="35"/>
      <c r="AA675" s="35"/>
    </row>
    <row r="676" ht="12.75" customHeight="1">
      <c r="A676" s="35"/>
      <c r="B676" s="35"/>
      <c r="C676" s="35"/>
      <c r="D676" s="35"/>
      <c r="E676" s="35"/>
      <c r="F676" s="35"/>
      <c r="G676" s="35"/>
      <c r="H676" s="35"/>
      <c r="I676" s="35"/>
      <c r="J676" s="35"/>
      <c r="K676" s="35"/>
      <c r="L676" s="35"/>
      <c r="M676" s="35"/>
      <c r="N676" s="35"/>
      <c r="O676" s="35"/>
      <c r="P676" s="35"/>
      <c r="Q676" s="35"/>
      <c r="R676" s="35"/>
      <c r="S676" s="35"/>
      <c r="T676" s="35"/>
      <c r="U676" s="35"/>
      <c r="V676" s="35"/>
      <c r="W676" s="35"/>
      <c r="X676" s="35"/>
      <c r="Y676" s="35"/>
      <c r="Z676" s="35"/>
      <c r="AA676" s="35"/>
    </row>
    <row r="677" ht="12.75" customHeight="1">
      <c r="A677" s="35"/>
      <c r="B677" s="35"/>
      <c r="C677" s="35"/>
      <c r="D677" s="35"/>
      <c r="E677" s="35"/>
      <c r="F677" s="35"/>
      <c r="G677" s="35"/>
      <c r="H677" s="35"/>
      <c r="I677" s="35"/>
      <c r="J677" s="35"/>
      <c r="K677" s="35"/>
      <c r="L677" s="35"/>
      <c r="M677" s="35"/>
      <c r="N677" s="35"/>
      <c r="O677" s="35"/>
      <c r="P677" s="35"/>
      <c r="Q677" s="35"/>
      <c r="R677" s="35"/>
      <c r="S677" s="35"/>
      <c r="T677" s="35"/>
      <c r="U677" s="35"/>
      <c r="V677" s="35"/>
      <c r="W677" s="35"/>
      <c r="X677" s="35"/>
      <c r="Y677" s="35"/>
      <c r="Z677" s="35"/>
      <c r="AA677" s="35"/>
    </row>
    <row r="678" ht="12.75" customHeight="1">
      <c r="A678" s="35"/>
      <c r="B678" s="35"/>
      <c r="C678" s="35"/>
      <c r="D678" s="35"/>
      <c r="E678" s="35"/>
      <c r="F678" s="35"/>
      <c r="G678" s="35"/>
      <c r="H678" s="35"/>
      <c r="I678" s="35"/>
      <c r="J678" s="35"/>
      <c r="K678" s="35"/>
      <c r="L678" s="35"/>
      <c r="M678" s="35"/>
      <c r="N678" s="35"/>
      <c r="O678" s="35"/>
      <c r="P678" s="35"/>
      <c r="Q678" s="35"/>
      <c r="R678" s="35"/>
      <c r="S678" s="35"/>
      <c r="T678" s="35"/>
      <c r="U678" s="35"/>
      <c r="V678" s="35"/>
      <c r="W678" s="35"/>
      <c r="X678" s="35"/>
      <c r="Y678" s="35"/>
      <c r="Z678" s="35"/>
      <c r="AA678" s="35"/>
    </row>
    <row r="679" ht="12.75" customHeight="1">
      <c r="A679" s="35"/>
      <c r="B679" s="35"/>
      <c r="C679" s="35"/>
      <c r="D679" s="35"/>
      <c r="E679" s="35"/>
      <c r="F679" s="35"/>
      <c r="G679" s="35"/>
      <c r="H679" s="35"/>
      <c r="I679" s="35"/>
      <c r="J679" s="35"/>
      <c r="K679" s="35"/>
      <c r="L679" s="35"/>
      <c r="M679" s="35"/>
      <c r="N679" s="35"/>
      <c r="O679" s="35"/>
      <c r="P679" s="35"/>
      <c r="Q679" s="35"/>
      <c r="R679" s="35"/>
      <c r="S679" s="35"/>
      <c r="T679" s="35"/>
      <c r="U679" s="35"/>
      <c r="V679" s="35"/>
      <c r="W679" s="35"/>
      <c r="X679" s="35"/>
      <c r="Y679" s="35"/>
      <c r="Z679" s="35"/>
      <c r="AA679" s="35"/>
    </row>
    <row r="680" ht="12.75" customHeight="1">
      <c r="A680" s="35"/>
      <c r="B680" s="35"/>
      <c r="C680" s="35"/>
      <c r="D680" s="35"/>
      <c r="E680" s="35"/>
      <c r="F680" s="35"/>
      <c r="G680" s="35"/>
      <c r="H680" s="35"/>
      <c r="I680" s="35"/>
      <c r="J680" s="35"/>
      <c r="K680" s="35"/>
      <c r="L680" s="35"/>
      <c r="M680" s="35"/>
      <c r="N680" s="35"/>
      <c r="O680" s="35"/>
      <c r="P680" s="35"/>
      <c r="Q680" s="35"/>
      <c r="R680" s="35"/>
      <c r="S680" s="35"/>
      <c r="T680" s="35"/>
      <c r="U680" s="35"/>
      <c r="V680" s="35"/>
      <c r="W680" s="35"/>
      <c r="X680" s="35"/>
      <c r="Y680" s="35"/>
      <c r="Z680" s="35"/>
      <c r="AA680" s="35"/>
    </row>
    <row r="681" ht="12.75" customHeight="1">
      <c r="A681" s="35"/>
      <c r="B681" s="35"/>
      <c r="C681" s="35"/>
      <c r="D681" s="35"/>
      <c r="E681" s="35"/>
      <c r="F681" s="35"/>
      <c r="G681" s="35"/>
      <c r="H681" s="35"/>
      <c r="I681" s="35"/>
      <c r="J681" s="35"/>
      <c r="K681" s="35"/>
      <c r="L681" s="35"/>
      <c r="M681" s="35"/>
      <c r="N681" s="35"/>
      <c r="O681" s="35"/>
      <c r="P681" s="35"/>
      <c r="Q681" s="35"/>
      <c r="R681" s="35"/>
      <c r="S681" s="35"/>
      <c r="T681" s="35"/>
      <c r="U681" s="35"/>
      <c r="V681" s="35"/>
      <c r="W681" s="35"/>
      <c r="X681" s="35"/>
      <c r="Y681" s="35"/>
      <c r="Z681" s="35"/>
      <c r="AA681" s="35"/>
    </row>
    <row r="682" ht="12.75" customHeight="1">
      <c r="A682" s="35"/>
      <c r="B682" s="35"/>
      <c r="C682" s="35"/>
      <c r="D682" s="35"/>
      <c r="E682" s="35"/>
      <c r="F682" s="35"/>
      <c r="G682" s="35"/>
      <c r="H682" s="35"/>
      <c r="I682" s="35"/>
      <c r="J682" s="35"/>
      <c r="K682" s="35"/>
      <c r="L682" s="35"/>
      <c r="M682" s="35"/>
      <c r="N682" s="35"/>
      <c r="O682" s="35"/>
      <c r="P682" s="35"/>
      <c r="Q682" s="35"/>
      <c r="R682" s="35"/>
      <c r="S682" s="35"/>
      <c r="T682" s="35"/>
      <c r="U682" s="35"/>
      <c r="V682" s="35"/>
      <c r="W682" s="35"/>
      <c r="X682" s="35"/>
      <c r="Y682" s="35"/>
      <c r="Z682" s="35"/>
      <c r="AA682" s="35"/>
    </row>
    <row r="683" ht="12.75" customHeight="1">
      <c r="A683" s="35"/>
      <c r="B683" s="35"/>
      <c r="C683" s="35"/>
      <c r="D683" s="35"/>
      <c r="E683" s="35"/>
      <c r="F683" s="35"/>
      <c r="G683" s="35"/>
      <c r="H683" s="35"/>
      <c r="I683" s="35"/>
      <c r="J683" s="35"/>
      <c r="K683" s="35"/>
      <c r="L683" s="35"/>
      <c r="M683" s="35"/>
      <c r="N683" s="35"/>
      <c r="O683" s="35"/>
      <c r="P683" s="35"/>
      <c r="Q683" s="35"/>
      <c r="R683" s="35"/>
      <c r="S683" s="35"/>
      <c r="T683" s="35"/>
      <c r="U683" s="35"/>
      <c r="V683" s="35"/>
      <c r="W683" s="35"/>
      <c r="X683" s="35"/>
      <c r="Y683" s="35"/>
      <c r="Z683" s="35"/>
      <c r="AA683" s="35"/>
    </row>
    <row r="684" ht="12.75" customHeight="1">
      <c r="A684" s="35"/>
      <c r="B684" s="35"/>
      <c r="C684" s="35"/>
      <c r="D684" s="35"/>
      <c r="E684" s="35"/>
      <c r="F684" s="35"/>
      <c r="G684" s="35"/>
      <c r="H684" s="35"/>
      <c r="I684" s="35"/>
      <c r="J684" s="35"/>
      <c r="K684" s="35"/>
      <c r="L684" s="35"/>
      <c r="M684" s="35"/>
      <c r="N684" s="35"/>
      <c r="O684" s="35"/>
      <c r="P684" s="35"/>
      <c r="Q684" s="35"/>
      <c r="R684" s="35"/>
      <c r="S684" s="35"/>
      <c r="T684" s="35"/>
      <c r="U684" s="35"/>
      <c r="V684" s="35"/>
      <c r="W684" s="35"/>
      <c r="X684" s="35"/>
      <c r="Y684" s="35"/>
      <c r="Z684" s="35"/>
      <c r="AA684" s="35"/>
    </row>
    <row r="685" ht="12.75" customHeight="1">
      <c r="A685" s="35"/>
      <c r="B685" s="35"/>
      <c r="C685" s="35"/>
      <c r="D685" s="35"/>
      <c r="E685" s="35"/>
      <c r="F685" s="35"/>
      <c r="G685" s="35"/>
      <c r="H685" s="35"/>
      <c r="I685" s="35"/>
      <c r="J685" s="35"/>
      <c r="K685" s="35"/>
      <c r="L685" s="35"/>
      <c r="M685" s="35"/>
      <c r="N685" s="35"/>
      <c r="O685" s="35"/>
      <c r="P685" s="35"/>
      <c r="Q685" s="35"/>
      <c r="R685" s="35"/>
      <c r="S685" s="35"/>
      <c r="T685" s="35"/>
      <c r="U685" s="35"/>
      <c r="V685" s="35"/>
      <c r="W685" s="35"/>
      <c r="X685" s="35"/>
      <c r="Y685" s="35"/>
      <c r="Z685" s="35"/>
      <c r="AA685" s="35"/>
    </row>
    <row r="686" ht="12.75" customHeight="1">
      <c r="A686" s="35"/>
      <c r="B686" s="35"/>
      <c r="C686" s="35"/>
      <c r="D686" s="35"/>
      <c r="E686" s="35"/>
      <c r="F686" s="35"/>
      <c r="G686" s="35"/>
      <c r="H686" s="35"/>
      <c r="I686" s="35"/>
      <c r="J686" s="35"/>
      <c r="K686" s="35"/>
      <c r="L686" s="35"/>
      <c r="M686" s="35"/>
      <c r="N686" s="35"/>
      <c r="O686" s="35"/>
      <c r="P686" s="35"/>
      <c r="Q686" s="35"/>
      <c r="R686" s="35"/>
      <c r="S686" s="35"/>
      <c r="T686" s="35"/>
      <c r="U686" s="35"/>
      <c r="V686" s="35"/>
      <c r="W686" s="35"/>
      <c r="X686" s="35"/>
      <c r="Y686" s="35"/>
      <c r="Z686" s="35"/>
      <c r="AA686" s="35"/>
    </row>
    <row r="687" ht="12.75" customHeight="1">
      <c r="A687" s="35"/>
      <c r="B687" s="35"/>
      <c r="C687" s="35"/>
      <c r="D687" s="35"/>
      <c r="E687" s="35"/>
      <c r="F687" s="35"/>
      <c r="G687" s="35"/>
      <c r="H687" s="35"/>
      <c r="I687" s="35"/>
      <c r="J687" s="35"/>
      <c r="K687" s="35"/>
      <c r="L687" s="35"/>
      <c r="M687" s="35"/>
      <c r="N687" s="35"/>
      <c r="O687" s="35"/>
      <c r="P687" s="35"/>
      <c r="Q687" s="35"/>
      <c r="R687" s="35"/>
      <c r="S687" s="35"/>
      <c r="T687" s="35"/>
      <c r="U687" s="35"/>
      <c r="V687" s="35"/>
      <c r="W687" s="35"/>
      <c r="X687" s="35"/>
      <c r="Y687" s="35"/>
      <c r="Z687" s="35"/>
      <c r="AA687" s="35"/>
    </row>
    <row r="688" ht="12.75" customHeight="1">
      <c r="A688" s="35"/>
      <c r="B688" s="35"/>
      <c r="C688" s="35"/>
      <c r="D688" s="35"/>
      <c r="E688" s="35"/>
      <c r="F688" s="35"/>
      <c r="G688" s="35"/>
      <c r="H688" s="35"/>
      <c r="I688" s="35"/>
      <c r="J688" s="35"/>
      <c r="K688" s="35"/>
      <c r="L688" s="35"/>
      <c r="M688" s="35"/>
      <c r="N688" s="35"/>
      <c r="O688" s="35"/>
      <c r="P688" s="35"/>
      <c r="Q688" s="35"/>
      <c r="R688" s="35"/>
      <c r="S688" s="35"/>
      <c r="T688" s="35"/>
      <c r="U688" s="35"/>
      <c r="V688" s="35"/>
      <c r="W688" s="35"/>
      <c r="X688" s="35"/>
      <c r="Y688" s="35"/>
      <c r="Z688" s="35"/>
      <c r="AA688" s="35"/>
    </row>
    <row r="689" ht="12.75" customHeight="1">
      <c r="A689" s="35"/>
      <c r="B689" s="35"/>
      <c r="C689" s="35"/>
      <c r="D689" s="35"/>
      <c r="E689" s="35"/>
      <c r="F689" s="35"/>
      <c r="G689" s="35"/>
      <c r="H689" s="35"/>
      <c r="I689" s="35"/>
      <c r="J689" s="35"/>
      <c r="K689" s="35"/>
      <c r="L689" s="35"/>
      <c r="M689" s="35"/>
      <c r="N689" s="35"/>
      <c r="O689" s="35"/>
      <c r="P689" s="35"/>
      <c r="Q689" s="35"/>
      <c r="R689" s="35"/>
      <c r="S689" s="35"/>
      <c r="T689" s="35"/>
      <c r="U689" s="35"/>
      <c r="V689" s="35"/>
      <c r="W689" s="35"/>
      <c r="X689" s="35"/>
      <c r="Y689" s="35"/>
      <c r="Z689" s="35"/>
      <c r="AA689" s="35"/>
    </row>
    <row r="690" ht="12.75" customHeight="1">
      <c r="A690" s="35"/>
      <c r="B690" s="35"/>
      <c r="C690" s="35"/>
      <c r="D690" s="35"/>
      <c r="E690" s="35"/>
      <c r="F690" s="35"/>
      <c r="G690" s="35"/>
      <c r="H690" s="35"/>
      <c r="I690" s="35"/>
      <c r="J690" s="35"/>
      <c r="K690" s="35"/>
      <c r="L690" s="35"/>
      <c r="M690" s="35"/>
      <c r="N690" s="35"/>
      <c r="O690" s="35"/>
      <c r="P690" s="35"/>
      <c r="Q690" s="35"/>
      <c r="R690" s="35"/>
      <c r="S690" s="35"/>
      <c r="T690" s="35"/>
      <c r="U690" s="35"/>
      <c r="V690" s="35"/>
      <c r="W690" s="35"/>
      <c r="X690" s="35"/>
      <c r="Y690" s="35"/>
      <c r="Z690" s="35"/>
      <c r="AA690" s="35"/>
    </row>
    <row r="691" ht="12.75" customHeight="1">
      <c r="A691" s="35"/>
      <c r="B691" s="35"/>
      <c r="C691" s="35"/>
      <c r="D691" s="35"/>
      <c r="E691" s="35"/>
      <c r="F691" s="35"/>
      <c r="G691" s="35"/>
      <c r="H691" s="35"/>
      <c r="I691" s="35"/>
      <c r="J691" s="35"/>
      <c r="K691" s="35"/>
      <c r="L691" s="35"/>
      <c r="M691" s="35"/>
      <c r="N691" s="35"/>
      <c r="O691" s="35"/>
      <c r="P691" s="35"/>
      <c r="Q691" s="35"/>
      <c r="R691" s="35"/>
      <c r="S691" s="35"/>
      <c r="T691" s="35"/>
      <c r="U691" s="35"/>
      <c r="V691" s="35"/>
      <c r="W691" s="35"/>
      <c r="X691" s="35"/>
      <c r="Y691" s="35"/>
      <c r="Z691" s="35"/>
      <c r="AA691" s="35"/>
    </row>
    <row r="692" ht="12.75" customHeight="1">
      <c r="A692" s="35"/>
      <c r="B692" s="35"/>
      <c r="C692" s="35"/>
      <c r="D692" s="35"/>
      <c r="E692" s="35"/>
      <c r="F692" s="35"/>
      <c r="G692" s="35"/>
      <c r="H692" s="35"/>
      <c r="I692" s="35"/>
      <c r="J692" s="35"/>
      <c r="K692" s="35"/>
      <c r="L692" s="35"/>
      <c r="M692" s="35"/>
      <c r="N692" s="35"/>
      <c r="O692" s="35"/>
      <c r="P692" s="35"/>
      <c r="Q692" s="35"/>
      <c r="R692" s="35"/>
      <c r="S692" s="35"/>
      <c r="T692" s="35"/>
      <c r="U692" s="35"/>
      <c r="V692" s="35"/>
      <c r="W692" s="35"/>
      <c r="X692" s="35"/>
      <c r="Y692" s="35"/>
      <c r="Z692" s="35"/>
      <c r="AA692" s="35"/>
    </row>
    <row r="693" ht="12.75" customHeight="1">
      <c r="A693" s="35"/>
      <c r="B693" s="35"/>
      <c r="C693" s="35"/>
      <c r="D693" s="35"/>
      <c r="E693" s="35"/>
      <c r="F693" s="35"/>
      <c r="G693" s="35"/>
      <c r="H693" s="35"/>
      <c r="I693" s="35"/>
      <c r="J693" s="35"/>
      <c r="K693" s="35"/>
      <c r="L693" s="35"/>
      <c r="M693" s="35"/>
      <c r="N693" s="35"/>
      <c r="O693" s="35"/>
      <c r="P693" s="35"/>
      <c r="Q693" s="35"/>
      <c r="R693" s="35"/>
      <c r="S693" s="35"/>
      <c r="T693" s="35"/>
      <c r="U693" s="35"/>
      <c r="V693" s="35"/>
      <c r="W693" s="35"/>
      <c r="X693" s="35"/>
      <c r="Y693" s="35"/>
      <c r="Z693" s="35"/>
      <c r="AA693" s="35"/>
    </row>
    <row r="694" ht="12.75" customHeight="1">
      <c r="A694" s="35"/>
      <c r="B694" s="35"/>
      <c r="C694" s="35"/>
      <c r="D694" s="35"/>
      <c r="E694" s="35"/>
      <c r="F694" s="35"/>
      <c r="G694" s="35"/>
      <c r="H694" s="35"/>
      <c r="I694" s="35"/>
      <c r="J694" s="35"/>
      <c r="K694" s="35"/>
      <c r="L694" s="35"/>
      <c r="M694" s="35"/>
      <c r="N694" s="35"/>
      <c r="O694" s="35"/>
      <c r="P694" s="35"/>
      <c r="Q694" s="35"/>
      <c r="R694" s="35"/>
      <c r="S694" s="35"/>
      <c r="T694" s="35"/>
      <c r="U694" s="35"/>
      <c r="V694" s="35"/>
      <c r="W694" s="35"/>
      <c r="X694" s="35"/>
      <c r="Y694" s="35"/>
      <c r="Z694" s="35"/>
      <c r="AA694" s="35"/>
    </row>
    <row r="695" ht="12.75" customHeight="1">
      <c r="A695" s="35"/>
      <c r="B695" s="35"/>
      <c r="C695" s="35"/>
      <c r="D695" s="35"/>
      <c r="E695" s="35"/>
      <c r="F695" s="35"/>
      <c r="G695" s="35"/>
      <c r="H695" s="35"/>
      <c r="I695" s="35"/>
      <c r="J695" s="35"/>
      <c r="K695" s="35"/>
      <c r="L695" s="35"/>
      <c r="M695" s="35"/>
      <c r="N695" s="35"/>
      <c r="O695" s="35"/>
      <c r="P695" s="35"/>
      <c r="Q695" s="35"/>
      <c r="R695" s="35"/>
      <c r="S695" s="35"/>
      <c r="T695" s="35"/>
      <c r="U695" s="35"/>
      <c r="V695" s="35"/>
      <c r="W695" s="35"/>
      <c r="X695" s="35"/>
      <c r="Y695" s="35"/>
      <c r="Z695" s="35"/>
      <c r="AA695" s="35"/>
    </row>
    <row r="696" ht="12.75" customHeight="1">
      <c r="A696" s="35"/>
      <c r="B696" s="35"/>
      <c r="C696" s="35"/>
      <c r="D696" s="35"/>
      <c r="E696" s="35"/>
      <c r="F696" s="35"/>
      <c r="G696" s="35"/>
      <c r="H696" s="35"/>
      <c r="I696" s="35"/>
      <c r="J696" s="35"/>
      <c r="K696" s="35"/>
      <c r="L696" s="35"/>
      <c r="M696" s="35"/>
      <c r="N696" s="35"/>
      <c r="O696" s="35"/>
      <c r="P696" s="35"/>
      <c r="Q696" s="35"/>
      <c r="R696" s="35"/>
      <c r="S696" s="35"/>
      <c r="T696" s="35"/>
      <c r="U696" s="35"/>
      <c r="V696" s="35"/>
      <c r="W696" s="35"/>
      <c r="X696" s="35"/>
      <c r="Y696" s="35"/>
      <c r="Z696" s="35"/>
      <c r="AA696" s="35"/>
    </row>
    <row r="697" ht="12.75" customHeight="1">
      <c r="A697" s="35"/>
      <c r="B697" s="35"/>
      <c r="C697" s="35"/>
      <c r="D697" s="35"/>
      <c r="E697" s="35"/>
      <c r="F697" s="35"/>
      <c r="G697" s="35"/>
      <c r="H697" s="35"/>
      <c r="I697" s="35"/>
      <c r="J697" s="35"/>
      <c r="K697" s="35"/>
      <c r="L697" s="35"/>
      <c r="M697" s="35"/>
      <c r="N697" s="35"/>
      <c r="O697" s="35"/>
      <c r="P697" s="35"/>
      <c r="Q697" s="35"/>
      <c r="R697" s="35"/>
      <c r="S697" s="35"/>
      <c r="T697" s="35"/>
      <c r="U697" s="35"/>
      <c r="V697" s="35"/>
      <c r="W697" s="35"/>
      <c r="X697" s="35"/>
      <c r="Y697" s="35"/>
      <c r="Z697" s="35"/>
      <c r="AA697" s="35"/>
    </row>
    <row r="698" ht="12.75" customHeight="1">
      <c r="A698" s="35"/>
      <c r="B698" s="35"/>
      <c r="C698" s="35"/>
      <c r="D698" s="35"/>
      <c r="E698" s="35"/>
      <c r="F698" s="35"/>
      <c r="G698" s="35"/>
      <c r="H698" s="35"/>
      <c r="I698" s="35"/>
      <c r="J698" s="35"/>
      <c r="K698" s="35"/>
      <c r="L698" s="35"/>
      <c r="M698" s="35"/>
      <c r="N698" s="35"/>
      <c r="O698" s="35"/>
      <c r="P698" s="35"/>
      <c r="Q698" s="35"/>
      <c r="R698" s="35"/>
      <c r="S698" s="35"/>
      <c r="T698" s="35"/>
      <c r="U698" s="35"/>
      <c r="V698" s="35"/>
      <c r="W698" s="35"/>
      <c r="X698" s="35"/>
      <c r="Y698" s="35"/>
      <c r="Z698" s="35"/>
      <c r="AA698" s="35"/>
    </row>
    <row r="699" ht="12.75" customHeight="1">
      <c r="A699" s="35"/>
      <c r="B699" s="35"/>
      <c r="C699" s="35"/>
      <c r="D699" s="35"/>
      <c r="E699" s="35"/>
      <c r="F699" s="35"/>
      <c r="G699" s="35"/>
      <c r="H699" s="35"/>
      <c r="I699" s="35"/>
      <c r="J699" s="35"/>
      <c r="K699" s="35"/>
      <c r="L699" s="35"/>
      <c r="M699" s="35"/>
      <c r="N699" s="35"/>
      <c r="O699" s="35"/>
      <c r="P699" s="35"/>
      <c r="Q699" s="35"/>
      <c r="R699" s="35"/>
      <c r="S699" s="35"/>
      <c r="T699" s="35"/>
      <c r="U699" s="35"/>
      <c r="V699" s="35"/>
      <c r="W699" s="35"/>
      <c r="X699" s="35"/>
      <c r="Y699" s="35"/>
      <c r="Z699" s="35"/>
      <c r="AA699" s="35"/>
    </row>
    <row r="700" ht="12.75" customHeight="1">
      <c r="A700" s="35"/>
      <c r="B700" s="35"/>
      <c r="C700" s="35"/>
      <c r="D700" s="35"/>
      <c r="E700" s="35"/>
      <c r="F700" s="35"/>
      <c r="G700" s="35"/>
      <c r="H700" s="35"/>
      <c r="I700" s="35"/>
      <c r="J700" s="35"/>
      <c r="K700" s="35"/>
      <c r="L700" s="35"/>
      <c r="M700" s="35"/>
      <c r="N700" s="35"/>
      <c r="O700" s="35"/>
      <c r="P700" s="35"/>
      <c r="Q700" s="35"/>
      <c r="R700" s="35"/>
      <c r="S700" s="35"/>
      <c r="T700" s="35"/>
      <c r="U700" s="35"/>
      <c r="V700" s="35"/>
      <c r="W700" s="35"/>
      <c r="X700" s="35"/>
      <c r="Y700" s="35"/>
      <c r="Z700" s="35"/>
      <c r="AA700" s="35"/>
    </row>
    <row r="701" ht="12.75" customHeight="1">
      <c r="A701" s="35"/>
      <c r="B701" s="35"/>
      <c r="C701" s="35"/>
      <c r="D701" s="35"/>
      <c r="E701" s="35"/>
      <c r="F701" s="35"/>
      <c r="G701" s="35"/>
      <c r="H701" s="35"/>
      <c r="I701" s="35"/>
      <c r="J701" s="35"/>
      <c r="K701" s="35"/>
      <c r="L701" s="35"/>
      <c r="M701" s="35"/>
      <c r="N701" s="35"/>
      <c r="O701" s="35"/>
      <c r="P701" s="35"/>
      <c r="Q701" s="35"/>
      <c r="R701" s="35"/>
      <c r="S701" s="35"/>
      <c r="T701" s="35"/>
      <c r="U701" s="35"/>
      <c r="V701" s="35"/>
      <c r="W701" s="35"/>
      <c r="X701" s="35"/>
      <c r="Y701" s="35"/>
      <c r="Z701" s="35"/>
      <c r="AA701" s="35"/>
    </row>
    <row r="702" ht="12.75" customHeight="1">
      <c r="A702" s="35"/>
      <c r="B702" s="35"/>
      <c r="C702" s="35"/>
      <c r="D702" s="35"/>
      <c r="E702" s="35"/>
      <c r="F702" s="35"/>
      <c r="G702" s="35"/>
      <c r="H702" s="35"/>
      <c r="I702" s="35"/>
      <c r="J702" s="35"/>
      <c r="K702" s="35"/>
      <c r="L702" s="35"/>
      <c r="M702" s="35"/>
      <c r="N702" s="35"/>
      <c r="O702" s="35"/>
      <c r="P702" s="35"/>
      <c r="Q702" s="35"/>
      <c r="R702" s="35"/>
      <c r="S702" s="35"/>
      <c r="T702" s="35"/>
      <c r="U702" s="35"/>
      <c r="V702" s="35"/>
      <c r="W702" s="35"/>
      <c r="X702" s="35"/>
      <c r="Y702" s="35"/>
      <c r="Z702" s="35"/>
      <c r="AA702" s="35"/>
    </row>
    <row r="703" ht="12.75" customHeight="1">
      <c r="A703" s="35"/>
      <c r="B703" s="35"/>
      <c r="C703" s="35"/>
      <c r="D703" s="35"/>
      <c r="E703" s="35"/>
      <c r="F703" s="35"/>
      <c r="G703" s="35"/>
      <c r="H703" s="35"/>
      <c r="I703" s="35"/>
      <c r="J703" s="35"/>
      <c r="K703" s="35"/>
      <c r="L703" s="35"/>
      <c r="M703" s="35"/>
      <c r="N703" s="35"/>
      <c r="O703" s="35"/>
      <c r="P703" s="35"/>
      <c r="Q703" s="35"/>
      <c r="R703" s="35"/>
      <c r="S703" s="35"/>
      <c r="T703" s="35"/>
      <c r="U703" s="35"/>
      <c r="V703" s="35"/>
      <c r="W703" s="35"/>
      <c r="X703" s="35"/>
      <c r="Y703" s="35"/>
      <c r="Z703" s="35"/>
      <c r="AA703" s="35"/>
    </row>
    <row r="704" ht="12.75" customHeight="1">
      <c r="A704" s="35"/>
      <c r="B704" s="35"/>
      <c r="C704" s="35"/>
      <c r="D704" s="35"/>
      <c r="E704" s="35"/>
      <c r="F704" s="35"/>
      <c r="G704" s="35"/>
      <c r="H704" s="35"/>
      <c r="I704" s="35"/>
      <c r="J704" s="35"/>
      <c r="K704" s="35"/>
      <c r="L704" s="35"/>
      <c r="M704" s="35"/>
      <c r="N704" s="35"/>
      <c r="O704" s="35"/>
      <c r="P704" s="35"/>
      <c r="Q704" s="35"/>
      <c r="R704" s="35"/>
      <c r="S704" s="35"/>
      <c r="T704" s="35"/>
      <c r="U704" s="35"/>
      <c r="V704" s="35"/>
      <c r="W704" s="35"/>
      <c r="X704" s="35"/>
      <c r="Y704" s="35"/>
      <c r="Z704" s="35"/>
      <c r="AA704" s="35"/>
    </row>
    <row r="705" ht="12.75" customHeight="1">
      <c r="A705" s="35"/>
      <c r="B705" s="35"/>
      <c r="C705" s="35"/>
      <c r="D705" s="35"/>
      <c r="E705" s="35"/>
      <c r="F705" s="35"/>
      <c r="G705" s="35"/>
      <c r="H705" s="35"/>
      <c r="I705" s="35"/>
      <c r="J705" s="35"/>
      <c r="K705" s="35"/>
      <c r="L705" s="35"/>
      <c r="M705" s="35"/>
      <c r="N705" s="35"/>
      <c r="O705" s="35"/>
      <c r="P705" s="35"/>
      <c r="Q705" s="35"/>
      <c r="R705" s="35"/>
      <c r="S705" s="35"/>
      <c r="T705" s="35"/>
      <c r="U705" s="35"/>
      <c r="V705" s="35"/>
      <c r="W705" s="35"/>
      <c r="X705" s="35"/>
      <c r="Y705" s="35"/>
      <c r="Z705" s="35"/>
      <c r="AA705" s="35"/>
    </row>
    <row r="706" ht="12.75" customHeight="1">
      <c r="A706" s="35"/>
      <c r="B706" s="35"/>
      <c r="C706" s="35"/>
      <c r="D706" s="35"/>
      <c r="E706" s="35"/>
      <c r="F706" s="35"/>
      <c r="G706" s="35"/>
      <c r="H706" s="35"/>
      <c r="I706" s="35"/>
      <c r="J706" s="35"/>
      <c r="K706" s="35"/>
      <c r="L706" s="35"/>
      <c r="M706" s="35"/>
      <c r="N706" s="35"/>
      <c r="O706" s="35"/>
      <c r="P706" s="35"/>
      <c r="Q706" s="35"/>
      <c r="R706" s="35"/>
      <c r="S706" s="35"/>
      <c r="T706" s="35"/>
      <c r="U706" s="35"/>
      <c r="V706" s="35"/>
      <c r="W706" s="35"/>
      <c r="X706" s="35"/>
      <c r="Y706" s="35"/>
      <c r="Z706" s="35"/>
      <c r="AA706" s="35"/>
    </row>
    <row r="707" ht="12.75" customHeight="1">
      <c r="A707" s="35"/>
      <c r="B707" s="35"/>
      <c r="C707" s="35"/>
      <c r="D707" s="35"/>
      <c r="E707" s="35"/>
      <c r="F707" s="35"/>
      <c r="G707" s="35"/>
      <c r="H707" s="35"/>
      <c r="I707" s="35"/>
      <c r="J707" s="35"/>
      <c r="K707" s="35"/>
      <c r="L707" s="35"/>
      <c r="M707" s="35"/>
      <c r="N707" s="35"/>
      <c r="O707" s="35"/>
      <c r="P707" s="35"/>
      <c r="Q707" s="35"/>
      <c r="R707" s="35"/>
      <c r="S707" s="35"/>
      <c r="T707" s="35"/>
      <c r="U707" s="35"/>
      <c r="V707" s="35"/>
      <c r="W707" s="35"/>
      <c r="X707" s="35"/>
      <c r="Y707" s="35"/>
      <c r="Z707" s="35"/>
      <c r="AA707" s="35"/>
    </row>
    <row r="708" ht="12.75" customHeight="1">
      <c r="A708" s="35"/>
      <c r="B708" s="35"/>
      <c r="C708" s="35"/>
      <c r="D708" s="35"/>
      <c r="E708" s="35"/>
      <c r="F708" s="35"/>
      <c r="G708" s="35"/>
      <c r="H708" s="35"/>
      <c r="I708" s="35"/>
      <c r="J708" s="35"/>
      <c r="K708" s="35"/>
      <c r="L708" s="35"/>
      <c r="M708" s="35"/>
      <c r="N708" s="35"/>
      <c r="O708" s="35"/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5"/>
      <c r="AA708" s="35"/>
    </row>
    <row r="709" ht="12.75" customHeight="1">
      <c r="A709" s="35"/>
      <c r="B709" s="35"/>
      <c r="C709" s="35"/>
      <c r="D709" s="35"/>
      <c r="E709" s="35"/>
      <c r="F709" s="35"/>
      <c r="G709" s="35"/>
      <c r="H709" s="35"/>
      <c r="I709" s="35"/>
      <c r="J709" s="35"/>
      <c r="K709" s="35"/>
      <c r="L709" s="35"/>
      <c r="M709" s="35"/>
      <c r="N709" s="35"/>
      <c r="O709" s="35"/>
      <c r="P709" s="35"/>
      <c r="Q709" s="35"/>
      <c r="R709" s="35"/>
      <c r="S709" s="35"/>
      <c r="T709" s="35"/>
      <c r="U709" s="35"/>
      <c r="V709" s="35"/>
      <c r="W709" s="35"/>
      <c r="X709" s="35"/>
      <c r="Y709" s="35"/>
      <c r="Z709" s="35"/>
      <c r="AA709" s="35"/>
    </row>
    <row r="710" ht="12.75" customHeight="1">
      <c r="A710" s="35"/>
      <c r="B710" s="35"/>
      <c r="C710" s="35"/>
      <c r="D710" s="35"/>
      <c r="E710" s="35"/>
      <c r="F710" s="35"/>
      <c r="G710" s="35"/>
      <c r="H710" s="35"/>
      <c r="I710" s="35"/>
      <c r="J710" s="35"/>
      <c r="K710" s="35"/>
      <c r="L710" s="35"/>
      <c r="M710" s="35"/>
      <c r="N710" s="35"/>
      <c r="O710" s="35"/>
      <c r="P710" s="35"/>
      <c r="Q710" s="35"/>
      <c r="R710" s="35"/>
      <c r="S710" s="35"/>
      <c r="T710" s="35"/>
      <c r="U710" s="35"/>
      <c r="V710" s="35"/>
      <c r="W710" s="35"/>
      <c r="X710" s="35"/>
      <c r="Y710" s="35"/>
      <c r="Z710" s="35"/>
      <c r="AA710" s="35"/>
    </row>
    <row r="711" ht="12.75" customHeight="1">
      <c r="A711" s="35"/>
      <c r="B711" s="35"/>
      <c r="C711" s="35"/>
      <c r="D711" s="35"/>
      <c r="E711" s="35"/>
      <c r="F711" s="35"/>
      <c r="G711" s="35"/>
      <c r="H711" s="35"/>
      <c r="I711" s="35"/>
      <c r="J711" s="35"/>
      <c r="K711" s="35"/>
      <c r="L711" s="35"/>
      <c r="M711" s="35"/>
      <c r="N711" s="35"/>
      <c r="O711" s="35"/>
      <c r="P711" s="35"/>
      <c r="Q711" s="35"/>
      <c r="R711" s="35"/>
      <c r="S711" s="35"/>
      <c r="T711" s="35"/>
      <c r="U711" s="35"/>
      <c r="V711" s="35"/>
      <c r="W711" s="35"/>
      <c r="X711" s="35"/>
      <c r="Y711" s="35"/>
      <c r="Z711" s="35"/>
      <c r="AA711" s="35"/>
    </row>
    <row r="712" ht="12.75" customHeight="1">
      <c r="A712" s="35"/>
      <c r="B712" s="35"/>
      <c r="C712" s="35"/>
      <c r="D712" s="35"/>
      <c r="E712" s="35"/>
      <c r="F712" s="35"/>
      <c r="G712" s="35"/>
      <c r="H712" s="35"/>
      <c r="I712" s="35"/>
      <c r="J712" s="35"/>
      <c r="K712" s="35"/>
      <c r="L712" s="35"/>
      <c r="M712" s="35"/>
      <c r="N712" s="35"/>
      <c r="O712" s="35"/>
      <c r="P712" s="35"/>
      <c r="Q712" s="35"/>
      <c r="R712" s="35"/>
      <c r="S712" s="35"/>
      <c r="T712" s="35"/>
      <c r="U712" s="35"/>
      <c r="V712" s="35"/>
      <c r="W712" s="35"/>
      <c r="X712" s="35"/>
      <c r="Y712" s="35"/>
      <c r="Z712" s="35"/>
      <c r="AA712" s="35"/>
    </row>
    <row r="713" ht="12.75" customHeight="1">
      <c r="A713" s="35"/>
      <c r="B713" s="35"/>
      <c r="C713" s="35"/>
      <c r="D713" s="35"/>
      <c r="E713" s="35"/>
      <c r="F713" s="35"/>
      <c r="G713" s="35"/>
      <c r="H713" s="35"/>
      <c r="I713" s="35"/>
      <c r="J713" s="35"/>
      <c r="K713" s="35"/>
      <c r="L713" s="35"/>
      <c r="M713" s="35"/>
      <c r="N713" s="35"/>
      <c r="O713" s="35"/>
      <c r="P713" s="35"/>
      <c r="Q713" s="35"/>
      <c r="R713" s="35"/>
      <c r="S713" s="35"/>
      <c r="T713" s="35"/>
      <c r="U713" s="35"/>
      <c r="V713" s="35"/>
      <c r="W713" s="35"/>
      <c r="X713" s="35"/>
      <c r="Y713" s="35"/>
      <c r="Z713" s="35"/>
      <c r="AA713" s="35"/>
    </row>
    <row r="714" ht="12.75" customHeight="1">
      <c r="A714" s="35"/>
      <c r="B714" s="35"/>
      <c r="C714" s="35"/>
      <c r="D714" s="35"/>
      <c r="E714" s="35"/>
      <c r="F714" s="35"/>
      <c r="G714" s="35"/>
      <c r="H714" s="35"/>
      <c r="I714" s="35"/>
      <c r="J714" s="35"/>
      <c r="K714" s="35"/>
      <c r="L714" s="35"/>
      <c r="M714" s="35"/>
      <c r="N714" s="35"/>
      <c r="O714" s="35"/>
      <c r="P714" s="35"/>
      <c r="Q714" s="35"/>
      <c r="R714" s="35"/>
      <c r="S714" s="35"/>
      <c r="T714" s="35"/>
      <c r="U714" s="35"/>
      <c r="V714" s="35"/>
      <c r="W714" s="35"/>
      <c r="X714" s="35"/>
      <c r="Y714" s="35"/>
      <c r="Z714" s="35"/>
      <c r="AA714" s="35"/>
    </row>
    <row r="715" ht="12.75" customHeight="1">
      <c r="A715" s="35"/>
      <c r="B715" s="35"/>
      <c r="C715" s="35"/>
      <c r="D715" s="35"/>
      <c r="E715" s="35"/>
      <c r="F715" s="35"/>
      <c r="G715" s="35"/>
      <c r="H715" s="35"/>
      <c r="I715" s="35"/>
      <c r="J715" s="35"/>
      <c r="K715" s="35"/>
      <c r="L715" s="35"/>
      <c r="M715" s="35"/>
      <c r="N715" s="35"/>
      <c r="O715" s="35"/>
      <c r="P715" s="35"/>
      <c r="Q715" s="35"/>
      <c r="R715" s="35"/>
      <c r="S715" s="35"/>
      <c r="T715" s="35"/>
      <c r="U715" s="35"/>
      <c r="V715" s="35"/>
      <c r="W715" s="35"/>
      <c r="X715" s="35"/>
      <c r="Y715" s="35"/>
      <c r="Z715" s="35"/>
      <c r="AA715" s="35"/>
    </row>
    <row r="716" ht="12.75" customHeight="1">
      <c r="A716" s="35"/>
      <c r="B716" s="35"/>
      <c r="C716" s="35"/>
      <c r="D716" s="35"/>
      <c r="E716" s="35"/>
      <c r="F716" s="35"/>
      <c r="G716" s="35"/>
      <c r="H716" s="35"/>
      <c r="I716" s="35"/>
      <c r="J716" s="35"/>
      <c r="K716" s="35"/>
      <c r="L716" s="35"/>
      <c r="M716" s="35"/>
      <c r="N716" s="35"/>
      <c r="O716" s="35"/>
      <c r="P716" s="35"/>
      <c r="Q716" s="35"/>
      <c r="R716" s="35"/>
      <c r="S716" s="35"/>
      <c r="T716" s="35"/>
      <c r="U716" s="35"/>
      <c r="V716" s="35"/>
      <c r="W716" s="35"/>
      <c r="X716" s="35"/>
      <c r="Y716" s="35"/>
      <c r="Z716" s="35"/>
      <c r="AA716" s="35"/>
    </row>
    <row r="717" ht="12.75" customHeight="1">
      <c r="A717" s="35"/>
      <c r="B717" s="35"/>
      <c r="C717" s="35"/>
      <c r="D717" s="35"/>
      <c r="E717" s="35"/>
      <c r="F717" s="35"/>
      <c r="G717" s="35"/>
      <c r="H717" s="35"/>
      <c r="I717" s="35"/>
      <c r="J717" s="35"/>
      <c r="K717" s="35"/>
      <c r="L717" s="35"/>
      <c r="M717" s="35"/>
      <c r="N717" s="35"/>
      <c r="O717" s="35"/>
      <c r="P717" s="35"/>
      <c r="Q717" s="35"/>
      <c r="R717" s="35"/>
      <c r="S717" s="35"/>
      <c r="T717" s="35"/>
      <c r="U717" s="35"/>
      <c r="V717" s="35"/>
      <c r="W717" s="35"/>
      <c r="X717" s="35"/>
      <c r="Y717" s="35"/>
      <c r="Z717" s="35"/>
      <c r="AA717" s="35"/>
    </row>
    <row r="718" ht="12.75" customHeight="1">
      <c r="A718" s="35"/>
      <c r="B718" s="35"/>
      <c r="C718" s="35"/>
      <c r="D718" s="35"/>
      <c r="E718" s="35"/>
      <c r="F718" s="35"/>
      <c r="G718" s="35"/>
      <c r="H718" s="35"/>
      <c r="I718" s="35"/>
      <c r="J718" s="35"/>
      <c r="K718" s="35"/>
      <c r="L718" s="35"/>
      <c r="M718" s="35"/>
      <c r="N718" s="35"/>
      <c r="O718" s="35"/>
      <c r="P718" s="35"/>
      <c r="Q718" s="35"/>
      <c r="R718" s="35"/>
      <c r="S718" s="35"/>
      <c r="T718" s="35"/>
      <c r="U718" s="35"/>
      <c r="V718" s="35"/>
      <c r="W718" s="35"/>
      <c r="X718" s="35"/>
      <c r="Y718" s="35"/>
      <c r="Z718" s="35"/>
      <c r="AA718" s="35"/>
    </row>
    <row r="719" ht="12.75" customHeight="1">
      <c r="A719" s="35"/>
      <c r="B719" s="35"/>
      <c r="C719" s="35"/>
      <c r="D719" s="35"/>
      <c r="E719" s="35"/>
      <c r="F719" s="35"/>
      <c r="G719" s="35"/>
      <c r="H719" s="35"/>
      <c r="I719" s="35"/>
      <c r="J719" s="35"/>
      <c r="K719" s="35"/>
      <c r="L719" s="35"/>
      <c r="M719" s="35"/>
      <c r="N719" s="35"/>
      <c r="O719" s="35"/>
      <c r="P719" s="35"/>
      <c r="Q719" s="35"/>
      <c r="R719" s="35"/>
      <c r="S719" s="35"/>
      <c r="T719" s="35"/>
      <c r="U719" s="35"/>
      <c r="V719" s="35"/>
      <c r="W719" s="35"/>
      <c r="X719" s="35"/>
      <c r="Y719" s="35"/>
      <c r="Z719" s="35"/>
      <c r="AA719" s="35"/>
    </row>
    <row r="720" ht="12.75" customHeight="1">
      <c r="A720" s="35"/>
      <c r="B720" s="35"/>
      <c r="C720" s="35"/>
      <c r="D720" s="35"/>
      <c r="E720" s="35"/>
      <c r="F720" s="35"/>
      <c r="G720" s="35"/>
      <c r="H720" s="35"/>
      <c r="I720" s="35"/>
      <c r="J720" s="35"/>
      <c r="K720" s="35"/>
      <c r="L720" s="35"/>
      <c r="M720" s="35"/>
      <c r="N720" s="35"/>
      <c r="O720" s="35"/>
      <c r="P720" s="35"/>
      <c r="Q720" s="35"/>
      <c r="R720" s="35"/>
      <c r="S720" s="35"/>
      <c r="T720" s="35"/>
      <c r="U720" s="35"/>
      <c r="V720" s="35"/>
      <c r="W720" s="35"/>
      <c r="X720" s="35"/>
      <c r="Y720" s="35"/>
      <c r="Z720" s="35"/>
      <c r="AA720" s="35"/>
    </row>
    <row r="721" ht="12.75" customHeight="1">
      <c r="A721" s="35"/>
      <c r="B721" s="35"/>
      <c r="C721" s="35"/>
      <c r="D721" s="35"/>
      <c r="E721" s="35"/>
      <c r="F721" s="35"/>
      <c r="G721" s="35"/>
      <c r="H721" s="35"/>
      <c r="I721" s="35"/>
      <c r="J721" s="35"/>
      <c r="K721" s="35"/>
      <c r="L721" s="35"/>
      <c r="M721" s="35"/>
      <c r="N721" s="35"/>
      <c r="O721" s="35"/>
      <c r="P721" s="35"/>
      <c r="Q721" s="35"/>
      <c r="R721" s="35"/>
      <c r="S721" s="35"/>
      <c r="T721" s="35"/>
      <c r="U721" s="35"/>
      <c r="V721" s="35"/>
      <c r="W721" s="35"/>
      <c r="X721" s="35"/>
      <c r="Y721" s="35"/>
      <c r="Z721" s="35"/>
      <c r="AA721" s="35"/>
    </row>
    <row r="722" ht="12.75" customHeight="1">
      <c r="A722" s="35"/>
      <c r="B722" s="35"/>
      <c r="C722" s="35"/>
      <c r="D722" s="35"/>
      <c r="E722" s="35"/>
      <c r="F722" s="35"/>
      <c r="G722" s="35"/>
      <c r="H722" s="35"/>
      <c r="I722" s="35"/>
      <c r="J722" s="35"/>
      <c r="K722" s="35"/>
      <c r="L722" s="35"/>
      <c r="M722" s="35"/>
      <c r="N722" s="35"/>
      <c r="O722" s="35"/>
      <c r="P722" s="35"/>
      <c r="Q722" s="35"/>
      <c r="R722" s="35"/>
      <c r="S722" s="35"/>
      <c r="T722" s="35"/>
      <c r="U722" s="35"/>
      <c r="V722" s="35"/>
      <c r="W722" s="35"/>
      <c r="X722" s="35"/>
      <c r="Y722" s="35"/>
      <c r="Z722" s="35"/>
      <c r="AA722" s="35"/>
    </row>
    <row r="723" ht="12.75" customHeight="1">
      <c r="A723" s="35"/>
      <c r="B723" s="35"/>
      <c r="C723" s="35"/>
      <c r="D723" s="35"/>
      <c r="E723" s="35"/>
      <c r="F723" s="35"/>
      <c r="G723" s="35"/>
      <c r="H723" s="35"/>
      <c r="I723" s="35"/>
      <c r="J723" s="35"/>
      <c r="K723" s="35"/>
      <c r="L723" s="35"/>
      <c r="M723" s="35"/>
      <c r="N723" s="35"/>
      <c r="O723" s="35"/>
      <c r="P723" s="35"/>
      <c r="Q723" s="35"/>
      <c r="R723" s="35"/>
      <c r="S723" s="35"/>
      <c r="T723" s="35"/>
      <c r="U723" s="35"/>
      <c r="V723" s="35"/>
      <c r="W723" s="35"/>
      <c r="X723" s="35"/>
      <c r="Y723" s="35"/>
      <c r="Z723" s="35"/>
      <c r="AA723" s="35"/>
    </row>
    <row r="724" ht="12.75" customHeight="1">
      <c r="A724" s="35"/>
      <c r="B724" s="35"/>
      <c r="C724" s="35"/>
      <c r="D724" s="35"/>
      <c r="E724" s="35"/>
      <c r="F724" s="35"/>
      <c r="G724" s="35"/>
      <c r="H724" s="35"/>
      <c r="I724" s="35"/>
      <c r="J724" s="35"/>
      <c r="K724" s="35"/>
      <c r="L724" s="35"/>
      <c r="M724" s="35"/>
      <c r="N724" s="35"/>
      <c r="O724" s="35"/>
      <c r="P724" s="35"/>
      <c r="Q724" s="35"/>
      <c r="R724" s="35"/>
      <c r="S724" s="35"/>
      <c r="T724" s="35"/>
      <c r="U724" s="35"/>
      <c r="V724" s="35"/>
      <c r="W724" s="35"/>
      <c r="X724" s="35"/>
      <c r="Y724" s="35"/>
      <c r="Z724" s="35"/>
      <c r="AA724" s="35"/>
    </row>
    <row r="725" ht="12.75" customHeight="1">
      <c r="A725" s="35"/>
      <c r="B725" s="35"/>
      <c r="C725" s="35"/>
      <c r="D725" s="35"/>
      <c r="E725" s="35"/>
      <c r="F725" s="35"/>
      <c r="G725" s="35"/>
      <c r="H725" s="35"/>
      <c r="I725" s="35"/>
      <c r="J725" s="35"/>
      <c r="K725" s="35"/>
      <c r="L725" s="35"/>
      <c r="M725" s="35"/>
      <c r="N725" s="35"/>
      <c r="O725" s="35"/>
      <c r="P725" s="35"/>
      <c r="Q725" s="35"/>
      <c r="R725" s="35"/>
      <c r="S725" s="35"/>
      <c r="T725" s="35"/>
      <c r="U725" s="35"/>
      <c r="V725" s="35"/>
      <c r="W725" s="35"/>
      <c r="X725" s="35"/>
      <c r="Y725" s="35"/>
      <c r="Z725" s="35"/>
      <c r="AA725" s="35"/>
    </row>
    <row r="726" ht="12.75" customHeight="1">
      <c r="A726" s="35"/>
      <c r="B726" s="35"/>
      <c r="C726" s="35"/>
      <c r="D726" s="35"/>
      <c r="E726" s="35"/>
      <c r="F726" s="35"/>
      <c r="G726" s="35"/>
      <c r="H726" s="35"/>
      <c r="I726" s="35"/>
      <c r="J726" s="35"/>
      <c r="K726" s="35"/>
      <c r="L726" s="35"/>
      <c r="M726" s="35"/>
      <c r="N726" s="35"/>
      <c r="O726" s="35"/>
      <c r="P726" s="35"/>
      <c r="Q726" s="35"/>
      <c r="R726" s="35"/>
      <c r="S726" s="35"/>
      <c r="T726" s="35"/>
      <c r="U726" s="35"/>
      <c r="V726" s="35"/>
      <c r="W726" s="35"/>
      <c r="X726" s="35"/>
      <c r="Y726" s="35"/>
      <c r="Z726" s="35"/>
      <c r="AA726" s="35"/>
    </row>
    <row r="727" ht="12.75" customHeight="1">
      <c r="A727" s="35"/>
      <c r="B727" s="35"/>
      <c r="C727" s="35"/>
      <c r="D727" s="35"/>
      <c r="E727" s="35"/>
      <c r="F727" s="35"/>
      <c r="G727" s="35"/>
      <c r="H727" s="35"/>
      <c r="I727" s="35"/>
      <c r="J727" s="35"/>
      <c r="K727" s="35"/>
      <c r="L727" s="35"/>
      <c r="M727" s="35"/>
      <c r="N727" s="35"/>
      <c r="O727" s="35"/>
      <c r="P727" s="35"/>
      <c r="Q727" s="35"/>
      <c r="R727" s="35"/>
      <c r="S727" s="35"/>
      <c r="T727" s="35"/>
      <c r="U727" s="35"/>
      <c r="V727" s="35"/>
      <c r="W727" s="35"/>
      <c r="X727" s="35"/>
      <c r="Y727" s="35"/>
      <c r="Z727" s="35"/>
      <c r="AA727" s="35"/>
    </row>
    <row r="728" ht="12.75" customHeight="1">
      <c r="A728" s="35"/>
      <c r="B728" s="35"/>
      <c r="C728" s="35"/>
      <c r="D728" s="35"/>
      <c r="E728" s="35"/>
      <c r="F728" s="35"/>
      <c r="G728" s="35"/>
      <c r="H728" s="35"/>
      <c r="I728" s="35"/>
      <c r="J728" s="35"/>
      <c r="K728" s="35"/>
      <c r="L728" s="35"/>
      <c r="M728" s="35"/>
      <c r="N728" s="35"/>
      <c r="O728" s="35"/>
      <c r="P728" s="35"/>
      <c r="Q728" s="35"/>
      <c r="R728" s="35"/>
      <c r="S728" s="35"/>
      <c r="T728" s="35"/>
      <c r="U728" s="35"/>
      <c r="V728" s="35"/>
      <c r="W728" s="35"/>
      <c r="X728" s="35"/>
      <c r="Y728" s="35"/>
      <c r="Z728" s="35"/>
      <c r="AA728" s="35"/>
    </row>
    <row r="729" ht="12.75" customHeight="1">
      <c r="A729" s="35"/>
      <c r="B729" s="35"/>
      <c r="C729" s="35"/>
      <c r="D729" s="35"/>
      <c r="E729" s="35"/>
      <c r="F729" s="35"/>
      <c r="G729" s="35"/>
      <c r="H729" s="35"/>
      <c r="I729" s="35"/>
      <c r="J729" s="35"/>
      <c r="K729" s="35"/>
      <c r="L729" s="35"/>
      <c r="M729" s="35"/>
      <c r="N729" s="35"/>
      <c r="O729" s="35"/>
      <c r="P729" s="35"/>
      <c r="Q729" s="35"/>
      <c r="R729" s="35"/>
      <c r="S729" s="35"/>
      <c r="T729" s="35"/>
      <c r="U729" s="35"/>
      <c r="V729" s="35"/>
      <c r="W729" s="35"/>
      <c r="X729" s="35"/>
      <c r="Y729" s="35"/>
      <c r="Z729" s="35"/>
      <c r="AA729" s="35"/>
    </row>
    <row r="730" ht="12.75" customHeight="1">
      <c r="A730" s="35"/>
      <c r="B730" s="35"/>
      <c r="C730" s="35"/>
      <c r="D730" s="35"/>
      <c r="E730" s="35"/>
      <c r="F730" s="35"/>
      <c r="G730" s="35"/>
      <c r="H730" s="35"/>
      <c r="I730" s="35"/>
      <c r="J730" s="35"/>
      <c r="K730" s="35"/>
      <c r="L730" s="35"/>
      <c r="M730" s="35"/>
      <c r="N730" s="35"/>
      <c r="O730" s="35"/>
      <c r="P730" s="35"/>
      <c r="Q730" s="35"/>
      <c r="R730" s="35"/>
      <c r="S730" s="35"/>
      <c r="T730" s="35"/>
      <c r="U730" s="35"/>
      <c r="V730" s="35"/>
      <c r="W730" s="35"/>
      <c r="X730" s="35"/>
      <c r="Y730" s="35"/>
      <c r="Z730" s="35"/>
      <c r="AA730" s="35"/>
    </row>
    <row r="731" ht="12.75" customHeight="1">
      <c r="A731" s="35"/>
      <c r="B731" s="35"/>
      <c r="C731" s="35"/>
      <c r="D731" s="35"/>
      <c r="E731" s="35"/>
      <c r="F731" s="35"/>
      <c r="G731" s="35"/>
      <c r="H731" s="35"/>
      <c r="I731" s="35"/>
      <c r="J731" s="35"/>
      <c r="K731" s="35"/>
      <c r="L731" s="35"/>
      <c r="M731" s="35"/>
      <c r="N731" s="35"/>
      <c r="O731" s="35"/>
      <c r="P731" s="35"/>
      <c r="Q731" s="35"/>
      <c r="R731" s="35"/>
      <c r="S731" s="35"/>
      <c r="T731" s="35"/>
      <c r="U731" s="35"/>
      <c r="V731" s="35"/>
      <c r="W731" s="35"/>
      <c r="X731" s="35"/>
      <c r="Y731" s="35"/>
      <c r="Z731" s="35"/>
      <c r="AA731" s="35"/>
    </row>
    <row r="732" ht="12.75" customHeight="1">
      <c r="A732" s="35"/>
      <c r="B732" s="35"/>
      <c r="C732" s="35"/>
      <c r="D732" s="35"/>
      <c r="E732" s="35"/>
      <c r="F732" s="35"/>
      <c r="G732" s="35"/>
      <c r="H732" s="35"/>
      <c r="I732" s="35"/>
      <c r="J732" s="35"/>
      <c r="K732" s="35"/>
      <c r="L732" s="35"/>
      <c r="M732" s="35"/>
      <c r="N732" s="35"/>
      <c r="O732" s="35"/>
      <c r="P732" s="35"/>
      <c r="Q732" s="35"/>
      <c r="R732" s="35"/>
      <c r="S732" s="35"/>
      <c r="T732" s="35"/>
      <c r="U732" s="35"/>
      <c r="V732" s="35"/>
      <c r="W732" s="35"/>
      <c r="X732" s="35"/>
      <c r="Y732" s="35"/>
      <c r="Z732" s="35"/>
      <c r="AA732" s="35"/>
    </row>
    <row r="733" ht="12.75" customHeight="1">
      <c r="A733" s="35"/>
      <c r="B733" s="35"/>
      <c r="C733" s="35"/>
      <c r="D733" s="35"/>
      <c r="E733" s="35"/>
      <c r="F733" s="35"/>
      <c r="G733" s="35"/>
      <c r="H733" s="35"/>
      <c r="I733" s="35"/>
      <c r="J733" s="35"/>
      <c r="K733" s="35"/>
      <c r="L733" s="35"/>
      <c r="M733" s="35"/>
      <c r="N733" s="35"/>
      <c r="O733" s="35"/>
      <c r="P733" s="35"/>
      <c r="Q733" s="35"/>
      <c r="R733" s="35"/>
      <c r="S733" s="35"/>
      <c r="T733" s="35"/>
      <c r="U733" s="35"/>
      <c r="V733" s="35"/>
      <c r="W733" s="35"/>
      <c r="X733" s="35"/>
      <c r="Y733" s="35"/>
      <c r="Z733" s="35"/>
      <c r="AA733" s="35"/>
    </row>
    <row r="734" ht="12.75" customHeight="1">
      <c r="A734" s="35"/>
      <c r="B734" s="35"/>
      <c r="C734" s="35"/>
      <c r="D734" s="35"/>
      <c r="E734" s="35"/>
      <c r="F734" s="35"/>
      <c r="G734" s="35"/>
      <c r="H734" s="35"/>
      <c r="I734" s="35"/>
      <c r="J734" s="35"/>
      <c r="K734" s="35"/>
      <c r="L734" s="35"/>
      <c r="M734" s="35"/>
      <c r="N734" s="35"/>
      <c r="O734" s="35"/>
      <c r="P734" s="35"/>
      <c r="Q734" s="35"/>
      <c r="R734" s="35"/>
      <c r="S734" s="35"/>
      <c r="T734" s="35"/>
      <c r="U734" s="35"/>
      <c r="V734" s="35"/>
      <c r="W734" s="35"/>
      <c r="X734" s="35"/>
      <c r="Y734" s="35"/>
      <c r="Z734" s="35"/>
      <c r="AA734" s="35"/>
    </row>
    <row r="735" ht="12.75" customHeight="1">
      <c r="A735" s="35"/>
      <c r="B735" s="35"/>
      <c r="C735" s="35"/>
      <c r="D735" s="35"/>
      <c r="E735" s="35"/>
      <c r="F735" s="35"/>
      <c r="G735" s="35"/>
      <c r="H735" s="35"/>
      <c r="I735" s="35"/>
      <c r="J735" s="35"/>
      <c r="K735" s="35"/>
      <c r="L735" s="35"/>
      <c r="M735" s="35"/>
      <c r="N735" s="35"/>
      <c r="O735" s="35"/>
      <c r="P735" s="35"/>
      <c r="Q735" s="35"/>
      <c r="R735" s="35"/>
      <c r="S735" s="35"/>
      <c r="T735" s="35"/>
      <c r="U735" s="35"/>
      <c r="V735" s="35"/>
      <c r="W735" s="35"/>
      <c r="X735" s="35"/>
      <c r="Y735" s="35"/>
      <c r="Z735" s="35"/>
      <c r="AA735" s="35"/>
    </row>
    <row r="736" ht="12.75" customHeight="1">
      <c r="A736" s="35"/>
      <c r="B736" s="35"/>
      <c r="C736" s="35"/>
      <c r="D736" s="35"/>
      <c r="E736" s="35"/>
      <c r="F736" s="35"/>
      <c r="G736" s="35"/>
      <c r="H736" s="35"/>
      <c r="I736" s="35"/>
      <c r="J736" s="35"/>
      <c r="K736" s="35"/>
      <c r="L736" s="35"/>
      <c r="M736" s="35"/>
      <c r="N736" s="35"/>
      <c r="O736" s="35"/>
      <c r="P736" s="35"/>
      <c r="Q736" s="35"/>
      <c r="R736" s="35"/>
      <c r="S736" s="35"/>
      <c r="T736" s="35"/>
      <c r="U736" s="35"/>
      <c r="V736" s="35"/>
      <c r="W736" s="35"/>
      <c r="X736" s="35"/>
      <c r="Y736" s="35"/>
      <c r="Z736" s="35"/>
      <c r="AA736" s="35"/>
    </row>
    <row r="737" ht="12.75" customHeight="1">
      <c r="A737" s="35"/>
      <c r="B737" s="35"/>
      <c r="C737" s="35"/>
      <c r="D737" s="35"/>
      <c r="E737" s="35"/>
      <c r="F737" s="35"/>
      <c r="G737" s="35"/>
      <c r="H737" s="35"/>
      <c r="I737" s="35"/>
      <c r="J737" s="35"/>
      <c r="K737" s="35"/>
      <c r="L737" s="35"/>
      <c r="M737" s="35"/>
      <c r="N737" s="35"/>
      <c r="O737" s="35"/>
      <c r="P737" s="35"/>
      <c r="Q737" s="35"/>
      <c r="R737" s="35"/>
      <c r="S737" s="35"/>
      <c r="T737" s="35"/>
      <c r="U737" s="35"/>
      <c r="V737" s="35"/>
      <c r="W737" s="35"/>
      <c r="X737" s="35"/>
      <c r="Y737" s="35"/>
      <c r="Z737" s="35"/>
      <c r="AA737" s="35"/>
    </row>
    <row r="738" ht="12.75" customHeight="1">
      <c r="A738" s="35"/>
      <c r="B738" s="35"/>
      <c r="C738" s="35"/>
      <c r="D738" s="35"/>
      <c r="E738" s="35"/>
      <c r="F738" s="35"/>
      <c r="G738" s="35"/>
      <c r="H738" s="35"/>
      <c r="I738" s="35"/>
      <c r="J738" s="35"/>
      <c r="K738" s="35"/>
      <c r="L738" s="35"/>
      <c r="M738" s="35"/>
      <c r="N738" s="35"/>
      <c r="O738" s="35"/>
      <c r="P738" s="35"/>
      <c r="Q738" s="35"/>
      <c r="R738" s="35"/>
      <c r="S738" s="35"/>
      <c r="T738" s="35"/>
      <c r="U738" s="35"/>
      <c r="V738" s="35"/>
      <c r="W738" s="35"/>
      <c r="X738" s="35"/>
      <c r="Y738" s="35"/>
      <c r="Z738" s="35"/>
      <c r="AA738" s="35"/>
    </row>
    <row r="739" ht="12.75" customHeight="1">
      <c r="A739" s="35"/>
      <c r="B739" s="35"/>
      <c r="C739" s="35"/>
      <c r="D739" s="35"/>
      <c r="E739" s="35"/>
      <c r="F739" s="35"/>
      <c r="G739" s="35"/>
      <c r="H739" s="35"/>
      <c r="I739" s="35"/>
      <c r="J739" s="35"/>
      <c r="K739" s="35"/>
      <c r="L739" s="35"/>
      <c r="M739" s="35"/>
      <c r="N739" s="35"/>
      <c r="O739" s="35"/>
      <c r="P739" s="35"/>
      <c r="Q739" s="35"/>
      <c r="R739" s="35"/>
      <c r="S739" s="35"/>
      <c r="T739" s="35"/>
      <c r="U739" s="35"/>
      <c r="V739" s="35"/>
      <c r="W739" s="35"/>
      <c r="X739" s="35"/>
      <c r="Y739" s="35"/>
      <c r="Z739" s="35"/>
      <c r="AA739" s="35"/>
    </row>
    <row r="740" ht="12.75" customHeight="1">
      <c r="A740" s="35"/>
      <c r="B740" s="35"/>
      <c r="C740" s="35"/>
      <c r="D740" s="35"/>
      <c r="E740" s="35"/>
      <c r="F740" s="35"/>
      <c r="G740" s="35"/>
      <c r="H740" s="35"/>
      <c r="I740" s="35"/>
      <c r="J740" s="35"/>
      <c r="K740" s="35"/>
      <c r="L740" s="35"/>
      <c r="M740" s="35"/>
      <c r="N740" s="35"/>
      <c r="O740" s="35"/>
      <c r="P740" s="35"/>
      <c r="Q740" s="35"/>
      <c r="R740" s="35"/>
      <c r="S740" s="35"/>
      <c r="T740" s="35"/>
      <c r="U740" s="35"/>
      <c r="V740" s="35"/>
      <c r="W740" s="35"/>
      <c r="X740" s="35"/>
      <c r="Y740" s="35"/>
      <c r="Z740" s="35"/>
      <c r="AA740" s="35"/>
    </row>
    <row r="741" ht="12.75" customHeight="1">
      <c r="A741" s="35"/>
      <c r="B741" s="35"/>
      <c r="C741" s="35"/>
      <c r="D741" s="35"/>
      <c r="E741" s="35"/>
      <c r="F741" s="35"/>
      <c r="G741" s="35"/>
      <c r="H741" s="35"/>
      <c r="I741" s="35"/>
      <c r="J741" s="35"/>
      <c r="K741" s="35"/>
      <c r="L741" s="35"/>
      <c r="M741" s="35"/>
      <c r="N741" s="35"/>
      <c r="O741" s="35"/>
      <c r="P741" s="35"/>
      <c r="Q741" s="35"/>
      <c r="R741" s="35"/>
      <c r="S741" s="35"/>
      <c r="T741" s="35"/>
      <c r="U741" s="35"/>
      <c r="V741" s="35"/>
      <c r="W741" s="35"/>
      <c r="X741" s="35"/>
      <c r="Y741" s="35"/>
      <c r="Z741" s="35"/>
      <c r="AA741" s="35"/>
    </row>
    <row r="742" ht="12.75" customHeight="1">
      <c r="A742" s="35"/>
      <c r="B742" s="35"/>
      <c r="C742" s="35"/>
      <c r="D742" s="35"/>
      <c r="E742" s="35"/>
      <c r="F742" s="35"/>
      <c r="G742" s="35"/>
      <c r="H742" s="35"/>
      <c r="I742" s="35"/>
      <c r="J742" s="35"/>
      <c r="K742" s="35"/>
      <c r="L742" s="35"/>
      <c r="M742" s="35"/>
      <c r="N742" s="35"/>
      <c r="O742" s="35"/>
      <c r="P742" s="35"/>
      <c r="Q742" s="35"/>
      <c r="R742" s="35"/>
      <c r="S742" s="35"/>
      <c r="T742" s="35"/>
      <c r="U742" s="35"/>
      <c r="V742" s="35"/>
      <c r="W742" s="35"/>
      <c r="X742" s="35"/>
      <c r="Y742" s="35"/>
      <c r="Z742" s="35"/>
      <c r="AA742" s="35"/>
    </row>
    <row r="743" ht="12.75" customHeight="1">
      <c r="A743" s="35"/>
      <c r="B743" s="35"/>
      <c r="C743" s="35"/>
      <c r="D743" s="35"/>
      <c r="E743" s="35"/>
      <c r="F743" s="35"/>
      <c r="G743" s="35"/>
      <c r="H743" s="35"/>
      <c r="I743" s="35"/>
      <c r="J743" s="35"/>
      <c r="K743" s="35"/>
      <c r="L743" s="35"/>
      <c r="M743" s="35"/>
      <c r="N743" s="35"/>
      <c r="O743" s="35"/>
      <c r="P743" s="35"/>
      <c r="Q743" s="35"/>
      <c r="R743" s="35"/>
      <c r="S743" s="35"/>
      <c r="T743" s="35"/>
      <c r="U743" s="35"/>
      <c r="V743" s="35"/>
      <c r="W743" s="35"/>
      <c r="X743" s="35"/>
      <c r="Y743" s="35"/>
      <c r="Z743" s="35"/>
      <c r="AA743" s="35"/>
    </row>
    <row r="744" ht="12.75" customHeight="1">
      <c r="A744" s="35"/>
      <c r="B744" s="35"/>
      <c r="C744" s="35"/>
      <c r="D744" s="35"/>
      <c r="E744" s="35"/>
      <c r="F744" s="35"/>
      <c r="G744" s="35"/>
      <c r="H744" s="35"/>
      <c r="I744" s="35"/>
      <c r="J744" s="35"/>
      <c r="K744" s="35"/>
      <c r="L744" s="35"/>
      <c r="M744" s="35"/>
      <c r="N744" s="35"/>
      <c r="O744" s="35"/>
      <c r="P744" s="35"/>
      <c r="Q744" s="35"/>
      <c r="R744" s="35"/>
      <c r="S744" s="35"/>
      <c r="T744" s="35"/>
      <c r="U744" s="35"/>
      <c r="V744" s="35"/>
      <c r="W744" s="35"/>
      <c r="X744" s="35"/>
      <c r="Y744" s="35"/>
      <c r="Z744" s="35"/>
      <c r="AA744" s="35"/>
    </row>
    <row r="745" ht="12.75" customHeight="1">
      <c r="A745" s="35"/>
      <c r="B745" s="35"/>
      <c r="C745" s="35"/>
      <c r="D745" s="35"/>
      <c r="E745" s="35"/>
      <c r="F745" s="35"/>
      <c r="G745" s="35"/>
      <c r="H745" s="35"/>
      <c r="I745" s="35"/>
      <c r="J745" s="35"/>
      <c r="K745" s="35"/>
      <c r="L745" s="35"/>
      <c r="M745" s="35"/>
      <c r="N745" s="35"/>
      <c r="O745" s="35"/>
      <c r="P745" s="35"/>
      <c r="Q745" s="35"/>
      <c r="R745" s="35"/>
      <c r="S745" s="35"/>
      <c r="T745" s="35"/>
      <c r="U745" s="35"/>
      <c r="V745" s="35"/>
      <c r="W745" s="35"/>
      <c r="X745" s="35"/>
      <c r="Y745" s="35"/>
      <c r="Z745" s="35"/>
      <c r="AA745" s="35"/>
    </row>
    <row r="746" ht="12.75" customHeight="1">
      <c r="A746" s="35"/>
      <c r="B746" s="35"/>
      <c r="C746" s="35"/>
      <c r="D746" s="35"/>
      <c r="E746" s="35"/>
      <c r="F746" s="35"/>
      <c r="G746" s="35"/>
      <c r="H746" s="35"/>
      <c r="I746" s="35"/>
      <c r="J746" s="35"/>
      <c r="K746" s="35"/>
      <c r="L746" s="35"/>
      <c r="M746" s="35"/>
      <c r="N746" s="35"/>
      <c r="O746" s="35"/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5"/>
      <c r="AA746" s="35"/>
    </row>
    <row r="747" ht="12.75" customHeight="1">
      <c r="A747" s="35"/>
      <c r="B747" s="35"/>
      <c r="C747" s="35"/>
      <c r="D747" s="35"/>
      <c r="E747" s="35"/>
      <c r="F747" s="35"/>
      <c r="G747" s="35"/>
      <c r="H747" s="35"/>
      <c r="I747" s="35"/>
      <c r="J747" s="35"/>
      <c r="K747" s="35"/>
      <c r="L747" s="35"/>
      <c r="M747" s="35"/>
      <c r="N747" s="35"/>
      <c r="O747" s="35"/>
      <c r="P747" s="35"/>
      <c r="Q747" s="35"/>
      <c r="R747" s="35"/>
      <c r="S747" s="35"/>
      <c r="T747" s="35"/>
      <c r="U747" s="35"/>
      <c r="V747" s="35"/>
      <c r="W747" s="35"/>
      <c r="X747" s="35"/>
      <c r="Y747" s="35"/>
      <c r="Z747" s="35"/>
      <c r="AA747" s="35"/>
    </row>
    <row r="748" ht="12.75" customHeight="1">
      <c r="A748" s="35"/>
      <c r="B748" s="35"/>
      <c r="C748" s="35"/>
      <c r="D748" s="35"/>
      <c r="E748" s="35"/>
      <c r="F748" s="35"/>
      <c r="G748" s="35"/>
      <c r="H748" s="35"/>
      <c r="I748" s="35"/>
      <c r="J748" s="35"/>
      <c r="K748" s="35"/>
      <c r="L748" s="35"/>
      <c r="M748" s="35"/>
      <c r="N748" s="35"/>
      <c r="O748" s="35"/>
      <c r="P748" s="35"/>
      <c r="Q748" s="35"/>
      <c r="R748" s="35"/>
      <c r="S748" s="35"/>
      <c r="T748" s="35"/>
      <c r="U748" s="35"/>
      <c r="V748" s="35"/>
      <c r="W748" s="35"/>
      <c r="X748" s="35"/>
      <c r="Y748" s="35"/>
      <c r="Z748" s="35"/>
      <c r="AA748" s="35"/>
    </row>
    <row r="749" ht="12.75" customHeight="1">
      <c r="A749" s="35"/>
      <c r="B749" s="35"/>
      <c r="C749" s="35"/>
      <c r="D749" s="35"/>
      <c r="E749" s="35"/>
      <c r="F749" s="35"/>
      <c r="G749" s="35"/>
      <c r="H749" s="35"/>
      <c r="I749" s="35"/>
      <c r="J749" s="35"/>
      <c r="K749" s="35"/>
      <c r="L749" s="35"/>
      <c r="M749" s="35"/>
      <c r="N749" s="35"/>
      <c r="O749" s="35"/>
      <c r="P749" s="35"/>
      <c r="Q749" s="35"/>
      <c r="R749" s="35"/>
      <c r="S749" s="35"/>
      <c r="T749" s="35"/>
      <c r="U749" s="35"/>
      <c r="V749" s="35"/>
      <c r="W749" s="35"/>
      <c r="X749" s="35"/>
      <c r="Y749" s="35"/>
      <c r="Z749" s="35"/>
      <c r="AA749" s="35"/>
    </row>
    <row r="750" ht="12.75" customHeight="1">
      <c r="A750" s="35"/>
      <c r="B750" s="35"/>
      <c r="C750" s="35"/>
      <c r="D750" s="35"/>
      <c r="E750" s="35"/>
      <c r="F750" s="35"/>
      <c r="G750" s="35"/>
      <c r="H750" s="35"/>
      <c r="I750" s="35"/>
      <c r="J750" s="35"/>
      <c r="K750" s="35"/>
      <c r="L750" s="35"/>
      <c r="M750" s="35"/>
      <c r="N750" s="35"/>
      <c r="O750" s="35"/>
      <c r="P750" s="35"/>
      <c r="Q750" s="35"/>
      <c r="R750" s="35"/>
      <c r="S750" s="35"/>
      <c r="T750" s="35"/>
      <c r="U750" s="35"/>
      <c r="V750" s="35"/>
      <c r="W750" s="35"/>
      <c r="X750" s="35"/>
      <c r="Y750" s="35"/>
      <c r="Z750" s="35"/>
      <c r="AA750" s="35"/>
    </row>
    <row r="751" ht="12.75" customHeight="1">
      <c r="A751" s="35"/>
      <c r="B751" s="35"/>
      <c r="C751" s="35"/>
      <c r="D751" s="35"/>
      <c r="E751" s="35"/>
      <c r="F751" s="35"/>
      <c r="G751" s="35"/>
      <c r="H751" s="35"/>
      <c r="I751" s="35"/>
      <c r="J751" s="35"/>
      <c r="K751" s="35"/>
      <c r="L751" s="35"/>
      <c r="M751" s="35"/>
      <c r="N751" s="35"/>
      <c r="O751" s="35"/>
      <c r="P751" s="35"/>
      <c r="Q751" s="35"/>
      <c r="R751" s="35"/>
      <c r="S751" s="35"/>
      <c r="T751" s="35"/>
      <c r="U751" s="35"/>
      <c r="V751" s="35"/>
      <c r="W751" s="35"/>
      <c r="X751" s="35"/>
      <c r="Y751" s="35"/>
      <c r="Z751" s="35"/>
      <c r="AA751" s="35"/>
    </row>
    <row r="752" ht="12.75" customHeight="1">
      <c r="A752" s="35"/>
      <c r="B752" s="35"/>
      <c r="C752" s="35"/>
      <c r="D752" s="35"/>
      <c r="E752" s="35"/>
      <c r="F752" s="35"/>
      <c r="G752" s="35"/>
      <c r="H752" s="35"/>
      <c r="I752" s="35"/>
      <c r="J752" s="35"/>
      <c r="K752" s="35"/>
      <c r="L752" s="35"/>
      <c r="M752" s="35"/>
      <c r="N752" s="35"/>
      <c r="O752" s="35"/>
      <c r="P752" s="35"/>
      <c r="Q752" s="35"/>
      <c r="R752" s="35"/>
      <c r="S752" s="35"/>
      <c r="T752" s="35"/>
      <c r="U752" s="35"/>
      <c r="V752" s="35"/>
      <c r="W752" s="35"/>
      <c r="X752" s="35"/>
      <c r="Y752" s="35"/>
      <c r="Z752" s="35"/>
      <c r="AA752" s="35"/>
    </row>
    <row r="753" ht="12.75" customHeight="1">
      <c r="A753" s="35"/>
      <c r="B753" s="35"/>
      <c r="C753" s="35"/>
      <c r="D753" s="35"/>
      <c r="E753" s="35"/>
      <c r="F753" s="35"/>
      <c r="G753" s="35"/>
      <c r="H753" s="35"/>
      <c r="I753" s="35"/>
      <c r="J753" s="35"/>
      <c r="K753" s="35"/>
      <c r="L753" s="35"/>
      <c r="M753" s="35"/>
      <c r="N753" s="35"/>
      <c r="O753" s="35"/>
      <c r="P753" s="35"/>
      <c r="Q753" s="35"/>
      <c r="R753" s="35"/>
      <c r="S753" s="35"/>
      <c r="T753" s="35"/>
      <c r="U753" s="35"/>
      <c r="V753" s="35"/>
      <c r="W753" s="35"/>
      <c r="X753" s="35"/>
      <c r="Y753" s="35"/>
      <c r="Z753" s="35"/>
      <c r="AA753" s="35"/>
    </row>
    <row r="754" ht="12.75" customHeight="1">
      <c r="A754" s="35"/>
      <c r="B754" s="35"/>
      <c r="C754" s="35"/>
      <c r="D754" s="35"/>
      <c r="E754" s="35"/>
      <c r="F754" s="35"/>
      <c r="G754" s="35"/>
      <c r="H754" s="35"/>
      <c r="I754" s="35"/>
      <c r="J754" s="35"/>
      <c r="K754" s="35"/>
      <c r="L754" s="35"/>
      <c r="M754" s="35"/>
      <c r="N754" s="35"/>
      <c r="O754" s="35"/>
      <c r="P754" s="35"/>
      <c r="Q754" s="35"/>
      <c r="R754" s="35"/>
      <c r="S754" s="35"/>
      <c r="T754" s="35"/>
      <c r="U754" s="35"/>
      <c r="V754" s="35"/>
      <c r="W754" s="35"/>
      <c r="X754" s="35"/>
      <c r="Y754" s="35"/>
      <c r="Z754" s="35"/>
      <c r="AA754" s="35"/>
    </row>
    <row r="755" ht="12.75" customHeight="1">
      <c r="A755" s="35"/>
      <c r="B755" s="35"/>
      <c r="C755" s="35"/>
      <c r="D755" s="35"/>
      <c r="E755" s="35"/>
      <c r="F755" s="35"/>
      <c r="G755" s="35"/>
      <c r="H755" s="35"/>
      <c r="I755" s="35"/>
      <c r="J755" s="35"/>
      <c r="K755" s="35"/>
      <c r="L755" s="35"/>
      <c r="M755" s="35"/>
      <c r="N755" s="35"/>
      <c r="O755" s="35"/>
      <c r="P755" s="35"/>
      <c r="Q755" s="35"/>
      <c r="R755" s="35"/>
      <c r="S755" s="35"/>
      <c r="T755" s="35"/>
      <c r="U755" s="35"/>
      <c r="V755" s="35"/>
      <c r="W755" s="35"/>
      <c r="X755" s="35"/>
      <c r="Y755" s="35"/>
      <c r="Z755" s="35"/>
      <c r="AA755" s="35"/>
    </row>
    <row r="756" ht="12.75" customHeight="1">
      <c r="A756" s="35"/>
      <c r="B756" s="35"/>
      <c r="C756" s="35"/>
      <c r="D756" s="35"/>
      <c r="E756" s="35"/>
      <c r="F756" s="35"/>
      <c r="G756" s="35"/>
      <c r="H756" s="35"/>
      <c r="I756" s="35"/>
      <c r="J756" s="35"/>
      <c r="K756" s="35"/>
      <c r="L756" s="35"/>
      <c r="M756" s="35"/>
      <c r="N756" s="35"/>
      <c r="O756" s="35"/>
      <c r="P756" s="35"/>
      <c r="Q756" s="35"/>
      <c r="R756" s="35"/>
      <c r="S756" s="35"/>
      <c r="T756" s="35"/>
      <c r="U756" s="35"/>
      <c r="V756" s="35"/>
      <c r="W756" s="35"/>
      <c r="X756" s="35"/>
      <c r="Y756" s="35"/>
      <c r="Z756" s="35"/>
      <c r="AA756" s="35"/>
    </row>
    <row r="757" ht="12.75" customHeight="1">
      <c r="A757" s="35"/>
      <c r="B757" s="35"/>
      <c r="C757" s="35"/>
      <c r="D757" s="35"/>
      <c r="E757" s="35"/>
      <c r="F757" s="35"/>
      <c r="G757" s="35"/>
      <c r="H757" s="35"/>
      <c r="I757" s="35"/>
      <c r="J757" s="35"/>
      <c r="K757" s="35"/>
      <c r="L757" s="35"/>
      <c r="M757" s="35"/>
      <c r="N757" s="35"/>
      <c r="O757" s="35"/>
      <c r="P757" s="35"/>
      <c r="Q757" s="35"/>
      <c r="R757" s="35"/>
      <c r="S757" s="35"/>
      <c r="T757" s="35"/>
      <c r="U757" s="35"/>
      <c r="V757" s="35"/>
      <c r="W757" s="35"/>
      <c r="X757" s="35"/>
      <c r="Y757" s="35"/>
      <c r="Z757" s="35"/>
      <c r="AA757" s="35"/>
    </row>
    <row r="758" ht="12.75" customHeight="1">
      <c r="A758" s="35"/>
      <c r="B758" s="35"/>
      <c r="C758" s="35"/>
      <c r="D758" s="35"/>
      <c r="E758" s="35"/>
      <c r="F758" s="35"/>
      <c r="G758" s="35"/>
      <c r="H758" s="35"/>
      <c r="I758" s="35"/>
      <c r="J758" s="35"/>
      <c r="K758" s="35"/>
      <c r="L758" s="35"/>
      <c r="M758" s="35"/>
      <c r="N758" s="35"/>
      <c r="O758" s="35"/>
      <c r="P758" s="35"/>
      <c r="Q758" s="35"/>
      <c r="R758" s="35"/>
      <c r="S758" s="35"/>
      <c r="T758" s="35"/>
      <c r="U758" s="35"/>
      <c r="V758" s="35"/>
      <c r="W758" s="35"/>
      <c r="X758" s="35"/>
      <c r="Y758" s="35"/>
      <c r="Z758" s="35"/>
      <c r="AA758" s="35"/>
    </row>
    <row r="759" ht="12.75" customHeight="1">
      <c r="A759" s="35"/>
      <c r="B759" s="35"/>
      <c r="C759" s="35"/>
      <c r="D759" s="35"/>
      <c r="E759" s="35"/>
      <c r="F759" s="35"/>
      <c r="G759" s="35"/>
      <c r="H759" s="35"/>
      <c r="I759" s="35"/>
      <c r="J759" s="35"/>
      <c r="K759" s="35"/>
      <c r="L759" s="35"/>
      <c r="M759" s="35"/>
      <c r="N759" s="35"/>
      <c r="O759" s="35"/>
      <c r="P759" s="35"/>
      <c r="Q759" s="35"/>
      <c r="R759" s="35"/>
      <c r="S759" s="35"/>
      <c r="T759" s="35"/>
      <c r="U759" s="35"/>
      <c r="V759" s="35"/>
      <c r="W759" s="35"/>
      <c r="X759" s="35"/>
      <c r="Y759" s="35"/>
      <c r="Z759" s="35"/>
      <c r="AA759" s="35"/>
    </row>
    <row r="760" ht="12.75" customHeight="1">
      <c r="A760" s="35"/>
      <c r="B760" s="35"/>
      <c r="C760" s="35"/>
      <c r="D760" s="35"/>
      <c r="E760" s="35"/>
      <c r="F760" s="35"/>
      <c r="G760" s="35"/>
      <c r="H760" s="35"/>
      <c r="I760" s="35"/>
      <c r="J760" s="35"/>
      <c r="K760" s="35"/>
      <c r="L760" s="35"/>
      <c r="M760" s="35"/>
      <c r="N760" s="35"/>
      <c r="O760" s="35"/>
      <c r="P760" s="35"/>
      <c r="Q760" s="35"/>
      <c r="R760" s="35"/>
      <c r="S760" s="35"/>
      <c r="T760" s="35"/>
      <c r="U760" s="35"/>
      <c r="V760" s="35"/>
      <c r="W760" s="35"/>
      <c r="X760" s="35"/>
      <c r="Y760" s="35"/>
      <c r="Z760" s="35"/>
      <c r="AA760" s="35"/>
    </row>
    <row r="761" ht="12.75" customHeight="1">
      <c r="A761" s="35"/>
      <c r="B761" s="35"/>
      <c r="C761" s="35"/>
      <c r="D761" s="35"/>
      <c r="E761" s="35"/>
      <c r="F761" s="35"/>
      <c r="G761" s="35"/>
      <c r="H761" s="35"/>
      <c r="I761" s="35"/>
      <c r="J761" s="35"/>
      <c r="K761" s="35"/>
      <c r="L761" s="35"/>
      <c r="M761" s="35"/>
      <c r="N761" s="35"/>
      <c r="O761" s="35"/>
      <c r="P761" s="35"/>
      <c r="Q761" s="35"/>
      <c r="R761" s="35"/>
      <c r="S761" s="35"/>
      <c r="T761" s="35"/>
      <c r="U761" s="35"/>
      <c r="V761" s="35"/>
      <c r="W761" s="35"/>
      <c r="X761" s="35"/>
      <c r="Y761" s="35"/>
      <c r="Z761" s="35"/>
      <c r="AA761" s="35"/>
    </row>
    <row r="762" ht="12.75" customHeight="1">
      <c r="A762" s="35"/>
      <c r="B762" s="35"/>
      <c r="C762" s="35"/>
      <c r="D762" s="35"/>
      <c r="E762" s="35"/>
      <c r="F762" s="35"/>
      <c r="G762" s="35"/>
      <c r="H762" s="35"/>
      <c r="I762" s="35"/>
      <c r="J762" s="35"/>
      <c r="K762" s="35"/>
      <c r="L762" s="35"/>
      <c r="M762" s="35"/>
      <c r="N762" s="35"/>
      <c r="O762" s="35"/>
      <c r="P762" s="35"/>
      <c r="Q762" s="35"/>
      <c r="R762" s="35"/>
      <c r="S762" s="35"/>
      <c r="T762" s="35"/>
      <c r="U762" s="35"/>
      <c r="V762" s="35"/>
      <c r="W762" s="35"/>
      <c r="X762" s="35"/>
      <c r="Y762" s="35"/>
      <c r="Z762" s="35"/>
      <c r="AA762" s="35"/>
    </row>
    <row r="763" ht="12.75" customHeight="1">
      <c r="A763" s="35"/>
      <c r="B763" s="35"/>
      <c r="C763" s="35"/>
      <c r="D763" s="35"/>
      <c r="E763" s="35"/>
      <c r="F763" s="35"/>
      <c r="G763" s="35"/>
      <c r="H763" s="35"/>
      <c r="I763" s="35"/>
      <c r="J763" s="35"/>
      <c r="K763" s="35"/>
      <c r="L763" s="35"/>
      <c r="M763" s="35"/>
      <c r="N763" s="35"/>
      <c r="O763" s="35"/>
      <c r="P763" s="35"/>
      <c r="Q763" s="35"/>
      <c r="R763" s="35"/>
      <c r="S763" s="35"/>
      <c r="T763" s="35"/>
      <c r="U763" s="35"/>
      <c r="V763" s="35"/>
      <c r="W763" s="35"/>
      <c r="X763" s="35"/>
      <c r="Y763" s="35"/>
      <c r="Z763" s="35"/>
      <c r="AA763" s="35"/>
    </row>
    <row r="764" ht="12.75" customHeight="1">
      <c r="A764" s="35"/>
      <c r="B764" s="35"/>
      <c r="C764" s="35"/>
      <c r="D764" s="35"/>
      <c r="E764" s="35"/>
      <c r="F764" s="35"/>
      <c r="G764" s="35"/>
      <c r="H764" s="35"/>
      <c r="I764" s="35"/>
      <c r="J764" s="35"/>
      <c r="K764" s="35"/>
      <c r="L764" s="35"/>
      <c r="M764" s="35"/>
      <c r="N764" s="35"/>
      <c r="O764" s="35"/>
      <c r="P764" s="35"/>
      <c r="Q764" s="35"/>
      <c r="R764" s="35"/>
      <c r="S764" s="35"/>
      <c r="T764" s="35"/>
      <c r="U764" s="35"/>
      <c r="V764" s="35"/>
      <c r="W764" s="35"/>
      <c r="X764" s="35"/>
      <c r="Y764" s="35"/>
      <c r="Z764" s="35"/>
      <c r="AA764" s="35"/>
    </row>
    <row r="765" ht="12.75" customHeight="1">
      <c r="A765" s="35"/>
      <c r="B765" s="35"/>
      <c r="C765" s="35"/>
      <c r="D765" s="35"/>
      <c r="E765" s="35"/>
      <c r="F765" s="35"/>
      <c r="G765" s="35"/>
      <c r="H765" s="35"/>
      <c r="I765" s="35"/>
      <c r="J765" s="35"/>
      <c r="K765" s="35"/>
      <c r="L765" s="35"/>
      <c r="M765" s="35"/>
      <c r="N765" s="35"/>
      <c r="O765" s="35"/>
      <c r="P765" s="35"/>
      <c r="Q765" s="35"/>
      <c r="R765" s="35"/>
      <c r="S765" s="35"/>
      <c r="T765" s="35"/>
      <c r="U765" s="35"/>
      <c r="V765" s="35"/>
      <c r="W765" s="35"/>
      <c r="X765" s="35"/>
      <c r="Y765" s="35"/>
      <c r="Z765" s="35"/>
      <c r="AA765" s="35"/>
    </row>
    <row r="766" ht="12.75" customHeight="1">
      <c r="A766" s="35"/>
      <c r="B766" s="35"/>
      <c r="C766" s="35"/>
      <c r="D766" s="35"/>
      <c r="E766" s="35"/>
      <c r="F766" s="35"/>
      <c r="G766" s="35"/>
      <c r="H766" s="35"/>
      <c r="I766" s="35"/>
      <c r="J766" s="35"/>
      <c r="K766" s="35"/>
      <c r="L766" s="35"/>
      <c r="M766" s="35"/>
      <c r="N766" s="35"/>
      <c r="O766" s="35"/>
      <c r="P766" s="35"/>
      <c r="Q766" s="35"/>
      <c r="R766" s="35"/>
      <c r="S766" s="35"/>
      <c r="T766" s="35"/>
      <c r="U766" s="35"/>
      <c r="V766" s="35"/>
      <c r="W766" s="35"/>
      <c r="X766" s="35"/>
      <c r="Y766" s="35"/>
      <c r="Z766" s="35"/>
      <c r="AA766" s="35"/>
    </row>
    <row r="767" ht="12.75" customHeight="1">
      <c r="A767" s="35"/>
      <c r="B767" s="35"/>
      <c r="C767" s="35"/>
      <c r="D767" s="35"/>
      <c r="E767" s="35"/>
      <c r="F767" s="35"/>
      <c r="G767" s="35"/>
      <c r="H767" s="35"/>
      <c r="I767" s="35"/>
      <c r="J767" s="35"/>
      <c r="K767" s="35"/>
      <c r="L767" s="35"/>
      <c r="M767" s="35"/>
      <c r="N767" s="35"/>
      <c r="O767" s="35"/>
      <c r="P767" s="35"/>
      <c r="Q767" s="35"/>
      <c r="R767" s="35"/>
      <c r="S767" s="35"/>
      <c r="T767" s="35"/>
      <c r="U767" s="35"/>
      <c r="V767" s="35"/>
      <c r="W767" s="35"/>
      <c r="X767" s="35"/>
      <c r="Y767" s="35"/>
      <c r="Z767" s="35"/>
      <c r="AA767" s="35"/>
    </row>
    <row r="768" ht="12.75" customHeight="1">
      <c r="A768" s="35"/>
      <c r="B768" s="35"/>
      <c r="C768" s="35"/>
      <c r="D768" s="35"/>
      <c r="E768" s="35"/>
      <c r="F768" s="35"/>
      <c r="G768" s="35"/>
      <c r="H768" s="35"/>
      <c r="I768" s="35"/>
      <c r="J768" s="35"/>
      <c r="K768" s="35"/>
      <c r="L768" s="35"/>
      <c r="M768" s="35"/>
      <c r="N768" s="35"/>
      <c r="O768" s="35"/>
      <c r="P768" s="35"/>
      <c r="Q768" s="35"/>
      <c r="R768" s="35"/>
      <c r="S768" s="35"/>
      <c r="T768" s="35"/>
      <c r="U768" s="35"/>
      <c r="V768" s="35"/>
      <c r="W768" s="35"/>
      <c r="X768" s="35"/>
      <c r="Y768" s="35"/>
      <c r="Z768" s="35"/>
      <c r="AA768" s="35"/>
    </row>
    <row r="769" ht="12.75" customHeight="1">
      <c r="A769" s="35"/>
      <c r="B769" s="35"/>
      <c r="C769" s="35"/>
      <c r="D769" s="35"/>
      <c r="E769" s="35"/>
      <c r="F769" s="35"/>
      <c r="G769" s="35"/>
      <c r="H769" s="35"/>
      <c r="I769" s="35"/>
      <c r="J769" s="35"/>
      <c r="K769" s="35"/>
      <c r="L769" s="35"/>
      <c r="M769" s="35"/>
      <c r="N769" s="35"/>
      <c r="O769" s="35"/>
      <c r="P769" s="35"/>
      <c r="Q769" s="35"/>
      <c r="R769" s="35"/>
      <c r="S769" s="35"/>
      <c r="T769" s="35"/>
      <c r="U769" s="35"/>
      <c r="V769" s="35"/>
      <c r="W769" s="35"/>
      <c r="X769" s="35"/>
      <c r="Y769" s="35"/>
      <c r="Z769" s="35"/>
      <c r="AA769" s="35"/>
    </row>
    <row r="770" ht="12.75" customHeight="1">
      <c r="A770" s="35"/>
      <c r="B770" s="35"/>
      <c r="C770" s="35"/>
      <c r="D770" s="35"/>
      <c r="E770" s="35"/>
      <c r="F770" s="35"/>
      <c r="G770" s="35"/>
      <c r="H770" s="35"/>
      <c r="I770" s="35"/>
      <c r="J770" s="35"/>
      <c r="K770" s="35"/>
      <c r="L770" s="35"/>
      <c r="M770" s="35"/>
      <c r="N770" s="35"/>
      <c r="O770" s="35"/>
      <c r="P770" s="35"/>
      <c r="Q770" s="35"/>
      <c r="R770" s="35"/>
      <c r="S770" s="35"/>
      <c r="T770" s="35"/>
      <c r="U770" s="35"/>
      <c r="V770" s="35"/>
      <c r="W770" s="35"/>
      <c r="X770" s="35"/>
      <c r="Y770" s="35"/>
      <c r="Z770" s="35"/>
      <c r="AA770" s="35"/>
    </row>
    <row r="771" ht="12.75" customHeight="1">
      <c r="A771" s="35"/>
      <c r="B771" s="35"/>
      <c r="C771" s="35"/>
      <c r="D771" s="35"/>
      <c r="E771" s="35"/>
      <c r="F771" s="35"/>
      <c r="G771" s="35"/>
      <c r="H771" s="35"/>
      <c r="I771" s="35"/>
      <c r="J771" s="35"/>
      <c r="K771" s="35"/>
      <c r="L771" s="35"/>
      <c r="M771" s="35"/>
      <c r="N771" s="35"/>
      <c r="O771" s="35"/>
      <c r="P771" s="35"/>
      <c r="Q771" s="35"/>
      <c r="R771" s="35"/>
      <c r="S771" s="35"/>
      <c r="T771" s="35"/>
      <c r="U771" s="35"/>
      <c r="V771" s="35"/>
      <c r="W771" s="35"/>
      <c r="X771" s="35"/>
      <c r="Y771" s="35"/>
      <c r="Z771" s="35"/>
      <c r="AA771" s="35"/>
    </row>
    <row r="772" ht="12.75" customHeight="1">
      <c r="A772" s="35"/>
      <c r="B772" s="35"/>
      <c r="C772" s="35"/>
      <c r="D772" s="35"/>
      <c r="E772" s="35"/>
      <c r="F772" s="35"/>
      <c r="G772" s="35"/>
      <c r="H772" s="35"/>
      <c r="I772" s="35"/>
      <c r="J772" s="35"/>
      <c r="K772" s="35"/>
      <c r="L772" s="35"/>
      <c r="M772" s="35"/>
      <c r="N772" s="35"/>
      <c r="O772" s="35"/>
      <c r="P772" s="35"/>
      <c r="Q772" s="35"/>
      <c r="R772" s="35"/>
      <c r="S772" s="35"/>
      <c r="T772" s="35"/>
      <c r="U772" s="35"/>
      <c r="V772" s="35"/>
      <c r="W772" s="35"/>
      <c r="X772" s="35"/>
      <c r="Y772" s="35"/>
      <c r="Z772" s="35"/>
      <c r="AA772" s="35"/>
    </row>
    <row r="773" ht="12.75" customHeight="1">
      <c r="A773" s="35"/>
      <c r="B773" s="35"/>
      <c r="C773" s="35"/>
      <c r="D773" s="35"/>
      <c r="E773" s="35"/>
      <c r="F773" s="35"/>
      <c r="G773" s="35"/>
      <c r="H773" s="35"/>
      <c r="I773" s="35"/>
      <c r="J773" s="35"/>
      <c r="K773" s="35"/>
      <c r="L773" s="35"/>
      <c r="M773" s="35"/>
      <c r="N773" s="35"/>
      <c r="O773" s="35"/>
      <c r="P773" s="35"/>
      <c r="Q773" s="35"/>
      <c r="R773" s="35"/>
      <c r="S773" s="35"/>
      <c r="T773" s="35"/>
      <c r="U773" s="35"/>
      <c r="V773" s="35"/>
      <c r="W773" s="35"/>
      <c r="X773" s="35"/>
      <c r="Y773" s="35"/>
      <c r="Z773" s="35"/>
      <c r="AA773" s="35"/>
    </row>
    <row r="774" ht="12.75" customHeight="1">
      <c r="A774" s="35"/>
      <c r="B774" s="35"/>
      <c r="C774" s="35"/>
      <c r="D774" s="35"/>
      <c r="E774" s="35"/>
      <c r="F774" s="35"/>
      <c r="G774" s="35"/>
      <c r="H774" s="35"/>
      <c r="I774" s="35"/>
      <c r="J774" s="35"/>
      <c r="K774" s="35"/>
      <c r="L774" s="35"/>
      <c r="M774" s="35"/>
      <c r="N774" s="35"/>
      <c r="O774" s="35"/>
      <c r="P774" s="35"/>
      <c r="Q774" s="35"/>
      <c r="R774" s="35"/>
      <c r="S774" s="35"/>
      <c r="T774" s="35"/>
      <c r="U774" s="35"/>
      <c r="V774" s="35"/>
      <c r="W774" s="35"/>
      <c r="X774" s="35"/>
      <c r="Y774" s="35"/>
      <c r="Z774" s="35"/>
      <c r="AA774" s="35"/>
    </row>
    <row r="775" ht="12.75" customHeight="1">
      <c r="A775" s="35"/>
      <c r="B775" s="35"/>
      <c r="C775" s="35"/>
      <c r="D775" s="35"/>
      <c r="E775" s="35"/>
      <c r="F775" s="35"/>
      <c r="G775" s="35"/>
      <c r="H775" s="35"/>
      <c r="I775" s="35"/>
      <c r="J775" s="35"/>
      <c r="K775" s="35"/>
      <c r="L775" s="35"/>
      <c r="M775" s="35"/>
      <c r="N775" s="35"/>
      <c r="O775" s="35"/>
      <c r="P775" s="35"/>
      <c r="Q775" s="35"/>
      <c r="R775" s="35"/>
      <c r="S775" s="35"/>
      <c r="T775" s="35"/>
      <c r="U775" s="35"/>
      <c r="V775" s="35"/>
      <c r="W775" s="35"/>
      <c r="X775" s="35"/>
      <c r="Y775" s="35"/>
      <c r="Z775" s="35"/>
      <c r="AA775" s="35"/>
    </row>
    <row r="776" ht="12.75" customHeight="1">
      <c r="A776" s="35"/>
      <c r="B776" s="35"/>
      <c r="C776" s="35"/>
      <c r="D776" s="35"/>
      <c r="E776" s="35"/>
      <c r="F776" s="35"/>
      <c r="G776" s="35"/>
      <c r="H776" s="35"/>
      <c r="I776" s="35"/>
      <c r="J776" s="35"/>
      <c r="K776" s="35"/>
      <c r="L776" s="35"/>
      <c r="M776" s="35"/>
      <c r="N776" s="35"/>
      <c r="O776" s="35"/>
      <c r="P776" s="35"/>
      <c r="Q776" s="35"/>
      <c r="R776" s="35"/>
      <c r="S776" s="35"/>
      <c r="T776" s="35"/>
      <c r="U776" s="35"/>
      <c r="V776" s="35"/>
      <c r="W776" s="35"/>
      <c r="X776" s="35"/>
      <c r="Y776" s="35"/>
      <c r="Z776" s="35"/>
      <c r="AA776" s="35"/>
    </row>
    <row r="777" ht="12.75" customHeight="1">
      <c r="A777" s="35"/>
      <c r="B777" s="35"/>
      <c r="C777" s="35"/>
      <c r="D777" s="35"/>
      <c r="E777" s="35"/>
      <c r="F777" s="35"/>
      <c r="G777" s="35"/>
      <c r="H777" s="35"/>
      <c r="I777" s="35"/>
      <c r="J777" s="35"/>
      <c r="K777" s="35"/>
      <c r="L777" s="35"/>
      <c r="M777" s="35"/>
      <c r="N777" s="35"/>
      <c r="O777" s="35"/>
      <c r="P777" s="35"/>
      <c r="Q777" s="35"/>
      <c r="R777" s="35"/>
      <c r="S777" s="35"/>
      <c r="T777" s="35"/>
      <c r="U777" s="35"/>
      <c r="V777" s="35"/>
      <c r="W777" s="35"/>
      <c r="X777" s="35"/>
      <c r="Y777" s="35"/>
      <c r="Z777" s="35"/>
      <c r="AA777" s="35"/>
    </row>
    <row r="778" ht="12.75" customHeight="1">
      <c r="A778" s="35"/>
      <c r="B778" s="35"/>
      <c r="C778" s="35"/>
      <c r="D778" s="35"/>
      <c r="E778" s="35"/>
      <c r="F778" s="35"/>
      <c r="G778" s="35"/>
      <c r="H778" s="35"/>
      <c r="I778" s="35"/>
      <c r="J778" s="35"/>
      <c r="K778" s="35"/>
      <c r="L778" s="35"/>
      <c r="M778" s="35"/>
      <c r="N778" s="35"/>
      <c r="O778" s="35"/>
      <c r="P778" s="35"/>
      <c r="Q778" s="35"/>
      <c r="R778" s="35"/>
      <c r="S778" s="35"/>
      <c r="T778" s="35"/>
      <c r="U778" s="35"/>
      <c r="V778" s="35"/>
      <c r="W778" s="35"/>
      <c r="X778" s="35"/>
      <c r="Y778" s="35"/>
      <c r="Z778" s="35"/>
      <c r="AA778" s="35"/>
    </row>
    <row r="779" ht="12.75" customHeight="1">
      <c r="A779" s="35"/>
      <c r="B779" s="35"/>
      <c r="C779" s="35"/>
      <c r="D779" s="35"/>
      <c r="E779" s="35"/>
      <c r="F779" s="35"/>
      <c r="G779" s="35"/>
      <c r="H779" s="35"/>
      <c r="I779" s="35"/>
      <c r="J779" s="35"/>
      <c r="K779" s="35"/>
      <c r="L779" s="35"/>
      <c r="M779" s="35"/>
      <c r="N779" s="35"/>
      <c r="O779" s="35"/>
      <c r="P779" s="35"/>
      <c r="Q779" s="35"/>
      <c r="R779" s="35"/>
      <c r="S779" s="35"/>
      <c r="T779" s="35"/>
      <c r="U779" s="35"/>
      <c r="V779" s="35"/>
      <c r="W779" s="35"/>
      <c r="X779" s="35"/>
      <c r="Y779" s="35"/>
      <c r="Z779" s="35"/>
      <c r="AA779" s="35"/>
    </row>
    <row r="780" ht="12.75" customHeight="1">
      <c r="A780" s="35"/>
      <c r="B780" s="35"/>
      <c r="C780" s="35"/>
      <c r="D780" s="35"/>
      <c r="E780" s="35"/>
      <c r="F780" s="35"/>
      <c r="G780" s="35"/>
      <c r="H780" s="35"/>
      <c r="I780" s="35"/>
      <c r="J780" s="35"/>
      <c r="K780" s="35"/>
      <c r="L780" s="35"/>
      <c r="M780" s="35"/>
      <c r="N780" s="35"/>
      <c r="O780" s="35"/>
      <c r="P780" s="35"/>
      <c r="Q780" s="35"/>
      <c r="R780" s="35"/>
      <c r="S780" s="35"/>
      <c r="T780" s="35"/>
      <c r="U780" s="35"/>
      <c r="V780" s="35"/>
      <c r="W780" s="35"/>
      <c r="X780" s="35"/>
      <c r="Y780" s="35"/>
      <c r="Z780" s="35"/>
      <c r="AA780" s="35"/>
    </row>
    <row r="781" ht="12.75" customHeight="1">
      <c r="A781" s="35"/>
      <c r="B781" s="35"/>
      <c r="C781" s="35"/>
      <c r="D781" s="35"/>
      <c r="E781" s="35"/>
      <c r="F781" s="35"/>
      <c r="G781" s="35"/>
      <c r="H781" s="35"/>
      <c r="I781" s="35"/>
      <c r="J781" s="35"/>
      <c r="K781" s="35"/>
      <c r="L781" s="35"/>
      <c r="M781" s="35"/>
      <c r="N781" s="35"/>
      <c r="O781" s="35"/>
      <c r="P781" s="35"/>
      <c r="Q781" s="35"/>
      <c r="R781" s="35"/>
      <c r="S781" s="35"/>
      <c r="T781" s="35"/>
      <c r="U781" s="35"/>
      <c r="V781" s="35"/>
      <c r="W781" s="35"/>
      <c r="X781" s="35"/>
      <c r="Y781" s="35"/>
      <c r="Z781" s="35"/>
      <c r="AA781" s="35"/>
    </row>
    <row r="782" ht="12.75" customHeight="1">
      <c r="A782" s="35"/>
      <c r="B782" s="35"/>
      <c r="C782" s="35"/>
      <c r="D782" s="35"/>
      <c r="E782" s="35"/>
      <c r="F782" s="35"/>
      <c r="G782" s="35"/>
      <c r="H782" s="35"/>
      <c r="I782" s="35"/>
      <c r="J782" s="35"/>
      <c r="K782" s="35"/>
      <c r="L782" s="35"/>
      <c r="M782" s="35"/>
      <c r="N782" s="35"/>
      <c r="O782" s="35"/>
      <c r="P782" s="35"/>
      <c r="Q782" s="35"/>
      <c r="R782" s="35"/>
      <c r="S782" s="35"/>
      <c r="T782" s="35"/>
      <c r="U782" s="35"/>
      <c r="V782" s="35"/>
      <c r="W782" s="35"/>
      <c r="X782" s="35"/>
      <c r="Y782" s="35"/>
      <c r="Z782" s="35"/>
      <c r="AA782" s="35"/>
    </row>
    <row r="783" ht="12.75" customHeight="1">
      <c r="A783" s="35"/>
      <c r="B783" s="35"/>
      <c r="C783" s="35"/>
      <c r="D783" s="35"/>
      <c r="E783" s="35"/>
      <c r="F783" s="35"/>
      <c r="G783" s="35"/>
      <c r="H783" s="35"/>
      <c r="I783" s="35"/>
      <c r="J783" s="35"/>
      <c r="K783" s="35"/>
      <c r="L783" s="35"/>
      <c r="M783" s="35"/>
      <c r="N783" s="35"/>
      <c r="O783" s="35"/>
      <c r="P783" s="35"/>
      <c r="Q783" s="35"/>
      <c r="R783" s="35"/>
      <c r="S783" s="35"/>
      <c r="T783" s="35"/>
      <c r="U783" s="35"/>
      <c r="V783" s="35"/>
      <c r="W783" s="35"/>
      <c r="X783" s="35"/>
      <c r="Y783" s="35"/>
      <c r="Z783" s="35"/>
      <c r="AA783" s="35"/>
    </row>
    <row r="784" ht="12.75" customHeight="1">
      <c r="A784" s="35"/>
      <c r="B784" s="35"/>
      <c r="C784" s="35"/>
      <c r="D784" s="35"/>
      <c r="E784" s="35"/>
      <c r="F784" s="35"/>
      <c r="G784" s="35"/>
      <c r="H784" s="35"/>
      <c r="I784" s="35"/>
      <c r="J784" s="35"/>
      <c r="K784" s="35"/>
      <c r="L784" s="35"/>
      <c r="M784" s="35"/>
      <c r="N784" s="35"/>
      <c r="O784" s="35"/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5"/>
      <c r="AA784" s="35"/>
    </row>
    <row r="785" ht="12.75" customHeight="1">
      <c r="A785" s="35"/>
      <c r="B785" s="35"/>
      <c r="C785" s="35"/>
      <c r="D785" s="35"/>
      <c r="E785" s="35"/>
      <c r="F785" s="35"/>
      <c r="G785" s="35"/>
      <c r="H785" s="35"/>
      <c r="I785" s="35"/>
      <c r="J785" s="35"/>
      <c r="K785" s="35"/>
      <c r="L785" s="35"/>
      <c r="M785" s="35"/>
      <c r="N785" s="35"/>
      <c r="O785" s="35"/>
      <c r="P785" s="35"/>
      <c r="Q785" s="35"/>
      <c r="R785" s="35"/>
      <c r="S785" s="35"/>
      <c r="T785" s="35"/>
      <c r="U785" s="35"/>
      <c r="V785" s="35"/>
      <c r="W785" s="35"/>
      <c r="X785" s="35"/>
      <c r="Y785" s="35"/>
      <c r="Z785" s="35"/>
      <c r="AA785" s="35"/>
    </row>
    <row r="786" ht="12.75" customHeight="1">
      <c r="A786" s="35"/>
      <c r="B786" s="35"/>
      <c r="C786" s="35"/>
      <c r="D786" s="35"/>
      <c r="E786" s="35"/>
      <c r="F786" s="35"/>
      <c r="G786" s="35"/>
      <c r="H786" s="35"/>
      <c r="I786" s="35"/>
      <c r="J786" s="35"/>
      <c r="K786" s="35"/>
      <c r="L786" s="35"/>
      <c r="M786" s="35"/>
      <c r="N786" s="35"/>
      <c r="O786" s="35"/>
      <c r="P786" s="35"/>
      <c r="Q786" s="35"/>
      <c r="R786" s="35"/>
      <c r="S786" s="35"/>
      <c r="T786" s="35"/>
      <c r="U786" s="35"/>
      <c r="V786" s="35"/>
      <c r="W786" s="35"/>
      <c r="X786" s="35"/>
      <c r="Y786" s="35"/>
      <c r="Z786" s="35"/>
      <c r="AA786" s="35"/>
    </row>
    <row r="787" ht="12.75" customHeight="1">
      <c r="A787" s="35"/>
      <c r="B787" s="35"/>
      <c r="C787" s="35"/>
      <c r="D787" s="35"/>
      <c r="E787" s="35"/>
      <c r="F787" s="35"/>
      <c r="G787" s="35"/>
      <c r="H787" s="35"/>
      <c r="I787" s="35"/>
      <c r="J787" s="35"/>
      <c r="K787" s="35"/>
      <c r="L787" s="35"/>
      <c r="M787" s="35"/>
      <c r="N787" s="35"/>
      <c r="O787" s="35"/>
      <c r="P787" s="35"/>
      <c r="Q787" s="35"/>
      <c r="R787" s="35"/>
      <c r="S787" s="35"/>
      <c r="T787" s="35"/>
      <c r="U787" s="35"/>
      <c r="V787" s="35"/>
      <c r="W787" s="35"/>
      <c r="X787" s="35"/>
      <c r="Y787" s="35"/>
      <c r="Z787" s="35"/>
      <c r="AA787" s="35"/>
    </row>
    <row r="788" ht="12.75" customHeight="1">
      <c r="A788" s="35"/>
      <c r="B788" s="35"/>
      <c r="C788" s="35"/>
      <c r="D788" s="35"/>
      <c r="E788" s="35"/>
      <c r="F788" s="35"/>
      <c r="G788" s="35"/>
      <c r="H788" s="35"/>
      <c r="I788" s="35"/>
      <c r="J788" s="35"/>
      <c r="K788" s="35"/>
      <c r="L788" s="35"/>
      <c r="M788" s="35"/>
      <c r="N788" s="35"/>
      <c r="O788" s="35"/>
      <c r="P788" s="35"/>
      <c r="Q788" s="35"/>
      <c r="R788" s="35"/>
      <c r="S788" s="35"/>
      <c r="T788" s="35"/>
      <c r="U788" s="35"/>
      <c r="V788" s="35"/>
      <c r="W788" s="35"/>
      <c r="X788" s="35"/>
      <c r="Y788" s="35"/>
      <c r="Z788" s="35"/>
      <c r="AA788" s="35"/>
    </row>
    <row r="789" ht="12.75" customHeight="1">
      <c r="A789" s="35"/>
      <c r="B789" s="35"/>
      <c r="C789" s="35"/>
      <c r="D789" s="35"/>
      <c r="E789" s="35"/>
      <c r="F789" s="35"/>
      <c r="G789" s="35"/>
      <c r="H789" s="35"/>
      <c r="I789" s="35"/>
      <c r="J789" s="35"/>
      <c r="K789" s="35"/>
      <c r="L789" s="35"/>
      <c r="M789" s="35"/>
      <c r="N789" s="35"/>
      <c r="O789" s="35"/>
      <c r="P789" s="35"/>
      <c r="Q789" s="35"/>
      <c r="R789" s="35"/>
      <c r="S789" s="35"/>
      <c r="T789" s="35"/>
      <c r="U789" s="35"/>
      <c r="V789" s="35"/>
      <c r="W789" s="35"/>
      <c r="X789" s="35"/>
      <c r="Y789" s="35"/>
      <c r="Z789" s="35"/>
      <c r="AA789" s="35"/>
    </row>
    <row r="790" ht="12.75" customHeight="1">
      <c r="A790" s="35"/>
      <c r="B790" s="35"/>
      <c r="C790" s="35"/>
      <c r="D790" s="35"/>
      <c r="E790" s="35"/>
      <c r="F790" s="35"/>
      <c r="G790" s="35"/>
      <c r="H790" s="35"/>
      <c r="I790" s="35"/>
      <c r="J790" s="35"/>
      <c r="K790" s="35"/>
      <c r="L790" s="35"/>
      <c r="M790" s="35"/>
      <c r="N790" s="35"/>
      <c r="O790" s="35"/>
      <c r="P790" s="35"/>
      <c r="Q790" s="35"/>
      <c r="R790" s="35"/>
      <c r="S790" s="35"/>
      <c r="T790" s="35"/>
      <c r="U790" s="35"/>
      <c r="V790" s="35"/>
      <c r="W790" s="35"/>
      <c r="X790" s="35"/>
      <c r="Y790" s="35"/>
      <c r="Z790" s="35"/>
      <c r="AA790" s="35"/>
    </row>
    <row r="791" ht="12.75" customHeight="1">
      <c r="A791" s="35"/>
      <c r="B791" s="35"/>
      <c r="C791" s="35"/>
      <c r="D791" s="35"/>
      <c r="E791" s="35"/>
      <c r="F791" s="35"/>
      <c r="G791" s="35"/>
      <c r="H791" s="35"/>
      <c r="I791" s="35"/>
      <c r="J791" s="35"/>
      <c r="K791" s="35"/>
      <c r="L791" s="35"/>
      <c r="M791" s="35"/>
      <c r="N791" s="35"/>
      <c r="O791" s="35"/>
      <c r="P791" s="35"/>
      <c r="Q791" s="35"/>
      <c r="R791" s="35"/>
      <c r="S791" s="35"/>
      <c r="T791" s="35"/>
      <c r="U791" s="35"/>
      <c r="V791" s="35"/>
      <c r="W791" s="35"/>
      <c r="X791" s="35"/>
      <c r="Y791" s="35"/>
      <c r="Z791" s="35"/>
      <c r="AA791" s="35"/>
    </row>
    <row r="792" ht="12.75" customHeight="1">
      <c r="A792" s="35"/>
      <c r="B792" s="35"/>
      <c r="C792" s="35"/>
      <c r="D792" s="35"/>
      <c r="E792" s="35"/>
      <c r="F792" s="35"/>
      <c r="G792" s="35"/>
      <c r="H792" s="35"/>
      <c r="I792" s="35"/>
      <c r="J792" s="35"/>
      <c r="K792" s="35"/>
      <c r="L792" s="35"/>
      <c r="M792" s="35"/>
      <c r="N792" s="35"/>
      <c r="O792" s="35"/>
      <c r="P792" s="35"/>
      <c r="Q792" s="35"/>
      <c r="R792" s="35"/>
      <c r="S792" s="35"/>
      <c r="T792" s="35"/>
      <c r="U792" s="35"/>
      <c r="V792" s="35"/>
      <c r="W792" s="35"/>
      <c r="X792" s="35"/>
      <c r="Y792" s="35"/>
      <c r="Z792" s="35"/>
      <c r="AA792" s="35"/>
    </row>
    <row r="793" ht="12.75" customHeight="1">
      <c r="A793" s="35"/>
      <c r="B793" s="35"/>
      <c r="C793" s="35"/>
      <c r="D793" s="35"/>
      <c r="E793" s="35"/>
      <c r="F793" s="35"/>
      <c r="G793" s="35"/>
      <c r="H793" s="35"/>
      <c r="I793" s="35"/>
      <c r="J793" s="35"/>
      <c r="K793" s="35"/>
      <c r="L793" s="35"/>
      <c r="M793" s="35"/>
      <c r="N793" s="35"/>
      <c r="O793" s="35"/>
      <c r="P793" s="35"/>
      <c r="Q793" s="35"/>
      <c r="R793" s="35"/>
      <c r="S793" s="35"/>
      <c r="T793" s="35"/>
      <c r="U793" s="35"/>
      <c r="V793" s="35"/>
      <c r="W793" s="35"/>
      <c r="X793" s="35"/>
      <c r="Y793" s="35"/>
      <c r="Z793" s="35"/>
      <c r="AA793" s="35"/>
    </row>
    <row r="794" ht="12.75" customHeight="1">
      <c r="A794" s="35"/>
      <c r="B794" s="35"/>
      <c r="C794" s="35"/>
      <c r="D794" s="35"/>
      <c r="E794" s="35"/>
      <c r="F794" s="35"/>
      <c r="G794" s="35"/>
      <c r="H794" s="35"/>
      <c r="I794" s="35"/>
      <c r="J794" s="35"/>
      <c r="K794" s="35"/>
      <c r="L794" s="35"/>
      <c r="M794" s="35"/>
      <c r="N794" s="35"/>
      <c r="O794" s="35"/>
      <c r="P794" s="35"/>
      <c r="Q794" s="35"/>
      <c r="R794" s="35"/>
      <c r="S794" s="35"/>
      <c r="T794" s="35"/>
      <c r="U794" s="35"/>
      <c r="V794" s="35"/>
      <c r="W794" s="35"/>
      <c r="X794" s="35"/>
      <c r="Y794" s="35"/>
      <c r="Z794" s="35"/>
      <c r="AA794" s="35"/>
    </row>
    <row r="795" ht="12.75" customHeight="1">
      <c r="A795" s="35"/>
      <c r="B795" s="35"/>
      <c r="C795" s="35"/>
      <c r="D795" s="35"/>
      <c r="E795" s="35"/>
      <c r="F795" s="35"/>
      <c r="G795" s="35"/>
      <c r="H795" s="35"/>
      <c r="I795" s="35"/>
      <c r="J795" s="35"/>
      <c r="K795" s="35"/>
      <c r="L795" s="35"/>
      <c r="M795" s="35"/>
      <c r="N795" s="35"/>
      <c r="O795" s="35"/>
      <c r="P795" s="35"/>
      <c r="Q795" s="35"/>
      <c r="R795" s="35"/>
      <c r="S795" s="35"/>
      <c r="T795" s="35"/>
      <c r="U795" s="35"/>
      <c r="V795" s="35"/>
      <c r="W795" s="35"/>
      <c r="X795" s="35"/>
      <c r="Y795" s="35"/>
      <c r="Z795" s="35"/>
      <c r="AA795" s="35"/>
    </row>
    <row r="796" ht="12.75" customHeight="1">
      <c r="A796" s="35"/>
      <c r="B796" s="35"/>
      <c r="C796" s="35"/>
      <c r="D796" s="35"/>
      <c r="E796" s="35"/>
      <c r="F796" s="35"/>
      <c r="G796" s="35"/>
      <c r="H796" s="35"/>
      <c r="I796" s="35"/>
      <c r="J796" s="35"/>
      <c r="K796" s="35"/>
      <c r="L796" s="35"/>
      <c r="M796" s="35"/>
      <c r="N796" s="35"/>
      <c r="O796" s="35"/>
      <c r="P796" s="35"/>
      <c r="Q796" s="35"/>
      <c r="R796" s="35"/>
      <c r="S796" s="35"/>
      <c r="T796" s="35"/>
      <c r="U796" s="35"/>
      <c r="V796" s="35"/>
      <c r="W796" s="35"/>
      <c r="X796" s="35"/>
      <c r="Y796" s="35"/>
      <c r="Z796" s="35"/>
      <c r="AA796" s="35"/>
    </row>
    <row r="797" ht="12.75" customHeight="1">
      <c r="A797" s="35"/>
      <c r="B797" s="35"/>
      <c r="C797" s="35"/>
      <c r="D797" s="35"/>
      <c r="E797" s="35"/>
      <c r="F797" s="35"/>
      <c r="G797" s="35"/>
      <c r="H797" s="35"/>
      <c r="I797" s="35"/>
      <c r="J797" s="35"/>
      <c r="K797" s="35"/>
      <c r="L797" s="35"/>
      <c r="M797" s="35"/>
      <c r="N797" s="35"/>
      <c r="O797" s="35"/>
      <c r="P797" s="35"/>
      <c r="Q797" s="35"/>
      <c r="R797" s="35"/>
      <c r="S797" s="35"/>
      <c r="T797" s="35"/>
      <c r="U797" s="35"/>
      <c r="V797" s="35"/>
      <c r="W797" s="35"/>
      <c r="X797" s="35"/>
      <c r="Y797" s="35"/>
      <c r="Z797" s="35"/>
      <c r="AA797" s="35"/>
    </row>
    <row r="798" ht="12.75" customHeight="1">
      <c r="A798" s="35"/>
      <c r="B798" s="35"/>
      <c r="C798" s="35"/>
      <c r="D798" s="35"/>
      <c r="E798" s="35"/>
      <c r="F798" s="35"/>
      <c r="G798" s="35"/>
      <c r="H798" s="35"/>
      <c r="I798" s="35"/>
      <c r="J798" s="35"/>
      <c r="K798" s="35"/>
      <c r="L798" s="35"/>
      <c r="M798" s="35"/>
      <c r="N798" s="35"/>
      <c r="O798" s="35"/>
      <c r="P798" s="35"/>
      <c r="Q798" s="35"/>
      <c r="R798" s="35"/>
      <c r="S798" s="35"/>
      <c r="T798" s="35"/>
      <c r="U798" s="35"/>
      <c r="V798" s="35"/>
      <c r="W798" s="35"/>
      <c r="X798" s="35"/>
      <c r="Y798" s="35"/>
      <c r="Z798" s="35"/>
      <c r="AA798" s="35"/>
    </row>
    <row r="799" ht="12.75" customHeight="1">
      <c r="A799" s="35"/>
      <c r="B799" s="35"/>
      <c r="C799" s="35"/>
      <c r="D799" s="35"/>
      <c r="E799" s="35"/>
      <c r="F799" s="35"/>
      <c r="G799" s="35"/>
      <c r="H799" s="35"/>
      <c r="I799" s="35"/>
      <c r="J799" s="35"/>
      <c r="K799" s="35"/>
      <c r="L799" s="35"/>
      <c r="M799" s="35"/>
      <c r="N799" s="35"/>
      <c r="O799" s="35"/>
      <c r="P799" s="35"/>
      <c r="Q799" s="35"/>
      <c r="R799" s="35"/>
      <c r="S799" s="35"/>
      <c r="T799" s="35"/>
      <c r="U799" s="35"/>
      <c r="V799" s="35"/>
      <c r="W799" s="35"/>
      <c r="X799" s="35"/>
      <c r="Y799" s="35"/>
      <c r="Z799" s="35"/>
      <c r="AA799" s="35"/>
    </row>
    <row r="800" ht="12.75" customHeight="1">
      <c r="A800" s="35"/>
      <c r="B800" s="35"/>
      <c r="C800" s="35"/>
      <c r="D800" s="35"/>
      <c r="E800" s="35"/>
      <c r="F800" s="35"/>
      <c r="G800" s="35"/>
      <c r="H800" s="35"/>
      <c r="I800" s="35"/>
      <c r="J800" s="35"/>
      <c r="K800" s="35"/>
      <c r="L800" s="35"/>
      <c r="M800" s="35"/>
      <c r="N800" s="35"/>
      <c r="O800" s="35"/>
      <c r="P800" s="35"/>
      <c r="Q800" s="35"/>
      <c r="R800" s="35"/>
      <c r="S800" s="35"/>
      <c r="T800" s="35"/>
      <c r="U800" s="35"/>
      <c r="V800" s="35"/>
      <c r="W800" s="35"/>
      <c r="X800" s="35"/>
      <c r="Y800" s="35"/>
      <c r="Z800" s="35"/>
      <c r="AA800" s="35"/>
    </row>
    <row r="801" ht="12.75" customHeight="1">
      <c r="A801" s="35"/>
      <c r="B801" s="35"/>
      <c r="C801" s="35"/>
      <c r="D801" s="35"/>
      <c r="E801" s="35"/>
      <c r="F801" s="35"/>
      <c r="G801" s="35"/>
      <c r="H801" s="35"/>
      <c r="I801" s="35"/>
      <c r="J801" s="35"/>
      <c r="K801" s="35"/>
      <c r="L801" s="35"/>
      <c r="M801" s="35"/>
      <c r="N801" s="35"/>
      <c r="O801" s="35"/>
      <c r="P801" s="35"/>
      <c r="Q801" s="35"/>
      <c r="R801" s="35"/>
      <c r="S801" s="35"/>
      <c r="T801" s="35"/>
      <c r="U801" s="35"/>
      <c r="V801" s="35"/>
      <c r="W801" s="35"/>
      <c r="X801" s="35"/>
      <c r="Y801" s="35"/>
      <c r="Z801" s="35"/>
      <c r="AA801" s="35"/>
    </row>
    <row r="802" ht="12.75" customHeight="1">
      <c r="A802" s="35"/>
      <c r="B802" s="35"/>
      <c r="C802" s="35"/>
      <c r="D802" s="35"/>
      <c r="E802" s="35"/>
      <c r="F802" s="35"/>
      <c r="G802" s="35"/>
      <c r="H802" s="35"/>
      <c r="I802" s="35"/>
      <c r="J802" s="35"/>
      <c r="K802" s="35"/>
      <c r="L802" s="35"/>
      <c r="M802" s="35"/>
      <c r="N802" s="35"/>
      <c r="O802" s="35"/>
      <c r="P802" s="35"/>
      <c r="Q802" s="35"/>
      <c r="R802" s="35"/>
      <c r="S802" s="35"/>
      <c r="T802" s="35"/>
      <c r="U802" s="35"/>
      <c r="V802" s="35"/>
      <c r="W802" s="35"/>
      <c r="X802" s="35"/>
      <c r="Y802" s="35"/>
      <c r="Z802" s="35"/>
      <c r="AA802" s="35"/>
    </row>
    <row r="803" ht="12.75" customHeight="1">
      <c r="A803" s="35"/>
      <c r="B803" s="35"/>
      <c r="C803" s="35"/>
      <c r="D803" s="35"/>
      <c r="E803" s="35"/>
      <c r="F803" s="35"/>
      <c r="G803" s="35"/>
      <c r="H803" s="35"/>
      <c r="I803" s="35"/>
      <c r="J803" s="35"/>
      <c r="K803" s="35"/>
      <c r="L803" s="35"/>
      <c r="M803" s="35"/>
      <c r="N803" s="35"/>
      <c r="O803" s="35"/>
      <c r="P803" s="35"/>
      <c r="Q803" s="35"/>
      <c r="R803" s="35"/>
      <c r="S803" s="35"/>
      <c r="T803" s="35"/>
      <c r="U803" s="35"/>
      <c r="V803" s="35"/>
      <c r="W803" s="35"/>
      <c r="X803" s="35"/>
      <c r="Y803" s="35"/>
      <c r="Z803" s="35"/>
      <c r="AA803" s="35"/>
    </row>
    <row r="804" ht="12.75" customHeight="1">
      <c r="A804" s="35"/>
      <c r="B804" s="35"/>
      <c r="C804" s="35"/>
      <c r="D804" s="35"/>
      <c r="E804" s="35"/>
      <c r="F804" s="35"/>
      <c r="G804" s="35"/>
      <c r="H804" s="35"/>
      <c r="I804" s="35"/>
      <c r="J804" s="35"/>
      <c r="K804" s="35"/>
      <c r="L804" s="35"/>
      <c r="M804" s="35"/>
      <c r="N804" s="35"/>
      <c r="O804" s="35"/>
      <c r="P804" s="35"/>
      <c r="Q804" s="35"/>
      <c r="R804" s="35"/>
      <c r="S804" s="35"/>
      <c r="T804" s="35"/>
      <c r="U804" s="35"/>
      <c r="V804" s="35"/>
      <c r="W804" s="35"/>
      <c r="X804" s="35"/>
      <c r="Y804" s="35"/>
      <c r="Z804" s="35"/>
      <c r="AA804" s="35"/>
    </row>
    <row r="805" ht="12.75" customHeight="1">
      <c r="A805" s="35"/>
      <c r="B805" s="35"/>
      <c r="C805" s="35"/>
      <c r="D805" s="35"/>
      <c r="E805" s="35"/>
      <c r="F805" s="35"/>
      <c r="G805" s="35"/>
      <c r="H805" s="35"/>
      <c r="I805" s="35"/>
      <c r="J805" s="35"/>
      <c r="K805" s="35"/>
      <c r="L805" s="35"/>
      <c r="M805" s="35"/>
      <c r="N805" s="35"/>
      <c r="O805" s="35"/>
      <c r="P805" s="35"/>
      <c r="Q805" s="35"/>
      <c r="R805" s="35"/>
      <c r="S805" s="35"/>
      <c r="T805" s="35"/>
      <c r="U805" s="35"/>
      <c r="V805" s="35"/>
      <c r="W805" s="35"/>
      <c r="X805" s="35"/>
      <c r="Y805" s="35"/>
      <c r="Z805" s="35"/>
      <c r="AA805" s="35"/>
    </row>
    <row r="806" ht="12.75" customHeight="1">
      <c r="A806" s="35"/>
      <c r="B806" s="35"/>
      <c r="C806" s="35"/>
      <c r="D806" s="35"/>
      <c r="E806" s="35"/>
      <c r="F806" s="35"/>
      <c r="G806" s="35"/>
      <c r="H806" s="35"/>
      <c r="I806" s="35"/>
      <c r="J806" s="35"/>
      <c r="K806" s="35"/>
      <c r="L806" s="35"/>
      <c r="M806" s="35"/>
      <c r="N806" s="35"/>
      <c r="O806" s="35"/>
      <c r="P806" s="35"/>
      <c r="Q806" s="35"/>
      <c r="R806" s="35"/>
      <c r="S806" s="35"/>
      <c r="T806" s="35"/>
      <c r="U806" s="35"/>
      <c r="V806" s="35"/>
      <c r="W806" s="35"/>
      <c r="X806" s="35"/>
      <c r="Y806" s="35"/>
      <c r="Z806" s="35"/>
      <c r="AA806" s="35"/>
    </row>
    <row r="807" ht="12.75" customHeight="1">
      <c r="A807" s="35"/>
      <c r="B807" s="35"/>
      <c r="C807" s="35"/>
      <c r="D807" s="35"/>
      <c r="E807" s="35"/>
      <c r="F807" s="35"/>
      <c r="G807" s="35"/>
      <c r="H807" s="35"/>
      <c r="I807" s="35"/>
      <c r="J807" s="35"/>
      <c r="K807" s="35"/>
      <c r="L807" s="35"/>
      <c r="M807" s="35"/>
      <c r="N807" s="35"/>
      <c r="O807" s="35"/>
      <c r="P807" s="35"/>
      <c r="Q807" s="35"/>
      <c r="R807" s="35"/>
      <c r="S807" s="35"/>
      <c r="T807" s="35"/>
      <c r="U807" s="35"/>
      <c r="V807" s="35"/>
      <c r="W807" s="35"/>
      <c r="X807" s="35"/>
      <c r="Y807" s="35"/>
      <c r="Z807" s="35"/>
      <c r="AA807" s="35"/>
    </row>
    <row r="808" ht="12.75" customHeight="1">
      <c r="A808" s="35"/>
      <c r="B808" s="35"/>
      <c r="C808" s="35"/>
      <c r="D808" s="35"/>
      <c r="E808" s="35"/>
      <c r="F808" s="35"/>
      <c r="G808" s="35"/>
      <c r="H808" s="35"/>
      <c r="I808" s="35"/>
      <c r="J808" s="35"/>
      <c r="K808" s="35"/>
      <c r="L808" s="35"/>
      <c r="M808" s="35"/>
      <c r="N808" s="35"/>
      <c r="O808" s="35"/>
      <c r="P808" s="35"/>
      <c r="Q808" s="35"/>
      <c r="R808" s="35"/>
      <c r="S808" s="35"/>
      <c r="T808" s="35"/>
      <c r="U808" s="35"/>
      <c r="V808" s="35"/>
      <c r="W808" s="35"/>
      <c r="X808" s="35"/>
      <c r="Y808" s="35"/>
      <c r="Z808" s="35"/>
      <c r="AA808" s="35"/>
    </row>
    <row r="809" ht="12.75" customHeight="1">
      <c r="A809" s="35"/>
      <c r="B809" s="35"/>
      <c r="C809" s="35"/>
      <c r="D809" s="35"/>
      <c r="E809" s="35"/>
      <c r="F809" s="35"/>
      <c r="G809" s="35"/>
      <c r="H809" s="35"/>
      <c r="I809" s="35"/>
      <c r="J809" s="35"/>
      <c r="K809" s="35"/>
      <c r="L809" s="35"/>
      <c r="M809" s="35"/>
      <c r="N809" s="35"/>
      <c r="O809" s="35"/>
      <c r="P809" s="35"/>
      <c r="Q809" s="35"/>
      <c r="R809" s="35"/>
      <c r="S809" s="35"/>
      <c r="T809" s="35"/>
      <c r="U809" s="35"/>
      <c r="V809" s="35"/>
      <c r="W809" s="35"/>
      <c r="X809" s="35"/>
      <c r="Y809" s="35"/>
      <c r="Z809" s="35"/>
      <c r="AA809" s="35"/>
    </row>
    <row r="810" ht="12.75" customHeight="1">
      <c r="A810" s="35"/>
      <c r="B810" s="35"/>
      <c r="C810" s="35"/>
      <c r="D810" s="35"/>
      <c r="E810" s="35"/>
      <c r="F810" s="35"/>
      <c r="G810" s="35"/>
      <c r="H810" s="35"/>
      <c r="I810" s="35"/>
      <c r="J810" s="35"/>
      <c r="K810" s="35"/>
      <c r="L810" s="35"/>
      <c r="M810" s="35"/>
      <c r="N810" s="35"/>
      <c r="O810" s="35"/>
      <c r="P810" s="35"/>
      <c r="Q810" s="35"/>
      <c r="R810" s="35"/>
      <c r="S810" s="35"/>
      <c r="T810" s="35"/>
      <c r="U810" s="35"/>
      <c r="V810" s="35"/>
      <c r="W810" s="35"/>
      <c r="X810" s="35"/>
      <c r="Y810" s="35"/>
      <c r="Z810" s="35"/>
      <c r="AA810" s="35"/>
    </row>
    <row r="811" ht="12.75" customHeight="1">
      <c r="A811" s="35"/>
      <c r="B811" s="35"/>
      <c r="C811" s="35"/>
      <c r="D811" s="35"/>
      <c r="E811" s="35"/>
      <c r="F811" s="35"/>
      <c r="G811" s="35"/>
      <c r="H811" s="35"/>
      <c r="I811" s="35"/>
      <c r="J811" s="35"/>
      <c r="K811" s="35"/>
      <c r="L811" s="35"/>
      <c r="M811" s="35"/>
      <c r="N811" s="35"/>
      <c r="O811" s="35"/>
      <c r="P811" s="35"/>
      <c r="Q811" s="35"/>
      <c r="R811" s="35"/>
      <c r="S811" s="35"/>
      <c r="T811" s="35"/>
      <c r="U811" s="35"/>
      <c r="V811" s="35"/>
      <c r="W811" s="35"/>
      <c r="X811" s="35"/>
      <c r="Y811" s="35"/>
      <c r="Z811" s="35"/>
      <c r="AA811" s="35"/>
    </row>
    <row r="812" ht="12.75" customHeight="1">
      <c r="A812" s="35"/>
      <c r="B812" s="35"/>
      <c r="C812" s="35"/>
      <c r="D812" s="35"/>
      <c r="E812" s="35"/>
      <c r="F812" s="35"/>
      <c r="G812" s="35"/>
      <c r="H812" s="35"/>
      <c r="I812" s="35"/>
      <c r="J812" s="35"/>
      <c r="K812" s="35"/>
      <c r="L812" s="35"/>
      <c r="M812" s="35"/>
      <c r="N812" s="35"/>
      <c r="O812" s="35"/>
      <c r="P812" s="35"/>
      <c r="Q812" s="35"/>
      <c r="R812" s="35"/>
      <c r="S812" s="35"/>
      <c r="T812" s="35"/>
      <c r="U812" s="35"/>
      <c r="V812" s="35"/>
      <c r="W812" s="35"/>
      <c r="X812" s="35"/>
      <c r="Y812" s="35"/>
      <c r="Z812" s="35"/>
      <c r="AA812" s="35"/>
    </row>
    <row r="813" ht="12.75" customHeight="1">
      <c r="A813" s="35"/>
      <c r="B813" s="35"/>
      <c r="C813" s="35"/>
      <c r="D813" s="35"/>
      <c r="E813" s="35"/>
      <c r="F813" s="35"/>
      <c r="G813" s="35"/>
      <c r="H813" s="35"/>
      <c r="I813" s="35"/>
      <c r="J813" s="35"/>
      <c r="K813" s="35"/>
      <c r="L813" s="35"/>
      <c r="M813" s="35"/>
      <c r="N813" s="35"/>
      <c r="O813" s="35"/>
      <c r="P813" s="35"/>
      <c r="Q813" s="35"/>
      <c r="R813" s="35"/>
      <c r="S813" s="35"/>
      <c r="T813" s="35"/>
      <c r="U813" s="35"/>
      <c r="V813" s="35"/>
      <c r="W813" s="35"/>
      <c r="X813" s="35"/>
      <c r="Y813" s="35"/>
      <c r="Z813" s="35"/>
      <c r="AA813" s="35"/>
    </row>
    <row r="814" ht="12.75" customHeight="1">
      <c r="A814" s="35"/>
      <c r="B814" s="35"/>
      <c r="C814" s="35"/>
      <c r="D814" s="35"/>
      <c r="E814" s="35"/>
      <c r="F814" s="35"/>
      <c r="G814" s="35"/>
      <c r="H814" s="35"/>
      <c r="I814" s="35"/>
      <c r="J814" s="35"/>
      <c r="K814" s="35"/>
      <c r="L814" s="35"/>
      <c r="M814" s="35"/>
      <c r="N814" s="35"/>
      <c r="O814" s="35"/>
      <c r="P814" s="35"/>
      <c r="Q814" s="35"/>
      <c r="R814" s="35"/>
      <c r="S814" s="35"/>
      <c r="T814" s="35"/>
      <c r="U814" s="35"/>
      <c r="V814" s="35"/>
      <c r="W814" s="35"/>
      <c r="X814" s="35"/>
      <c r="Y814" s="35"/>
      <c r="Z814" s="35"/>
      <c r="AA814" s="35"/>
    </row>
    <row r="815" ht="12.75" customHeight="1">
      <c r="A815" s="35"/>
      <c r="B815" s="35"/>
      <c r="C815" s="35"/>
      <c r="D815" s="35"/>
      <c r="E815" s="35"/>
      <c r="F815" s="35"/>
      <c r="G815" s="35"/>
      <c r="H815" s="35"/>
      <c r="I815" s="35"/>
      <c r="J815" s="35"/>
      <c r="K815" s="35"/>
      <c r="L815" s="35"/>
      <c r="M815" s="35"/>
      <c r="N815" s="35"/>
      <c r="O815" s="35"/>
      <c r="P815" s="35"/>
      <c r="Q815" s="35"/>
      <c r="R815" s="35"/>
      <c r="S815" s="35"/>
      <c r="T815" s="35"/>
      <c r="U815" s="35"/>
      <c r="V815" s="35"/>
      <c r="W815" s="35"/>
      <c r="X815" s="35"/>
      <c r="Y815" s="35"/>
      <c r="Z815" s="35"/>
      <c r="AA815" s="35"/>
    </row>
    <row r="816" ht="12.75" customHeight="1">
      <c r="A816" s="35"/>
      <c r="B816" s="35"/>
      <c r="C816" s="35"/>
      <c r="D816" s="35"/>
      <c r="E816" s="35"/>
      <c r="F816" s="35"/>
      <c r="G816" s="35"/>
      <c r="H816" s="35"/>
      <c r="I816" s="35"/>
      <c r="J816" s="35"/>
      <c r="K816" s="35"/>
      <c r="L816" s="35"/>
      <c r="M816" s="35"/>
      <c r="N816" s="35"/>
      <c r="O816" s="35"/>
      <c r="P816" s="35"/>
      <c r="Q816" s="35"/>
      <c r="R816" s="35"/>
      <c r="S816" s="35"/>
      <c r="T816" s="35"/>
      <c r="U816" s="35"/>
      <c r="V816" s="35"/>
      <c r="W816" s="35"/>
      <c r="X816" s="35"/>
      <c r="Y816" s="35"/>
      <c r="Z816" s="35"/>
      <c r="AA816" s="35"/>
    </row>
    <row r="817" ht="12.75" customHeight="1">
      <c r="A817" s="35"/>
      <c r="B817" s="35"/>
      <c r="C817" s="35"/>
      <c r="D817" s="35"/>
      <c r="E817" s="35"/>
      <c r="F817" s="35"/>
      <c r="G817" s="35"/>
      <c r="H817" s="35"/>
      <c r="I817" s="35"/>
      <c r="J817" s="35"/>
      <c r="K817" s="35"/>
      <c r="L817" s="35"/>
      <c r="M817" s="35"/>
      <c r="N817" s="35"/>
      <c r="O817" s="35"/>
      <c r="P817" s="35"/>
      <c r="Q817" s="35"/>
      <c r="R817" s="35"/>
      <c r="S817" s="35"/>
      <c r="T817" s="35"/>
      <c r="U817" s="35"/>
      <c r="V817" s="35"/>
      <c r="W817" s="35"/>
      <c r="X817" s="35"/>
      <c r="Y817" s="35"/>
      <c r="Z817" s="35"/>
      <c r="AA817" s="35"/>
    </row>
    <row r="818" ht="12.75" customHeight="1">
      <c r="A818" s="35"/>
      <c r="B818" s="35"/>
      <c r="C818" s="35"/>
      <c r="D818" s="35"/>
      <c r="E818" s="35"/>
      <c r="F818" s="35"/>
      <c r="G818" s="35"/>
      <c r="H818" s="35"/>
      <c r="I818" s="35"/>
      <c r="J818" s="35"/>
      <c r="K818" s="35"/>
      <c r="L818" s="35"/>
      <c r="M818" s="35"/>
      <c r="N818" s="35"/>
      <c r="O818" s="35"/>
      <c r="P818" s="35"/>
      <c r="Q818" s="35"/>
      <c r="R818" s="35"/>
      <c r="S818" s="35"/>
      <c r="T818" s="35"/>
      <c r="U818" s="35"/>
      <c r="V818" s="35"/>
      <c r="W818" s="35"/>
      <c r="X818" s="35"/>
      <c r="Y818" s="35"/>
      <c r="Z818" s="35"/>
      <c r="AA818" s="35"/>
    </row>
    <row r="819" ht="12.75" customHeight="1">
      <c r="A819" s="35"/>
      <c r="B819" s="35"/>
      <c r="C819" s="35"/>
      <c r="D819" s="35"/>
      <c r="E819" s="35"/>
      <c r="F819" s="35"/>
      <c r="G819" s="35"/>
      <c r="H819" s="35"/>
      <c r="I819" s="35"/>
      <c r="J819" s="35"/>
      <c r="K819" s="35"/>
      <c r="L819" s="35"/>
      <c r="M819" s="35"/>
      <c r="N819" s="35"/>
      <c r="O819" s="35"/>
      <c r="P819" s="35"/>
      <c r="Q819" s="35"/>
      <c r="R819" s="35"/>
      <c r="S819" s="35"/>
      <c r="T819" s="35"/>
      <c r="U819" s="35"/>
      <c r="V819" s="35"/>
      <c r="W819" s="35"/>
      <c r="X819" s="35"/>
      <c r="Y819" s="35"/>
      <c r="Z819" s="35"/>
      <c r="AA819" s="35"/>
    </row>
    <row r="820" ht="12.75" customHeight="1">
      <c r="A820" s="35"/>
      <c r="B820" s="35"/>
      <c r="C820" s="35"/>
      <c r="D820" s="35"/>
      <c r="E820" s="35"/>
      <c r="F820" s="35"/>
      <c r="G820" s="35"/>
      <c r="H820" s="35"/>
      <c r="I820" s="35"/>
      <c r="J820" s="35"/>
      <c r="K820" s="35"/>
      <c r="L820" s="35"/>
      <c r="M820" s="35"/>
      <c r="N820" s="35"/>
      <c r="O820" s="35"/>
      <c r="P820" s="35"/>
      <c r="Q820" s="35"/>
      <c r="R820" s="35"/>
      <c r="S820" s="35"/>
      <c r="T820" s="35"/>
      <c r="U820" s="35"/>
      <c r="V820" s="35"/>
      <c r="W820" s="35"/>
      <c r="X820" s="35"/>
      <c r="Y820" s="35"/>
      <c r="Z820" s="35"/>
      <c r="AA820" s="35"/>
    </row>
    <row r="821" ht="12.75" customHeight="1">
      <c r="A821" s="35"/>
      <c r="B821" s="35"/>
      <c r="C821" s="35"/>
      <c r="D821" s="35"/>
      <c r="E821" s="35"/>
      <c r="F821" s="35"/>
      <c r="G821" s="35"/>
      <c r="H821" s="35"/>
      <c r="I821" s="35"/>
      <c r="J821" s="35"/>
      <c r="K821" s="35"/>
      <c r="L821" s="35"/>
      <c r="M821" s="35"/>
      <c r="N821" s="35"/>
      <c r="O821" s="35"/>
      <c r="P821" s="35"/>
      <c r="Q821" s="35"/>
      <c r="R821" s="35"/>
      <c r="S821" s="35"/>
      <c r="T821" s="35"/>
      <c r="U821" s="35"/>
      <c r="V821" s="35"/>
      <c r="W821" s="35"/>
      <c r="X821" s="35"/>
      <c r="Y821" s="35"/>
      <c r="Z821" s="35"/>
      <c r="AA821" s="35"/>
    </row>
    <row r="822" ht="12.75" customHeight="1">
      <c r="A822" s="35"/>
      <c r="B822" s="35"/>
      <c r="C822" s="35"/>
      <c r="D822" s="35"/>
      <c r="E822" s="35"/>
      <c r="F822" s="35"/>
      <c r="G822" s="35"/>
      <c r="H822" s="35"/>
      <c r="I822" s="35"/>
      <c r="J822" s="35"/>
      <c r="K822" s="35"/>
      <c r="L822" s="35"/>
      <c r="M822" s="35"/>
      <c r="N822" s="35"/>
      <c r="O822" s="35"/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5"/>
      <c r="AA822" s="35"/>
    </row>
    <row r="823" ht="12.75" customHeight="1">
      <c r="A823" s="35"/>
      <c r="B823" s="35"/>
      <c r="C823" s="35"/>
      <c r="D823" s="35"/>
      <c r="E823" s="35"/>
      <c r="F823" s="35"/>
      <c r="G823" s="35"/>
      <c r="H823" s="35"/>
      <c r="I823" s="35"/>
      <c r="J823" s="35"/>
      <c r="K823" s="35"/>
      <c r="L823" s="35"/>
      <c r="M823" s="35"/>
      <c r="N823" s="35"/>
      <c r="O823" s="35"/>
      <c r="P823" s="35"/>
      <c r="Q823" s="35"/>
      <c r="R823" s="35"/>
      <c r="S823" s="35"/>
      <c r="T823" s="35"/>
      <c r="U823" s="35"/>
      <c r="V823" s="35"/>
      <c r="W823" s="35"/>
      <c r="X823" s="35"/>
      <c r="Y823" s="35"/>
      <c r="Z823" s="35"/>
      <c r="AA823" s="35"/>
    </row>
    <row r="824" ht="12.75" customHeight="1">
      <c r="A824" s="35"/>
      <c r="B824" s="35"/>
      <c r="C824" s="35"/>
      <c r="D824" s="35"/>
      <c r="E824" s="35"/>
      <c r="F824" s="35"/>
      <c r="G824" s="35"/>
      <c r="H824" s="35"/>
      <c r="I824" s="35"/>
      <c r="J824" s="35"/>
      <c r="K824" s="35"/>
      <c r="L824" s="35"/>
      <c r="M824" s="35"/>
      <c r="N824" s="35"/>
      <c r="O824" s="35"/>
      <c r="P824" s="35"/>
      <c r="Q824" s="35"/>
      <c r="R824" s="35"/>
      <c r="S824" s="35"/>
      <c r="T824" s="35"/>
      <c r="U824" s="35"/>
      <c r="V824" s="35"/>
      <c r="W824" s="35"/>
      <c r="X824" s="35"/>
      <c r="Y824" s="35"/>
      <c r="Z824" s="35"/>
      <c r="AA824" s="35"/>
    </row>
    <row r="825" ht="12.75" customHeight="1">
      <c r="A825" s="35"/>
      <c r="B825" s="35"/>
      <c r="C825" s="35"/>
      <c r="D825" s="35"/>
      <c r="E825" s="35"/>
      <c r="F825" s="35"/>
      <c r="G825" s="35"/>
      <c r="H825" s="35"/>
      <c r="I825" s="35"/>
      <c r="J825" s="35"/>
      <c r="K825" s="35"/>
      <c r="L825" s="35"/>
      <c r="M825" s="35"/>
      <c r="N825" s="35"/>
      <c r="O825" s="35"/>
      <c r="P825" s="35"/>
      <c r="Q825" s="35"/>
      <c r="R825" s="35"/>
      <c r="S825" s="35"/>
      <c r="T825" s="35"/>
      <c r="U825" s="35"/>
      <c r="V825" s="35"/>
      <c r="W825" s="35"/>
      <c r="X825" s="35"/>
      <c r="Y825" s="35"/>
      <c r="Z825" s="35"/>
      <c r="AA825" s="35"/>
    </row>
    <row r="826" ht="12.75" customHeight="1">
      <c r="A826" s="35"/>
      <c r="B826" s="35"/>
      <c r="C826" s="35"/>
      <c r="D826" s="35"/>
      <c r="E826" s="35"/>
      <c r="F826" s="35"/>
      <c r="G826" s="35"/>
      <c r="H826" s="35"/>
      <c r="I826" s="35"/>
      <c r="J826" s="35"/>
      <c r="K826" s="35"/>
      <c r="L826" s="35"/>
      <c r="M826" s="35"/>
      <c r="N826" s="35"/>
      <c r="O826" s="35"/>
      <c r="P826" s="35"/>
      <c r="Q826" s="35"/>
      <c r="R826" s="35"/>
      <c r="S826" s="35"/>
      <c r="T826" s="35"/>
      <c r="U826" s="35"/>
      <c r="V826" s="35"/>
      <c r="W826" s="35"/>
      <c r="X826" s="35"/>
      <c r="Y826" s="35"/>
      <c r="Z826" s="35"/>
      <c r="AA826" s="35"/>
    </row>
    <row r="827" ht="12.75" customHeight="1">
      <c r="A827" s="35"/>
      <c r="B827" s="35"/>
      <c r="C827" s="35"/>
      <c r="D827" s="35"/>
      <c r="E827" s="35"/>
      <c r="F827" s="35"/>
      <c r="G827" s="35"/>
      <c r="H827" s="35"/>
      <c r="I827" s="35"/>
      <c r="J827" s="35"/>
      <c r="K827" s="35"/>
      <c r="L827" s="35"/>
      <c r="M827" s="35"/>
      <c r="N827" s="35"/>
      <c r="O827" s="35"/>
      <c r="P827" s="35"/>
      <c r="Q827" s="35"/>
      <c r="R827" s="35"/>
      <c r="S827" s="35"/>
      <c r="T827" s="35"/>
      <c r="U827" s="35"/>
      <c r="V827" s="35"/>
      <c r="W827" s="35"/>
      <c r="X827" s="35"/>
      <c r="Y827" s="35"/>
      <c r="Z827" s="35"/>
      <c r="AA827" s="35"/>
    </row>
    <row r="828" ht="12.75" customHeight="1">
      <c r="A828" s="35"/>
      <c r="B828" s="35"/>
      <c r="C828" s="35"/>
      <c r="D828" s="35"/>
      <c r="E828" s="35"/>
      <c r="F828" s="35"/>
      <c r="G828" s="35"/>
      <c r="H828" s="35"/>
      <c r="I828" s="35"/>
      <c r="J828" s="35"/>
      <c r="K828" s="35"/>
      <c r="L828" s="35"/>
      <c r="M828" s="35"/>
      <c r="N828" s="35"/>
      <c r="O828" s="35"/>
      <c r="P828" s="35"/>
      <c r="Q828" s="35"/>
      <c r="R828" s="35"/>
      <c r="S828" s="35"/>
      <c r="T828" s="35"/>
      <c r="U828" s="35"/>
      <c r="V828" s="35"/>
      <c r="W828" s="35"/>
      <c r="X828" s="35"/>
      <c r="Y828" s="35"/>
      <c r="Z828" s="35"/>
      <c r="AA828" s="35"/>
    </row>
    <row r="829" ht="12.75" customHeight="1">
      <c r="A829" s="35"/>
      <c r="B829" s="35"/>
      <c r="C829" s="35"/>
      <c r="D829" s="35"/>
      <c r="E829" s="35"/>
      <c r="F829" s="35"/>
      <c r="G829" s="35"/>
      <c r="H829" s="35"/>
      <c r="I829" s="35"/>
      <c r="J829" s="35"/>
      <c r="K829" s="35"/>
      <c r="L829" s="35"/>
      <c r="M829" s="35"/>
      <c r="N829" s="35"/>
      <c r="O829" s="35"/>
      <c r="P829" s="35"/>
      <c r="Q829" s="35"/>
      <c r="R829" s="35"/>
      <c r="S829" s="35"/>
      <c r="T829" s="35"/>
      <c r="U829" s="35"/>
      <c r="V829" s="35"/>
      <c r="W829" s="35"/>
      <c r="X829" s="35"/>
      <c r="Y829" s="35"/>
      <c r="Z829" s="35"/>
      <c r="AA829" s="35"/>
    </row>
    <row r="830" ht="12.75" customHeight="1">
      <c r="A830" s="35"/>
      <c r="B830" s="35"/>
      <c r="C830" s="35"/>
      <c r="D830" s="35"/>
      <c r="E830" s="35"/>
      <c r="F830" s="35"/>
      <c r="G830" s="35"/>
      <c r="H830" s="35"/>
      <c r="I830" s="35"/>
      <c r="J830" s="35"/>
      <c r="K830" s="35"/>
      <c r="L830" s="35"/>
      <c r="M830" s="35"/>
      <c r="N830" s="35"/>
      <c r="O830" s="35"/>
      <c r="P830" s="35"/>
      <c r="Q830" s="35"/>
      <c r="R830" s="35"/>
      <c r="S830" s="35"/>
      <c r="T830" s="35"/>
      <c r="U830" s="35"/>
      <c r="V830" s="35"/>
      <c r="W830" s="35"/>
      <c r="X830" s="35"/>
      <c r="Y830" s="35"/>
      <c r="Z830" s="35"/>
      <c r="AA830" s="35"/>
    </row>
    <row r="831" ht="12.75" customHeight="1">
      <c r="A831" s="35"/>
      <c r="B831" s="35"/>
      <c r="C831" s="35"/>
      <c r="D831" s="35"/>
      <c r="E831" s="35"/>
      <c r="F831" s="35"/>
      <c r="G831" s="35"/>
      <c r="H831" s="35"/>
      <c r="I831" s="35"/>
      <c r="J831" s="35"/>
      <c r="K831" s="35"/>
      <c r="L831" s="35"/>
      <c r="M831" s="35"/>
      <c r="N831" s="35"/>
      <c r="O831" s="35"/>
      <c r="P831" s="35"/>
      <c r="Q831" s="35"/>
      <c r="R831" s="35"/>
      <c r="S831" s="35"/>
      <c r="T831" s="35"/>
      <c r="U831" s="35"/>
      <c r="V831" s="35"/>
      <c r="W831" s="35"/>
      <c r="X831" s="35"/>
      <c r="Y831" s="35"/>
      <c r="Z831" s="35"/>
      <c r="AA831" s="35"/>
    </row>
    <row r="832" ht="12.75" customHeight="1">
      <c r="A832" s="35"/>
      <c r="B832" s="35"/>
      <c r="C832" s="35"/>
      <c r="D832" s="35"/>
      <c r="E832" s="35"/>
      <c r="F832" s="35"/>
      <c r="G832" s="35"/>
      <c r="H832" s="35"/>
      <c r="I832" s="35"/>
      <c r="J832" s="35"/>
      <c r="K832" s="35"/>
      <c r="L832" s="35"/>
      <c r="M832" s="35"/>
      <c r="N832" s="35"/>
      <c r="O832" s="35"/>
      <c r="P832" s="35"/>
      <c r="Q832" s="35"/>
      <c r="R832" s="35"/>
      <c r="S832" s="35"/>
      <c r="T832" s="35"/>
      <c r="U832" s="35"/>
      <c r="V832" s="35"/>
      <c r="W832" s="35"/>
      <c r="X832" s="35"/>
      <c r="Y832" s="35"/>
      <c r="Z832" s="35"/>
      <c r="AA832" s="35"/>
    </row>
    <row r="833" ht="12.75" customHeight="1">
      <c r="A833" s="35"/>
      <c r="B833" s="35"/>
      <c r="C833" s="35"/>
      <c r="D833" s="35"/>
      <c r="E833" s="35"/>
      <c r="F833" s="35"/>
      <c r="G833" s="35"/>
      <c r="H833" s="35"/>
      <c r="I833" s="35"/>
      <c r="J833" s="35"/>
      <c r="K833" s="35"/>
      <c r="L833" s="35"/>
      <c r="M833" s="35"/>
      <c r="N833" s="35"/>
      <c r="O833" s="35"/>
      <c r="P833" s="35"/>
      <c r="Q833" s="35"/>
      <c r="R833" s="35"/>
      <c r="S833" s="35"/>
      <c r="T833" s="35"/>
      <c r="U833" s="35"/>
      <c r="V833" s="35"/>
      <c r="W833" s="35"/>
      <c r="X833" s="35"/>
      <c r="Y833" s="35"/>
      <c r="Z833" s="35"/>
      <c r="AA833" s="35"/>
    </row>
    <row r="834" ht="12.75" customHeight="1">
      <c r="A834" s="35"/>
      <c r="B834" s="35"/>
      <c r="C834" s="35"/>
      <c r="D834" s="35"/>
      <c r="E834" s="35"/>
      <c r="F834" s="35"/>
      <c r="G834" s="35"/>
      <c r="H834" s="35"/>
      <c r="I834" s="35"/>
      <c r="J834" s="35"/>
      <c r="K834" s="35"/>
      <c r="L834" s="35"/>
      <c r="M834" s="35"/>
      <c r="N834" s="35"/>
      <c r="O834" s="35"/>
      <c r="P834" s="35"/>
      <c r="Q834" s="35"/>
      <c r="R834" s="35"/>
      <c r="S834" s="35"/>
      <c r="T834" s="35"/>
      <c r="U834" s="35"/>
      <c r="V834" s="35"/>
      <c r="W834" s="35"/>
      <c r="X834" s="35"/>
      <c r="Y834" s="35"/>
      <c r="Z834" s="35"/>
      <c r="AA834" s="35"/>
    </row>
    <row r="835" ht="12.75" customHeight="1">
      <c r="A835" s="35"/>
      <c r="B835" s="35"/>
      <c r="C835" s="35"/>
      <c r="D835" s="35"/>
      <c r="E835" s="35"/>
      <c r="F835" s="35"/>
      <c r="G835" s="35"/>
      <c r="H835" s="35"/>
      <c r="I835" s="35"/>
      <c r="J835" s="35"/>
      <c r="K835" s="35"/>
      <c r="L835" s="35"/>
      <c r="M835" s="35"/>
      <c r="N835" s="35"/>
      <c r="O835" s="35"/>
      <c r="P835" s="35"/>
      <c r="Q835" s="35"/>
      <c r="R835" s="35"/>
      <c r="S835" s="35"/>
      <c r="T835" s="35"/>
      <c r="U835" s="35"/>
      <c r="V835" s="35"/>
      <c r="W835" s="35"/>
      <c r="X835" s="35"/>
      <c r="Y835" s="35"/>
      <c r="Z835" s="35"/>
      <c r="AA835" s="35"/>
    </row>
    <row r="836" ht="12.75" customHeight="1">
      <c r="A836" s="35"/>
      <c r="B836" s="35"/>
      <c r="C836" s="35"/>
      <c r="D836" s="35"/>
      <c r="E836" s="35"/>
      <c r="F836" s="35"/>
      <c r="G836" s="35"/>
      <c r="H836" s="35"/>
      <c r="I836" s="35"/>
      <c r="J836" s="35"/>
      <c r="K836" s="35"/>
      <c r="L836" s="35"/>
      <c r="M836" s="35"/>
      <c r="N836" s="35"/>
      <c r="O836" s="35"/>
      <c r="P836" s="35"/>
      <c r="Q836" s="35"/>
      <c r="R836" s="35"/>
      <c r="S836" s="35"/>
      <c r="T836" s="35"/>
      <c r="U836" s="35"/>
      <c r="V836" s="35"/>
      <c r="W836" s="35"/>
      <c r="X836" s="35"/>
      <c r="Y836" s="35"/>
      <c r="Z836" s="35"/>
      <c r="AA836" s="35"/>
    </row>
    <row r="837" ht="12.75" customHeight="1">
      <c r="A837" s="35"/>
      <c r="B837" s="35"/>
      <c r="C837" s="35"/>
      <c r="D837" s="35"/>
      <c r="E837" s="35"/>
      <c r="F837" s="35"/>
      <c r="G837" s="35"/>
      <c r="H837" s="35"/>
      <c r="I837" s="35"/>
      <c r="J837" s="35"/>
      <c r="K837" s="35"/>
      <c r="L837" s="35"/>
      <c r="M837" s="35"/>
      <c r="N837" s="35"/>
      <c r="O837" s="35"/>
      <c r="P837" s="35"/>
      <c r="Q837" s="35"/>
      <c r="R837" s="35"/>
      <c r="S837" s="35"/>
      <c r="T837" s="35"/>
      <c r="U837" s="35"/>
      <c r="V837" s="35"/>
      <c r="W837" s="35"/>
      <c r="X837" s="35"/>
      <c r="Y837" s="35"/>
      <c r="Z837" s="35"/>
      <c r="AA837" s="35"/>
    </row>
    <row r="838" ht="12.75" customHeight="1">
      <c r="A838" s="35"/>
      <c r="B838" s="35"/>
      <c r="C838" s="35"/>
      <c r="D838" s="35"/>
      <c r="E838" s="35"/>
      <c r="F838" s="35"/>
      <c r="G838" s="35"/>
      <c r="H838" s="35"/>
      <c r="I838" s="35"/>
      <c r="J838" s="35"/>
      <c r="K838" s="35"/>
      <c r="L838" s="35"/>
      <c r="M838" s="35"/>
      <c r="N838" s="35"/>
      <c r="O838" s="35"/>
      <c r="P838" s="35"/>
      <c r="Q838" s="35"/>
      <c r="R838" s="35"/>
      <c r="S838" s="35"/>
      <c r="T838" s="35"/>
      <c r="U838" s="35"/>
      <c r="V838" s="35"/>
      <c r="W838" s="35"/>
      <c r="X838" s="35"/>
      <c r="Y838" s="35"/>
      <c r="Z838" s="35"/>
      <c r="AA838" s="35"/>
    </row>
    <row r="839" ht="12.75" customHeight="1">
      <c r="A839" s="35"/>
      <c r="B839" s="35"/>
      <c r="C839" s="35"/>
      <c r="D839" s="35"/>
      <c r="E839" s="35"/>
      <c r="F839" s="35"/>
      <c r="G839" s="35"/>
      <c r="H839" s="35"/>
      <c r="I839" s="35"/>
      <c r="J839" s="35"/>
      <c r="K839" s="35"/>
      <c r="L839" s="35"/>
      <c r="M839" s="35"/>
      <c r="N839" s="35"/>
      <c r="O839" s="35"/>
      <c r="P839" s="35"/>
      <c r="Q839" s="35"/>
      <c r="R839" s="35"/>
      <c r="S839" s="35"/>
      <c r="T839" s="35"/>
      <c r="U839" s="35"/>
      <c r="V839" s="35"/>
      <c r="W839" s="35"/>
      <c r="X839" s="35"/>
      <c r="Y839" s="35"/>
      <c r="Z839" s="35"/>
      <c r="AA839" s="35"/>
    </row>
    <row r="840" ht="12.75" customHeight="1">
      <c r="A840" s="35"/>
      <c r="B840" s="35"/>
      <c r="C840" s="35"/>
      <c r="D840" s="35"/>
      <c r="E840" s="35"/>
      <c r="F840" s="35"/>
      <c r="G840" s="35"/>
      <c r="H840" s="35"/>
      <c r="I840" s="35"/>
      <c r="J840" s="35"/>
      <c r="K840" s="35"/>
      <c r="L840" s="35"/>
      <c r="M840" s="35"/>
      <c r="N840" s="35"/>
      <c r="O840" s="35"/>
      <c r="P840" s="35"/>
      <c r="Q840" s="35"/>
      <c r="R840" s="35"/>
      <c r="S840" s="35"/>
      <c r="T840" s="35"/>
      <c r="U840" s="35"/>
      <c r="V840" s="35"/>
      <c r="W840" s="35"/>
      <c r="X840" s="35"/>
      <c r="Y840" s="35"/>
      <c r="Z840" s="35"/>
      <c r="AA840" s="35"/>
    </row>
    <row r="841" ht="12.75" customHeight="1">
      <c r="A841" s="35"/>
      <c r="B841" s="35"/>
      <c r="C841" s="35"/>
      <c r="D841" s="35"/>
      <c r="E841" s="35"/>
      <c r="F841" s="35"/>
      <c r="G841" s="35"/>
      <c r="H841" s="35"/>
      <c r="I841" s="35"/>
      <c r="J841" s="35"/>
      <c r="K841" s="35"/>
      <c r="L841" s="35"/>
      <c r="M841" s="35"/>
      <c r="N841" s="35"/>
      <c r="O841" s="35"/>
      <c r="P841" s="35"/>
      <c r="Q841" s="35"/>
      <c r="R841" s="35"/>
      <c r="S841" s="35"/>
      <c r="T841" s="35"/>
      <c r="U841" s="35"/>
      <c r="V841" s="35"/>
      <c r="W841" s="35"/>
      <c r="X841" s="35"/>
      <c r="Y841" s="35"/>
      <c r="Z841" s="35"/>
      <c r="AA841" s="35"/>
    </row>
    <row r="842" ht="12.75" customHeight="1">
      <c r="A842" s="35"/>
      <c r="B842" s="35"/>
      <c r="C842" s="35"/>
      <c r="D842" s="35"/>
      <c r="E842" s="35"/>
      <c r="F842" s="35"/>
      <c r="G842" s="35"/>
      <c r="H842" s="35"/>
      <c r="I842" s="35"/>
      <c r="J842" s="35"/>
      <c r="K842" s="35"/>
      <c r="L842" s="35"/>
      <c r="M842" s="35"/>
      <c r="N842" s="35"/>
      <c r="O842" s="35"/>
      <c r="P842" s="35"/>
      <c r="Q842" s="35"/>
      <c r="R842" s="35"/>
      <c r="S842" s="35"/>
      <c r="T842" s="35"/>
      <c r="U842" s="35"/>
      <c r="V842" s="35"/>
      <c r="W842" s="35"/>
      <c r="X842" s="35"/>
      <c r="Y842" s="35"/>
      <c r="Z842" s="35"/>
      <c r="AA842" s="35"/>
    </row>
    <row r="843" ht="12.75" customHeight="1">
      <c r="A843" s="35"/>
      <c r="B843" s="35"/>
      <c r="C843" s="35"/>
      <c r="D843" s="35"/>
      <c r="E843" s="35"/>
      <c r="F843" s="35"/>
      <c r="G843" s="35"/>
      <c r="H843" s="35"/>
      <c r="I843" s="35"/>
      <c r="J843" s="35"/>
      <c r="K843" s="35"/>
      <c r="L843" s="35"/>
      <c r="M843" s="35"/>
      <c r="N843" s="35"/>
      <c r="O843" s="35"/>
      <c r="P843" s="35"/>
      <c r="Q843" s="35"/>
      <c r="R843" s="35"/>
      <c r="S843" s="35"/>
      <c r="T843" s="35"/>
      <c r="U843" s="35"/>
      <c r="V843" s="35"/>
      <c r="W843" s="35"/>
      <c r="X843" s="35"/>
      <c r="Y843" s="35"/>
      <c r="Z843" s="35"/>
      <c r="AA843" s="35"/>
    </row>
    <row r="844" ht="12.75" customHeight="1">
      <c r="A844" s="35"/>
      <c r="B844" s="35"/>
      <c r="C844" s="35"/>
      <c r="D844" s="35"/>
      <c r="E844" s="35"/>
      <c r="F844" s="35"/>
      <c r="G844" s="35"/>
      <c r="H844" s="35"/>
      <c r="I844" s="35"/>
      <c r="J844" s="35"/>
      <c r="K844" s="35"/>
      <c r="L844" s="35"/>
      <c r="M844" s="35"/>
      <c r="N844" s="35"/>
      <c r="O844" s="35"/>
      <c r="P844" s="35"/>
      <c r="Q844" s="35"/>
      <c r="R844" s="35"/>
      <c r="S844" s="35"/>
      <c r="T844" s="35"/>
      <c r="U844" s="35"/>
      <c r="V844" s="35"/>
      <c r="W844" s="35"/>
      <c r="X844" s="35"/>
      <c r="Y844" s="35"/>
      <c r="Z844" s="35"/>
      <c r="AA844" s="35"/>
    </row>
    <row r="845" ht="12.75" customHeight="1">
      <c r="A845" s="35"/>
      <c r="B845" s="35"/>
      <c r="C845" s="35"/>
      <c r="D845" s="35"/>
      <c r="E845" s="35"/>
      <c r="F845" s="35"/>
      <c r="G845" s="35"/>
      <c r="H845" s="35"/>
      <c r="I845" s="35"/>
      <c r="J845" s="35"/>
      <c r="K845" s="35"/>
      <c r="L845" s="35"/>
      <c r="M845" s="35"/>
      <c r="N845" s="35"/>
      <c r="O845" s="35"/>
      <c r="P845" s="35"/>
      <c r="Q845" s="35"/>
      <c r="R845" s="35"/>
      <c r="S845" s="35"/>
      <c r="T845" s="35"/>
      <c r="U845" s="35"/>
      <c r="V845" s="35"/>
      <c r="W845" s="35"/>
      <c r="X845" s="35"/>
      <c r="Y845" s="35"/>
      <c r="Z845" s="35"/>
      <c r="AA845" s="35"/>
    </row>
    <row r="846" ht="12.75" customHeight="1">
      <c r="A846" s="35"/>
      <c r="B846" s="35"/>
      <c r="C846" s="35"/>
      <c r="D846" s="35"/>
      <c r="E846" s="35"/>
      <c r="F846" s="35"/>
      <c r="G846" s="35"/>
      <c r="H846" s="35"/>
      <c r="I846" s="35"/>
      <c r="J846" s="35"/>
      <c r="K846" s="35"/>
      <c r="L846" s="35"/>
      <c r="M846" s="35"/>
      <c r="N846" s="35"/>
      <c r="O846" s="35"/>
      <c r="P846" s="35"/>
      <c r="Q846" s="35"/>
      <c r="R846" s="35"/>
      <c r="S846" s="35"/>
      <c r="T846" s="35"/>
      <c r="U846" s="35"/>
      <c r="V846" s="35"/>
      <c r="W846" s="35"/>
      <c r="X846" s="35"/>
      <c r="Y846" s="35"/>
      <c r="Z846" s="35"/>
      <c r="AA846" s="35"/>
    </row>
    <row r="847" ht="12.75" customHeight="1">
      <c r="A847" s="35"/>
      <c r="B847" s="35"/>
      <c r="C847" s="35"/>
      <c r="D847" s="35"/>
      <c r="E847" s="35"/>
      <c r="F847" s="35"/>
      <c r="G847" s="35"/>
      <c r="H847" s="35"/>
      <c r="I847" s="35"/>
      <c r="J847" s="35"/>
      <c r="K847" s="35"/>
      <c r="L847" s="35"/>
      <c r="M847" s="35"/>
      <c r="N847" s="35"/>
      <c r="O847" s="35"/>
      <c r="P847" s="35"/>
      <c r="Q847" s="35"/>
      <c r="R847" s="35"/>
      <c r="S847" s="35"/>
      <c r="T847" s="35"/>
      <c r="U847" s="35"/>
      <c r="V847" s="35"/>
      <c r="W847" s="35"/>
      <c r="X847" s="35"/>
      <c r="Y847" s="35"/>
      <c r="Z847" s="35"/>
      <c r="AA847" s="35"/>
    </row>
    <row r="848" ht="12.75" customHeight="1">
      <c r="A848" s="35"/>
      <c r="B848" s="35"/>
      <c r="C848" s="35"/>
      <c r="D848" s="35"/>
      <c r="E848" s="35"/>
      <c r="F848" s="35"/>
      <c r="G848" s="35"/>
      <c r="H848" s="35"/>
      <c r="I848" s="35"/>
      <c r="J848" s="35"/>
      <c r="K848" s="35"/>
      <c r="L848" s="35"/>
      <c r="M848" s="35"/>
      <c r="N848" s="35"/>
      <c r="O848" s="35"/>
      <c r="P848" s="35"/>
      <c r="Q848" s="35"/>
      <c r="R848" s="35"/>
      <c r="S848" s="35"/>
      <c r="T848" s="35"/>
      <c r="U848" s="35"/>
      <c r="V848" s="35"/>
      <c r="W848" s="35"/>
      <c r="X848" s="35"/>
      <c r="Y848" s="35"/>
      <c r="Z848" s="35"/>
      <c r="AA848" s="35"/>
    </row>
    <row r="849" ht="12.75" customHeight="1">
      <c r="A849" s="35"/>
      <c r="B849" s="35"/>
      <c r="C849" s="35"/>
      <c r="D849" s="35"/>
      <c r="E849" s="35"/>
      <c r="F849" s="35"/>
      <c r="G849" s="35"/>
      <c r="H849" s="35"/>
      <c r="I849" s="35"/>
      <c r="J849" s="35"/>
      <c r="K849" s="35"/>
      <c r="L849" s="35"/>
      <c r="M849" s="35"/>
      <c r="N849" s="35"/>
      <c r="O849" s="35"/>
      <c r="P849" s="35"/>
      <c r="Q849" s="35"/>
      <c r="R849" s="35"/>
      <c r="S849" s="35"/>
      <c r="T849" s="35"/>
      <c r="U849" s="35"/>
      <c r="V849" s="35"/>
      <c r="W849" s="35"/>
      <c r="X849" s="35"/>
      <c r="Y849" s="35"/>
      <c r="Z849" s="35"/>
      <c r="AA849" s="35"/>
    </row>
    <row r="850" ht="12.75" customHeight="1">
      <c r="A850" s="35"/>
      <c r="B850" s="35"/>
      <c r="C850" s="35"/>
      <c r="D850" s="35"/>
      <c r="E850" s="35"/>
      <c r="F850" s="35"/>
      <c r="G850" s="35"/>
      <c r="H850" s="35"/>
      <c r="I850" s="35"/>
      <c r="J850" s="35"/>
      <c r="K850" s="35"/>
      <c r="L850" s="35"/>
      <c r="M850" s="35"/>
      <c r="N850" s="35"/>
      <c r="O850" s="35"/>
      <c r="P850" s="35"/>
      <c r="Q850" s="35"/>
      <c r="R850" s="35"/>
      <c r="S850" s="35"/>
      <c r="T850" s="35"/>
      <c r="U850" s="35"/>
      <c r="V850" s="35"/>
      <c r="W850" s="35"/>
      <c r="X850" s="35"/>
      <c r="Y850" s="35"/>
      <c r="Z850" s="35"/>
      <c r="AA850" s="35"/>
    </row>
    <row r="851" ht="12.75" customHeight="1">
      <c r="A851" s="35"/>
      <c r="B851" s="35"/>
      <c r="C851" s="35"/>
      <c r="D851" s="35"/>
      <c r="E851" s="35"/>
      <c r="F851" s="35"/>
      <c r="G851" s="35"/>
      <c r="H851" s="35"/>
      <c r="I851" s="35"/>
      <c r="J851" s="35"/>
      <c r="K851" s="35"/>
      <c r="L851" s="35"/>
      <c r="M851" s="35"/>
      <c r="N851" s="35"/>
      <c r="O851" s="35"/>
      <c r="P851" s="35"/>
      <c r="Q851" s="35"/>
      <c r="R851" s="35"/>
      <c r="S851" s="35"/>
      <c r="T851" s="35"/>
      <c r="U851" s="35"/>
      <c r="V851" s="35"/>
      <c r="W851" s="35"/>
      <c r="X851" s="35"/>
      <c r="Y851" s="35"/>
      <c r="Z851" s="35"/>
      <c r="AA851" s="35"/>
    </row>
    <row r="852" ht="12.75" customHeight="1">
      <c r="A852" s="35"/>
      <c r="B852" s="35"/>
      <c r="C852" s="35"/>
      <c r="D852" s="35"/>
      <c r="E852" s="35"/>
      <c r="F852" s="35"/>
      <c r="G852" s="35"/>
      <c r="H852" s="35"/>
      <c r="I852" s="35"/>
      <c r="J852" s="35"/>
      <c r="K852" s="35"/>
      <c r="L852" s="35"/>
      <c r="M852" s="35"/>
      <c r="N852" s="35"/>
      <c r="O852" s="35"/>
      <c r="P852" s="35"/>
      <c r="Q852" s="35"/>
      <c r="R852" s="35"/>
      <c r="S852" s="35"/>
      <c r="T852" s="35"/>
      <c r="U852" s="35"/>
      <c r="V852" s="35"/>
      <c r="W852" s="35"/>
      <c r="X852" s="35"/>
      <c r="Y852" s="35"/>
      <c r="Z852" s="35"/>
      <c r="AA852" s="35"/>
    </row>
    <row r="853" ht="12.75" customHeight="1">
      <c r="A853" s="35"/>
      <c r="B853" s="35"/>
      <c r="C853" s="35"/>
      <c r="D853" s="35"/>
      <c r="E853" s="35"/>
      <c r="F853" s="35"/>
      <c r="G853" s="35"/>
      <c r="H853" s="35"/>
      <c r="I853" s="35"/>
      <c r="J853" s="35"/>
      <c r="K853" s="35"/>
      <c r="L853" s="35"/>
      <c r="M853" s="35"/>
      <c r="N853" s="35"/>
      <c r="O853" s="35"/>
      <c r="P853" s="35"/>
      <c r="Q853" s="35"/>
      <c r="R853" s="35"/>
      <c r="S853" s="35"/>
      <c r="T853" s="35"/>
      <c r="U853" s="35"/>
      <c r="V853" s="35"/>
      <c r="W853" s="35"/>
      <c r="X853" s="35"/>
      <c r="Y853" s="35"/>
      <c r="Z853" s="35"/>
      <c r="AA853" s="35"/>
    </row>
    <row r="854" ht="12.75" customHeight="1">
      <c r="A854" s="35"/>
      <c r="B854" s="35"/>
      <c r="C854" s="35"/>
      <c r="D854" s="35"/>
      <c r="E854" s="35"/>
      <c r="F854" s="35"/>
      <c r="G854" s="35"/>
      <c r="H854" s="35"/>
      <c r="I854" s="35"/>
      <c r="J854" s="35"/>
      <c r="K854" s="35"/>
      <c r="L854" s="35"/>
      <c r="M854" s="35"/>
      <c r="N854" s="35"/>
      <c r="O854" s="35"/>
      <c r="P854" s="35"/>
      <c r="Q854" s="35"/>
      <c r="R854" s="35"/>
      <c r="S854" s="35"/>
      <c r="T854" s="35"/>
      <c r="U854" s="35"/>
      <c r="V854" s="35"/>
      <c r="W854" s="35"/>
      <c r="X854" s="35"/>
      <c r="Y854" s="35"/>
      <c r="Z854" s="35"/>
      <c r="AA854" s="35"/>
    </row>
    <row r="855" ht="12.75" customHeight="1">
      <c r="A855" s="35"/>
      <c r="B855" s="35"/>
      <c r="C855" s="35"/>
      <c r="D855" s="35"/>
      <c r="E855" s="35"/>
      <c r="F855" s="35"/>
      <c r="G855" s="35"/>
      <c r="H855" s="35"/>
      <c r="I855" s="35"/>
      <c r="J855" s="35"/>
      <c r="K855" s="35"/>
      <c r="L855" s="35"/>
      <c r="M855" s="35"/>
      <c r="N855" s="35"/>
      <c r="O855" s="35"/>
      <c r="P855" s="35"/>
      <c r="Q855" s="35"/>
      <c r="R855" s="35"/>
      <c r="S855" s="35"/>
      <c r="T855" s="35"/>
      <c r="U855" s="35"/>
      <c r="V855" s="35"/>
      <c r="W855" s="35"/>
      <c r="X855" s="35"/>
      <c r="Y855" s="35"/>
      <c r="Z855" s="35"/>
      <c r="AA855" s="35"/>
    </row>
    <row r="856" ht="12.75" customHeight="1">
      <c r="A856" s="35"/>
      <c r="B856" s="35"/>
      <c r="C856" s="35"/>
      <c r="D856" s="35"/>
      <c r="E856" s="35"/>
      <c r="F856" s="35"/>
      <c r="G856" s="35"/>
      <c r="H856" s="35"/>
      <c r="I856" s="35"/>
      <c r="J856" s="35"/>
      <c r="K856" s="35"/>
      <c r="L856" s="35"/>
      <c r="M856" s="35"/>
      <c r="N856" s="35"/>
      <c r="O856" s="35"/>
      <c r="P856" s="35"/>
      <c r="Q856" s="35"/>
      <c r="R856" s="35"/>
      <c r="S856" s="35"/>
      <c r="T856" s="35"/>
      <c r="U856" s="35"/>
      <c r="V856" s="35"/>
      <c r="W856" s="35"/>
      <c r="X856" s="35"/>
      <c r="Y856" s="35"/>
      <c r="Z856" s="35"/>
      <c r="AA856" s="35"/>
    </row>
    <row r="857" ht="12.75" customHeight="1">
      <c r="A857" s="35"/>
      <c r="B857" s="35"/>
      <c r="C857" s="35"/>
      <c r="D857" s="35"/>
      <c r="E857" s="35"/>
      <c r="F857" s="35"/>
      <c r="G857" s="35"/>
      <c r="H857" s="35"/>
      <c r="I857" s="35"/>
      <c r="J857" s="35"/>
      <c r="K857" s="35"/>
      <c r="L857" s="35"/>
      <c r="M857" s="35"/>
      <c r="N857" s="35"/>
      <c r="O857" s="35"/>
      <c r="P857" s="35"/>
      <c r="Q857" s="35"/>
      <c r="R857" s="35"/>
      <c r="S857" s="35"/>
      <c r="T857" s="35"/>
      <c r="U857" s="35"/>
      <c r="V857" s="35"/>
      <c r="W857" s="35"/>
      <c r="X857" s="35"/>
      <c r="Y857" s="35"/>
      <c r="Z857" s="35"/>
      <c r="AA857" s="35"/>
    </row>
    <row r="858" ht="12.75" customHeight="1">
      <c r="A858" s="35"/>
      <c r="B858" s="35"/>
      <c r="C858" s="35"/>
      <c r="D858" s="35"/>
      <c r="E858" s="35"/>
      <c r="F858" s="35"/>
      <c r="G858" s="35"/>
      <c r="H858" s="35"/>
      <c r="I858" s="35"/>
      <c r="J858" s="35"/>
      <c r="K858" s="35"/>
      <c r="L858" s="35"/>
      <c r="M858" s="35"/>
      <c r="N858" s="35"/>
      <c r="O858" s="35"/>
      <c r="P858" s="35"/>
      <c r="Q858" s="35"/>
      <c r="R858" s="35"/>
      <c r="S858" s="35"/>
      <c r="T858" s="35"/>
      <c r="U858" s="35"/>
      <c r="V858" s="35"/>
      <c r="W858" s="35"/>
      <c r="X858" s="35"/>
      <c r="Y858" s="35"/>
      <c r="Z858" s="35"/>
      <c r="AA858" s="35"/>
    </row>
    <row r="859" ht="12.75" customHeight="1">
      <c r="A859" s="35"/>
      <c r="B859" s="35"/>
      <c r="C859" s="35"/>
      <c r="D859" s="35"/>
      <c r="E859" s="35"/>
      <c r="F859" s="35"/>
      <c r="G859" s="35"/>
      <c r="H859" s="35"/>
      <c r="I859" s="35"/>
      <c r="J859" s="35"/>
      <c r="K859" s="35"/>
      <c r="L859" s="35"/>
      <c r="M859" s="35"/>
      <c r="N859" s="35"/>
      <c r="O859" s="35"/>
      <c r="P859" s="35"/>
      <c r="Q859" s="35"/>
      <c r="R859" s="35"/>
      <c r="S859" s="35"/>
      <c r="T859" s="35"/>
      <c r="U859" s="35"/>
      <c r="V859" s="35"/>
      <c r="W859" s="35"/>
      <c r="X859" s="35"/>
      <c r="Y859" s="35"/>
      <c r="Z859" s="35"/>
      <c r="AA859" s="35"/>
    </row>
    <row r="860" ht="12.75" customHeight="1">
      <c r="A860" s="35"/>
      <c r="B860" s="35"/>
      <c r="C860" s="35"/>
      <c r="D860" s="35"/>
      <c r="E860" s="35"/>
      <c r="F860" s="35"/>
      <c r="G860" s="35"/>
      <c r="H860" s="35"/>
      <c r="I860" s="35"/>
      <c r="J860" s="35"/>
      <c r="K860" s="35"/>
      <c r="L860" s="35"/>
      <c r="M860" s="35"/>
      <c r="N860" s="35"/>
      <c r="O860" s="35"/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5"/>
      <c r="AA860" s="35"/>
    </row>
    <row r="861" ht="12.75" customHeight="1">
      <c r="A861" s="35"/>
      <c r="B861" s="35"/>
      <c r="C861" s="35"/>
      <c r="D861" s="35"/>
      <c r="E861" s="35"/>
      <c r="F861" s="35"/>
      <c r="G861" s="35"/>
      <c r="H861" s="35"/>
      <c r="I861" s="35"/>
      <c r="J861" s="35"/>
      <c r="K861" s="35"/>
      <c r="L861" s="35"/>
      <c r="M861" s="35"/>
      <c r="N861" s="35"/>
      <c r="O861" s="35"/>
      <c r="P861" s="35"/>
      <c r="Q861" s="35"/>
      <c r="R861" s="35"/>
      <c r="S861" s="35"/>
      <c r="T861" s="35"/>
      <c r="U861" s="35"/>
      <c r="V861" s="35"/>
      <c r="W861" s="35"/>
      <c r="X861" s="35"/>
      <c r="Y861" s="35"/>
      <c r="Z861" s="35"/>
      <c r="AA861" s="35"/>
    </row>
    <row r="862" ht="12.75" customHeight="1">
      <c r="A862" s="35"/>
      <c r="B862" s="35"/>
      <c r="C862" s="35"/>
      <c r="D862" s="35"/>
      <c r="E862" s="35"/>
      <c r="F862" s="35"/>
      <c r="G862" s="35"/>
      <c r="H862" s="35"/>
      <c r="I862" s="35"/>
      <c r="J862" s="35"/>
      <c r="K862" s="35"/>
      <c r="L862" s="35"/>
      <c r="M862" s="35"/>
      <c r="N862" s="35"/>
      <c r="O862" s="35"/>
      <c r="P862" s="35"/>
      <c r="Q862" s="35"/>
      <c r="R862" s="35"/>
      <c r="S862" s="35"/>
      <c r="T862" s="35"/>
      <c r="U862" s="35"/>
      <c r="V862" s="35"/>
      <c r="W862" s="35"/>
      <c r="X862" s="35"/>
      <c r="Y862" s="35"/>
      <c r="Z862" s="35"/>
      <c r="AA862" s="35"/>
    </row>
    <row r="863" ht="12.75" customHeight="1">
      <c r="A863" s="35"/>
      <c r="B863" s="35"/>
      <c r="C863" s="35"/>
      <c r="D863" s="35"/>
      <c r="E863" s="35"/>
      <c r="F863" s="35"/>
      <c r="G863" s="35"/>
      <c r="H863" s="35"/>
      <c r="I863" s="35"/>
      <c r="J863" s="35"/>
      <c r="K863" s="35"/>
      <c r="L863" s="35"/>
      <c r="M863" s="35"/>
      <c r="N863" s="35"/>
      <c r="O863" s="35"/>
      <c r="P863" s="35"/>
      <c r="Q863" s="35"/>
      <c r="R863" s="35"/>
      <c r="S863" s="35"/>
      <c r="T863" s="35"/>
      <c r="U863" s="35"/>
      <c r="V863" s="35"/>
      <c r="W863" s="35"/>
      <c r="X863" s="35"/>
      <c r="Y863" s="35"/>
      <c r="Z863" s="35"/>
      <c r="AA863" s="35"/>
    </row>
    <row r="864" ht="12.75" customHeight="1">
      <c r="A864" s="35"/>
      <c r="B864" s="35"/>
      <c r="C864" s="35"/>
      <c r="D864" s="35"/>
      <c r="E864" s="35"/>
      <c r="F864" s="35"/>
      <c r="G864" s="35"/>
      <c r="H864" s="35"/>
      <c r="I864" s="35"/>
      <c r="J864" s="35"/>
      <c r="K864" s="35"/>
      <c r="L864" s="35"/>
      <c r="M864" s="35"/>
      <c r="N864" s="35"/>
      <c r="O864" s="35"/>
      <c r="P864" s="35"/>
      <c r="Q864" s="35"/>
      <c r="R864" s="35"/>
      <c r="S864" s="35"/>
      <c r="T864" s="35"/>
      <c r="U864" s="35"/>
      <c r="V864" s="35"/>
      <c r="W864" s="35"/>
      <c r="X864" s="35"/>
      <c r="Y864" s="35"/>
      <c r="Z864" s="35"/>
      <c r="AA864" s="35"/>
    </row>
    <row r="865" ht="12.75" customHeight="1">
      <c r="A865" s="35"/>
      <c r="B865" s="35"/>
      <c r="C865" s="35"/>
      <c r="D865" s="35"/>
      <c r="E865" s="35"/>
      <c r="F865" s="35"/>
      <c r="G865" s="35"/>
      <c r="H865" s="35"/>
      <c r="I865" s="35"/>
      <c r="J865" s="35"/>
      <c r="K865" s="35"/>
      <c r="L865" s="35"/>
      <c r="M865" s="35"/>
      <c r="N865" s="35"/>
      <c r="O865" s="35"/>
      <c r="P865" s="35"/>
      <c r="Q865" s="35"/>
      <c r="R865" s="35"/>
      <c r="S865" s="35"/>
      <c r="T865" s="35"/>
      <c r="U865" s="35"/>
      <c r="V865" s="35"/>
      <c r="W865" s="35"/>
      <c r="X865" s="35"/>
      <c r="Y865" s="35"/>
      <c r="Z865" s="35"/>
      <c r="AA865" s="35"/>
    </row>
    <row r="866" ht="12.75" customHeight="1">
      <c r="A866" s="35"/>
      <c r="B866" s="35"/>
      <c r="C866" s="35"/>
      <c r="D866" s="35"/>
      <c r="E866" s="35"/>
      <c r="F866" s="35"/>
      <c r="G866" s="35"/>
      <c r="H866" s="35"/>
      <c r="I866" s="35"/>
      <c r="J866" s="35"/>
      <c r="K866" s="35"/>
      <c r="L866" s="35"/>
      <c r="M866" s="35"/>
      <c r="N866" s="35"/>
      <c r="O866" s="35"/>
      <c r="P866" s="35"/>
      <c r="Q866" s="35"/>
      <c r="R866" s="35"/>
      <c r="S866" s="35"/>
      <c r="T866" s="35"/>
      <c r="U866" s="35"/>
      <c r="V866" s="35"/>
      <c r="W866" s="35"/>
      <c r="X866" s="35"/>
      <c r="Y866" s="35"/>
      <c r="Z866" s="35"/>
      <c r="AA866" s="35"/>
    </row>
    <row r="867" ht="12.75" customHeight="1">
      <c r="A867" s="35"/>
      <c r="B867" s="35"/>
      <c r="C867" s="35"/>
      <c r="D867" s="35"/>
      <c r="E867" s="35"/>
      <c r="F867" s="35"/>
      <c r="G867" s="35"/>
      <c r="H867" s="35"/>
      <c r="I867" s="35"/>
      <c r="J867" s="35"/>
      <c r="K867" s="35"/>
      <c r="L867" s="35"/>
      <c r="M867" s="35"/>
      <c r="N867" s="35"/>
      <c r="O867" s="35"/>
      <c r="P867" s="35"/>
      <c r="Q867" s="35"/>
      <c r="R867" s="35"/>
      <c r="S867" s="35"/>
      <c r="T867" s="35"/>
      <c r="U867" s="35"/>
      <c r="V867" s="35"/>
      <c r="W867" s="35"/>
      <c r="X867" s="35"/>
      <c r="Y867" s="35"/>
      <c r="Z867" s="35"/>
      <c r="AA867" s="35"/>
    </row>
    <row r="868" ht="12.75" customHeight="1">
      <c r="A868" s="35"/>
      <c r="B868" s="35"/>
      <c r="C868" s="35"/>
      <c r="D868" s="35"/>
      <c r="E868" s="35"/>
      <c r="F868" s="35"/>
      <c r="G868" s="35"/>
      <c r="H868" s="35"/>
      <c r="I868" s="35"/>
      <c r="J868" s="35"/>
      <c r="K868" s="35"/>
      <c r="L868" s="35"/>
      <c r="M868" s="35"/>
      <c r="N868" s="35"/>
      <c r="O868" s="35"/>
      <c r="P868" s="35"/>
      <c r="Q868" s="35"/>
      <c r="R868" s="35"/>
      <c r="S868" s="35"/>
      <c r="T868" s="35"/>
      <c r="U868" s="35"/>
      <c r="V868" s="35"/>
      <c r="W868" s="35"/>
      <c r="X868" s="35"/>
      <c r="Y868" s="35"/>
      <c r="Z868" s="35"/>
      <c r="AA868" s="35"/>
    </row>
    <row r="869" ht="12.75" customHeight="1">
      <c r="A869" s="35"/>
      <c r="B869" s="35"/>
      <c r="C869" s="35"/>
      <c r="D869" s="35"/>
      <c r="E869" s="35"/>
      <c r="F869" s="35"/>
      <c r="G869" s="35"/>
      <c r="H869" s="35"/>
      <c r="I869" s="35"/>
      <c r="J869" s="35"/>
      <c r="K869" s="35"/>
      <c r="L869" s="35"/>
      <c r="M869" s="35"/>
      <c r="N869" s="35"/>
      <c r="O869" s="35"/>
      <c r="P869" s="35"/>
      <c r="Q869" s="35"/>
      <c r="R869" s="35"/>
      <c r="S869" s="35"/>
      <c r="T869" s="35"/>
      <c r="U869" s="35"/>
      <c r="V869" s="35"/>
      <c r="W869" s="35"/>
      <c r="X869" s="35"/>
      <c r="Y869" s="35"/>
      <c r="Z869" s="35"/>
      <c r="AA869" s="35"/>
    </row>
    <row r="870" ht="12.75" customHeight="1">
      <c r="A870" s="35"/>
      <c r="B870" s="35"/>
      <c r="C870" s="35"/>
      <c r="D870" s="35"/>
      <c r="E870" s="35"/>
      <c r="F870" s="35"/>
      <c r="G870" s="35"/>
      <c r="H870" s="35"/>
      <c r="I870" s="35"/>
      <c r="J870" s="35"/>
      <c r="K870" s="35"/>
      <c r="L870" s="35"/>
      <c r="M870" s="35"/>
      <c r="N870" s="35"/>
      <c r="O870" s="35"/>
      <c r="P870" s="35"/>
      <c r="Q870" s="35"/>
      <c r="R870" s="35"/>
      <c r="S870" s="35"/>
      <c r="T870" s="35"/>
      <c r="U870" s="35"/>
      <c r="V870" s="35"/>
      <c r="W870" s="35"/>
      <c r="X870" s="35"/>
      <c r="Y870" s="35"/>
      <c r="Z870" s="35"/>
      <c r="AA870" s="35"/>
    </row>
    <row r="871" ht="12.75" customHeight="1">
      <c r="A871" s="35"/>
      <c r="B871" s="35"/>
      <c r="C871" s="35"/>
      <c r="D871" s="35"/>
      <c r="E871" s="35"/>
      <c r="F871" s="35"/>
      <c r="G871" s="35"/>
      <c r="H871" s="35"/>
      <c r="I871" s="35"/>
      <c r="J871" s="35"/>
      <c r="K871" s="35"/>
      <c r="L871" s="35"/>
      <c r="M871" s="35"/>
      <c r="N871" s="35"/>
      <c r="O871" s="35"/>
      <c r="P871" s="35"/>
      <c r="Q871" s="35"/>
      <c r="R871" s="35"/>
      <c r="S871" s="35"/>
      <c r="T871" s="35"/>
      <c r="U871" s="35"/>
      <c r="V871" s="35"/>
      <c r="W871" s="35"/>
      <c r="X871" s="35"/>
      <c r="Y871" s="35"/>
      <c r="Z871" s="35"/>
      <c r="AA871" s="35"/>
    </row>
    <row r="872" ht="12.75" customHeight="1">
      <c r="A872" s="35"/>
      <c r="B872" s="35"/>
      <c r="C872" s="35"/>
      <c r="D872" s="35"/>
      <c r="E872" s="35"/>
      <c r="F872" s="35"/>
      <c r="G872" s="35"/>
      <c r="H872" s="35"/>
      <c r="I872" s="35"/>
      <c r="J872" s="35"/>
      <c r="K872" s="35"/>
      <c r="L872" s="35"/>
      <c r="M872" s="35"/>
      <c r="N872" s="35"/>
      <c r="O872" s="35"/>
      <c r="P872" s="35"/>
      <c r="Q872" s="35"/>
      <c r="R872" s="35"/>
      <c r="S872" s="35"/>
      <c r="T872" s="35"/>
      <c r="U872" s="35"/>
      <c r="V872" s="35"/>
      <c r="W872" s="35"/>
      <c r="X872" s="35"/>
      <c r="Y872" s="35"/>
      <c r="Z872" s="35"/>
      <c r="AA872" s="35"/>
    </row>
    <row r="873" ht="12.75" customHeight="1">
      <c r="A873" s="35"/>
      <c r="B873" s="35"/>
      <c r="C873" s="35"/>
      <c r="D873" s="35"/>
      <c r="E873" s="35"/>
      <c r="F873" s="35"/>
      <c r="G873" s="35"/>
      <c r="H873" s="35"/>
      <c r="I873" s="35"/>
      <c r="J873" s="35"/>
      <c r="K873" s="35"/>
      <c r="L873" s="35"/>
      <c r="M873" s="35"/>
      <c r="N873" s="35"/>
      <c r="O873" s="35"/>
      <c r="P873" s="35"/>
      <c r="Q873" s="35"/>
      <c r="R873" s="35"/>
      <c r="S873" s="35"/>
      <c r="T873" s="35"/>
      <c r="U873" s="35"/>
      <c r="V873" s="35"/>
      <c r="W873" s="35"/>
      <c r="X873" s="35"/>
      <c r="Y873" s="35"/>
      <c r="Z873" s="35"/>
      <c r="AA873" s="35"/>
    </row>
    <row r="874" ht="12.75" customHeight="1">
      <c r="A874" s="35"/>
      <c r="B874" s="35"/>
      <c r="C874" s="35"/>
      <c r="D874" s="35"/>
      <c r="E874" s="35"/>
      <c r="F874" s="35"/>
      <c r="G874" s="35"/>
      <c r="H874" s="35"/>
      <c r="I874" s="35"/>
      <c r="J874" s="35"/>
      <c r="K874" s="35"/>
      <c r="L874" s="35"/>
      <c r="M874" s="35"/>
      <c r="N874" s="35"/>
      <c r="O874" s="35"/>
      <c r="P874" s="35"/>
      <c r="Q874" s="35"/>
      <c r="R874" s="35"/>
      <c r="S874" s="35"/>
      <c r="T874" s="35"/>
      <c r="U874" s="35"/>
      <c r="V874" s="35"/>
      <c r="W874" s="35"/>
      <c r="X874" s="35"/>
      <c r="Y874" s="35"/>
      <c r="Z874" s="35"/>
      <c r="AA874" s="35"/>
    </row>
    <row r="875" ht="12.75" customHeight="1">
      <c r="A875" s="35"/>
      <c r="B875" s="35"/>
      <c r="C875" s="35"/>
      <c r="D875" s="35"/>
      <c r="E875" s="35"/>
      <c r="F875" s="35"/>
      <c r="G875" s="35"/>
      <c r="H875" s="35"/>
      <c r="I875" s="35"/>
      <c r="J875" s="35"/>
      <c r="K875" s="35"/>
      <c r="L875" s="35"/>
      <c r="M875" s="35"/>
      <c r="N875" s="35"/>
      <c r="O875" s="35"/>
      <c r="P875" s="35"/>
      <c r="Q875" s="35"/>
      <c r="R875" s="35"/>
      <c r="S875" s="35"/>
      <c r="T875" s="35"/>
      <c r="U875" s="35"/>
      <c r="V875" s="35"/>
      <c r="W875" s="35"/>
      <c r="X875" s="35"/>
      <c r="Y875" s="35"/>
      <c r="Z875" s="35"/>
      <c r="AA875" s="35"/>
    </row>
    <row r="876" ht="12.75" customHeight="1">
      <c r="A876" s="35"/>
      <c r="B876" s="35"/>
      <c r="C876" s="35"/>
      <c r="D876" s="35"/>
      <c r="E876" s="35"/>
      <c r="F876" s="35"/>
      <c r="G876" s="35"/>
      <c r="H876" s="35"/>
      <c r="I876" s="35"/>
      <c r="J876" s="35"/>
      <c r="K876" s="35"/>
      <c r="L876" s="35"/>
      <c r="M876" s="35"/>
      <c r="N876" s="35"/>
      <c r="O876" s="35"/>
      <c r="P876" s="35"/>
      <c r="Q876" s="35"/>
      <c r="R876" s="35"/>
      <c r="S876" s="35"/>
      <c r="T876" s="35"/>
      <c r="U876" s="35"/>
      <c r="V876" s="35"/>
      <c r="W876" s="35"/>
      <c r="X876" s="35"/>
      <c r="Y876" s="35"/>
      <c r="Z876" s="35"/>
      <c r="AA876" s="35"/>
    </row>
    <row r="877" ht="12.75" customHeight="1">
      <c r="A877" s="35"/>
      <c r="B877" s="35"/>
      <c r="C877" s="35"/>
      <c r="D877" s="35"/>
      <c r="E877" s="35"/>
      <c r="F877" s="35"/>
      <c r="G877" s="35"/>
      <c r="H877" s="35"/>
      <c r="I877" s="35"/>
      <c r="J877" s="35"/>
      <c r="K877" s="35"/>
      <c r="L877" s="35"/>
      <c r="M877" s="35"/>
      <c r="N877" s="35"/>
      <c r="O877" s="35"/>
      <c r="P877" s="35"/>
      <c r="Q877" s="35"/>
      <c r="R877" s="35"/>
      <c r="S877" s="35"/>
      <c r="T877" s="35"/>
      <c r="U877" s="35"/>
      <c r="V877" s="35"/>
      <c r="W877" s="35"/>
      <c r="X877" s="35"/>
      <c r="Y877" s="35"/>
      <c r="Z877" s="35"/>
      <c r="AA877" s="35"/>
    </row>
    <row r="878" ht="12.75" customHeight="1">
      <c r="A878" s="35"/>
      <c r="B878" s="35"/>
      <c r="C878" s="35"/>
      <c r="D878" s="35"/>
      <c r="E878" s="35"/>
      <c r="F878" s="35"/>
      <c r="G878" s="35"/>
      <c r="H878" s="35"/>
      <c r="I878" s="35"/>
      <c r="J878" s="35"/>
      <c r="K878" s="35"/>
      <c r="L878" s="35"/>
      <c r="M878" s="35"/>
      <c r="N878" s="35"/>
      <c r="O878" s="35"/>
      <c r="P878" s="35"/>
      <c r="Q878" s="35"/>
      <c r="R878" s="35"/>
      <c r="S878" s="35"/>
      <c r="T878" s="35"/>
      <c r="U878" s="35"/>
      <c r="V878" s="35"/>
      <c r="W878" s="35"/>
      <c r="X878" s="35"/>
      <c r="Y878" s="35"/>
      <c r="Z878" s="35"/>
      <c r="AA878" s="35"/>
    </row>
    <row r="879" ht="12.75" customHeight="1">
      <c r="A879" s="35"/>
      <c r="B879" s="35"/>
      <c r="C879" s="35"/>
      <c r="D879" s="35"/>
      <c r="E879" s="35"/>
      <c r="F879" s="35"/>
      <c r="G879" s="35"/>
      <c r="H879" s="35"/>
      <c r="I879" s="35"/>
      <c r="J879" s="35"/>
      <c r="K879" s="35"/>
      <c r="L879" s="35"/>
      <c r="M879" s="35"/>
      <c r="N879" s="35"/>
      <c r="O879" s="35"/>
      <c r="P879" s="35"/>
      <c r="Q879" s="35"/>
      <c r="R879" s="35"/>
      <c r="S879" s="35"/>
      <c r="T879" s="35"/>
      <c r="U879" s="35"/>
      <c r="V879" s="35"/>
      <c r="W879" s="35"/>
      <c r="X879" s="35"/>
      <c r="Y879" s="35"/>
      <c r="Z879" s="35"/>
      <c r="AA879" s="35"/>
    </row>
    <row r="880" ht="12.75" customHeight="1">
      <c r="A880" s="35"/>
      <c r="B880" s="35"/>
      <c r="C880" s="35"/>
      <c r="D880" s="35"/>
      <c r="E880" s="35"/>
      <c r="F880" s="35"/>
      <c r="G880" s="35"/>
      <c r="H880" s="35"/>
      <c r="I880" s="35"/>
      <c r="J880" s="35"/>
      <c r="K880" s="35"/>
      <c r="L880" s="35"/>
      <c r="M880" s="35"/>
      <c r="N880" s="35"/>
      <c r="O880" s="35"/>
      <c r="P880" s="35"/>
      <c r="Q880" s="35"/>
      <c r="R880" s="35"/>
      <c r="S880" s="35"/>
      <c r="T880" s="35"/>
      <c r="U880" s="35"/>
      <c r="V880" s="35"/>
      <c r="W880" s="35"/>
      <c r="X880" s="35"/>
      <c r="Y880" s="35"/>
      <c r="Z880" s="35"/>
      <c r="AA880" s="35"/>
    </row>
    <row r="881" ht="12.75" customHeight="1">
      <c r="A881" s="35"/>
      <c r="B881" s="35"/>
      <c r="C881" s="35"/>
      <c r="D881" s="35"/>
      <c r="E881" s="35"/>
      <c r="F881" s="35"/>
      <c r="G881" s="35"/>
      <c r="H881" s="35"/>
      <c r="I881" s="35"/>
      <c r="J881" s="35"/>
      <c r="K881" s="35"/>
      <c r="L881" s="35"/>
      <c r="M881" s="35"/>
      <c r="N881" s="35"/>
      <c r="O881" s="35"/>
      <c r="P881" s="35"/>
      <c r="Q881" s="35"/>
      <c r="R881" s="35"/>
      <c r="S881" s="35"/>
      <c r="T881" s="35"/>
      <c r="U881" s="35"/>
      <c r="V881" s="35"/>
      <c r="W881" s="35"/>
      <c r="X881" s="35"/>
      <c r="Y881" s="35"/>
      <c r="Z881" s="35"/>
      <c r="AA881" s="35"/>
    </row>
    <row r="882" ht="12.75" customHeight="1">
      <c r="A882" s="35"/>
      <c r="B882" s="35"/>
      <c r="C882" s="35"/>
      <c r="D882" s="35"/>
      <c r="E882" s="35"/>
      <c r="F882" s="35"/>
      <c r="G882" s="35"/>
      <c r="H882" s="35"/>
      <c r="I882" s="35"/>
      <c r="J882" s="35"/>
      <c r="K882" s="35"/>
      <c r="L882" s="35"/>
      <c r="M882" s="35"/>
      <c r="N882" s="35"/>
      <c r="O882" s="35"/>
      <c r="P882" s="35"/>
      <c r="Q882" s="35"/>
      <c r="R882" s="35"/>
      <c r="S882" s="35"/>
      <c r="T882" s="35"/>
      <c r="U882" s="35"/>
      <c r="V882" s="35"/>
      <c r="W882" s="35"/>
      <c r="X882" s="35"/>
      <c r="Y882" s="35"/>
      <c r="Z882" s="35"/>
      <c r="AA882" s="35"/>
    </row>
    <row r="883" ht="12.75" customHeight="1">
      <c r="A883" s="35"/>
      <c r="B883" s="35"/>
      <c r="C883" s="35"/>
      <c r="D883" s="35"/>
      <c r="E883" s="35"/>
      <c r="F883" s="35"/>
      <c r="G883" s="35"/>
      <c r="H883" s="35"/>
      <c r="I883" s="35"/>
      <c r="J883" s="35"/>
      <c r="K883" s="35"/>
      <c r="L883" s="35"/>
      <c r="M883" s="35"/>
      <c r="N883" s="35"/>
      <c r="O883" s="35"/>
      <c r="P883" s="35"/>
      <c r="Q883" s="35"/>
      <c r="R883" s="35"/>
      <c r="S883" s="35"/>
      <c r="T883" s="35"/>
      <c r="U883" s="35"/>
      <c r="V883" s="35"/>
      <c r="W883" s="35"/>
      <c r="X883" s="35"/>
      <c r="Y883" s="35"/>
      <c r="Z883" s="35"/>
      <c r="AA883" s="35"/>
    </row>
    <row r="884" ht="12.75" customHeight="1">
      <c r="A884" s="35"/>
      <c r="B884" s="35"/>
      <c r="C884" s="35"/>
      <c r="D884" s="35"/>
      <c r="E884" s="35"/>
      <c r="F884" s="35"/>
      <c r="G884" s="35"/>
      <c r="H884" s="35"/>
      <c r="I884" s="35"/>
      <c r="J884" s="35"/>
      <c r="K884" s="35"/>
      <c r="L884" s="35"/>
      <c r="M884" s="35"/>
      <c r="N884" s="35"/>
      <c r="O884" s="35"/>
      <c r="P884" s="35"/>
      <c r="Q884" s="35"/>
      <c r="R884" s="35"/>
      <c r="S884" s="35"/>
      <c r="T884" s="35"/>
      <c r="U884" s="35"/>
      <c r="V884" s="35"/>
      <c r="W884" s="35"/>
      <c r="X884" s="35"/>
      <c r="Y884" s="35"/>
      <c r="Z884" s="35"/>
      <c r="AA884" s="35"/>
    </row>
    <row r="885" ht="12.75" customHeight="1">
      <c r="A885" s="35"/>
      <c r="B885" s="35"/>
      <c r="C885" s="35"/>
      <c r="D885" s="35"/>
      <c r="E885" s="35"/>
      <c r="F885" s="35"/>
      <c r="G885" s="35"/>
      <c r="H885" s="35"/>
      <c r="I885" s="35"/>
      <c r="J885" s="35"/>
      <c r="K885" s="35"/>
      <c r="L885" s="35"/>
      <c r="M885" s="35"/>
      <c r="N885" s="35"/>
      <c r="O885" s="35"/>
      <c r="P885" s="35"/>
      <c r="Q885" s="35"/>
      <c r="R885" s="35"/>
      <c r="S885" s="35"/>
      <c r="T885" s="35"/>
      <c r="U885" s="35"/>
      <c r="V885" s="35"/>
      <c r="W885" s="35"/>
      <c r="X885" s="35"/>
      <c r="Y885" s="35"/>
      <c r="Z885" s="35"/>
      <c r="AA885" s="35"/>
    </row>
    <row r="886" ht="12.75" customHeight="1">
      <c r="A886" s="35"/>
      <c r="B886" s="35"/>
      <c r="C886" s="35"/>
      <c r="D886" s="35"/>
      <c r="E886" s="35"/>
      <c r="F886" s="35"/>
      <c r="G886" s="35"/>
      <c r="H886" s="35"/>
      <c r="I886" s="35"/>
      <c r="J886" s="35"/>
      <c r="K886" s="35"/>
      <c r="L886" s="35"/>
      <c r="M886" s="35"/>
      <c r="N886" s="35"/>
      <c r="O886" s="35"/>
      <c r="P886" s="35"/>
      <c r="Q886" s="35"/>
      <c r="R886" s="35"/>
      <c r="S886" s="35"/>
      <c r="T886" s="35"/>
      <c r="U886" s="35"/>
      <c r="V886" s="35"/>
      <c r="W886" s="35"/>
      <c r="X886" s="35"/>
      <c r="Y886" s="35"/>
      <c r="Z886" s="35"/>
      <c r="AA886" s="35"/>
    </row>
    <row r="887" ht="12.75" customHeight="1">
      <c r="A887" s="35"/>
      <c r="B887" s="35"/>
      <c r="C887" s="35"/>
      <c r="D887" s="35"/>
      <c r="E887" s="35"/>
      <c r="F887" s="35"/>
      <c r="G887" s="35"/>
      <c r="H887" s="35"/>
      <c r="I887" s="35"/>
      <c r="J887" s="35"/>
      <c r="K887" s="35"/>
      <c r="L887" s="35"/>
      <c r="M887" s="35"/>
      <c r="N887" s="35"/>
      <c r="O887" s="35"/>
      <c r="P887" s="35"/>
      <c r="Q887" s="35"/>
      <c r="R887" s="35"/>
      <c r="S887" s="35"/>
      <c r="T887" s="35"/>
      <c r="U887" s="35"/>
      <c r="V887" s="35"/>
      <c r="W887" s="35"/>
      <c r="X887" s="35"/>
      <c r="Y887" s="35"/>
      <c r="Z887" s="35"/>
      <c r="AA887" s="35"/>
    </row>
    <row r="888" ht="12.75" customHeight="1">
      <c r="A888" s="35"/>
      <c r="B888" s="35"/>
      <c r="C888" s="35"/>
      <c r="D888" s="35"/>
      <c r="E888" s="35"/>
      <c r="F888" s="35"/>
      <c r="G888" s="35"/>
      <c r="H888" s="35"/>
      <c r="I888" s="35"/>
      <c r="J888" s="35"/>
      <c r="K888" s="35"/>
      <c r="L888" s="35"/>
      <c r="M888" s="35"/>
      <c r="N888" s="35"/>
      <c r="O888" s="35"/>
      <c r="P888" s="35"/>
      <c r="Q888" s="35"/>
      <c r="R888" s="35"/>
      <c r="S888" s="35"/>
      <c r="T888" s="35"/>
      <c r="U888" s="35"/>
      <c r="V888" s="35"/>
      <c r="W888" s="35"/>
      <c r="X888" s="35"/>
      <c r="Y888" s="35"/>
      <c r="Z888" s="35"/>
      <c r="AA888" s="35"/>
    </row>
    <row r="889" ht="12.75" customHeight="1">
      <c r="A889" s="35"/>
      <c r="B889" s="35"/>
      <c r="C889" s="35"/>
      <c r="D889" s="35"/>
      <c r="E889" s="35"/>
      <c r="F889" s="35"/>
      <c r="G889" s="35"/>
      <c r="H889" s="35"/>
      <c r="I889" s="35"/>
      <c r="J889" s="35"/>
      <c r="K889" s="35"/>
      <c r="L889" s="35"/>
      <c r="M889" s="35"/>
      <c r="N889" s="35"/>
      <c r="O889" s="35"/>
      <c r="P889" s="35"/>
      <c r="Q889" s="35"/>
      <c r="R889" s="35"/>
      <c r="S889" s="35"/>
      <c r="T889" s="35"/>
      <c r="U889" s="35"/>
      <c r="V889" s="35"/>
      <c r="W889" s="35"/>
      <c r="X889" s="35"/>
      <c r="Y889" s="35"/>
      <c r="Z889" s="35"/>
      <c r="AA889" s="35"/>
    </row>
    <row r="890" ht="12.75" customHeight="1">
      <c r="A890" s="35"/>
      <c r="B890" s="35"/>
      <c r="C890" s="35"/>
      <c r="D890" s="35"/>
      <c r="E890" s="35"/>
      <c r="F890" s="35"/>
      <c r="G890" s="35"/>
      <c r="H890" s="35"/>
      <c r="I890" s="35"/>
      <c r="J890" s="35"/>
      <c r="K890" s="35"/>
      <c r="L890" s="35"/>
      <c r="M890" s="35"/>
      <c r="N890" s="35"/>
      <c r="O890" s="35"/>
      <c r="P890" s="35"/>
      <c r="Q890" s="35"/>
      <c r="R890" s="35"/>
      <c r="S890" s="35"/>
      <c r="T890" s="35"/>
      <c r="U890" s="35"/>
      <c r="V890" s="35"/>
      <c r="W890" s="35"/>
      <c r="X890" s="35"/>
      <c r="Y890" s="35"/>
      <c r="Z890" s="35"/>
      <c r="AA890" s="35"/>
    </row>
    <row r="891" ht="12.75" customHeight="1">
      <c r="A891" s="35"/>
      <c r="B891" s="35"/>
      <c r="C891" s="35"/>
      <c r="D891" s="35"/>
      <c r="E891" s="35"/>
      <c r="F891" s="35"/>
      <c r="G891" s="35"/>
      <c r="H891" s="35"/>
      <c r="I891" s="35"/>
      <c r="J891" s="35"/>
      <c r="K891" s="35"/>
      <c r="L891" s="35"/>
      <c r="M891" s="35"/>
      <c r="N891" s="35"/>
      <c r="O891" s="35"/>
      <c r="P891" s="35"/>
      <c r="Q891" s="35"/>
      <c r="R891" s="35"/>
      <c r="S891" s="35"/>
      <c r="T891" s="35"/>
      <c r="U891" s="35"/>
      <c r="V891" s="35"/>
      <c r="W891" s="35"/>
      <c r="X891" s="35"/>
      <c r="Y891" s="35"/>
      <c r="Z891" s="35"/>
      <c r="AA891" s="35"/>
    </row>
    <row r="892" ht="12.75" customHeight="1">
      <c r="A892" s="35"/>
      <c r="B892" s="35"/>
      <c r="C892" s="35"/>
      <c r="D892" s="35"/>
      <c r="E892" s="35"/>
      <c r="F892" s="35"/>
      <c r="G892" s="35"/>
      <c r="H892" s="35"/>
      <c r="I892" s="35"/>
      <c r="J892" s="35"/>
      <c r="K892" s="35"/>
      <c r="L892" s="35"/>
      <c r="M892" s="35"/>
      <c r="N892" s="35"/>
      <c r="O892" s="35"/>
      <c r="P892" s="35"/>
      <c r="Q892" s="35"/>
      <c r="R892" s="35"/>
      <c r="S892" s="35"/>
      <c r="T892" s="35"/>
      <c r="U892" s="35"/>
      <c r="V892" s="35"/>
      <c r="W892" s="35"/>
      <c r="X892" s="35"/>
      <c r="Y892" s="35"/>
      <c r="Z892" s="35"/>
      <c r="AA892" s="35"/>
    </row>
    <row r="893" ht="12.75" customHeight="1">
      <c r="A893" s="35"/>
      <c r="B893" s="35"/>
      <c r="C893" s="35"/>
      <c r="D893" s="35"/>
      <c r="E893" s="35"/>
      <c r="F893" s="35"/>
      <c r="G893" s="35"/>
      <c r="H893" s="35"/>
      <c r="I893" s="35"/>
      <c r="J893" s="35"/>
      <c r="K893" s="35"/>
      <c r="L893" s="35"/>
      <c r="M893" s="35"/>
      <c r="N893" s="35"/>
      <c r="O893" s="35"/>
      <c r="P893" s="35"/>
      <c r="Q893" s="35"/>
      <c r="R893" s="35"/>
      <c r="S893" s="35"/>
      <c r="T893" s="35"/>
      <c r="U893" s="35"/>
      <c r="V893" s="35"/>
      <c r="W893" s="35"/>
      <c r="X893" s="35"/>
      <c r="Y893" s="35"/>
      <c r="Z893" s="35"/>
      <c r="AA893" s="35"/>
    </row>
    <row r="894" ht="12.75" customHeight="1">
      <c r="A894" s="35"/>
      <c r="B894" s="35"/>
      <c r="C894" s="35"/>
      <c r="D894" s="35"/>
      <c r="E894" s="35"/>
      <c r="F894" s="35"/>
      <c r="G894" s="35"/>
      <c r="H894" s="35"/>
      <c r="I894" s="35"/>
      <c r="J894" s="35"/>
      <c r="K894" s="35"/>
      <c r="L894" s="35"/>
      <c r="M894" s="35"/>
      <c r="N894" s="35"/>
      <c r="O894" s="35"/>
      <c r="P894" s="35"/>
      <c r="Q894" s="35"/>
      <c r="R894" s="35"/>
      <c r="S894" s="35"/>
      <c r="T894" s="35"/>
      <c r="U894" s="35"/>
      <c r="V894" s="35"/>
      <c r="W894" s="35"/>
      <c r="X894" s="35"/>
      <c r="Y894" s="35"/>
      <c r="Z894" s="35"/>
      <c r="AA894" s="35"/>
    </row>
    <row r="895" ht="12.75" customHeight="1">
      <c r="A895" s="35"/>
      <c r="B895" s="35"/>
      <c r="C895" s="35"/>
      <c r="D895" s="35"/>
      <c r="E895" s="35"/>
      <c r="F895" s="35"/>
      <c r="G895" s="35"/>
      <c r="H895" s="35"/>
      <c r="I895" s="35"/>
      <c r="J895" s="35"/>
      <c r="K895" s="35"/>
      <c r="L895" s="35"/>
      <c r="M895" s="35"/>
      <c r="N895" s="35"/>
      <c r="O895" s="35"/>
      <c r="P895" s="35"/>
      <c r="Q895" s="35"/>
      <c r="R895" s="35"/>
      <c r="S895" s="35"/>
      <c r="T895" s="35"/>
      <c r="U895" s="35"/>
      <c r="V895" s="35"/>
      <c r="W895" s="35"/>
      <c r="X895" s="35"/>
      <c r="Y895" s="35"/>
      <c r="Z895" s="35"/>
      <c r="AA895" s="35"/>
    </row>
    <row r="896" ht="12.75" customHeight="1">
      <c r="A896" s="35"/>
      <c r="B896" s="35"/>
      <c r="C896" s="35"/>
      <c r="D896" s="35"/>
      <c r="E896" s="35"/>
      <c r="F896" s="35"/>
      <c r="G896" s="35"/>
      <c r="H896" s="35"/>
      <c r="I896" s="35"/>
      <c r="J896" s="35"/>
      <c r="K896" s="35"/>
      <c r="L896" s="35"/>
      <c r="M896" s="35"/>
      <c r="N896" s="35"/>
      <c r="O896" s="35"/>
      <c r="P896" s="35"/>
      <c r="Q896" s="35"/>
      <c r="R896" s="35"/>
      <c r="S896" s="35"/>
      <c r="T896" s="35"/>
      <c r="U896" s="35"/>
      <c r="V896" s="35"/>
      <c r="W896" s="35"/>
      <c r="X896" s="35"/>
      <c r="Y896" s="35"/>
      <c r="Z896" s="35"/>
      <c r="AA896" s="35"/>
    </row>
    <row r="897" ht="12.75" customHeight="1">
      <c r="A897" s="35"/>
      <c r="B897" s="35"/>
      <c r="C897" s="35"/>
      <c r="D897" s="35"/>
      <c r="E897" s="35"/>
      <c r="F897" s="35"/>
      <c r="G897" s="35"/>
      <c r="H897" s="35"/>
      <c r="I897" s="35"/>
      <c r="J897" s="35"/>
      <c r="K897" s="35"/>
      <c r="L897" s="35"/>
      <c r="M897" s="35"/>
      <c r="N897" s="35"/>
      <c r="O897" s="35"/>
      <c r="P897" s="35"/>
      <c r="Q897" s="35"/>
      <c r="R897" s="35"/>
      <c r="S897" s="35"/>
      <c r="T897" s="35"/>
      <c r="U897" s="35"/>
      <c r="V897" s="35"/>
      <c r="W897" s="35"/>
      <c r="X897" s="35"/>
      <c r="Y897" s="35"/>
      <c r="Z897" s="35"/>
      <c r="AA897" s="35"/>
    </row>
    <row r="898" ht="12.75" customHeight="1">
      <c r="A898" s="35"/>
      <c r="B898" s="35"/>
      <c r="C898" s="35"/>
      <c r="D898" s="35"/>
      <c r="E898" s="35"/>
      <c r="F898" s="35"/>
      <c r="G898" s="35"/>
      <c r="H898" s="35"/>
      <c r="I898" s="35"/>
      <c r="J898" s="35"/>
      <c r="K898" s="35"/>
      <c r="L898" s="35"/>
      <c r="M898" s="35"/>
      <c r="N898" s="35"/>
      <c r="O898" s="35"/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5"/>
      <c r="AA898" s="35"/>
    </row>
    <row r="899" ht="12.75" customHeight="1">
      <c r="A899" s="35"/>
      <c r="B899" s="35"/>
      <c r="C899" s="35"/>
      <c r="D899" s="35"/>
      <c r="E899" s="35"/>
      <c r="F899" s="35"/>
      <c r="G899" s="35"/>
      <c r="H899" s="35"/>
      <c r="I899" s="35"/>
      <c r="J899" s="35"/>
      <c r="K899" s="35"/>
      <c r="L899" s="35"/>
      <c r="M899" s="35"/>
      <c r="N899" s="35"/>
      <c r="O899" s="35"/>
      <c r="P899" s="35"/>
      <c r="Q899" s="35"/>
      <c r="R899" s="35"/>
      <c r="S899" s="35"/>
      <c r="T899" s="35"/>
      <c r="U899" s="35"/>
      <c r="V899" s="35"/>
      <c r="W899" s="35"/>
      <c r="X899" s="35"/>
      <c r="Y899" s="35"/>
      <c r="Z899" s="35"/>
      <c r="AA899" s="35"/>
    </row>
    <row r="900" ht="12.75" customHeight="1">
      <c r="A900" s="35"/>
      <c r="B900" s="35"/>
      <c r="C900" s="35"/>
      <c r="D900" s="35"/>
      <c r="E900" s="35"/>
      <c r="F900" s="35"/>
      <c r="G900" s="35"/>
      <c r="H900" s="35"/>
      <c r="I900" s="35"/>
      <c r="J900" s="35"/>
      <c r="K900" s="35"/>
      <c r="L900" s="35"/>
      <c r="M900" s="35"/>
      <c r="N900" s="35"/>
      <c r="O900" s="35"/>
      <c r="P900" s="35"/>
      <c r="Q900" s="35"/>
      <c r="R900" s="35"/>
      <c r="S900" s="35"/>
      <c r="T900" s="35"/>
      <c r="U900" s="35"/>
      <c r="V900" s="35"/>
      <c r="W900" s="35"/>
      <c r="X900" s="35"/>
      <c r="Y900" s="35"/>
      <c r="Z900" s="35"/>
      <c r="AA900" s="35"/>
    </row>
    <row r="901" ht="12.75" customHeight="1">
      <c r="A901" s="35"/>
      <c r="B901" s="35"/>
      <c r="C901" s="35"/>
      <c r="D901" s="35"/>
      <c r="E901" s="35"/>
      <c r="F901" s="35"/>
      <c r="G901" s="35"/>
      <c r="H901" s="35"/>
      <c r="I901" s="35"/>
      <c r="J901" s="35"/>
      <c r="K901" s="35"/>
      <c r="L901" s="35"/>
      <c r="M901" s="35"/>
      <c r="N901" s="35"/>
      <c r="O901" s="35"/>
      <c r="P901" s="35"/>
      <c r="Q901" s="35"/>
      <c r="R901" s="35"/>
      <c r="S901" s="35"/>
      <c r="T901" s="35"/>
      <c r="U901" s="35"/>
      <c r="V901" s="35"/>
      <c r="W901" s="35"/>
      <c r="X901" s="35"/>
      <c r="Y901" s="35"/>
      <c r="Z901" s="35"/>
      <c r="AA901" s="35"/>
    </row>
    <row r="902" ht="12.75" customHeight="1">
      <c r="A902" s="35"/>
      <c r="B902" s="35"/>
      <c r="C902" s="35"/>
      <c r="D902" s="35"/>
      <c r="E902" s="35"/>
      <c r="F902" s="35"/>
      <c r="G902" s="35"/>
      <c r="H902" s="35"/>
      <c r="I902" s="35"/>
      <c r="J902" s="35"/>
      <c r="K902" s="35"/>
      <c r="L902" s="35"/>
      <c r="M902" s="35"/>
      <c r="N902" s="35"/>
      <c r="O902" s="35"/>
      <c r="P902" s="35"/>
      <c r="Q902" s="35"/>
      <c r="R902" s="35"/>
      <c r="S902" s="35"/>
      <c r="T902" s="35"/>
      <c r="U902" s="35"/>
      <c r="V902" s="35"/>
      <c r="W902" s="35"/>
      <c r="X902" s="35"/>
      <c r="Y902" s="35"/>
      <c r="Z902" s="35"/>
      <c r="AA902" s="35"/>
    </row>
    <row r="903" ht="12.75" customHeight="1">
      <c r="A903" s="35"/>
      <c r="B903" s="35"/>
      <c r="C903" s="35"/>
      <c r="D903" s="35"/>
      <c r="E903" s="35"/>
      <c r="F903" s="35"/>
      <c r="G903" s="35"/>
      <c r="H903" s="35"/>
      <c r="I903" s="35"/>
      <c r="J903" s="35"/>
      <c r="K903" s="35"/>
      <c r="L903" s="35"/>
      <c r="M903" s="35"/>
      <c r="N903" s="35"/>
      <c r="O903" s="35"/>
      <c r="P903" s="35"/>
      <c r="Q903" s="35"/>
      <c r="R903" s="35"/>
      <c r="S903" s="35"/>
      <c r="T903" s="35"/>
      <c r="U903" s="35"/>
      <c r="V903" s="35"/>
      <c r="W903" s="35"/>
      <c r="X903" s="35"/>
      <c r="Y903" s="35"/>
      <c r="Z903" s="35"/>
      <c r="AA903" s="35"/>
    </row>
    <row r="904" ht="12.75" customHeight="1">
      <c r="A904" s="35"/>
      <c r="B904" s="35"/>
      <c r="C904" s="35"/>
      <c r="D904" s="35"/>
      <c r="E904" s="35"/>
      <c r="F904" s="35"/>
      <c r="G904" s="35"/>
      <c r="H904" s="35"/>
      <c r="I904" s="35"/>
      <c r="J904" s="35"/>
      <c r="K904" s="35"/>
      <c r="L904" s="35"/>
      <c r="M904" s="35"/>
      <c r="N904" s="35"/>
      <c r="O904" s="35"/>
      <c r="P904" s="35"/>
      <c r="Q904" s="35"/>
      <c r="R904" s="35"/>
      <c r="S904" s="35"/>
      <c r="T904" s="35"/>
      <c r="U904" s="35"/>
      <c r="V904" s="35"/>
      <c r="W904" s="35"/>
      <c r="X904" s="35"/>
      <c r="Y904" s="35"/>
      <c r="Z904" s="35"/>
      <c r="AA904" s="35"/>
    </row>
    <row r="905" ht="12.75" customHeight="1">
      <c r="A905" s="35"/>
      <c r="B905" s="35"/>
      <c r="C905" s="35"/>
      <c r="D905" s="35"/>
      <c r="E905" s="35"/>
      <c r="F905" s="35"/>
      <c r="G905" s="35"/>
      <c r="H905" s="35"/>
      <c r="I905" s="35"/>
      <c r="J905" s="35"/>
      <c r="K905" s="35"/>
      <c r="L905" s="35"/>
      <c r="M905" s="35"/>
      <c r="N905" s="35"/>
      <c r="O905" s="35"/>
      <c r="P905" s="35"/>
      <c r="Q905" s="35"/>
      <c r="R905" s="35"/>
      <c r="S905" s="35"/>
      <c r="T905" s="35"/>
      <c r="U905" s="35"/>
      <c r="V905" s="35"/>
      <c r="W905" s="35"/>
      <c r="X905" s="35"/>
      <c r="Y905" s="35"/>
      <c r="Z905" s="35"/>
      <c r="AA905" s="35"/>
    </row>
    <row r="906" ht="12.75" customHeight="1">
      <c r="A906" s="35"/>
      <c r="B906" s="35"/>
      <c r="C906" s="35"/>
      <c r="D906" s="35"/>
      <c r="E906" s="35"/>
      <c r="F906" s="35"/>
      <c r="G906" s="35"/>
      <c r="H906" s="35"/>
      <c r="I906" s="35"/>
      <c r="J906" s="35"/>
      <c r="K906" s="35"/>
      <c r="L906" s="35"/>
      <c r="M906" s="35"/>
      <c r="N906" s="35"/>
      <c r="O906" s="35"/>
      <c r="P906" s="35"/>
      <c r="Q906" s="35"/>
      <c r="R906" s="35"/>
      <c r="S906" s="35"/>
      <c r="T906" s="35"/>
      <c r="U906" s="35"/>
      <c r="V906" s="35"/>
      <c r="W906" s="35"/>
      <c r="X906" s="35"/>
      <c r="Y906" s="35"/>
      <c r="Z906" s="35"/>
      <c r="AA906" s="35"/>
    </row>
    <row r="907" ht="12.75" customHeight="1">
      <c r="A907" s="35"/>
      <c r="B907" s="35"/>
      <c r="C907" s="35"/>
      <c r="D907" s="35"/>
      <c r="E907" s="35"/>
      <c r="F907" s="35"/>
      <c r="G907" s="35"/>
      <c r="H907" s="35"/>
      <c r="I907" s="35"/>
      <c r="J907" s="35"/>
      <c r="K907" s="35"/>
      <c r="L907" s="35"/>
      <c r="M907" s="35"/>
      <c r="N907" s="35"/>
      <c r="O907" s="35"/>
      <c r="P907" s="35"/>
      <c r="Q907" s="35"/>
      <c r="R907" s="35"/>
      <c r="S907" s="35"/>
      <c r="T907" s="35"/>
      <c r="U907" s="35"/>
      <c r="V907" s="35"/>
      <c r="W907" s="35"/>
      <c r="X907" s="35"/>
      <c r="Y907" s="35"/>
      <c r="Z907" s="35"/>
      <c r="AA907" s="35"/>
    </row>
    <row r="908" ht="12.75" customHeight="1">
      <c r="A908" s="35"/>
      <c r="B908" s="35"/>
      <c r="C908" s="35"/>
      <c r="D908" s="35"/>
      <c r="E908" s="35"/>
      <c r="F908" s="35"/>
      <c r="G908" s="35"/>
      <c r="H908" s="35"/>
      <c r="I908" s="35"/>
      <c r="J908" s="35"/>
      <c r="K908" s="35"/>
      <c r="L908" s="35"/>
      <c r="M908" s="35"/>
      <c r="N908" s="35"/>
      <c r="O908" s="35"/>
      <c r="P908" s="35"/>
      <c r="Q908" s="35"/>
      <c r="R908" s="35"/>
      <c r="S908" s="35"/>
      <c r="T908" s="35"/>
      <c r="U908" s="35"/>
      <c r="V908" s="35"/>
      <c r="W908" s="35"/>
      <c r="X908" s="35"/>
      <c r="Y908" s="35"/>
      <c r="Z908" s="35"/>
      <c r="AA908" s="35"/>
    </row>
    <row r="909" ht="12.75" customHeight="1">
      <c r="A909" s="35"/>
      <c r="B909" s="35"/>
      <c r="C909" s="35"/>
      <c r="D909" s="35"/>
      <c r="E909" s="35"/>
      <c r="F909" s="35"/>
      <c r="G909" s="35"/>
      <c r="H909" s="35"/>
      <c r="I909" s="35"/>
      <c r="J909" s="35"/>
      <c r="K909" s="35"/>
      <c r="L909" s="35"/>
      <c r="M909" s="35"/>
      <c r="N909" s="35"/>
      <c r="O909" s="35"/>
      <c r="P909" s="35"/>
      <c r="Q909" s="35"/>
      <c r="R909" s="35"/>
      <c r="S909" s="35"/>
      <c r="T909" s="35"/>
      <c r="U909" s="35"/>
      <c r="V909" s="35"/>
      <c r="W909" s="35"/>
      <c r="X909" s="35"/>
      <c r="Y909" s="35"/>
      <c r="Z909" s="35"/>
      <c r="AA909" s="35"/>
    </row>
    <row r="910" ht="12.75" customHeight="1">
      <c r="A910" s="35"/>
      <c r="B910" s="35"/>
      <c r="C910" s="35"/>
      <c r="D910" s="35"/>
      <c r="E910" s="35"/>
      <c r="F910" s="35"/>
      <c r="G910" s="35"/>
      <c r="H910" s="35"/>
      <c r="I910" s="35"/>
      <c r="J910" s="35"/>
      <c r="K910" s="35"/>
      <c r="L910" s="35"/>
      <c r="M910" s="35"/>
      <c r="N910" s="35"/>
      <c r="O910" s="35"/>
      <c r="P910" s="35"/>
      <c r="Q910" s="35"/>
      <c r="R910" s="35"/>
      <c r="S910" s="35"/>
      <c r="T910" s="35"/>
      <c r="U910" s="35"/>
      <c r="V910" s="35"/>
      <c r="W910" s="35"/>
      <c r="X910" s="35"/>
      <c r="Y910" s="35"/>
      <c r="Z910" s="35"/>
      <c r="AA910" s="35"/>
    </row>
    <row r="911" ht="12.75" customHeight="1">
      <c r="A911" s="35"/>
      <c r="B911" s="35"/>
      <c r="C911" s="35"/>
      <c r="D911" s="35"/>
      <c r="E911" s="35"/>
      <c r="F911" s="35"/>
      <c r="G911" s="35"/>
      <c r="H911" s="35"/>
      <c r="I911" s="35"/>
      <c r="J911" s="35"/>
      <c r="K911" s="35"/>
      <c r="L911" s="35"/>
      <c r="M911" s="35"/>
      <c r="N911" s="35"/>
      <c r="O911" s="35"/>
      <c r="P911" s="35"/>
      <c r="Q911" s="35"/>
      <c r="R911" s="35"/>
      <c r="S911" s="35"/>
      <c r="T911" s="35"/>
      <c r="U911" s="35"/>
      <c r="V911" s="35"/>
      <c r="W911" s="35"/>
      <c r="X911" s="35"/>
      <c r="Y911" s="35"/>
      <c r="Z911" s="35"/>
      <c r="AA911" s="35"/>
    </row>
    <row r="912" ht="12.75" customHeight="1">
      <c r="A912" s="35"/>
      <c r="B912" s="35"/>
      <c r="C912" s="35"/>
      <c r="D912" s="35"/>
      <c r="E912" s="35"/>
      <c r="F912" s="35"/>
      <c r="G912" s="35"/>
      <c r="H912" s="35"/>
      <c r="I912" s="35"/>
      <c r="J912" s="35"/>
      <c r="K912" s="35"/>
      <c r="L912" s="35"/>
      <c r="M912" s="35"/>
      <c r="N912" s="35"/>
      <c r="O912" s="35"/>
      <c r="P912" s="35"/>
      <c r="Q912" s="35"/>
      <c r="R912" s="35"/>
      <c r="S912" s="35"/>
      <c r="T912" s="35"/>
      <c r="U912" s="35"/>
      <c r="V912" s="35"/>
      <c r="W912" s="35"/>
      <c r="X912" s="35"/>
      <c r="Y912" s="35"/>
      <c r="Z912" s="35"/>
      <c r="AA912" s="35"/>
    </row>
    <row r="913" ht="12.75" customHeight="1">
      <c r="A913" s="35"/>
      <c r="B913" s="35"/>
      <c r="C913" s="35"/>
      <c r="D913" s="35"/>
      <c r="E913" s="35"/>
      <c r="F913" s="35"/>
      <c r="G913" s="35"/>
      <c r="H913" s="35"/>
      <c r="I913" s="35"/>
      <c r="J913" s="35"/>
      <c r="K913" s="35"/>
      <c r="L913" s="35"/>
      <c r="M913" s="35"/>
      <c r="N913" s="35"/>
      <c r="O913" s="35"/>
      <c r="P913" s="35"/>
      <c r="Q913" s="35"/>
      <c r="R913" s="35"/>
      <c r="S913" s="35"/>
      <c r="T913" s="35"/>
      <c r="U913" s="35"/>
      <c r="V913" s="35"/>
      <c r="W913" s="35"/>
      <c r="X913" s="35"/>
      <c r="Y913" s="35"/>
      <c r="Z913" s="35"/>
      <c r="AA913" s="35"/>
    </row>
    <row r="914" ht="12.75" customHeight="1">
      <c r="A914" s="35"/>
      <c r="B914" s="35"/>
      <c r="C914" s="35"/>
      <c r="D914" s="35"/>
      <c r="E914" s="35"/>
      <c r="F914" s="35"/>
      <c r="G914" s="35"/>
      <c r="H914" s="35"/>
      <c r="I914" s="35"/>
      <c r="J914" s="35"/>
      <c r="K914" s="35"/>
      <c r="L914" s="35"/>
      <c r="M914" s="35"/>
      <c r="N914" s="35"/>
      <c r="O914" s="35"/>
      <c r="P914" s="35"/>
      <c r="Q914" s="35"/>
      <c r="R914" s="35"/>
      <c r="S914" s="35"/>
      <c r="T914" s="35"/>
      <c r="U914" s="35"/>
      <c r="V914" s="35"/>
      <c r="W914" s="35"/>
      <c r="X914" s="35"/>
      <c r="Y914" s="35"/>
      <c r="Z914" s="35"/>
      <c r="AA914" s="35"/>
    </row>
    <row r="915" ht="12.75" customHeight="1">
      <c r="A915" s="35"/>
      <c r="B915" s="35"/>
      <c r="C915" s="35"/>
      <c r="D915" s="35"/>
      <c r="E915" s="35"/>
      <c r="F915" s="35"/>
      <c r="G915" s="35"/>
      <c r="H915" s="35"/>
      <c r="I915" s="35"/>
      <c r="J915" s="35"/>
      <c r="K915" s="35"/>
      <c r="L915" s="35"/>
      <c r="M915" s="35"/>
      <c r="N915" s="35"/>
      <c r="O915" s="35"/>
      <c r="P915" s="35"/>
      <c r="Q915" s="35"/>
      <c r="R915" s="35"/>
      <c r="S915" s="35"/>
      <c r="T915" s="35"/>
      <c r="U915" s="35"/>
      <c r="V915" s="35"/>
      <c r="W915" s="35"/>
      <c r="X915" s="35"/>
      <c r="Y915" s="35"/>
      <c r="Z915" s="35"/>
      <c r="AA915" s="35"/>
    </row>
    <row r="916" ht="12.75" customHeight="1">
      <c r="A916" s="35"/>
      <c r="B916" s="35"/>
      <c r="C916" s="35"/>
      <c r="D916" s="35"/>
      <c r="E916" s="35"/>
      <c r="F916" s="35"/>
      <c r="G916" s="35"/>
      <c r="H916" s="35"/>
      <c r="I916" s="35"/>
      <c r="J916" s="35"/>
      <c r="K916" s="35"/>
      <c r="L916" s="35"/>
      <c r="M916" s="35"/>
      <c r="N916" s="35"/>
      <c r="O916" s="35"/>
      <c r="P916" s="35"/>
      <c r="Q916" s="35"/>
      <c r="R916" s="35"/>
      <c r="S916" s="35"/>
      <c r="T916" s="35"/>
      <c r="U916" s="35"/>
      <c r="V916" s="35"/>
      <c r="W916" s="35"/>
      <c r="X916" s="35"/>
      <c r="Y916" s="35"/>
      <c r="Z916" s="35"/>
      <c r="AA916" s="35"/>
    </row>
    <row r="917" ht="12.75" customHeight="1">
      <c r="A917" s="35"/>
      <c r="B917" s="35"/>
      <c r="C917" s="35"/>
      <c r="D917" s="35"/>
      <c r="E917" s="35"/>
      <c r="F917" s="35"/>
      <c r="G917" s="35"/>
      <c r="H917" s="35"/>
      <c r="I917" s="35"/>
      <c r="J917" s="35"/>
      <c r="K917" s="35"/>
      <c r="L917" s="35"/>
      <c r="M917" s="35"/>
      <c r="N917" s="35"/>
      <c r="O917" s="35"/>
      <c r="P917" s="35"/>
      <c r="Q917" s="35"/>
      <c r="R917" s="35"/>
      <c r="S917" s="35"/>
      <c r="T917" s="35"/>
      <c r="U917" s="35"/>
      <c r="V917" s="35"/>
      <c r="W917" s="35"/>
      <c r="X917" s="35"/>
      <c r="Y917" s="35"/>
      <c r="Z917" s="35"/>
      <c r="AA917" s="35"/>
    </row>
    <row r="918" ht="12.75" customHeight="1">
      <c r="A918" s="35"/>
      <c r="B918" s="35"/>
      <c r="C918" s="35"/>
      <c r="D918" s="35"/>
      <c r="E918" s="35"/>
      <c r="F918" s="35"/>
      <c r="G918" s="35"/>
      <c r="H918" s="35"/>
      <c r="I918" s="35"/>
      <c r="J918" s="35"/>
      <c r="K918" s="35"/>
      <c r="L918" s="35"/>
      <c r="M918" s="35"/>
      <c r="N918" s="35"/>
      <c r="O918" s="35"/>
      <c r="P918" s="35"/>
      <c r="Q918" s="35"/>
      <c r="R918" s="35"/>
      <c r="S918" s="35"/>
      <c r="T918" s="35"/>
      <c r="U918" s="35"/>
      <c r="V918" s="35"/>
      <c r="W918" s="35"/>
      <c r="X918" s="35"/>
      <c r="Y918" s="35"/>
      <c r="Z918" s="35"/>
      <c r="AA918" s="35"/>
    </row>
    <row r="919" ht="12.75" customHeight="1">
      <c r="A919" s="35"/>
      <c r="B919" s="35"/>
      <c r="C919" s="35"/>
      <c r="D919" s="35"/>
      <c r="E919" s="35"/>
      <c r="F919" s="35"/>
      <c r="G919" s="35"/>
      <c r="H919" s="35"/>
      <c r="I919" s="35"/>
      <c r="J919" s="35"/>
      <c r="K919" s="35"/>
      <c r="L919" s="35"/>
      <c r="M919" s="35"/>
      <c r="N919" s="35"/>
      <c r="O919" s="35"/>
      <c r="P919" s="35"/>
      <c r="Q919" s="35"/>
      <c r="R919" s="35"/>
      <c r="S919" s="35"/>
      <c r="T919" s="35"/>
      <c r="U919" s="35"/>
      <c r="V919" s="35"/>
      <c r="W919" s="35"/>
      <c r="X919" s="35"/>
      <c r="Y919" s="35"/>
      <c r="Z919" s="35"/>
      <c r="AA919" s="35"/>
    </row>
    <row r="920" ht="12.75" customHeight="1">
      <c r="A920" s="35"/>
      <c r="B920" s="35"/>
      <c r="C920" s="35"/>
      <c r="D920" s="35"/>
      <c r="E920" s="35"/>
      <c r="F920" s="35"/>
      <c r="G920" s="35"/>
      <c r="H920" s="35"/>
      <c r="I920" s="35"/>
      <c r="J920" s="35"/>
      <c r="K920" s="35"/>
      <c r="L920" s="35"/>
      <c r="M920" s="35"/>
      <c r="N920" s="35"/>
      <c r="O920" s="35"/>
      <c r="P920" s="35"/>
      <c r="Q920" s="35"/>
      <c r="R920" s="35"/>
      <c r="S920" s="35"/>
      <c r="T920" s="35"/>
      <c r="U920" s="35"/>
      <c r="V920" s="35"/>
      <c r="W920" s="35"/>
      <c r="X920" s="35"/>
      <c r="Y920" s="35"/>
      <c r="Z920" s="35"/>
      <c r="AA920" s="35"/>
    </row>
    <row r="921" ht="12.75" customHeight="1">
      <c r="A921" s="35"/>
      <c r="B921" s="35"/>
      <c r="C921" s="35"/>
      <c r="D921" s="35"/>
      <c r="E921" s="35"/>
      <c r="F921" s="35"/>
      <c r="G921" s="35"/>
      <c r="H921" s="35"/>
      <c r="I921" s="35"/>
      <c r="J921" s="35"/>
      <c r="K921" s="35"/>
      <c r="L921" s="35"/>
      <c r="M921" s="35"/>
      <c r="N921" s="35"/>
      <c r="O921" s="35"/>
      <c r="P921" s="35"/>
      <c r="Q921" s="35"/>
      <c r="R921" s="35"/>
      <c r="S921" s="35"/>
      <c r="T921" s="35"/>
      <c r="U921" s="35"/>
      <c r="V921" s="35"/>
      <c r="W921" s="35"/>
      <c r="X921" s="35"/>
      <c r="Y921" s="35"/>
      <c r="Z921" s="35"/>
      <c r="AA921" s="35"/>
    </row>
    <row r="922" ht="12.75" customHeight="1">
      <c r="A922" s="35"/>
      <c r="B922" s="35"/>
      <c r="C922" s="35"/>
      <c r="D922" s="35"/>
      <c r="E922" s="35"/>
      <c r="F922" s="35"/>
      <c r="G922" s="35"/>
      <c r="H922" s="35"/>
      <c r="I922" s="35"/>
      <c r="J922" s="35"/>
      <c r="K922" s="35"/>
      <c r="L922" s="35"/>
      <c r="M922" s="35"/>
      <c r="N922" s="35"/>
      <c r="O922" s="35"/>
      <c r="P922" s="35"/>
      <c r="Q922" s="35"/>
      <c r="R922" s="35"/>
      <c r="S922" s="35"/>
      <c r="T922" s="35"/>
      <c r="U922" s="35"/>
      <c r="V922" s="35"/>
      <c r="W922" s="35"/>
      <c r="X922" s="35"/>
      <c r="Y922" s="35"/>
      <c r="Z922" s="35"/>
      <c r="AA922" s="35"/>
    </row>
    <row r="923" ht="12.75" customHeight="1">
      <c r="A923" s="35"/>
      <c r="B923" s="35"/>
      <c r="C923" s="35"/>
      <c r="D923" s="35"/>
      <c r="E923" s="35"/>
      <c r="F923" s="35"/>
      <c r="G923" s="35"/>
      <c r="H923" s="35"/>
      <c r="I923" s="35"/>
      <c r="J923" s="35"/>
      <c r="K923" s="35"/>
      <c r="L923" s="35"/>
      <c r="M923" s="35"/>
      <c r="N923" s="35"/>
      <c r="O923" s="35"/>
      <c r="P923" s="35"/>
      <c r="Q923" s="35"/>
      <c r="R923" s="35"/>
      <c r="S923" s="35"/>
      <c r="T923" s="35"/>
      <c r="U923" s="35"/>
      <c r="V923" s="35"/>
      <c r="W923" s="35"/>
      <c r="X923" s="35"/>
      <c r="Y923" s="35"/>
      <c r="Z923" s="35"/>
      <c r="AA923" s="35"/>
    </row>
    <row r="924" ht="12.75" customHeight="1">
      <c r="A924" s="35"/>
      <c r="B924" s="35"/>
      <c r="C924" s="35"/>
      <c r="D924" s="35"/>
      <c r="E924" s="35"/>
      <c r="F924" s="35"/>
      <c r="G924" s="35"/>
      <c r="H924" s="35"/>
      <c r="I924" s="35"/>
      <c r="J924" s="35"/>
      <c r="K924" s="35"/>
      <c r="L924" s="35"/>
      <c r="M924" s="35"/>
      <c r="N924" s="35"/>
      <c r="O924" s="35"/>
      <c r="P924" s="35"/>
      <c r="Q924" s="35"/>
      <c r="R924" s="35"/>
      <c r="S924" s="35"/>
      <c r="T924" s="35"/>
      <c r="U924" s="35"/>
      <c r="V924" s="35"/>
      <c r="W924" s="35"/>
      <c r="X924" s="35"/>
      <c r="Y924" s="35"/>
      <c r="Z924" s="35"/>
      <c r="AA924" s="35"/>
    </row>
    <row r="925" ht="12.75" customHeight="1">
      <c r="A925" s="35"/>
      <c r="B925" s="35"/>
      <c r="C925" s="35"/>
      <c r="D925" s="35"/>
      <c r="E925" s="35"/>
      <c r="F925" s="35"/>
      <c r="G925" s="35"/>
      <c r="H925" s="35"/>
      <c r="I925" s="35"/>
      <c r="J925" s="35"/>
      <c r="K925" s="35"/>
      <c r="L925" s="35"/>
      <c r="M925" s="35"/>
      <c r="N925" s="35"/>
      <c r="O925" s="35"/>
      <c r="P925" s="35"/>
      <c r="Q925" s="35"/>
      <c r="R925" s="35"/>
      <c r="S925" s="35"/>
      <c r="T925" s="35"/>
      <c r="U925" s="35"/>
      <c r="V925" s="35"/>
      <c r="W925" s="35"/>
      <c r="X925" s="35"/>
      <c r="Y925" s="35"/>
      <c r="Z925" s="35"/>
      <c r="AA925" s="35"/>
    </row>
    <row r="926" ht="12.75" customHeight="1">
      <c r="A926" s="35"/>
      <c r="B926" s="35"/>
      <c r="C926" s="35"/>
      <c r="D926" s="35"/>
      <c r="E926" s="35"/>
      <c r="F926" s="35"/>
      <c r="G926" s="35"/>
      <c r="H926" s="35"/>
      <c r="I926" s="35"/>
      <c r="J926" s="35"/>
      <c r="K926" s="35"/>
      <c r="L926" s="35"/>
      <c r="M926" s="35"/>
      <c r="N926" s="35"/>
      <c r="O926" s="35"/>
      <c r="P926" s="35"/>
      <c r="Q926" s="35"/>
      <c r="R926" s="35"/>
      <c r="S926" s="35"/>
      <c r="T926" s="35"/>
      <c r="U926" s="35"/>
      <c r="V926" s="35"/>
      <c r="W926" s="35"/>
      <c r="X926" s="35"/>
      <c r="Y926" s="35"/>
      <c r="Z926" s="35"/>
      <c r="AA926" s="35"/>
    </row>
    <row r="927" ht="12.75" customHeight="1">
      <c r="A927" s="35"/>
      <c r="B927" s="35"/>
      <c r="C927" s="35"/>
      <c r="D927" s="35"/>
      <c r="E927" s="35"/>
      <c r="F927" s="35"/>
      <c r="G927" s="35"/>
      <c r="H927" s="35"/>
      <c r="I927" s="35"/>
      <c r="J927" s="35"/>
      <c r="K927" s="35"/>
      <c r="L927" s="35"/>
      <c r="M927" s="35"/>
      <c r="N927" s="35"/>
      <c r="O927" s="35"/>
      <c r="P927" s="35"/>
      <c r="Q927" s="35"/>
      <c r="R927" s="35"/>
      <c r="S927" s="35"/>
      <c r="T927" s="35"/>
      <c r="U927" s="35"/>
      <c r="V927" s="35"/>
      <c r="W927" s="35"/>
      <c r="X927" s="35"/>
      <c r="Y927" s="35"/>
      <c r="Z927" s="35"/>
      <c r="AA927" s="35"/>
    </row>
    <row r="928" ht="12.75" customHeight="1">
      <c r="A928" s="35"/>
      <c r="B928" s="35"/>
      <c r="C928" s="35"/>
      <c r="D928" s="35"/>
      <c r="E928" s="35"/>
      <c r="F928" s="35"/>
      <c r="G928" s="35"/>
      <c r="H928" s="35"/>
      <c r="I928" s="35"/>
      <c r="J928" s="35"/>
      <c r="K928" s="35"/>
      <c r="L928" s="35"/>
      <c r="M928" s="35"/>
      <c r="N928" s="35"/>
      <c r="O928" s="35"/>
      <c r="P928" s="35"/>
      <c r="Q928" s="35"/>
      <c r="R928" s="35"/>
      <c r="S928" s="35"/>
      <c r="T928" s="35"/>
      <c r="U928" s="35"/>
      <c r="V928" s="35"/>
      <c r="W928" s="35"/>
      <c r="X928" s="35"/>
      <c r="Y928" s="35"/>
      <c r="Z928" s="35"/>
      <c r="AA928" s="35"/>
    </row>
    <row r="929" ht="12.75" customHeight="1">
      <c r="A929" s="35"/>
      <c r="B929" s="35"/>
      <c r="C929" s="35"/>
      <c r="D929" s="35"/>
      <c r="E929" s="35"/>
      <c r="F929" s="35"/>
      <c r="G929" s="35"/>
      <c r="H929" s="35"/>
      <c r="I929" s="35"/>
      <c r="J929" s="35"/>
      <c r="K929" s="35"/>
      <c r="L929" s="35"/>
      <c r="M929" s="35"/>
      <c r="N929" s="35"/>
      <c r="O929" s="35"/>
      <c r="P929" s="35"/>
      <c r="Q929" s="35"/>
      <c r="R929" s="35"/>
      <c r="S929" s="35"/>
      <c r="T929" s="35"/>
      <c r="U929" s="35"/>
      <c r="V929" s="35"/>
      <c r="W929" s="35"/>
      <c r="X929" s="35"/>
      <c r="Y929" s="35"/>
      <c r="Z929" s="35"/>
      <c r="AA929" s="35"/>
    </row>
    <row r="930" ht="12.75" customHeight="1">
      <c r="A930" s="35"/>
      <c r="B930" s="35"/>
      <c r="C930" s="35"/>
      <c r="D930" s="35"/>
      <c r="E930" s="35"/>
      <c r="F930" s="35"/>
      <c r="G930" s="35"/>
      <c r="H930" s="35"/>
      <c r="I930" s="35"/>
      <c r="J930" s="35"/>
      <c r="K930" s="35"/>
      <c r="L930" s="35"/>
      <c r="M930" s="35"/>
      <c r="N930" s="35"/>
      <c r="O930" s="35"/>
      <c r="P930" s="35"/>
      <c r="Q930" s="35"/>
      <c r="R930" s="35"/>
      <c r="S930" s="35"/>
      <c r="T930" s="35"/>
      <c r="U930" s="35"/>
      <c r="V930" s="35"/>
      <c r="W930" s="35"/>
      <c r="X930" s="35"/>
      <c r="Y930" s="35"/>
      <c r="Z930" s="35"/>
      <c r="AA930" s="35"/>
    </row>
    <row r="931" ht="12.75" customHeight="1">
      <c r="A931" s="35"/>
      <c r="B931" s="35"/>
      <c r="C931" s="35"/>
      <c r="D931" s="35"/>
      <c r="E931" s="35"/>
      <c r="F931" s="35"/>
      <c r="G931" s="35"/>
      <c r="H931" s="35"/>
      <c r="I931" s="35"/>
      <c r="J931" s="35"/>
      <c r="K931" s="35"/>
      <c r="L931" s="35"/>
      <c r="M931" s="35"/>
      <c r="N931" s="35"/>
      <c r="O931" s="35"/>
      <c r="P931" s="35"/>
      <c r="Q931" s="35"/>
      <c r="R931" s="35"/>
      <c r="S931" s="35"/>
      <c r="T931" s="35"/>
      <c r="U931" s="35"/>
      <c r="V931" s="35"/>
      <c r="W931" s="35"/>
      <c r="X931" s="35"/>
      <c r="Y931" s="35"/>
      <c r="Z931" s="35"/>
      <c r="AA931" s="35"/>
    </row>
    <row r="932" ht="12.75" customHeight="1">
      <c r="A932" s="35"/>
      <c r="B932" s="35"/>
      <c r="C932" s="35"/>
      <c r="D932" s="35"/>
      <c r="E932" s="35"/>
      <c r="F932" s="35"/>
      <c r="G932" s="35"/>
      <c r="H932" s="35"/>
      <c r="I932" s="35"/>
      <c r="J932" s="35"/>
      <c r="K932" s="35"/>
      <c r="L932" s="35"/>
      <c r="M932" s="35"/>
      <c r="N932" s="35"/>
      <c r="O932" s="35"/>
      <c r="P932" s="35"/>
      <c r="Q932" s="35"/>
      <c r="R932" s="35"/>
      <c r="S932" s="35"/>
      <c r="T932" s="35"/>
      <c r="U932" s="35"/>
      <c r="V932" s="35"/>
      <c r="W932" s="35"/>
      <c r="X932" s="35"/>
      <c r="Y932" s="35"/>
      <c r="Z932" s="35"/>
      <c r="AA932" s="35"/>
    </row>
    <row r="933" ht="12.75" customHeight="1">
      <c r="A933" s="35"/>
      <c r="B933" s="35"/>
      <c r="C933" s="35"/>
      <c r="D933" s="35"/>
      <c r="E933" s="35"/>
      <c r="F933" s="35"/>
      <c r="G933" s="35"/>
      <c r="H933" s="35"/>
      <c r="I933" s="35"/>
      <c r="J933" s="35"/>
      <c r="K933" s="35"/>
      <c r="L933" s="35"/>
      <c r="M933" s="35"/>
      <c r="N933" s="35"/>
      <c r="O933" s="35"/>
      <c r="P933" s="35"/>
      <c r="Q933" s="35"/>
      <c r="R933" s="35"/>
      <c r="S933" s="35"/>
      <c r="T933" s="35"/>
      <c r="U933" s="35"/>
      <c r="V933" s="35"/>
      <c r="W933" s="35"/>
      <c r="X933" s="35"/>
      <c r="Y933" s="35"/>
      <c r="Z933" s="35"/>
      <c r="AA933" s="35"/>
    </row>
    <row r="934" ht="12.75" customHeight="1">
      <c r="A934" s="35"/>
      <c r="B934" s="35"/>
      <c r="C934" s="35"/>
      <c r="D934" s="35"/>
      <c r="E934" s="35"/>
      <c r="F934" s="35"/>
      <c r="G934" s="35"/>
      <c r="H934" s="35"/>
      <c r="I934" s="35"/>
      <c r="J934" s="35"/>
      <c r="K934" s="35"/>
      <c r="L934" s="35"/>
      <c r="M934" s="35"/>
      <c r="N934" s="35"/>
      <c r="O934" s="35"/>
      <c r="P934" s="35"/>
      <c r="Q934" s="35"/>
      <c r="R934" s="35"/>
      <c r="S934" s="35"/>
      <c r="T934" s="35"/>
      <c r="U934" s="35"/>
      <c r="V934" s="35"/>
      <c r="W934" s="35"/>
      <c r="X934" s="35"/>
      <c r="Y934" s="35"/>
      <c r="Z934" s="35"/>
      <c r="AA934" s="35"/>
    </row>
    <row r="935" ht="12.75" customHeight="1">
      <c r="A935" s="35"/>
      <c r="B935" s="35"/>
      <c r="C935" s="35"/>
      <c r="D935" s="35"/>
      <c r="E935" s="35"/>
      <c r="F935" s="35"/>
      <c r="G935" s="35"/>
      <c r="H935" s="35"/>
      <c r="I935" s="35"/>
      <c r="J935" s="35"/>
      <c r="K935" s="35"/>
      <c r="L935" s="35"/>
      <c r="M935" s="35"/>
      <c r="N935" s="35"/>
      <c r="O935" s="35"/>
      <c r="P935" s="35"/>
      <c r="Q935" s="35"/>
      <c r="R935" s="35"/>
      <c r="S935" s="35"/>
      <c r="T935" s="35"/>
      <c r="U935" s="35"/>
      <c r="V935" s="35"/>
      <c r="W935" s="35"/>
      <c r="X935" s="35"/>
      <c r="Y935" s="35"/>
      <c r="Z935" s="35"/>
      <c r="AA935" s="35"/>
    </row>
    <row r="936" ht="12.75" customHeight="1">
      <c r="A936" s="35"/>
      <c r="B936" s="35"/>
      <c r="C936" s="35"/>
      <c r="D936" s="35"/>
      <c r="E936" s="35"/>
      <c r="F936" s="35"/>
      <c r="G936" s="35"/>
      <c r="H936" s="35"/>
      <c r="I936" s="35"/>
      <c r="J936" s="35"/>
      <c r="K936" s="35"/>
      <c r="L936" s="35"/>
      <c r="M936" s="35"/>
      <c r="N936" s="35"/>
      <c r="O936" s="35"/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5"/>
      <c r="AA936" s="35"/>
    </row>
    <row r="937" ht="12.75" customHeight="1">
      <c r="A937" s="35"/>
      <c r="B937" s="35"/>
      <c r="C937" s="35"/>
      <c r="D937" s="35"/>
      <c r="E937" s="35"/>
      <c r="F937" s="35"/>
      <c r="G937" s="35"/>
      <c r="H937" s="35"/>
      <c r="I937" s="35"/>
      <c r="J937" s="35"/>
      <c r="K937" s="35"/>
      <c r="L937" s="35"/>
      <c r="M937" s="35"/>
      <c r="N937" s="35"/>
      <c r="O937" s="35"/>
      <c r="P937" s="35"/>
      <c r="Q937" s="35"/>
      <c r="R937" s="35"/>
      <c r="S937" s="35"/>
      <c r="T937" s="35"/>
      <c r="U937" s="35"/>
      <c r="V937" s="35"/>
      <c r="W937" s="35"/>
      <c r="X937" s="35"/>
      <c r="Y937" s="35"/>
      <c r="Z937" s="35"/>
      <c r="AA937" s="35"/>
    </row>
    <row r="938" ht="12.75" customHeight="1">
      <c r="A938" s="35"/>
      <c r="B938" s="35"/>
      <c r="C938" s="35"/>
      <c r="D938" s="35"/>
      <c r="E938" s="35"/>
      <c r="F938" s="35"/>
      <c r="G938" s="35"/>
      <c r="H938" s="35"/>
      <c r="I938" s="35"/>
      <c r="J938" s="35"/>
      <c r="K938" s="35"/>
      <c r="L938" s="35"/>
      <c r="M938" s="35"/>
      <c r="N938" s="35"/>
      <c r="O938" s="35"/>
      <c r="P938" s="35"/>
      <c r="Q938" s="35"/>
      <c r="R938" s="35"/>
      <c r="S938" s="35"/>
      <c r="T938" s="35"/>
      <c r="U938" s="35"/>
      <c r="V938" s="35"/>
      <c r="W938" s="35"/>
      <c r="X938" s="35"/>
      <c r="Y938" s="35"/>
      <c r="Z938" s="35"/>
      <c r="AA938" s="35"/>
    </row>
    <row r="939" ht="12.75" customHeight="1">
      <c r="A939" s="35"/>
      <c r="B939" s="35"/>
      <c r="C939" s="35"/>
      <c r="D939" s="35"/>
      <c r="E939" s="35"/>
      <c r="F939" s="35"/>
      <c r="G939" s="35"/>
      <c r="H939" s="35"/>
      <c r="I939" s="35"/>
      <c r="J939" s="35"/>
      <c r="K939" s="35"/>
      <c r="L939" s="35"/>
      <c r="M939" s="35"/>
      <c r="N939" s="35"/>
      <c r="O939" s="35"/>
      <c r="P939" s="35"/>
      <c r="Q939" s="35"/>
      <c r="R939" s="35"/>
      <c r="S939" s="35"/>
      <c r="T939" s="35"/>
      <c r="U939" s="35"/>
      <c r="V939" s="35"/>
      <c r="W939" s="35"/>
      <c r="X939" s="35"/>
      <c r="Y939" s="35"/>
      <c r="Z939" s="35"/>
      <c r="AA939" s="35"/>
    </row>
    <row r="940" ht="12.75" customHeight="1">
      <c r="A940" s="35"/>
      <c r="B940" s="35"/>
      <c r="C940" s="35"/>
      <c r="D940" s="35"/>
      <c r="E940" s="35"/>
      <c r="F940" s="35"/>
      <c r="G940" s="35"/>
      <c r="H940" s="35"/>
      <c r="I940" s="35"/>
      <c r="J940" s="35"/>
      <c r="K940" s="35"/>
      <c r="L940" s="35"/>
      <c r="M940" s="35"/>
      <c r="N940" s="35"/>
      <c r="O940" s="35"/>
      <c r="P940" s="35"/>
      <c r="Q940" s="35"/>
      <c r="R940" s="35"/>
      <c r="S940" s="35"/>
      <c r="T940" s="35"/>
      <c r="U940" s="35"/>
      <c r="V940" s="35"/>
      <c r="W940" s="35"/>
      <c r="X940" s="35"/>
      <c r="Y940" s="35"/>
      <c r="Z940" s="35"/>
      <c r="AA940" s="35"/>
    </row>
    <row r="941" ht="12.75" customHeight="1">
      <c r="A941" s="35"/>
      <c r="B941" s="35"/>
      <c r="C941" s="35"/>
      <c r="D941" s="35"/>
      <c r="E941" s="35"/>
      <c r="F941" s="35"/>
      <c r="G941" s="35"/>
      <c r="H941" s="35"/>
      <c r="I941" s="35"/>
      <c r="J941" s="35"/>
      <c r="K941" s="35"/>
      <c r="L941" s="35"/>
      <c r="M941" s="35"/>
      <c r="N941" s="35"/>
      <c r="O941" s="35"/>
      <c r="P941" s="35"/>
      <c r="Q941" s="35"/>
      <c r="R941" s="35"/>
      <c r="S941" s="35"/>
      <c r="T941" s="35"/>
      <c r="U941" s="35"/>
      <c r="V941" s="35"/>
      <c r="W941" s="35"/>
      <c r="X941" s="35"/>
      <c r="Y941" s="35"/>
      <c r="Z941" s="35"/>
      <c r="AA941" s="35"/>
    </row>
    <row r="942" ht="12.75" customHeight="1">
      <c r="A942" s="35"/>
      <c r="B942" s="35"/>
      <c r="C942" s="35"/>
      <c r="D942" s="35"/>
      <c r="E942" s="35"/>
      <c r="F942" s="35"/>
      <c r="G942" s="35"/>
      <c r="H942" s="35"/>
      <c r="I942" s="35"/>
      <c r="J942" s="35"/>
      <c r="K942" s="35"/>
      <c r="L942" s="35"/>
      <c r="M942" s="35"/>
      <c r="N942" s="35"/>
      <c r="O942" s="35"/>
      <c r="P942" s="35"/>
      <c r="Q942" s="35"/>
      <c r="R942" s="35"/>
      <c r="S942" s="35"/>
      <c r="T942" s="35"/>
      <c r="U942" s="35"/>
      <c r="V942" s="35"/>
      <c r="W942" s="35"/>
      <c r="X942" s="35"/>
      <c r="Y942" s="35"/>
      <c r="Z942" s="35"/>
      <c r="AA942" s="35"/>
    </row>
    <row r="943" ht="12.75" customHeight="1">
      <c r="A943" s="35"/>
      <c r="B943" s="35"/>
      <c r="C943" s="35"/>
      <c r="D943" s="35"/>
      <c r="E943" s="35"/>
      <c r="F943" s="35"/>
      <c r="G943" s="35"/>
      <c r="H943" s="35"/>
      <c r="I943" s="35"/>
      <c r="J943" s="35"/>
      <c r="K943" s="35"/>
      <c r="L943" s="35"/>
      <c r="M943" s="35"/>
      <c r="N943" s="35"/>
      <c r="O943" s="35"/>
      <c r="P943" s="35"/>
      <c r="Q943" s="35"/>
      <c r="R943" s="35"/>
      <c r="S943" s="35"/>
      <c r="T943" s="35"/>
      <c r="U943" s="35"/>
      <c r="V943" s="35"/>
      <c r="W943" s="35"/>
      <c r="X943" s="35"/>
      <c r="Y943" s="35"/>
      <c r="Z943" s="35"/>
      <c r="AA943" s="35"/>
    </row>
    <row r="944" ht="12.75" customHeight="1">
      <c r="A944" s="35"/>
      <c r="B944" s="35"/>
      <c r="C944" s="35"/>
      <c r="D944" s="35"/>
      <c r="E944" s="35"/>
      <c r="F944" s="35"/>
      <c r="G944" s="35"/>
      <c r="H944" s="35"/>
      <c r="I944" s="35"/>
      <c r="J944" s="35"/>
      <c r="K944" s="35"/>
      <c r="L944" s="35"/>
      <c r="M944" s="35"/>
      <c r="N944" s="35"/>
      <c r="O944" s="35"/>
      <c r="P944" s="35"/>
      <c r="Q944" s="35"/>
      <c r="R944" s="35"/>
      <c r="S944" s="35"/>
      <c r="T944" s="35"/>
      <c r="U944" s="35"/>
      <c r="V944" s="35"/>
      <c r="W944" s="35"/>
      <c r="X944" s="35"/>
      <c r="Y944" s="35"/>
      <c r="Z944" s="35"/>
      <c r="AA944" s="35"/>
    </row>
    <row r="945" ht="12.75" customHeight="1">
      <c r="A945" s="35"/>
      <c r="B945" s="35"/>
      <c r="C945" s="35"/>
      <c r="D945" s="35"/>
      <c r="E945" s="35"/>
      <c r="F945" s="35"/>
      <c r="G945" s="35"/>
      <c r="H945" s="35"/>
      <c r="I945" s="35"/>
      <c r="J945" s="35"/>
      <c r="K945" s="35"/>
      <c r="L945" s="35"/>
      <c r="M945" s="35"/>
      <c r="N945" s="35"/>
      <c r="O945" s="35"/>
      <c r="P945" s="35"/>
      <c r="Q945" s="35"/>
      <c r="R945" s="35"/>
      <c r="S945" s="35"/>
      <c r="T945" s="35"/>
      <c r="U945" s="35"/>
      <c r="V945" s="35"/>
      <c r="W945" s="35"/>
      <c r="X945" s="35"/>
      <c r="Y945" s="35"/>
      <c r="Z945" s="35"/>
      <c r="AA945" s="35"/>
    </row>
    <row r="946" ht="12.75" customHeight="1">
      <c r="A946" s="35"/>
      <c r="B946" s="35"/>
      <c r="C946" s="35"/>
      <c r="D946" s="35"/>
      <c r="E946" s="35"/>
      <c r="F946" s="35"/>
      <c r="G946" s="35"/>
      <c r="H946" s="35"/>
      <c r="I946" s="35"/>
      <c r="J946" s="35"/>
      <c r="K946" s="35"/>
      <c r="L946" s="35"/>
      <c r="M946" s="35"/>
      <c r="N946" s="35"/>
      <c r="O946" s="35"/>
      <c r="P946" s="35"/>
      <c r="Q946" s="35"/>
      <c r="R946" s="35"/>
      <c r="S946" s="35"/>
      <c r="T946" s="35"/>
      <c r="U946" s="35"/>
      <c r="V946" s="35"/>
      <c r="W946" s="35"/>
      <c r="X946" s="35"/>
      <c r="Y946" s="35"/>
      <c r="Z946" s="35"/>
      <c r="AA946" s="35"/>
    </row>
    <row r="947" ht="12.75" customHeight="1">
      <c r="A947" s="35"/>
      <c r="B947" s="35"/>
      <c r="C947" s="35"/>
      <c r="D947" s="35"/>
      <c r="E947" s="35"/>
      <c r="F947" s="35"/>
      <c r="G947" s="35"/>
      <c r="H947" s="35"/>
      <c r="I947" s="35"/>
      <c r="J947" s="35"/>
      <c r="K947" s="35"/>
      <c r="L947" s="35"/>
      <c r="M947" s="35"/>
      <c r="N947" s="35"/>
      <c r="O947" s="35"/>
      <c r="P947" s="35"/>
      <c r="Q947" s="35"/>
      <c r="R947" s="35"/>
      <c r="S947" s="35"/>
      <c r="T947" s="35"/>
      <c r="U947" s="35"/>
      <c r="V947" s="35"/>
      <c r="W947" s="35"/>
      <c r="X947" s="35"/>
      <c r="Y947" s="35"/>
      <c r="Z947" s="35"/>
      <c r="AA947" s="35"/>
    </row>
    <row r="948" ht="12.75" customHeight="1">
      <c r="A948" s="35"/>
      <c r="B948" s="35"/>
      <c r="C948" s="35"/>
      <c r="D948" s="35"/>
      <c r="E948" s="35"/>
      <c r="F948" s="35"/>
      <c r="G948" s="35"/>
      <c r="H948" s="35"/>
      <c r="I948" s="35"/>
      <c r="J948" s="35"/>
      <c r="K948" s="35"/>
      <c r="L948" s="35"/>
      <c r="M948" s="35"/>
      <c r="N948" s="35"/>
      <c r="O948" s="35"/>
      <c r="P948" s="35"/>
      <c r="Q948" s="35"/>
      <c r="R948" s="35"/>
      <c r="S948" s="35"/>
      <c r="T948" s="35"/>
      <c r="U948" s="35"/>
      <c r="V948" s="35"/>
      <c r="W948" s="35"/>
      <c r="X948" s="35"/>
      <c r="Y948" s="35"/>
      <c r="Z948" s="35"/>
      <c r="AA948" s="35"/>
    </row>
    <row r="949" ht="12.75" customHeight="1">
      <c r="A949" s="35"/>
      <c r="B949" s="35"/>
      <c r="C949" s="35"/>
      <c r="D949" s="35"/>
      <c r="E949" s="35"/>
      <c r="F949" s="35"/>
      <c r="G949" s="35"/>
      <c r="H949" s="35"/>
      <c r="I949" s="35"/>
      <c r="J949" s="35"/>
      <c r="K949" s="35"/>
      <c r="L949" s="35"/>
      <c r="M949" s="35"/>
      <c r="N949" s="35"/>
      <c r="O949" s="35"/>
      <c r="P949" s="35"/>
      <c r="Q949" s="35"/>
      <c r="R949" s="35"/>
      <c r="S949" s="35"/>
      <c r="T949" s="35"/>
      <c r="U949" s="35"/>
      <c r="V949" s="35"/>
      <c r="W949" s="35"/>
      <c r="X949" s="35"/>
      <c r="Y949" s="35"/>
      <c r="Z949" s="35"/>
      <c r="AA949" s="35"/>
    </row>
    <row r="950" ht="12.75" customHeight="1">
      <c r="A950" s="35"/>
      <c r="B950" s="35"/>
      <c r="C950" s="35"/>
      <c r="D950" s="35"/>
      <c r="E950" s="35"/>
      <c r="F950" s="35"/>
      <c r="G950" s="35"/>
      <c r="H950" s="35"/>
      <c r="I950" s="35"/>
      <c r="J950" s="35"/>
      <c r="K950" s="35"/>
      <c r="L950" s="35"/>
      <c r="M950" s="35"/>
      <c r="N950" s="35"/>
      <c r="O950" s="35"/>
      <c r="P950" s="35"/>
      <c r="Q950" s="35"/>
      <c r="R950" s="35"/>
      <c r="S950" s="35"/>
      <c r="T950" s="35"/>
      <c r="U950" s="35"/>
      <c r="V950" s="35"/>
      <c r="W950" s="35"/>
      <c r="X950" s="35"/>
      <c r="Y950" s="35"/>
      <c r="Z950" s="35"/>
      <c r="AA950" s="35"/>
    </row>
    <row r="951" ht="12.75" customHeight="1">
      <c r="A951" s="35"/>
      <c r="B951" s="35"/>
      <c r="C951" s="35"/>
      <c r="D951" s="35"/>
      <c r="E951" s="35"/>
      <c r="F951" s="35"/>
      <c r="G951" s="35"/>
      <c r="H951" s="35"/>
      <c r="I951" s="35"/>
      <c r="J951" s="35"/>
      <c r="K951" s="35"/>
      <c r="L951" s="35"/>
      <c r="M951" s="35"/>
      <c r="N951" s="35"/>
      <c r="O951" s="35"/>
      <c r="P951" s="35"/>
      <c r="Q951" s="35"/>
      <c r="R951" s="35"/>
      <c r="S951" s="35"/>
      <c r="T951" s="35"/>
      <c r="U951" s="35"/>
      <c r="V951" s="35"/>
      <c r="W951" s="35"/>
      <c r="X951" s="35"/>
      <c r="Y951" s="35"/>
      <c r="Z951" s="35"/>
      <c r="AA951" s="35"/>
    </row>
    <row r="952" ht="12.75" customHeight="1">
      <c r="A952" s="35"/>
      <c r="B952" s="35"/>
      <c r="C952" s="35"/>
      <c r="D952" s="35"/>
      <c r="E952" s="35"/>
      <c r="F952" s="35"/>
      <c r="G952" s="35"/>
      <c r="H952" s="35"/>
      <c r="I952" s="35"/>
      <c r="J952" s="35"/>
      <c r="K952" s="35"/>
      <c r="L952" s="35"/>
      <c r="M952" s="35"/>
      <c r="N952" s="35"/>
      <c r="O952" s="35"/>
      <c r="P952" s="35"/>
      <c r="Q952" s="35"/>
      <c r="R952" s="35"/>
      <c r="S952" s="35"/>
      <c r="T952" s="35"/>
      <c r="U952" s="35"/>
      <c r="V952" s="35"/>
      <c r="W952" s="35"/>
      <c r="X952" s="35"/>
      <c r="Y952" s="35"/>
      <c r="Z952" s="35"/>
      <c r="AA952" s="35"/>
    </row>
    <row r="953" ht="12.75" customHeight="1">
      <c r="A953" s="35"/>
      <c r="B953" s="35"/>
      <c r="C953" s="35"/>
      <c r="D953" s="35"/>
      <c r="E953" s="35"/>
      <c r="F953" s="35"/>
      <c r="G953" s="35"/>
      <c r="H953" s="35"/>
      <c r="I953" s="35"/>
      <c r="J953" s="35"/>
      <c r="K953" s="35"/>
      <c r="L953" s="35"/>
      <c r="M953" s="35"/>
      <c r="N953" s="35"/>
      <c r="O953" s="35"/>
      <c r="P953" s="35"/>
      <c r="Q953" s="35"/>
      <c r="R953" s="35"/>
      <c r="S953" s="35"/>
      <c r="T953" s="35"/>
      <c r="U953" s="35"/>
      <c r="V953" s="35"/>
      <c r="W953" s="35"/>
      <c r="X953" s="35"/>
      <c r="Y953" s="35"/>
      <c r="Z953" s="35"/>
      <c r="AA953" s="35"/>
    </row>
    <row r="954" ht="12.75" customHeight="1">
      <c r="A954" s="35"/>
      <c r="B954" s="35"/>
      <c r="C954" s="35"/>
      <c r="D954" s="35"/>
      <c r="E954" s="35"/>
      <c r="F954" s="35"/>
      <c r="G954" s="35"/>
      <c r="H954" s="35"/>
      <c r="I954" s="35"/>
      <c r="J954" s="35"/>
      <c r="K954" s="35"/>
      <c r="L954" s="35"/>
      <c r="M954" s="35"/>
      <c r="N954" s="35"/>
      <c r="O954" s="35"/>
      <c r="P954" s="35"/>
      <c r="Q954" s="35"/>
      <c r="R954" s="35"/>
      <c r="S954" s="35"/>
      <c r="T954" s="35"/>
      <c r="U954" s="35"/>
      <c r="V954" s="35"/>
      <c r="W954" s="35"/>
      <c r="X954" s="35"/>
      <c r="Y954" s="35"/>
      <c r="Z954" s="35"/>
      <c r="AA954" s="35"/>
    </row>
    <row r="955" ht="12.75" customHeight="1">
      <c r="A955" s="35"/>
      <c r="B955" s="35"/>
      <c r="C955" s="35"/>
      <c r="D955" s="35"/>
      <c r="E955" s="35"/>
      <c r="F955" s="35"/>
      <c r="G955" s="35"/>
      <c r="H955" s="35"/>
      <c r="I955" s="35"/>
      <c r="J955" s="35"/>
      <c r="K955" s="35"/>
      <c r="L955" s="35"/>
      <c r="M955" s="35"/>
      <c r="N955" s="35"/>
      <c r="O955" s="35"/>
      <c r="P955" s="35"/>
      <c r="Q955" s="35"/>
      <c r="R955" s="35"/>
      <c r="S955" s="35"/>
      <c r="T955" s="35"/>
      <c r="U955" s="35"/>
      <c r="V955" s="35"/>
      <c r="W955" s="35"/>
      <c r="X955" s="35"/>
      <c r="Y955" s="35"/>
      <c r="Z955" s="35"/>
      <c r="AA955" s="35"/>
    </row>
    <row r="956" ht="12.75" customHeight="1">
      <c r="A956" s="35"/>
      <c r="B956" s="35"/>
      <c r="C956" s="35"/>
      <c r="D956" s="35"/>
      <c r="E956" s="35"/>
      <c r="F956" s="35"/>
      <c r="G956" s="35"/>
      <c r="H956" s="35"/>
      <c r="I956" s="35"/>
      <c r="J956" s="35"/>
      <c r="K956" s="35"/>
      <c r="L956" s="35"/>
      <c r="M956" s="35"/>
      <c r="N956" s="35"/>
      <c r="O956" s="35"/>
      <c r="P956" s="35"/>
      <c r="Q956" s="35"/>
      <c r="R956" s="35"/>
      <c r="S956" s="35"/>
      <c r="T956" s="35"/>
      <c r="U956" s="35"/>
      <c r="V956" s="35"/>
      <c r="W956" s="35"/>
      <c r="X956" s="35"/>
      <c r="Y956" s="35"/>
      <c r="Z956" s="35"/>
      <c r="AA956" s="35"/>
    </row>
    <row r="957" ht="12.75" customHeight="1">
      <c r="A957" s="35"/>
      <c r="B957" s="35"/>
      <c r="C957" s="35"/>
      <c r="D957" s="35"/>
      <c r="E957" s="35"/>
      <c r="F957" s="35"/>
      <c r="G957" s="35"/>
      <c r="H957" s="35"/>
      <c r="I957" s="35"/>
      <c r="J957" s="35"/>
      <c r="K957" s="35"/>
      <c r="L957" s="35"/>
      <c r="M957" s="35"/>
      <c r="N957" s="35"/>
      <c r="O957" s="35"/>
      <c r="P957" s="35"/>
      <c r="Q957" s="35"/>
      <c r="R957" s="35"/>
      <c r="S957" s="35"/>
      <c r="T957" s="35"/>
      <c r="U957" s="35"/>
      <c r="V957" s="35"/>
      <c r="W957" s="35"/>
      <c r="X957" s="35"/>
      <c r="Y957" s="35"/>
      <c r="Z957" s="35"/>
      <c r="AA957" s="35"/>
    </row>
    <row r="958" ht="12.75" customHeight="1">
      <c r="A958" s="35"/>
      <c r="B958" s="35"/>
      <c r="C958" s="35"/>
      <c r="D958" s="35"/>
      <c r="E958" s="35"/>
      <c r="F958" s="35"/>
      <c r="G958" s="35"/>
      <c r="H958" s="35"/>
      <c r="I958" s="35"/>
      <c r="J958" s="35"/>
      <c r="K958" s="35"/>
      <c r="L958" s="35"/>
      <c r="M958" s="35"/>
      <c r="N958" s="35"/>
      <c r="O958" s="35"/>
      <c r="P958" s="35"/>
      <c r="Q958" s="35"/>
      <c r="R958" s="35"/>
      <c r="S958" s="35"/>
      <c r="T958" s="35"/>
      <c r="U958" s="35"/>
      <c r="V958" s="35"/>
      <c r="W958" s="35"/>
      <c r="X958" s="35"/>
      <c r="Y958" s="35"/>
      <c r="Z958" s="35"/>
      <c r="AA958" s="35"/>
    </row>
    <row r="959" ht="12.75" customHeight="1">
      <c r="A959" s="35"/>
      <c r="B959" s="35"/>
      <c r="C959" s="35"/>
      <c r="D959" s="35"/>
      <c r="E959" s="35"/>
      <c r="F959" s="35"/>
      <c r="G959" s="35"/>
      <c r="H959" s="35"/>
      <c r="I959" s="35"/>
      <c r="J959" s="35"/>
      <c r="K959" s="35"/>
      <c r="L959" s="35"/>
      <c r="M959" s="35"/>
      <c r="N959" s="35"/>
      <c r="O959" s="35"/>
      <c r="P959" s="35"/>
      <c r="Q959" s="35"/>
      <c r="R959" s="35"/>
      <c r="S959" s="35"/>
      <c r="T959" s="35"/>
      <c r="U959" s="35"/>
      <c r="V959" s="35"/>
      <c r="W959" s="35"/>
      <c r="X959" s="35"/>
      <c r="Y959" s="35"/>
      <c r="Z959" s="35"/>
      <c r="AA959" s="35"/>
    </row>
    <row r="960" ht="12.75" customHeight="1">
      <c r="A960" s="35"/>
      <c r="B960" s="35"/>
      <c r="C960" s="35"/>
      <c r="D960" s="35"/>
      <c r="E960" s="35"/>
      <c r="F960" s="35"/>
      <c r="G960" s="35"/>
      <c r="H960" s="35"/>
      <c r="I960" s="35"/>
      <c r="J960" s="35"/>
      <c r="K960" s="35"/>
      <c r="L960" s="35"/>
      <c r="M960" s="35"/>
      <c r="N960" s="35"/>
      <c r="O960" s="35"/>
      <c r="P960" s="35"/>
      <c r="Q960" s="35"/>
      <c r="R960" s="35"/>
      <c r="S960" s="35"/>
      <c r="T960" s="35"/>
      <c r="U960" s="35"/>
      <c r="V960" s="35"/>
      <c r="W960" s="35"/>
      <c r="X960" s="35"/>
      <c r="Y960" s="35"/>
      <c r="Z960" s="35"/>
      <c r="AA960" s="35"/>
    </row>
    <row r="961" ht="12.75" customHeight="1">
      <c r="A961" s="35"/>
      <c r="B961" s="35"/>
      <c r="C961" s="35"/>
      <c r="D961" s="35"/>
      <c r="E961" s="35"/>
      <c r="F961" s="35"/>
      <c r="G961" s="35"/>
      <c r="H961" s="35"/>
      <c r="I961" s="35"/>
      <c r="J961" s="35"/>
      <c r="K961" s="35"/>
      <c r="L961" s="35"/>
      <c r="M961" s="35"/>
      <c r="N961" s="35"/>
      <c r="O961" s="35"/>
      <c r="P961" s="35"/>
      <c r="Q961" s="35"/>
      <c r="R961" s="35"/>
      <c r="S961" s="35"/>
      <c r="T961" s="35"/>
      <c r="U961" s="35"/>
      <c r="V961" s="35"/>
      <c r="W961" s="35"/>
      <c r="X961" s="35"/>
      <c r="Y961" s="35"/>
      <c r="Z961" s="35"/>
      <c r="AA961" s="35"/>
    </row>
    <row r="962" ht="12.75" customHeight="1">
      <c r="A962" s="35"/>
      <c r="B962" s="35"/>
      <c r="C962" s="35"/>
      <c r="D962" s="35"/>
      <c r="E962" s="35"/>
      <c r="F962" s="35"/>
      <c r="G962" s="35"/>
      <c r="H962" s="35"/>
      <c r="I962" s="35"/>
      <c r="J962" s="35"/>
      <c r="K962" s="35"/>
      <c r="L962" s="35"/>
      <c r="M962" s="35"/>
      <c r="N962" s="35"/>
      <c r="O962" s="35"/>
      <c r="P962" s="35"/>
      <c r="Q962" s="35"/>
      <c r="R962" s="35"/>
      <c r="S962" s="35"/>
      <c r="T962" s="35"/>
      <c r="U962" s="35"/>
      <c r="V962" s="35"/>
      <c r="W962" s="35"/>
      <c r="X962" s="35"/>
      <c r="Y962" s="35"/>
      <c r="Z962" s="35"/>
      <c r="AA962" s="35"/>
    </row>
    <row r="963" ht="12.75" customHeight="1">
      <c r="A963" s="35"/>
      <c r="B963" s="35"/>
      <c r="C963" s="35"/>
      <c r="D963" s="35"/>
      <c r="E963" s="35"/>
      <c r="F963" s="35"/>
      <c r="G963" s="35"/>
      <c r="H963" s="35"/>
      <c r="I963" s="35"/>
      <c r="J963" s="35"/>
      <c r="K963" s="35"/>
      <c r="L963" s="35"/>
      <c r="M963" s="35"/>
      <c r="N963" s="35"/>
      <c r="O963" s="35"/>
      <c r="P963" s="35"/>
      <c r="Q963" s="35"/>
      <c r="R963" s="35"/>
      <c r="S963" s="35"/>
      <c r="T963" s="35"/>
      <c r="U963" s="35"/>
      <c r="V963" s="35"/>
      <c r="W963" s="35"/>
      <c r="X963" s="35"/>
      <c r="Y963" s="35"/>
      <c r="Z963" s="35"/>
      <c r="AA963" s="35"/>
    </row>
    <row r="964" ht="12.75" customHeight="1">
      <c r="A964" s="35"/>
      <c r="B964" s="35"/>
      <c r="C964" s="35"/>
      <c r="D964" s="35"/>
      <c r="E964" s="35"/>
      <c r="F964" s="35"/>
      <c r="G964" s="35"/>
      <c r="H964" s="35"/>
      <c r="I964" s="35"/>
      <c r="J964" s="35"/>
      <c r="K964" s="35"/>
      <c r="L964" s="35"/>
      <c r="M964" s="35"/>
      <c r="N964" s="35"/>
      <c r="O964" s="35"/>
      <c r="P964" s="35"/>
      <c r="Q964" s="35"/>
      <c r="R964" s="35"/>
      <c r="S964" s="35"/>
      <c r="T964" s="35"/>
      <c r="U964" s="35"/>
      <c r="V964" s="35"/>
      <c r="W964" s="35"/>
      <c r="X964" s="35"/>
      <c r="Y964" s="35"/>
      <c r="Z964" s="35"/>
      <c r="AA964" s="35"/>
    </row>
    <row r="965" ht="12.75" customHeight="1">
      <c r="A965" s="35"/>
      <c r="B965" s="35"/>
      <c r="C965" s="35"/>
      <c r="D965" s="35"/>
      <c r="E965" s="35"/>
      <c r="F965" s="35"/>
      <c r="G965" s="35"/>
      <c r="H965" s="35"/>
      <c r="I965" s="35"/>
      <c r="J965" s="35"/>
      <c r="K965" s="35"/>
      <c r="L965" s="35"/>
      <c r="M965" s="35"/>
      <c r="N965" s="35"/>
      <c r="O965" s="35"/>
      <c r="P965" s="35"/>
      <c r="Q965" s="35"/>
      <c r="R965" s="35"/>
      <c r="S965" s="35"/>
      <c r="T965" s="35"/>
      <c r="U965" s="35"/>
      <c r="V965" s="35"/>
      <c r="W965" s="35"/>
      <c r="X965" s="35"/>
      <c r="Y965" s="35"/>
      <c r="Z965" s="35"/>
      <c r="AA965" s="35"/>
    </row>
    <row r="966" ht="12.75" customHeight="1">
      <c r="A966" s="35"/>
      <c r="B966" s="35"/>
      <c r="C966" s="35"/>
      <c r="D966" s="35"/>
      <c r="E966" s="35"/>
      <c r="F966" s="35"/>
      <c r="G966" s="35"/>
      <c r="H966" s="35"/>
      <c r="I966" s="35"/>
      <c r="J966" s="35"/>
      <c r="K966" s="35"/>
      <c r="L966" s="35"/>
      <c r="M966" s="35"/>
      <c r="N966" s="35"/>
      <c r="O966" s="35"/>
      <c r="P966" s="35"/>
      <c r="Q966" s="35"/>
      <c r="R966" s="35"/>
      <c r="S966" s="35"/>
      <c r="T966" s="35"/>
      <c r="U966" s="35"/>
      <c r="V966" s="35"/>
      <c r="W966" s="35"/>
      <c r="X966" s="35"/>
      <c r="Y966" s="35"/>
      <c r="Z966" s="35"/>
      <c r="AA966" s="35"/>
    </row>
    <row r="967" ht="12.75" customHeight="1">
      <c r="A967" s="35"/>
      <c r="B967" s="35"/>
      <c r="C967" s="35"/>
      <c r="D967" s="35"/>
      <c r="E967" s="35"/>
      <c r="F967" s="35"/>
      <c r="G967" s="35"/>
      <c r="H967" s="35"/>
      <c r="I967" s="35"/>
      <c r="J967" s="35"/>
      <c r="K967" s="35"/>
      <c r="L967" s="35"/>
      <c r="M967" s="35"/>
      <c r="N967" s="35"/>
      <c r="O967" s="35"/>
      <c r="P967" s="35"/>
      <c r="Q967" s="35"/>
      <c r="R967" s="35"/>
      <c r="S967" s="35"/>
      <c r="T967" s="35"/>
      <c r="U967" s="35"/>
      <c r="V967" s="35"/>
      <c r="W967" s="35"/>
      <c r="X967" s="35"/>
      <c r="Y967" s="35"/>
      <c r="Z967" s="35"/>
      <c r="AA967" s="35"/>
    </row>
    <row r="968" ht="12.75" customHeight="1">
      <c r="A968" s="35"/>
      <c r="B968" s="35"/>
      <c r="C968" s="35"/>
      <c r="D968" s="35"/>
      <c r="E968" s="35"/>
      <c r="F968" s="35"/>
      <c r="G968" s="35"/>
      <c r="H968" s="35"/>
      <c r="I968" s="35"/>
      <c r="J968" s="35"/>
      <c r="K968" s="35"/>
      <c r="L968" s="35"/>
      <c r="M968" s="35"/>
      <c r="N968" s="35"/>
      <c r="O968" s="35"/>
      <c r="P968" s="35"/>
      <c r="Q968" s="35"/>
      <c r="R968" s="35"/>
      <c r="S968" s="35"/>
      <c r="T968" s="35"/>
      <c r="U968" s="35"/>
      <c r="V968" s="35"/>
      <c r="W968" s="35"/>
      <c r="X968" s="35"/>
      <c r="Y968" s="35"/>
      <c r="Z968" s="35"/>
      <c r="AA968" s="35"/>
    </row>
    <row r="969" ht="12.75" customHeight="1">
      <c r="A969" s="35"/>
      <c r="B969" s="35"/>
      <c r="C969" s="35"/>
      <c r="D969" s="35"/>
      <c r="E969" s="35"/>
      <c r="F969" s="35"/>
      <c r="G969" s="35"/>
      <c r="H969" s="35"/>
      <c r="I969" s="35"/>
      <c r="J969" s="35"/>
      <c r="K969" s="35"/>
      <c r="L969" s="35"/>
      <c r="M969" s="35"/>
      <c r="N969" s="35"/>
      <c r="O969" s="35"/>
      <c r="P969" s="35"/>
      <c r="Q969" s="35"/>
      <c r="R969" s="35"/>
      <c r="S969" s="35"/>
      <c r="T969" s="35"/>
      <c r="U969" s="35"/>
      <c r="V969" s="35"/>
      <c r="W969" s="35"/>
      <c r="X969" s="35"/>
      <c r="Y969" s="35"/>
      <c r="Z969" s="35"/>
      <c r="AA969" s="35"/>
    </row>
    <row r="970" ht="12.75" customHeight="1">
      <c r="A970" s="35"/>
      <c r="B970" s="35"/>
      <c r="C970" s="35"/>
      <c r="D970" s="35"/>
      <c r="E970" s="35"/>
      <c r="F970" s="35"/>
      <c r="G970" s="35"/>
      <c r="H970" s="35"/>
      <c r="I970" s="35"/>
      <c r="J970" s="35"/>
      <c r="K970" s="35"/>
      <c r="L970" s="35"/>
      <c r="M970" s="35"/>
      <c r="N970" s="35"/>
      <c r="O970" s="35"/>
      <c r="P970" s="35"/>
      <c r="Q970" s="35"/>
      <c r="R970" s="35"/>
      <c r="S970" s="35"/>
      <c r="T970" s="35"/>
      <c r="U970" s="35"/>
      <c r="V970" s="35"/>
      <c r="W970" s="35"/>
      <c r="X970" s="35"/>
      <c r="Y970" s="35"/>
      <c r="Z970" s="35"/>
      <c r="AA970" s="35"/>
    </row>
    <row r="971" ht="12.75" customHeight="1">
      <c r="A971" s="35"/>
      <c r="B971" s="35"/>
      <c r="C971" s="35"/>
      <c r="D971" s="35"/>
      <c r="E971" s="35"/>
      <c r="F971" s="35"/>
      <c r="G971" s="35"/>
      <c r="H971" s="35"/>
      <c r="I971" s="35"/>
      <c r="J971" s="35"/>
      <c r="K971" s="35"/>
      <c r="L971" s="35"/>
      <c r="M971" s="35"/>
      <c r="N971" s="35"/>
      <c r="O971" s="35"/>
      <c r="P971" s="35"/>
      <c r="Q971" s="35"/>
      <c r="R971" s="35"/>
      <c r="S971" s="35"/>
      <c r="T971" s="35"/>
      <c r="U971" s="35"/>
      <c r="V971" s="35"/>
      <c r="W971" s="35"/>
      <c r="X971" s="35"/>
      <c r="Y971" s="35"/>
      <c r="Z971" s="35"/>
      <c r="AA971" s="35"/>
    </row>
    <row r="972" ht="12.75" customHeight="1">
      <c r="A972" s="35"/>
      <c r="B972" s="35"/>
      <c r="C972" s="35"/>
      <c r="D972" s="35"/>
      <c r="E972" s="35"/>
      <c r="F972" s="35"/>
      <c r="G972" s="35"/>
      <c r="H972" s="35"/>
      <c r="I972" s="35"/>
      <c r="J972" s="35"/>
      <c r="K972" s="35"/>
      <c r="L972" s="35"/>
      <c r="M972" s="35"/>
      <c r="N972" s="35"/>
      <c r="O972" s="35"/>
      <c r="P972" s="35"/>
      <c r="Q972" s="35"/>
      <c r="R972" s="35"/>
      <c r="S972" s="35"/>
      <c r="T972" s="35"/>
      <c r="U972" s="35"/>
      <c r="V972" s="35"/>
      <c r="W972" s="35"/>
      <c r="X972" s="35"/>
      <c r="Y972" s="35"/>
      <c r="Z972" s="35"/>
      <c r="AA972" s="35"/>
    </row>
    <row r="973" ht="12.75" customHeight="1">
      <c r="A973" s="35"/>
      <c r="B973" s="35"/>
      <c r="C973" s="35"/>
      <c r="D973" s="35"/>
      <c r="E973" s="35"/>
      <c r="F973" s="35"/>
      <c r="G973" s="35"/>
      <c r="H973" s="35"/>
      <c r="I973" s="35"/>
      <c r="J973" s="35"/>
      <c r="K973" s="35"/>
      <c r="L973" s="35"/>
      <c r="M973" s="35"/>
      <c r="N973" s="35"/>
      <c r="O973" s="35"/>
      <c r="P973" s="35"/>
      <c r="Q973" s="35"/>
      <c r="R973" s="35"/>
      <c r="S973" s="35"/>
      <c r="T973" s="35"/>
      <c r="U973" s="35"/>
      <c r="V973" s="35"/>
      <c r="W973" s="35"/>
      <c r="X973" s="35"/>
      <c r="Y973" s="35"/>
      <c r="Z973" s="35"/>
      <c r="AA973" s="35"/>
    </row>
    <row r="974" ht="12.75" customHeight="1">
      <c r="A974" s="35"/>
      <c r="B974" s="35"/>
      <c r="C974" s="35"/>
      <c r="D974" s="35"/>
      <c r="E974" s="35"/>
      <c r="F974" s="35"/>
      <c r="G974" s="35"/>
      <c r="H974" s="35"/>
      <c r="I974" s="35"/>
      <c r="J974" s="35"/>
      <c r="K974" s="35"/>
      <c r="L974" s="35"/>
      <c r="M974" s="35"/>
      <c r="N974" s="35"/>
      <c r="O974" s="35"/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5"/>
      <c r="AA974" s="35"/>
    </row>
    <row r="975" ht="12.75" customHeight="1">
      <c r="A975" s="35"/>
      <c r="B975" s="35"/>
      <c r="C975" s="35"/>
      <c r="D975" s="35"/>
      <c r="E975" s="35"/>
      <c r="F975" s="35"/>
      <c r="G975" s="35"/>
      <c r="H975" s="35"/>
      <c r="I975" s="35"/>
      <c r="J975" s="35"/>
      <c r="K975" s="35"/>
      <c r="L975" s="35"/>
      <c r="M975" s="35"/>
      <c r="N975" s="35"/>
      <c r="O975" s="35"/>
      <c r="P975" s="35"/>
      <c r="Q975" s="35"/>
      <c r="R975" s="35"/>
      <c r="S975" s="35"/>
      <c r="T975" s="35"/>
      <c r="U975" s="35"/>
      <c r="V975" s="35"/>
      <c r="W975" s="35"/>
      <c r="X975" s="35"/>
      <c r="Y975" s="35"/>
      <c r="Z975" s="35"/>
      <c r="AA975" s="35"/>
    </row>
    <row r="976" ht="12.75" customHeight="1">
      <c r="A976" s="35"/>
      <c r="B976" s="35"/>
      <c r="C976" s="35"/>
      <c r="D976" s="35"/>
      <c r="E976" s="35"/>
      <c r="F976" s="35"/>
      <c r="G976" s="35"/>
      <c r="H976" s="35"/>
      <c r="I976" s="35"/>
      <c r="J976" s="35"/>
      <c r="K976" s="35"/>
      <c r="L976" s="35"/>
      <c r="M976" s="35"/>
      <c r="N976" s="35"/>
      <c r="O976" s="35"/>
      <c r="P976" s="35"/>
      <c r="Q976" s="35"/>
      <c r="R976" s="35"/>
      <c r="S976" s="35"/>
      <c r="T976" s="35"/>
      <c r="U976" s="35"/>
      <c r="V976" s="35"/>
      <c r="W976" s="35"/>
      <c r="X976" s="35"/>
      <c r="Y976" s="35"/>
      <c r="Z976" s="35"/>
      <c r="AA976" s="35"/>
    </row>
    <row r="977" ht="12.75" customHeight="1">
      <c r="A977" s="35"/>
      <c r="B977" s="35"/>
      <c r="C977" s="35"/>
      <c r="D977" s="35"/>
      <c r="E977" s="35"/>
      <c r="F977" s="35"/>
      <c r="G977" s="35"/>
      <c r="H977" s="35"/>
      <c r="I977" s="35"/>
      <c r="J977" s="35"/>
      <c r="K977" s="35"/>
      <c r="L977" s="35"/>
      <c r="M977" s="35"/>
      <c r="N977" s="35"/>
      <c r="O977" s="35"/>
      <c r="P977" s="35"/>
      <c r="Q977" s="35"/>
      <c r="R977" s="35"/>
      <c r="S977" s="35"/>
      <c r="T977" s="35"/>
      <c r="U977" s="35"/>
      <c r="V977" s="35"/>
      <c r="W977" s="35"/>
      <c r="X977" s="35"/>
      <c r="Y977" s="35"/>
      <c r="Z977" s="35"/>
      <c r="AA977" s="35"/>
    </row>
    <row r="978" ht="12.75" customHeight="1">
      <c r="A978" s="35"/>
      <c r="B978" s="35"/>
      <c r="C978" s="35"/>
      <c r="D978" s="35"/>
      <c r="E978" s="35"/>
      <c r="F978" s="35"/>
      <c r="G978" s="35"/>
      <c r="H978" s="35"/>
      <c r="I978" s="35"/>
      <c r="J978" s="35"/>
      <c r="K978" s="35"/>
      <c r="L978" s="35"/>
      <c r="M978" s="35"/>
      <c r="N978" s="35"/>
      <c r="O978" s="35"/>
      <c r="P978" s="35"/>
      <c r="Q978" s="35"/>
      <c r="R978" s="35"/>
      <c r="S978" s="35"/>
      <c r="T978" s="35"/>
      <c r="U978" s="35"/>
      <c r="V978" s="35"/>
      <c r="W978" s="35"/>
      <c r="X978" s="35"/>
      <c r="Y978" s="35"/>
      <c r="Z978" s="35"/>
      <c r="AA978" s="35"/>
    </row>
    <row r="979" ht="12.75" customHeight="1">
      <c r="A979" s="35"/>
      <c r="B979" s="35"/>
      <c r="C979" s="35"/>
      <c r="D979" s="35"/>
      <c r="E979" s="35"/>
      <c r="F979" s="35"/>
      <c r="G979" s="35"/>
      <c r="H979" s="35"/>
      <c r="I979" s="35"/>
      <c r="J979" s="35"/>
      <c r="K979" s="35"/>
      <c r="L979" s="35"/>
      <c r="M979" s="35"/>
      <c r="N979" s="35"/>
      <c r="O979" s="35"/>
      <c r="P979" s="35"/>
      <c r="Q979" s="35"/>
      <c r="R979" s="35"/>
      <c r="S979" s="35"/>
      <c r="T979" s="35"/>
      <c r="U979" s="35"/>
      <c r="V979" s="35"/>
      <c r="W979" s="35"/>
      <c r="X979" s="35"/>
      <c r="Y979" s="35"/>
      <c r="Z979" s="35"/>
      <c r="AA979" s="35"/>
    </row>
    <row r="980" ht="12.75" customHeight="1">
      <c r="A980" s="35"/>
      <c r="B980" s="35"/>
      <c r="C980" s="35"/>
      <c r="D980" s="35"/>
      <c r="E980" s="35"/>
      <c r="F980" s="35"/>
      <c r="G980" s="35"/>
      <c r="H980" s="35"/>
      <c r="I980" s="35"/>
      <c r="J980" s="35"/>
      <c r="K980" s="35"/>
      <c r="L980" s="35"/>
      <c r="M980" s="35"/>
      <c r="N980" s="35"/>
      <c r="O980" s="35"/>
      <c r="P980" s="35"/>
      <c r="Q980" s="35"/>
      <c r="R980" s="35"/>
      <c r="S980" s="35"/>
      <c r="T980" s="35"/>
      <c r="U980" s="35"/>
      <c r="V980" s="35"/>
      <c r="W980" s="35"/>
      <c r="X980" s="35"/>
      <c r="Y980" s="35"/>
      <c r="Z980" s="35"/>
      <c r="AA980" s="35"/>
    </row>
    <row r="981" ht="12.75" customHeight="1">
      <c r="A981" s="35"/>
      <c r="B981" s="35"/>
      <c r="C981" s="35"/>
      <c r="D981" s="35"/>
      <c r="E981" s="35"/>
      <c r="F981" s="35"/>
      <c r="G981" s="35"/>
      <c r="H981" s="35"/>
      <c r="I981" s="35"/>
      <c r="J981" s="35"/>
      <c r="K981" s="35"/>
      <c r="L981" s="35"/>
      <c r="M981" s="35"/>
      <c r="N981" s="35"/>
      <c r="O981" s="35"/>
      <c r="P981" s="35"/>
      <c r="Q981" s="35"/>
      <c r="R981" s="35"/>
      <c r="S981" s="35"/>
      <c r="T981" s="35"/>
      <c r="U981" s="35"/>
      <c r="V981" s="35"/>
      <c r="W981" s="35"/>
      <c r="X981" s="35"/>
      <c r="Y981" s="35"/>
      <c r="Z981" s="35"/>
      <c r="AA981" s="35"/>
    </row>
    <row r="982" ht="12.75" customHeight="1">
      <c r="A982" s="35"/>
      <c r="B982" s="35"/>
      <c r="C982" s="35"/>
      <c r="D982" s="35"/>
      <c r="E982" s="35"/>
      <c r="F982" s="35"/>
      <c r="G982" s="35"/>
      <c r="H982" s="35"/>
      <c r="I982" s="35"/>
      <c r="J982" s="35"/>
      <c r="K982" s="35"/>
      <c r="L982" s="35"/>
      <c r="M982" s="35"/>
      <c r="N982" s="35"/>
      <c r="O982" s="35"/>
      <c r="P982" s="35"/>
      <c r="Q982" s="35"/>
      <c r="R982" s="35"/>
      <c r="S982" s="35"/>
      <c r="T982" s="35"/>
      <c r="U982" s="35"/>
      <c r="V982" s="35"/>
      <c r="W982" s="35"/>
      <c r="X982" s="35"/>
      <c r="Y982" s="35"/>
      <c r="Z982" s="35"/>
      <c r="AA982" s="35"/>
    </row>
    <row r="983" ht="12.75" customHeight="1">
      <c r="A983" s="35"/>
      <c r="B983" s="35"/>
      <c r="C983" s="35"/>
      <c r="D983" s="35"/>
      <c r="E983" s="35"/>
      <c r="F983" s="35"/>
      <c r="G983" s="35"/>
      <c r="H983" s="35"/>
      <c r="I983" s="35"/>
      <c r="J983" s="35"/>
      <c r="K983" s="35"/>
      <c r="L983" s="35"/>
      <c r="M983" s="35"/>
      <c r="N983" s="35"/>
      <c r="O983" s="35"/>
      <c r="P983" s="35"/>
      <c r="Q983" s="35"/>
      <c r="R983" s="35"/>
      <c r="S983" s="35"/>
      <c r="T983" s="35"/>
      <c r="U983" s="35"/>
      <c r="V983" s="35"/>
      <c r="W983" s="35"/>
      <c r="X983" s="35"/>
      <c r="Y983" s="35"/>
      <c r="Z983" s="35"/>
      <c r="AA983" s="35"/>
    </row>
    <row r="984" ht="12.75" customHeight="1">
      <c r="A984" s="35"/>
      <c r="B984" s="35"/>
      <c r="C984" s="35"/>
      <c r="D984" s="35"/>
      <c r="E984" s="35"/>
      <c r="F984" s="35"/>
      <c r="G984" s="35"/>
      <c r="H984" s="35"/>
      <c r="I984" s="35"/>
      <c r="J984" s="35"/>
      <c r="K984" s="35"/>
      <c r="L984" s="35"/>
      <c r="M984" s="35"/>
      <c r="N984" s="35"/>
      <c r="O984" s="35"/>
      <c r="P984" s="35"/>
      <c r="Q984" s="35"/>
      <c r="R984" s="35"/>
      <c r="S984" s="35"/>
      <c r="T984" s="35"/>
      <c r="U984" s="35"/>
      <c r="V984" s="35"/>
      <c r="W984" s="35"/>
      <c r="X984" s="35"/>
      <c r="Y984" s="35"/>
      <c r="Z984" s="35"/>
      <c r="AA984" s="35"/>
    </row>
    <row r="985" ht="12.75" customHeight="1">
      <c r="A985" s="35"/>
      <c r="B985" s="35"/>
      <c r="C985" s="35"/>
      <c r="D985" s="35"/>
      <c r="E985" s="35"/>
      <c r="F985" s="35"/>
      <c r="G985" s="35"/>
      <c r="H985" s="35"/>
      <c r="I985" s="35"/>
      <c r="J985" s="35"/>
      <c r="K985" s="35"/>
      <c r="L985" s="35"/>
      <c r="M985" s="35"/>
      <c r="N985" s="35"/>
      <c r="O985" s="35"/>
      <c r="P985" s="35"/>
      <c r="Q985" s="35"/>
      <c r="R985" s="35"/>
      <c r="S985" s="35"/>
      <c r="T985" s="35"/>
      <c r="U985" s="35"/>
      <c r="V985" s="35"/>
      <c r="W985" s="35"/>
      <c r="X985" s="35"/>
      <c r="Y985" s="35"/>
      <c r="Z985" s="35"/>
      <c r="AA985" s="35"/>
    </row>
    <row r="986" ht="12.75" customHeight="1">
      <c r="A986" s="35"/>
      <c r="B986" s="35"/>
      <c r="C986" s="35"/>
      <c r="D986" s="35"/>
      <c r="E986" s="35"/>
      <c r="F986" s="35"/>
      <c r="G986" s="35"/>
      <c r="H986" s="35"/>
      <c r="I986" s="35"/>
      <c r="J986" s="35"/>
      <c r="K986" s="35"/>
      <c r="L986" s="35"/>
      <c r="M986" s="35"/>
      <c r="N986" s="35"/>
      <c r="O986" s="35"/>
      <c r="P986" s="35"/>
      <c r="Q986" s="35"/>
      <c r="R986" s="35"/>
      <c r="S986" s="35"/>
      <c r="T986" s="35"/>
      <c r="U986" s="35"/>
      <c r="V986" s="35"/>
      <c r="W986" s="35"/>
      <c r="X986" s="35"/>
      <c r="Y986" s="35"/>
      <c r="Z986" s="35"/>
      <c r="AA986" s="35"/>
    </row>
    <row r="987" ht="12.75" customHeight="1">
      <c r="A987" s="35"/>
      <c r="B987" s="35"/>
      <c r="C987" s="35"/>
      <c r="D987" s="35"/>
      <c r="E987" s="35"/>
      <c r="F987" s="35"/>
      <c r="G987" s="35"/>
      <c r="H987" s="35"/>
      <c r="I987" s="35"/>
      <c r="J987" s="35"/>
      <c r="K987" s="35"/>
      <c r="L987" s="35"/>
      <c r="M987" s="35"/>
      <c r="N987" s="35"/>
      <c r="O987" s="35"/>
      <c r="P987" s="35"/>
      <c r="Q987" s="35"/>
      <c r="R987" s="35"/>
      <c r="S987" s="35"/>
      <c r="T987" s="35"/>
      <c r="U987" s="35"/>
      <c r="V987" s="35"/>
      <c r="W987" s="35"/>
      <c r="X987" s="35"/>
      <c r="Y987" s="35"/>
      <c r="Z987" s="35"/>
      <c r="AA987" s="35"/>
    </row>
    <row r="988" ht="12.75" customHeight="1">
      <c r="A988" s="35"/>
      <c r="B988" s="35"/>
      <c r="C988" s="35"/>
      <c r="D988" s="35"/>
      <c r="E988" s="35"/>
      <c r="F988" s="35"/>
      <c r="G988" s="35"/>
      <c r="H988" s="35"/>
      <c r="I988" s="35"/>
      <c r="J988" s="35"/>
      <c r="K988" s="35"/>
      <c r="L988" s="35"/>
      <c r="M988" s="35"/>
      <c r="N988" s="35"/>
      <c r="O988" s="35"/>
      <c r="P988" s="35"/>
      <c r="Q988" s="35"/>
      <c r="R988" s="35"/>
      <c r="S988" s="35"/>
      <c r="T988" s="35"/>
      <c r="U988" s="35"/>
      <c r="V988" s="35"/>
      <c r="W988" s="35"/>
      <c r="X988" s="35"/>
      <c r="Y988" s="35"/>
      <c r="Z988" s="35"/>
      <c r="AA988" s="35"/>
    </row>
    <row r="989" ht="12.75" customHeight="1">
      <c r="A989" s="35"/>
      <c r="B989" s="35"/>
      <c r="C989" s="35"/>
      <c r="D989" s="35"/>
      <c r="E989" s="35"/>
      <c r="F989" s="35"/>
      <c r="G989" s="35"/>
      <c r="H989" s="35"/>
      <c r="I989" s="35"/>
      <c r="J989" s="35"/>
      <c r="K989" s="35"/>
      <c r="L989" s="35"/>
      <c r="M989" s="35"/>
      <c r="N989" s="35"/>
      <c r="O989" s="35"/>
      <c r="P989" s="35"/>
      <c r="Q989" s="35"/>
      <c r="R989" s="35"/>
      <c r="S989" s="35"/>
      <c r="T989" s="35"/>
      <c r="U989" s="35"/>
      <c r="V989" s="35"/>
      <c r="W989" s="35"/>
      <c r="X989" s="35"/>
      <c r="Y989" s="35"/>
      <c r="Z989" s="35"/>
      <c r="AA989" s="35"/>
    </row>
    <row r="990" ht="12.75" customHeight="1">
      <c r="A990" s="35"/>
      <c r="B990" s="35"/>
      <c r="C990" s="35"/>
      <c r="D990" s="35"/>
      <c r="E990" s="35"/>
      <c r="F990" s="35"/>
      <c r="G990" s="35"/>
      <c r="H990" s="35"/>
      <c r="I990" s="35"/>
      <c r="J990" s="35"/>
      <c r="K990" s="35"/>
      <c r="L990" s="35"/>
      <c r="M990" s="35"/>
      <c r="N990" s="35"/>
      <c r="O990" s="35"/>
      <c r="P990" s="35"/>
      <c r="Q990" s="35"/>
      <c r="R990" s="35"/>
      <c r="S990" s="35"/>
      <c r="T990" s="35"/>
      <c r="U990" s="35"/>
      <c r="V990" s="35"/>
      <c r="W990" s="35"/>
      <c r="X990" s="35"/>
      <c r="Y990" s="35"/>
      <c r="Z990" s="35"/>
      <c r="AA990" s="35"/>
    </row>
    <row r="991" ht="12.75" customHeight="1">
      <c r="A991" s="35"/>
      <c r="B991" s="35"/>
      <c r="C991" s="35"/>
      <c r="D991" s="35"/>
      <c r="E991" s="35"/>
      <c r="F991" s="35"/>
      <c r="G991" s="35"/>
      <c r="H991" s="35"/>
      <c r="I991" s="35"/>
      <c r="J991" s="35"/>
      <c r="K991" s="35"/>
      <c r="L991" s="35"/>
      <c r="M991" s="35"/>
      <c r="N991" s="35"/>
      <c r="O991" s="35"/>
      <c r="P991" s="35"/>
      <c r="Q991" s="35"/>
      <c r="R991" s="35"/>
      <c r="S991" s="35"/>
      <c r="T991" s="35"/>
      <c r="U991" s="35"/>
      <c r="V991" s="35"/>
      <c r="W991" s="35"/>
      <c r="X991" s="35"/>
      <c r="Y991" s="35"/>
      <c r="Z991" s="35"/>
      <c r="AA991" s="35"/>
    </row>
    <row r="992" ht="12.75" customHeight="1">
      <c r="A992" s="35"/>
      <c r="B992" s="35"/>
      <c r="C992" s="35"/>
      <c r="D992" s="35"/>
      <c r="E992" s="35"/>
      <c r="F992" s="35"/>
      <c r="G992" s="35"/>
      <c r="H992" s="35"/>
      <c r="I992" s="35"/>
      <c r="J992" s="35"/>
      <c r="K992" s="35"/>
      <c r="L992" s="35"/>
      <c r="M992" s="35"/>
      <c r="N992" s="35"/>
      <c r="O992" s="35"/>
      <c r="P992" s="35"/>
      <c r="Q992" s="35"/>
      <c r="R992" s="35"/>
      <c r="S992" s="35"/>
      <c r="T992" s="35"/>
      <c r="U992" s="35"/>
      <c r="V992" s="35"/>
      <c r="W992" s="35"/>
      <c r="X992" s="35"/>
      <c r="Y992" s="35"/>
      <c r="Z992" s="35"/>
      <c r="AA992" s="35"/>
    </row>
    <row r="993" ht="12.75" customHeight="1">
      <c r="A993" s="35"/>
      <c r="B993" s="35"/>
      <c r="C993" s="35"/>
      <c r="D993" s="35"/>
      <c r="E993" s="35"/>
      <c r="F993" s="35"/>
      <c r="G993" s="35"/>
      <c r="H993" s="35"/>
      <c r="I993" s="35"/>
      <c r="J993" s="35"/>
      <c r="K993" s="35"/>
      <c r="L993" s="35"/>
      <c r="M993" s="35"/>
      <c r="N993" s="35"/>
      <c r="O993" s="35"/>
      <c r="P993" s="35"/>
      <c r="Q993" s="35"/>
      <c r="R993" s="35"/>
      <c r="S993" s="35"/>
      <c r="T993" s="35"/>
      <c r="U993" s="35"/>
      <c r="V993" s="35"/>
      <c r="W993" s="35"/>
      <c r="X993" s="35"/>
      <c r="Y993" s="35"/>
      <c r="Z993" s="35"/>
      <c r="AA993" s="35"/>
    </row>
    <row r="994" ht="12.75" customHeight="1">
      <c r="A994" s="35"/>
      <c r="B994" s="35"/>
      <c r="C994" s="35"/>
      <c r="D994" s="35"/>
      <c r="E994" s="35"/>
      <c r="F994" s="35"/>
      <c r="G994" s="35"/>
      <c r="H994" s="35"/>
      <c r="I994" s="35"/>
      <c r="J994" s="35"/>
      <c r="K994" s="35"/>
      <c r="L994" s="35"/>
      <c r="M994" s="35"/>
      <c r="N994" s="35"/>
      <c r="O994" s="35"/>
      <c r="P994" s="35"/>
      <c r="Q994" s="35"/>
      <c r="R994" s="35"/>
      <c r="S994" s="35"/>
      <c r="T994" s="35"/>
      <c r="U994" s="35"/>
      <c r="V994" s="35"/>
      <c r="W994" s="35"/>
      <c r="X994" s="35"/>
      <c r="Y994" s="35"/>
      <c r="Z994" s="35"/>
      <c r="AA994" s="35"/>
    </row>
    <row r="995" ht="12.75" customHeight="1">
      <c r="A995" s="35"/>
      <c r="B995" s="35"/>
      <c r="C995" s="35"/>
      <c r="D995" s="35"/>
      <c r="E995" s="35"/>
      <c r="F995" s="35"/>
      <c r="G995" s="35"/>
      <c r="H995" s="35"/>
      <c r="I995" s="35"/>
      <c r="J995" s="35"/>
      <c r="K995" s="35"/>
      <c r="L995" s="35"/>
      <c r="M995" s="35"/>
      <c r="N995" s="35"/>
      <c r="O995" s="35"/>
      <c r="P995" s="35"/>
      <c r="Q995" s="35"/>
      <c r="R995" s="35"/>
      <c r="S995" s="35"/>
      <c r="T995" s="35"/>
      <c r="U995" s="35"/>
      <c r="V995" s="35"/>
      <c r="W995" s="35"/>
      <c r="X995" s="35"/>
      <c r="Y995" s="35"/>
      <c r="Z995" s="35"/>
      <c r="AA995" s="35"/>
    </row>
    <row r="996" ht="12.75" customHeight="1">
      <c r="A996" s="35"/>
      <c r="B996" s="35"/>
      <c r="C996" s="35"/>
      <c r="D996" s="35"/>
      <c r="E996" s="35"/>
      <c r="F996" s="35"/>
      <c r="G996" s="35"/>
      <c r="H996" s="35"/>
      <c r="I996" s="35"/>
      <c r="J996" s="35"/>
      <c r="K996" s="35"/>
      <c r="L996" s="35"/>
      <c r="M996" s="35"/>
      <c r="N996" s="35"/>
      <c r="O996" s="35"/>
      <c r="P996" s="35"/>
      <c r="Q996" s="35"/>
      <c r="R996" s="35"/>
      <c r="S996" s="35"/>
      <c r="T996" s="35"/>
      <c r="U996" s="35"/>
      <c r="V996" s="35"/>
      <c r="W996" s="35"/>
      <c r="X996" s="35"/>
      <c r="Y996" s="35"/>
      <c r="Z996" s="35"/>
      <c r="AA996" s="35"/>
    </row>
    <row r="997" ht="12.75" customHeight="1">
      <c r="A997" s="35"/>
      <c r="B997" s="35"/>
      <c r="C997" s="35"/>
      <c r="D997" s="35"/>
      <c r="E997" s="35"/>
      <c r="F997" s="35"/>
      <c r="G997" s="35"/>
      <c r="H997" s="35"/>
      <c r="I997" s="35"/>
      <c r="J997" s="35"/>
      <c r="K997" s="35"/>
      <c r="L997" s="35"/>
      <c r="M997" s="35"/>
      <c r="N997" s="35"/>
      <c r="O997" s="35"/>
      <c r="P997" s="35"/>
      <c r="Q997" s="35"/>
      <c r="R997" s="35"/>
      <c r="S997" s="35"/>
      <c r="T997" s="35"/>
      <c r="U997" s="35"/>
      <c r="V997" s="35"/>
      <c r="W997" s="35"/>
      <c r="X997" s="35"/>
      <c r="Y997" s="35"/>
      <c r="Z997" s="35"/>
      <c r="AA997" s="35"/>
    </row>
    <row r="998" ht="12.75" customHeight="1">
      <c r="A998" s="35"/>
      <c r="B998" s="35"/>
      <c r="C998" s="35"/>
      <c r="D998" s="35"/>
      <c r="E998" s="35"/>
      <c r="F998" s="35"/>
      <c r="G998" s="35"/>
      <c r="H998" s="35"/>
      <c r="I998" s="35"/>
      <c r="J998" s="35"/>
      <c r="K998" s="35"/>
      <c r="L998" s="35"/>
      <c r="M998" s="35"/>
      <c r="N998" s="35"/>
      <c r="O998" s="35"/>
      <c r="P998" s="35"/>
      <c r="Q998" s="35"/>
      <c r="R998" s="35"/>
      <c r="S998" s="35"/>
      <c r="T998" s="35"/>
      <c r="U998" s="35"/>
      <c r="V998" s="35"/>
      <c r="W998" s="35"/>
      <c r="X998" s="35"/>
      <c r="Y998" s="35"/>
      <c r="Z998" s="35"/>
      <c r="AA998" s="35"/>
    </row>
    <row r="999" ht="12.75" customHeight="1">
      <c r="A999" s="35"/>
      <c r="B999" s="35"/>
      <c r="C999" s="35"/>
      <c r="D999" s="35"/>
      <c r="E999" s="35"/>
      <c r="F999" s="35"/>
      <c r="G999" s="35"/>
      <c r="H999" s="35"/>
      <c r="I999" s="35"/>
      <c r="J999" s="35"/>
      <c r="K999" s="35"/>
      <c r="L999" s="35"/>
      <c r="M999" s="35"/>
      <c r="N999" s="35"/>
      <c r="O999" s="35"/>
      <c r="P999" s="35"/>
      <c r="Q999" s="35"/>
      <c r="R999" s="35"/>
      <c r="S999" s="35"/>
      <c r="T999" s="35"/>
      <c r="U999" s="35"/>
      <c r="V999" s="35"/>
      <c r="W999" s="35"/>
      <c r="X999" s="35"/>
      <c r="Y999" s="35"/>
      <c r="Z999" s="35"/>
      <c r="AA999" s="35"/>
    </row>
    <row r="1000" ht="12.75" customHeight="1">
      <c r="A1000" s="35"/>
      <c r="B1000" s="35"/>
      <c r="C1000" s="35"/>
      <c r="D1000" s="35"/>
      <c r="E1000" s="35"/>
      <c r="F1000" s="35"/>
      <c r="G1000" s="35"/>
      <c r="H1000" s="35"/>
      <c r="I1000" s="35"/>
      <c r="J1000" s="35"/>
      <c r="K1000" s="35"/>
      <c r="L1000" s="35"/>
      <c r="M1000" s="35"/>
      <c r="N1000" s="35"/>
      <c r="O1000" s="35"/>
      <c r="P1000" s="35"/>
      <c r="Q1000" s="35"/>
      <c r="R1000" s="35"/>
      <c r="S1000" s="35"/>
      <c r="T1000" s="35"/>
      <c r="U1000" s="35"/>
      <c r="V1000" s="35"/>
      <c r="W1000" s="35"/>
      <c r="X1000" s="35"/>
      <c r="Y1000" s="35"/>
      <c r="Z1000" s="35"/>
      <c r="AA1000" s="35"/>
    </row>
  </sheetData>
  <mergeCells count="2">
    <mergeCell ref="A3:M3"/>
    <mergeCell ref="A4:M4"/>
  </mergeCells>
  <printOptions/>
  <pageMargins bottom="0.7480314960629921" footer="0.0" header="0.0" left="0.7086614173228347" right="0.7086614173228347" top="0.7480314960629921"/>
  <pageSetup paperSize="5" scale="60" orientation="landscape"/>
  <drawing r:id="rId1"/>
  <tableParts count="1">
    <tablePart r:id="rId3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 fitToPage="1"/>
  </sheetPr>
  <sheetViews>
    <sheetView workbookViewId="0"/>
  </sheetViews>
  <sheetFormatPr customHeight="1" defaultColWidth="14.43" defaultRowHeight="15.0"/>
  <cols>
    <col customWidth="1" min="1" max="1" width="5.29"/>
    <col customWidth="1" min="2" max="2" width="16.43"/>
    <col customWidth="1" min="3" max="3" width="34.14"/>
    <col customWidth="1" min="4" max="4" width="13.0"/>
    <col customWidth="1" min="5" max="5" width="8.29"/>
    <col customWidth="1" min="6" max="6" width="22.71"/>
    <col customWidth="1" min="7" max="7" width="24.29"/>
    <col customWidth="1" min="8" max="8" width="8.86"/>
    <col customWidth="1" min="9" max="9" width="24.0"/>
    <col customWidth="1" min="10" max="10" width="21.0"/>
    <col customWidth="1" min="11" max="12" width="15.29"/>
    <col customWidth="1" min="13" max="13" width="12.14"/>
    <col customWidth="1" min="14" max="14" width="43.43"/>
    <col customWidth="1" min="15" max="15" width="31.14"/>
    <col customWidth="1" min="16" max="27" width="8.71"/>
  </cols>
  <sheetData>
    <row r="1" ht="14.25" customHeight="1"/>
    <row r="2" ht="14.25" customHeight="1"/>
    <row r="3" ht="14.25" customHeight="1">
      <c r="A3" s="1" t="s">
        <v>0</v>
      </c>
    </row>
    <row r="4" ht="14.25" customHeight="1">
      <c r="A4" s="1"/>
    </row>
    <row r="5" ht="14.25" hidden="1" customHeight="1"/>
    <row r="6" ht="14.25" hidden="1" customHeight="1"/>
    <row r="7" ht="14.25" hidden="1" customHeight="1">
      <c r="A7" s="2" t="s">
        <v>2</v>
      </c>
      <c r="C7" s="2" t="s">
        <v>3</v>
      </c>
    </row>
    <row r="8" ht="14.25" hidden="1" customHeight="1">
      <c r="A8" s="2" t="s">
        <v>4</v>
      </c>
      <c r="C8" s="2" t="s">
        <v>5</v>
      </c>
    </row>
    <row r="9" ht="14.25" hidden="1" customHeight="1">
      <c r="A9" s="2" t="s">
        <v>6</v>
      </c>
      <c r="C9" s="2" t="s">
        <v>5507</v>
      </c>
    </row>
    <row r="10" ht="14.25" customHeight="1">
      <c r="A10" s="169" t="s">
        <v>8</v>
      </c>
      <c r="B10" s="170" t="s">
        <v>9</v>
      </c>
      <c r="C10" s="170" t="s">
        <v>10</v>
      </c>
      <c r="D10" s="170" t="s">
        <v>11</v>
      </c>
      <c r="E10" s="170" t="s">
        <v>12</v>
      </c>
      <c r="F10" s="170" t="s">
        <v>13</v>
      </c>
      <c r="G10" s="170" t="s">
        <v>14</v>
      </c>
      <c r="H10" s="170" t="s">
        <v>15</v>
      </c>
      <c r="I10" s="170" t="s">
        <v>16</v>
      </c>
      <c r="J10" s="170" t="s">
        <v>17</v>
      </c>
      <c r="K10" s="246" t="s">
        <v>1881</v>
      </c>
      <c r="L10" s="170" t="s">
        <v>1882</v>
      </c>
      <c r="M10" s="171" t="s">
        <v>20</v>
      </c>
      <c r="N10" s="170" t="s">
        <v>1883</v>
      </c>
      <c r="O10" s="170" t="s">
        <v>3232</v>
      </c>
    </row>
    <row r="11" ht="14.25" customHeight="1">
      <c r="A11" s="698"/>
      <c r="B11" s="317" t="s">
        <v>1884</v>
      </c>
      <c r="C11" s="173"/>
      <c r="D11" s="317"/>
      <c r="E11" s="317"/>
      <c r="F11" s="427">
        <f>SUM(F12:F16)</f>
        <v>1235268800</v>
      </c>
      <c r="G11" s="317"/>
      <c r="H11" s="317"/>
      <c r="I11" s="317"/>
      <c r="J11" s="317"/>
      <c r="K11" s="317"/>
      <c r="L11" s="317"/>
      <c r="M11" s="428"/>
      <c r="N11" s="428"/>
      <c r="O11" s="381"/>
    </row>
    <row r="12" ht="14.25" customHeight="1">
      <c r="A12" s="699">
        <v>1.0</v>
      </c>
      <c r="B12" s="175" t="s">
        <v>780</v>
      </c>
      <c r="C12" s="178" t="s">
        <v>5508</v>
      </c>
      <c r="D12" s="175" t="s">
        <v>5509</v>
      </c>
      <c r="E12" s="175" t="s">
        <v>70</v>
      </c>
      <c r="F12" s="177">
        <v>2.08E8</v>
      </c>
      <c r="G12" s="24" t="s">
        <v>5510</v>
      </c>
      <c r="H12" s="175" t="s">
        <v>37</v>
      </c>
      <c r="I12" s="16" t="s">
        <v>5511</v>
      </c>
      <c r="J12" s="175" t="s">
        <v>5512</v>
      </c>
      <c r="K12" s="178" t="s">
        <v>5513</v>
      </c>
      <c r="L12" s="17" t="s">
        <v>5514</v>
      </c>
      <c r="M12" s="391" t="s">
        <v>2755</v>
      </c>
      <c r="N12" s="175" t="s">
        <v>5515</v>
      </c>
      <c r="O12" s="175"/>
    </row>
    <row r="13" ht="14.25" customHeight="1">
      <c r="A13" s="699">
        <v>2.0</v>
      </c>
      <c r="B13" s="175" t="s">
        <v>780</v>
      </c>
      <c r="C13" s="178" t="s">
        <v>5516</v>
      </c>
      <c r="D13" s="175" t="s">
        <v>5509</v>
      </c>
      <c r="E13" s="175" t="s">
        <v>70</v>
      </c>
      <c r="F13" s="177">
        <v>1.939844E8</v>
      </c>
      <c r="G13" s="175" t="s">
        <v>5517</v>
      </c>
      <c r="H13" s="175" t="s">
        <v>44</v>
      </c>
      <c r="I13" s="16" t="s">
        <v>5518</v>
      </c>
      <c r="J13" s="175" t="s">
        <v>5519</v>
      </c>
      <c r="K13" s="178" t="s">
        <v>5520</v>
      </c>
      <c r="L13" s="17" t="s">
        <v>5521</v>
      </c>
      <c r="M13" s="391"/>
      <c r="N13" s="175" t="s">
        <v>5522</v>
      </c>
      <c r="O13" s="175"/>
    </row>
    <row r="14" ht="14.25" customHeight="1">
      <c r="A14" s="699">
        <v>3.0</v>
      </c>
      <c r="B14" s="175" t="s">
        <v>780</v>
      </c>
      <c r="C14" s="178" t="s">
        <v>5516</v>
      </c>
      <c r="D14" s="175" t="s">
        <v>5509</v>
      </c>
      <c r="E14" s="175" t="s">
        <v>70</v>
      </c>
      <c r="F14" s="177">
        <v>1.939844E8</v>
      </c>
      <c r="G14" s="24" t="s">
        <v>5517</v>
      </c>
      <c r="H14" s="175" t="s">
        <v>44</v>
      </c>
      <c r="I14" s="16" t="s">
        <v>5523</v>
      </c>
      <c r="J14" s="175" t="s">
        <v>5524</v>
      </c>
      <c r="K14" s="175" t="s">
        <v>5525</v>
      </c>
      <c r="L14" s="17" t="s">
        <v>5526</v>
      </c>
      <c r="M14" s="391"/>
      <c r="N14" s="175" t="s">
        <v>5527</v>
      </c>
      <c r="O14" s="175"/>
    </row>
    <row r="15" ht="14.25" customHeight="1">
      <c r="A15" s="699">
        <v>4.0</v>
      </c>
      <c r="B15" s="175" t="s">
        <v>780</v>
      </c>
      <c r="C15" s="178" t="s">
        <v>5528</v>
      </c>
      <c r="D15" s="175" t="s">
        <v>5509</v>
      </c>
      <c r="E15" s="175" t="s">
        <v>70</v>
      </c>
      <c r="F15" s="177">
        <v>4.0535E8</v>
      </c>
      <c r="G15" s="24" t="s">
        <v>5529</v>
      </c>
      <c r="H15" s="175" t="s">
        <v>910</v>
      </c>
      <c r="I15" s="16" t="s">
        <v>5530</v>
      </c>
      <c r="J15" s="175" t="s">
        <v>5531</v>
      </c>
      <c r="K15" s="175" t="s">
        <v>5532</v>
      </c>
      <c r="L15" s="17" t="s">
        <v>5533</v>
      </c>
      <c r="M15" s="391"/>
      <c r="N15" s="175" t="s">
        <v>5534</v>
      </c>
      <c r="O15" s="175"/>
    </row>
    <row r="16" ht="14.25" customHeight="1">
      <c r="A16" s="699">
        <v>5.0</v>
      </c>
      <c r="B16" s="175" t="s">
        <v>1926</v>
      </c>
      <c r="C16" s="175"/>
      <c r="D16" s="175" t="s">
        <v>5509</v>
      </c>
      <c r="E16" s="175" t="s">
        <v>70</v>
      </c>
      <c r="F16" s="177">
        <v>2.3395E8</v>
      </c>
      <c r="G16" s="175" t="s">
        <v>3354</v>
      </c>
      <c r="H16" s="175" t="s">
        <v>71</v>
      </c>
      <c r="I16" s="13" t="s">
        <v>5535</v>
      </c>
      <c r="J16" s="178" t="s">
        <v>5536</v>
      </c>
      <c r="K16" s="178" t="s">
        <v>5537</v>
      </c>
      <c r="L16" s="17" t="s">
        <v>5538</v>
      </c>
      <c r="M16" s="391"/>
      <c r="N16" s="175" t="s">
        <v>5539</v>
      </c>
      <c r="O16" s="175"/>
    </row>
    <row r="17" ht="14.25" customHeight="1">
      <c r="A17" s="698"/>
      <c r="B17" s="317" t="s">
        <v>23</v>
      </c>
      <c r="C17" s="317"/>
      <c r="D17" s="317"/>
      <c r="E17" s="317"/>
      <c r="F17" s="427">
        <f>SUM(F18:F22)</f>
        <v>1868200000</v>
      </c>
      <c r="G17" s="317"/>
      <c r="H17" s="317"/>
      <c r="I17" s="13"/>
      <c r="J17" s="317"/>
      <c r="K17" s="317"/>
      <c r="L17" s="317"/>
      <c r="M17" s="428"/>
      <c r="N17" s="175"/>
      <c r="O17" s="175"/>
    </row>
    <row r="18" ht="14.25" customHeight="1">
      <c r="A18" s="699">
        <v>6.0</v>
      </c>
      <c r="B18" s="175" t="s">
        <v>780</v>
      </c>
      <c r="C18" s="178" t="s">
        <v>5540</v>
      </c>
      <c r="D18" s="175" t="s">
        <v>5509</v>
      </c>
      <c r="E18" s="175" t="s">
        <v>70</v>
      </c>
      <c r="F18" s="177">
        <v>4.352E8</v>
      </c>
      <c r="G18" s="175" t="s">
        <v>885</v>
      </c>
      <c r="H18" s="175" t="s">
        <v>611</v>
      </c>
      <c r="I18" s="16" t="s">
        <v>5541</v>
      </c>
      <c r="J18" s="175" t="s">
        <v>5542</v>
      </c>
      <c r="K18" s="178" t="s">
        <v>5543</v>
      </c>
      <c r="L18" s="17" t="s">
        <v>5544</v>
      </c>
      <c r="M18" s="391"/>
      <c r="N18" s="175" t="s">
        <v>5545</v>
      </c>
      <c r="O18" s="175"/>
    </row>
    <row r="19" ht="14.25" customHeight="1">
      <c r="A19" s="699">
        <v>7.0</v>
      </c>
      <c r="B19" s="175" t="s">
        <v>780</v>
      </c>
      <c r="C19" s="178" t="s">
        <v>5546</v>
      </c>
      <c r="D19" s="175" t="s">
        <v>5509</v>
      </c>
      <c r="E19" s="175" t="s">
        <v>70</v>
      </c>
      <c r="F19" s="177">
        <v>3.15E8</v>
      </c>
      <c r="G19" s="175" t="s">
        <v>885</v>
      </c>
      <c r="H19" s="175" t="s">
        <v>611</v>
      </c>
      <c r="I19" s="13" t="s">
        <v>5547</v>
      </c>
      <c r="J19" s="175" t="s">
        <v>5548</v>
      </c>
      <c r="K19" s="178" t="s">
        <v>5549</v>
      </c>
      <c r="L19" s="17" t="s">
        <v>5550</v>
      </c>
      <c r="M19" s="391"/>
      <c r="N19" s="175" t="s">
        <v>5551</v>
      </c>
      <c r="O19" s="175"/>
    </row>
    <row r="20" ht="14.25" customHeight="1">
      <c r="A20" s="699">
        <v>8.0</v>
      </c>
      <c r="B20" s="175" t="s">
        <v>780</v>
      </c>
      <c r="C20" s="178" t="s">
        <v>5546</v>
      </c>
      <c r="D20" s="175" t="s">
        <v>5509</v>
      </c>
      <c r="E20" s="175" t="s">
        <v>70</v>
      </c>
      <c r="F20" s="177">
        <v>3.15E8</v>
      </c>
      <c r="G20" s="175" t="s">
        <v>885</v>
      </c>
      <c r="H20" s="175" t="s">
        <v>611</v>
      </c>
      <c r="I20" s="13" t="s">
        <v>5552</v>
      </c>
      <c r="J20" s="178" t="s">
        <v>5553</v>
      </c>
      <c r="K20" s="178" t="s">
        <v>5554</v>
      </c>
      <c r="L20" s="17" t="s">
        <v>5555</v>
      </c>
      <c r="M20" s="391"/>
      <c r="N20" s="175" t="s">
        <v>5556</v>
      </c>
      <c r="O20" s="175"/>
    </row>
    <row r="21" ht="14.25" customHeight="1">
      <c r="A21" s="699">
        <v>9.0</v>
      </c>
      <c r="B21" s="175" t="s">
        <v>780</v>
      </c>
      <c r="C21" s="690" t="s">
        <v>5557</v>
      </c>
      <c r="D21" s="175" t="s">
        <v>5509</v>
      </c>
      <c r="E21" s="175" t="s">
        <v>70</v>
      </c>
      <c r="F21" s="177">
        <v>4.88E8</v>
      </c>
      <c r="G21" s="175" t="s">
        <v>5558</v>
      </c>
      <c r="H21" s="175" t="s">
        <v>611</v>
      </c>
      <c r="I21" s="13" t="s">
        <v>5559</v>
      </c>
      <c r="J21" s="175" t="s">
        <v>5560</v>
      </c>
      <c r="K21" s="178" t="s">
        <v>5561</v>
      </c>
      <c r="L21" s="17" t="s">
        <v>5562</v>
      </c>
      <c r="M21" s="391"/>
      <c r="N21" s="175" t="s">
        <v>5563</v>
      </c>
      <c r="O21" s="175"/>
    </row>
    <row r="22" ht="14.25" customHeight="1">
      <c r="A22" s="699">
        <v>10.0</v>
      </c>
      <c r="B22" s="175" t="s">
        <v>780</v>
      </c>
      <c r="C22" s="178" t="s">
        <v>5546</v>
      </c>
      <c r="D22" s="175" t="s">
        <v>5509</v>
      </c>
      <c r="E22" s="175" t="s">
        <v>70</v>
      </c>
      <c r="F22" s="177">
        <v>3.15E8</v>
      </c>
      <c r="G22" s="175" t="s">
        <v>885</v>
      </c>
      <c r="H22" s="175" t="s">
        <v>611</v>
      </c>
      <c r="I22" s="13" t="s">
        <v>5564</v>
      </c>
      <c r="J22" s="175" t="s">
        <v>5565</v>
      </c>
      <c r="K22" s="178" t="s">
        <v>5566</v>
      </c>
      <c r="L22" s="17" t="s">
        <v>5567</v>
      </c>
      <c r="M22" s="391"/>
      <c r="N22" s="175" t="s">
        <v>5568</v>
      </c>
      <c r="O22" s="175"/>
    </row>
    <row r="23" ht="14.25" customHeight="1">
      <c r="A23" s="698"/>
      <c r="B23" s="317" t="s">
        <v>99</v>
      </c>
      <c r="C23" s="317"/>
      <c r="D23" s="317"/>
      <c r="E23" s="317"/>
      <c r="F23" s="427">
        <f>SUM(F24:F45)</f>
        <v>351853600</v>
      </c>
      <c r="G23" s="317"/>
      <c r="H23" s="317"/>
      <c r="I23" s="13"/>
      <c r="J23" s="317"/>
      <c r="K23" s="317"/>
      <c r="L23" s="317"/>
      <c r="M23" s="428"/>
      <c r="N23" s="175"/>
      <c r="O23" s="175"/>
    </row>
    <row r="24" ht="14.25" customHeight="1">
      <c r="A24" s="700">
        <v>1.0</v>
      </c>
      <c r="B24" s="180" t="s">
        <v>100</v>
      </c>
      <c r="C24" s="184" t="s">
        <v>1984</v>
      </c>
      <c r="D24" s="180" t="s">
        <v>5509</v>
      </c>
      <c r="E24" s="184" t="s">
        <v>931</v>
      </c>
      <c r="F24" s="181">
        <v>9000000.0</v>
      </c>
      <c r="G24" s="180" t="s">
        <v>5569</v>
      </c>
      <c r="H24" s="180" t="s">
        <v>788</v>
      </c>
      <c r="I24" s="182" t="s">
        <v>5570</v>
      </c>
      <c r="J24" s="180" t="s">
        <v>5571</v>
      </c>
      <c r="K24" s="180" t="s">
        <v>5572</v>
      </c>
      <c r="L24" s="701" t="s">
        <v>5573</v>
      </c>
      <c r="M24" s="702"/>
      <c r="N24" s="180" t="s">
        <v>5527</v>
      </c>
      <c r="O24" s="184" t="s">
        <v>2362</v>
      </c>
    </row>
    <row r="25" ht="14.25" customHeight="1">
      <c r="A25" s="700">
        <v>2.0</v>
      </c>
      <c r="B25" s="180" t="s">
        <v>100</v>
      </c>
      <c r="C25" s="184" t="s">
        <v>2015</v>
      </c>
      <c r="D25" s="180" t="s">
        <v>5509</v>
      </c>
      <c r="E25" s="180" t="s">
        <v>931</v>
      </c>
      <c r="F25" s="181">
        <v>1.5475E7</v>
      </c>
      <c r="G25" s="180" t="s">
        <v>5574</v>
      </c>
      <c r="H25" s="180" t="s">
        <v>37</v>
      </c>
      <c r="I25" s="182" t="s">
        <v>5575</v>
      </c>
      <c r="J25" s="180" t="s">
        <v>5576</v>
      </c>
      <c r="K25" s="184" t="s">
        <v>5577</v>
      </c>
      <c r="L25" s="701" t="s">
        <v>5578</v>
      </c>
      <c r="M25" s="702"/>
      <c r="N25" s="180" t="s">
        <v>5527</v>
      </c>
      <c r="O25" s="184" t="s">
        <v>2362</v>
      </c>
    </row>
    <row r="26" ht="14.25" customHeight="1">
      <c r="A26" s="700">
        <v>3.0</v>
      </c>
      <c r="B26" s="180" t="s">
        <v>100</v>
      </c>
      <c r="C26" s="184" t="s">
        <v>2015</v>
      </c>
      <c r="D26" s="180" t="s">
        <v>5509</v>
      </c>
      <c r="E26" s="180" t="s">
        <v>931</v>
      </c>
      <c r="F26" s="181">
        <v>1.5475E7</v>
      </c>
      <c r="G26" s="180" t="s">
        <v>5574</v>
      </c>
      <c r="H26" s="180" t="s">
        <v>37</v>
      </c>
      <c r="I26" s="182" t="s">
        <v>5579</v>
      </c>
      <c r="J26" s="180" t="s">
        <v>5580</v>
      </c>
      <c r="K26" s="180" t="s">
        <v>5581</v>
      </c>
      <c r="L26" s="701" t="s">
        <v>5582</v>
      </c>
      <c r="M26" s="702"/>
      <c r="N26" s="180" t="s">
        <v>5583</v>
      </c>
      <c r="O26" s="184" t="s">
        <v>2362</v>
      </c>
      <c r="P26" s="703"/>
      <c r="Q26" s="703"/>
      <c r="R26" s="703"/>
      <c r="S26" s="703"/>
      <c r="T26" s="703"/>
      <c r="U26" s="703"/>
      <c r="V26" s="703"/>
      <c r="W26" s="703"/>
      <c r="X26" s="703"/>
      <c r="Y26" s="703"/>
      <c r="Z26" s="703"/>
      <c r="AA26" s="703"/>
    </row>
    <row r="27" ht="14.25" customHeight="1">
      <c r="A27" s="699">
        <v>4.0</v>
      </c>
      <c r="B27" s="175" t="s">
        <v>100</v>
      </c>
      <c r="C27" s="178" t="s">
        <v>2015</v>
      </c>
      <c r="D27" s="175" t="s">
        <v>5509</v>
      </c>
      <c r="E27" s="175" t="s">
        <v>70</v>
      </c>
      <c r="F27" s="177">
        <v>1.5475E7</v>
      </c>
      <c r="G27" s="175" t="s">
        <v>5574</v>
      </c>
      <c r="H27" s="175" t="s">
        <v>37</v>
      </c>
      <c r="I27" s="16" t="s">
        <v>5584</v>
      </c>
      <c r="J27" s="175" t="s">
        <v>5585</v>
      </c>
      <c r="K27" s="175" t="s">
        <v>5586</v>
      </c>
      <c r="L27" s="17" t="s">
        <v>5587</v>
      </c>
      <c r="M27" s="391"/>
      <c r="N27" s="175" t="s">
        <v>5588</v>
      </c>
      <c r="O27" s="175" t="s">
        <v>5589</v>
      </c>
    </row>
    <row r="28" ht="14.25" customHeight="1">
      <c r="A28" s="700">
        <v>5.0</v>
      </c>
      <c r="B28" s="180" t="s">
        <v>100</v>
      </c>
      <c r="C28" s="184" t="s">
        <v>2015</v>
      </c>
      <c r="D28" s="180" t="s">
        <v>5509</v>
      </c>
      <c r="E28" s="180" t="s">
        <v>931</v>
      </c>
      <c r="F28" s="181">
        <v>1.5475E7</v>
      </c>
      <c r="G28" s="180" t="s">
        <v>5574</v>
      </c>
      <c r="H28" s="180" t="s">
        <v>37</v>
      </c>
      <c r="I28" s="182" t="s">
        <v>5590</v>
      </c>
      <c r="J28" s="180" t="s">
        <v>5591</v>
      </c>
      <c r="K28" s="180" t="s">
        <v>5581</v>
      </c>
      <c r="L28" s="701" t="s">
        <v>5592</v>
      </c>
      <c r="M28" s="702"/>
      <c r="N28" s="180" t="s">
        <v>5527</v>
      </c>
      <c r="O28" s="184" t="s">
        <v>2362</v>
      </c>
    </row>
    <row r="29" ht="14.25" customHeight="1">
      <c r="A29" s="700">
        <v>6.0</v>
      </c>
      <c r="B29" s="180" t="s">
        <v>100</v>
      </c>
      <c r="C29" s="184" t="s">
        <v>2015</v>
      </c>
      <c r="D29" s="180" t="s">
        <v>5509</v>
      </c>
      <c r="E29" s="184" t="s">
        <v>931</v>
      </c>
      <c r="F29" s="181">
        <v>1.5475E7</v>
      </c>
      <c r="G29" s="180" t="s">
        <v>5574</v>
      </c>
      <c r="H29" s="180" t="s">
        <v>37</v>
      </c>
      <c r="I29" s="704" t="s">
        <v>5593</v>
      </c>
      <c r="J29" s="180" t="s">
        <v>5594</v>
      </c>
      <c r="K29" s="180" t="s">
        <v>5595</v>
      </c>
      <c r="L29" s="701" t="s">
        <v>5596</v>
      </c>
      <c r="M29" s="702"/>
      <c r="N29" s="180" t="s">
        <v>5597</v>
      </c>
      <c r="O29" s="184" t="s">
        <v>2362</v>
      </c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ht="14.25" customHeight="1">
      <c r="A30" s="700">
        <v>7.0</v>
      </c>
      <c r="B30" s="180" t="s">
        <v>100</v>
      </c>
      <c r="C30" s="184" t="s">
        <v>2015</v>
      </c>
      <c r="D30" s="180" t="s">
        <v>5509</v>
      </c>
      <c r="E30" s="180" t="s">
        <v>931</v>
      </c>
      <c r="F30" s="181">
        <v>1.5475E7</v>
      </c>
      <c r="G30" s="180" t="s">
        <v>5574</v>
      </c>
      <c r="H30" s="180" t="s">
        <v>37</v>
      </c>
      <c r="I30" s="704" t="s">
        <v>5598</v>
      </c>
      <c r="J30" s="180" t="s">
        <v>5599</v>
      </c>
      <c r="K30" s="180" t="s">
        <v>5600</v>
      </c>
      <c r="L30" s="701" t="s">
        <v>5601</v>
      </c>
      <c r="M30" s="702"/>
      <c r="N30" s="180" t="s">
        <v>5602</v>
      </c>
      <c r="O30" s="184" t="s">
        <v>2362</v>
      </c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ht="14.25" customHeight="1">
      <c r="A31" s="700">
        <v>8.0</v>
      </c>
      <c r="B31" s="180" t="s">
        <v>100</v>
      </c>
      <c r="C31" s="184" t="s">
        <v>2015</v>
      </c>
      <c r="D31" s="180" t="s">
        <v>5509</v>
      </c>
      <c r="E31" s="180" t="s">
        <v>931</v>
      </c>
      <c r="F31" s="181">
        <v>1.5475E7</v>
      </c>
      <c r="G31" s="180" t="s">
        <v>5574</v>
      </c>
      <c r="H31" s="180" t="s">
        <v>37</v>
      </c>
      <c r="I31" s="704" t="s">
        <v>5603</v>
      </c>
      <c r="J31" s="180" t="s">
        <v>5604</v>
      </c>
      <c r="K31" s="180" t="s">
        <v>5605</v>
      </c>
      <c r="L31" s="701" t="s">
        <v>5606</v>
      </c>
      <c r="M31" s="702"/>
      <c r="N31" s="180" t="s">
        <v>5607</v>
      </c>
      <c r="O31" s="184" t="s">
        <v>2362</v>
      </c>
    </row>
    <row r="32" ht="14.25" customHeight="1">
      <c r="A32" s="700">
        <v>9.0</v>
      </c>
      <c r="B32" s="180" t="s">
        <v>100</v>
      </c>
      <c r="C32" s="184" t="s">
        <v>2015</v>
      </c>
      <c r="D32" s="180" t="s">
        <v>5509</v>
      </c>
      <c r="E32" s="184" t="s">
        <v>931</v>
      </c>
      <c r="F32" s="181">
        <v>1.5475E7</v>
      </c>
      <c r="G32" s="180" t="s">
        <v>5574</v>
      </c>
      <c r="H32" s="180" t="s">
        <v>37</v>
      </c>
      <c r="I32" s="182" t="s">
        <v>5608</v>
      </c>
      <c r="J32" s="180" t="s">
        <v>5609</v>
      </c>
      <c r="K32" s="180" t="s">
        <v>5610</v>
      </c>
      <c r="L32" s="701" t="s">
        <v>5611</v>
      </c>
      <c r="M32" s="702"/>
      <c r="N32" s="180" t="s">
        <v>5612</v>
      </c>
      <c r="O32" s="184" t="s">
        <v>2362</v>
      </c>
    </row>
    <row r="33" ht="14.25" customHeight="1">
      <c r="A33" s="700">
        <v>10.0</v>
      </c>
      <c r="B33" s="180" t="s">
        <v>100</v>
      </c>
      <c r="C33" s="184" t="s">
        <v>2015</v>
      </c>
      <c r="D33" s="180" t="s">
        <v>5509</v>
      </c>
      <c r="E33" s="180" t="s">
        <v>931</v>
      </c>
      <c r="F33" s="181">
        <v>1.5475E7</v>
      </c>
      <c r="G33" s="180" t="s">
        <v>5574</v>
      </c>
      <c r="H33" s="180" t="s">
        <v>37</v>
      </c>
      <c r="I33" s="182" t="s">
        <v>5613</v>
      </c>
      <c r="J33" s="180" t="s">
        <v>5614</v>
      </c>
      <c r="K33" s="184" t="s">
        <v>5615</v>
      </c>
      <c r="L33" s="701" t="s">
        <v>5616</v>
      </c>
      <c r="M33" s="702"/>
      <c r="N33" s="180" t="s">
        <v>5527</v>
      </c>
      <c r="O33" s="184" t="s">
        <v>2362</v>
      </c>
    </row>
    <row r="34" ht="14.25" customHeight="1">
      <c r="A34" s="700">
        <v>11.0</v>
      </c>
      <c r="B34" s="180" t="s">
        <v>100</v>
      </c>
      <c r="C34" s="184" t="s">
        <v>4175</v>
      </c>
      <c r="D34" s="180" t="s">
        <v>5509</v>
      </c>
      <c r="E34" s="184" t="s">
        <v>931</v>
      </c>
      <c r="F34" s="181">
        <v>1.117E7</v>
      </c>
      <c r="G34" s="180" t="s">
        <v>5617</v>
      </c>
      <c r="H34" s="180" t="s">
        <v>37</v>
      </c>
      <c r="I34" s="182" t="s">
        <v>5618</v>
      </c>
      <c r="J34" s="180" t="s">
        <v>5619</v>
      </c>
      <c r="K34" s="180" t="s">
        <v>5620</v>
      </c>
      <c r="L34" s="701" t="s">
        <v>5621</v>
      </c>
      <c r="M34" s="702"/>
      <c r="N34" s="180" t="s">
        <v>5622</v>
      </c>
      <c r="O34" s="184" t="s">
        <v>2362</v>
      </c>
    </row>
    <row r="35" ht="14.25" customHeight="1">
      <c r="A35" s="699">
        <v>12.0</v>
      </c>
      <c r="B35" s="175" t="s">
        <v>100</v>
      </c>
      <c r="C35" s="178" t="s">
        <v>4175</v>
      </c>
      <c r="D35" s="175" t="s">
        <v>5509</v>
      </c>
      <c r="E35" s="175" t="s">
        <v>70</v>
      </c>
      <c r="F35" s="177">
        <v>1.117E7</v>
      </c>
      <c r="G35" s="175" t="s">
        <v>5617</v>
      </c>
      <c r="H35" s="175" t="s">
        <v>37</v>
      </c>
      <c r="I35" s="13" t="s">
        <v>5618</v>
      </c>
      <c r="J35" s="175" t="s">
        <v>5619</v>
      </c>
      <c r="K35" s="175" t="s">
        <v>5620</v>
      </c>
      <c r="L35" s="175"/>
      <c r="M35" s="391"/>
      <c r="N35" s="175"/>
      <c r="O35" s="175" t="s">
        <v>5623</v>
      </c>
    </row>
    <row r="36" ht="14.25" customHeight="1">
      <c r="A36" s="699">
        <v>13.0</v>
      </c>
      <c r="B36" s="175" t="s">
        <v>100</v>
      </c>
      <c r="C36" s="178" t="s">
        <v>2003</v>
      </c>
      <c r="D36" s="175" t="s">
        <v>5509</v>
      </c>
      <c r="E36" s="175" t="s">
        <v>70</v>
      </c>
      <c r="F36" s="177">
        <v>1.135E7</v>
      </c>
      <c r="G36" s="175" t="s">
        <v>5624</v>
      </c>
      <c r="H36" s="175" t="s">
        <v>37</v>
      </c>
      <c r="I36" s="16" t="s">
        <v>5625</v>
      </c>
      <c r="J36" s="175" t="s">
        <v>5626</v>
      </c>
      <c r="K36" s="175" t="s">
        <v>5627</v>
      </c>
      <c r="L36" s="17" t="s">
        <v>5628</v>
      </c>
      <c r="M36" s="391"/>
      <c r="N36" s="175" t="s">
        <v>5629</v>
      </c>
      <c r="O36" s="175" t="s">
        <v>5630</v>
      </c>
    </row>
    <row r="37" ht="14.25" customHeight="1">
      <c r="A37" s="700">
        <v>14.0</v>
      </c>
      <c r="B37" s="180" t="s">
        <v>100</v>
      </c>
      <c r="C37" s="184" t="s">
        <v>5631</v>
      </c>
      <c r="D37" s="180" t="s">
        <v>5509</v>
      </c>
      <c r="E37" s="184" t="s">
        <v>931</v>
      </c>
      <c r="F37" s="181">
        <v>1.52098E7</v>
      </c>
      <c r="G37" s="180" t="s">
        <v>5632</v>
      </c>
      <c r="H37" s="180" t="s">
        <v>92</v>
      </c>
      <c r="I37" s="182" t="s">
        <v>5633</v>
      </c>
      <c r="J37" s="180" t="s">
        <v>5634</v>
      </c>
      <c r="K37" s="180"/>
      <c r="L37" s="180"/>
      <c r="M37" s="702"/>
      <c r="N37" s="180" t="s">
        <v>5635</v>
      </c>
      <c r="O37" s="184" t="s">
        <v>2362</v>
      </c>
    </row>
    <row r="38" ht="14.25" customHeight="1">
      <c r="A38" s="700">
        <v>15.0</v>
      </c>
      <c r="B38" s="180" t="s">
        <v>100</v>
      </c>
      <c r="C38" s="184" t="s">
        <v>5631</v>
      </c>
      <c r="D38" s="180" t="s">
        <v>5509</v>
      </c>
      <c r="E38" s="184" t="s">
        <v>931</v>
      </c>
      <c r="F38" s="181">
        <v>1.52098E7</v>
      </c>
      <c r="G38" s="180" t="s">
        <v>5632</v>
      </c>
      <c r="H38" s="180" t="s">
        <v>92</v>
      </c>
      <c r="I38" s="182" t="s">
        <v>5636</v>
      </c>
      <c r="J38" s="180" t="s">
        <v>5637</v>
      </c>
      <c r="K38" s="180" t="s">
        <v>5638</v>
      </c>
      <c r="L38" s="701" t="s">
        <v>5639</v>
      </c>
      <c r="M38" s="702"/>
      <c r="N38" s="180" t="s">
        <v>5640</v>
      </c>
      <c r="O38" s="184" t="s">
        <v>2362</v>
      </c>
    </row>
    <row r="39" ht="14.25" customHeight="1">
      <c r="A39" s="700">
        <v>16.0</v>
      </c>
      <c r="B39" s="180" t="s">
        <v>100</v>
      </c>
      <c r="C39" s="184" t="s">
        <v>5631</v>
      </c>
      <c r="D39" s="180" t="s">
        <v>5509</v>
      </c>
      <c r="E39" s="184" t="s">
        <v>931</v>
      </c>
      <c r="F39" s="181">
        <v>1.52098E7</v>
      </c>
      <c r="G39" s="180" t="s">
        <v>5632</v>
      </c>
      <c r="H39" s="180" t="s">
        <v>92</v>
      </c>
      <c r="I39" s="182" t="s">
        <v>5641</v>
      </c>
      <c r="J39" s="180" t="s">
        <v>5642</v>
      </c>
      <c r="K39" s="180" t="s">
        <v>5643</v>
      </c>
      <c r="L39" s="701" t="s">
        <v>5644</v>
      </c>
      <c r="M39" s="702"/>
      <c r="N39" s="180" t="s">
        <v>5645</v>
      </c>
      <c r="O39" s="184" t="s">
        <v>2362</v>
      </c>
    </row>
    <row r="40" ht="14.25" customHeight="1">
      <c r="A40" s="699">
        <v>17.0</v>
      </c>
      <c r="B40" s="175" t="s">
        <v>100</v>
      </c>
      <c r="C40" s="178" t="s">
        <v>5631</v>
      </c>
      <c r="D40" s="175" t="s">
        <v>5509</v>
      </c>
      <c r="E40" s="175" t="s">
        <v>70</v>
      </c>
      <c r="F40" s="177">
        <v>1.52098E7</v>
      </c>
      <c r="G40" s="175" t="s">
        <v>5632</v>
      </c>
      <c r="H40" s="175" t="s">
        <v>92</v>
      </c>
      <c r="I40" s="13" t="s">
        <v>5646</v>
      </c>
      <c r="J40" s="175" t="s">
        <v>5647</v>
      </c>
      <c r="K40" s="178" t="s">
        <v>5648</v>
      </c>
      <c r="L40" s="17" t="s">
        <v>5649</v>
      </c>
      <c r="M40" s="391"/>
      <c r="N40" s="175" t="s">
        <v>5650</v>
      </c>
      <c r="O40" s="175"/>
    </row>
    <row r="41" ht="14.25" customHeight="1">
      <c r="A41" s="699">
        <v>18.0</v>
      </c>
      <c r="B41" s="175" t="s">
        <v>100</v>
      </c>
      <c r="C41" s="178" t="s">
        <v>5631</v>
      </c>
      <c r="D41" s="175" t="s">
        <v>5509</v>
      </c>
      <c r="E41" s="175" t="s">
        <v>70</v>
      </c>
      <c r="F41" s="177">
        <v>1.52098E7</v>
      </c>
      <c r="G41" s="175" t="s">
        <v>5632</v>
      </c>
      <c r="H41" s="175" t="s">
        <v>92</v>
      </c>
      <c r="I41" s="13" t="s">
        <v>5651</v>
      </c>
      <c r="J41" s="175" t="s">
        <v>5652</v>
      </c>
      <c r="K41" s="175" t="s">
        <v>5653</v>
      </c>
      <c r="L41" s="432" t="s">
        <v>5654</v>
      </c>
      <c r="M41" s="391"/>
      <c r="N41" s="175" t="s">
        <v>5655</v>
      </c>
      <c r="O41" s="175"/>
    </row>
    <row r="42" ht="14.25" customHeight="1">
      <c r="A42" s="700">
        <v>19.0</v>
      </c>
      <c r="B42" s="180" t="s">
        <v>100</v>
      </c>
      <c r="C42" s="184" t="s">
        <v>5631</v>
      </c>
      <c r="D42" s="180" t="s">
        <v>5509</v>
      </c>
      <c r="E42" s="184" t="s">
        <v>931</v>
      </c>
      <c r="F42" s="181">
        <v>1.52098E7</v>
      </c>
      <c r="G42" s="180" t="s">
        <v>5632</v>
      </c>
      <c r="H42" s="180" t="s">
        <v>92</v>
      </c>
      <c r="I42" s="182" t="s">
        <v>5656</v>
      </c>
      <c r="J42" s="180" t="s">
        <v>5657</v>
      </c>
      <c r="K42" s="180" t="s">
        <v>5658</v>
      </c>
      <c r="L42" s="705" t="s">
        <v>5659</v>
      </c>
      <c r="M42" s="702"/>
      <c r="N42" s="180" t="s">
        <v>5660</v>
      </c>
      <c r="O42" s="184" t="s">
        <v>2362</v>
      </c>
    </row>
    <row r="43" ht="14.25" customHeight="1">
      <c r="A43" s="700">
        <v>20.0</v>
      </c>
      <c r="B43" s="180" t="s">
        <v>100</v>
      </c>
      <c r="C43" s="184" t="s">
        <v>5631</v>
      </c>
      <c r="D43" s="180" t="s">
        <v>5509</v>
      </c>
      <c r="E43" s="180" t="s">
        <v>931</v>
      </c>
      <c r="F43" s="181">
        <v>1.52098E7</v>
      </c>
      <c r="G43" s="180" t="s">
        <v>5632</v>
      </c>
      <c r="H43" s="180" t="s">
        <v>92</v>
      </c>
      <c r="I43" s="182" t="s">
        <v>5661</v>
      </c>
      <c r="J43" s="180" t="s">
        <v>5662</v>
      </c>
      <c r="K43" s="180" t="s">
        <v>5663</v>
      </c>
      <c r="L43" s="705" t="s">
        <v>5664</v>
      </c>
      <c r="M43" s="702"/>
      <c r="N43" s="180" t="s">
        <v>5665</v>
      </c>
      <c r="O43" s="184" t="s">
        <v>2362</v>
      </c>
    </row>
    <row r="44" ht="14.25" customHeight="1">
      <c r="A44" s="699">
        <v>21.0</v>
      </c>
      <c r="B44" s="175" t="s">
        <v>100</v>
      </c>
      <c r="C44" s="178" t="s">
        <v>5666</v>
      </c>
      <c r="D44" s="175" t="s">
        <v>5509</v>
      </c>
      <c r="E44" s="175" t="s">
        <v>70</v>
      </c>
      <c r="F44" s="177">
        <v>2.83E7</v>
      </c>
      <c r="G44" s="175" t="s">
        <v>5667</v>
      </c>
      <c r="H44" s="175" t="s">
        <v>910</v>
      </c>
      <c r="I44" s="13" t="s">
        <v>5668</v>
      </c>
      <c r="J44" s="178" t="s">
        <v>5669</v>
      </c>
      <c r="K44" s="178" t="s">
        <v>5670</v>
      </c>
      <c r="L44" s="175"/>
      <c r="M44" s="391"/>
      <c r="N44" s="175" t="s">
        <v>5671</v>
      </c>
      <c r="O44" s="175"/>
    </row>
    <row r="45" ht="14.25" customHeight="1">
      <c r="A45" s="699">
        <v>22.0</v>
      </c>
      <c r="B45" s="175" t="s">
        <v>100</v>
      </c>
      <c r="C45" s="178" t="s">
        <v>5672</v>
      </c>
      <c r="D45" s="175" t="s">
        <v>5509</v>
      </c>
      <c r="E45" s="175" t="s">
        <v>70</v>
      </c>
      <c r="F45" s="273">
        <v>3.512E7</v>
      </c>
      <c r="G45" s="175" t="s">
        <v>5673</v>
      </c>
      <c r="H45" s="682">
        <v>2023.0</v>
      </c>
      <c r="I45" s="13" t="s">
        <v>5674</v>
      </c>
      <c r="J45" s="175" t="s">
        <v>5675</v>
      </c>
      <c r="K45" s="178" t="s">
        <v>5676</v>
      </c>
      <c r="L45" s="17" t="s">
        <v>5677</v>
      </c>
      <c r="M45" s="391"/>
      <c r="N45" s="175" t="s">
        <v>5678</v>
      </c>
      <c r="O45" s="175"/>
    </row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mergeCells count="2">
    <mergeCell ref="A3:M3"/>
    <mergeCell ref="A4:M4"/>
  </mergeCells>
  <printOptions/>
  <pageMargins bottom="0.7480314960629921" footer="0.0" header="0.0" left="0.7086614173228347" right="0.7086614173228347" top="0.7480314960629921"/>
  <pageSetup fitToHeight="0" orientation="landscape"/>
  <drawing r:id="rId1"/>
  <tableParts count="1">
    <tablePart r:id="rId3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4.43" defaultRowHeight="15.0"/>
  <cols>
    <col customWidth="1" min="1" max="1" width="5.29"/>
    <col customWidth="1" min="2" max="2" width="16.86"/>
    <col customWidth="1" min="3" max="3" width="18.71"/>
    <col customWidth="1" min="4" max="4" width="15.86"/>
    <col customWidth="1" min="5" max="5" width="12.86"/>
    <col customWidth="1" min="6" max="6" width="17.0"/>
    <col customWidth="1" min="7" max="7" width="28.43"/>
    <col customWidth="1" min="8" max="8" width="8.29"/>
    <col customWidth="1" min="9" max="9" width="21.71"/>
    <col customWidth="1" min="10" max="10" width="23.86"/>
    <col customWidth="1" min="11" max="12" width="23.57"/>
    <col customWidth="1" min="13" max="13" width="21.0"/>
    <col customWidth="1" min="14" max="14" width="44.29"/>
    <col customWidth="1" min="15" max="27" width="8.71"/>
  </cols>
  <sheetData>
    <row r="1" ht="14.25" customHeight="1"/>
    <row r="2" ht="14.25" customHeight="1"/>
    <row r="3" ht="14.25" customHeight="1">
      <c r="A3" s="1" t="s">
        <v>0</v>
      </c>
    </row>
    <row r="4" ht="14.25" customHeight="1">
      <c r="A4" s="1" t="s">
        <v>1</v>
      </c>
    </row>
    <row r="5" ht="14.25" customHeight="1"/>
    <row r="6" ht="14.25" customHeight="1"/>
    <row r="7" ht="14.25" customHeight="1">
      <c r="A7" s="2" t="s">
        <v>2</v>
      </c>
      <c r="C7" s="2" t="s">
        <v>3</v>
      </c>
    </row>
    <row r="8" ht="14.25" customHeight="1">
      <c r="A8" s="2" t="s">
        <v>4</v>
      </c>
      <c r="C8" s="2" t="s">
        <v>5</v>
      </c>
    </row>
    <row r="9" ht="14.25" customHeight="1">
      <c r="A9" s="2" t="s">
        <v>6</v>
      </c>
      <c r="C9" s="2" t="s">
        <v>5679</v>
      </c>
    </row>
    <row r="10" ht="14.25" customHeight="1">
      <c r="A10" s="169" t="s">
        <v>8</v>
      </c>
      <c r="B10" s="170" t="s">
        <v>9</v>
      </c>
      <c r="C10" s="170" t="s">
        <v>10</v>
      </c>
      <c r="D10" s="170" t="s">
        <v>11</v>
      </c>
      <c r="E10" s="170" t="s">
        <v>12</v>
      </c>
      <c r="F10" s="170" t="s">
        <v>13</v>
      </c>
      <c r="G10" s="170" t="s">
        <v>14</v>
      </c>
      <c r="H10" s="170" t="s">
        <v>15</v>
      </c>
      <c r="I10" s="170" t="s">
        <v>16</v>
      </c>
      <c r="J10" s="170" t="s">
        <v>17</v>
      </c>
      <c r="K10" s="246" t="s">
        <v>766</v>
      </c>
      <c r="L10" s="315" t="s">
        <v>19</v>
      </c>
      <c r="M10" s="171" t="s">
        <v>20</v>
      </c>
      <c r="N10" s="170" t="s">
        <v>1883</v>
      </c>
    </row>
    <row r="11" ht="14.25" customHeight="1">
      <c r="A11" s="672"/>
      <c r="B11" s="673" t="s">
        <v>23</v>
      </c>
      <c r="C11" s="673"/>
      <c r="D11" s="673"/>
      <c r="E11" s="673"/>
      <c r="F11" s="674">
        <f>SUM(F12:F17)</f>
        <v>1357493000</v>
      </c>
      <c r="G11" s="673"/>
      <c r="H11" s="673"/>
      <c r="I11" s="673"/>
      <c r="J11" s="673"/>
      <c r="K11" s="673"/>
      <c r="L11" s="706"/>
      <c r="M11" s="675"/>
      <c r="N11" s="676"/>
    </row>
    <row r="12" ht="14.25" customHeight="1">
      <c r="A12" s="707">
        <v>1.0</v>
      </c>
      <c r="B12" s="263" t="s">
        <v>780</v>
      </c>
      <c r="C12" s="263"/>
      <c r="D12" s="263" t="s">
        <v>5680</v>
      </c>
      <c r="E12" s="263" t="s">
        <v>70</v>
      </c>
      <c r="F12" s="177">
        <v>2.0955E8</v>
      </c>
      <c r="G12" s="263" t="s">
        <v>5681</v>
      </c>
      <c r="H12" s="263" t="s">
        <v>37</v>
      </c>
      <c r="I12" s="263" t="s">
        <v>5682</v>
      </c>
      <c r="J12" s="439" t="s">
        <v>5683</v>
      </c>
      <c r="K12" s="263" t="s">
        <v>5684</v>
      </c>
      <c r="L12" s="708" t="s">
        <v>5685</v>
      </c>
      <c r="M12" s="709" t="s">
        <v>5686</v>
      </c>
      <c r="N12" s="263" t="s">
        <v>5687</v>
      </c>
    </row>
    <row r="13" ht="14.25" customHeight="1">
      <c r="A13" s="707">
        <v>2.0</v>
      </c>
      <c r="B13" s="263" t="s">
        <v>780</v>
      </c>
      <c r="C13" s="263"/>
      <c r="D13" s="263" t="s">
        <v>5680</v>
      </c>
      <c r="E13" s="263" t="s">
        <v>70</v>
      </c>
      <c r="F13" s="177">
        <v>2.655E8</v>
      </c>
      <c r="G13" s="46" t="s">
        <v>5688</v>
      </c>
      <c r="H13" s="263" t="s">
        <v>44</v>
      </c>
      <c r="I13" s="439" t="s">
        <v>5689</v>
      </c>
      <c r="J13" s="263" t="s">
        <v>5690</v>
      </c>
      <c r="K13" s="263" t="s">
        <v>5691</v>
      </c>
      <c r="L13" s="708" t="s">
        <v>5692</v>
      </c>
      <c r="M13" s="709" t="s">
        <v>5693</v>
      </c>
      <c r="N13" s="263" t="s">
        <v>5694</v>
      </c>
    </row>
    <row r="14" ht="14.25" customHeight="1">
      <c r="A14" s="707">
        <v>3.0</v>
      </c>
      <c r="B14" s="263" t="s">
        <v>5695</v>
      </c>
      <c r="C14" s="263"/>
      <c r="D14" s="263" t="s">
        <v>5680</v>
      </c>
      <c r="E14" s="263" t="s">
        <v>70</v>
      </c>
      <c r="F14" s="177">
        <v>1.5235E8</v>
      </c>
      <c r="G14" s="263" t="s">
        <v>5696</v>
      </c>
      <c r="H14" s="263" t="s">
        <v>92</v>
      </c>
      <c r="I14" s="439" t="s">
        <v>5697</v>
      </c>
      <c r="J14" s="439" t="s">
        <v>5698</v>
      </c>
      <c r="K14" s="439" t="s">
        <v>5699</v>
      </c>
      <c r="L14" s="708" t="s">
        <v>5700</v>
      </c>
      <c r="M14" s="709" t="s">
        <v>5701</v>
      </c>
      <c r="N14" s="263" t="s">
        <v>5702</v>
      </c>
    </row>
    <row r="15" ht="14.25" customHeight="1">
      <c r="A15" s="707">
        <v>4.0</v>
      </c>
      <c r="B15" s="263" t="s">
        <v>780</v>
      </c>
      <c r="C15" s="263"/>
      <c r="D15" s="263" t="s">
        <v>5680</v>
      </c>
      <c r="E15" s="263" t="s">
        <v>3743</v>
      </c>
      <c r="F15" s="177">
        <v>1.82893E8</v>
      </c>
      <c r="G15" s="263" t="s">
        <v>5703</v>
      </c>
      <c r="H15" s="263" t="s">
        <v>58</v>
      </c>
      <c r="I15" s="439" t="s">
        <v>5704</v>
      </c>
      <c r="J15" s="263" t="s">
        <v>5705</v>
      </c>
      <c r="K15" s="263" t="s">
        <v>5706</v>
      </c>
      <c r="L15" s="708" t="s">
        <v>5707</v>
      </c>
      <c r="M15" s="709" t="s">
        <v>5708</v>
      </c>
      <c r="N15" s="263" t="s">
        <v>5709</v>
      </c>
    </row>
    <row r="16" ht="14.25" customHeight="1">
      <c r="A16" s="707">
        <v>5.0</v>
      </c>
      <c r="B16" s="263" t="s">
        <v>780</v>
      </c>
      <c r="C16" s="263"/>
      <c r="D16" s="263" t="s">
        <v>5680</v>
      </c>
      <c r="E16" s="263" t="s">
        <v>70</v>
      </c>
      <c r="F16" s="177">
        <v>2.852E8</v>
      </c>
      <c r="G16" s="263" t="s">
        <v>5710</v>
      </c>
      <c r="H16" s="263" t="s">
        <v>910</v>
      </c>
      <c r="I16" s="439" t="s">
        <v>5711</v>
      </c>
      <c r="J16" s="263" t="s">
        <v>5712</v>
      </c>
      <c r="K16" s="263" t="s">
        <v>5713</v>
      </c>
      <c r="L16" s="708" t="s">
        <v>5714</v>
      </c>
      <c r="M16" s="709" t="s">
        <v>5715</v>
      </c>
      <c r="N16" s="263" t="s">
        <v>5716</v>
      </c>
    </row>
    <row r="17" ht="14.25" customHeight="1">
      <c r="A17" s="707">
        <v>6.0</v>
      </c>
      <c r="B17" s="263" t="s">
        <v>780</v>
      </c>
      <c r="C17" s="263"/>
      <c r="D17" s="263" t="s">
        <v>5680</v>
      </c>
      <c r="E17" s="263" t="s">
        <v>70</v>
      </c>
      <c r="F17" s="177">
        <v>2.62E8</v>
      </c>
      <c r="G17" s="263" t="s">
        <v>5717</v>
      </c>
      <c r="H17" s="263" t="s">
        <v>78</v>
      </c>
      <c r="I17" s="263" t="s">
        <v>5718</v>
      </c>
      <c r="J17" s="263" t="s">
        <v>5719</v>
      </c>
      <c r="K17" s="263" t="s">
        <v>5720</v>
      </c>
      <c r="L17" s="708" t="s">
        <v>5721</v>
      </c>
      <c r="M17" s="709"/>
      <c r="N17" s="263" t="s">
        <v>5722</v>
      </c>
    </row>
    <row r="18" ht="14.25" customHeight="1">
      <c r="A18" s="672"/>
      <c r="B18" s="673" t="s">
        <v>1933</v>
      </c>
      <c r="C18" s="673"/>
      <c r="D18" s="673"/>
      <c r="E18" s="673"/>
      <c r="F18" s="674">
        <f>F19</f>
        <v>284800000</v>
      </c>
      <c r="G18" s="673"/>
      <c r="H18" s="673"/>
      <c r="I18" s="673"/>
      <c r="J18" s="673"/>
      <c r="K18" s="673"/>
      <c r="L18" s="706"/>
      <c r="M18" s="675"/>
      <c r="N18" s="263"/>
    </row>
    <row r="19" ht="14.25" customHeight="1">
      <c r="A19" s="707">
        <v>7.0</v>
      </c>
      <c r="B19" s="263" t="s">
        <v>908</v>
      </c>
      <c r="C19" s="263"/>
      <c r="D19" s="263" t="s">
        <v>5680</v>
      </c>
      <c r="E19" s="263" t="s">
        <v>3743</v>
      </c>
      <c r="F19" s="177">
        <v>2.848E8</v>
      </c>
      <c r="G19" s="710" t="s">
        <v>5723</v>
      </c>
      <c r="H19" s="263" t="s">
        <v>84</v>
      </c>
      <c r="I19" s="711" t="s">
        <v>5724</v>
      </c>
      <c r="J19" s="263" t="s">
        <v>5725</v>
      </c>
      <c r="K19" s="263" t="s">
        <v>5726</v>
      </c>
      <c r="L19" s="708" t="s">
        <v>5727</v>
      </c>
      <c r="M19" s="709" t="s">
        <v>5728</v>
      </c>
      <c r="N19" s="263" t="s">
        <v>5729</v>
      </c>
    </row>
    <row r="20" ht="14.25" customHeight="1">
      <c r="A20" s="672"/>
      <c r="B20" s="673" t="s">
        <v>99</v>
      </c>
      <c r="C20" s="673"/>
      <c r="D20" s="673"/>
      <c r="E20" s="673"/>
      <c r="F20" s="674">
        <f>SUM(F21:F41)</f>
        <v>307972735</v>
      </c>
      <c r="G20" s="673"/>
      <c r="H20" s="673"/>
      <c r="I20" s="673"/>
      <c r="J20" s="673"/>
      <c r="K20" s="673"/>
      <c r="L20" s="706"/>
      <c r="M20" s="675"/>
      <c r="N20" s="263"/>
    </row>
    <row r="21" ht="14.25" customHeight="1">
      <c r="A21" s="707">
        <v>1.0</v>
      </c>
      <c r="B21" s="263" t="s">
        <v>1189</v>
      </c>
      <c r="C21" s="263"/>
      <c r="D21" s="263" t="s">
        <v>5680</v>
      </c>
      <c r="E21" s="263" t="s">
        <v>27</v>
      </c>
      <c r="F21" s="177">
        <v>1.3E7</v>
      </c>
      <c r="G21" s="263" t="s">
        <v>5730</v>
      </c>
      <c r="H21" s="263" t="s">
        <v>2988</v>
      </c>
      <c r="I21" s="263" t="s">
        <v>5731</v>
      </c>
      <c r="J21" s="263" t="s">
        <v>5732</v>
      </c>
      <c r="K21" s="439" t="s">
        <v>5733</v>
      </c>
      <c r="L21" s="708" t="s">
        <v>5734</v>
      </c>
      <c r="M21" s="709"/>
      <c r="N21" s="263" t="s">
        <v>5735</v>
      </c>
    </row>
    <row r="22" ht="14.25" customHeight="1">
      <c r="A22" s="707">
        <v>2.0</v>
      </c>
      <c r="B22" s="263" t="s">
        <v>100</v>
      </c>
      <c r="C22" s="263"/>
      <c r="D22" s="263" t="s">
        <v>5680</v>
      </c>
      <c r="E22" s="263" t="s">
        <v>27</v>
      </c>
      <c r="F22" s="177">
        <v>4500000.0</v>
      </c>
      <c r="G22" s="263" t="s">
        <v>5736</v>
      </c>
      <c r="H22" s="263" t="s">
        <v>2988</v>
      </c>
      <c r="I22" s="439" t="s">
        <v>5737</v>
      </c>
      <c r="J22" s="263" t="s">
        <v>5738</v>
      </c>
      <c r="K22" s="263" t="s">
        <v>5739</v>
      </c>
      <c r="L22" s="712" t="s">
        <v>5740</v>
      </c>
      <c r="M22" s="263" t="s">
        <v>5741</v>
      </c>
      <c r="N22" s="263" t="s">
        <v>5735</v>
      </c>
    </row>
    <row r="23" ht="14.25" customHeight="1">
      <c r="A23" s="707">
        <v>3.0</v>
      </c>
      <c r="B23" s="263" t="s">
        <v>100</v>
      </c>
      <c r="C23" s="263"/>
      <c r="D23" s="263" t="s">
        <v>5680</v>
      </c>
      <c r="E23" s="263" t="s">
        <v>27</v>
      </c>
      <c r="F23" s="177">
        <v>6000000.0</v>
      </c>
      <c r="G23" s="263" t="s">
        <v>5742</v>
      </c>
      <c r="H23" s="263" t="s">
        <v>782</v>
      </c>
      <c r="I23" s="439" t="s">
        <v>5743</v>
      </c>
      <c r="J23" s="263" t="s">
        <v>5744</v>
      </c>
      <c r="K23" s="263" t="s">
        <v>5745</v>
      </c>
      <c r="L23" s="712" t="s">
        <v>5746</v>
      </c>
      <c r="M23" s="263" t="s">
        <v>5747</v>
      </c>
      <c r="N23" s="263" t="s">
        <v>5735</v>
      </c>
    </row>
    <row r="24" ht="14.25" customHeight="1">
      <c r="A24" s="707">
        <v>4.0</v>
      </c>
      <c r="B24" s="263" t="s">
        <v>100</v>
      </c>
      <c r="C24" s="263"/>
      <c r="D24" s="263" t="s">
        <v>5680</v>
      </c>
      <c r="E24" s="263" t="s">
        <v>3743</v>
      </c>
      <c r="F24" s="177">
        <v>1.24E7</v>
      </c>
      <c r="G24" s="263" t="s">
        <v>1379</v>
      </c>
      <c r="H24" s="263" t="s">
        <v>37</v>
      </c>
      <c r="I24" s="439" t="s">
        <v>5748</v>
      </c>
      <c r="J24" s="263" t="s">
        <v>5749</v>
      </c>
      <c r="K24" s="263" t="s">
        <v>5750</v>
      </c>
      <c r="L24" s="712" t="s">
        <v>5751</v>
      </c>
      <c r="M24" s="263" t="s">
        <v>5752</v>
      </c>
      <c r="N24" s="263" t="s">
        <v>5753</v>
      </c>
    </row>
    <row r="25" ht="14.25" customHeight="1">
      <c r="A25" s="707">
        <v>5.0</v>
      </c>
      <c r="B25" s="263" t="s">
        <v>100</v>
      </c>
      <c r="C25" s="263"/>
      <c r="D25" s="263" t="s">
        <v>5680</v>
      </c>
      <c r="E25" s="263" t="s">
        <v>70</v>
      </c>
      <c r="F25" s="177">
        <v>1.24E7</v>
      </c>
      <c r="G25" s="263" t="s">
        <v>1379</v>
      </c>
      <c r="H25" s="263" t="s">
        <v>37</v>
      </c>
      <c r="I25" s="439" t="s">
        <v>5754</v>
      </c>
      <c r="J25" s="263" t="s">
        <v>5755</v>
      </c>
      <c r="K25" s="263" t="s">
        <v>5756</v>
      </c>
      <c r="L25" s="712" t="s">
        <v>5757</v>
      </c>
      <c r="M25" s="263" t="s">
        <v>5758</v>
      </c>
      <c r="N25" s="263" t="s">
        <v>5759</v>
      </c>
    </row>
    <row r="26" ht="14.25" customHeight="1">
      <c r="A26" s="707">
        <v>6.0</v>
      </c>
      <c r="B26" s="263" t="s">
        <v>100</v>
      </c>
      <c r="C26" s="263"/>
      <c r="D26" s="263" t="s">
        <v>5680</v>
      </c>
      <c r="E26" s="263" t="s">
        <v>70</v>
      </c>
      <c r="F26" s="177">
        <v>1.24E7</v>
      </c>
      <c r="G26" s="263" t="s">
        <v>1379</v>
      </c>
      <c r="H26" s="263" t="s">
        <v>37</v>
      </c>
      <c r="I26" s="439" t="s">
        <v>5760</v>
      </c>
      <c r="J26" s="263" t="s">
        <v>5761</v>
      </c>
      <c r="K26" s="263" t="s">
        <v>5762</v>
      </c>
      <c r="L26" s="712" t="s">
        <v>5763</v>
      </c>
      <c r="M26" s="263" t="s">
        <v>5764</v>
      </c>
      <c r="N26" s="263" t="s">
        <v>5765</v>
      </c>
    </row>
    <row r="27" ht="14.25" customHeight="1">
      <c r="A27" s="707">
        <v>7.0</v>
      </c>
      <c r="B27" s="263" t="s">
        <v>1189</v>
      </c>
      <c r="C27" s="263"/>
      <c r="D27" s="263" t="s">
        <v>5680</v>
      </c>
      <c r="E27" s="263" t="s">
        <v>70</v>
      </c>
      <c r="F27" s="177">
        <v>1.7325E7</v>
      </c>
      <c r="G27" s="263" t="s">
        <v>5766</v>
      </c>
      <c r="H27" s="263" t="s">
        <v>391</v>
      </c>
      <c r="I27" s="439" t="s">
        <v>5767</v>
      </c>
      <c r="J27" s="263" t="s">
        <v>5768</v>
      </c>
      <c r="K27" s="263" t="s">
        <v>5769</v>
      </c>
      <c r="L27" s="712" t="s">
        <v>5770</v>
      </c>
      <c r="M27" s="263" t="s">
        <v>5771</v>
      </c>
      <c r="N27" s="263" t="s">
        <v>5772</v>
      </c>
    </row>
    <row r="28" ht="14.25" customHeight="1">
      <c r="A28" s="707">
        <v>8.0</v>
      </c>
      <c r="B28" s="263" t="s">
        <v>100</v>
      </c>
      <c r="C28" s="263"/>
      <c r="D28" s="263" t="s">
        <v>5680</v>
      </c>
      <c r="E28" s="263" t="s">
        <v>70</v>
      </c>
      <c r="F28" s="177">
        <v>1.7325E7</v>
      </c>
      <c r="G28" s="263" t="s">
        <v>5766</v>
      </c>
      <c r="H28" s="263" t="s">
        <v>391</v>
      </c>
      <c r="I28" s="439" t="s">
        <v>5773</v>
      </c>
      <c r="J28" s="263" t="s">
        <v>5774</v>
      </c>
      <c r="K28" s="263" t="s">
        <v>5775</v>
      </c>
      <c r="L28" s="712" t="s">
        <v>5776</v>
      </c>
      <c r="M28" s="263" t="s">
        <v>5777</v>
      </c>
      <c r="N28" s="263" t="s">
        <v>5778</v>
      </c>
    </row>
    <row r="29" ht="14.25" customHeight="1">
      <c r="A29" s="707">
        <v>9.0</v>
      </c>
      <c r="B29" s="263" t="s">
        <v>100</v>
      </c>
      <c r="C29" s="263"/>
      <c r="D29" s="263" t="s">
        <v>5680</v>
      </c>
      <c r="E29" s="263" t="s">
        <v>70</v>
      </c>
      <c r="F29" s="177">
        <v>1.8075E7</v>
      </c>
      <c r="G29" s="263" t="s">
        <v>3284</v>
      </c>
      <c r="H29" s="263" t="s">
        <v>84</v>
      </c>
      <c r="I29" s="439" t="s">
        <v>5779</v>
      </c>
      <c r="J29" s="263" t="s">
        <v>5780</v>
      </c>
      <c r="K29" s="263" t="s">
        <v>5781</v>
      </c>
      <c r="L29" s="712" t="s">
        <v>5782</v>
      </c>
      <c r="M29" s="263" t="s">
        <v>5783</v>
      </c>
      <c r="N29" s="263" t="s">
        <v>5784</v>
      </c>
    </row>
    <row r="30" ht="14.25" customHeight="1">
      <c r="A30" s="707">
        <v>10.0</v>
      </c>
      <c r="B30" s="263" t="s">
        <v>100</v>
      </c>
      <c r="C30" s="263"/>
      <c r="D30" s="263" t="s">
        <v>5680</v>
      </c>
      <c r="E30" s="263" t="s">
        <v>70</v>
      </c>
      <c r="F30" s="177">
        <v>1.23352E7</v>
      </c>
      <c r="G30" s="263" t="s">
        <v>5785</v>
      </c>
      <c r="H30" s="263" t="s">
        <v>44</v>
      </c>
      <c r="I30" s="439" t="s">
        <v>5786</v>
      </c>
      <c r="J30" s="263" t="s">
        <v>5787</v>
      </c>
      <c r="K30" s="263" t="s">
        <v>5788</v>
      </c>
      <c r="L30" s="712" t="s">
        <v>5789</v>
      </c>
      <c r="M30" s="263" t="s">
        <v>5790</v>
      </c>
      <c r="N30" s="263" t="s">
        <v>5791</v>
      </c>
    </row>
    <row r="31" ht="14.25" customHeight="1">
      <c r="A31" s="707">
        <v>11.0</v>
      </c>
      <c r="B31" s="263" t="s">
        <v>100</v>
      </c>
      <c r="C31" s="263"/>
      <c r="D31" s="263" t="s">
        <v>5680</v>
      </c>
      <c r="E31" s="263" t="s">
        <v>70</v>
      </c>
      <c r="F31" s="177">
        <v>1.41167E7</v>
      </c>
      <c r="G31" s="263" t="s">
        <v>5792</v>
      </c>
      <c r="H31" s="263" t="s">
        <v>44</v>
      </c>
      <c r="I31" s="439" t="s">
        <v>5793</v>
      </c>
      <c r="J31" s="263" t="s">
        <v>5794</v>
      </c>
      <c r="K31" s="263" t="s">
        <v>5795</v>
      </c>
      <c r="L31" s="712" t="s">
        <v>5796</v>
      </c>
      <c r="M31" s="263" t="s">
        <v>5797</v>
      </c>
      <c r="N31" s="263" t="s">
        <v>5798</v>
      </c>
    </row>
    <row r="32" ht="14.25" customHeight="1">
      <c r="A32" s="707">
        <v>12.0</v>
      </c>
      <c r="B32" s="263" t="s">
        <v>1189</v>
      </c>
      <c r="C32" s="263"/>
      <c r="D32" s="263" t="s">
        <v>5680</v>
      </c>
      <c r="E32" s="263" t="s">
        <v>70</v>
      </c>
      <c r="F32" s="177">
        <v>1.41167E7</v>
      </c>
      <c r="G32" s="263" t="s">
        <v>5792</v>
      </c>
      <c r="H32" s="263" t="s">
        <v>44</v>
      </c>
      <c r="I32" s="439" t="s">
        <v>5799</v>
      </c>
      <c r="J32" s="263" t="s">
        <v>5800</v>
      </c>
      <c r="K32" s="439" t="s">
        <v>5801</v>
      </c>
      <c r="L32" s="712" t="s">
        <v>5802</v>
      </c>
      <c r="M32" s="263" t="s">
        <v>5803</v>
      </c>
      <c r="N32" s="263" t="s">
        <v>5804</v>
      </c>
    </row>
    <row r="33" ht="14.25" customHeight="1">
      <c r="A33" s="707">
        <v>13.0</v>
      </c>
      <c r="B33" s="263" t="s">
        <v>100</v>
      </c>
      <c r="C33" s="263"/>
      <c r="D33" s="263" t="s">
        <v>5680</v>
      </c>
      <c r="E33" s="263" t="s">
        <v>70</v>
      </c>
      <c r="F33" s="177">
        <v>1.41167E7</v>
      </c>
      <c r="G33" s="263" t="s">
        <v>5792</v>
      </c>
      <c r="H33" s="263" t="s">
        <v>44</v>
      </c>
      <c r="I33" s="439" t="s">
        <v>5805</v>
      </c>
      <c r="J33" s="263" t="s">
        <v>5806</v>
      </c>
      <c r="K33" s="263" t="s">
        <v>5807</v>
      </c>
      <c r="L33" s="712" t="s">
        <v>5808</v>
      </c>
      <c r="M33" s="263" t="s">
        <v>5809</v>
      </c>
      <c r="N33" s="263" t="s">
        <v>5810</v>
      </c>
    </row>
    <row r="34" ht="14.25" customHeight="1">
      <c r="A34" s="707">
        <v>14.0</v>
      </c>
      <c r="B34" s="263" t="s">
        <v>1189</v>
      </c>
      <c r="C34" s="263"/>
      <c r="D34" s="263" t="s">
        <v>5680</v>
      </c>
      <c r="E34" s="263" t="s">
        <v>70</v>
      </c>
      <c r="F34" s="177">
        <v>1.41167E7</v>
      </c>
      <c r="G34" s="263" t="s">
        <v>5792</v>
      </c>
      <c r="H34" s="263" t="s">
        <v>44</v>
      </c>
      <c r="I34" s="439" t="s">
        <v>5811</v>
      </c>
      <c r="J34" s="263" t="s">
        <v>5812</v>
      </c>
      <c r="K34" s="263" t="s">
        <v>5813</v>
      </c>
      <c r="L34" s="712" t="s">
        <v>5814</v>
      </c>
      <c r="M34" s="263" t="s">
        <v>5815</v>
      </c>
      <c r="N34" s="263" t="s">
        <v>5816</v>
      </c>
    </row>
    <row r="35" ht="14.25" customHeight="1">
      <c r="A35" s="707">
        <v>15.0</v>
      </c>
      <c r="B35" s="263" t="s">
        <v>100</v>
      </c>
      <c r="C35" s="263"/>
      <c r="D35" s="263" t="s">
        <v>5680</v>
      </c>
      <c r="E35" s="263" t="s">
        <v>70</v>
      </c>
      <c r="F35" s="177">
        <v>1.4425735E7</v>
      </c>
      <c r="G35" s="263" t="s">
        <v>5817</v>
      </c>
      <c r="H35" s="263" t="s">
        <v>92</v>
      </c>
      <c r="I35" s="439" t="s">
        <v>5818</v>
      </c>
      <c r="J35" s="263" t="s">
        <v>5819</v>
      </c>
      <c r="K35" s="263" t="s">
        <v>5820</v>
      </c>
      <c r="L35" s="712" t="s">
        <v>5821</v>
      </c>
      <c r="M35" s="263" t="s">
        <v>5822</v>
      </c>
      <c r="N35" s="263" t="s">
        <v>5765</v>
      </c>
    </row>
    <row r="36" ht="14.25" customHeight="1">
      <c r="A36" s="707">
        <v>16.0</v>
      </c>
      <c r="B36" s="263" t="s">
        <v>100</v>
      </c>
      <c r="C36" s="263"/>
      <c r="D36" s="263" t="s">
        <v>5680</v>
      </c>
      <c r="E36" s="263" t="s">
        <v>70</v>
      </c>
      <c r="F36" s="177">
        <v>1.56E7</v>
      </c>
      <c r="G36" s="263" t="s">
        <v>5823</v>
      </c>
      <c r="H36" s="263" t="s">
        <v>58</v>
      </c>
      <c r="I36" s="439" t="s">
        <v>5824</v>
      </c>
      <c r="J36" s="439" t="s">
        <v>5825</v>
      </c>
      <c r="K36" s="439" t="s">
        <v>5826</v>
      </c>
      <c r="L36" s="712" t="s">
        <v>5827</v>
      </c>
      <c r="M36" s="263" t="s">
        <v>5828</v>
      </c>
      <c r="N36" s="263" t="s">
        <v>5829</v>
      </c>
    </row>
    <row r="37" ht="14.25" customHeight="1">
      <c r="A37" s="707">
        <v>17.0</v>
      </c>
      <c r="B37" s="263" t="s">
        <v>100</v>
      </c>
      <c r="C37" s="263"/>
      <c r="D37" s="263" t="s">
        <v>5680</v>
      </c>
      <c r="E37" s="263" t="s">
        <v>70</v>
      </c>
      <c r="F37" s="177">
        <v>1.606E7</v>
      </c>
      <c r="G37" s="263" t="s">
        <v>5830</v>
      </c>
      <c r="H37" s="263" t="s">
        <v>71</v>
      </c>
      <c r="I37" s="263" t="s">
        <v>5831</v>
      </c>
      <c r="J37" s="263" t="s">
        <v>5832</v>
      </c>
      <c r="K37" s="439" t="s">
        <v>5833</v>
      </c>
      <c r="L37" s="708" t="s">
        <v>5834</v>
      </c>
      <c r="M37" s="709"/>
      <c r="N37" s="263" t="s">
        <v>5835</v>
      </c>
    </row>
    <row r="38" ht="14.25" customHeight="1">
      <c r="A38" s="707">
        <v>18.0</v>
      </c>
      <c r="B38" s="263" t="s">
        <v>100</v>
      </c>
      <c r="C38" s="263"/>
      <c r="D38" s="263" t="s">
        <v>5680</v>
      </c>
      <c r="E38" s="263" t="s">
        <v>70</v>
      </c>
      <c r="F38" s="177">
        <v>1.606E7</v>
      </c>
      <c r="G38" s="263" t="s">
        <v>5830</v>
      </c>
      <c r="H38" s="263" t="s">
        <v>71</v>
      </c>
      <c r="I38" s="263" t="s">
        <v>5836</v>
      </c>
      <c r="J38" s="713" t="s">
        <v>5837</v>
      </c>
      <c r="K38" s="439" t="s">
        <v>5838</v>
      </c>
      <c r="L38" s="708" t="s">
        <v>5839</v>
      </c>
      <c r="M38" s="709"/>
      <c r="N38" s="263" t="s">
        <v>5840</v>
      </c>
    </row>
    <row r="39" ht="14.25" customHeight="1">
      <c r="A39" s="707">
        <v>19.0</v>
      </c>
      <c r="B39" s="263" t="s">
        <v>100</v>
      </c>
      <c r="C39" s="263"/>
      <c r="D39" s="263" t="s">
        <v>5680</v>
      </c>
      <c r="E39" s="263" t="s">
        <v>70</v>
      </c>
      <c r="F39" s="177">
        <v>2.5E7</v>
      </c>
      <c r="G39" s="263" t="s">
        <v>5841</v>
      </c>
      <c r="H39" s="263" t="s">
        <v>71</v>
      </c>
      <c r="I39" s="263" t="s">
        <v>5842</v>
      </c>
      <c r="J39" s="263" t="s">
        <v>5843</v>
      </c>
      <c r="K39" s="263" t="s">
        <v>5844</v>
      </c>
      <c r="L39" s="708" t="s">
        <v>5845</v>
      </c>
      <c r="M39" s="709"/>
      <c r="N39" s="263" t="s">
        <v>5846</v>
      </c>
    </row>
    <row r="40" ht="14.25" customHeight="1">
      <c r="A40" s="707">
        <v>20.0</v>
      </c>
      <c r="B40" s="263" t="s">
        <v>100</v>
      </c>
      <c r="C40" s="263"/>
      <c r="D40" s="263" t="s">
        <v>5680</v>
      </c>
      <c r="E40" s="263" t="s">
        <v>70</v>
      </c>
      <c r="F40" s="177">
        <v>1.93E7</v>
      </c>
      <c r="G40" s="263" t="s">
        <v>5847</v>
      </c>
      <c r="H40" s="263" t="s">
        <v>78</v>
      </c>
      <c r="I40" s="263" t="s">
        <v>5848</v>
      </c>
      <c r="J40" s="263" t="s">
        <v>5849</v>
      </c>
      <c r="K40" s="263" t="s">
        <v>5850</v>
      </c>
      <c r="L40" s="708" t="s">
        <v>5851</v>
      </c>
      <c r="M40" s="709"/>
      <c r="N40" s="263" t="s">
        <v>5852</v>
      </c>
    </row>
    <row r="41" ht="14.25" customHeight="1">
      <c r="A41" s="714">
        <v>21.0</v>
      </c>
      <c r="B41" s="713" t="s">
        <v>100</v>
      </c>
      <c r="C41" s="713"/>
      <c r="D41" s="713" t="s">
        <v>5680</v>
      </c>
      <c r="E41" s="713" t="s">
        <v>70</v>
      </c>
      <c r="F41" s="273">
        <v>1.93E7</v>
      </c>
      <c r="G41" s="713" t="s">
        <v>5847</v>
      </c>
      <c r="H41" s="713" t="s">
        <v>78</v>
      </c>
      <c r="I41" s="713" t="s">
        <v>5853</v>
      </c>
      <c r="J41" s="713" t="s">
        <v>5854</v>
      </c>
      <c r="K41" s="713" t="s">
        <v>5855</v>
      </c>
      <c r="L41" s="715" t="s">
        <v>5856</v>
      </c>
      <c r="M41" s="716"/>
      <c r="N41" s="263" t="s">
        <v>5857</v>
      </c>
    </row>
    <row r="42" ht="14.25" customHeight="1">
      <c r="A42" s="714"/>
      <c r="B42" s="713"/>
      <c r="C42" s="713"/>
      <c r="D42" s="713"/>
      <c r="E42" s="713"/>
      <c r="F42" s="273"/>
      <c r="G42" s="713"/>
      <c r="H42" s="713"/>
      <c r="I42" s="713"/>
      <c r="J42" s="713"/>
      <c r="K42" s="713"/>
      <c r="L42" s="716"/>
      <c r="M42" s="716"/>
      <c r="N42" s="713"/>
    </row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3:M3"/>
    <mergeCell ref="A4:M4"/>
  </mergeCells>
  <printOptions/>
  <pageMargins bottom="0.7480314960629921" footer="0.0" header="0.0" left="0.7086614173228347" right="0.7086614173228347" top="0.7480314960629921"/>
  <pageSetup paperSize="5" scale="62" orientation="landscape"/>
  <drawing r:id="rId2"/>
  <legacyDrawing r:id="rId3"/>
  <tableParts count="1">
    <tablePart r:id="rId5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workbookViewId="0"/>
  </sheetViews>
  <sheetFormatPr customHeight="1" defaultColWidth="14.43" defaultRowHeight="15.0"/>
  <cols>
    <col customWidth="1" min="1" max="1" width="4.57"/>
    <col customWidth="1" min="2" max="2" width="19.57"/>
    <col customWidth="1" min="3" max="3" width="22.14"/>
    <col customWidth="1" min="4" max="4" width="9.86"/>
    <col customWidth="1" min="5" max="5" width="8.43"/>
    <col customWidth="1" min="6" max="6" width="16.86"/>
    <col customWidth="1" min="7" max="7" width="32.57"/>
    <col customWidth="1" min="8" max="8" width="9.0"/>
    <col customWidth="1" min="9" max="9" width="26.86"/>
    <col customWidth="1" min="10" max="11" width="21.86"/>
    <col customWidth="1" min="12" max="12" width="11.43"/>
    <col customWidth="1" min="13" max="13" width="27.14"/>
    <col customWidth="1" min="14" max="14" width="43.29"/>
    <col customWidth="1" min="15" max="27" width="9.0"/>
  </cols>
  <sheetData>
    <row r="1" ht="14.25" customHeight="1"/>
    <row r="2" ht="14.25" customHeight="1"/>
    <row r="3" ht="14.25" customHeight="1">
      <c r="A3" s="1" t="s">
        <v>0</v>
      </c>
    </row>
    <row r="4" ht="14.25" customHeight="1">
      <c r="A4" s="1" t="s">
        <v>1</v>
      </c>
    </row>
    <row r="5" ht="14.25" customHeight="1"/>
    <row r="6" ht="14.25" customHeight="1"/>
    <row r="7" ht="14.25" customHeight="1">
      <c r="A7" s="2" t="s">
        <v>2</v>
      </c>
      <c r="C7" s="2" t="s">
        <v>3</v>
      </c>
    </row>
    <row r="8" ht="14.25" customHeight="1">
      <c r="A8" s="2" t="s">
        <v>4</v>
      </c>
      <c r="C8" s="2" t="s">
        <v>5</v>
      </c>
    </row>
    <row r="9" ht="14.25" customHeight="1">
      <c r="A9" s="2" t="s">
        <v>6</v>
      </c>
      <c r="C9" s="2" t="s">
        <v>5858</v>
      </c>
    </row>
    <row r="10" ht="14.25" customHeight="1">
      <c r="A10" s="169" t="s">
        <v>8</v>
      </c>
      <c r="B10" s="170" t="s">
        <v>9</v>
      </c>
      <c r="C10" s="170" t="s">
        <v>10</v>
      </c>
      <c r="D10" s="170" t="s">
        <v>11</v>
      </c>
      <c r="E10" s="170" t="s">
        <v>12</v>
      </c>
      <c r="F10" s="170" t="s">
        <v>13</v>
      </c>
      <c r="G10" s="170" t="s">
        <v>14</v>
      </c>
      <c r="H10" s="170" t="s">
        <v>15</v>
      </c>
      <c r="I10" s="170" t="s">
        <v>16</v>
      </c>
      <c r="J10" s="170" t="s">
        <v>17</v>
      </c>
      <c r="K10" s="246" t="s">
        <v>766</v>
      </c>
      <c r="L10" s="170" t="s">
        <v>1882</v>
      </c>
      <c r="M10" s="171" t="s">
        <v>20</v>
      </c>
      <c r="N10" s="717" t="s">
        <v>1883</v>
      </c>
    </row>
    <row r="11" ht="14.25" customHeight="1">
      <c r="A11" s="353"/>
      <c r="B11" s="173" t="s">
        <v>1884</v>
      </c>
      <c r="C11" s="354"/>
      <c r="D11" s="354"/>
      <c r="E11" s="354"/>
      <c r="F11" s="174">
        <f>SUM(F12:F16)</f>
        <v>1164600000</v>
      </c>
      <c r="G11" s="174"/>
      <c r="H11" s="174"/>
      <c r="I11" s="174"/>
      <c r="J11" s="174"/>
      <c r="K11" s="174"/>
      <c r="L11" s="174"/>
      <c r="M11" s="363"/>
      <c r="N11" s="360"/>
      <c r="O11" s="718"/>
      <c r="P11" s="718"/>
      <c r="Q11" s="718"/>
      <c r="R11" s="718"/>
      <c r="S11" s="718"/>
      <c r="T11" s="718"/>
      <c r="U11" s="718"/>
      <c r="V11" s="718"/>
      <c r="W11" s="718"/>
      <c r="X11" s="718"/>
      <c r="Y11" s="718"/>
      <c r="Z11" s="718"/>
      <c r="AA11" s="718"/>
    </row>
    <row r="12" ht="14.25" customHeight="1">
      <c r="A12" s="370">
        <v>1.0</v>
      </c>
      <c r="B12" s="360" t="s">
        <v>780</v>
      </c>
      <c r="C12" s="360"/>
      <c r="D12" s="360" t="s">
        <v>5859</v>
      </c>
      <c r="E12" s="360" t="s">
        <v>70</v>
      </c>
      <c r="F12" s="177">
        <v>1.9915E8</v>
      </c>
      <c r="G12" s="360" t="s">
        <v>5860</v>
      </c>
      <c r="H12" s="360" t="s">
        <v>58</v>
      </c>
      <c r="I12" s="360" t="s">
        <v>5861</v>
      </c>
      <c r="J12" s="360" t="s">
        <v>5862</v>
      </c>
      <c r="K12" s="719" t="s">
        <v>5863</v>
      </c>
      <c r="L12" s="720" t="s">
        <v>5864</v>
      </c>
      <c r="M12" s="369" t="s">
        <v>5865</v>
      </c>
      <c r="N12" s="360" t="s">
        <v>5866</v>
      </c>
      <c r="O12" s="665"/>
      <c r="P12" s="665"/>
      <c r="Q12" s="665"/>
      <c r="R12" s="665"/>
      <c r="S12" s="665"/>
      <c r="T12" s="665"/>
      <c r="U12" s="665"/>
      <c r="V12" s="665"/>
      <c r="W12" s="665"/>
      <c r="X12" s="665"/>
      <c r="Y12" s="665"/>
      <c r="Z12" s="665"/>
      <c r="AA12" s="665"/>
    </row>
    <row r="13" ht="14.25" customHeight="1">
      <c r="A13" s="370">
        <v>2.0</v>
      </c>
      <c r="B13" s="360" t="s">
        <v>780</v>
      </c>
      <c r="C13" s="360"/>
      <c r="D13" s="360" t="s">
        <v>5859</v>
      </c>
      <c r="E13" s="360" t="s">
        <v>70</v>
      </c>
      <c r="F13" s="177">
        <v>1.9915E8</v>
      </c>
      <c r="G13" s="360" t="s">
        <v>5860</v>
      </c>
      <c r="H13" s="360" t="s">
        <v>58</v>
      </c>
      <c r="I13" s="360" t="s">
        <v>5867</v>
      </c>
      <c r="J13" s="360" t="s">
        <v>5868</v>
      </c>
      <c r="K13" s="721" t="s">
        <v>5869</v>
      </c>
      <c r="L13" s="720" t="s">
        <v>5870</v>
      </c>
      <c r="M13" s="369" t="s">
        <v>5865</v>
      </c>
      <c r="N13" s="360" t="s">
        <v>5871</v>
      </c>
      <c r="O13" s="665"/>
      <c r="P13" s="665"/>
      <c r="Q13" s="665"/>
      <c r="R13" s="665"/>
      <c r="S13" s="665"/>
      <c r="T13" s="665"/>
      <c r="U13" s="665"/>
      <c r="V13" s="665"/>
      <c r="W13" s="665"/>
      <c r="X13" s="665"/>
      <c r="Y13" s="665"/>
      <c r="Z13" s="665"/>
      <c r="AA13" s="665"/>
    </row>
    <row r="14" ht="14.25" customHeight="1">
      <c r="A14" s="370">
        <v>3.0</v>
      </c>
      <c r="B14" s="360" t="s">
        <v>780</v>
      </c>
      <c r="C14" s="360"/>
      <c r="D14" s="360" t="s">
        <v>5859</v>
      </c>
      <c r="E14" s="360" t="s">
        <v>70</v>
      </c>
      <c r="F14" s="177">
        <v>1.9915E8</v>
      </c>
      <c r="G14" s="360" t="s">
        <v>5860</v>
      </c>
      <c r="H14" s="360" t="s">
        <v>58</v>
      </c>
      <c r="I14" s="360" t="s">
        <v>5872</v>
      </c>
      <c r="J14" s="360" t="s">
        <v>5873</v>
      </c>
      <c r="K14" s="719" t="s">
        <v>5874</v>
      </c>
      <c r="L14" s="720" t="s">
        <v>5875</v>
      </c>
      <c r="M14" s="369" t="s">
        <v>5865</v>
      </c>
      <c r="N14" s="360" t="s">
        <v>5876</v>
      </c>
      <c r="O14" s="665"/>
      <c r="P14" s="665"/>
      <c r="Q14" s="665"/>
      <c r="R14" s="665"/>
      <c r="S14" s="665"/>
      <c r="T14" s="665"/>
      <c r="U14" s="665"/>
      <c r="V14" s="665"/>
      <c r="W14" s="665"/>
      <c r="X14" s="665"/>
      <c r="Y14" s="665"/>
      <c r="Z14" s="665"/>
      <c r="AA14" s="665"/>
    </row>
    <row r="15" ht="14.25" customHeight="1">
      <c r="A15" s="370">
        <v>4.0</v>
      </c>
      <c r="B15" s="360" t="s">
        <v>780</v>
      </c>
      <c r="C15" s="360"/>
      <c r="D15" s="360" t="s">
        <v>5859</v>
      </c>
      <c r="E15" s="360" t="s">
        <v>70</v>
      </c>
      <c r="F15" s="177">
        <v>1.9915E8</v>
      </c>
      <c r="G15" s="360" t="s">
        <v>5860</v>
      </c>
      <c r="H15" s="360" t="s">
        <v>58</v>
      </c>
      <c r="I15" s="360" t="s">
        <v>5877</v>
      </c>
      <c r="J15" s="360" t="s">
        <v>5878</v>
      </c>
      <c r="K15" s="719" t="s">
        <v>5879</v>
      </c>
      <c r="L15" s="720" t="s">
        <v>5880</v>
      </c>
      <c r="M15" s="369" t="s">
        <v>5865</v>
      </c>
      <c r="N15" s="360" t="s">
        <v>5881</v>
      </c>
      <c r="O15" s="665"/>
      <c r="P15" s="665"/>
      <c r="Q15" s="665"/>
      <c r="R15" s="665"/>
      <c r="S15" s="665"/>
      <c r="T15" s="665"/>
      <c r="U15" s="665"/>
      <c r="V15" s="665"/>
      <c r="W15" s="665"/>
      <c r="X15" s="665"/>
      <c r="Y15" s="665"/>
      <c r="Z15" s="665"/>
      <c r="AA15" s="665"/>
    </row>
    <row r="16" ht="14.25" customHeight="1">
      <c r="A16" s="370">
        <v>5.0</v>
      </c>
      <c r="B16" s="360" t="s">
        <v>780</v>
      </c>
      <c r="C16" s="360" t="s">
        <v>780</v>
      </c>
      <c r="D16" s="360" t="s">
        <v>5859</v>
      </c>
      <c r="E16" s="360" t="s">
        <v>70</v>
      </c>
      <c r="F16" s="177">
        <v>3.68E8</v>
      </c>
      <c r="G16" s="360" t="s">
        <v>5882</v>
      </c>
      <c r="H16" s="360" t="s">
        <v>2762</v>
      </c>
      <c r="I16" s="360" t="s">
        <v>5883</v>
      </c>
      <c r="J16" s="719" t="s">
        <v>5884</v>
      </c>
      <c r="K16" s="719" t="s">
        <v>5885</v>
      </c>
      <c r="L16" s="722" t="s">
        <v>5886</v>
      </c>
      <c r="M16" s="369" t="s">
        <v>2638</v>
      </c>
      <c r="N16" s="360" t="s">
        <v>5887</v>
      </c>
      <c r="O16" s="665"/>
      <c r="P16" s="665"/>
      <c r="Q16" s="665"/>
      <c r="R16" s="665"/>
      <c r="S16" s="665"/>
      <c r="T16" s="665"/>
      <c r="U16" s="665"/>
      <c r="V16" s="665"/>
      <c r="W16" s="665"/>
      <c r="X16" s="665"/>
      <c r="Y16" s="665"/>
      <c r="Z16" s="665"/>
      <c r="AA16" s="665"/>
    </row>
    <row r="17" ht="14.25" customHeight="1">
      <c r="A17" s="353"/>
      <c r="B17" s="173" t="s">
        <v>1933</v>
      </c>
      <c r="C17" s="354"/>
      <c r="D17" s="354"/>
      <c r="E17" s="354"/>
      <c r="F17" s="174">
        <f>F18</f>
        <v>128000000</v>
      </c>
      <c r="G17" s="174"/>
      <c r="H17" s="174"/>
      <c r="I17" s="174"/>
      <c r="J17" s="174"/>
      <c r="K17" s="174"/>
      <c r="L17" s="174"/>
      <c r="M17" s="363"/>
      <c r="N17" s="360"/>
      <c r="O17" s="665"/>
      <c r="P17" s="665"/>
      <c r="Q17" s="718"/>
      <c r="R17" s="718"/>
      <c r="S17" s="718"/>
      <c r="T17" s="718"/>
      <c r="U17" s="718"/>
      <c r="V17" s="718"/>
      <c r="W17" s="718"/>
      <c r="X17" s="718"/>
      <c r="Y17" s="718"/>
      <c r="Z17" s="718"/>
      <c r="AA17" s="718"/>
    </row>
    <row r="18" ht="14.25" customHeight="1">
      <c r="A18" s="370">
        <v>6.0</v>
      </c>
      <c r="B18" s="360" t="s">
        <v>908</v>
      </c>
      <c r="C18" s="360"/>
      <c r="D18" s="360" t="s">
        <v>5859</v>
      </c>
      <c r="E18" s="360" t="s">
        <v>70</v>
      </c>
      <c r="F18" s="177">
        <v>1.28E8</v>
      </c>
      <c r="G18" s="360" t="s">
        <v>2492</v>
      </c>
      <c r="H18" s="360" t="s">
        <v>391</v>
      </c>
      <c r="I18" s="360" t="s">
        <v>5888</v>
      </c>
      <c r="J18" s="360" t="s">
        <v>5889</v>
      </c>
      <c r="K18" s="719" t="s">
        <v>5890</v>
      </c>
      <c r="L18" s="720" t="s">
        <v>5891</v>
      </c>
      <c r="M18" s="369" t="s">
        <v>5865</v>
      </c>
      <c r="N18" s="360" t="s">
        <v>5881</v>
      </c>
      <c r="O18" s="665"/>
      <c r="P18" s="665"/>
      <c r="Q18" s="665"/>
      <c r="R18" s="665"/>
      <c r="S18" s="665"/>
      <c r="T18" s="665"/>
      <c r="U18" s="665"/>
      <c r="V18" s="665"/>
      <c r="W18" s="665"/>
      <c r="X18" s="665"/>
      <c r="Y18" s="665"/>
      <c r="Z18" s="665"/>
      <c r="AA18" s="665"/>
    </row>
    <row r="19" ht="14.25" customHeight="1">
      <c r="A19" s="353"/>
      <c r="B19" s="173" t="s">
        <v>99</v>
      </c>
      <c r="C19" s="354"/>
      <c r="D19" s="354"/>
      <c r="E19" s="354"/>
      <c r="F19" s="174">
        <f>SUM(F20:F44)</f>
        <v>510242899</v>
      </c>
      <c r="G19" s="174"/>
      <c r="H19" s="174"/>
      <c r="I19" s="174"/>
      <c r="J19" s="174"/>
      <c r="K19" s="174"/>
      <c r="L19" s="174"/>
      <c r="M19" s="363"/>
      <c r="N19" s="360"/>
      <c r="O19" s="665"/>
      <c r="P19" s="665"/>
      <c r="Q19" s="718"/>
      <c r="R19" s="718"/>
      <c r="S19" s="718"/>
      <c r="T19" s="718"/>
      <c r="U19" s="718"/>
      <c r="V19" s="718"/>
      <c r="W19" s="718"/>
      <c r="X19" s="718"/>
      <c r="Y19" s="718"/>
      <c r="Z19" s="718"/>
      <c r="AA19" s="718"/>
    </row>
    <row r="20" ht="15.0" customHeight="1">
      <c r="A20" s="370">
        <v>1.0</v>
      </c>
      <c r="B20" s="360" t="s">
        <v>100</v>
      </c>
      <c r="C20" s="360"/>
      <c r="D20" s="360" t="s">
        <v>5859</v>
      </c>
      <c r="E20" s="360" t="s">
        <v>70</v>
      </c>
      <c r="F20" s="177">
        <v>1.32E7</v>
      </c>
      <c r="G20" s="360" t="s">
        <v>5892</v>
      </c>
      <c r="H20" s="360" t="s">
        <v>474</v>
      </c>
      <c r="I20" s="360" t="s">
        <v>5893</v>
      </c>
      <c r="J20" s="360" t="s">
        <v>5894</v>
      </c>
      <c r="K20" s="719" t="s">
        <v>5895</v>
      </c>
      <c r="L20" s="720" t="s">
        <v>5896</v>
      </c>
      <c r="M20" s="369" t="s">
        <v>5865</v>
      </c>
      <c r="N20" s="723" t="s">
        <v>5897</v>
      </c>
      <c r="O20" s="665"/>
      <c r="P20" s="665"/>
      <c r="Q20" s="665"/>
      <c r="R20" s="665"/>
      <c r="S20" s="665"/>
      <c r="T20" s="665"/>
      <c r="U20" s="665"/>
      <c r="V20" s="665"/>
      <c r="W20" s="665"/>
      <c r="X20" s="665"/>
      <c r="Y20" s="665"/>
      <c r="Z20" s="665"/>
      <c r="AA20" s="665"/>
    </row>
    <row r="21" ht="14.25" customHeight="1">
      <c r="A21" s="370">
        <v>2.0</v>
      </c>
      <c r="B21" s="360" t="s">
        <v>100</v>
      </c>
      <c r="C21" s="360"/>
      <c r="D21" s="360" t="s">
        <v>5859</v>
      </c>
      <c r="E21" s="360" t="s">
        <v>70</v>
      </c>
      <c r="F21" s="177">
        <v>1.3875E7</v>
      </c>
      <c r="G21" s="360" t="s">
        <v>5898</v>
      </c>
      <c r="H21" s="360" t="s">
        <v>474</v>
      </c>
      <c r="I21" s="719" t="s">
        <v>5899</v>
      </c>
      <c r="J21" s="719" t="s">
        <v>5900</v>
      </c>
      <c r="K21" s="719" t="s">
        <v>5901</v>
      </c>
      <c r="L21" s="720" t="s">
        <v>5902</v>
      </c>
      <c r="M21" s="369" t="s">
        <v>5865</v>
      </c>
      <c r="N21" s="723" t="s">
        <v>5903</v>
      </c>
      <c r="O21" s="665"/>
      <c r="P21" s="665"/>
      <c r="Q21" s="665"/>
      <c r="R21" s="665"/>
      <c r="S21" s="665"/>
      <c r="T21" s="665"/>
      <c r="U21" s="665"/>
      <c r="V21" s="665"/>
      <c r="W21" s="665"/>
      <c r="X21" s="665"/>
      <c r="Y21" s="665"/>
      <c r="Z21" s="665"/>
      <c r="AA21" s="665"/>
    </row>
    <row r="22" ht="14.25" customHeight="1">
      <c r="A22" s="370">
        <v>3.0</v>
      </c>
      <c r="B22" s="360" t="s">
        <v>100</v>
      </c>
      <c r="C22" s="360"/>
      <c r="D22" s="360" t="s">
        <v>5859</v>
      </c>
      <c r="E22" s="360" t="s">
        <v>70</v>
      </c>
      <c r="F22" s="177">
        <v>1.7775E7</v>
      </c>
      <c r="G22" s="360" t="s">
        <v>3304</v>
      </c>
      <c r="H22" s="360" t="s">
        <v>979</v>
      </c>
      <c r="I22" s="360" t="s">
        <v>5904</v>
      </c>
      <c r="J22" s="360" t="s">
        <v>5905</v>
      </c>
      <c r="K22" s="360"/>
      <c r="L22" s="360" t="s">
        <v>5906</v>
      </c>
      <c r="M22" s="369" t="s">
        <v>5907</v>
      </c>
      <c r="N22" s="724" t="s">
        <v>5908</v>
      </c>
      <c r="O22" s="665"/>
      <c r="P22" s="665"/>
      <c r="Q22" s="665"/>
      <c r="R22" s="665"/>
      <c r="S22" s="665"/>
      <c r="T22" s="665"/>
      <c r="U22" s="665"/>
      <c r="V22" s="665"/>
      <c r="W22" s="665"/>
      <c r="X22" s="665"/>
      <c r="Y22" s="665"/>
      <c r="Z22" s="665"/>
      <c r="AA22" s="665"/>
    </row>
    <row r="23" ht="14.25" customHeight="1">
      <c r="A23" s="370">
        <v>4.0</v>
      </c>
      <c r="B23" s="360" t="s">
        <v>100</v>
      </c>
      <c r="C23" s="360"/>
      <c r="D23" s="360" t="s">
        <v>5859</v>
      </c>
      <c r="E23" s="360" t="s">
        <v>70</v>
      </c>
      <c r="F23" s="177">
        <v>1.43143E7</v>
      </c>
      <c r="G23" s="360" t="s">
        <v>5909</v>
      </c>
      <c r="H23" s="360" t="s">
        <v>44</v>
      </c>
      <c r="I23" s="360" t="s">
        <v>5910</v>
      </c>
      <c r="J23" s="360" t="s">
        <v>5911</v>
      </c>
      <c r="K23" s="719" t="s">
        <v>5912</v>
      </c>
      <c r="L23" s="720" t="s">
        <v>5913</v>
      </c>
      <c r="M23" s="369" t="s">
        <v>5865</v>
      </c>
      <c r="N23" s="724" t="s">
        <v>5914</v>
      </c>
      <c r="O23" s="665"/>
      <c r="P23" s="665"/>
      <c r="Q23" s="665"/>
      <c r="R23" s="665"/>
      <c r="S23" s="665"/>
      <c r="T23" s="665"/>
      <c r="U23" s="665"/>
      <c r="V23" s="665"/>
      <c r="W23" s="665"/>
      <c r="X23" s="665"/>
      <c r="Y23" s="665"/>
      <c r="Z23" s="665"/>
      <c r="AA23" s="665"/>
    </row>
    <row r="24" ht="14.25" customHeight="1">
      <c r="A24" s="370">
        <v>5.0</v>
      </c>
      <c r="B24" s="360" t="s">
        <v>100</v>
      </c>
      <c r="C24" s="360"/>
      <c r="D24" s="360" t="s">
        <v>5859</v>
      </c>
      <c r="E24" s="360" t="s">
        <v>70</v>
      </c>
      <c r="F24" s="177">
        <v>1.43143E7</v>
      </c>
      <c r="G24" s="360" t="s">
        <v>5909</v>
      </c>
      <c r="H24" s="360" t="s">
        <v>44</v>
      </c>
      <c r="I24" s="360" t="s">
        <v>5915</v>
      </c>
      <c r="J24" s="360" t="s">
        <v>5916</v>
      </c>
      <c r="K24" s="719" t="s">
        <v>5917</v>
      </c>
      <c r="L24" s="720" t="s">
        <v>5918</v>
      </c>
      <c r="M24" s="369" t="s">
        <v>5865</v>
      </c>
      <c r="N24" s="360" t="s">
        <v>5919</v>
      </c>
      <c r="O24" s="665"/>
      <c r="P24" s="665"/>
      <c r="Q24" s="665"/>
      <c r="R24" s="665"/>
      <c r="S24" s="665"/>
      <c r="T24" s="665"/>
      <c r="U24" s="665"/>
      <c r="V24" s="665"/>
      <c r="W24" s="665"/>
      <c r="X24" s="665"/>
      <c r="Y24" s="665"/>
      <c r="Z24" s="665"/>
      <c r="AA24" s="665"/>
    </row>
    <row r="25" ht="15.0" customHeight="1">
      <c r="A25" s="370">
        <v>6.0</v>
      </c>
      <c r="B25" s="360" t="s">
        <v>100</v>
      </c>
      <c r="C25" s="360"/>
      <c r="D25" s="360" t="s">
        <v>5859</v>
      </c>
      <c r="E25" s="360" t="s">
        <v>70</v>
      </c>
      <c r="F25" s="177">
        <v>1.43143E7</v>
      </c>
      <c r="G25" s="360" t="s">
        <v>5909</v>
      </c>
      <c r="H25" s="360" t="s">
        <v>44</v>
      </c>
      <c r="I25" s="360" t="s">
        <v>5920</v>
      </c>
      <c r="J25" s="360" t="s">
        <v>5921</v>
      </c>
      <c r="K25" s="719" t="s">
        <v>5922</v>
      </c>
      <c r="L25" s="720" t="s">
        <v>5923</v>
      </c>
      <c r="M25" s="369" t="s">
        <v>5865</v>
      </c>
      <c r="N25" s="723" t="s">
        <v>5924</v>
      </c>
      <c r="O25" s="665"/>
      <c r="P25" s="665"/>
      <c r="Q25" s="665"/>
      <c r="R25" s="665"/>
      <c r="S25" s="665"/>
      <c r="T25" s="665"/>
      <c r="U25" s="665"/>
      <c r="V25" s="665"/>
      <c r="W25" s="665"/>
      <c r="X25" s="665"/>
      <c r="Y25" s="665"/>
      <c r="Z25" s="665"/>
      <c r="AA25" s="665"/>
    </row>
    <row r="26" ht="14.25" customHeight="1">
      <c r="A26" s="370">
        <v>7.0</v>
      </c>
      <c r="B26" s="360" t="s">
        <v>100</v>
      </c>
      <c r="C26" s="360"/>
      <c r="D26" s="360" t="s">
        <v>5859</v>
      </c>
      <c r="E26" s="360" t="s">
        <v>70</v>
      </c>
      <c r="F26" s="177">
        <v>1.4304E7</v>
      </c>
      <c r="G26" s="360" t="s">
        <v>5925</v>
      </c>
      <c r="H26" s="360" t="s">
        <v>44</v>
      </c>
      <c r="I26" s="360" t="s">
        <v>5926</v>
      </c>
      <c r="J26" s="360" t="s">
        <v>5927</v>
      </c>
      <c r="K26" s="719" t="s">
        <v>5928</v>
      </c>
      <c r="L26" s="720" t="s">
        <v>5929</v>
      </c>
      <c r="M26" s="369" t="s">
        <v>5865</v>
      </c>
      <c r="N26" s="724" t="s">
        <v>5930</v>
      </c>
      <c r="O26" s="665"/>
      <c r="P26" s="665"/>
      <c r="Q26" s="665"/>
      <c r="R26" s="665"/>
      <c r="S26" s="665"/>
      <c r="T26" s="665"/>
      <c r="U26" s="665"/>
      <c r="V26" s="665"/>
      <c r="W26" s="665"/>
      <c r="X26" s="665"/>
      <c r="Y26" s="665"/>
      <c r="Z26" s="665"/>
      <c r="AA26" s="665"/>
    </row>
    <row r="27" ht="14.25" customHeight="1">
      <c r="A27" s="370">
        <v>8.0</v>
      </c>
      <c r="B27" s="360" t="s">
        <v>100</v>
      </c>
      <c r="C27" s="360"/>
      <c r="D27" s="360" t="s">
        <v>5859</v>
      </c>
      <c r="E27" s="360" t="s">
        <v>70</v>
      </c>
      <c r="F27" s="177">
        <v>2.0525E7</v>
      </c>
      <c r="G27" s="360" t="s">
        <v>3059</v>
      </c>
      <c r="H27" s="360" t="s">
        <v>44</v>
      </c>
      <c r="I27" s="360" t="s">
        <v>5931</v>
      </c>
      <c r="J27" s="360" t="s">
        <v>5932</v>
      </c>
      <c r="K27" s="719" t="s">
        <v>5933</v>
      </c>
      <c r="L27" s="720" t="s">
        <v>5934</v>
      </c>
      <c r="M27" s="369" t="s">
        <v>5907</v>
      </c>
      <c r="N27" s="360" t="s">
        <v>5935</v>
      </c>
      <c r="O27" s="665"/>
      <c r="P27" s="665"/>
      <c r="Q27" s="665"/>
      <c r="R27" s="665"/>
      <c r="S27" s="665"/>
      <c r="T27" s="665"/>
      <c r="U27" s="665"/>
      <c r="V27" s="665"/>
      <c r="W27" s="665"/>
      <c r="X27" s="665"/>
      <c r="Y27" s="665"/>
      <c r="Z27" s="665"/>
      <c r="AA27" s="665"/>
    </row>
    <row r="28" ht="14.25" customHeight="1">
      <c r="A28" s="370">
        <v>9.0</v>
      </c>
      <c r="B28" s="360" t="s">
        <v>100</v>
      </c>
      <c r="C28" s="360"/>
      <c r="D28" s="360" t="s">
        <v>5859</v>
      </c>
      <c r="E28" s="360" t="s">
        <v>70</v>
      </c>
      <c r="F28" s="177">
        <v>1.4397E7</v>
      </c>
      <c r="G28" s="360" t="s">
        <v>5936</v>
      </c>
      <c r="H28" s="360" t="s">
        <v>44</v>
      </c>
      <c r="I28" s="360" t="s">
        <v>5937</v>
      </c>
      <c r="J28" s="360" t="s">
        <v>5938</v>
      </c>
      <c r="K28" s="719" t="s">
        <v>5939</v>
      </c>
      <c r="L28" s="720" t="s">
        <v>5940</v>
      </c>
      <c r="M28" s="360" t="s">
        <v>5865</v>
      </c>
      <c r="N28" s="724" t="s">
        <v>5941</v>
      </c>
      <c r="O28" s="665"/>
      <c r="P28" s="665"/>
      <c r="Q28" s="665"/>
      <c r="R28" s="665"/>
      <c r="S28" s="665"/>
      <c r="T28" s="665"/>
      <c r="U28" s="665"/>
      <c r="V28" s="665"/>
      <c r="W28" s="665"/>
      <c r="X28" s="665"/>
      <c r="Y28" s="665"/>
      <c r="Z28" s="665"/>
      <c r="AA28" s="665"/>
    </row>
    <row r="29" ht="14.25" customHeight="1">
      <c r="A29" s="370">
        <v>10.0</v>
      </c>
      <c r="B29" s="360" t="s">
        <v>100</v>
      </c>
      <c r="C29" s="360"/>
      <c r="D29" s="360" t="s">
        <v>5859</v>
      </c>
      <c r="E29" s="360" t="s">
        <v>70</v>
      </c>
      <c r="F29" s="177">
        <v>1.41168E7</v>
      </c>
      <c r="G29" s="360" t="s">
        <v>5942</v>
      </c>
      <c r="H29" s="360" t="s">
        <v>44</v>
      </c>
      <c r="I29" s="360" t="s">
        <v>5943</v>
      </c>
      <c r="J29" s="360" t="s">
        <v>5944</v>
      </c>
      <c r="K29" s="719" t="s">
        <v>5945</v>
      </c>
      <c r="L29" s="720" t="s">
        <v>5946</v>
      </c>
      <c r="M29" s="360" t="s">
        <v>5865</v>
      </c>
      <c r="N29" s="724"/>
      <c r="O29" s="665"/>
      <c r="P29" s="665"/>
      <c r="Q29" s="665"/>
      <c r="R29" s="665"/>
      <c r="S29" s="665"/>
      <c r="T29" s="665"/>
      <c r="U29" s="665"/>
      <c r="V29" s="665"/>
      <c r="W29" s="665"/>
      <c r="X29" s="665"/>
      <c r="Y29" s="665"/>
      <c r="Z29" s="665"/>
      <c r="AA29" s="665"/>
    </row>
    <row r="30" ht="14.25" customHeight="1">
      <c r="A30" s="370">
        <v>11.0</v>
      </c>
      <c r="B30" s="360" t="s">
        <v>100</v>
      </c>
      <c r="C30" s="360"/>
      <c r="D30" s="360" t="s">
        <v>5859</v>
      </c>
      <c r="E30" s="360" t="s">
        <v>70</v>
      </c>
      <c r="F30" s="177">
        <v>2.15E7</v>
      </c>
      <c r="G30" s="360" t="s">
        <v>3059</v>
      </c>
      <c r="H30" s="360" t="s">
        <v>92</v>
      </c>
      <c r="I30" s="360" t="s">
        <v>5947</v>
      </c>
      <c r="J30" s="360" t="s">
        <v>5948</v>
      </c>
      <c r="K30" s="719" t="s">
        <v>5949</v>
      </c>
      <c r="L30" s="720" t="s">
        <v>5950</v>
      </c>
      <c r="M30" s="360" t="s">
        <v>5907</v>
      </c>
      <c r="N30" s="725" t="s">
        <v>5951</v>
      </c>
      <c r="O30" s="665"/>
      <c r="P30" s="665"/>
      <c r="Q30" s="665"/>
      <c r="R30" s="665"/>
      <c r="S30" s="665"/>
      <c r="T30" s="665"/>
      <c r="U30" s="665"/>
      <c r="V30" s="665"/>
      <c r="W30" s="665"/>
      <c r="X30" s="665"/>
      <c r="Y30" s="665"/>
      <c r="Z30" s="665"/>
      <c r="AA30" s="665"/>
    </row>
    <row r="31" ht="14.25" customHeight="1">
      <c r="A31" s="370">
        <v>12.0</v>
      </c>
      <c r="B31" s="360" t="s">
        <v>5952</v>
      </c>
      <c r="C31" s="360"/>
      <c r="D31" s="360" t="s">
        <v>5859</v>
      </c>
      <c r="E31" s="360" t="s">
        <v>70</v>
      </c>
      <c r="F31" s="177">
        <v>1.4288E7</v>
      </c>
      <c r="G31" s="360" t="s">
        <v>5953</v>
      </c>
      <c r="H31" s="360" t="s">
        <v>92</v>
      </c>
      <c r="I31" s="360" t="s">
        <v>5954</v>
      </c>
      <c r="J31" s="360" t="s">
        <v>5955</v>
      </c>
      <c r="K31" s="719" t="s">
        <v>5956</v>
      </c>
      <c r="L31" s="720" t="s">
        <v>5957</v>
      </c>
      <c r="M31" s="360" t="s">
        <v>5865</v>
      </c>
      <c r="N31" s="724" t="s">
        <v>5958</v>
      </c>
      <c r="O31" s="665"/>
      <c r="P31" s="665"/>
      <c r="Q31" s="665"/>
      <c r="R31" s="665"/>
      <c r="S31" s="665"/>
      <c r="T31" s="665"/>
      <c r="U31" s="665"/>
      <c r="V31" s="665"/>
      <c r="W31" s="665"/>
      <c r="X31" s="665"/>
      <c r="Y31" s="665"/>
      <c r="Z31" s="665"/>
      <c r="AA31" s="665"/>
    </row>
    <row r="32" ht="14.25" customHeight="1">
      <c r="A32" s="370">
        <v>13.0</v>
      </c>
      <c r="B32" s="360" t="s">
        <v>5959</v>
      </c>
      <c r="C32" s="360"/>
      <c r="D32" s="360" t="s">
        <v>5859</v>
      </c>
      <c r="E32" s="360" t="s">
        <v>70</v>
      </c>
      <c r="F32" s="177">
        <v>1.5617E7</v>
      </c>
      <c r="G32" s="360" t="s">
        <v>5960</v>
      </c>
      <c r="H32" s="360" t="s">
        <v>92</v>
      </c>
      <c r="I32" s="360" t="s">
        <v>5961</v>
      </c>
      <c r="J32" s="360" t="s">
        <v>5962</v>
      </c>
      <c r="K32" s="719" t="s">
        <v>5963</v>
      </c>
      <c r="L32" s="720" t="s">
        <v>5964</v>
      </c>
      <c r="M32" s="360" t="s">
        <v>5865</v>
      </c>
      <c r="N32" s="724" t="s">
        <v>5965</v>
      </c>
      <c r="O32" s="665"/>
      <c r="P32" s="665"/>
      <c r="Q32" s="665"/>
      <c r="R32" s="665"/>
      <c r="S32" s="665"/>
      <c r="T32" s="665"/>
      <c r="U32" s="665"/>
      <c r="V32" s="665"/>
      <c r="W32" s="665"/>
      <c r="X32" s="665"/>
      <c r="Y32" s="665"/>
      <c r="Z32" s="665"/>
      <c r="AA32" s="665"/>
    </row>
    <row r="33" ht="14.25" customHeight="1">
      <c r="A33" s="370">
        <v>14.0</v>
      </c>
      <c r="B33" s="360" t="s">
        <v>5959</v>
      </c>
      <c r="C33" s="360"/>
      <c r="D33" s="360" t="s">
        <v>5859</v>
      </c>
      <c r="E33" s="360" t="s">
        <v>70</v>
      </c>
      <c r="F33" s="177">
        <v>1.4125733E7</v>
      </c>
      <c r="G33" s="360" t="s">
        <v>5966</v>
      </c>
      <c r="H33" s="360" t="s">
        <v>92</v>
      </c>
      <c r="I33" s="360" t="s">
        <v>5967</v>
      </c>
      <c r="J33" s="360" t="s">
        <v>5968</v>
      </c>
      <c r="K33" s="719" t="s">
        <v>5969</v>
      </c>
      <c r="L33" s="720" t="s">
        <v>5970</v>
      </c>
      <c r="M33" s="360" t="s">
        <v>5865</v>
      </c>
      <c r="N33" s="724" t="s">
        <v>5971</v>
      </c>
      <c r="O33" s="665"/>
      <c r="P33" s="665"/>
      <c r="Q33" s="665"/>
      <c r="R33" s="665"/>
      <c r="S33" s="665"/>
      <c r="T33" s="665"/>
      <c r="U33" s="665"/>
      <c r="V33" s="665"/>
      <c r="W33" s="665"/>
      <c r="X33" s="665"/>
      <c r="Y33" s="665"/>
      <c r="Z33" s="665"/>
      <c r="AA33" s="665"/>
    </row>
    <row r="34" ht="14.25" customHeight="1">
      <c r="A34" s="370">
        <v>15.0</v>
      </c>
      <c r="B34" s="360" t="s">
        <v>5959</v>
      </c>
      <c r="C34" s="360"/>
      <c r="D34" s="360" t="s">
        <v>5859</v>
      </c>
      <c r="E34" s="360" t="s">
        <v>70</v>
      </c>
      <c r="F34" s="177">
        <v>1.4125733E7</v>
      </c>
      <c r="G34" s="360" t="s">
        <v>5966</v>
      </c>
      <c r="H34" s="360" t="s">
        <v>92</v>
      </c>
      <c r="I34" s="360" t="s">
        <v>5972</v>
      </c>
      <c r="J34" s="360" t="s">
        <v>5973</v>
      </c>
      <c r="K34" s="719" t="s">
        <v>5974</v>
      </c>
      <c r="L34" s="720" t="s">
        <v>5975</v>
      </c>
      <c r="M34" s="360" t="s">
        <v>5865</v>
      </c>
      <c r="N34" s="724" t="s">
        <v>5976</v>
      </c>
      <c r="O34" s="665"/>
      <c r="P34" s="665"/>
      <c r="Q34" s="665"/>
      <c r="R34" s="665"/>
      <c r="S34" s="665"/>
      <c r="T34" s="665"/>
      <c r="U34" s="665"/>
      <c r="V34" s="665"/>
      <c r="W34" s="665"/>
      <c r="X34" s="665"/>
      <c r="Y34" s="665"/>
      <c r="Z34" s="665"/>
      <c r="AA34" s="665"/>
    </row>
    <row r="35" ht="14.25" customHeight="1">
      <c r="A35" s="370">
        <v>16.0</v>
      </c>
      <c r="B35" s="360" t="s">
        <v>100</v>
      </c>
      <c r="C35" s="360"/>
      <c r="D35" s="360" t="s">
        <v>5859</v>
      </c>
      <c r="E35" s="360" t="s">
        <v>70</v>
      </c>
      <c r="F35" s="177">
        <v>1.4125733E7</v>
      </c>
      <c r="G35" s="360" t="s">
        <v>5966</v>
      </c>
      <c r="H35" s="360" t="s">
        <v>92</v>
      </c>
      <c r="I35" s="360" t="s">
        <v>5977</v>
      </c>
      <c r="J35" s="719" t="s">
        <v>5978</v>
      </c>
      <c r="K35" s="719" t="s">
        <v>5979</v>
      </c>
      <c r="L35" s="720" t="s">
        <v>5980</v>
      </c>
      <c r="M35" s="360" t="s">
        <v>5865</v>
      </c>
      <c r="N35" s="724" t="s">
        <v>5981</v>
      </c>
      <c r="O35" s="665"/>
      <c r="P35" s="665"/>
      <c r="Q35" s="665"/>
      <c r="R35" s="665"/>
      <c r="S35" s="665"/>
      <c r="T35" s="665"/>
      <c r="U35" s="665"/>
      <c r="V35" s="665"/>
      <c r="W35" s="665"/>
      <c r="X35" s="665"/>
      <c r="Y35" s="665"/>
      <c r="Z35" s="665"/>
      <c r="AA35" s="665"/>
    </row>
    <row r="36" ht="14.25" customHeight="1">
      <c r="A36" s="370">
        <v>17.0</v>
      </c>
      <c r="B36" s="360" t="s">
        <v>100</v>
      </c>
      <c r="C36" s="360" t="s">
        <v>5982</v>
      </c>
      <c r="D36" s="360" t="s">
        <v>5859</v>
      </c>
      <c r="E36" s="360" t="s">
        <v>70</v>
      </c>
      <c r="F36" s="177">
        <v>2.7195E7</v>
      </c>
      <c r="G36" s="360" t="s">
        <v>5982</v>
      </c>
      <c r="H36" s="360" t="s">
        <v>2762</v>
      </c>
      <c r="I36" s="360" t="s">
        <v>5983</v>
      </c>
      <c r="J36" s="719" t="s">
        <v>5984</v>
      </c>
      <c r="K36" s="719" t="s">
        <v>5985</v>
      </c>
      <c r="L36" s="722" t="s">
        <v>5986</v>
      </c>
      <c r="M36" s="360" t="s">
        <v>5987</v>
      </c>
      <c r="N36" s="726" t="s">
        <v>5988</v>
      </c>
      <c r="O36" s="665"/>
      <c r="P36" s="665"/>
      <c r="Q36" s="665"/>
      <c r="R36" s="665"/>
      <c r="S36" s="665"/>
      <c r="T36" s="665"/>
      <c r="U36" s="665"/>
      <c r="V36" s="665"/>
      <c r="W36" s="665"/>
      <c r="X36" s="665"/>
      <c r="Y36" s="665"/>
      <c r="Z36" s="665"/>
      <c r="AA36" s="665"/>
    </row>
    <row r="37" ht="14.25" customHeight="1">
      <c r="A37" s="370">
        <v>18.0</v>
      </c>
      <c r="B37" s="360" t="s">
        <v>100</v>
      </c>
      <c r="C37" s="360" t="s">
        <v>5989</v>
      </c>
      <c r="D37" s="360" t="s">
        <v>5859</v>
      </c>
      <c r="E37" s="360" t="s">
        <v>70</v>
      </c>
      <c r="F37" s="177">
        <v>3.34E7</v>
      </c>
      <c r="G37" s="360" t="s">
        <v>5990</v>
      </c>
      <c r="H37" s="360" t="s">
        <v>2329</v>
      </c>
      <c r="I37" s="360" t="s">
        <v>5991</v>
      </c>
      <c r="J37" s="360" t="s">
        <v>5992</v>
      </c>
      <c r="K37" s="719" t="s">
        <v>5993</v>
      </c>
      <c r="L37" s="722" t="s">
        <v>5994</v>
      </c>
      <c r="M37" s="360" t="s">
        <v>5859</v>
      </c>
      <c r="N37" s="726" t="s">
        <v>5995</v>
      </c>
      <c r="O37" s="665"/>
      <c r="P37" s="665"/>
      <c r="Q37" s="665"/>
      <c r="R37" s="665"/>
      <c r="S37" s="665"/>
      <c r="T37" s="665"/>
      <c r="U37" s="665"/>
      <c r="V37" s="665"/>
      <c r="W37" s="665"/>
      <c r="X37" s="665"/>
      <c r="Y37" s="665"/>
      <c r="Z37" s="665"/>
      <c r="AA37" s="665"/>
    </row>
    <row r="38" ht="14.25" customHeight="1">
      <c r="A38" s="370">
        <v>19.0</v>
      </c>
      <c r="B38" s="360" t="s">
        <v>100</v>
      </c>
      <c r="C38" s="360" t="s">
        <v>5989</v>
      </c>
      <c r="D38" s="360" t="s">
        <v>5859</v>
      </c>
      <c r="E38" s="360" t="s">
        <v>70</v>
      </c>
      <c r="F38" s="177">
        <v>3.34E7</v>
      </c>
      <c r="G38" s="360" t="s">
        <v>5990</v>
      </c>
      <c r="H38" s="360" t="s">
        <v>2329</v>
      </c>
      <c r="I38" s="360" t="s">
        <v>5996</v>
      </c>
      <c r="J38" s="360" t="s">
        <v>5997</v>
      </c>
      <c r="K38" s="719" t="s">
        <v>5998</v>
      </c>
      <c r="L38" s="722" t="s">
        <v>5999</v>
      </c>
      <c r="M38" s="360" t="s">
        <v>5859</v>
      </c>
      <c r="N38" s="727" t="s">
        <v>6000</v>
      </c>
      <c r="O38" s="665"/>
      <c r="P38" s="665"/>
      <c r="Q38" s="665"/>
      <c r="R38" s="665"/>
      <c r="S38" s="665"/>
      <c r="T38" s="665"/>
      <c r="U38" s="665"/>
      <c r="V38" s="665"/>
      <c r="W38" s="665"/>
      <c r="X38" s="665"/>
      <c r="Y38" s="665"/>
      <c r="Z38" s="665"/>
      <c r="AA38" s="665"/>
    </row>
    <row r="39" ht="14.25" customHeight="1">
      <c r="A39" s="370">
        <v>20.0</v>
      </c>
      <c r="B39" s="360" t="s">
        <v>100</v>
      </c>
      <c r="C39" s="360" t="s">
        <v>6001</v>
      </c>
      <c r="D39" s="360" t="s">
        <v>5859</v>
      </c>
      <c r="E39" s="360" t="s">
        <v>70</v>
      </c>
      <c r="F39" s="177">
        <v>3.09E7</v>
      </c>
      <c r="G39" s="360"/>
      <c r="H39" s="360" t="s">
        <v>78</v>
      </c>
      <c r="I39" s="360" t="s">
        <v>6002</v>
      </c>
      <c r="J39" s="360" t="s">
        <v>6003</v>
      </c>
      <c r="K39" s="719" t="s">
        <v>6004</v>
      </c>
      <c r="L39" s="722" t="s">
        <v>6005</v>
      </c>
      <c r="M39" s="360" t="s">
        <v>6006</v>
      </c>
      <c r="N39" s="360"/>
      <c r="O39" s="665"/>
      <c r="P39" s="665"/>
    </row>
    <row r="40" ht="14.25" customHeight="1">
      <c r="A40" s="370">
        <v>21.0</v>
      </c>
      <c r="B40" s="360" t="s">
        <v>100</v>
      </c>
      <c r="C40" s="360" t="s">
        <v>6007</v>
      </c>
      <c r="D40" s="360" t="s">
        <v>5859</v>
      </c>
      <c r="E40" s="360" t="s">
        <v>70</v>
      </c>
      <c r="F40" s="115">
        <v>2.8086E7</v>
      </c>
      <c r="G40" s="263" t="s">
        <v>6008</v>
      </c>
      <c r="H40" s="263" t="s">
        <v>887</v>
      </c>
      <c r="I40" s="263" t="s">
        <v>6009</v>
      </c>
      <c r="J40" s="263" t="s">
        <v>6010</v>
      </c>
      <c r="K40" s="439" t="s">
        <v>6011</v>
      </c>
      <c r="L40" s="712" t="s">
        <v>6012</v>
      </c>
      <c r="M40" s="360" t="s">
        <v>6013</v>
      </c>
      <c r="N40" s="360" t="s">
        <v>6014</v>
      </c>
      <c r="O40" s="665"/>
      <c r="P40" s="665"/>
    </row>
    <row r="41" ht="14.25" customHeight="1">
      <c r="A41" s="370">
        <v>22.0</v>
      </c>
      <c r="B41" s="360" t="s">
        <v>100</v>
      </c>
      <c r="C41" s="360" t="s">
        <v>6007</v>
      </c>
      <c r="D41" s="360" t="s">
        <v>5859</v>
      </c>
      <c r="E41" s="360" t="s">
        <v>70</v>
      </c>
      <c r="F41" s="115">
        <v>2.8086E7</v>
      </c>
      <c r="G41" s="263" t="s">
        <v>6008</v>
      </c>
      <c r="H41" s="263" t="s">
        <v>887</v>
      </c>
      <c r="I41" s="263" t="s">
        <v>6015</v>
      </c>
      <c r="J41" s="263" t="s">
        <v>6016</v>
      </c>
      <c r="K41" s="439" t="s">
        <v>6017</v>
      </c>
      <c r="L41" s="712" t="s">
        <v>6018</v>
      </c>
      <c r="M41" s="360" t="s">
        <v>6019</v>
      </c>
      <c r="N41" s="360" t="s">
        <v>6020</v>
      </c>
    </row>
    <row r="42" ht="14.25" customHeight="1">
      <c r="A42" s="370">
        <v>23.0</v>
      </c>
      <c r="B42" s="360" t="s">
        <v>100</v>
      </c>
      <c r="C42" s="360" t="s">
        <v>6007</v>
      </c>
      <c r="D42" s="360" t="s">
        <v>5859</v>
      </c>
      <c r="E42" s="360" t="s">
        <v>70</v>
      </c>
      <c r="F42" s="115">
        <v>2.8086E7</v>
      </c>
      <c r="G42" s="263" t="s">
        <v>6008</v>
      </c>
      <c r="H42" s="263" t="s">
        <v>887</v>
      </c>
      <c r="I42" s="263" t="s">
        <v>6021</v>
      </c>
      <c r="J42" s="263" t="s">
        <v>6022</v>
      </c>
      <c r="K42" s="439" t="s">
        <v>6023</v>
      </c>
      <c r="L42" s="712" t="s">
        <v>6024</v>
      </c>
      <c r="M42" s="369" t="s">
        <v>6025</v>
      </c>
      <c r="N42" s="360" t="s">
        <v>49</v>
      </c>
    </row>
    <row r="43" ht="14.25" customHeight="1">
      <c r="A43" s="370">
        <v>24.0</v>
      </c>
      <c r="B43" s="360" t="s">
        <v>100</v>
      </c>
      <c r="C43" s="360" t="s">
        <v>6007</v>
      </c>
      <c r="D43" s="360" t="s">
        <v>5859</v>
      </c>
      <c r="E43" s="360" t="s">
        <v>70</v>
      </c>
      <c r="F43" s="115">
        <v>2.8086E7</v>
      </c>
      <c r="G43" s="263" t="s">
        <v>6008</v>
      </c>
      <c r="H43" s="263" t="s">
        <v>887</v>
      </c>
      <c r="I43" s="263" t="s">
        <v>6026</v>
      </c>
      <c r="J43" s="263" t="s">
        <v>6027</v>
      </c>
      <c r="K43" s="439" t="s">
        <v>6028</v>
      </c>
      <c r="L43" s="712" t="s">
        <v>6029</v>
      </c>
      <c r="M43" s="369" t="s">
        <v>6030</v>
      </c>
      <c r="N43" s="724" t="s">
        <v>6031</v>
      </c>
    </row>
    <row r="44" ht="14.25" customHeight="1">
      <c r="A44" s="370">
        <v>25.0</v>
      </c>
      <c r="B44" s="375" t="s">
        <v>100</v>
      </c>
      <c r="C44" s="360" t="s">
        <v>6007</v>
      </c>
      <c r="D44" s="375" t="s">
        <v>5859</v>
      </c>
      <c r="E44" s="360" t="s">
        <v>70</v>
      </c>
      <c r="F44" s="728">
        <v>2.8086E7</v>
      </c>
      <c r="G44" s="713" t="s">
        <v>6008</v>
      </c>
      <c r="H44" s="713" t="s">
        <v>887</v>
      </c>
      <c r="I44" s="713" t="s">
        <v>6032</v>
      </c>
      <c r="J44" s="713" t="s">
        <v>6033</v>
      </c>
      <c r="K44" s="729" t="s">
        <v>6034</v>
      </c>
      <c r="L44" s="730" t="s">
        <v>6035</v>
      </c>
      <c r="M44" s="731" t="s">
        <v>6036</v>
      </c>
      <c r="N44" s="375" t="s">
        <v>6037</v>
      </c>
    </row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3:M3"/>
    <mergeCell ref="A4:M4"/>
  </mergeCells>
  <printOptions/>
  <pageMargins bottom="0.7480314960629921" footer="0.0" header="0.0" left="0.1968503937007874" right="0.0" top="0.7480314960629921"/>
  <pageSetup paperSize="9" scale="56" orientation="landscape"/>
  <drawing r:id="rId1"/>
  <tableParts count="1">
    <tablePart r:id="rId3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workbookViewId="0"/>
  </sheetViews>
  <sheetFormatPr customHeight="1" defaultColWidth="14.43" defaultRowHeight="15.0"/>
  <cols>
    <col customWidth="1" min="1" max="1" width="5.29"/>
    <col customWidth="1" min="2" max="2" width="39.86"/>
    <col customWidth="1" min="3" max="3" width="29.14"/>
    <col customWidth="1" min="4" max="4" width="11.86"/>
    <col customWidth="1" min="5" max="5" width="9.14"/>
    <col customWidth="1" min="6" max="6" width="20.29"/>
    <col customWidth="1" min="7" max="7" width="12.71"/>
    <col customWidth="1" min="8" max="8" width="8.71"/>
    <col customWidth="1" min="9" max="9" width="13.0"/>
    <col customWidth="1" min="10" max="11" width="22.43"/>
    <col customWidth="1" min="12" max="12" width="14.43"/>
    <col customWidth="1" min="13" max="13" width="24.71"/>
    <col customWidth="1" min="14" max="14" width="45.71"/>
    <col customWidth="1" min="15" max="27" width="8.71"/>
  </cols>
  <sheetData>
    <row r="1" ht="14.25" customHeight="1"/>
    <row r="2" ht="14.25" customHeight="1"/>
    <row r="3" ht="14.25" customHeight="1">
      <c r="A3" s="1" t="s">
        <v>0</v>
      </c>
    </row>
    <row r="4" ht="14.25" customHeight="1">
      <c r="A4" s="1" t="s">
        <v>1</v>
      </c>
    </row>
    <row r="5" ht="14.25" customHeight="1"/>
    <row r="6" ht="14.25" customHeight="1"/>
    <row r="7" ht="14.25" customHeight="1">
      <c r="A7" s="2" t="s">
        <v>2</v>
      </c>
      <c r="C7" s="2" t="s">
        <v>3</v>
      </c>
    </row>
    <row r="8" ht="14.25" customHeight="1">
      <c r="A8" s="2" t="s">
        <v>4</v>
      </c>
      <c r="C8" s="2" t="s">
        <v>5</v>
      </c>
    </row>
    <row r="9" ht="14.25" customHeight="1">
      <c r="A9" s="2" t="s">
        <v>6</v>
      </c>
      <c r="C9" s="2" t="s">
        <v>6038</v>
      </c>
    </row>
    <row r="10" ht="14.25" customHeight="1">
      <c r="A10" s="169" t="s">
        <v>8</v>
      </c>
      <c r="B10" s="170" t="s">
        <v>9</v>
      </c>
      <c r="C10" s="170" t="s">
        <v>10</v>
      </c>
      <c r="D10" s="170" t="s">
        <v>11</v>
      </c>
      <c r="E10" s="170" t="s">
        <v>12</v>
      </c>
      <c r="F10" s="170" t="s">
        <v>13</v>
      </c>
      <c r="G10" s="170" t="s">
        <v>14</v>
      </c>
      <c r="H10" s="170" t="s">
        <v>15</v>
      </c>
      <c r="I10" s="170" t="s">
        <v>16</v>
      </c>
      <c r="J10" s="170" t="s">
        <v>17</v>
      </c>
      <c r="K10" s="246" t="s">
        <v>766</v>
      </c>
      <c r="L10" s="170" t="s">
        <v>1882</v>
      </c>
      <c r="M10" s="171" t="s">
        <v>20</v>
      </c>
      <c r="N10" s="170" t="s">
        <v>1883</v>
      </c>
    </row>
    <row r="11" ht="14.25" customHeight="1">
      <c r="A11" s="426"/>
      <c r="B11" s="317" t="s">
        <v>1884</v>
      </c>
      <c r="C11" s="317"/>
      <c r="D11" s="317"/>
      <c r="E11" s="317"/>
      <c r="F11" s="427">
        <f>SUM(F12:F18)</f>
        <v>1595513400</v>
      </c>
      <c r="G11" s="317"/>
      <c r="H11" s="317"/>
      <c r="I11" s="317"/>
      <c r="J11" s="317"/>
      <c r="K11" s="317"/>
      <c r="L11" s="317"/>
      <c r="M11" s="428"/>
      <c r="N11" s="381"/>
    </row>
    <row r="12" ht="14.25" customHeight="1">
      <c r="A12" s="253">
        <v>1.0</v>
      </c>
      <c r="B12" s="175" t="s">
        <v>780</v>
      </c>
      <c r="C12" s="175" t="s">
        <v>780</v>
      </c>
      <c r="D12" s="175" t="s">
        <v>6039</v>
      </c>
      <c r="E12" s="175" t="s">
        <v>70</v>
      </c>
      <c r="F12" s="177">
        <v>1.55E8</v>
      </c>
      <c r="G12" s="175" t="s">
        <v>781</v>
      </c>
      <c r="H12" s="175" t="s">
        <v>84</v>
      </c>
      <c r="I12" s="143" t="s">
        <v>6040</v>
      </c>
      <c r="J12" s="143" t="s">
        <v>6041</v>
      </c>
      <c r="K12" s="143" t="s">
        <v>6042</v>
      </c>
      <c r="L12" s="27" t="s">
        <v>6043</v>
      </c>
      <c r="M12" s="391" t="s">
        <v>6044</v>
      </c>
      <c r="N12" s="732" t="s">
        <v>6045</v>
      </c>
    </row>
    <row r="13" ht="14.25" customHeight="1">
      <c r="A13" s="253">
        <v>2.0</v>
      </c>
      <c r="B13" s="175" t="s">
        <v>6046</v>
      </c>
      <c r="C13" s="175" t="s">
        <v>780</v>
      </c>
      <c r="D13" s="175" t="s">
        <v>6039</v>
      </c>
      <c r="E13" s="175" t="s">
        <v>70</v>
      </c>
      <c r="F13" s="177">
        <v>1.94524E8</v>
      </c>
      <c r="G13" s="175" t="s">
        <v>781</v>
      </c>
      <c r="H13" s="175" t="s">
        <v>474</v>
      </c>
      <c r="I13" s="205" t="s">
        <v>6047</v>
      </c>
      <c r="J13" s="137" t="s">
        <v>6048</v>
      </c>
      <c r="K13" s="137" t="s">
        <v>6049</v>
      </c>
      <c r="L13" s="27" t="s">
        <v>6050</v>
      </c>
      <c r="M13" s="391" t="s">
        <v>6051</v>
      </c>
      <c r="N13" s="733" t="s">
        <v>6051</v>
      </c>
    </row>
    <row r="14" ht="14.25" customHeight="1">
      <c r="A14" s="253">
        <v>3.0</v>
      </c>
      <c r="B14" s="175" t="s">
        <v>780</v>
      </c>
      <c r="C14" s="175" t="s">
        <v>780</v>
      </c>
      <c r="D14" s="175" t="s">
        <v>6039</v>
      </c>
      <c r="E14" s="175" t="s">
        <v>70</v>
      </c>
      <c r="F14" s="177">
        <v>1.49E8</v>
      </c>
      <c r="G14" s="175" t="s">
        <v>781</v>
      </c>
      <c r="H14" s="175" t="s">
        <v>44</v>
      </c>
      <c r="I14" s="143" t="s">
        <v>6052</v>
      </c>
      <c r="J14" s="143" t="s">
        <v>6053</v>
      </c>
      <c r="K14" s="143" t="s">
        <v>6054</v>
      </c>
      <c r="L14" s="27" t="s">
        <v>6055</v>
      </c>
      <c r="M14" s="175" t="s">
        <v>6056</v>
      </c>
      <c r="N14" s="202" t="s">
        <v>6057</v>
      </c>
    </row>
    <row r="15" ht="14.25" customHeight="1">
      <c r="A15" s="253">
        <v>4.0</v>
      </c>
      <c r="B15" s="175" t="s">
        <v>780</v>
      </c>
      <c r="C15" s="175" t="s">
        <v>780</v>
      </c>
      <c r="D15" s="175" t="s">
        <v>6039</v>
      </c>
      <c r="E15" s="175" t="s">
        <v>70</v>
      </c>
      <c r="F15" s="177">
        <v>2.329894E8</v>
      </c>
      <c r="G15" s="175" t="s">
        <v>781</v>
      </c>
      <c r="H15" s="175" t="s">
        <v>44</v>
      </c>
      <c r="I15" s="137" t="s">
        <v>6058</v>
      </c>
      <c r="J15" s="137" t="s">
        <v>6059</v>
      </c>
      <c r="K15" s="137" t="s">
        <v>6060</v>
      </c>
      <c r="L15" s="27" t="s">
        <v>6061</v>
      </c>
      <c r="M15" s="175" t="s">
        <v>6062</v>
      </c>
      <c r="N15" s="202" t="s">
        <v>6063</v>
      </c>
    </row>
    <row r="16" ht="14.25" customHeight="1">
      <c r="A16" s="253">
        <v>5.0</v>
      </c>
      <c r="B16" s="175" t="s">
        <v>780</v>
      </c>
      <c r="C16" s="175" t="s">
        <v>780</v>
      </c>
      <c r="D16" s="175" t="s">
        <v>6039</v>
      </c>
      <c r="E16" s="175" t="s">
        <v>70</v>
      </c>
      <c r="F16" s="177">
        <v>1.82E8</v>
      </c>
      <c r="G16" s="175" t="s">
        <v>781</v>
      </c>
      <c r="H16" s="175" t="s">
        <v>92</v>
      </c>
      <c r="I16" s="202" t="s">
        <v>6064</v>
      </c>
      <c r="J16" s="143" t="s">
        <v>6065</v>
      </c>
      <c r="K16" s="143" t="s">
        <v>6066</v>
      </c>
      <c r="L16" s="27" t="s">
        <v>6067</v>
      </c>
      <c r="M16" s="391" t="s">
        <v>6068</v>
      </c>
      <c r="N16" s="734" t="s">
        <v>6069</v>
      </c>
    </row>
    <row r="17" ht="14.25" customHeight="1">
      <c r="A17" s="253">
        <v>6.0</v>
      </c>
      <c r="B17" s="175" t="s">
        <v>780</v>
      </c>
      <c r="C17" s="175" t="s">
        <v>1885</v>
      </c>
      <c r="D17" s="175" t="s">
        <v>6039</v>
      </c>
      <c r="E17" s="175" t="s">
        <v>70</v>
      </c>
      <c r="F17" s="177">
        <v>4.27E8</v>
      </c>
      <c r="G17" s="175" t="s">
        <v>781</v>
      </c>
      <c r="H17" s="175" t="s">
        <v>1076</v>
      </c>
      <c r="I17" s="137" t="s">
        <v>6070</v>
      </c>
      <c r="J17" s="137" t="s">
        <v>6071</v>
      </c>
      <c r="K17" s="137" t="s">
        <v>6072</v>
      </c>
      <c r="L17" s="27" t="s">
        <v>6073</v>
      </c>
      <c r="M17" s="391"/>
      <c r="N17" s="734" t="s">
        <v>6074</v>
      </c>
    </row>
    <row r="18" ht="14.25" customHeight="1">
      <c r="A18" s="253">
        <v>7.0</v>
      </c>
      <c r="B18" s="175" t="s">
        <v>780</v>
      </c>
      <c r="C18" s="175" t="s">
        <v>1926</v>
      </c>
      <c r="D18" s="175" t="s">
        <v>6039</v>
      </c>
      <c r="E18" s="175" t="s">
        <v>70</v>
      </c>
      <c r="F18" s="177">
        <v>2.55E8</v>
      </c>
      <c r="G18" s="175" t="s">
        <v>781</v>
      </c>
      <c r="H18" s="175" t="s">
        <v>1076</v>
      </c>
      <c r="I18" s="143" t="s">
        <v>6075</v>
      </c>
      <c r="J18" s="143" t="s">
        <v>6076</v>
      </c>
      <c r="K18" s="143" t="s">
        <v>6077</v>
      </c>
      <c r="L18" s="27" t="s">
        <v>6078</v>
      </c>
      <c r="M18" s="391"/>
      <c r="N18" s="734" t="s">
        <v>6079</v>
      </c>
    </row>
    <row r="19" ht="14.25" customHeight="1">
      <c r="A19" s="426"/>
      <c r="B19" s="317" t="s">
        <v>1933</v>
      </c>
      <c r="C19" s="317"/>
      <c r="D19" s="317"/>
      <c r="E19" s="317"/>
      <c r="F19" s="427">
        <f>F20</f>
        <v>299000000</v>
      </c>
      <c r="G19" s="317"/>
      <c r="H19" s="317"/>
      <c r="I19" s="317"/>
      <c r="J19" s="317"/>
      <c r="K19" s="317"/>
      <c r="L19" s="317"/>
      <c r="M19" s="428"/>
      <c r="N19" s="735"/>
    </row>
    <row r="20" ht="14.25" customHeight="1">
      <c r="A20" s="253">
        <v>8.0</v>
      </c>
      <c r="B20" s="175" t="s">
        <v>780</v>
      </c>
      <c r="C20" s="175" t="s">
        <v>780</v>
      </c>
      <c r="D20" s="175" t="s">
        <v>6039</v>
      </c>
      <c r="E20" s="175" t="s">
        <v>70</v>
      </c>
      <c r="F20" s="177">
        <v>2.99E8</v>
      </c>
      <c r="G20" s="175" t="s">
        <v>781</v>
      </c>
      <c r="H20" s="175" t="s">
        <v>391</v>
      </c>
      <c r="I20" s="178" t="s">
        <v>6080</v>
      </c>
      <c r="J20" s="175" t="s">
        <v>6081</v>
      </c>
      <c r="K20" s="178" t="s">
        <v>6082</v>
      </c>
      <c r="L20" s="27" t="s">
        <v>6083</v>
      </c>
      <c r="M20" s="391"/>
      <c r="N20" s="733" t="s">
        <v>6084</v>
      </c>
    </row>
    <row r="21" ht="14.25" customHeight="1">
      <c r="A21" s="426"/>
      <c r="B21" s="317" t="s">
        <v>99</v>
      </c>
      <c r="C21" s="317"/>
      <c r="D21" s="317"/>
      <c r="E21" s="317"/>
      <c r="F21" s="427">
        <f>SUM(F22:F41)</f>
        <v>329670975</v>
      </c>
      <c r="G21" s="317"/>
      <c r="H21" s="317"/>
      <c r="I21" s="317"/>
      <c r="J21" s="317"/>
      <c r="K21" s="317"/>
      <c r="L21" s="317"/>
      <c r="M21" s="428"/>
      <c r="N21" s="735"/>
    </row>
    <row r="22" ht="14.25" customHeight="1">
      <c r="A22" s="253">
        <v>1.0</v>
      </c>
      <c r="B22" s="175" t="s">
        <v>100</v>
      </c>
      <c r="C22" s="143" t="s">
        <v>6085</v>
      </c>
      <c r="D22" s="175" t="s">
        <v>6039</v>
      </c>
      <c r="E22" s="175" t="s">
        <v>70</v>
      </c>
      <c r="F22" s="177">
        <v>1.16E7</v>
      </c>
      <c r="G22" s="175" t="s">
        <v>781</v>
      </c>
      <c r="H22" s="175" t="s">
        <v>948</v>
      </c>
      <c r="I22" s="143" t="s">
        <v>6086</v>
      </c>
      <c r="J22" s="143" t="s">
        <v>6087</v>
      </c>
      <c r="K22" s="143" t="s">
        <v>6088</v>
      </c>
      <c r="L22" s="27" t="s">
        <v>6089</v>
      </c>
      <c r="M22" s="391"/>
      <c r="N22" s="734" t="s">
        <v>6090</v>
      </c>
    </row>
    <row r="23" ht="14.25" customHeight="1">
      <c r="A23" s="253">
        <v>2.0</v>
      </c>
      <c r="B23" s="175" t="s">
        <v>100</v>
      </c>
      <c r="C23" s="137" t="s">
        <v>6085</v>
      </c>
      <c r="D23" s="175" t="s">
        <v>6039</v>
      </c>
      <c r="E23" s="175" t="s">
        <v>70</v>
      </c>
      <c r="F23" s="177">
        <v>1.16E7</v>
      </c>
      <c r="G23" s="175" t="s">
        <v>781</v>
      </c>
      <c r="H23" s="175" t="s">
        <v>948</v>
      </c>
      <c r="I23" s="137" t="s">
        <v>6091</v>
      </c>
      <c r="J23" s="137" t="s">
        <v>6092</v>
      </c>
      <c r="K23" s="137" t="s">
        <v>6093</v>
      </c>
      <c r="L23" s="27" t="s">
        <v>6094</v>
      </c>
      <c r="M23" s="391"/>
      <c r="N23" s="733" t="s">
        <v>6084</v>
      </c>
    </row>
    <row r="24" ht="14.25" customHeight="1">
      <c r="A24" s="253">
        <v>3.0</v>
      </c>
      <c r="B24" s="175" t="s">
        <v>100</v>
      </c>
      <c r="C24" s="143" t="s">
        <v>6085</v>
      </c>
      <c r="D24" s="175" t="s">
        <v>6039</v>
      </c>
      <c r="E24" s="175" t="s">
        <v>70</v>
      </c>
      <c r="F24" s="177">
        <v>1.425E7</v>
      </c>
      <c r="G24" s="175" t="s">
        <v>781</v>
      </c>
      <c r="H24" s="175" t="s">
        <v>474</v>
      </c>
      <c r="I24" s="143" t="s">
        <v>6095</v>
      </c>
      <c r="J24" s="143" t="s">
        <v>6096</v>
      </c>
      <c r="K24" s="143" t="s">
        <v>6097</v>
      </c>
      <c r="L24" s="27" t="s">
        <v>6098</v>
      </c>
      <c r="M24" s="391"/>
      <c r="N24" s="733" t="s">
        <v>6084</v>
      </c>
    </row>
    <row r="25" ht="14.25" customHeight="1">
      <c r="A25" s="253">
        <v>4.0</v>
      </c>
      <c r="B25" s="175" t="s">
        <v>6099</v>
      </c>
      <c r="C25" s="137" t="s">
        <v>6100</v>
      </c>
      <c r="D25" s="175" t="s">
        <v>6039</v>
      </c>
      <c r="E25" s="175" t="s">
        <v>70</v>
      </c>
      <c r="F25" s="177">
        <v>1.8075E7</v>
      </c>
      <c r="G25" s="175" t="s">
        <v>781</v>
      </c>
      <c r="H25" s="175" t="s">
        <v>474</v>
      </c>
      <c r="I25" s="137" t="s">
        <v>6101</v>
      </c>
      <c r="J25" s="736" t="s">
        <v>6102</v>
      </c>
      <c r="K25" s="137" t="s">
        <v>6103</v>
      </c>
      <c r="L25" s="27" t="s">
        <v>6104</v>
      </c>
      <c r="M25" s="391"/>
      <c r="N25" s="734" t="s">
        <v>6105</v>
      </c>
    </row>
    <row r="26" ht="14.25" customHeight="1">
      <c r="A26" s="253">
        <v>5.0</v>
      </c>
      <c r="B26" s="175" t="s">
        <v>6099</v>
      </c>
      <c r="C26" s="143" t="s">
        <v>2749</v>
      </c>
      <c r="D26" s="175" t="s">
        <v>6039</v>
      </c>
      <c r="E26" s="175" t="s">
        <v>70</v>
      </c>
      <c r="F26" s="177">
        <v>1.8075E7</v>
      </c>
      <c r="G26" s="175" t="s">
        <v>781</v>
      </c>
      <c r="H26" s="175" t="s">
        <v>474</v>
      </c>
      <c r="I26" s="143" t="s">
        <v>6106</v>
      </c>
      <c r="J26" s="737" t="s">
        <v>6107</v>
      </c>
      <c r="K26" s="143" t="s">
        <v>6108</v>
      </c>
      <c r="L26" s="27" t="s">
        <v>6109</v>
      </c>
      <c r="M26" s="391"/>
      <c r="N26" s="734" t="s">
        <v>6110</v>
      </c>
    </row>
    <row r="27" ht="14.25" customHeight="1">
      <c r="A27" s="253">
        <v>6.0</v>
      </c>
      <c r="B27" s="175" t="s">
        <v>1189</v>
      </c>
      <c r="C27" s="137" t="s">
        <v>2749</v>
      </c>
      <c r="D27" s="175" t="s">
        <v>6039</v>
      </c>
      <c r="E27" s="175" t="s">
        <v>70</v>
      </c>
      <c r="F27" s="177">
        <v>1.8075E7</v>
      </c>
      <c r="G27" s="175" t="s">
        <v>781</v>
      </c>
      <c r="H27" s="175" t="s">
        <v>979</v>
      </c>
      <c r="I27" s="137" t="s">
        <v>6111</v>
      </c>
      <c r="J27" s="137" t="s">
        <v>6112</v>
      </c>
      <c r="K27" s="137" t="s">
        <v>6113</v>
      </c>
      <c r="L27" s="27" t="s">
        <v>6114</v>
      </c>
      <c r="M27" s="391"/>
      <c r="N27" s="734" t="s">
        <v>6115</v>
      </c>
    </row>
    <row r="28" ht="14.25" customHeight="1">
      <c r="A28" s="253">
        <v>7.0</v>
      </c>
      <c r="B28" s="175" t="s">
        <v>1189</v>
      </c>
      <c r="C28" s="143" t="s">
        <v>6085</v>
      </c>
      <c r="D28" s="175" t="s">
        <v>6039</v>
      </c>
      <c r="E28" s="175" t="s">
        <v>70</v>
      </c>
      <c r="F28" s="177">
        <v>1.77072E7</v>
      </c>
      <c r="G28" s="175" t="s">
        <v>781</v>
      </c>
      <c r="H28" s="175" t="s">
        <v>44</v>
      </c>
      <c r="I28" s="143" t="s">
        <v>6116</v>
      </c>
      <c r="J28" s="143" t="s">
        <v>6117</v>
      </c>
      <c r="K28" s="143" t="s">
        <v>6118</v>
      </c>
      <c r="L28" s="27" t="s">
        <v>6119</v>
      </c>
      <c r="M28" s="391"/>
      <c r="N28" s="734" t="s">
        <v>6120</v>
      </c>
    </row>
    <row r="29" ht="14.25" customHeight="1">
      <c r="A29" s="253">
        <v>8.0</v>
      </c>
      <c r="B29" s="175" t="s">
        <v>1189</v>
      </c>
      <c r="C29" s="137" t="s">
        <v>6085</v>
      </c>
      <c r="D29" s="175" t="s">
        <v>6039</v>
      </c>
      <c r="E29" s="175" t="s">
        <v>70</v>
      </c>
      <c r="F29" s="177">
        <v>1.43007E7</v>
      </c>
      <c r="G29" s="175" t="s">
        <v>781</v>
      </c>
      <c r="H29" s="175" t="s">
        <v>44</v>
      </c>
      <c r="I29" s="137" t="s">
        <v>6121</v>
      </c>
      <c r="J29" s="137" t="s">
        <v>6122</v>
      </c>
      <c r="K29" s="137" t="s">
        <v>6123</v>
      </c>
      <c r="L29" s="27" t="s">
        <v>6124</v>
      </c>
      <c r="M29" s="391"/>
      <c r="N29" s="734" t="s">
        <v>6125</v>
      </c>
    </row>
    <row r="30" ht="14.25" customHeight="1">
      <c r="A30" s="253">
        <v>9.0</v>
      </c>
      <c r="B30" s="175" t="s">
        <v>1189</v>
      </c>
      <c r="C30" s="143" t="s">
        <v>6085</v>
      </c>
      <c r="D30" s="175" t="s">
        <v>6039</v>
      </c>
      <c r="E30" s="175" t="s">
        <v>70</v>
      </c>
      <c r="F30" s="177">
        <v>1.43007E7</v>
      </c>
      <c r="G30" s="175" t="s">
        <v>781</v>
      </c>
      <c r="H30" s="175" t="s">
        <v>44</v>
      </c>
      <c r="I30" s="143" t="s">
        <v>6126</v>
      </c>
      <c r="J30" s="143" t="s">
        <v>6127</v>
      </c>
      <c r="K30" s="143" t="s">
        <v>6128</v>
      </c>
      <c r="L30" s="175" t="s">
        <v>6129</v>
      </c>
      <c r="M30" s="391"/>
      <c r="N30" s="734" t="s">
        <v>6130</v>
      </c>
    </row>
    <row r="31" ht="14.25" customHeight="1">
      <c r="A31" s="253">
        <v>10.0</v>
      </c>
      <c r="B31" s="175" t="s">
        <v>1189</v>
      </c>
      <c r="C31" s="137" t="s">
        <v>2083</v>
      </c>
      <c r="D31" s="175" t="s">
        <v>6039</v>
      </c>
      <c r="E31" s="175" t="s">
        <v>70</v>
      </c>
      <c r="F31" s="177">
        <v>2.0317375E7</v>
      </c>
      <c r="G31" s="175" t="s">
        <v>781</v>
      </c>
      <c r="H31" s="175" t="s">
        <v>44</v>
      </c>
      <c r="I31" s="137" t="s">
        <v>6131</v>
      </c>
      <c r="J31" s="137" t="s">
        <v>6132</v>
      </c>
      <c r="K31" s="137" t="s">
        <v>6133</v>
      </c>
      <c r="L31" s="27" t="s">
        <v>6134</v>
      </c>
      <c r="M31" s="391"/>
      <c r="N31" s="734" t="s">
        <v>6135</v>
      </c>
    </row>
    <row r="32" ht="14.25" customHeight="1">
      <c r="A32" s="253">
        <v>11.0</v>
      </c>
      <c r="B32" s="175" t="s">
        <v>1189</v>
      </c>
      <c r="C32" s="143" t="s">
        <v>6085</v>
      </c>
      <c r="D32" s="175" t="s">
        <v>6039</v>
      </c>
      <c r="E32" s="175" t="s">
        <v>70</v>
      </c>
      <c r="F32" s="177">
        <v>1.715E7</v>
      </c>
      <c r="G32" s="175" t="s">
        <v>781</v>
      </c>
      <c r="H32" s="175" t="s">
        <v>92</v>
      </c>
      <c r="I32" s="143" t="s">
        <v>6136</v>
      </c>
      <c r="J32" s="143" t="s">
        <v>6137</v>
      </c>
      <c r="K32" s="143" t="s">
        <v>6138</v>
      </c>
      <c r="L32" s="27" t="s">
        <v>6139</v>
      </c>
      <c r="M32" s="391"/>
      <c r="N32" s="734" t="s">
        <v>6140</v>
      </c>
    </row>
    <row r="33" ht="14.25" customHeight="1">
      <c r="A33" s="253">
        <v>12.0</v>
      </c>
      <c r="B33" s="175" t="s">
        <v>1189</v>
      </c>
      <c r="C33" s="137" t="s">
        <v>6141</v>
      </c>
      <c r="D33" s="175" t="s">
        <v>6039</v>
      </c>
      <c r="E33" s="175" t="s">
        <v>70</v>
      </c>
      <c r="F33" s="177">
        <v>1.708E7</v>
      </c>
      <c r="G33" s="175" t="s">
        <v>781</v>
      </c>
      <c r="H33" s="175" t="s">
        <v>92</v>
      </c>
      <c r="I33" s="137" t="s">
        <v>6142</v>
      </c>
      <c r="J33" s="137" t="s">
        <v>6143</v>
      </c>
      <c r="K33" s="137" t="s">
        <v>6144</v>
      </c>
      <c r="L33" s="17" t="s">
        <v>6145</v>
      </c>
      <c r="M33" s="391"/>
      <c r="N33" s="734" t="s">
        <v>6146</v>
      </c>
    </row>
    <row r="34" ht="14.25" customHeight="1">
      <c r="A34" s="253">
        <v>13.0</v>
      </c>
      <c r="B34" s="175" t="s">
        <v>1189</v>
      </c>
      <c r="C34" s="143" t="s">
        <v>6147</v>
      </c>
      <c r="D34" s="175" t="s">
        <v>6039</v>
      </c>
      <c r="E34" s="175" t="s">
        <v>70</v>
      </c>
      <c r="F34" s="177">
        <v>1.835E7</v>
      </c>
      <c r="G34" s="175" t="s">
        <v>781</v>
      </c>
      <c r="H34" s="175" t="s">
        <v>910</v>
      </c>
      <c r="I34" s="143" t="s">
        <v>6148</v>
      </c>
      <c r="J34" s="143" t="s">
        <v>6149</v>
      </c>
      <c r="K34" s="143" t="s">
        <v>6150</v>
      </c>
      <c r="L34" s="27" t="s">
        <v>6151</v>
      </c>
      <c r="M34" s="391"/>
      <c r="N34" s="734" t="s">
        <v>6152</v>
      </c>
    </row>
    <row r="35" ht="14.25" customHeight="1">
      <c r="A35" s="253">
        <v>14.0</v>
      </c>
      <c r="B35" s="175" t="s">
        <v>1189</v>
      </c>
      <c r="C35" s="137" t="s">
        <v>1379</v>
      </c>
      <c r="D35" s="175" t="s">
        <v>6039</v>
      </c>
      <c r="E35" s="175" t="s">
        <v>70</v>
      </c>
      <c r="F35" s="177">
        <v>1.697E7</v>
      </c>
      <c r="G35" s="175" t="s">
        <v>781</v>
      </c>
      <c r="H35" s="175" t="s">
        <v>910</v>
      </c>
      <c r="I35" s="137" t="s">
        <v>6153</v>
      </c>
      <c r="J35" s="137" t="s">
        <v>6154</v>
      </c>
      <c r="K35" s="137" t="s">
        <v>6155</v>
      </c>
      <c r="L35" s="27" t="s">
        <v>6156</v>
      </c>
      <c r="M35" s="391"/>
      <c r="N35" s="734" t="s">
        <v>6157</v>
      </c>
    </row>
    <row r="36" ht="14.25" customHeight="1">
      <c r="A36" s="253">
        <v>15.0</v>
      </c>
      <c r="B36" s="175" t="s">
        <v>1189</v>
      </c>
      <c r="C36" s="143" t="s">
        <v>6158</v>
      </c>
      <c r="D36" s="175" t="s">
        <v>6039</v>
      </c>
      <c r="E36" s="175" t="s">
        <v>70</v>
      </c>
      <c r="F36" s="177">
        <v>1.697E7</v>
      </c>
      <c r="G36" s="175" t="s">
        <v>781</v>
      </c>
      <c r="H36" s="175" t="s">
        <v>910</v>
      </c>
      <c r="I36" s="143" t="s">
        <v>6159</v>
      </c>
      <c r="J36" s="143" t="s">
        <v>6160</v>
      </c>
      <c r="K36" s="143" t="s">
        <v>6161</v>
      </c>
      <c r="L36" s="27" t="s">
        <v>6162</v>
      </c>
      <c r="M36" s="391"/>
      <c r="N36" s="734" t="s">
        <v>6163</v>
      </c>
    </row>
    <row r="37" ht="14.25" customHeight="1">
      <c r="A37" s="253">
        <v>16.0</v>
      </c>
      <c r="B37" s="175" t="s">
        <v>1189</v>
      </c>
      <c r="C37" s="137" t="s">
        <v>6158</v>
      </c>
      <c r="D37" s="175" t="s">
        <v>6039</v>
      </c>
      <c r="E37" s="175" t="s">
        <v>70</v>
      </c>
      <c r="F37" s="177">
        <v>1.697E7</v>
      </c>
      <c r="G37" s="175" t="s">
        <v>781</v>
      </c>
      <c r="H37" s="175" t="s">
        <v>910</v>
      </c>
      <c r="I37" s="137" t="s">
        <v>6164</v>
      </c>
      <c r="J37" s="137" t="s">
        <v>6165</v>
      </c>
      <c r="K37" s="137" t="s">
        <v>6166</v>
      </c>
      <c r="L37" s="27" t="s">
        <v>6167</v>
      </c>
      <c r="M37" s="391"/>
      <c r="N37" s="734" t="s">
        <v>6168</v>
      </c>
    </row>
    <row r="38" ht="14.25" customHeight="1">
      <c r="A38" s="253">
        <v>17.0</v>
      </c>
      <c r="B38" s="175" t="s">
        <v>1189</v>
      </c>
      <c r="C38" s="143" t="s">
        <v>6085</v>
      </c>
      <c r="D38" s="175" t="s">
        <v>6039</v>
      </c>
      <c r="E38" s="175" t="s">
        <v>70</v>
      </c>
      <c r="F38" s="177">
        <v>1.697E7</v>
      </c>
      <c r="G38" s="175" t="s">
        <v>781</v>
      </c>
      <c r="H38" s="175" t="s">
        <v>910</v>
      </c>
      <c r="I38" s="143" t="s">
        <v>6169</v>
      </c>
      <c r="J38" s="143" t="s">
        <v>6170</v>
      </c>
      <c r="K38" s="143" t="s">
        <v>6171</v>
      </c>
      <c r="L38" s="27" t="s">
        <v>6172</v>
      </c>
      <c r="M38" s="391"/>
      <c r="N38" s="734" t="s">
        <v>6173</v>
      </c>
    </row>
    <row r="39" ht="14.25" customHeight="1">
      <c r="A39" s="253">
        <v>18.0</v>
      </c>
      <c r="B39" s="175" t="s">
        <v>1189</v>
      </c>
      <c r="C39" s="137" t="s">
        <v>6085</v>
      </c>
      <c r="D39" s="175" t="s">
        <v>6039</v>
      </c>
      <c r="E39" s="175" t="s">
        <v>70</v>
      </c>
      <c r="F39" s="177">
        <v>1.697E7</v>
      </c>
      <c r="G39" s="175" t="s">
        <v>781</v>
      </c>
      <c r="H39" s="175" t="s">
        <v>910</v>
      </c>
      <c r="I39" s="137" t="s">
        <v>6174</v>
      </c>
      <c r="J39" s="137" t="s">
        <v>6175</v>
      </c>
      <c r="K39" s="137" t="s">
        <v>6176</v>
      </c>
      <c r="L39" s="27" t="s">
        <v>6177</v>
      </c>
      <c r="M39" s="391"/>
      <c r="N39" s="734" t="s">
        <v>6178</v>
      </c>
    </row>
    <row r="40" ht="14.25" customHeight="1">
      <c r="A40" s="253">
        <v>19.0</v>
      </c>
      <c r="B40" s="175" t="s">
        <v>1189</v>
      </c>
      <c r="C40" s="143" t="s">
        <v>6085</v>
      </c>
      <c r="D40" s="175" t="s">
        <v>6039</v>
      </c>
      <c r="E40" s="175" t="s">
        <v>70</v>
      </c>
      <c r="F40" s="177">
        <v>1.697E7</v>
      </c>
      <c r="G40" s="175" t="s">
        <v>781</v>
      </c>
      <c r="H40" s="175" t="s">
        <v>910</v>
      </c>
      <c r="I40" s="143" t="s">
        <v>6179</v>
      </c>
      <c r="J40" s="143" t="s">
        <v>6180</v>
      </c>
      <c r="K40" s="143" t="s">
        <v>6181</v>
      </c>
      <c r="L40" s="27" t="s">
        <v>6182</v>
      </c>
      <c r="M40" s="391"/>
      <c r="N40" s="734" t="s">
        <v>6183</v>
      </c>
    </row>
    <row r="41" ht="14.25" customHeight="1">
      <c r="A41" s="271">
        <v>20.0</v>
      </c>
      <c r="B41" s="272" t="s">
        <v>1189</v>
      </c>
      <c r="C41" s="165" t="s">
        <v>6085</v>
      </c>
      <c r="D41" s="272" t="s">
        <v>6039</v>
      </c>
      <c r="E41" s="272" t="s">
        <v>70</v>
      </c>
      <c r="F41" s="273">
        <v>1.697E7</v>
      </c>
      <c r="G41" s="272" t="s">
        <v>781</v>
      </c>
      <c r="H41" s="272" t="s">
        <v>910</v>
      </c>
      <c r="I41" s="165" t="s">
        <v>6184</v>
      </c>
      <c r="J41" s="165" t="s">
        <v>6185</v>
      </c>
      <c r="K41" s="165" t="s">
        <v>6186</v>
      </c>
      <c r="L41" s="438" t="s">
        <v>6187</v>
      </c>
      <c r="M41" s="436"/>
      <c r="N41" s="738" t="s">
        <v>6188</v>
      </c>
    </row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3:M3"/>
    <mergeCell ref="A4:M4"/>
  </mergeCells>
  <printOptions/>
  <pageMargins bottom="0.7480314960629921" footer="0.0" header="0.0" left="0.7086614173228347" right="0.7086614173228347" top="0.7480314960629921"/>
  <pageSetup scale="70" orientation="landscape" paperHeight="8.5in" paperWidth="12.992125984251969in"/>
  <drawing r:id="rId1"/>
  <tableParts count="1">
    <tablePart r:id="rId3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workbookViewId="0"/>
  </sheetViews>
  <sheetFormatPr customHeight="1" defaultColWidth="14.43" defaultRowHeight="15.0"/>
  <cols>
    <col customWidth="1" min="1" max="1" width="6.43"/>
    <col customWidth="1" min="2" max="2" width="39.0"/>
    <col customWidth="1" min="3" max="3" width="28.57"/>
    <col customWidth="1" min="4" max="4" width="14.57"/>
    <col customWidth="1" min="5" max="5" width="15.43"/>
    <col customWidth="1" min="6" max="6" width="23.71"/>
    <col customWidth="1" min="7" max="7" width="32.71"/>
    <col customWidth="1" min="8" max="8" width="8.71"/>
    <col customWidth="1" min="9" max="9" width="12.0"/>
    <col customWidth="1" min="10" max="11" width="23.29"/>
    <col customWidth="1" min="12" max="12" width="17.71"/>
    <col customWidth="1" min="13" max="13" width="15.14"/>
    <col customWidth="1" min="14" max="14" width="34.14"/>
    <col customWidth="1" min="15" max="27" width="8.71"/>
  </cols>
  <sheetData>
    <row r="1" ht="14.25" customHeight="1"/>
    <row r="2" ht="14.25" customHeight="1"/>
    <row r="3" ht="14.25" customHeight="1">
      <c r="A3" s="1" t="s">
        <v>0</v>
      </c>
    </row>
    <row r="4" ht="14.25" customHeight="1">
      <c r="A4" s="1" t="s">
        <v>1</v>
      </c>
    </row>
    <row r="5" ht="14.25" customHeight="1"/>
    <row r="6" ht="14.25" customHeight="1"/>
    <row r="7" ht="14.25" customHeight="1">
      <c r="A7" s="2" t="s">
        <v>2</v>
      </c>
      <c r="C7" s="2" t="s">
        <v>3</v>
      </c>
    </row>
    <row r="8" ht="14.25" customHeight="1">
      <c r="A8" s="2" t="s">
        <v>4</v>
      </c>
      <c r="C8" s="2" t="s">
        <v>5</v>
      </c>
    </row>
    <row r="9" ht="14.25" customHeight="1">
      <c r="A9" s="2" t="s">
        <v>6</v>
      </c>
      <c r="C9" s="2" t="s">
        <v>6189</v>
      </c>
    </row>
    <row r="10" ht="14.25" customHeight="1">
      <c r="A10" s="4" t="s">
        <v>8</v>
      </c>
      <c r="B10" s="5" t="s">
        <v>9</v>
      </c>
      <c r="C10" s="5" t="s">
        <v>10</v>
      </c>
      <c r="D10" s="5" t="s">
        <v>11</v>
      </c>
      <c r="E10" s="5" t="s">
        <v>12</v>
      </c>
      <c r="F10" s="5" t="s">
        <v>13</v>
      </c>
      <c r="G10" s="5" t="s">
        <v>14</v>
      </c>
      <c r="H10" s="5" t="s">
        <v>15</v>
      </c>
      <c r="I10" s="5" t="s">
        <v>16</v>
      </c>
      <c r="J10" s="5" t="s">
        <v>17</v>
      </c>
      <c r="K10" s="6" t="s">
        <v>766</v>
      </c>
      <c r="L10" s="5" t="s">
        <v>1882</v>
      </c>
      <c r="M10" s="7" t="s">
        <v>20</v>
      </c>
      <c r="N10" s="5" t="s">
        <v>1883</v>
      </c>
    </row>
    <row r="11" ht="14.25" customHeight="1">
      <c r="A11" s="739"/>
      <c r="B11" s="740" t="s">
        <v>23</v>
      </c>
      <c r="C11" s="740"/>
      <c r="D11" s="740"/>
      <c r="E11" s="740"/>
      <c r="F11" s="741">
        <f>SUM(F12:F18)</f>
        <v>1396625000</v>
      </c>
      <c r="G11" s="740"/>
      <c r="H11" s="740"/>
      <c r="I11" s="740"/>
      <c r="J11" s="740"/>
      <c r="K11" s="740"/>
      <c r="L11" s="740"/>
      <c r="M11" s="742"/>
      <c r="N11" s="743"/>
    </row>
    <row r="12" ht="14.25" customHeight="1">
      <c r="A12" s="463">
        <v>1.0</v>
      </c>
      <c r="B12" s="13" t="s">
        <v>779</v>
      </c>
      <c r="C12" s="13" t="s">
        <v>780</v>
      </c>
      <c r="D12" s="13" t="s">
        <v>6190</v>
      </c>
      <c r="E12" s="13" t="s">
        <v>27</v>
      </c>
      <c r="F12" s="14">
        <v>5.0E7</v>
      </c>
      <c r="G12" s="15" t="s">
        <v>6191</v>
      </c>
      <c r="H12" s="13" t="s">
        <v>924</v>
      </c>
      <c r="I12" s="13" t="s">
        <v>6192</v>
      </c>
      <c r="J12" s="13" t="s">
        <v>6193</v>
      </c>
      <c r="K12" s="13" t="s">
        <v>6194</v>
      </c>
      <c r="L12" s="49" t="s">
        <v>6195</v>
      </c>
      <c r="M12" s="18" t="s">
        <v>6196</v>
      </c>
      <c r="N12" s="744" t="s">
        <v>6197</v>
      </c>
    </row>
    <row r="13" ht="14.25" customHeight="1">
      <c r="A13" s="745">
        <v>2.0</v>
      </c>
      <c r="B13" s="9" t="s">
        <v>779</v>
      </c>
      <c r="C13" s="9" t="s">
        <v>780</v>
      </c>
      <c r="D13" s="9" t="s">
        <v>6190</v>
      </c>
      <c r="E13" s="9" t="s">
        <v>27</v>
      </c>
      <c r="F13" s="10">
        <v>5.0E7</v>
      </c>
      <c r="G13" s="15" t="s">
        <v>6191</v>
      </c>
      <c r="H13" s="9" t="s">
        <v>924</v>
      </c>
      <c r="I13" s="9" t="s">
        <v>6198</v>
      </c>
      <c r="J13" s="9" t="s">
        <v>6199</v>
      </c>
      <c r="K13" s="9" t="s">
        <v>6200</v>
      </c>
      <c r="L13" s="49" t="s">
        <v>6201</v>
      </c>
      <c r="M13" s="20" t="s">
        <v>6202</v>
      </c>
      <c r="N13" s="746" t="s">
        <v>4610</v>
      </c>
    </row>
    <row r="14" ht="14.25" customHeight="1">
      <c r="A14" s="463">
        <v>3.0</v>
      </c>
      <c r="B14" s="13" t="s">
        <v>779</v>
      </c>
      <c r="C14" s="13" t="s">
        <v>780</v>
      </c>
      <c r="D14" s="13" t="s">
        <v>6190</v>
      </c>
      <c r="E14" s="13" t="s">
        <v>3743</v>
      </c>
      <c r="F14" s="14">
        <v>2.49775E8</v>
      </c>
      <c r="G14" s="15" t="s">
        <v>6203</v>
      </c>
      <c r="H14" s="13" t="s">
        <v>84</v>
      </c>
      <c r="I14" s="13" t="s">
        <v>6204</v>
      </c>
      <c r="J14" s="16" t="s">
        <v>6205</v>
      </c>
      <c r="K14" s="29" t="s">
        <v>6206</v>
      </c>
      <c r="L14" s="49" t="s">
        <v>6207</v>
      </c>
      <c r="M14" s="18" t="s">
        <v>6208</v>
      </c>
      <c r="N14" s="744" t="s">
        <v>6209</v>
      </c>
    </row>
    <row r="15" ht="14.25" customHeight="1">
      <c r="A15" s="745">
        <v>4.0</v>
      </c>
      <c r="B15" s="9" t="s">
        <v>779</v>
      </c>
      <c r="C15" s="9" t="s">
        <v>780</v>
      </c>
      <c r="D15" s="9" t="s">
        <v>6190</v>
      </c>
      <c r="E15" s="9" t="s">
        <v>27</v>
      </c>
      <c r="F15" s="10">
        <v>2.3225E8</v>
      </c>
      <c r="G15" s="9" t="s">
        <v>6210</v>
      </c>
      <c r="H15" s="9" t="s">
        <v>92</v>
      </c>
      <c r="I15" s="9" t="s">
        <v>6211</v>
      </c>
      <c r="J15" s="21" t="s">
        <v>6212</v>
      </c>
      <c r="K15" s="9" t="s">
        <v>6213</v>
      </c>
      <c r="L15" s="49" t="s">
        <v>6214</v>
      </c>
      <c r="M15" s="20" t="s">
        <v>6215</v>
      </c>
      <c r="N15" s="746" t="s">
        <v>6216</v>
      </c>
    </row>
    <row r="16" ht="14.25" customHeight="1">
      <c r="A16" s="463">
        <v>5.0</v>
      </c>
      <c r="B16" s="13" t="s">
        <v>779</v>
      </c>
      <c r="C16" s="13" t="s">
        <v>780</v>
      </c>
      <c r="D16" s="13" t="s">
        <v>6190</v>
      </c>
      <c r="E16" s="13" t="s">
        <v>27</v>
      </c>
      <c r="F16" s="14">
        <v>1.946E8</v>
      </c>
      <c r="G16" s="13" t="s">
        <v>6217</v>
      </c>
      <c r="H16" s="13" t="s">
        <v>92</v>
      </c>
      <c r="I16" s="13" t="s">
        <v>6218</v>
      </c>
      <c r="J16" s="13" t="s">
        <v>6219</v>
      </c>
      <c r="K16" s="16" t="s">
        <v>6220</v>
      </c>
      <c r="L16" s="49" t="s">
        <v>6221</v>
      </c>
      <c r="M16" s="18" t="s">
        <v>6222</v>
      </c>
      <c r="N16" s="744" t="s">
        <v>6223</v>
      </c>
    </row>
    <row r="17" ht="14.25" customHeight="1">
      <c r="A17" s="745">
        <v>6.0</v>
      </c>
      <c r="B17" s="9" t="s">
        <v>779</v>
      </c>
      <c r="C17" s="9" t="s">
        <v>780</v>
      </c>
      <c r="D17" s="9" t="s">
        <v>6190</v>
      </c>
      <c r="E17" s="9" t="s">
        <v>27</v>
      </c>
      <c r="F17" s="10">
        <v>1.7E8</v>
      </c>
      <c r="G17" s="9" t="s">
        <v>6224</v>
      </c>
      <c r="H17" s="9" t="s">
        <v>92</v>
      </c>
      <c r="I17" s="9" t="s">
        <v>6225</v>
      </c>
      <c r="J17" s="21" t="s">
        <v>6226</v>
      </c>
      <c r="K17" s="9" t="s">
        <v>6227</v>
      </c>
      <c r="L17" s="49" t="s">
        <v>6228</v>
      </c>
      <c r="M17" s="20" t="s">
        <v>6229</v>
      </c>
      <c r="N17" s="746" t="s">
        <v>6230</v>
      </c>
    </row>
    <row r="18" ht="14.25" customHeight="1">
      <c r="A18" s="463">
        <v>7.0</v>
      </c>
      <c r="B18" s="13" t="s">
        <v>779</v>
      </c>
      <c r="C18" s="13" t="s">
        <v>780</v>
      </c>
      <c r="D18" s="13" t="s">
        <v>6190</v>
      </c>
      <c r="E18" s="13" t="s">
        <v>70</v>
      </c>
      <c r="F18" s="14">
        <v>4.5E8</v>
      </c>
      <c r="G18" s="13" t="s">
        <v>6231</v>
      </c>
      <c r="H18" s="13" t="s">
        <v>78</v>
      </c>
      <c r="I18" s="13" t="s">
        <v>6232</v>
      </c>
      <c r="J18" s="13" t="s">
        <v>6233</v>
      </c>
      <c r="K18" s="29" t="s">
        <v>6234</v>
      </c>
      <c r="L18" s="17" t="s">
        <v>6235</v>
      </c>
      <c r="M18" s="18"/>
      <c r="N18" s="744" t="s">
        <v>6236</v>
      </c>
    </row>
    <row r="19" ht="14.25" customHeight="1">
      <c r="A19" s="739"/>
      <c r="B19" s="740" t="s">
        <v>99</v>
      </c>
      <c r="C19" s="740"/>
      <c r="D19" s="740"/>
      <c r="E19" s="740"/>
      <c r="F19" s="741">
        <f>SUM(F20:F38)</f>
        <v>304202980</v>
      </c>
      <c r="G19" s="740"/>
      <c r="H19" s="740"/>
      <c r="I19" s="740"/>
      <c r="J19" s="740"/>
      <c r="K19" s="740"/>
      <c r="L19" s="747"/>
      <c r="M19" s="742"/>
      <c r="N19" s="9"/>
    </row>
    <row r="20" ht="29.25" customHeight="1">
      <c r="A20" s="463">
        <v>1.0</v>
      </c>
      <c r="B20" s="13" t="s">
        <v>100</v>
      </c>
      <c r="C20" s="13" t="s">
        <v>100</v>
      </c>
      <c r="D20" s="13" t="s">
        <v>6190</v>
      </c>
      <c r="E20" s="13" t="s">
        <v>70</v>
      </c>
      <c r="F20" s="14">
        <v>1.24E7</v>
      </c>
      <c r="G20" s="13" t="s">
        <v>1379</v>
      </c>
      <c r="H20" s="13" t="s">
        <v>788</v>
      </c>
      <c r="I20" s="13" t="s">
        <v>6237</v>
      </c>
      <c r="J20" s="13" t="s">
        <v>6238</v>
      </c>
      <c r="K20" s="13" t="s">
        <v>6239</v>
      </c>
      <c r="L20" s="49" t="s">
        <v>6240</v>
      </c>
      <c r="M20" s="18"/>
      <c r="N20" s="744" t="s">
        <v>6241</v>
      </c>
    </row>
    <row r="21" ht="14.25" customHeight="1">
      <c r="A21" s="745">
        <v>2.0</v>
      </c>
      <c r="B21" s="9" t="s">
        <v>100</v>
      </c>
      <c r="C21" s="9" t="s">
        <v>315</v>
      </c>
      <c r="D21" s="9" t="s">
        <v>6190</v>
      </c>
      <c r="E21" s="9" t="s">
        <v>27</v>
      </c>
      <c r="F21" s="10">
        <v>9000000.0</v>
      </c>
      <c r="G21" s="9" t="s">
        <v>1379</v>
      </c>
      <c r="H21" s="9" t="s">
        <v>788</v>
      </c>
      <c r="I21" s="9" t="s">
        <v>6242</v>
      </c>
      <c r="J21" s="9" t="s">
        <v>6243</v>
      </c>
      <c r="K21" s="9" t="s">
        <v>6244</v>
      </c>
      <c r="L21" s="49" t="s">
        <v>6245</v>
      </c>
      <c r="M21" s="20"/>
      <c r="N21" s="746"/>
    </row>
    <row r="22" ht="14.25" customHeight="1">
      <c r="A22" s="463">
        <v>3.0</v>
      </c>
      <c r="B22" s="13" t="s">
        <v>100</v>
      </c>
      <c r="C22" s="13" t="s">
        <v>100</v>
      </c>
      <c r="D22" s="13" t="s">
        <v>6190</v>
      </c>
      <c r="E22" s="13" t="s">
        <v>6246</v>
      </c>
      <c r="F22" s="14">
        <v>1.2989E7</v>
      </c>
      <c r="G22" s="13" t="s">
        <v>3266</v>
      </c>
      <c r="H22" s="13" t="s">
        <v>37</v>
      </c>
      <c r="I22" s="13" t="s">
        <v>6247</v>
      </c>
      <c r="J22" s="13" t="s">
        <v>6248</v>
      </c>
      <c r="K22" s="13" t="s">
        <v>6249</v>
      </c>
      <c r="L22" s="43"/>
      <c r="M22" s="18"/>
      <c r="N22" s="744" t="s">
        <v>5322</v>
      </c>
    </row>
    <row r="23" ht="14.25" customHeight="1">
      <c r="A23" s="745">
        <v>4.0</v>
      </c>
      <c r="B23" s="9" t="s">
        <v>100</v>
      </c>
      <c r="C23" s="9" t="s">
        <v>100</v>
      </c>
      <c r="D23" s="9" t="s">
        <v>6190</v>
      </c>
      <c r="E23" s="9" t="s">
        <v>70</v>
      </c>
      <c r="F23" s="10">
        <v>1.2989E7</v>
      </c>
      <c r="G23" s="9" t="s">
        <v>3266</v>
      </c>
      <c r="H23" s="9" t="s">
        <v>37</v>
      </c>
      <c r="I23" s="9" t="s">
        <v>6250</v>
      </c>
      <c r="J23" s="9" t="s">
        <v>6251</v>
      </c>
      <c r="K23" s="9" t="s">
        <v>6252</v>
      </c>
      <c r="L23" s="49" t="s">
        <v>6253</v>
      </c>
      <c r="M23" s="20"/>
      <c r="N23" s="746" t="s">
        <v>6254</v>
      </c>
    </row>
    <row r="24" ht="14.25" customHeight="1">
      <c r="A24" s="463">
        <v>5.0</v>
      </c>
      <c r="B24" s="13" t="s">
        <v>100</v>
      </c>
      <c r="C24" s="13" t="s">
        <v>100</v>
      </c>
      <c r="D24" s="13" t="s">
        <v>6190</v>
      </c>
      <c r="E24" s="13" t="s">
        <v>70</v>
      </c>
      <c r="F24" s="14">
        <v>1.7755E7</v>
      </c>
      <c r="G24" s="13" t="s">
        <v>6255</v>
      </c>
      <c r="H24" s="13" t="s">
        <v>84</v>
      </c>
      <c r="I24" s="13" t="s">
        <v>6256</v>
      </c>
      <c r="J24" s="16" t="s">
        <v>6257</v>
      </c>
      <c r="K24" s="13" t="s">
        <v>6258</v>
      </c>
      <c r="L24" s="49" t="s">
        <v>6259</v>
      </c>
      <c r="M24" s="18"/>
      <c r="N24" s="744" t="s">
        <v>6260</v>
      </c>
    </row>
    <row r="25" ht="14.25" customHeight="1">
      <c r="A25" s="745">
        <v>6.0</v>
      </c>
      <c r="B25" s="9" t="s">
        <v>100</v>
      </c>
      <c r="C25" s="9" t="s">
        <v>100</v>
      </c>
      <c r="D25" s="9" t="s">
        <v>6190</v>
      </c>
      <c r="E25" s="9" t="s">
        <v>6246</v>
      </c>
      <c r="F25" s="10">
        <v>1.7755E7</v>
      </c>
      <c r="G25" s="9" t="s">
        <v>6255</v>
      </c>
      <c r="H25" s="9" t="s">
        <v>84</v>
      </c>
      <c r="I25" s="9" t="s">
        <v>6261</v>
      </c>
      <c r="J25" s="9" t="s">
        <v>6262</v>
      </c>
      <c r="K25" s="9" t="s">
        <v>6263</v>
      </c>
      <c r="L25" s="49" t="s">
        <v>6264</v>
      </c>
      <c r="M25" s="20"/>
      <c r="N25" s="746" t="s">
        <v>6265</v>
      </c>
    </row>
    <row r="26" ht="14.25" customHeight="1">
      <c r="A26" s="463">
        <v>7.0</v>
      </c>
      <c r="B26" s="13" t="s">
        <v>100</v>
      </c>
      <c r="C26" s="13" t="s">
        <v>100</v>
      </c>
      <c r="D26" s="13" t="s">
        <v>6190</v>
      </c>
      <c r="E26" s="13" t="s">
        <v>6246</v>
      </c>
      <c r="F26" s="14">
        <v>1.7755E7</v>
      </c>
      <c r="G26" s="13" t="s">
        <v>6255</v>
      </c>
      <c r="H26" s="13" t="s">
        <v>84</v>
      </c>
      <c r="I26" s="13" t="s">
        <v>6266</v>
      </c>
      <c r="J26" s="13" t="s">
        <v>6267</v>
      </c>
      <c r="K26" s="13" t="s">
        <v>6268</v>
      </c>
      <c r="L26" s="49" t="s">
        <v>6269</v>
      </c>
      <c r="M26" s="13" t="s">
        <v>6270</v>
      </c>
      <c r="N26" s="744" t="s">
        <v>6271</v>
      </c>
    </row>
    <row r="27" ht="14.25" customHeight="1">
      <c r="A27" s="745">
        <v>8.0</v>
      </c>
      <c r="B27" s="9" t="s">
        <v>100</v>
      </c>
      <c r="C27" s="9" t="s">
        <v>100</v>
      </c>
      <c r="D27" s="9" t="s">
        <v>6190</v>
      </c>
      <c r="E27" s="9" t="s">
        <v>70</v>
      </c>
      <c r="F27" s="10">
        <v>1.32E7</v>
      </c>
      <c r="G27" s="9" t="s">
        <v>3266</v>
      </c>
      <c r="H27" s="9" t="s">
        <v>84</v>
      </c>
      <c r="I27" s="9" t="s">
        <v>6272</v>
      </c>
      <c r="J27" s="21" t="s">
        <v>6273</v>
      </c>
      <c r="K27" s="9" t="s">
        <v>6274</v>
      </c>
      <c r="L27" s="49" t="s">
        <v>6275</v>
      </c>
      <c r="M27" s="20"/>
      <c r="N27" s="746" t="s">
        <v>6276</v>
      </c>
    </row>
    <row r="28" ht="14.25" customHeight="1">
      <c r="A28" s="463">
        <v>9.0</v>
      </c>
      <c r="B28" s="13" t="s">
        <v>100</v>
      </c>
      <c r="C28" s="13" t="s">
        <v>100</v>
      </c>
      <c r="D28" s="13" t="s">
        <v>6190</v>
      </c>
      <c r="E28" s="13" t="s">
        <v>70</v>
      </c>
      <c r="F28" s="14">
        <v>1.4717415E7</v>
      </c>
      <c r="G28" s="13" t="s">
        <v>6277</v>
      </c>
      <c r="H28" s="13" t="s">
        <v>92</v>
      </c>
      <c r="I28" s="13" t="s">
        <v>6278</v>
      </c>
      <c r="J28" s="13" t="s">
        <v>6279</v>
      </c>
      <c r="K28" s="16" t="s">
        <v>6280</v>
      </c>
      <c r="L28" s="49" t="s">
        <v>6281</v>
      </c>
      <c r="M28" s="18"/>
      <c r="N28" s="744" t="s">
        <v>6282</v>
      </c>
    </row>
    <row r="29" ht="14.25" customHeight="1">
      <c r="A29" s="745">
        <v>10.0</v>
      </c>
      <c r="B29" s="9" t="s">
        <v>100</v>
      </c>
      <c r="C29" s="9" t="s">
        <v>100</v>
      </c>
      <c r="D29" s="9" t="s">
        <v>6190</v>
      </c>
      <c r="E29" s="9" t="s">
        <v>27</v>
      </c>
      <c r="F29" s="10">
        <v>1.4717415E7</v>
      </c>
      <c r="G29" s="9" t="s">
        <v>6277</v>
      </c>
      <c r="H29" s="9" t="s">
        <v>92</v>
      </c>
      <c r="I29" s="9" t="s">
        <v>6283</v>
      </c>
      <c r="J29" s="9" t="s">
        <v>6284</v>
      </c>
      <c r="K29" s="21" t="s">
        <v>6285</v>
      </c>
      <c r="L29" s="49" t="s">
        <v>6286</v>
      </c>
      <c r="M29" s="20"/>
      <c r="N29" s="746"/>
    </row>
    <row r="30" ht="14.25" customHeight="1">
      <c r="A30" s="463">
        <v>11.0</v>
      </c>
      <c r="B30" s="13" t="s">
        <v>100</v>
      </c>
      <c r="C30" s="13" t="s">
        <v>100</v>
      </c>
      <c r="D30" s="13" t="s">
        <v>6190</v>
      </c>
      <c r="E30" s="13" t="s">
        <v>70</v>
      </c>
      <c r="F30" s="14">
        <v>2.16965E7</v>
      </c>
      <c r="G30" s="13" t="s">
        <v>6287</v>
      </c>
      <c r="H30" s="13" t="s">
        <v>92</v>
      </c>
      <c r="I30" s="13" t="s">
        <v>6288</v>
      </c>
      <c r="J30" s="13" t="s">
        <v>6289</v>
      </c>
      <c r="K30" s="16" t="s">
        <v>6290</v>
      </c>
      <c r="L30" s="49" t="s">
        <v>6291</v>
      </c>
      <c r="M30" s="18"/>
      <c r="N30" s="744" t="s">
        <v>6292</v>
      </c>
    </row>
    <row r="31" ht="14.25" customHeight="1">
      <c r="A31" s="745">
        <v>12.0</v>
      </c>
      <c r="B31" s="9" t="s">
        <v>100</v>
      </c>
      <c r="C31" s="9" t="s">
        <v>100</v>
      </c>
      <c r="D31" s="9" t="s">
        <v>6190</v>
      </c>
      <c r="E31" s="9" t="s">
        <v>70</v>
      </c>
      <c r="F31" s="10">
        <v>1.6E7</v>
      </c>
      <c r="G31" s="9" t="s">
        <v>6293</v>
      </c>
      <c r="H31" s="9" t="s">
        <v>92</v>
      </c>
      <c r="I31" s="9" t="s">
        <v>6294</v>
      </c>
      <c r="J31" s="9" t="s">
        <v>6295</v>
      </c>
      <c r="K31" s="9" t="s">
        <v>6296</v>
      </c>
      <c r="L31" s="49" t="s">
        <v>6297</v>
      </c>
      <c r="M31" s="20"/>
      <c r="N31" s="746" t="s">
        <v>6298</v>
      </c>
    </row>
    <row r="32" ht="14.25" customHeight="1">
      <c r="A32" s="463">
        <v>13.0</v>
      </c>
      <c r="B32" s="13" t="s">
        <v>100</v>
      </c>
      <c r="C32" s="13" t="s">
        <v>100</v>
      </c>
      <c r="D32" s="13" t="s">
        <v>6190</v>
      </c>
      <c r="E32" s="13" t="s">
        <v>70</v>
      </c>
      <c r="F32" s="14">
        <v>1.44074E7</v>
      </c>
      <c r="G32" s="13" t="s">
        <v>6299</v>
      </c>
      <c r="H32" s="13" t="s">
        <v>92</v>
      </c>
      <c r="I32" s="13" t="s">
        <v>6300</v>
      </c>
      <c r="J32" s="13" t="s">
        <v>6301</v>
      </c>
      <c r="K32" s="13" t="s">
        <v>6302</v>
      </c>
      <c r="L32" s="49" t="s">
        <v>6303</v>
      </c>
      <c r="M32" s="18"/>
      <c r="N32" s="744" t="s">
        <v>6304</v>
      </c>
    </row>
    <row r="33" ht="14.25" customHeight="1">
      <c r="A33" s="745">
        <v>14.0</v>
      </c>
      <c r="B33" s="9" t="s">
        <v>100</v>
      </c>
      <c r="C33" s="9" t="s">
        <v>100</v>
      </c>
      <c r="D33" s="9" t="s">
        <v>6190</v>
      </c>
      <c r="E33" s="9" t="s">
        <v>70</v>
      </c>
      <c r="F33" s="10">
        <v>1.44074E7</v>
      </c>
      <c r="G33" s="9" t="s">
        <v>6299</v>
      </c>
      <c r="H33" s="9" t="s">
        <v>92</v>
      </c>
      <c r="I33" s="9" t="s">
        <v>6305</v>
      </c>
      <c r="J33" s="9" t="s">
        <v>6306</v>
      </c>
      <c r="K33" s="9" t="s">
        <v>6307</v>
      </c>
      <c r="L33" s="49" t="s">
        <v>6308</v>
      </c>
      <c r="M33" s="20"/>
      <c r="N33" s="746" t="s">
        <v>6309</v>
      </c>
    </row>
    <row r="34" ht="14.25" customHeight="1">
      <c r="A34" s="463">
        <v>15.0</v>
      </c>
      <c r="B34" s="13" t="s">
        <v>100</v>
      </c>
      <c r="C34" s="13" t="s">
        <v>100</v>
      </c>
      <c r="D34" s="13" t="s">
        <v>6190</v>
      </c>
      <c r="E34" s="13" t="s">
        <v>70</v>
      </c>
      <c r="F34" s="14">
        <v>1.469E7</v>
      </c>
      <c r="G34" s="13" t="s">
        <v>6310</v>
      </c>
      <c r="H34" s="13" t="s">
        <v>910</v>
      </c>
      <c r="I34" s="13" t="s">
        <v>6311</v>
      </c>
      <c r="J34" s="13" t="s">
        <v>6312</v>
      </c>
      <c r="K34" s="13" t="s">
        <v>6313</v>
      </c>
      <c r="L34" s="43"/>
      <c r="M34" s="18"/>
      <c r="N34" s="744" t="s">
        <v>6314</v>
      </c>
    </row>
    <row r="35" ht="14.25" customHeight="1">
      <c r="A35" s="745">
        <v>16.0</v>
      </c>
      <c r="B35" s="9" t="s">
        <v>100</v>
      </c>
      <c r="C35" s="9" t="s">
        <v>100</v>
      </c>
      <c r="D35" s="9" t="s">
        <v>6190</v>
      </c>
      <c r="E35" s="9" t="s">
        <v>70</v>
      </c>
      <c r="F35" s="10">
        <v>1.72864E7</v>
      </c>
      <c r="G35" s="9" t="s">
        <v>3290</v>
      </c>
      <c r="H35" s="9" t="s">
        <v>71</v>
      </c>
      <c r="I35" s="9" t="s">
        <v>6315</v>
      </c>
      <c r="J35" s="21" t="s">
        <v>6316</v>
      </c>
      <c r="K35" s="21" t="s">
        <v>6317</v>
      </c>
      <c r="L35" s="49" t="s">
        <v>6318</v>
      </c>
      <c r="M35" s="20"/>
      <c r="N35" s="746" t="s">
        <v>6319</v>
      </c>
    </row>
    <row r="36" ht="14.25" customHeight="1">
      <c r="A36" s="463">
        <v>17.0</v>
      </c>
      <c r="B36" s="13" t="s">
        <v>100</v>
      </c>
      <c r="C36" s="13" t="s">
        <v>100</v>
      </c>
      <c r="D36" s="13" t="s">
        <v>6190</v>
      </c>
      <c r="E36" s="13" t="s">
        <v>70</v>
      </c>
      <c r="F36" s="14">
        <v>1.818745E7</v>
      </c>
      <c r="G36" s="13" t="s">
        <v>6320</v>
      </c>
      <c r="H36" s="13" t="s">
        <v>71</v>
      </c>
      <c r="I36" s="13" t="s">
        <v>6321</v>
      </c>
      <c r="J36" s="13" t="s">
        <v>6322</v>
      </c>
      <c r="K36" s="29" t="s">
        <v>6323</v>
      </c>
      <c r="L36" s="17" t="s">
        <v>6324</v>
      </c>
      <c r="M36" s="18"/>
      <c r="N36" s="744" t="s">
        <v>6325</v>
      </c>
    </row>
    <row r="37" ht="14.25" customHeight="1">
      <c r="A37" s="745">
        <v>18.0</v>
      </c>
      <c r="B37" s="9" t="s">
        <v>100</v>
      </c>
      <c r="C37" s="9" t="s">
        <v>100</v>
      </c>
      <c r="D37" s="9" t="s">
        <v>6190</v>
      </c>
      <c r="E37" s="9" t="s">
        <v>70</v>
      </c>
      <c r="F37" s="10">
        <v>2.595E7</v>
      </c>
      <c r="G37" s="9" t="s">
        <v>6326</v>
      </c>
      <c r="H37" s="9" t="s">
        <v>1076</v>
      </c>
      <c r="I37" s="9" t="s">
        <v>6327</v>
      </c>
      <c r="J37" s="9" t="s">
        <v>6328</v>
      </c>
      <c r="K37" s="9" t="s">
        <v>6329</v>
      </c>
      <c r="L37" s="49" t="s">
        <v>6330</v>
      </c>
      <c r="M37" s="20"/>
      <c r="N37" s="746" t="s">
        <v>6331</v>
      </c>
    </row>
    <row r="38" ht="14.25" customHeight="1">
      <c r="A38" s="748">
        <v>19.0</v>
      </c>
      <c r="B38" s="749" t="s">
        <v>100</v>
      </c>
      <c r="C38" s="749" t="s">
        <v>100</v>
      </c>
      <c r="D38" s="749" t="s">
        <v>6190</v>
      </c>
      <c r="E38" s="749" t="s">
        <v>70</v>
      </c>
      <c r="F38" s="750">
        <v>1.83E7</v>
      </c>
      <c r="G38" s="749" t="s">
        <v>6332</v>
      </c>
      <c r="H38" s="749" t="s">
        <v>78</v>
      </c>
      <c r="I38" s="749" t="s">
        <v>6333</v>
      </c>
      <c r="J38" s="749" t="s">
        <v>6334</v>
      </c>
      <c r="K38" s="29" t="s">
        <v>6335</v>
      </c>
      <c r="L38" s="33" t="s">
        <v>6336</v>
      </c>
      <c r="M38" s="751"/>
      <c r="N38" s="752" t="s">
        <v>6337</v>
      </c>
    </row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0:$N$38"/>
  <mergeCells count="2">
    <mergeCell ref="A3:M3"/>
    <mergeCell ref="A4:M4"/>
  </mergeCells>
  <printOptions/>
  <pageMargins bottom="0.7480314960629921" footer="0.0" header="0.0" left="0.7086614173228347" right="0.7086614173228347" top="0.7480314960629921"/>
  <pageSetup paperSize="5" scale="54"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29"/>
    <col customWidth="1" min="2" max="2" width="14.29"/>
    <col customWidth="1" min="3" max="3" width="37.71"/>
    <col customWidth="1" min="4" max="4" width="4.0"/>
    <col customWidth="1" min="5" max="5" width="8.0"/>
    <col customWidth="1" min="6" max="6" width="15.57"/>
    <col customWidth="1" min="7" max="7" width="6.57"/>
    <col customWidth="1" min="8" max="8" width="7.0"/>
    <col customWidth="1" min="9" max="9" width="22.29"/>
    <col customWidth="1" min="10" max="10" width="20.86"/>
    <col customWidth="1" min="11" max="11" width="15.57"/>
    <col customWidth="1" min="12" max="12" width="14.57"/>
    <col customWidth="1" min="13" max="13" width="18.0"/>
    <col customWidth="1" min="14" max="14" width="28.43"/>
    <col customWidth="1" min="15" max="15" width="28.71"/>
    <col customWidth="1" min="16" max="16" width="20.14"/>
    <col customWidth="1" min="17" max="28" width="9.0"/>
  </cols>
  <sheetData>
    <row r="1" ht="14.25" customHeight="1"/>
    <row r="3">
      <c r="A3" s="1" t="s">
        <v>0</v>
      </c>
    </row>
    <row r="4">
      <c r="A4" s="1" t="s">
        <v>1</v>
      </c>
    </row>
    <row r="7">
      <c r="A7" s="2" t="s">
        <v>2</v>
      </c>
      <c r="C7" s="2" t="s">
        <v>3</v>
      </c>
    </row>
    <row r="8">
      <c r="A8" s="2" t="s">
        <v>4</v>
      </c>
      <c r="C8" s="2" t="s">
        <v>5</v>
      </c>
    </row>
    <row r="9">
      <c r="A9" s="2" t="s">
        <v>6</v>
      </c>
      <c r="C9" s="2" t="s">
        <v>6338</v>
      </c>
    </row>
    <row r="10">
      <c r="A10" s="169" t="s">
        <v>8</v>
      </c>
      <c r="B10" s="170" t="s">
        <v>9</v>
      </c>
      <c r="C10" s="170" t="s">
        <v>10</v>
      </c>
      <c r="D10" s="170" t="s">
        <v>11</v>
      </c>
      <c r="E10" s="170" t="s">
        <v>12</v>
      </c>
      <c r="F10" s="170" t="s">
        <v>13</v>
      </c>
      <c r="G10" s="170" t="s">
        <v>14</v>
      </c>
      <c r="H10" s="170" t="s">
        <v>15</v>
      </c>
      <c r="I10" s="170" t="s">
        <v>16</v>
      </c>
      <c r="J10" s="170" t="s">
        <v>17</v>
      </c>
      <c r="K10" s="315" t="s">
        <v>766</v>
      </c>
      <c r="L10" s="315" t="s">
        <v>19</v>
      </c>
      <c r="M10" s="171" t="s">
        <v>20</v>
      </c>
      <c r="N10" s="170" t="s">
        <v>1883</v>
      </c>
      <c r="O10" s="170" t="s">
        <v>3232</v>
      </c>
      <c r="P10" s="377"/>
    </row>
    <row r="11">
      <c r="A11" s="753"/>
      <c r="B11" s="354" t="s">
        <v>1884</v>
      </c>
      <c r="C11" s="354"/>
      <c r="D11" s="354"/>
      <c r="E11" s="354"/>
      <c r="F11" s="355">
        <f>F12+F13+F14+F15+F16+F17+F18+F19+F20+F21+F22+F24</f>
        <v>5584363700</v>
      </c>
      <c r="G11" s="354"/>
      <c r="H11" s="354"/>
      <c r="I11" s="354"/>
      <c r="J11" s="354"/>
      <c r="K11" s="754"/>
      <c r="L11" s="754"/>
      <c r="M11" s="755"/>
      <c r="N11" s="756"/>
      <c r="O11" s="756"/>
      <c r="P11" s="757"/>
    </row>
    <row r="12">
      <c r="A12" s="727">
        <v>1.0</v>
      </c>
      <c r="B12" s="360" t="s">
        <v>2472</v>
      </c>
      <c r="C12" s="360" t="s">
        <v>6339</v>
      </c>
      <c r="D12" s="360" t="s">
        <v>2474</v>
      </c>
      <c r="E12" s="360" t="s">
        <v>70</v>
      </c>
      <c r="F12" s="758">
        <v>2.249E8</v>
      </c>
      <c r="G12" s="360"/>
      <c r="H12" s="360" t="s">
        <v>391</v>
      </c>
      <c r="I12" s="360" t="s">
        <v>6340</v>
      </c>
      <c r="J12" s="719" t="s">
        <v>6341</v>
      </c>
      <c r="K12" s="759" t="s">
        <v>6342</v>
      </c>
      <c r="L12" s="722" t="s">
        <v>6343</v>
      </c>
      <c r="M12" s="369"/>
      <c r="N12" s="760" t="s">
        <v>6344</v>
      </c>
      <c r="O12" s="360"/>
      <c r="P12" s="757"/>
    </row>
    <row r="13">
      <c r="A13" s="727">
        <v>2.0</v>
      </c>
      <c r="B13" s="360" t="s">
        <v>2472</v>
      </c>
      <c r="C13" s="360" t="s">
        <v>6339</v>
      </c>
      <c r="D13" s="360" t="s">
        <v>2474</v>
      </c>
      <c r="E13" s="360" t="s">
        <v>70</v>
      </c>
      <c r="F13" s="758">
        <v>2.249E8</v>
      </c>
      <c r="G13" s="360"/>
      <c r="H13" s="360" t="s">
        <v>391</v>
      </c>
      <c r="I13" s="360" t="s">
        <v>6345</v>
      </c>
      <c r="J13" s="719" t="s">
        <v>6346</v>
      </c>
      <c r="K13" s="759" t="s">
        <v>6347</v>
      </c>
      <c r="L13" s="760" t="s">
        <v>6348</v>
      </c>
      <c r="M13" s="369"/>
      <c r="N13" s="761" t="s">
        <v>6349</v>
      </c>
      <c r="O13" s="360"/>
      <c r="P13" s="757"/>
    </row>
    <row r="14">
      <c r="A14" s="727">
        <v>3.0</v>
      </c>
      <c r="B14" s="360" t="s">
        <v>2472</v>
      </c>
      <c r="C14" s="360" t="s">
        <v>6350</v>
      </c>
      <c r="D14" s="360" t="s">
        <v>2474</v>
      </c>
      <c r="E14" s="360" t="s">
        <v>27</v>
      </c>
      <c r="F14" s="758">
        <v>2.94E8</v>
      </c>
      <c r="G14" s="360"/>
      <c r="H14" s="360" t="s">
        <v>84</v>
      </c>
      <c r="I14" s="360" t="s">
        <v>6351</v>
      </c>
      <c r="J14" s="360" t="s">
        <v>6352</v>
      </c>
      <c r="K14" s="759" t="s">
        <v>6353</v>
      </c>
      <c r="L14" s="760" t="s">
        <v>6354</v>
      </c>
      <c r="M14" s="759" t="s">
        <v>2368</v>
      </c>
      <c r="N14" s="761" t="s">
        <v>6355</v>
      </c>
      <c r="O14" s="360"/>
      <c r="P14" s="757"/>
    </row>
    <row r="15">
      <c r="A15" s="727">
        <v>4.0</v>
      </c>
      <c r="B15" s="360" t="s">
        <v>2472</v>
      </c>
      <c r="C15" s="360" t="s">
        <v>6356</v>
      </c>
      <c r="D15" s="360" t="s">
        <v>2474</v>
      </c>
      <c r="E15" s="360" t="s">
        <v>70</v>
      </c>
      <c r="F15" s="758">
        <v>5.220615E8</v>
      </c>
      <c r="G15" s="719" t="s">
        <v>6357</v>
      </c>
      <c r="H15" s="360" t="s">
        <v>44</v>
      </c>
      <c r="I15" s="719" t="s">
        <v>6358</v>
      </c>
      <c r="J15" s="360" t="s">
        <v>6359</v>
      </c>
      <c r="K15" s="759" t="s">
        <v>6360</v>
      </c>
      <c r="L15" s="760" t="s">
        <v>6361</v>
      </c>
      <c r="M15" s="369"/>
      <c r="N15" s="760" t="s">
        <v>2477</v>
      </c>
      <c r="O15" s="360"/>
      <c r="P15" s="759" t="s">
        <v>6362</v>
      </c>
    </row>
    <row r="16">
      <c r="A16" s="727">
        <v>5.0</v>
      </c>
      <c r="B16" s="360" t="s">
        <v>2472</v>
      </c>
      <c r="C16" s="360" t="s">
        <v>6363</v>
      </c>
      <c r="D16" s="360" t="s">
        <v>2474</v>
      </c>
      <c r="E16" s="360" t="s">
        <v>70</v>
      </c>
      <c r="F16" s="758">
        <v>4.472802E8</v>
      </c>
      <c r="G16" s="719" t="s">
        <v>6364</v>
      </c>
      <c r="H16" s="360" t="s">
        <v>92</v>
      </c>
      <c r="I16" s="719" t="s">
        <v>6365</v>
      </c>
      <c r="J16" s="360" t="s">
        <v>6366</v>
      </c>
      <c r="K16" s="759" t="s">
        <v>6367</v>
      </c>
      <c r="L16" s="760" t="s">
        <v>6368</v>
      </c>
      <c r="M16" s="369"/>
      <c r="N16" s="761" t="s">
        <v>6369</v>
      </c>
      <c r="O16" s="360"/>
      <c r="P16" s="757"/>
    </row>
    <row r="17">
      <c r="A17" s="727">
        <v>6.0</v>
      </c>
      <c r="B17" s="360" t="s">
        <v>2472</v>
      </c>
      <c r="C17" s="360" t="s">
        <v>6370</v>
      </c>
      <c r="D17" s="360" t="s">
        <v>2474</v>
      </c>
      <c r="E17" s="360" t="s">
        <v>70</v>
      </c>
      <c r="F17" s="758">
        <v>4.3795E8</v>
      </c>
      <c r="G17" s="719" t="s">
        <v>6371</v>
      </c>
      <c r="H17" s="360" t="s">
        <v>58</v>
      </c>
      <c r="I17" s="360" t="s">
        <v>6372</v>
      </c>
      <c r="J17" s="360" t="s">
        <v>6373</v>
      </c>
      <c r="K17" s="759" t="s">
        <v>6374</v>
      </c>
      <c r="L17" s="760" t="s">
        <v>6375</v>
      </c>
      <c r="M17" s="369"/>
      <c r="N17" s="761" t="s">
        <v>6376</v>
      </c>
      <c r="O17" s="360" t="s">
        <v>6377</v>
      </c>
      <c r="P17" s="757"/>
    </row>
    <row r="18">
      <c r="A18" s="762">
        <v>7.0</v>
      </c>
      <c r="B18" s="763" t="s">
        <v>2472</v>
      </c>
      <c r="C18" s="763" t="s">
        <v>6378</v>
      </c>
      <c r="D18" s="763" t="s">
        <v>2474</v>
      </c>
      <c r="E18" s="763" t="s">
        <v>70</v>
      </c>
      <c r="F18" s="764">
        <v>6.52774E8</v>
      </c>
      <c r="G18" s="765" t="s">
        <v>6379</v>
      </c>
      <c r="H18" s="763" t="s">
        <v>71</v>
      </c>
      <c r="I18" s="763" t="s">
        <v>6380</v>
      </c>
      <c r="J18" s="765" t="s">
        <v>6381</v>
      </c>
      <c r="K18" s="766" t="s">
        <v>6382</v>
      </c>
      <c r="L18" s="767" t="s">
        <v>6383</v>
      </c>
      <c r="M18" s="768"/>
      <c r="N18" s="769" t="s">
        <v>6384</v>
      </c>
      <c r="O18" s="763" t="s">
        <v>6385</v>
      </c>
      <c r="P18" s="770" t="s">
        <v>6386</v>
      </c>
    </row>
    <row r="19">
      <c r="A19" s="762">
        <v>8.0</v>
      </c>
      <c r="B19" s="763" t="s">
        <v>2472</v>
      </c>
      <c r="C19" s="763" t="s">
        <v>6387</v>
      </c>
      <c r="D19" s="763" t="s">
        <v>2474</v>
      </c>
      <c r="E19" s="763" t="s">
        <v>70</v>
      </c>
      <c r="F19" s="764">
        <v>6.52774E8</v>
      </c>
      <c r="G19" s="763"/>
      <c r="H19" s="763" t="s">
        <v>71</v>
      </c>
      <c r="I19" s="763" t="s">
        <v>6388</v>
      </c>
      <c r="J19" s="763" t="s">
        <v>6389</v>
      </c>
      <c r="K19" s="766" t="s">
        <v>6390</v>
      </c>
      <c r="L19" s="768"/>
      <c r="M19" s="768"/>
      <c r="N19" s="769" t="s">
        <v>6391</v>
      </c>
      <c r="O19" s="763" t="s">
        <v>6392</v>
      </c>
      <c r="P19" s="770" t="s">
        <v>6386</v>
      </c>
    </row>
    <row r="20">
      <c r="A20" s="727">
        <v>9.0</v>
      </c>
      <c r="B20" s="360" t="s">
        <v>2472</v>
      </c>
      <c r="C20" s="360" t="s">
        <v>6393</v>
      </c>
      <c r="D20" s="360" t="s">
        <v>2474</v>
      </c>
      <c r="E20" s="360" t="s">
        <v>70</v>
      </c>
      <c r="F20" s="758">
        <v>5.21174E8</v>
      </c>
      <c r="G20" s="360"/>
      <c r="H20" s="360" t="s">
        <v>71</v>
      </c>
      <c r="I20" s="360" t="s">
        <v>6394</v>
      </c>
      <c r="J20" s="360" t="s">
        <v>6395</v>
      </c>
      <c r="K20" s="759" t="s">
        <v>6396</v>
      </c>
      <c r="L20" s="760" t="s">
        <v>6397</v>
      </c>
      <c r="M20" s="369"/>
      <c r="N20" s="761" t="s">
        <v>6349</v>
      </c>
      <c r="O20" s="360"/>
      <c r="P20" s="757"/>
    </row>
    <row r="21" ht="15.75" customHeight="1">
      <c r="A21" s="727">
        <v>10.0</v>
      </c>
      <c r="B21" s="360" t="s">
        <v>2472</v>
      </c>
      <c r="C21" s="360" t="s">
        <v>6393</v>
      </c>
      <c r="D21" s="360" t="s">
        <v>2474</v>
      </c>
      <c r="E21" s="360" t="s">
        <v>70</v>
      </c>
      <c r="F21" s="758">
        <v>5.27776E8</v>
      </c>
      <c r="G21" s="719" t="s">
        <v>6398</v>
      </c>
      <c r="H21" s="360" t="s">
        <v>71</v>
      </c>
      <c r="I21" s="360" t="s">
        <v>6399</v>
      </c>
      <c r="J21" s="360" t="s">
        <v>6400</v>
      </c>
      <c r="K21" s="759" t="s">
        <v>6401</v>
      </c>
      <c r="L21" s="760" t="s">
        <v>6402</v>
      </c>
      <c r="M21" s="369"/>
      <c r="N21" s="761" t="s">
        <v>6369</v>
      </c>
      <c r="O21" s="360" t="s">
        <v>6403</v>
      </c>
      <c r="P21" s="757"/>
    </row>
    <row r="22" ht="15.75" customHeight="1">
      <c r="A22" s="727">
        <v>11.0</v>
      </c>
      <c r="B22" s="360" t="s">
        <v>2472</v>
      </c>
      <c r="C22" s="360" t="s">
        <v>2473</v>
      </c>
      <c r="D22" s="360" t="s">
        <v>2474</v>
      </c>
      <c r="E22" s="360" t="s">
        <v>70</v>
      </c>
      <c r="F22" s="758">
        <v>5.10774E8</v>
      </c>
      <c r="G22" s="360"/>
      <c r="H22" s="360" t="s">
        <v>71</v>
      </c>
      <c r="I22" s="360" t="s">
        <v>6404</v>
      </c>
      <c r="J22" s="360" t="s">
        <v>2476</v>
      </c>
      <c r="K22" s="759" t="s">
        <v>6405</v>
      </c>
      <c r="L22" s="760" t="s">
        <v>6406</v>
      </c>
      <c r="M22" s="369"/>
      <c r="N22" s="761" t="s">
        <v>2477</v>
      </c>
      <c r="O22" s="360"/>
      <c r="P22" s="771" t="s">
        <v>6407</v>
      </c>
    </row>
    <row r="23" ht="15.75" customHeight="1">
      <c r="A23" s="772">
        <v>12.0</v>
      </c>
      <c r="B23" s="773" t="s">
        <v>2472</v>
      </c>
      <c r="C23" s="773" t="s">
        <v>6408</v>
      </c>
      <c r="D23" s="773" t="s">
        <v>2474</v>
      </c>
      <c r="E23" s="773" t="s">
        <v>70</v>
      </c>
      <c r="F23" s="774">
        <v>5.15E8</v>
      </c>
      <c r="G23" s="773"/>
      <c r="H23" s="773" t="s">
        <v>1076</v>
      </c>
      <c r="I23" s="773" t="s">
        <v>6409</v>
      </c>
      <c r="J23" s="773" t="s">
        <v>6410</v>
      </c>
      <c r="K23" s="775"/>
      <c r="L23" s="775"/>
      <c r="M23" s="776"/>
      <c r="N23" s="777" t="s">
        <v>6411</v>
      </c>
      <c r="O23" s="773" t="s">
        <v>6412</v>
      </c>
      <c r="P23" s="778"/>
    </row>
    <row r="24" ht="15.75" customHeight="1">
      <c r="A24" s="727">
        <v>13.0</v>
      </c>
      <c r="B24" s="360" t="s">
        <v>6413</v>
      </c>
      <c r="C24" s="360" t="s">
        <v>6414</v>
      </c>
      <c r="D24" s="360" t="s">
        <v>2474</v>
      </c>
      <c r="E24" s="360" t="s">
        <v>70</v>
      </c>
      <c r="F24" s="758">
        <v>5.68E8</v>
      </c>
      <c r="G24" s="360" t="s">
        <v>885</v>
      </c>
      <c r="H24" s="360" t="s">
        <v>2329</v>
      </c>
      <c r="I24" s="360" t="s">
        <v>6415</v>
      </c>
      <c r="J24" s="360" t="s">
        <v>6416</v>
      </c>
      <c r="K24" s="759" t="s">
        <v>6417</v>
      </c>
      <c r="L24" s="760" t="s">
        <v>6418</v>
      </c>
      <c r="M24" s="369"/>
      <c r="N24" s="761" t="s">
        <v>6419</v>
      </c>
      <c r="O24" s="360"/>
      <c r="P24" s="771" t="s">
        <v>6420</v>
      </c>
    </row>
    <row r="25" ht="15.75" customHeight="1">
      <c r="A25" s="753"/>
      <c r="B25" s="354" t="s">
        <v>23</v>
      </c>
      <c r="C25" s="354"/>
      <c r="D25" s="354"/>
      <c r="E25" s="354"/>
      <c r="F25" s="355">
        <f>F26+F27+F28+F29+F30+F31+F32+F33+F34+F35+F36+F37+F38+F40+F41+F42+F44+F45+F46+F47+F48+F49+F50+F51+F52+F53+F54+F55+F56+F57+F58+F59+F60+F61+F62+F63+F64+F65+F66+F67+F68+F69+F70+F71+F72+F73+F74+F75+F76+F77+F78+F79+F80+F81+F82+F83+F84+F85+F86+F87+F88+F89+F90</f>
        <v>16941704112</v>
      </c>
      <c r="G25" s="354"/>
      <c r="H25" s="354"/>
      <c r="I25" s="354"/>
      <c r="J25" s="354"/>
      <c r="K25" s="754"/>
      <c r="L25" s="754"/>
      <c r="M25" s="755"/>
      <c r="N25" s="755"/>
      <c r="O25" s="779"/>
      <c r="P25" s="780"/>
    </row>
    <row r="26" ht="15.75" customHeight="1">
      <c r="A26" s="727">
        <v>14.0</v>
      </c>
      <c r="B26" s="360" t="s">
        <v>24</v>
      </c>
      <c r="C26" s="360" t="s">
        <v>3349</v>
      </c>
      <c r="D26" s="360" t="s">
        <v>2474</v>
      </c>
      <c r="E26" s="360" t="s">
        <v>3743</v>
      </c>
      <c r="F26" s="758">
        <v>8.4E7</v>
      </c>
      <c r="G26" s="360"/>
      <c r="H26" s="360" t="s">
        <v>29</v>
      </c>
      <c r="I26" s="360" t="s">
        <v>6421</v>
      </c>
      <c r="J26" s="360" t="s">
        <v>6422</v>
      </c>
      <c r="K26" s="759" t="s">
        <v>6423</v>
      </c>
      <c r="L26" s="760" t="s">
        <v>6424</v>
      </c>
      <c r="M26" s="759" t="s">
        <v>2368</v>
      </c>
      <c r="N26" s="369" t="s">
        <v>6425</v>
      </c>
      <c r="O26" s="360"/>
      <c r="P26" s="757"/>
    </row>
    <row r="27" ht="15.75" customHeight="1">
      <c r="A27" s="727">
        <v>15.0</v>
      </c>
      <c r="B27" s="360" t="s">
        <v>24</v>
      </c>
      <c r="C27" s="360" t="s">
        <v>6426</v>
      </c>
      <c r="D27" s="360" t="s">
        <v>2474</v>
      </c>
      <c r="E27" s="360" t="s">
        <v>70</v>
      </c>
      <c r="F27" s="758">
        <v>1.65E8</v>
      </c>
      <c r="G27" s="360"/>
      <c r="H27" s="360" t="s">
        <v>782</v>
      </c>
      <c r="I27" s="719" t="s">
        <v>6427</v>
      </c>
      <c r="J27" s="360" t="s">
        <v>6428</v>
      </c>
      <c r="K27" s="759" t="s">
        <v>6429</v>
      </c>
      <c r="L27" s="760" t="s">
        <v>6430</v>
      </c>
      <c r="M27" s="369"/>
      <c r="N27" s="369" t="s">
        <v>6431</v>
      </c>
      <c r="O27" s="360"/>
      <c r="P27" s="757"/>
    </row>
    <row r="28" ht="15.75" customHeight="1">
      <c r="A28" s="727">
        <v>16.0</v>
      </c>
      <c r="B28" s="360" t="s">
        <v>24</v>
      </c>
      <c r="C28" s="360" t="s">
        <v>6432</v>
      </c>
      <c r="D28" s="360" t="s">
        <v>2474</v>
      </c>
      <c r="E28" s="360" t="s">
        <v>3743</v>
      </c>
      <c r="F28" s="758">
        <v>7.5E7</v>
      </c>
      <c r="G28" s="360"/>
      <c r="H28" s="360" t="s">
        <v>924</v>
      </c>
      <c r="I28" s="360" t="s">
        <v>6433</v>
      </c>
      <c r="J28" s="360" t="s">
        <v>6434</v>
      </c>
      <c r="K28" s="759" t="s">
        <v>6435</v>
      </c>
      <c r="L28" s="760" t="s">
        <v>6436</v>
      </c>
      <c r="M28" s="369"/>
      <c r="N28" s="369" t="s">
        <v>6437</v>
      </c>
      <c r="O28" s="360"/>
      <c r="P28" s="757"/>
    </row>
    <row r="29" ht="15.75" customHeight="1">
      <c r="A29" s="727">
        <v>17.0</v>
      </c>
      <c r="B29" s="360" t="s">
        <v>24</v>
      </c>
      <c r="C29" s="360" t="s">
        <v>3349</v>
      </c>
      <c r="D29" s="360" t="s">
        <v>2474</v>
      </c>
      <c r="E29" s="360" t="s">
        <v>27</v>
      </c>
      <c r="F29" s="758">
        <v>1.05E8</v>
      </c>
      <c r="G29" s="360"/>
      <c r="H29" s="360" t="s">
        <v>924</v>
      </c>
      <c r="I29" s="360" t="s">
        <v>6438</v>
      </c>
      <c r="J29" s="360" t="s">
        <v>6439</v>
      </c>
      <c r="K29" s="759" t="s">
        <v>6440</v>
      </c>
      <c r="L29" s="760" t="s">
        <v>6441</v>
      </c>
      <c r="M29" s="759" t="s">
        <v>2368</v>
      </c>
      <c r="N29" s="369" t="s">
        <v>6355</v>
      </c>
      <c r="O29" s="360"/>
      <c r="P29" s="757"/>
    </row>
    <row r="30" ht="15.75" customHeight="1">
      <c r="A30" s="727">
        <v>18.0</v>
      </c>
      <c r="B30" s="360" t="s">
        <v>24</v>
      </c>
      <c r="C30" s="360" t="s">
        <v>6442</v>
      </c>
      <c r="D30" s="360" t="s">
        <v>2474</v>
      </c>
      <c r="E30" s="360" t="s">
        <v>27</v>
      </c>
      <c r="F30" s="758">
        <v>1.1E8</v>
      </c>
      <c r="G30" s="360"/>
      <c r="H30" s="360" t="s">
        <v>924</v>
      </c>
      <c r="I30" s="360" t="s">
        <v>6443</v>
      </c>
      <c r="J30" s="360" t="s">
        <v>6444</v>
      </c>
      <c r="K30" s="369"/>
      <c r="L30" s="369"/>
      <c r="M30" s="369"/>
      <c r="N30" s="369"/>
      <c r="O30" s="360"/>
      <c r="P30" s="757"/>
    </row>
    <row r="31" ht="15.75" customHeight="1">
      <c r="A31" s="727">
        <v>19.0</v>
      </c>
      <c r="B31" s="360" t="s">
        <v>24</v>
      </c>
      <c r="C31" s="360" t="s">
        <v>6445</v>
      </c>
      <c r="D31" s="360" t="s">
        <v>2474</v>
      </c>
      <c r="E31" s="360" t="s">
        <v>70</v>
      </c>
      <c r="F31" s="758">
        <v>1.1E8</v>
      </c>
      <c r="G31" s="360"/>
      <c r="H31" s="360" t="s">
        <v>788</v>
      </c>
      <c r="I31" s="719" t="s">
        <v>6446</v>
      </c>
      <c r="J31" s="360" t="s">
        <v>6447</v>
      </c>
      <c r="K31" s="759" t="s">
        <v>6448</v>
      </c>
      <c r="L31" s="760" t="s">
        <v>6449</v>
      </c>
      <c r="M31" s="369"/>
      <c r="N31" s="761" t="s">
        <v>6450</v>
      </c>
      <c r="O31" s="360"/>
      <c r="P31" s="771" t="s">
        <v>6451</v>
      </c>
    </row>
    <row r="32" ht="15.75" customHeight="1">
      <c r="A32" s="727">
        <v>20.0</v>
      </c>
      <c r="B32" s="360" t="s">
        <v>24</v>
      </c>
      <c r="C32" s="360" t="s">
        <v>6452</v>
      </c>
      <c r="D32" s="360" t="s">
        <v>2474</v>
      </c>
      <c r="E32" s="360" t="s">
        <v>27</v>
      </c>
      <c r="F32" s="758">
        <v>1.1E8</v>
      </c>
      <c r="G32" s="360"/>
      <c r="H32" s="360" t="s">
        <v>788</v>
      </c>
      <c r="I32" s="360" t="s">
        <v>6453</v>
      </c>
      <c r="J32" s="360" t="s">
        <v>6454</v>
      </c>
      <c r="K32" s="759" t="s">
        <v>6455</v>
      </c>
      <c r="L32" s="760" t="s">
        <v>6456</v>
      </c>
      <c r="M32" s="369"/>
      <c r="N32" s="369" t="s">
        <v>6457</v>
      </c>
      <c r="O32" s="360"/>
      <c r="P32" s="757"/>
    </row>
    <row r="33" ht="15.75" customHeight="1">
      <c r="A33" s="727">
        <v>21.0</v>
      </c>
      <c r="B33" s="360" t="s">
        <v>24</v>
      </c>
      <c r="C33" s="360" t="s">
        <v>6458</v>
      </c>
      <c r="D33" s="360" t="s">
        <v>2474</v>
      </c>
      <c r="E33" s="360" t="s">
        <v>70</v>
      </c>
      <c r="F33" s="758">
        <v>1.295822E8</v>
      </c>
      <c r="G33" s="360"/>
      <c r="H33" s="360" t="s">
        <v>788</v>
      </c>
      <c r="I33" s="719" t="s">
        <v>6459</v>
      </c>
      <c r="J33" s="360" t="s">
        <v>6460</v>
      </c>
      <c r="K33" s="759" t="s">
        <v>6461</v>
      </c>
      <c r="L33" s="760" t="s">
        <v>6462</v>
      </c>
      <c r="M33" s="369"/>
      <c r="N33" s="369" t="s">
        <v>5987</v>
      </c>
      <c r="O33" s="360" t="s">
        <v>6463</v>
      </c>
      <c r="P33" s="757"/>
    </row>
    <row r="34" ht="15.75" customHeight="1">
      <c r="A34" s="727">
        <v>22.0</v>
      </c>
      <c r="B34" s="360" t="s">
        <v>24</v>
      </c>
      <c r="C34" s="719" t="s">
        <v>6464</v>
      </c>
      <c r="D34" s="360" t="s">
        <v>2474</v>
      </c>
      <c r="E34" s="360" t="s">
        <v>70</v>
      </c>
      <c r="F34" s="758">
        <v>1.1E8</v>
      </c>
      <c r="G34" s="360"/>
      <c r="H34" s="360" t="s">
        <v>948</v>
      </c>
      <c r="I34" s="719" t="s">
        <v>6465</v>
      </c>
      <c r="J34" s="360" t="s">
        <v>6466</v>
      </c>
      <c r="K34" s="759" t="s">
        <v>6467</v>
      </c>
      <c r="L34" s="760" t="s">
        <v>6468</v>
      </c>
      <c r="M34" s="369"/>
      <c r="N34" s="761" t="s">
        <v>6469</v>
      </c>
      <c r="O34" s="360" t="s">
        <v>6470</v>
      </c>
      <c r="P34" s="771" t="s">
        <v>6471</v>
      </c>
    </row>
    <row r="35" ht="15.75" customHeight="1">
      <c r="A35" s="727">
        <v>23.0</v>
      </c>
      <c r="B35" s="360" t="s">
        <v>6472</v>
      </c>
      <c r="C35" s="360" t="s">
        <v>6473</v>
      </c>
      <c r="D35" s="360" t="s">
        <v>2474</v>
      </c>
      <c r="E35" s="360" t="s">
        <v>70</v>
      </c>
      <c r="F35" s="758">
        <v>1.8E8</v>
      </c>
      <c r="G35" s="360"/>
      <c r="H35" s="719">
        <v>2014.0</v>
      </c>
      <c r="I35" s="719" t="s">
        <v>6474</v>
      </c>
      <c r="J35" s="360" t="s">
        <v>6475</v>
      </c>
      <c r="K35" s="759" t="s">
        <v>6476</v>
      </c>
      <c r="L35" s="760" t="s">
        <v>6477</v>
      </c>
      <c r="M35" s="369"/>
      <c r="N35" s="369" t="s">
        <v>6478</v>
      </c>
      <c r="O35" s="360"/>
      <c r="P35" s="757"/>
    </row>
    <row r="36" ht="15.75" customHeight="1">
      <c r="A36" s="727">
        <v>24.0</v>
      </c>
      <c r="B36" s="360" t="s">
        <v>24</v>
      </c>
      <c r="C36" s="360" t="s">
        <v>6479</v>
      </c>
      <c r="D36" s="360" t="s">
        <v>2474</v>
      </c>
      <c r="E36" s="360" t="s">
        <v>70</v>
      </c>
      <c r="F36" s="758">
        <v>2.0966666667E8</v>
      </c>
      <c r="G36" s="360"/>
      <c r="H36" s="360" t="s">
        <v>37</v>
      </c>
      <c r="I36" s="719" t="s">
        <v>5872</v>
      </c>
      <c r="J36" s="360" t="s">
        <v>6480</v>
      </c>
      <c r="K36" s="759" t="s">
        <v>6481</v>
      </c>
      <c r="L36" s="760" t="s">
        <v>6482</v>
      </c>
      <c r="M36" s="369"/>
      <c r="N36" s="369" t="s">
        <v>6483</v>
      </c>
      <c r="O36" s="360" t="s">
        <v>6484</v>
      </c>
      <c r="P36" s="757"/>
    </row>
    <row r="37" ht="15.75" customHeight="1">
      <c r="A37" s="727">
        <v>25.0</v>
      </c>
      <c r="B37" s="360" t="s">
        <v>24</v>
      </c>
      <c r="C37" s="360" t="s">
        <v>6479</v>
      </c>
      <c r="D37" s="360" t="s">
        <v>2474</v>
      </c>
      <c r="E37" s="360" t="s">
        <v>70</v>
      </c>
      <c r="F37" s="758">
        <v>2.0966666667E8</v>
      </c>
      <c r="G37" s="360"/>
      <c r="H37" s="360" t="s">
        <v>37</v>
      </c>
      <c r="I37" s="360" t="s">
        <v>6485</v>
      </c>
      <c r="J37" s="360" t="s">
        <v>6486</v>
      </c>
      <c r="K37" s="759" t="s">
        <v>6487</v>
      </c>
      <c r="L37" s="760" t="s">
        <v>6488</v>
      </c>
      <c r="M37" s="369"/>
      <c r="N37" s="369" t="s">
        <v>6489</v>
      </c>
      <c r="O37" s="360"/>
      <c r="P37" s="771" t="s">
        <v>6490</v>
      </c>
    </row>
    <row r="38" ht="15.75" customHeight="1">
      <c r="A38" s="727">
        <v>26.0</v>
      </c>
      <c r="B38" s="360" t="s">
        <v>24</v>
      </c>
      <c r="C38" s="360" t="s">
        <v>6491</v>
      </c>
      <c r="D38" s="360" t="s">
        <v>2474</v>
      </c>
      <c r="E38" s="360" t="s">
        <v>70</v>
      </c>
      <c r="F38" s="758">
        <v>1.238E8</v>
      </c>
      <c r="G38" s="360"/>
      <c r="H38" s="360" t="s">
        <v>37</v>
      </c>
      <c r="I38" s="360" t="s">
        <v>6492</v>
      </c>
      <c r="J38" s="360" t="s">
        <v>6493</v>
      </c>
      <c r="K38" s="759" t="s">
        <v>6494</v>
      </c>
      <c r="L38" s="760" t="s">
        <v>6495</v>
      </c>
      <c r="M38" s="369"/>
      <c r="N38" s="761" t="s">
        <v>6496</v>
      </c>
      <c r="O38" s="360"/>
      <c r="P38" s="757"/>
    </row>
    <row r="39" ht="15.75" customHeight="1">
      <c r="A39" s="772">
        <v>27.0</v>
      </c>
      <c r="B39" s="773" t="s">
        <v>6497</v>
      </c>
      <c r="C39" s="773" t="s">
        <v>6498</v>
      </c>
      <c r="D39" s="773" t="s">
        <v>2474</v>
      </c>
      <c r="E39" s="773" t="s">
        <v>70</v>
      </c>
      <c r="F39" s="774">
        <v>5.126E8</v>
      </c>
      <c r="G39" s="773"/>
      <c r="H39" s="773" t="s">
        <v>391</v>
      </c>
      <c r="I39" s="773" t="s">
        <v>6499</v>
      </c>
      <c r="J39" s="773" t="s">
        <v>6500</v>
      </c>
      <c r="K39" s="781" t="s">
        <v>6501</v>
      </c>
      <c r="L39" s="760" t="s">
        <v>6502</v>
      </c>
      <c r="M39" s="776"/>
      <c r="N39" s="776" t="s">
        <v>2477</v>
      </c>
      <c r="O39" s="773" t="s">
        <v>6412</v>
      </c>
      <c r="P39" s="782" t="s">
        <v>6503</v>
      </c>
    </row>
    <row r="40" ht="15.75" customHeight="1">
      <c r="A40" s="727">
        <v>28.0</v>
      </c>
      <c r="B40" s="360" t="s">
        <v>24</v>
      </c>
      <c r="C40" s="360" t="s">
        <v>6504</v>
      </c>
      <c r="D40" s="360" t="s">
        <v>2474</v>
      </c>
      <c r="E40" s="360" t="s">
        <v>70</v>
      </c>
      <c r="F40" s="758">
        <v>2.46775E8</v>
      </c>
      <c r="G40" s="360"/>
      <c r="H40" s="360" t="s">
        <v>84</v>
      </c>
      <c r="I40" s="360" t="s">
        <v>6505</v>
      </c>
      <c r="J40" s="360" t="s">
        <v>6506</v>
      </c>
      <c r="K40" s="759" t="s">
        <v>6507</v>
      </c>
      <c r="L40" s="760" t="s">
        <v>6508</v>
      </c>
      <c r="M40" s="369"/>
      <c r="N40" s="761" t="s">
        <v>6509</v>
      </c>
      <c r="O40" s="360"/>
      <c r="P40" s="757"/>
    </row>
    <row r="41" ht="15.75" customHeight="1">
      <c r="A41" s="727">
        <v>29.0</v>
      </c>
      <c r="B41" s="360" t="s">
        <v>24</v>
      </c>
      <c r="C41" s="360" t="s">
        <v>6510</v>
      </c>
      <c r="D41" s="360" t="s">
        <v>2474</v>
      </c>
      <c r="E41" s="360" t="s">
        <v>70</v>
      </c>
      <c r="F41" s="758">
        <v>2.32947E8</v>
      </c>
      <c r="G41" s="719" t="s">
        <v>6511</v>
      </c>
      <c r="H41" s="360" t="s">
        <v>474</v>
      </c>
      <c r="I41" s="719" t="s">
        <v>6512</v>
      </c>
      <c r="J41" s="719" t="s">
        <v>6513</v>
      </c>
      <c r="K41" s="759" t="s">
        <v>6514</v>
      </c>
      <c r="L41" s="760" t="s">
        <v>6515</v>
      </c>
      <c r="M41" s="369"/>
      <c r="N41" s="369" t="s">
        <v>6450</v>
      </c>
      <c r="O41" s="360"/>
      <c r="P41" s="771" t="s">
        <v>6516</v>
      </c>
    </row>
    <row r="42" ht="15.75" customHeight="1">
      <c r="A42" s="727">
        <v>30.0</v>
      </c>
      <c r="B42" s="360" t="s">
        <v>24</v>
      </c>
      <c r="C42" s="360" t="s">
        <v>6510</v>
      </c>
      <c r="D42" s="360" t="s">
        <v>2474</v>
      </c>
      <c r="E42" s="360" t="s">
        <v>70</v>
      </c>
      <c r="F42" s="758">
        <v>2.32947E8</v>
      </c>
      <c r="G42" s="719" t="s">
        <v>6511</v>
      </c>
      <c r="H42" s="360" t="s">
        <v>474</v>
      </c>
      <c r="I42" s="719" t="s">
        <v>6517</v>
      </c>
      <c r="J42" s="719" t="s">
        <v>6518</v>
      </c>
      <c r="K42" s="759" t="s">
        <v>6519</v>
      </c>
      <c r="L42" s="760" t="s">
        <v>6520</v>
      </c>
      <c r="M42" s="369"/>
      <c r="N42" s="369" t="s">
        <v>6521</v>
      </c>
      <c r="O42" s="360"/>
      <c r="P42" s="757"/>
    </row>
    <row r="43" ht="15.75" customHeight="1">
      <c r="A43" s="772">
        <v>31.0</v>
      </c>
      <c r="B43" s="773" t="s">
        <v>24</v>
      </c>
      <c r="C43" s="773" t="s">
        <v>6458</v>
      </c>
      <c r="D43" s="773" t="s">
        <v>2474</v>
      </c>
      <c r="E43" s="773" t="s">
        <v>70</v>
      </c>
      <c r="F43" s="774">
        <v>2.227E8</v>
      </c>
      <c r="G43" s="773"/>
      <c r="H43" s="773" t="s">
        <v>44</v>
      </c>
      <c r="I43" s="773" t="s">
        <v>6522</v>
      </c>
      <c r="J43" s="773" t="s">
        <v>6523</v>
      </c>
      <c r="K43" s="775"/>
      <c r="L43" s="775"/>
      <c r="M43" s="776"/>
      <c r="N43" s="776" t="s">
        <v>6411</v>
      </c>
      <c r="O43" s="773" t="s">
        <v>6412</v>
      </c>
      <c r="P43" s="778"/>
    </row>
    <row r="44" ht="15.75" customHeight="1">
      <c r="A44" s="727">
        <v>32.0</v>
      </c>
      <c r="B44" s="360" t="s">
        <v>24</v>
      </c>
      <c r="C44" s="360" t="s">
        <v>6524</v>
      </c>
      <c r="D44" s="360" t="s">
        <v>2474</v>
      </c>
      <c r="E44" s="360" t="s">
        <v>70</v>
      </c>
      <c r="F44" s="758">
        <v>1.939844E8</v>
      </c>
      <c r="G44" s="719" t="s">
        <v>6525</v>
      </c>
      <c r="H44" s="360" t="s">
        <v>44</v>
      </c>
      <c r="I44" s="719" t="s">
        <v>6526</v>
      </c>
      <c r="J44" s="360" t="s">
        <v>6527</v>
      </c>
      <c r="K44" s="759" t="s">
        <v>6528</v>
      </c>
      <c r="L44" s="760" t="s">
        <v>6529</v>
      </c>
      <c r="M44" s="369"/>
      <c r="N44" s="761" t="s">
        <v>2477</v>
      </c>
      <c r="O44" s="360"/>
      <c r="P44" s="771" t="s">
        <v>6530</v>
      </c>
    </row>
    <row r="45" ht="15.75" customHeight="1">
      <c r="A45" s="727">
        <v>33.0</v>
      </c>
      <c r="B45" s="360" t="s">
        <v>24</v>
      </c>
      <c r="C45" s="360" t="s">
        <v>6524</v>
      </c>
      <c r="D45" s="360" t="s">
        <v>2474</v>
      </c>
      <c r="E45" s="360" t="s">
        <v>70</v>
      </c>
      <c r="F45" s="758">
        <v>1.939844E8</v>
      </c>
      <c r="G45" s="719" t="s">
        <v>6525</v>
      </c>
      <c r="H45" s="360" t="s">
        <v>44</v>
      </c>
      <c r="I45" s="719" t="s">
        <v>6531</v>
      </c>
      <c r="J45" s="360" t="s">
        <v>6532</v>
      </c>
      <c r="K45" s="759" t="s">
        <v>6533</v>
      </c>
      <c r="L45" s="760" t="s">
        <v>6534</v>
      </c>
      <c r="M45" s="369"/>
      <c r="N45" s="761" t="s">
        <v>6535</v>
      </c>
      <c r="O45" s="360"/>
      <c r="P45" s="771" t="s">
        <v>6536</v>
      </c>
    </row>
    <row r="46" ht="15.75" customHeight="1">
      <c r="A46" s="727">
        <v>34.0</v>
      </c>
      <c r="B46" s="360" t="s">
        <v>24</v>
      </c>
      <c r="C46" s="360" t="s">
        <v>6524</v>
      </c>
      <c r="D46" s="360" t="s">
        <v>2474</v>
      </c>
      <c r="E46" s="360" t="s">
        <v>70</v>
      </c>
      <c r="F46" s="758">
        <v>1.939844E8</v>
      </c>
      <c r="G46" s="719" t="s">
        <v>6525</v>
      </c>
      <c r="H46" s="360" t="s">
        <v>44</v>
      </c>
      <c r="I46" s="719" t="s">
        <v>6537</v>
      </c>
      <c r="J46" s="360" t="s">
        <v>6538</v>
      </c>
      <c r="K46" s="759" t="s">
        <v>6539</v>
      </c>
      <c r="L46" s="760" t="s">
        <v>6540</v>
      </c>
      <c r="M46" s="369"/>
      <c r="N46" s="761" t="s">
        <v>6541</v>
      </c>
      <c r="O46" s="360"/>
      <c r="P46" s="771" t="s">
        <v>6542</v>
      </c>
    </row>
    <row r="47" ht="15.75" customHeight="1">
      <c r="A47" s="727">
        <v>35.0</v>
      </c>
      <c r="B47" s="360" t="s">
        <v>24</v>
      </c>
      <c r="C47" s="360" t="s">
        <v>6524</v>
      </c>
      <c r="D47" s="360" t="s">
        <v>2474</v>
      </c>
      <c r="E47" s="360" t="s">
        <v>70</v>
      </c>
      <c r="F47" s="758">
        <v>1.939844E8</v>
      </c>
      <c r="G47" s="719" t="s">
        <v>6525</v>
      </c>
      <c r="H47" s="360" t="s">
        <v>44</v>
      </c>
      <c r="I47" s="719" t="s">
        <v>6543</v>
      </c>
      <c r="J47" s="360" t="s">
        <v>6544</v>
      </c>
      <c r="K47" s="759" t="s">
        <v>6545</v>
      </c>
      <c r="L47" s="760" t="s">
        <v>6546</v>
      </c>
      <c r="M47" s="369"/>
      <c r="N47" s="369" t="s">
        <v>6547</v>
      </c>
      <c r="O47" s="360"/>
      <c r="P47" s="757"/>
    </row>
    <row r="48" ht="15.75" customHeight="1">
      <c r="A48" s="727">
        <v>36.0</v>
      </c>
      <c r="B48" s="360" t="s">
        <v>24</v>
      </c>
      <c r="C48" s="360" t="s">
        <v>6524</v>
      </c>
      <c r="D48" s="360" t="s">
        <v>2474</v>
      </c>
      <c r="E48" s="360" t="s">
        <v>70</v>
      </c>
      <c r="F48" s="758">
        <v>1.939844E8</v>
      </c>
      <c r="G48" s="360"/>
      <c r="H48" s="360" t="s">
        <v>44</v>
      </c>
      <c r="I48" s="360" t="s">
        <v>6548</v>
      </c>
      <c r="J48" s="360" t="s">
        <v>6549</v>
      </c>
      <c r="K48" s="369"/>
      <c r="L48" s="369"/>
      <c r="M48" s="369"/>
      <c r="N48" s="369" t="s">
        <v>6550</v>
      </c>
      <c r="O48" s="360"/>
      <c r="P48" s="771" t="s">
        <v>6551</v>
      </c>
    </row>
    <row r="49" ht="15.75" customHeight="1">
      <c r="A49" s="727">
        <v>37.0</v>
      </c>
      <c r="B49" s="360" t="s">
        <v>24</v>
      </c>
      <c r="C49" s="360" t="s">
        <v>6524</v>
      </c>
      <c r="D49" s="360" t="s">
        <v>2474</v>
      </c>
      <c r="E49" s="360" t="s">
        <v>70</v>
      </c>
      <c r="F49" s="758">
        <v>1.939844E8</v>
      </c>
      <c r="G49" s="719" t="s">
        <v>6525</v>
      </c>
      <c r="H49" s="360" t="s">
        <v>44</v>
      </c>
      <c r="I49" s="719" t="s">
        <v>6552</v>
      </c>
      <c r="J49" s="360" t="s">
        <v>6553</v>
      </c>
      <c r="K49" s="759" t="s">
        <v>6554</v>
      </c>
      <c r="L49" s="760" t="s">
        <v>6555</v>
      </c>
      <c r="M49" s="369"/>
      <c r="N49" s="369" t="s">
        <v>6369</v>
      </c>
      <c r="O49" s="360"/>
      <c r="P49" s="757"/>
    </row>
    <row r="50" ht="15.75" customHeight="1">
      <c r="A50" s="727">
        <v>38.0</v>
      </c>
      <c r="B50" s="360" t="s">
        <v>24</v>
      </c>
      <c r="C50" s="360" t="s">
        <v>6524</v>
      </c>
      <c r="D50" s="360" t="s">
        <v>2474</v>
      </c>
      <c r="E50" s="360" t="s">
        <v>70</v>
      </c>
      <c r="F50" s="758">
        <v>1.939844E8</v>
      </c>
      <c r="G50" s="719" t="s">
        <v>6525</v>
      </c>
      <c r="H50" s="360" t="s">
        <v>44</v>
      </c>
      <c r="I50" s="783" t="s">
        <v>6556</v>
      </c>
      <c r="J50" s="784" t="s">
        <v>6557</v>
      </c>
      <c r="K50" s="785" t="s">
        <v>6558</v>
      </c>
      <c r="L50" s="760" t="s">
        <v>6559</v>
      </c>
      <c r="M50" s="369"/>
      <c r="N50" s="369" t="s">
        <v>6560</v>
      </c>
      <c r="O50" s="360"/>
      <c r="P50" s="757"/>
    </row>
    <row r="51" ht="15.75" customHeight="1">
      <c r="A51" s="727">
        <v>39.0</v>
      </c>
      <c r="B51" s="360" t="s">
        <v>24</v>
      </c>
      <c r="C51" s="360" t="s">
        <v>6524</v>
      </c>
      <c r="D51" s="360" t="s">
        <v>2474</v>
      </c>
      <c r="E51" s="360" t="s">
        <v>27</v>
      </c>
      <c r="F51" s="758">
        <v>1.939844E8</v>
      </c>
      <c r="G51" s="719" t="s">
        <v>6525</v>
      </c>
      <c r="H51" s="360" t="s">
        <v>44</v>
      </c>
      <c r="I51" s="719" t="s">
        <v>6561</v>
      </c>
      <c r="J51" s="360" t="s">
        <v>6562</v>
      </c>
      <c r="K51" s="759" t="s">
        <v>6563</v>
      </c>
      <c r="L51" s="760" t="s">
        <v>6564</v>
      </c>
      <c r="M51" s="759" t="s">
        <v>2368</v>
      </c>
      <c r="N51" s="369" t="s">
        <v>6355</v>
      </c>
      <c r="O51" s="360"/>
      <c r="P51" s="757"/>
    </row>
    <row r="52" ht="15.75" customHeight="1">
      <c r="A52" s="727">
        <v>40.0</v>
      </c>
      <c r="B52" s="360" t="s">
        <v>6497</v>
      </c>
      <c r="C52" s="360" t="s">
        <v>6565</v>
      </c>
      <c r="D52" s="360" t="s">
        <v>2474</v>
      </c>
      <c r="E52" s="360" t="s">
        <v>70</v>
      </c>
      <c r="F52" s="758">
        <v>7.2869219E8</v>
      </c>
      <c r="G52" s="719" t="s">
        <v>6566</v>
      </c>
      <c r="H52" s="360" t="s">
        <v>92</v>
      </c>
      <c r="I52" s="719" t="s">
        <v>6567</v>
      </c>
      <c r="J52" s="360" t="s">
        <v>6568</v>
      </c>
      <c r="K52" s="759" t="s">
        <v>6569</v>
      </c>
      <c r="L52" s="760" t="s">
        <v>6570</v>
      </c>
      <c r="M52" s="369"/>
      <c r="N52" s="761" t="s">
        <v>2477</v>
      </c>
      <c r="O52" s="360"/>
      <c r="P52" s="771" t="s">
        <v>2368</v>
      </c>
    </row>
    <row r="53" ht="15.75" customHeight="1">
      <c r="A53" s="727">
        <v>41.0</v>
      </c>
      <c r="B53" s="360" t="s">
        <v>6497</v>
      </c>
      <c r="C53" s="360" t="s">
        <v>6565</v>
      </c>
      <c r="D53" s="360" t="s">
        <v>2474</v>
      </c>
      <c r="E53" s="360" t="s">
        <v>70</v>
      </c>
      <c r="F53" s="758">
        <v>7.28692189E8</v>
      </c>
      <c r="G53" s="719" t="s">
        <v>6566</v>
      </c>
      <c r="H53" s="360" t="s">
        <v>92</v>
      </c>
      <c r="I53" s="719" t="s">
        <v>6571</v>
      </c>
      <c r="J53" s="360" t="s">
        <v>6572</v>
      </c>
      <c r="K53" s="759" t="s">
        <v>6573</v>
      </c>
      <c r="L53" s="760" t="s">
        <v>6574</v>
      </c>
      <c r="M53" s="369"/>
      <c r="N53" s="369" t="s">
        <v>6575</v>
      </c>
      <c r="O53" s="360" t="s">
        <v>6576</v>
      </c>
      <c r="P53" s="757"/>
    </row>
    <row r="54" ht="15.75" customHeight="1">
      <c r="A54" s="727">
        <v>42.0</v>
      </c>
      <c r="B54" s="360" t="s">
        <v>24</v>
      </c>
      <c r="C54" s="360" t="s">
        <v>6577</v>
      </c>
      <c r="D54" s="360" t="s">
        <v>2474</v>
      </c>
      <c r="E54" s="360" t="s">
        <v>70</v>
      </c>
      <c r="F54" s="758">
        <v>2.241E8</v>
      </c>
      <c r="G54" s="719" t="s">
        <v>6578</v>
      </c>
      <c r="H54" s="360" t="s">
        <v>92</v>
      </c>
      <c r="I54" s="719" t="s">
        <v>6579</v>
      </c>
      <c r="J54" s="719" t="s">
        <v>6580</v>
      </c>
      <c r="K54" s="759" t="s">
        <v>6581</v>
      </c>
      <c r="L54" s="760" t="s">
        <v>6582</v>
      </c>
      <c r="M54" s="369"/>
      <c r="N54" s="369" t="s">
        <v>6437</v>
      </c>
      <c r="O54" s="360"/>
      <c r="P54" s="757"/>
    </row>
    <row r="55" ht="15.75" customHeight="1">
      <c r="A55" s="727">
        <v>43.0</v>
      </c>
      <c r="B55" s="360" t="s">
        <v>24</v>
      </c>
      <c r="C55" s="360" t="s">
        <v>6583</v>
      </c>
      <c r="D55" s="360" t="s">
        <v>2474</v>
      </c>
      <c r="E55" s="360" t="s">
        <v>70</v>
      </c>
      <c r="F55" s="758">
        <v>3.235E8</v>
      </c>
      <c r="G55" s="719" t="s">
        <v>6584</v>
      </c>
      <c r="H55" s="360" t="s">
        <v>92</v>
      </c>
      <c r="I55" s="719" t="s">
        <v>6585</v>
      </c>
      <c r="J55" s="360" t="s">
        <v>6586</v>
      </c>
      <c r="K55" s="759" t="s">
        <v>6587</v>
      </c>
      <c r="L55" s="760" t="s">
        <v>6588</v>
      </c>
      <c r="M55" s="369"/>
      <c r="N55" s="369" t="s">
        <v>6589</v>
      </c>
      <c r="O55" s="360"/>
      <c r="P55" s="757"/>
    </row>
    <row r="56" ht="15.75" customHeight="1">
      <c r="A56" s="727">
        <v>44.0</v>
      </c>
      <c r="B56" s="360" t="s">
        <v>24</v>
      </c>
      <c r="C56" s="360" t="s">
        <v>6590</v>
      </c>
      <c r="D56" s="360" t="s">
        <v>2474</v>
      </c>
      <c r="E56" s="360" t="s">
        <v>70</v>
      </c>
      <c r="F56" s="758">
        <v>2.668E8</v>
      </c>
      <c r="G56" s="719" t="s">
        <v>6591</v>
      </c>
      <c r="H56" s="360" t="s">
        <v>92</v>
      </c>
      <c r="I56" s="719" t="s">
        <v>6592</v>
      </c>
      <c r="J56" s="360" t="s">
        <v>6593</v>
      </c>
      <c r="K56" s="759" t="s">
        <v>6594</v>
      </c>
      <c r="L56" s="760" t="s">
        <v>6595</v>
      </c>
      <c r="M56" s="369"/>
      <c r="N56" s="761" t="s">
        <v>6596</v>
      </c>
      <c r="O56" s="360" t="s">
        <v>6597</v>
      </c>
      <c r="P56" s="771" t="s">
        <v>6598</v>
      </c>
    </row>
    <row r="57" ht="15.75" customHeight="1">
      <c r="A57" s="727">
        <v>45.0</v>
      </c>
      <c r="B57" s="360" t="s">
        <v>780</v>
      </c>
      <c r="C57" s="360"/>
      <c r="D57" s="360" t="s">
        <v>2474</v>
      </c>
      <c r="E57" s="360" t="s">
        <v>70</v>
      </c>
      <c r="F57" s="758">
        <v>1.9915E8</v>
      </c>
      <c r="G57" s="360" t="s">
        <v>5860</v>
      </c>
      <c r="H57" s="360" t="s">
        <v>58</v>
      </c>
      <c r="I57" s="360" t="s">
        <v>6599</v>
      </c>
      <c r="J57" s="360" t="s">
        <v>6600</v>
      </c>
      <c r="K57" s="369"/>
      <c r="L57" s="369"/>
      <c r="M57" s="369"/>
      <c r="N57" s="369" t="s">
        <v>6601</v>
      </c>
      <c r="O57" s="360"/>
      <c r="P57" s="757"/>
    </row>
    <row r="58" ht="15.75" customHeight="1">
      <c r="A58" s="727">
        <v>46.0</v>
      </c>
      <c r="B58" s="360" t="s">
        <v>780</v>
      </c>
      <c r="C58" s="360"/>
      <c r="D58" s="360" t="s">
        <v>2474</v>
      </c>
      <c r="E58" s="360" t="s">
        <v>70</v>
      </c>
      <c r="F58" s="758">
        <v>3.2505E8</v>
      </c>
      <c r="G58" s="360" t="s">
        <v>6602</v>
      </c>
      <c r="H58" s="360" t="s">
        <v>58</v>
      </c>
      <c r="I58" s="719" t="s">
        <v>6603</v>
      </c>
      <c r="J58" s="360" t="s">
        <v>6604</v>
      </c>
      <c r="K58" s="759" t="s">
        <v>6605</v>
      </c>
      <c r="L58" s="760" t="s">
        <v>6606</v>
      </c>
      <c r="M58" s="369"/>
      <c r="N58" s="369" t="s">
        <v>6607</v>
      </c>
      <c r="O58" s="360"/>
      <c r="P58" s="757"/>
    </row>
    <row r="59" ht="15.75" customHeight="1">
      <c r="A59" s="727">
        <v>47.0</v>
      </c>
      <c r="B59" s="360" t="s">
        <v>24</v>
      </c>
      <c r="C59" s="360" t="s">
        <v>6608</v>
      </c>
      <c r="D59" s="360" t="s">
        <v>2474</v>
      </c>
      <c r="E59" s="360" t="s">
        <v>70</v>
      </c>
      <c r="F59" s="758">
        <v>1.925E8</v>
      </c>
      <c r="G59" s="719" t="s">
        <v>6609</v>
      </c>
      <c r="H59" s="360" t="s">
        <v>58</v>
      </c>
      <c r="I59" s="360" t="s">
        <v>6610</v>
      </c>
      <c r="J59" s="360" t="s">
        <v>6611</v>
      </c>
      <c r="K59" s="759" t="s">
        <v>6612</v>
      </c>
      <c r="L59" s="760" t="s">
        <v>6613</v>
      </c>
      <c r="M59" s="369"/>
      <c r="N59" s="369" t="s">
        <v>6614</v>
      </c>
      <c r="O59" s="360"/>
      <c r="P59" s="757"/>
    </row>
    <row r="60" ht="15.75" customHeight="1">
      <c r="A60" s="727">
        <v>48.0</v>
      </c>
      <c r="B60" s="360" t="s">
        <v>24</v>
      </c>
      <c r="C60" s="360" t="s">
        <v>6608</v>
      </c>
      <c r="D60" s="360" t="s">
        <v>2474</v>
      </c>
      <c r="E60" s="360" t="s">
        <v>27</v>
      </c>
      <c r="F60" s="758">
        <v>1.925E8</v>
      </c>
      <c r="G60" s="719" t="s">
        <v>6609</v>
      </c>
      <c r="H60" s="360" t="s">
        <v>58</v>
      </c>
      <c r="I60" s="719" t="s">
        <v>6615</v>
      </c>
      <c r="J60" s="360" t="s">
        <v>6616</v>
      </c>
      <c r="K60" s="759" t="s">
        <v>6617</v>
      </c>
      <c r="L60" s="760" t="s">
        <v>6618</v>
      </c>
      <c r="M60" s="759" t="s">
        <v>2368</v>
      </c>
      <c r="N60" s="369" t="s">
        <v>6355</v>
      </c>
      <c r="O60" s="360"/>
      <c r="P60" s="757"/>
    </row>
    <row r="61" ht="15.75" customHeight="1">
      <c r="A61" s="727">
        <v>49.0</v>
      </c>
      <c r="B61" s="360" t="s">
        <v>24</v>
      </c>
      <c r="C61" s="360" t="s">
        <v>6608</v>
      </c>
      <c r="D61" s="360" t="s">
        <v>2474</v>
      </c>
      <c r="E61" s="360" t="s">
        <v>27</v>
      </c>
      <c r="F61" s="758">
        <v>1.925E8</v>
      </c>
      <c r="G61" s="719" t="s">
        <v>6609</v>
      </c>
      <c r="H61" s="360" t="s">
        <v>58</v>
      </c>
      <c r="I61" s="719" t="s">
        <v>6619</v>
      </c>
      <c r="J61" s="360" t="s">
        <v>6620</v>
      </c>
      <c r="K61" s="759" t="s">
        <v>6621</v>
      </c>
      <c r="L61" s="760" t="s">
        <v>6622</v>
      </c>
      <c r="M61" s="759" t="s">
        <v>2368</v>
      </c>
      <c r="N61" s="369" t="s">
        <v>6355</v>
      </c>
      <c r="O61" s="360"/>
      <c r="P61" s="757"/>
    </row>
    <row r="62" ht="15.75" customHeight="1">
      <c r="A62" s="727">
        <v>50.0</v>
      </c>
      <c r="B62" s="360" t="s">
        <v>24</v>
      </c>
      <c r="C62" s="360" t="s">
        <v>6473</v>
      </c>
      <c r="D62" s="360" t="s">
        <v>2474</v>
      </c>
      <c r="E62" s="360" t="s">
        <v>70</v>
      </c>
      <c r="F62" s="758">
        <v>1.8E8</v>
      </c>
      <c r="G62" s="719" t="s">
        <v>6623</v>
      </c>
      <c r="H62" s="360" t="s">
        <v>58</v>
      </c>
      <c r="I62" s="719" t="s">
        <v>6624</v>
      </c>
      <c r="J62" s="360" t="s">
        <v>6625</v>
      </c>
      <c r="K62" s="759" t="s">
        <v>6626</v>
      </c>
      <c r="L62" s="760" t="s">
        <v>6627</v>
      </c>
      <c r="M62" s="369"/>
      <c r="N62" s="369" t="s">
        <v>6628</v>
      </c>
      <c r="O62" s="360"/>
      <c r="P62" s="757"/>
    </row>
    <row r="63" ht="15.75" customHeight="1">
      <c r="A63" s="727">
        <v>51.0</v>
      </c>
      <c r="B63" s="360" t="s">
        <v>24</v>
      </c>
      <c r="C63" s="360" t="s">
        <v>6473</v>
      </c>
      <c r="D63" s="360" t="s">
        <v>2474</v>
      </c>
      <c r="E63" s="360" t="s">
        <v>27</v>
      </c>
      <c r="F63" s="758">
        <v>1.8E8</v>
      </c>
      <c r="G63" s="719" t="s">
        <v>6629</v>
      </c>
      <c r="H63" s="360" t="s">
        <v>58</v>
      </c>
      <c r="I63" s="360" t="s">
        <v>6630</v>
      </c>
      <c r="J63" s="360" t="s">
        <v>6631</v>
      </c>
      <c r="K63" s="759" t="s">
        <v>6632</v>
      </c>
      <c r="L63" s="760" t="s">
        <v>6633</v>
      </c>
      <c r="M63" s="759" t="s">
        <v>2368</v>
      </c>
      <c r="N63" s="369" t="s">
        <v>6355</v>
      </c>
      <c r="O63" s="360"/>
      <c r="P63" s="757"/>
    </row>
    <row r="64" ht="15.75" customHeight="1">
      <c r="A64" s="727">
        <v>52.0</v>
      </c>
      <c r="B64" s="360" t="s">
        <v>24</v>
      </c>
      <c r="C64" s="360" t="s">
        <v>4261</v>
      </c>
      <c r="D64" s="360" t="s">
        <v>2474</v>
      </c>
      <c r="E64" s="360" t="s">
        <v>70</v>
      </c>
      <c r="F64" s="758">
        <v>2.852E8</v>
      </c>
      <c r="G64" s="360" t="s">
        <v>4261</v>
      </c>
      <c r="H64" s="360" t="s">
        <v>910</v>
      </c>
      <c r="I64" s="360" t="s">
        <v>6634</v>
      </c>
      <c r="J64" s="719" t="s">
        <v>6635</v>
      </c>
      <c r="K64" s="759" t="s">
        <v>6636</v>
      </c>
      <c r="L64" s="760" t="s">
        <v>6637</v>
      </c>
      <c r="M64" s="369"/>
      <c r="N64" s="369"/>
      <c r="O64" s="360"/>
      <c r="P64" s="757"/>
    </row>
    <row r="65" ht="15.75" customHeight="1">
      <c r="A65" s="727">
        <v>53.0</v>
      </c>
      <c r="B65" s="360" t="s">
        <v>24</v>
      </c>
      <c r="C65" s="360" t="s">
        <v>6638</v>
      </c>
      <c r="D65" s="360" t="s">
        <v>2474</v>
      </c>
      <c r="E65" s="360" t="s">
        <v>70</v>
      </c>
      <c r="F65" s="758">
        <v>2.056E8</v>
      </c>
      <c r="G65" s="360"/>
      <c r="H65" s="360" t="s">
        <v>910</v>
      </c>
      <c r="I65" s="719" t="s">
        <v>6639</v>
      </c>
      <c r="J65" s="719" t="s">
        <v>6640</v>
      </c>
      <c r="K65" s="759" t="s">
        <v>6641</v>
      </c>
      <c r="L65" s="760" t="s">
        <v>6642</v>
      </c>
      <c r="M65" s="369"/>
      <c r="N65" s="369" t="s">
        <v>6643</v>
      </c>
      <c r="O65" s="360"/>
      <c r="P65" s="757"/>
    </row>
    <row r="66" ht="15.75" customHeight="1">
      <c r="A66" s="727">
        <v>54.0</v>
      </c>
      <c r="B66" s="360" t="s">
        <v>24</v>
      </c>
      <c r="C66" s="360" t="s">
        <v>6644</v>
      </c>
      <c r="D66" s="360" t="s">
        <v>2474</v>
      </c>
      <c r="E66" s="360" t="s">
        <v>70</v>
      </c>
      <c r="F66" s="758">
        <v>3.285E8</v>
      </c>
      <c r="G66" s="360"/>
      <c r="H66" s="360" t="s">
        <v>910</v>
      </c>
      <c r="I66" s="719" t="s">
        <v>6645</v>
      </c>
      <c r="J66" s="360" t="s">
        <v>6646</v>
      </c>
      <c r="K66" s="759" t="s">
        <v>6647</v>
      </c>
      <c r="L66" s="760" t="s">
        <v>6648</v>
      </c>
      <c r="M66" s="369"/>
      <c r="N66" s="761" t="s">
        <v>6649</v>
      </c>
      <c r="O66" s="360"/>
      <c r="P66" s="771" t="s">
        <v>6650</v>
      </c>
    </row>
    <row r="67" ht="15.75" customHeight="1">
      <c r="A67" s="727">
        <v>55.0</v>
      </c>
      <c r="B67" s="360" t="s">
        <v>24</v>
      </c>
      <c r="C67" s="360" t="s">
        <v>6644</v>
      </c>
      <c r="D67" s="360" t="s">
        <v>2474</v>
      </c>
      <c r="E67" s="360" t="s">
        <v>70</v>
      </c>
      <c r="F67" s="758">
        <v>3.285E8</v>
      </c>
      <c r="G67" s="360"/>
      <c r="H67" s="360" t="s">
        <v>910</v>
      </c>
      <c r="I67" s="360" t="s">
        <v>6651</v>
      </c>
      <c r="J67" s="360" t="s">
        <v>6652</v>
      </c>
      <c r="K67" s="759" t="s">
        <v>6653</v>
      </c>
      <c r="L67" s="760" t="s">
        <v>6654</v>
      </c>
      <c r="M67" s="369"/>
      <c r="N67" s="761" t="s">
        <v>6655</v>
      </c>
      <c r="O67" s="360"/>
      <c r="P67" s="757"/>
    </row>
    <row r="68" ht="15.75" customHeight="1">
      <c r="A68" s="727">
        <v>56.0</v>
      </c>
      <c r="B68" s="360" t="s">
        <v>24</v>
      </c>
      <c r="C68" s="360" t="s">
        <v>6644</v>
      </c>
      <c r="D68" s="360" t="s">
        <v>2474</v>
      </c>
      <c r="E68" s="360" t="s">
        <v>70</v>
      </c>
      <c r="F68" s="758">
        <v>3.285E8</v>
      </c>
      <c r="G68" s="360"/>
      <c r="H68" s="360" t="s">
        <v>910</v>
      </c>
      <c r="I68" s="360" t="s">
        <v>6656</v>
      </c>
      <c r="J68" s="360" t="s">
        <v>6657</v>
      </c>
      <c r="K68" s="759" t="s">
        <v>6658</v>
      </c>
      <c r="L68" s="760" t="s">
        <v>6659</v>
      </c>
      <c r="M68" s="369"/>
      <c r="N68" s="761" t="s">
        <v>6660</v>
      </c>
      <c r="O68" s="360"/>
      <c r="P68" s="757"/>
    </row>
    <row r="69" ht="15.75" customHeight="1">
      <c r="A69" s="727">
        <v>57.0</v>
      </c>
      <c r="B69" s="360" t="s">
        <v>24</v>
      </c>
      <c r="C69" s="360" t="s">
        <v>6661</v>
      </c>
      <c r="D69" s="360" t="s">
        <v>2474</v>
      </c>
      <c r="E69" s="360" t="s">
        <v>70</v>
      </c>
      <c r="F69" s="758">
        <v>1.849E8</v>
      </c>
      <c r="G69" s="360"/>
      <c r="H69" s="360" t="s">
        <v>910</v>
      </c>
      <c r="I69" s="360" t="s">
        <v>6662</v>
      </c>
      <c r="J69" s="360" t="s">
        <v>6663</v>
      </c>
      <c r="K69" s="369"/>
      <c r="L69" s="369"/>
      <c r="M69" s="369"/>
      <c r="N69" s="369" t="s">
        <v>6664</v>
      </c>
      <c r="O69" s="360"/>
      <c r="P69" s="757"/>
    </row>
    <row r="70" ht="15.75" customHeight="1">
      <c r="A70" s="727">
        <v>58.0</v>
      </c>
      <c r="B70" s="360" t="s">
        <v>24</v>
      </c>
      <c r="C70" s="360" t="s">
        <v>4261</v>
      </c>
      <c r="D70" s="360" t="s">
        <v>2474</v>
      </c>
      <c r="E70" s="360" t="s">
        <v>70</v>
      </c>
      <c r="F70" s="758">
        <v>2.852E8</v>
      </c>
      <c r="G70" s="360"/>
      <c r="H70" s="360" t="s">
        <v>910</v>
      </c>
      <c r="I70" s="360" t="s">
        <v>6665</v>
      </c>
      <c r="J70" s="719" t="s">
        <v>6666</v>
      </c>
      <c r="K70" s="759" t="s">
        <v>6667</v>
      </c>
      <c r="L70" s="369"/>
      <c r="M70" s="369"/>
      <c r="N70" s="761" t="s">
        <v>6668</v>
      </c>
      <c r="O70" s="360"/>
      <c r="P70" s="771" t="s">
        <v>6669</v>
      </c>
    </row>
    <row r="71" ht="15.75" customHeight="1">
      <c r="A71" s="727">
        <v>59.0</v>
      </c>
      <c r="B71" s="360" t="s">
        <v>779</v>
      </c>
      <c r="C71" s="360" t="s">
        <v>780</v>
      </c>
      <c r="D71" s="360" t="s">
        <v>2474</v>
      </c>
      <c r="E71" s="360" t="s">
        <v>70</v>
      </c>
      <c r="F71" s="758">
        <v>1.8265E8</v>
      </c>
      <c r="G71" s="360" t="s">
        <v>6670</v>
      </c>
      <c r="H71" s="360" t="s">
        <v>71</v>
      </c>
      <c r="I71" s="360" t="s">
        <v>6671</v>
      </c>
      <c r="J71" s="360" t="s">
        <v>6672</v>
      </c>
      <c r="K71" s="759" t="s">
        <v>6673</v>
      </c>
      <c r="L71" s="760" t="s">
        <v>6674</v>
      </c>
      <c r="M71" s="369"/>
      <c r="N71" s="369"/>
      <c r="O71" s="360" t="s">
        <v>6675</v>
      </c>
      <c r="P71" s="757"/>
    </row>
    <row r="72" ht="15.75" customHeight="1">
      <c r="A72" s="727">
        <v>60.0</v>
      </c>
      <c r="B72" s="360" t="s">
        <v>24</v>
      </c>
      <c r="C72" s="360" t="s">
        <v>6676</v>
      </c>
      <c r="D72" s="360" t="s">
        <v>2474</v>
      </c>
      <c r="E72" s="360" t="s">
        <v>70</v>
      </c>
      <c r="F72" s="758">
        <v>2.26305E8</v>
      </c>
      <c r="G72" s="360"/>
      <c r="H72" s="360" t="s">
        <v>1076</v>
      </c>
      <c r="I72" s="360" t="s">
        <v>6677</v>
      </c>
      <c r="J72" s="719" t="s">
        <v>6678</v>
      </c>
      <c r="K72" s="759" t="s">
        <v>6679</v>
      </c>
      <c r="L72" s="760" t="s">
        <v>6680</v>
      </c>
      <c r="M72" s="369"/>
      <c r="N72" s="369" t="s">
        <v>6681</v>
      </c>
      <c r="O72" s="360"/>
      <c r="P72" s="757"/>
    </row>
    <row r="73" ht="15.75" customHeight="1">
      <c r="A73" s="727">
        <v>61.0</v>
      </c>
      <c r="B73" s="360" t="s">
        <v>24</v>
      </c>
      <c r="C73" s="360" t="s">
        <v>6682</v>
      </c>
      <c r="D73" s="360" t="s">
        <v>2474</v>
      </c>
      <c r="E73" s="360" t="s">
        <v>70</v>
      </c>
      <c r="F73" s="758">
        <v>2.26305E8</v>
      </c>
      <c r="G73" s="360"/>
      <c r="H73" s="360" t="s">
        <v>1076</v>
      </c>
      <c r="I73" s="360" t="s">
        <v>6683</v>
      </c>
      <c r="J73" s="360" t="s">
        <v>6684</v>
      </c>
      <c r="K73" s="759" t="s">
        <v>6685</v>
      </c>
      <c r="L73" s="760" t="s">
        <v>6686</v>
      </c>
      <c r="M73" s="369"/>
      <c r="N73" s="369" t="s">
        <v>6681</v>
      </c>
      <c r="O73" s="360"/>
      <c r="P73" s="757"/>
    </row>
    <row r="74" ht="15.75" customHeight="1">
      <c r="A74" s="727">
        <v>62.0</v>
      </c>
      <c r="B74" s="360" t="s">
        <v>24</v>
      </c>
      <c r="C74" s="360" t="s">
        <v>6687</v>
      </c>
      <c r="D74" s="360" t="s">
        <v>2474</v>
      </c>
      <c r="E74" s="360" t="s">
        <v>70</v>
      </c>
      <c r="F74" s="758">
        <v>6.5E8</v>
      </c>
      <c r="G74" s="360"/>
      <c r="H74" s="360" t="s">
        <v>1076</v>
      </c>
      <c r="I74" s="719" t="s">
        <v>6688</v>
      </c>
      <c r="J74" s="360" t="s">
        <v>6689</v>
      </c>
      <c r="K74" s="759" t="s">
        <v>6690</v>
      </c>
      <c r="L74" s="760" t="s">
        <v>6691</v>
      </c>
      <c r="M74" s="369"/>
      <c r="N74" s="761" t="s">
        <v>6692</v>
      </c>
      <c r="O74" s="360"/>
      <c r="P74" s="757"/>
    </row>
    <row r="75" ht="15.75" customHeight="1">
      <c r="A75" s="727">
        <v>63.0</v>
      </c>
      <c r="B75" s="360" t="s">
        <v>6497</v>
      </c>
      <c r="C75" s="360" t="s">
        <v>6693</v>
      </c>
      <c r="D75" s="360" t="s">
        <v>2474</v>
      </c>
      <c r="E75" s="719" t="s">
        <v>70</v>
      </c>
      <c r="F75" s="758">
        <v>5.26E8</v>
      </c>
      <c r="G75" s="719" t="s">
        <v>6694</v>
      </c>
      <c r="H75" s="360" t="s">
        <v>78</v>
      </c>
      <c r="I75" s="360" t="s">
        <v>6695</v>
      </c>
      <c r="J75" s="719" t="s">
        <v>6696</v>
      </c>
      <c r="K75" s="759" t="s">
        <v>6697</v>
      </c>
      <c r="L75" s="760" t="s">
        <v>6698</v>
      </c>
      <c r="M75" s="369"/>
      <c r="N75" s="760" t="s">
        <v>6699</v>
      </c>
      <c r="O75" s="360"/>
      <c r="P75" s="757"/>
    </row>
    <row r="76" ht="15.75" customHeight="1">
      <c r="A76" s="727">
        <v>64.0</v>
      </c>
      <c r="B76" s="360" t="s">
        <v>24</v>
      </c>
      <c r="C76" s="360" t="s">
        <v>6700</v>
      </c>
      <c r="D76" s="360" t="s">
        <v>2474</v>
      </c>
      <c r="E76" s="360" t="s">
        <v>70</v>
      </c>
      <c r="F76" s="758">
        <v>4.571E8</v>
      </c>
      <c r="G76" s="360"/>
      <c r="H76" s="360" t="s">
        <v>78</v>
      </c>
      <c r="I76" s="360" t="s">
        <v>6701</v>
      </c>
      <c r="J76" s="360" t="s">
        <v>6702</v>
      </c>
      <c r="K76" s="759" t="s">
        <v>6703</v>
      </c>
      <c r="L76" s="760" t="s">
        <v>6704</v>
      </c>
      <c r="M76" s="369"/>
      <c r="N76" s="369" t="s">
        <v>6705</v>
      </c>
      <c r="O76" s="360"/>
      <c r="P76" s="757"/>
    </row>
    <row r="77" ht="15.75" customHeight="1">
      <c r="A77" s="727">
        <v>65.0</v>
      </c>
      <c r="B77" s="360" t="s">
        <v>24</v>
      </c>
      <c r="C77" s="360" t="s">
        <v>6706</v>
      </c>
      <c r="D77" s="360" t="s">
        <v>2474</v>
      </c>
      <c r="E77" s="360" t="s">
        <v>70</v>
      </c>
      <c r="F77" s="758">
        <v>2.9E8</v>
      </c>
      <c r="G77" s="719" t="s">
        <v>6707</v>
      </c>
      <c r="H77" s="360" t="s">
        <v>78</v>
      </c>
      <c r="I77" s="360" t="s">
        <v>6708</v>
      </c>
      <c r="J77" s="360" t="s">
        <v>6709</v>
      </c>
      <c r="K77" s="759" t="s">
        <v>6710</v>
      </c>
      <c r="L77" s="760" t="s">
        <v>6711</v>
      </c>
      <c r="M77" s="369"/>
      <c r="N77" s="761" t="s">
        <v>6712</v>
      </c>
      <c r="O77" s="360"/>
      <c r="P77" s="771" t="s">
        <v>6713</v>
      </c>
    </row>
    <row r="78" ht="15.75" customHeight="1">
      <c r="A78" s="727">
        <v>66.0</v>
      </c>
      <c r="B78" s="360" t="s">
        <v>24</v>
      </c>
      <c r="C78" s="360" t="s">
        <v>6706</v>
      </c>
      <c r="D78" s="360" t="s">
        <v>2474</v>
      </c>
      <c r="E78" s="360" t="s">
        <v>27</v>
      </c>
      <c r="F78" s="758">
        <v>2.9E8</v>
      </c>
      <c r="G78" s="719" t="s">
        <v>6707</v>
      </c>
      <c r="H78" s="360" t="s">
        <v>78</v>
      </c>
      <c r="I78" s="360" t="s">
        <v>6714</v>
      </c>
      <c r="J78" s="360" t="s">
        <v>6715</v>
      </c>
      <c r="K78" s="759" t="s">
        <v>6716</v>
      </c>
      <c r="L78" s="760" t="s">
        <v>6717</v>
      </c>
      <c r="M78" s="369"/>
      <c r="N78" s="369" t="s">
        <v>6457</v>
      </c>
      <c r="O78" s="360"/>
      <c r="P78" s="757"/>
    </row>
    <row r="79" ht="15.75" customHeight="1">
      <c r="A79" s="727">
        <v>67.0</v>
      </c>
      <c r="B79" s="360" t="s">
        <v>24</v>
      </c>
      <c r="C79" s="360" t="s">
        <v>6706</v>
      </c>
      <c r="D79" s="360" t="s">
        <v>2474</v>
      </c>
      <c r="E79" s="360" t="s">
        <v>70</v>
      </c>
      <c r="F79" s="758">
        <v>2.9E8</v>
      </c>
      <c r="G79" s="719" t="s">
        <v>6707</v>
      </c>
      <c r="H79" s="360" t="s">
        <v>78</v>
      </c>
      <c r="I79" s="360" t="s">
        <v>6718</v>
      </c>
      <c r="J79" s="360" t="s">
        <v>6719</v>
      </c>
      <c r="K79" s="759" t="s">
        <v>6720</v>
      </c>
      <c r="L79" s="760" t="s">
        <v>6721</v>
      </c>
      <c r="M79" s="369"/>
      <c r="N79" s="369" t="s">
        <v>6722</v>
      </c>
      <c r="O79" s="360"/>
      <c r="P79" s="757"/>
    </row>
    <row r="80" ht="15.75" customHeight="1">
      <c r="A80" s="727">
        <v>68.0</v>
      </c>
      <c r="B80" s="360" t="s">
        <v>24</v>
      </c>
      <c r="C80" s="360" t="s">
        <v>6723</v>
      </c>
      <c r="D80" s="360" t="s">
        <v>2474</v>
      </c>
      <c r="E80" s="360" t="s">
        <v>70</v>
      </c>
      <c r="F80" s="758">
        <v>2.6E8</v>
      </c>
      <c r="G80" s="719" t="s">
        <v>6724</v>
      </c>
      <c r="H80" s="360" t="s">
        <v>78</v>
      </c>
      <c r="I80" s="360" t="s">
        <v>6725</v>
      </c>
      <c r="J80" s="360" t="s">
        <v>6726</v>
      </c>
      <c r="K80" s="759" t="s">
        <v>6727</v>
      </c>
      <c r="L80" s="760" t="s">
        <v>6728</v>
      </c>
      <c r="M80" s="369"/>
      <c r="N80" s="369" t="s">
        <v>6729</v>
      </c>
      <c r="O80" s="360"/>
      <c r="P80" s="757"/>
    </row>
    <row r="81" ht="15.75" customHeight="1">
      <c r="A81" s="727">
        <v>69.0</v>
      </c>
      <c r="B81" s="360" t="s">
        <v>24</v>
      </c>
      <c r="C81" s="360" t="s">
        <v>6723</v>
      </c>
      <c r="D81" s="360" t="s">
        <v>2474</v>
      </c>
      <c r="E81" s="360" t="s">
        <v>70</v>
      </c>
      <c r="F81" s="758">
        <v>2.6E8</v>
      </c>
      <c r="G81" s="719" t="s">
        <v>6724</v>
      </c>
      <c r="H81" s="360" t="s">
        <v>78</v>
      </c>
      <c r="I81" s="360" t="s">
        <v>6730</v>
      </c>
      <c r="J81" s="360" t="s">
        <v>6731</v>
      </c>
      <c r="K81" s="759" t="s">
        <v>6732</v>
      </c>
      <c r="L81" s="760" t="s">
        <v>6733</v>
      </c>
      <c r="M81" s="369"/>
      <c r="N81" s="369" t="s">
        <v>6729</v>
      </c>
      <c r="O81" s="360"/>
      <c r="P81" s="757"/>
    </row>
    <row r="82" ht="15.75" customHeight="1">
      <c r="A82" s="727">
        <v>70.0</v>
      </c>
      <c r="B82" s="360" t="s">
        <v>24</v>
      </c>
      <c r="C82" s="360" t="s">
        <v>6723</v>
      </c>
      <c r="D82" s="360" t="s">
        <v>2474</v>
      </c>
      <c r="E82" s="360" t="s">
        <v>70</v>
      </c>
      <c r="F82" s="758">
        <v>2.6E8</v>
      </c>
      <c r="G82" s="719" t="s">
        <v>6724</v>
      </c>
      <c r="H82" s="360" t="s">
        <v>78</v>
      </c>
      <c r="I82" s="360" t="s">
        <v>6734</v>
      </c>
      <c r="J82" s="360" t="s">
        <v>6735</v>
      </c>
      <c r="K82" s="759" t="s">
        <v>6736</v>
      </c>
      <c r="L82" s="760" t="s">
        <v>6737</v>
      </c>
      <c r="M82" s="369"/>
      <c r="N82" s="369" t="s">
        <v>6729</v>
      </c>
      <c r="O82" s="360"/>
      <c r="P82" s="757"/>
    </row>
    <row r="83" ht="15.75" customHeight="1">
      <c r="A83" s="727">
        <v>71.0</v>
      </c>
      <c r="B83" s="360" t="s">
        <v>24</v>
      </c>
      <c r="C83" s="360" t="s">
        <v>6723</v>
      </c>
      <c r="D83" s="360" t="s">
        <v>2474</v>
      </c>
      <c r="E83" s="360" t="s">
        <v>70</v>
      </c>
      <c r="F83" s="758">
        <v>2.6E8</v>
      </c>
      <c r="G83" s="719" t="s">
        <v>6724</v>
      </c>
      <c r="H83" s="360" t="s">
        <v>78</v>
      </c>
      <c r="I83" s="360" t="s">
        <v>6738</v>
      </c>
      <c r="J83" s="360" t="s">
        <v>6739</v>
      </c>
      <c r="K83" s="759" t="s">
        <v>6740</v>
      </c>
      <c r="L83" s="760" t="s">
        <v>6741</v>
      </c>
      <c r="M83" s="369"/>
      <c r="N83" s="369" t="s">
        <v>6729</v>
      </c>
      <c r="O83" s="360"/>
      <c r="P83" s="757"/>
    </row>
    <row r="84" ht="15.75" customHeight="1">
      <c r="A84" s="727">
        <v>72.0</v>
      </c>
      <c r="B84" s="360" t="s">
        <v>24</v>
      </c>
      <c r="C84" s="360" t="s">
        <v>6742</v>
      </c>
      <c r="D84" s="360" t="s">
        <v>2474</v>
      </c>
      <c r="E84" s="360" t="s">
        <v>70</v>
      </c>
      <c r="F84" s="758">
        <v>3.17E8</v>
      </c>
      <c r="G84" s="360"/>
      <c r="H84" s="360" t="s">
        <v>78</v>
      </c>
      <c r="I84" s="360" t="s">
        <v>6743</v>
      </c>
      <c r="J84" s="360" t="s">
        <v>6744</v>
      </c>
      <c r="K84" s="759" t="s">
        <v>6745</v>
      </c>
      <c r="L84" s="760" t="s">
        <v>6746</v>
      </c>
      <c r="M84" s="369"/>
      <c r="N84" s="369" t="s">
        <v>6664</v>
      </c>
      <c r="O84" s="360"/>
      <c r="P84" s="757"/>
    </row>
    <row r="85" ht="15.75" customHeight="1">
      <c r="A85" s="727">
        <v>73.0</v>
      </c>
      <c r="B85" s="360" t="s">
        <v>24</v>
      </c>
      <c r="C85" s="360" t="s">
        <v>6742</v>
      </c>
      <c r="D85" s="360" t="s">
        <v>2474</v>
      </c>
      <c r="E85" s="360" t="s">
        <v>70</v>
      </c>
      <c r="F85" s="758">
        <v>3.17E8</v>
      </c>
      <c r="G85" s="360"/>
      <c r="H85" s="360" t="s">
        <v>78</v>
      </c>
      <c r="I85" s="360" t="s">
        <v>6747</v>
      </c>
      <c r="J85" s="360" t="s">
        <v>6748</v>
      </c>
      <c r="K85" s="759" t="s">
        <v>6749</v>
      </c>
      <c r="L85" s="760" t="s">
        <v>6750</v>
      </c>
      <c r="M85" s="369"/>
      <c r="N85" s="369" t="s">
        <v>6431</v>
      </c>
      <c r="O85" s="360"/>
      <c r="P85" s="757"/>
    </row>
    <row r="86" ht="15.75" customHeight="1">
      <c r="A86" s="727">
        <v>74.0</v>
      </c>
      <c r="B86" s="360" t="s">
        <v>24</v>
      </c>
      <c r="C86" s="360" t="s">
        <v>6751</v>
      </c>
      <c r="D86" s="360" t="s">
        <v>2474</v>
      </c>
      <c r="E86" s="360" t="s">
        <v>70</v>
      </c>
      <c r="F86" s="758">
        <v>2.72E8</v>
      </c>
      <c r="G86" s="719" t="s">
        <v>6752</v>
      </c>
      <c r="H86" s="360" t="s">
        <v>862</v>
      </c>
      <c r="I86" s="360" t="s">
        <v>6753</v>
      </c>
      <c r="J86" s="360" t="s">
        <v>6754</v>
      </c>
      <c r="K86" s="759" t="s">
        <v>6755</v>
      </c>
      <c r="L86" s="760" t="s">
        <v>6756</v>
      </c>
      <c r="M86" s="369"/>
      <c r="N86" s="761" t="s">
        <v>6757</v>
      </c>
      <c r="O86" s="360"/>
      <c r="P86" s="771" t="s">
        <v>6758</v>
      </c>
    </row>
    <row r="87" ht="15.75" customHeight="1">
      <c r="A87" s="727">
        <v>75.0</v>
      </c>
      <c r="B87" s="786" t="s">
        <v>1885</v>
      </c>
      <c r="C87" s="787" t="s">
        <v>6700</v>
      </c>
      <c r="D87" s="786" t="s">
        <v>2474</v>
      </c>
      <c r="E87" s="786" t="s">
        <v>70</v>
      </c>
      <c r="F87" s="758">
        <v>4.532E8</v>
      </c>
      <c r="G87" s="786" t="s">
        <v>6759</v>
      </c>
      <c r="H87" s="786">
        <v>2020.0</v>
      </c>
      <c r="I87" s="786" t="s">
        <v>6760</v>
      </c>
      <c r="J87" s="786" t="s">
        <v>6761</v>
      </c>
      <c r="K87" s="788" t="s">
        <v>6762</v>
      </c>
      <c r="L87" s="789"/>
      <c r="M87" s="789"/>
      <c r="N87" s="790" t="s">
        <v>6763</v>
      </c>
      <c r="O87" s="360"/>
      <c r="P87" s="757"/>
    </row>
    <row r="88" ht="15.75" customHeight="1">
      <c r="A88" s="727">
        <v>76.0</v>
      </c>
      <c r="B88" s="786" t="s">
        <v>2831</v>
      </c>
      <c r="C88" s="786" t="s">
        <v>6764</v>
      </c>
      <c r="D88" s="786" t="s">
        <v>2474</v>
      </c>
      <c r="E88" s="786" t="s">
        <v>70</v>
      </c>
      <c r="F88" s="791">
        <v>4.33E8</v>
      </c>
      <c r="G88" s="787" t="s">
        <v>6765</v>
      </c>
      <c r="H88" s="786">
        <v>2019.0</v>
      </c>
      <c r="I88" s="786" t="s">
        <v>6766</v>
      </c>
      <c r="J88" s="786" t="s">
        <v>6767</v>
      </c>
      <c r="K88" s="788" t="s">
        <v>6768</v>
      </c>
      <c r="L88" s="790" t="s">
        <v>6769</v>
      </c>
      <c r="M88" s="789"/>
      <c r="N88" s="790" t="s">
        <v>6770</v>
      </c>
      <c r="O88" s="360"/>
      <c r="P88" s="771" t="s">
        <v>6771</v>
      </c>
    </row>
    <row r="89" ht="15.75" customHeight="1">
      <c r="A89" s="727">
        <v>77.0</v>
      </c>
      <c r="B89" s="786" t="s">
        <v>883</v>
      </c>
      <c r="C89" s="786" t="s">
        <v>6772</v>
      </c>
      <c r="D89" s="786" t="s">
        <v>2474</v>
      </c>
      <c r="E89" s="786" t="s">
        <v>70</v>
      </c>
      <c r="F89" s="791">
        <v>6.35E8</v>
      </c>
      <c r="G89" s="787" t="s">
        <v>6773</v>
      </c>
      <c r="H89" s="786">
        <v>2025.0</v>
      </c>
      <c r="I89" s="787" t="s">
        <v>6774</v>
      </c>
      <c r="J89" s="786" t="s">
        <v>6775</v>
      </c>
      <c r="K89" s="788" t="s">
        <v>6776</v>
      </c>
      <c r="L89" s="790" t="s">
        <v>6777</v>
      </c>
      <c r="M89" s="789"/>
      <c r="N89" s="789"/>
      <c r="O89" s="360"/>
      <c r="P89" s="757"/>
    </row>
    <row r="90" ht="15.75" customHeight="1">
      <c r="A90" s="727">
        <v>78.0</v>
      </c>
      <c r="B90" s="360" t="s">
        <v>2831</v>
      </c>
      <c r="C90" s="719" t="s">
        <v>6778</v>
      </c>
      <c r="D90" s="360" t="s">
        <v>2474</v>
      </c>
      <c r="E90" s="360" t="s">
        <v>70</v>
      </c>
      <c r="F90" s="792">
        <v>6.7E8</v>
      </c>
      <c r="G90" s="360" t="s">
        <v>6779</v>
      </c>
      <c r="H90" s="360" t="s">
        <v>887</v>
      </c>
      <c r="I90" s="360" t="s">
        <v>6780</v>
      </c>
      <c r="J90" s="360" t="s">
        <v>6781</v>
      </c>
      <c r="K90" s="759" t="s">
        <v>6782</v>
      </c>
      <c r="L90" s="760" t="s">
        <v>6783</v>
      </c>
      <c r="M90" s="369"/>
      <c r="N90" s="369" t="s">
        <v>6384</v>
      </c>
      <c r="O90" s="360"/>
      <c r="P90" s="757"/>
    </row>
    <row r="91" ht="15.75" customHeight="1">
      <c r="A91" s="753"/>
      <c r="B91" s="354" t="s">
        <v>1933</v>
      </c>
      <c r="C91" s="354"/>
      <c r="D91" s="354"/>
      <c r="E91" s="354"/>
      <c r="F91" s="355">
        <f>SUM(F92:F107)</f>
        <v>6374987000</v>
      </c>
      <c r="G91" s="354"/>
      <c r="H91" s="354"/>
      <c r="I91" s="354"/>
      <c r="J91" s="354"/>
      <c r="K91" s="754"/>
      <c r="L91" s="754"/>
      <c r="M91" s="755"/>
      <c r="N91" s="755"/>
      <c r="O91" s="360"/>
      <c r="P91" s="757"/>
    </row>
    <row r="92" ht="15.75" customHeight="1">
      <c r="A92" s="727">
        <v>79.0</v>
      </c>
      <c r="B92" s="360" t="s">
        <v>908</v>
      </c>
      <c r="C92" s="360" t="s">
        <v>6784</v>
      </c>
      <c r="D92" s="360" t="s">
        <v>2474</v>
      </c>
      <c r="E92" s="360" t="s">
        <v>27</v>
      </c>
      <c r="F92" s="758">
        <v>7.0E7</v>
      </c>
      <c r="G92" s="360"/>
      <c r="H92" s="360" t="s">
        <v>924</v>
      </c>
      <c r="I92" s="719" t="s">
        <v>6785</v>
      </c>
      <c r="J92" s="360" t="s">
        <v>6786</v>
      </c>
      <c r="K92" s="759" t="s">
        <v>6787</v>
      </c>
      <c r="L92" s="760" t="s">
        <v>6788</v>
      </c>
      <c r="M92" s="759" t="s">
        <v>2368</v>
      </c>
      <c r="N92" s="761" t="s">
        <v>6355</v>
      </c>
      <c r="O92" s="360" t="s">
        <v>6789</v>
      </c>
      <c r="P92" s="757"/>
    </row>
    <row r="93" ht="15.75" customHeight="1">
      <c r="A93" s="727">
        <v>80.0</v>
      </c>
      <c r="B93" s="360" t="s">
        <v>908</v>
      </c>
      <c r="C93" s="360" t="s">
        <v>6790</v>
      </c>
      <c r="D93" s="360" t="s">
        <v>2474</v>
      </c>
      <c r="E93" s="360" t="s">
        <v>70</v>
      </c>
      <c r="F93" s="758">
        <v>3.47E8</v>
      </c>
      <c r="G93" s="360"/>
      <c r="H93" s="360" t="s">
        <v>37</v>
      </c>
      <c r="I93" s="360" t="s">
        <v>6791</v>
      </c>
      <c r="J93" s="360" t="s">
        <v>6792</v>
      </c>
      <c r="K93" s="759" t="s">
        <v>6793</v>
      </c>
      <c r="L93" s="760" t="s">
        <v>6794</v>
      </c>
      <c r="M93" s="369"/>
      <c r="N93" s="761" t="s">
        <v>6550</v>
      </c>
      <c r="O93" s="360"/>
      <c r="P93" s="771" t="s">
        <v>6795</v>
      </c>
    </row>
    <row r="94" ht="15.75" customHeight="1">
      <c r="A94" s="727">
        <v>81.0</v>
      </c>
      <c r="B94" s="360" t="s">
        <v>908</v>
      </c>
      <c r="C94" s="360" t="s">
        <v>6796</v>
      </c>
      <c r="D94" s="360" t="s">
        <v>2474</v>
      </c>
      <c r="E94" s="360" t="s">
        <v>70</v>
      </c>
      <c r="F94" s="758">
        <v>2.4613E8</v>
      </c>
      <c r="G94" s="719" t="s">
        <v>6797</v>
      </c>
      <c r="H94" s="360" t="s">
        <v>44</v>
      </c>
      <c r="I94" s="719" t="s">
        <v>6798</v>
      </c>
      <c r="J94" s="360" t="s">
        <v>6799</v>
      </c>
      <c r="K94" s="759" t="s">
        <v>6800</v>
      </c>
      <c r="L94" s="760" t="s">
        <v>6801</v>
      </c>
      <c r="M94" s="369"/>
      <c r="N94" s="369" t="s">
        <v>6649</v>
      </c>
      <c r="O94" s="360"/>
      <c r="P94" s="757"/>
    </row>
    <row r="95" ht="15.75" customHeight="1">
      <c r="A95" s="727">
        <v>82.0</v>
      </c>
      <c r="B95" s="360" t="s">
        <v>908</v>
      </c>
      <c r="C95" s="360" t="s">
        <v>6802</v>
      </c>
      <c r="D95" s="360" t="s">
        <v>2474</v>
      </c>
      <c r="E95" s="360" t="s">
        <v>70</v>
      </c>
      <c r="F95" s="758">
        <v>3.49907E8</v>
      </c>
      <c r="G95" s="719" t="s">
        <v>6803</v>
      </c>
      <c r="H95" s="360" t="s">
        <v>92</v>
      </c>
      <c r="I95" s="719" t="s">
        <v>6804</v>
      </c>
      <c r="J95" s="360" t="s">
        <v>6805</v>
      </c>
      <c r="K95" s="759" t="s">
        <v>6806</v>
      </c>
      <c r="L95" s="760" t="s">
        <v>6807</v>
      </c>
      <c r="M95" s="369"/>
      <c r="N95" s="369" t="s">
        <v>6349</v>
      </c>
      <c r="O95" s="360"/>
      <c r="P95" s="757"/>
    </row>
    <row r="96" ht="15.75" customHeight="1">
      <c r="A96" s="727">
        <v>83.0</v>
      </c>
      <c r="B96" s="360" t="s">
        <v>908</v>
      </c>
      <c r="C96" s="360" t="s">
        <v>6808</v>
      </c>
      <c r="D96" s="360" t="s">
        <v>2474</v>
      </c>
      <c r="E96" s="360" t="s">
        <v>70</v>
      </c>
      <c r="F96" s="758">
        <v>2.5E8</v>
      </c>
      <c r="G96" s="719" t="s">
        <v>6809</v>
      </c>
      <c r="H96" s="360" t="s">
        <v>92</v>
      </c>
      <c r="I96" s="719" t="s">
        <v>6810</v>
      </c>
      <c r="J96" s="360" t="s">
        <v>6811</v>
      </c>
      <c r="K96" s="759" t="s">
        <v>6812</v>
      </c>
      <c r="L96" s="760" t="s">
        <v>6813</v>
      </c>
      <c r="M96" s="369"/>
      <c r="N96" s="369" t="s">
        <v>6649</v>
      </c>
      <c r="O96" s="360"/>
      <c r="P96" s="757"/>
    </row>
    <row r="97" ht="15.75" customHeight="1">
      <c r="A97" s="727">
        <v>84.0</v>
      </c>
      <c r="B97" s="360" t="s">
        <v>908</v>
      </c>
      <c r="C97" s="360" t="s">
        <v>6814</v>
      </c>
      <c r="D97" s="360" t="s">
        <v>2474</v>
      </c>
      <c r="E97" s="360" t="s">
        <v>70</v>
      </c>
      <c r="F97" s="758">
        <v>1.879E8</v>
      </c>
      <c r="G97" s="719" t="s">
        <v>959</v>
      </c>
      <c r="H97" s="360" t="s">
        <v>58</v>
      </c>
      <c r="I97" s="360" t="s">
        <v>6815</v>
      </c>
      <c r="J97" s="719" t="s">
        <v>6816</v>
      </c>
      <c r="K97" s="759" t="s">
        <v>6817</v>
      </c>
      <c r="L97" s="760" t="s">
        <v>6818</v>
      </c>
      <c r="M97" s="369"/>
      <c r="N97" s="761" t="s">
        <v>6649</v>
      </c>
      <c r="O97" s="360"/>
      <c r="P97" s="757"/>
    </row>
    <row r="98" ht="15.75" customHeight="1">
      <c r="A98" s="727">
        <v>85.0</v>
      </c>
      <c r="B98" s="360" t="s">
        <v>908</v>
      </c>
      <c r="C98" s="360" t="s">
        <v>6819</v>
      </c>
      <c r="D98" s="360" t="s">
        <v>2474</v>
      </c>
      <c r="E98" s="360" t="s">
        <v>27</v>
      </c>
      <c r="F98" s="758">
        <v>3.645E8</v>
      </c>
      <c r="G98" s="719" t="s">
        <v>959</v>
      </c>
      <c r="H98" s="360" t="s">
        <v>58</v>
      </c>
      <c r="I98" s="719" t="s">
        <v>6820</v>
      </c>
      <c r="J98" s="719" t="s">
        <v>6821</v>
      </c>
      <c r="K98" s="759" t="s">
        <v>6822</v>
      </c>
      <c r="L98" s="760" t="s">
        <v>6823</v>
      </c>
      <c r="M98" s="759" t="s">
        <v>2368</v>
      </c>
      <c r="N98" s="369" t="s">
        <v>6355</v>
      </c>
      <c r="O98" s="360"/>
      <c r="P98" s="757"/>
    </row>
    <row r="99" ht="15.75" customHeight="1">
      <c r="A99" s="727">
        <v>86.0</v>
      </c>
      <c r="B99" s="360" t="s">
        <v>908</v>
      </c>
      <c r="C99" s="360" t="s">
        <v>6824</v>
      </c>
      <c r="D99" s="360" t="s">
        <v>2474</v>
      </c>
      <c r="E99" s="360" t="s">
        <v>70</v>
      </c>
      <c r="F99" s="758">
        <v>4.78E8</v>
      </c>
      <c r="G99" s="360"/>
      <c r="H99" s="360" t="s">
        <v>78</v>
      </c>
      <c r="I99" s="360" t="s">
        <v>6825</v>
      </c>
      <c r="J99" s="360" t="s">
        <v>6826</v>
      </c>
      <c r="K99" s="759" t="s">
        <v>6827</v>
      </c>
      <c r="L99" s="760" t="s">
        <v>6828</v>
      </c>
      <c r="M99" s="369"/>
      <c r="N99" s="369"/>
      <c r="O99" s="360" t="s">
        <v>6829</v>
      </c>
      <c r="P99" s="757"/>
    </row>
    <row r="100" ht="15.75" customHeight="1">
      <c r="A100" s="727">
        <v>87.0</v>
      </c>
      <c r="B100" s="360" t="s">
        <v>4403</v>
      </c>
      <c r="C100" s="360" t="s">
        <v>4402</v>
      </c>
      <c r="D100" s="360" t="s">
        <v>2474</v>
      </c>
      <c r="E100" s="360" t="s">
        <v>70</v>
      </c>
      <c r="F100" s="791">
        <v>4.33E8</v>
      </c>
      <c r="G100" s="360"/>
      <c r="H100" s="786">
        <v>2020.0</v>
      </c>
      <c r="I100" s="360" t="s">
        <v>4404</v>
      </c>
      <c r="J100" s="360" t="s">
        <v>4405</v>
      </c>
      <c r="K100" s="369"/>
      <c r="L100" s="369"/>
      <c r="M100" s="369"/>
      <c r="N100" s="369"/>
      <c r="O100" s="360"/>
      <c r="P100" s="757"/>
    </row>
    <row r="101" ht="15.75" customHeight="1">
      <c r="A101" s="727">
        <v>88.0</v>
      </c>
      <c r="B101" s="360" t="s">
        <v>6830</v>
      </c>
      <c r="C101" s="360" t="s">
        <v>6831</v>
      </c>
      <c r="D101" s="360" t="s">
        <v>2474</v>
      </c>
      <c r="E101" s="360" t="s">
        <v>70</v>
      </c>
      <c r="F101" s="758">
        <v>4.758E8</v>
      </c>
      <c r="G101" s="719" t="s">
        <v>3260</v>
      </c>
      <c r="H101" s="360" t="s">
        <v>2329</v>
      </c>
      <c r="I101" s="360" t="s">
        <v>6832</v>
      </c>
      <c r="J101" s="360" t="s">
        <v>6833</v>
      </c>
      <c r="K101" s="759" t="s">
        <v>6834</v>
      </c>
      <c r="L101" s="760" t="s">
        <v>6834</v>
      </c>
      <c r="M101" s="369"/>
      <c r="N101" s="369" t="s">
        <v>6835</v>
      </c>
      <c r="O101" s="360" t="s">
        <v>6836</v>
      </c>
      <c r="P101" s="757"/>
    </row>
    <row r="102" ht="15.75" customHeight="1">
      <c r="A102" s="727">
        <v>89.0</v>
      </c>
      <c r="B102" s="360" t="s">
        <v>6837</v>
      </c>
      <c r="C102" s="360" t="s">
        <v>6838</v>
      </c>
      <c r="D102" s="360" t="s">
        <v>2474</v>
      </c>
      <c r="E102" s="360" t="s">
        <v>70</v>
      </c>
      <c r="F102" s="758">
        <v>5.986E8</v>
      </c>
      <c r="G102" s="360" t="s">
        <v>885</v>
      </c>
      <c r="H102" s="360" t="s">
        <v>2329</v>
      </c>
      <c r="I102" s="360" t="s">
        <v>6839</v>
      </c>
      <c r="J102" s="360" t="s">
        <v>6840</v>
      </c>
      <c r="K102" s="759" t="s">
        <v>6841</v>
      </c>
      <c r="L102" s="760" t="s">
        <v>6842</v>
      </c>
      <c r="M102" s="369"/>
      <c r="N102" s="369" t="s">
        <v>6843</v>
      </c>
      <c r="O102" s="360"/>
      <c r="P102" s="757"/>
    </row>
    <row r="103" ht="15.75" customHeight="1">
      <c r="A103" s="727">
        <v>90.0</v>
      </c>
      <c r="B103" s="360" t="s">
        <v>6844</v>
      </c>
      <c r="C103" s="360" t="s">
        <v>6844</v>
      </c>
      <c r="D103" s="360" t="s">
        <v>2474</v>
      </c>
      <c r="E103" s="360" t="s">
        <v>70</v>
      </c>
      <c r="F103" s="758">
        <v>4.855E8</v>
      </c>
      <c r="G103" s="360" t="s">
        <v>6845</v>
      </c>
      <c r="H103" s="360" t="s">
        <v>611</v>
      </c>
      <c r="I103" s="360" t="s">
        <v>6846</v>
      </c>
      <c r="J103" s="360" t="s">
        <v>6847</v>
      </c>
      <c r="K103" s="759" t="s">
        <v>6848</v>
      </c>
      <c r="L103" s="760" t="s">
        <v>6849</v>
      </c>
      <c r="M103" s="369"/>
      <c r="N103" s="369"/>
      <c r="O103" s="360" t="s">
        <v>6850</v>
      </c>
      <c r="P103" s="757"/>
    </row>
    <row r="104" ht="15.75" customHeight="1">
      <c r="A104" s="727">
        <v>91.0</v>
      </c>
      <c r="B104" s="360" t="s">
        <v>6844</v>
      </c>
      <c r="C104" s="360" t="s">
        <v>6844</v>
      </c>
      <c r="D104" s="360" t="s">
        <v>2474</v>
      </c>
      <c r="E104" s="360" t="s">
        <v>70</v>
      </c>
      <c r="F104" s="758">
        <v>4.855E8</v>
      </c>
      <c r="G104" s="360" t="s">
        <v>6845</v>
      </c>
      <c r="H104" s="360" t="s">
        <v>611</v>
      </c>
      <c r="I104" s="360" t="s">
        <v>6851</v>
      </c>
      <c r="J104" s="360" t="s">
        <v>6852</v>
      </c>
      <c r="K104" s="759" t="s">
        <v>6853</v>
      </c>
      <c r="L104" s="760" t="s">
        <v>6854</v>
      </c>
      <c r="M104" s="369"/>
      <c r="N104" s="369"/>
      <c r="O104" s="360" t="s">
        <v>6850</v>
      </c>
      <c r="P104" s="757"/>
    </row>
    <row r="105" ht="15.75" customHeight="1">
      <c r="A105" s="727">
        <v>92.0</v>
      </c>
      <c r="B105" s="360" t="s">
        <v>6855</v>
      </c>
      <c r="C105" s="360" t="s">
        <v>6855</v>
      </c>
      <c r="D105" s="360" t="s">
        <v>2474</v>
      </c>
      <c r="E105" s="360" t="s">
        <v>70</v>
      </c>
      <c r="F105" s="758">
        <v>4.855E8</v>
      </c>
      <c r="G105" s="719" t="s">
        <v>6856</v>
      </c>
      <c r="H105" s="360" t="s">
        <v>611</v>
      </c>
      <c r="I105" s="360" t="s">
        <v>6857</v>
      </c>
      <c r="J105" s="360" t="s">
        <v>6858</v>
      </c>
      <c r="K105" s="759" t="s">
        <v>6859</v>
      </c>
      <c r="L105" s="760" t="s">
        <v>6860</v>
      </c>
      <c r="M105" s="369"/>
      <c r="N105" s="369"/>
      <c r="O105" s="360" t="s">
        <v>6850</v>
      </c>
      <c r="P105" s="757"/>
    </row>
    <row r="106" ht="15.75" customHeight="1">
      <c r="A106" s="727">
        <v>93.0</v>
      </c>
      <c r="B106" s="360" t="s">
        <v>6855</v>
      </c>
      <c r="C106" s="360" t="s">
        <v>6855</v>
      </c>
      <c r="D106" s="360" t="s">
        <v>2474</v>
      </c>
      <c r="E106" s="360" t="s">
        <v>70</v>
      </c>
      <c r="F106" s="758">
        <v>5.366E8</v>
      </c>
      <c r="G106" s="719" t="s">
        <v>6856</v>
      </c>
      <c r="H106" s="360" t="s">
        <v>611</v>
      </c>
      <c r="I106" s="360" t="s">
        <v>6861</v>
      </c>
      <c r="J106" s="360" t="s">
        <v>6862</v>
      </c>
      <c r="K106" s="759" t="s">
        <v>6863</v>
      </c>
      <c r="L106" s="760" t="s">
        <v>6864</v>
      </c>
      <c r="M106" s="369"/>
      <c r="N106" s="369"/>
      <c r="O106" s="360" t="s">
        <v>6850</v>
      </c>
      <c r="P106" s="757"/>
    </row>
    <row r="107" ht="15.75" customHeight="1">
      <c r="A107" s="727">
        <v>94.0</v>
      </c>
      <c r="B107" s="786" t="s">
        <v>908</v>
      </c>
      <c r="C107" s="786" t="s">
        <v>6865</v>
      </c>
      <c r="D107" s="786" t="s">
        <v>2474</v>
      </c>
      <c r="E107" s="786" t="s">
        <v>70</v>
      </c>
      <c r="F107" s="793">
        <v>5.8105E8</v>
      </c>
      <c r="G107" s="719" t="s">
        <v>6856</v>
      </c>
      <c r="H107" s="786">
        <v>2025.0</v>
      </c>
      <c r="I107" s="719" t="s">
        <v>6866</v>
      </c>
      <c r="J107" s="719" t="s">
        <v>6867</v>
      </c>
      <c r="K107" s="759" t="s">
        <v>6868</v>
      </c>
      <c r="L107" s="760" t="s">
        <v>6869</v>
      </c>
      <c r="M107" s="369"/>
      <c r="N107" s="760" t="s">
        <v>6870</v>
      </c>
      <c r="O107" s="360"/>
      <c r="P107" s="757"/>
    </row>
    <row r="108" ht="15.75" customHeight="1">
      <c r="A108" s="727">
        <v>95.0</v>
      </c>
      <c r="B108" s="360"/>
      <c r="C108" s="360"/>
      <c r="D108" s="360"/>
      <c r="E108" s="360"/>
      <c r="F108" s="758"/>
      <c r="G108" s="360"/>
      <c r="H108" s="360"/>
      <c r="I108" s="360"/>
      <c r="J108" s="360"/>
      <c r="K108" s="369"/>
      <c r="L108" s="369"/>
      <c r="M108" s="369"/>
      <c r="N108" s="369"/>
      <c r="O108" s="360"/>
      <c r="P108" s="757"/>
    </row>
    <row r="109" ht="15.75" customHeight="1">
      <c r="A109" s="727">
        <v>96.0</v>
      </c>
      <c r="B109" s="360"/>
      <c r="C109" s="360"/>
      <c r="D109" s="360"/>
      <c r="E109" s="360"/>
      <c r="F109" s="758"/>
      <c r="G109" s="360"/>
      <c r="H109" s="360"/>
      <c r="I109" s="360"/>
      <c r="J109" s="360"/>
      <c r="K109" s="369"/>
      <c r="L109" s="369"/>
      <c r="M109" s="369"/>
      <c r="N109" s="369"/>
      <c r="O109" s="360"/>
      <c r="P109" s="757"/>
    </row>
    <row r="110" ht="15.75" customHeight="1">
      <c r="A110" s="753"/>
      <c r="B110" s="354" t="s">
        <v>99</v>
      </c>
      <c r="C110" s="354"/>
      <c r="D110" s="354"/>
      <c r="E110" s="354"/>
      <c r="F110" s="355">
        <f>SUM(F111:F181)</f>
        <v>1265777635</v>
      </c>
      <c r="G110" s="355"/>
      <c r="H110" s="354"/>
      <c r="I110" s="354"/>
      <c r="J110" s="354"/>
      <c r="K110" s="754"/>
      <c r="L110" s="754"/>
      <c r="M110" s="755"/>
      <c r="N110" s="755"/>
      <c r="O110" s="360"/>
      <c r="P110" s="757"/>
    </row>
    <row r="111" ht="15.75" customHeight="1">
      <c r="A111" s="727">
        <v>1.0</v>
      </c>
      <c r="B111" s="360" t="s">
        <v>100</v>
      </c>
      <c r="C111" s="360" t="s">
        <v>1379</v>
      </c>
      <c r="D111" s="360" t="s">
        <v>2474</v>
      </c>
      <c r="E111" s="360" t="s">
        <v>27</v>
      </c>
      <c r="F111" s="758">
        <v>7000000.0</v>
      </c>
      <c r="G111" s="360"/>
      <c r="H111" s="360" t="s">
        <v>782</v>
      </c>
      <c r="I111" s="360" t="s">
        <v>6871</v>
      </c>
      <c r="J111" s="360" t="s">
        <v>6872</v>
      </c>
      <c r="K111" s="759" t="s">
        <v>6873</v>
      </c>
      <c r="L111" s="759" t="s">
        <v>6874</v>
      </c>
      <c r="M111" s="369"/>
      <c r="N111" s="369" t="s">
        <v>6457</v>
      </c>
      <c r="O111" s="360"/>
      <c r="P111" s="757"/>
    </row>
    <row r="112" ht="15.75" customHeight="1">
      <c r="A112" s="727">
        <v>2.0</v>
      </c>
      <c r="B112" s="360" t="s">
        <v>100</v>
      </c>
      <c r="C112" s="360" t="s">
        <v>144</v>
      </c>
      <c r="D112" s="360" t="s">
        <v>2474</v>
      </c>
      <c r="E112" s="360" t="s">
        <v>27</v>
      </c>
      <c r="F112" s="758">
        <v>6000000.0</v>
      </c>
      <c r="G112" s="360"/>
      <c r="H112" s="360" t="s">
        <v>924</v>
      </c>
      <c r="I112" s="360" t="s">
        <v>6875</v>
      </c>
      <c r="J112" s="719" t="s">
        <v>6876</v>
      </c>
      <c r="K112" s="759" t="s">
        <v>6877</v>
      </c>
      <c r="L112" s="759" t="s">
        <v>6878</v>
      </c>
      <c r="M112" s="369"/>
      <c r="N112" s="759" t="s">
        <v>6879</v>
      </c>
      <c r="O112" s="360"/>
      <c r="P112" s="757"/>
    </row>
    <row r="113" ht="15.75" customHeight="1">
      <c r="A113" s="727">
        <v>3.0</v>
      </c>
      <c r="B113" s="360" t="s">
        <v>100</v>
      </c>
      <c r="C113" s="360" t="s">
        <v>6880</v>
      </c>
      <c r="D113" s="360" t="s">
        <v>2474</v>
      </c>
      <c r="E113" s="360" t="s">
        <v>3743</v>
      </c>
      <c r="F113" s="758">
        <v>6500000.0</v>
      </c>
      <c r="G113" s="360"/>
      <c r="H113" s="360" t="s">
        <v>924</v>
      </c>
      <c r="I113" s="360" t="s">
        <v>6881</v>
      </c>
      <c r="J113" s="360" t="s">
        <v>6882</v>
      </c>
      <c r="K113" s="369"/>
      <c r="L113" s="369"/>
      <c r="M113" s="369"/>
      <c r="N113" s="369" t="s">
        <v>6883</v>
      </c>
      <c r="O113" s="360"/>
      <c r="P113" s="757"/>
    </row>
    <row r="114" ht="15.75" customHeight="1">
      <c r="A114" s="727">
        <v>4.0</v>
      </c>
      <c r="B114" s="360" t="s">
        <v>100</v>
      </c>
      <c r="C114" s="360" t="s">
        <v>1379</v>
      </c>
      <c r="D114" s="360" t="s">
        <v>2474</v>
      </c>
      <c r="E114" s="360" t="s">
        <v>27</v>
      </c>
      <c r="F114" s="758">
        <v>9000000.0</v>
      </c>
      <c r="G114" s="360"/>
      <c r="H114" s="360" t="s">
        <v>145</v>
      </c>
      <c r="I114" s="360" t="s">
        <v>6884</v>
      </c>
      <c r="J114" s="360" t="s">
        <v>6885</v>
      </c>
      <c r="K114" s="759" t="s">
        <v>6886</v>
      </c>
      <c r="L114" s="759" t="s">
        <v>6887</v>
      </c>
      <c r="M114" s="369"/>
      <c r="N114" s="369" t="s">
        <v>6457</v>
      </c>
      <c r="O114" s="360"/>
      <c r="P114" s="757"/>
    </row>
    <row r="115" ht="15.75" customHeight="1">
      <c r="A115" s="727">
        <v>5.0</v>
      </c>
      <c r="B115" s="360" t="s">
        <v>100</v>
      </c>
      <c r="C115" s="360" t="s">
        <v>3266</v>
      </c>
      <c r="D115" s="360" t="s">
        <v>2474</v>
      </c>
      <c r="E115" s="360" t="s">
        <v>70</v>
      </c>
      <c r="F115" s="758">
        <v>1.2725E7</v>
      </c>
      <c r="G115" s="360"/>
      <c r="H115" s="360" t="s">
        <v>37</v>
      </c>
      <c r="I115" s="360" t="s">
        <v>6888</v>
      </c>
      <c r="J115" s="360" t="s">
        <v>6889</v>
      </c>
      <c r="K115" s="759" t="s">
        <v>6890</v>
      </c>
      <c r="L115" s="759" t="s">
        <v>6891</v>
      </c>
      <c r="M115" s="369"/>
      <c r="N115" s="761" t="s">
        <v>6892</v>
      </c>
      <c r="O115" s="360" t="s">
        <v>6893</v>
      </c>
      <c r="P115" s="771" t="s">
        <v>6894</v>
      </c>
    </row>
    <row r="116" ht="15.75" customHeight="1">
      <c r="A116" s="727">
        <v>6.0</v>
      </c>
      <c r="B116" s="360" t="s">
        <v>100</v>
      </c>
      <c r="C116" s="360" t="s">
        <v>3266</v>
      </c>
      <c r="D116" s="360" t="s">
        <v>2474</v>
      </c>
      <c r="E116" s="360" t="s">
        <v>70</v>
      </c>
      <c r="F116" s="758">
        <v>1.2725E7</v>
      </c>
      <c r="G116" s="360"/>
      <c r="H116" s="360" t="s">
        <v>37</v>
      </c>
      <c r="I116" s="360" t="s">
        <v>6895</v>
      </c>
      <c r="J116" s="360" t="s">
        <v>6896</v>
      </c>
      <c r="K116" s="759" t="s">
        <v>6897</v>
      </c>
      <c r="L116" s="759" t="s">
        <v>6898</v>
      </c>
      <c r="M116" s="369"/>
      <c r="N116" s="369" t="s">
        <v>6899</v>
      </c>
      <c r="O116" s="360"/>
      <c r="P116" s="757"/>
    </row>
    <row r="117" ht="15.75" customHeight="1">
      <c r="A117" s="727">
        <v>7.0</v>
      </c>
      <c r="B117" s="360" t="s">
        <v>100</v>
      </c>
      <c r="C117" s="360" t="s">
        <v>6900</v>
      </c>
      <c r="D117" s="360" t="s">
        <v>2474</v>
      </c>
      <c r="E117" s="360" t="s">
        <v>70</v>
      </c>
      <c r="F117" s="758">
        <v>1.2675E7</v>
      </c>
      <c r="G117" s="360"/>
      <c r="H117" s="360" t="s">
        <v>84</v>
      </c>
      <c r="I117" s="360" t="s">
        <v>6901</v>
      </c>
      <c r="J117" s="360" t="s">
        <v>6902</v>
      </c>
      <c r="K117" s="759" t="s">
        <v>6903</v>
      </c>
      <c r="L117" s="759" t="s">
        <v>6904</v>
      </c>
      <c r="M117" s="369"/>
      <c r="N117" s="761" t="s">
        <v>6905</v>
      </c>
      <c r="O117" s="360" t="s">
        <v>6906</v>
      </c>
      <c r="P117" s="771" t="s">
        <v>6907</v>
      </c>
    </row>
    <row r="118" ht="15.75" customHeight="1">
      <c r="A118" s="727">
        <v>8.0</v>
      </c>
      <c r="B118" s="360" t="s">
        <v>100</v>
      </c>
      <c r="C118" s="360" t="s">
        <v>5892</v>
      </c>
      <c r="D118" s="360" t="s">
        <v>2474</v>
      </c>
      <c r="E118" s="360" t="s">
        <v>70</v>
      </c>
      <c r="F118" s="758">
        <v>1.32E7</v>
      </c>
      <c r="G118" s="360"/>
      <c r="H118" s="360" t="s">
        <v>474</v>
      </c>
      <c r="I118" s="360" t="s">
        <v>6908</v>
      </c>
      <c r="J118" s="360" t="s">
        <v>6909</v>
      </c>
      <c r="K118" s="759" t="s">
        <v>6910</v>
      </c>
      <c r="L118" s="759" t="s">
        <v>6911</v>
      </c>
      <c r="M118" s="369"/>
      <c r="N118" s="369" t="s">
        <v>6483</v>
      </c>
      <c r="O118" s="360"/>
      <c r="P118" s="757"/>
    </row>
    <row r="119" ht="15.75" customHeight="1">
      <c r="A119" s="727">
        <v>9.0</v>
      </c>
      <c r="B119" s="360" t="s">
        <v>100</v>
      </c>
      <c r="C119" s="360" t="s">
        <v>5892</v>
      </c>
      <c r="D119" s="360" t="s">
        <v>2474</v>
      </c>
      <c r="E119" s="360" t="s">
        <v>70</v>
      </c>
      <c r="F119" s="758">
        <v>1.32E7</v>
      </c>
      <c r="G119" s="360"/>
      <c r="H119" s="360" t="s">
        <v>474</v>
      </c>
      <c r="I119" s="719" t="s">
        <v>6912</v>
      </c>
      <c r="J119" s="719" t="s">
        <v>6913</v>
      </c>
      <c r="K119" s="759" t="s">
        <v>6914</v>
      </c>
      <c r="L119" s="759" t="s">
        <v>6915</v>
      </c>
      <c r="M119" s="369"/>
      <c r="N119" s="761" t="s">
        <v>6916</v>
      </c>
      <c r="O119" s="360"/>
      <c r="P119" s="771" t="s">
        <v>6917</v>
      </c>
    </row>
    <row r="120" ht="15.75" customHeight="1">
      <c r="A120" s="727">
        <v>10.0</v>
      </c>
      <c r="B120" s="360" t="s">
        <v>100</v>
      </c>
      <c r="C120" s="360" t="s">
        <v>5892</v>
      </c>
      <c r="D120" s="360" t="s">
        <v>2474</v>
      </c>
      <c r="E120" s="360" t="s">
        <v>70</v>
      </c>
      <c r="F120" s="758">
        <v>1.32E7</v>
      </c>
      <c r="G120" s="360"/>
      <c r="H120" s="360" t="s">
        <v>474</v>
      </c>
      <c r="I120" s="360" t="s">
        <v>6918</v>
      </c>
      <c r="J120" s="360" t="s">
        <v>6919</v>
      </c>
      <c r="K120" s="759" t="s">
        <v>6920</v>
      </c>
      <c r="L120" s="759" t="s">
        <v>6921</v>
      </c>
      <c r="M120" s="369"/>
      <c r="N120" s="761" t="s">
        <v>6649</v>
      </c>
      <c r="O120" s="360" t="s">
        <v>6922</v>
      </c>
      <c r="P120" s="771" t="s">
        <v>6923</v>
      </c>
    </row>
    <row r="121" ht="15.75" customHeight="1">
      <c r="A121" s="727">
        <v>11.0</v>
      </c>
      <c r="B121" s="360" t="s">
        <v>100</v>
      </c>
      <c r="C121" s="360" t="s">
        <v>3295</v>
      </c>
      <c r="D121" s="360" t="s">
        <v>2474</v>
      </c>
      <c r="E121" s="360" t="s">
        <v>70</v>
      </c>
      <c r="F121" s="758">
        <v>1.45E7</v>
      </c>
      <c r="G121" s="360"/>
      <c r="H121" s="360" t="s">
        <v>979</v>
      </c>
      <c r="I121" s="360" t="s">
        <v>6924</v>
      </c>
      <c r="J121" s="360" t="s">
        <v>6925</v>
      </c>
      <c r="K121" s="369"/>
      <c r="L121" s="369"/>
      <c r="M121" s="369"/>
      <c r="N121" s="761" t="s">
        <v>6496</v>
      </c>
      <c r="O121" s="360"/>
      <c r="P121" s="771" t="s">
        <v>6926</v>
      </c>
    </row>
    <row r="122" ht="15.75" customHeight="1">
      <c r="A122" s="727">
        <v>12.0</v>
      </c>
      <c r="B122" s="360" t="s">
        <v>100</v>
      </c>
      <c r="C122" s="360" t="s">
        <v>5942</v>
      </c>
      <c r="D122" s="360" t="s">
        <v>2474</v>
      </c>
      <c r="E122" s="360" t="s">
        <v>70</v>
      </c>
      <c r="F122" s="758">
        <v>1.41168E7</v>
      </c>
      <c r="G122" s="360"/>
      <c r="H122" s="360" t="s">
        <v>44</v>
      </c>
      <c r="I122" s="360" t="s">
        <v>6927</v>
      </c>
      <c r="J122" s="360" t="s">
        <v>6928</v>
      </c>
      <c r="K122" s="759" t="s">
        <v>6929</v>
      </c>
      <c r="L122" s="759" t="s">
        <v>6930</v>
      </c>
      <c r="M122" s="369"/>
      <c r="N122" s="761" t="s">
        <v>6916</v>
      </c>
      <c r="O122" s="360" t="s">
        <v>6931</v>
      </c>
      <c r="P122" s="771" t="s">
        <v>2805</v>
      </c>
    </row>
    <row r="123" ht="15.75" customHeight="1">
      <c r="A123" s="727">
        <v>13.0</v>
      </c>
      <c r="B123" s="360" t="s">
        <v>100</v>
      </c>
      <c r="C123" s="719" t="s">
        <v>6932</v>
      </c>
      <c r="D123" s="360" t="s">
        <v>2474</v>
      </c>
      <c r="E123" s="360" t="s">
        <v>70</v>
      </c>
      <c r="F123" s="758">
        <v>1.4304E7</v>
      </c>
      <c r="G123" s="360"/>
      <c r="H123" s="360" t="s">
        <v>44</v>
      </c>
      <c r="I123" s="360" t="s">
        <v>6933</v>
      </c>
      <c r="J123" s="360" t="s">
        <v>6934</v>
      </c>
      <c r="K123" s="759" t="s">
        <v>6935</v>
      </c>
      <c r="L123" s="759" t="s">
        <v>6936</v>
      </c>
      <c r="M123" s="369"/>
      <c r="N123" s="761" t="s">
        <v>6649</v>
      </c>
      <c r="O123" s="360"/>
      <c r="P123" s="771" t="s">
        <v>6937</v>
      </c>
    </row>
    <row r="124" ht="15.75" customHeight="1">
      <c r="A124" s="727">
        <v>14.0</v>
      </c>
      <c r="B124" s="360" t="s">
        <v>100</v>
      </c>
      <c r="C124" s="360" t="s">
        <v>5925</v>
      </c>
      <c r="D124" s="360" t="s">
        <v>2474</v>
      </c>
      <c r="E124" s="360" t="s">
        <v>70</v>
      </c>
      <c r="F124" s="758">
        <v>1.4304E7</v>
      </c>
      <c r="G124" s="360"/>
      <c r="H124" s="360" t="s">
        <v>44</v>
      </c>
      <c r="I124" s="360" t="s">
        <v>6938</v>
      </c>
      <c r="J124" s="360" t="s">
        <v>6939</v>
      </c>
      <c r="K124" s="759" t="s">
        <v>6940</v>
      </c>
      <c r="L124" s="759" t="s">
        <v>6941</v>
      </c>
      <c r="M124" s="369"/>
      <c r="N124" s="369" t="s">
        <v>6942</v>
      </c>
      <c r="O124" s="360"/>
      <c r="P124" s="757"/>
    </row>
    <row r="125" ht="15.75" customHeight="1">
      <c r="A125" s="727">
        <v>15.0</v>
      </c>
      <c r="B125" s="360" t="s">
        <v>100</v>
      </c>
      <c r="C125" s="360" t="s">
        <v>5925</v>
      </c>
      <c r="D125" s="360" t="s">
        <v>2474</v>
      </c>
      <c r="E125" s="360" t="s">
        <v>70</v>
      </c>
      <c r="F125" s="758">
        <v>1.4304E7</v>
      </c>
      <c r="G125" s="360"/>
      <c r="H125" s="360" t="s">
        <v>44</v>
      </c>
      <c r="I125" s="360" t="s">
        <v>6943</v>
      </c>
      <c r="J125" s="360" t="s">
        <v>6944</v>
      </c>
      <c r="K125" s="759" t="s">
        <v>6945</v>
      </c>
      <c r="L125" s="759" t="s">
        <v>6946</v>
      </c>
      <c r="M125" s="369"/>
      <c r="N125" s="761" t="s">
        <v>6649</v>
      </c>
      <c r="O125" s="360" t="s">
        <v>6947</v>
      </c>
      <c r="P125" s="757"/>
    </row>
    <row r="126" ht="15.75" customHeight="1">
      <c r="A126" s="727">
        <v>16.0</v>
      </c>
      <c r="B126" s="360" t="s">
        <v>100</v>
      </c>
      <c r="C126" s="360" t="s">
        <v>5925</v>
      </c>
      <c r="D126" s="360" t="s">
        <v>2474</v>
      </c>
      <c r="E126" s="360" t="s">
        <v>70</v>
      </c>
      <c r="F126" s="758">
        <v>1.4304E7</v>
      </c>
      <c r="G126" s="360"/>
      <c r="H126" s="360" t="s">
        <v>44</v>
      </c>
      <c r="I126" s="360" t="s">
        <v>6948</v>
      </c>
      <c r="J126" s="360" t="s">
        <v>6949</v>
      </c>
      <c r="K126" s="759" t="s">
        <v>6950</v>
      </c>
      <c r="L126" s="759" t="s">
        <v>6951</v>
      </c>
      <c r="M126" s="369"/>
      <c r="N126" s="761" t="s">
        <v>6952</v>
      </c>
      <c r="O126" s="360" t="s">
        <v>6953</v>
      </c>
      <c r="P126" s="771" t="s">
        <v>6954</v>
      </c>
    </row>
    <row r="127" ht="15.75" customHeight="1">
      <c r="A127" s="727">
        <v>17.0</v>
      </c>
      <c r="B127" s="360" t="s">
        <v>100</v>
      </c>
      <c r="C127" s="360" t="s">
        <v>5942</v>
      </c>
      <c r="D127" s="360" t="s">
        <v>2474</v>
      </c>
      <c r="E127" s="360" t="s">
        <v>70</v>
      </c>
      <c r="F127" s="758">
        <v>1.41168E7</v>
      </c>
      <c r="G127" s="360"/>
      <c r="H127" s="360" t="s">
        <v>44</v>
      </c>
      <c r="I127" s="360" t="s">
        <v>6955</v>
      </c>
      <c r="J127" s="360" t="s">
        <v>6956</v>
      </c>
      <c r="K127" s="759" t="s">
        <v>6957</v>
      </c>
      <c r="L127" s="759" t="s">
        <v>6958</v>
      </c>
      <c r="M127" s="369"/>
      <c r="N127" s="760" t="s">
        <v>6952</v>
      </c>
      <c r="O127" s="360" t="s">
        <v>6959</v>
      </c>
      <c r="P127" s="771" t="s">
        <v>6960</v>
      </c>
    </row>
    <row r="128" ht="15.75" customHeight="1">
      <c r="A128" s="727">
        <v>18.0</v>
      </c>
      <c r="B128" s="360" t="s">
        <v>100</v>
      </c>
      <c r="C128" s="360" t="s">
        <v>6961</v>
      </c>
      <c r="D128" s="360" t="s">
        <v>2474</v>
      </c>
      <c r="E128" s="360" t="s">
        <v>70</v>
      </c>
      <c r="F128" s="758">
        <v>1.77072E7</v>
      </c>
      <c r="G128" s="360"/>
      <c r="H128" s="360" t="s">
        <v>44</v>
      </c>
      <c r="I128" s="360" t="s">
        <v>6962</v>
      </c>
      <c r="J128" s="360" t="s">
        <v>6963</v>
      </c>
      <c r="K128" s="759" t="s">
        <v>6964</v>
      </c>
      <c r="L128" s="759" t="s">
        <v>6965</v>
      </c>
      <c r="M128" s="369"/>
      <c r="N128" s="761" t="s">
        <v>6649</v>
      </c>
      <c r="O128" s="360"/>
      <c r="P128" s="771" t="s">
        <v>6966</v>
      </c>
    </row>
    <row r="129" ht="15.75" customHeight="1">
      <c r="A129" s="727">
        <v>19.0</v>
      </c>
      <c r="B129" s="360" t="s">
        <v>100</v>
      </c>
      <c r="C129" s="360" t="s">
        <v>6961</v>
      </c>
      <c r="D129" s="360" t="s">
        <v>2474</v>
      </c>
      <c r="E129" s="360" t="s">
        <v>70</v>
      </c>
      <c r="F129" s="758">
        <v>1.77072E7</v>
      </c>
      <c r="G129" s="360"/>
      <c r="H129" s="360" t="s">
        <v>44</v>
      </c>
      <c r="I129" s="360" t="s">
        <v>6967</v>
      </c>
      <c r="J129" s="719" t="s">
        <v>6968</v>
      </c>
      <c r="K129" s="759" t="s">
        <v>6969</v>
      </c>
      <c r="L129" s="759" t="s">
        <v>6970</v>
      </c>
      <c r="M129" s="369"/>
      <c r="N129" s="369" t="s">
        <v>6649</v>
      </c>
      <c r="O129" s="360"/>
      <c r="P129" s="757"/>
    </row>
    <row r="130" ht="15.75" customHeight="1">
      <c r="A130" s="727">
        <v>20.0</v>
      </c>
      <c r="B130" s="360" t="s">
        <v>100</v>
      </c>
      <c r="C130" s="360" t="s">
        <v>6961</v>
      </c>
      <c r="D130" s="360" t="s">
        <v>2474</v>
      </c>
      <c r="E130" s="360" t="s">
        <v>27</v>
      </c>
      <c r="F130" s="758">
        <v>1.77072E7</v>
      </c>
      <c r="G130" s="360"/>
      <c r="H130" s="360" t="s">
        <v>44</v>
      </c>
      <c r="I130" s="360" t="s">
        <v>6971</v>
      </c>
      <c r="J130" s="360" t="s">
        <v>6972</v>
      </c>
      <c r="K130" s="759" t="s">
        <v>6973</v>
      </c>
      <c r="L130" s="759" t="s">
        <v>6974</v>
      </c>
      <c r="M130" s="369"/>
      <c r="N130" s="369" t="s">
        <v>6355</v>
      </c>
      <c r="O130" s="360"/>
      <c r="P130" s="757"/>
    </row>
    <row r="131" ht="15.75" customHeight="1">
      <c r="A131" s="727">
        <v>21.0</v>
      </c>
      <c r="B131" s="360" t="s">
        <v>100</v>
      </c>
      <c r="C131" s="360" t="s">
        <v>5909</v>
      </c>
      <c r="D131" s="360" t="s">
        <v>2474</v>
      </c>
      <c r="E131" s="360" t="s">
        <v>70</v>
      </c>
      <c r="F131" s="758">
        <v>1.43143E7</v>
      </c>
      <c r="G131" s="360"/>
      <c r="H131" s="360" t="s">
        <v>44</v>
      </c>
      <c r="I131" s="360" t="s">
        <v>6975</v>
      </c>
      <c r="J131" s="360" t="s">
        <v>6976</v>
      </c>
      <c r="K131" s="759" t="s">
        <v>6977</v>
      </c>
      <c r="L131" s="759" t="s">
        <v>6978</v>
      </c>
      <c r="M131" s="369"/>
      <c r="N131" s="761" t="s">
        <v>6649</v>
      </c>
      <c r="O131" s="360" t="s">
        <v>6979</v>
      </c>
      <c r="P131" s="771" t="s">
        <v>6980</v>
      </c>
    </row>
    <row r="132" ht="15.75" customHeight="1">
      <c r="A132" s="727">
        <v>22.0</v>
      </c>
      <c r="B132" s="360" t="s">
        <v>100</v>
      </c>
      <c r="C132" s="360" t="s">
        <v>5925</v>
      </c>
      <c r="D132" s="360" t="s">
        <v>2474</v>
      </c>
      <c r="E132" s="360" t="s">
        <v>70</v>
      </c>
      <c r="F132" s="758">
        <v>1.4304E7</v>
      </c>
      <c r="G132" s="360"/>
      <c r="H132" s="360" t="s">
        <v>44</v>
      </c>
      <c r="I132" s="360" t="s">
        <v>6981</v>
      </c>
      <c r="J132" s="360" t="s">
        <v>6982</v>
      </c>
      <c r="K132" s="759" t="s">
        <v>6983</v>
      </c>
      <c r="L132" s="759" t="s">
        <v>6984</v>
      </c>
      <c r="M132" s="369"/>
      <c r="N132" s="761" t="s">
        <v>6649</v>
      </c>
      <c r="O132" s="360" t="s">
        <v>6985</v>
      </c>
      <c r="P132" s="771" t="s">
        <v>6986</v>
      </c>
    </row>
    <row r="133" ht="15.75" customHeight="1">
      <c r="A133" s="727">
        <v>23.0</v>
      </c>
      <c r="B133" s="360" t="s">
        <v>100</v>
      </c>
      <c r="C133" s="360" t="s">
        <v>5936</v>
      </c>
      <c r="D133" s="360" t="s">
        <v>2474</v>
      </c>
      <c r="E133" s="360" t="s">
        <v>70</v>
      </c>
      <c r="F133" s="758">
        <v>1.4397E7</v>
      </c>
      <c r="G133" s="360"/>
      <c r="H133" s="360" t="s">
        <v>44</v>
      </c>
      <c r="I133" s="360" t="s">
        <v>6987</v>
      </c>
      <c r="J133" s="360" t="s">
        <v>6988</v>
      </c>
      <c r="K133" s="759" t="s">
        <v>6989</v>
      </c>
      <c r="L133" s="759" t="s">
        <v>6990</v>
      </c>
      <c r="M133" s="369"/>
      <c r="N133" s="369" t="s">
        <v>6649</v>
      </c>
      <c r="O133" s="360"/>
      <c r="P133" s="757"/>
    </row>
    <row r="134" ht="15.75" customHeight="1">
      <c r="A134" s="727">
        <v>24.0</v>
      </c>
      <c r="B134" s="360" t="s">
        <v>5959</v>
      </c>
      <c r="C134" s="360" t="s">
        <v>5966</v>
      </c>
      <c r="D134" s="360" t="s">
        <v>2474</v>
      </c>
      <c r="E134" s="360" t="s">
        <v>70</v>
      </c>
      <c r="F134" s="758">
        <v>1.4125733E7</v>
      </c>
      <c r="G134" s="360"/>
      <c r="H134" s="360" t="s">
        <v>92</v>
      </c>
      <c r="I134" s="360" t="s">
        <v>6991</v>
      </c>
      <c r="J134" s="719" t="s">
        <v>6992</v>
      </c>
      <c r="K134" s="759" t="s">
        <v>6993</v>
      </c>
      <c r="L134" s="759" t="s">
        <v>6994</v>
      </c>
      <c r="M134" s="369"/>
      <c r="N134" s="761" t="s">
        <v>6899</v>
      </c>
      <c r="O134" s="360" t="s">
        <v>6995</v>
      </c>
      <c r="P134" s="771" t="s">
        <v>6996</v>
      </c>
    </row>
    <row r="135" ht="15.75" customHeight="1">
      <c r="A135" s="727">
        <v>25.0</v>
      </c>
      <c r="B135" s="360" t="s">
        <v>5959</v>
      </c>
      <c r="C135" s="360" t="s">
        <v>5966</v>
      </c>
      <c r="D135" s="360" t="s">
        <v>2474</v>
      </c>
      <c r="E135" s="360" t="s">
        <v>70</v>
      </c>
      <c r="F135" s="758">
        <v>1.4125733E7</v>
      </c>
      <c r="G135" s="360"/>
      <c r="H135" s="360" t="s">
        <v>92</v>
      </c>
      <c r="I135" s="360" t="s">
        <v>6997</v>
      </c>
      <c r="J135" s="360" t="s">
        <v>6998</v>
      </c>
      <c r="K135" s="759" t="s">
        <v>6999</v>
      </c>
      <c r="L135" s="759" t="s">
        <v>7000</v>
      </c>
      <c r="M135" s="369"/>
      <c r="N135" s="761" t="s">
        <v>6649</v>
      </c>
      <c r="O135" s="360" t="s">
        <v>7001</v>
      </c>
      <c r="P135" s="771" t="s">
        <v>7002</v>
      </c>
    </row>
    <row r="136" ht="15.75" customHeight="1">
      <c r="A136" s="727">
        <v>26.0</v>
      </c>
      <c r="B136" s="360" t="s">
        <v>5959</v>
      </c>
      <c r="C136" s="360" t="s">
        <v>5966</v>
      </c>
      <c r="D136" s="360" t="s">
        <v>2474</v>
      </c>
      <c r="E136" s="360" t="s">
        <v>70</v>
      </c>
      <c r="F136" s="758">
        <v>1.4125733E7</v>
      </c>
      <c r="G136" s="360"/>
      <c r="H136" s="360" t="s">
        <v>92</v>
      </c>
      <c r="I136" s="360" t="s">
        <v>7003</v>
      </c>
      <c r="J136" s="360" t="s">
        <v>7004</v>
      </c>
      <c r="K136" s="759" t="s">
        <v>7005</v>
      </c>
      <c r="L136" s="759" t="s">
        <v>7006</v>
      </c>
      <c r="M136" s="369"/>
      <c r="N136" s="761" t="s">
        <v>7007</v>
      </c>
      <c r="O136" s="360" t="s">
        <v>7008</v>
      </c>
      <c r="P136" s="771" t="s">
        <v>7009</v>
      </c>
    </row>
    <row r="137" ht="15.75" customHeight="1">
      <c r="A137" s="727">
        <v>27.0</v>
      </c>
      <c r="B137" s="360" t="s">
        <v>5959</v>
      </c>
      <c r="C137" s="360" t="s">
        <v>5966</v>
      </c>
      <c r="D137" s="360" t="s">
        <v>2474</v>
      </c>
      <c r="E137" s="360" t="s">
        <v>27</v>
      </c>
      <c r="F137" s="758">
        <v>1.4125733E7</v>
      </c>
      <c r="G137" s="360"/>
      <c r="H137" s="360" t="s">
        <v>92</v>
      </c>
      <c r="I137" s="360" t="s">
        <v>7010</v>
      </c>
      <c r="J137" s="719" t="s">
        <v>7011</v>
      </c>
      <c r="K137" s="759" t="s">
        <v>7012</v>
      </c>
      <c r="L137" s="759" t="s">
        <v>7013</v>
      </c>
      <c r="M137" s="369"/>
      <c r="N137" s="369" t="s">
        <v>6457</v>
      </c>
      <c r="O137" s="360"/>
      <c r="P137" s="757"/>
    </row>
    <row r="138" ht="15.75" customHeight="1">
      <c r="A138" s="727">
        <v>28.0</v>
      </c>
      <c r="B138" s="360" t="s">
        <v>5959</v>
      </c>
      <c r="C138" s="360" t="s">
        <v>5966</v>
      </c>
      <c r="D138" s="360" t="s">
        <v>2474</v>
      </c>
      <c r="E138" s="360" t="s">
        <v>70</v>
      </c>
      <c r="F138" s="758">
        <v>1.4125733E7</v>
      </c>
      <c r="G138" s="360"/>
      <c r="H138" s="360" t="s">
        <v>92</v>
      </c>
      <c r="I138" s="360" t="s">
        <v>7014</v>
      </c>
      <c r="J138" s="360" t="s">
        <v>7015</v>
      </c>
      <c r="K138" s="759" t="s">
        <v>7016</v>
      </c>
      <c r="L138" s="759" t="s">
        <v>7017</v>
      </c>
      <c r="M138" s="369"/>
      <c r="N138" s="759" t="s">
        <v>7018</v>
      </c>
      <c r="O138" s="360" t="s">
        <v>7019</v>
      </c>
      <c r="P138" s="757"/>
    </row>
    <row r="139" ht="15.75" customHeight="1">
      <c r="A139" s="794">
        <v>29.0</v>
      </c>
      <c r="B139" s="795" t="s">
        <v>5959</v>
      </c>
      <c r="C139" s="795" t="s">
        <v>5966</v>
      </c>
      <c r="D139" s="795" t="s">
        <v>2474</v>
      </c>
      <c r="E139" s="796" t="s">
        <v>2603</v>
      </c>
      <c r="F139" s="797">
        <v>1.4125733E7</v>
      </c>
      <c r="G139" s="795"/>
      <c r="H139" s="795" t="s">
        <v>92</v>
      </c>
      <c r="I139" s="795" t="s">
        <v>7020</v>
      </c>
      <c r="J139" s="795" t="s">
        <v>7021</v>
      </c>
      <c r="K139" s="798" t="s">
        <v>7022</v>
      </c>
      <c r="L139" s="798" t="s">
        <v>7023</v>
      </c>
      <c r="M139" s="799"/>
      <c r="N139" s="799" t="s">
        <v>6489</v>
      </c>
      <c r="O139" s="795"/>
      <c r="P139" s="800" t="s">
        <v>2368</v>
      </c>
      <c r="Q139" s="703"/>
      <c r="R139" s="703"/>
      <c r="S139" s="703"/>
      <c r="T139" s="703"/>
      <c r="U139" s="703"/>
      <c r="V139" s="703"/>
      <c r="W139" s="703"/>
      <c r="X139" s="703"/>
      <c r="Y139" s="703"/>
      <c r="Z139" s="703"/>
      <c r="AA139" s="703"/>
      <c r="AB139" s="703"/>
    </row>
    <row r="140" ht="15.75" customHeight="1">
      <c r="A140" s="727">
        <v>30.0</v>
      </c>
      <c r="B140" s="360" t="s">
        <v>5959</v>
      </c>
      <c r="C140" s="360" t="s">
        <v>5966</v>
      </c>
      <c r="D140" s="360" t="s">
        <v>2474</v>
      </c>
      <c r="E140" s="360" t="s">
        <v>70</v>
      </c>
      <c r="F140" s="758">
        <v>1.4125737E7</v>
      </c>
      <c r="G140" s="360"/>
      <c r="H140" s="360" t="s">
        <v>92</v>
      </c>
      <c r="I140" s="360" t="s">
        <v>7024</v>
      </c>
      <c r="J140" s="719" t="s">
        <v>7025</v>
      </c>
      <c r="K140" s="759" t="s">
        <v>7026</v>
      </c>
      <c r="L140" s="759" t="s">
        <v>7027</v>
      </c>
      <c r="M140" s="369"/>
      <c r="N140" s="369" t="s">
        <v>6649</v>
      </c>
      <c r="O140" s="360" t="s">
        <v>7028</v>
      </c>
      <c r="P140" s="757"/>
    </row>
    <row r="141" ht="15.75" customHeight="1">
      <c r="A141" s="727">
        <v>31.0</v>
      </c>
      <c r="B141" s="360" t="s">
        <v>7029</v>
      </c>
      <c r="C141" s="360" t="s">
        <v>7030</v>
      </c>
      <c r="D141" s="360" t="s">
        <v>2474</v>
      </c>
      <c r="E141" s="360" t="s">
        <v>70</v>
      </c>
      <c r="F141" s="758">
        <v>2.3E7</v>
      </c>
      <c r="G141" s="360"/>
      <c r="H141" s="360" t="s">
        <v>92</v>
      </c>
      <c r="I141" s="360" t="s">
        <v>7031</v>
      </c>
      <c r="J141" s="360" t="s">
        <v>7032</v>
      </c>
      <c r="K141" s="759" t="s">
        <v>7033</v>
      </c>
      <c r="L141" s="759" t="s">
        <v>7034</v>
      </c>
      <c r="M141" s="369"/>
      <c r="N141" s="761" t="s">
        <v>6916</v>
      </c>
      <c r="O141" s="360" t="s">
        <v>7035</v>
      </c>
      <c r="P141" s="771" t="s">
        <v>7036</v>
      </c>
    </row>
    <row r="142" ht="15.75" customHeight="1">
      <c r="A142" s="727">
        <v>32.0</v>
      </c>
      <c r="B142" s="360" t="s">
        <v>7029</v>
      </c>
      <c r="C142" s="360" t="s">
        <v>7030</v>
      </c>
      <c r="D142" s="360" t="s">
        <v>2474</v>
      </c>
      <c r="E142" s="360" t="s">
        <v>70</v>
      </c>
      <c r="F142" s="758">
        <v>2.3E7</v>
      </c>
      <c r="G142" s="360"/>
      <c r="H142" s="360" t="s">
        <v>92</v>
      </c>
      <c r="I142" s="360" t="s">
        <v>7037</v>
      </c>
      <c r="J142" s="360" t="s">
        <v>7038</v>
      </c>
      <c r="K142" s="759" t="s">
        <v>7039</v>
      </c>
      <c r="L142" s="759" t="s">
        <v>7040</v>
      </c>
      <c r="M142" s="369"/>
      <c r="N142" s="369" t="s">
        <v>6899</v>
      </c>
      <c r="O142" s="360"/>
      <c r="P142" s="757"/>
    </row>
    <row r="143" ht="15.75" customHeight="1">
      <c r="A143" s="727">
        <v>33.0</v>
      </c>
      <c r="B143" s="360" t="s">
        <v>7029</v>
      </c>
      <c r="C143" s="360" t="s">
        <v>7030</v>
      </c>
      <c r="D143" s="360" t="s">
        <v>2474</v>
      </c>
      <c r="E143" s="360" t="s">
        <v>70</v>
      </c>
      <c r="F143" s="758">
        <v>2.3E7</v>
      </c>
      <c r="G143" s="360"/>
      <c r="H143" s="360" t="s">
        <v>92</v>
      </c>
      <c r="I143" s="360" t="s">
        <v>7041</v>
      </c>
      <c r="J143" s="360" t="s">
        <v>7042</v>
      </c>
      <c r="K143" s="759" t="s">
        <v>7043</v>
      </c>
      <c r="L143" s="759" t="s">
        <v>7044</v>
      </c>
      <c r="M143" s="369"/>
      <c r="N143" s="761" t="s">
        <v>6489</v>
      </c>
      <c r="O143" s="360"/>
      <c r="P143" s="771" t="s">
        <v>7045</v>
      </c>
    </row>
    <row r="144" ht="15.75" customHeight="1">
      <c r="A144" s="727">
        <v>34.0</v>
      </c>
      <c r="B144" s="360" t="s">
        <v>5959</v>
      </c>
      <c r="C144" s="360" t="s">
        <v>5960</v>
      </c>
      <c r="D144" s="360" t="s">
        <v>2474</v>
      </c>
      <c r="E144" s="360" t="s">
        <v>70</v>
      </c>
      <c r="F144" s="758">
        <v>1.5617E7</v>
      </c>
      <c r="G144" s="360"/>
      <c r="H144" s="360" t="s">
        <v>92</v>
      </c>
      <c r="I144" s="719" t="s">
        <v>7046</v>
      </c>
      <c r="J144" s="360" t="s">
        <v>7047</v>
      </c>
      <c r="K144" s="759" t="s">
        <v>7048</v>
      </c>
      <c r="L144" s="759" t="s">
        <v>7049</v>
      </c>
      <c r="M144" s="369"/>
      <c r="N144" s="761" t="s">
        <v>6649</v>
      </c>
      <c r="O144" s="360"/>
      <c r="P144" s="771" t="s">
        <v>7050</v>
      </c>
    </row>
    <row r="145" ht="15.75" customHeight="1">
      <c r="A145" s="727">
        <v>35.0</v>
      </c>
      <c r="B145" s="360" t="s">
        <v>5959</v>
      </c>
      <c r="C145" s="360" t="s">
        <v>5960</v>
      </c>
      <c r="D145" s="360" t="s">
        <v>2474</v>
      </c>
      <c r="E145" s="360" t="s">
        <v>70</v>
      </c>
      <c r="F145" s="758">
        <v>1.5617E7</v>
      </c>
      <c r="G145" s="360"/>
      <c r="H145" s="360" t="s">
        <v>92</v>
      </c>
      <c r="I145" s="360" t="s">
        <v>7051</v>
      </c>
      <c r="J145" s="360" t="s">
        <v>7052</v>
      </c>
      <c r="K145" s="759" t="s">
        <v>7053</v>
      </c>
      <c r="L145" s="759" t="s">
        <v>7054</v>
      </c>
      <c r="M145" s="369"/>
      <c r="N145" s="761" t="s">
        <v>7055</v>
      </c>
      <c r="O145" s="360" t="s">
        <v>7056</v>
      </c>
      <c r="P145" s="771" t="s">
        <v>7057</v>
      </c>
    </row>
    <row r="146" ht="15.75" customHeight="1">
      <c r="A146" s="727">
        <v>36.0</v>
      </c>
      <c r="B146" s="360" t="s">
        <v>5959</v>
      </c>
      <c r="C146" s="360" t="s">
        <v>5960</v>
      </c>
      <c r="D146" s="360" t="s">
        <v>2474</v>
      </c>
      <c r="E146" s="360" t="s">
        <v>70</v>
      </c>
      <c r="F146" s="758">
        <v>1.5617E7</v>
      </c>
      <c r="G146" s="360"/>
      <c r="H146" s="360" t="s">
        <v>92</v>
      </c>
      <c r="I146" s="360" t="s">
        <v>7058</v>
      </c>
      <c r="J146" s="360" t="s">
        <v>7059</v>
      </c>
      <c r="K146" s="759" t="s">
        <v>7060</v>
      </c>
      <c r="L146" s="759" t="s">
        <v>7061</v>
      </c>
      <c r="M146" s="369"/>
      <c r="N146" s="761" t="s">
        <v>7062</v>
      </c>
      <c r="O146" s="360" t="s">
        <v>7063</v>
      </c>
      <c r="P146" s="771" t="s">
        <v>7064</v>
      </c>
    </row>
    <row r="147" ht="15.75" customHeight="1">
      <c r="A147" s="727">
        <v>37.0</v>
      </c>
      <c r="B147" s="360" t="s">
        <v>5959</v>
      </c>
      <c r="C147" s="360" t="s">
        <v>5960</v>
      </c>
      <c r="D147" s="360" t="s">
        <v>2474</v>
      </c>
      <c r="E147" s="360" t="s">
        <v>70</v>
      </c>
      <c r="F147" s="758">
        <v>1.5617E7</v>
      </c>
      <c r="G147" s="360"/>
      <c r="H147" s="360" t="s">
        <v>92</v>
      </c>
      <c r="I147" s="719" t="s">
        <v>7065</v>
      </c>
      <c r="J147" s="360" t="s">
        <v>7066</v>
      </c>
      <c r="K147" s="759" t="s">
        <v>7067</v>
      </c>
      <c r="L147" s="759" t="s">
        <v>7068</v>
      </c>
      <c r="M147" s="369"/>
      <c r="N147" s="761" t="s">
        <v>7055</v>
      </c>
      <c r="O147" s="360"/>
      <c r="P147" s="771" t="s">
        <v>7069</v>
      </c>
    </row>
    <row r="148" ht="15.75" customHeight="1">
      <c r="A148" s="727">
        <v>38.0</v>
      </c>
      <c r="B148" s="360" t="s">
        <v>5959</v>
      </c>
      <c r="C148" s="360" t="s">
        <v>5960</v>
      </c>
      <c r="D148" s="360" t="s">
        <v>2474</v>
      </c>
      <c r="E148" s="360" t="s">
        <v>70</v>
      </c>
      <c r="F148" s="758">
        <v>1.5617E7</v>
      </c>
      <c r="G148" s="360"/>
      <c r="H148" s="360" t="s">
        <v>92</v>
      </c>
      <c r="I148" s="360" t="s">
        <v>7070</v>
      </c>
      <c r="J148" s="360" t="s">
        <v>7071</v>
      </c>
      <c r="K148" s="759" t="s">
        <v>7072</v>
      </c>
      <c r="L148" s="759" t="s">
        <v>7073</v>
      </c>
      <c r="M148" s="369"/>
      <c r="N148" s="761" t="s">
        <v>6892</v>
      </c>
      <c r="O148" s="360" t="s">
        <v>7074</v>
      </c>
      <c r="P148" s="771" t="s">
        <v>7075</v>
      </c>
    </row>
    <row r="149" ht="15.75" customHeight="1">
      <c r="A149" s="727">
        <v>39.0</v>
      </c>
      <c r="B149" s="360" t="s">
        <v>5959</v>
      </c>
      <c r="C149" s="360" t="s">
        <v>5960</v>
      </c>
      <c r="D149" s="360" t="s">
        <v>2474</v>
      </c>
      <c r="E149" s="360" t="s">
        <v>70</v>
      </c>
      <c r="F149" s="758">
        <v>1.5617E7</v>
      </c>
      <c r="G149" s="360"/>
      <c r="H149" s="360" t="s">
        <v>92</v>
      </c>
      <c r="I149" s="360" t="s">
        <v>7076</v>
      </c>
      <c r="J149" s="360" t="s">
        <v>7077</v>
      </c>
      <c r="K149" s="759" t="s">
        <v>7078</v>
      </c>
      <c r="L149" s="759" t="s">
        <v>7079</v>
      </c>
      <c r="M149" s="369"/>
      <c r="N149" s="761" t="s">
        <v>6892</v>
      </c>
      <c r="O149" s="360" t="s">
        <v>7080</v>
      </c>
      <c r="P149" s="771" t="s">
        <v>7081</v>
      </c>
    </row>
    <row r="150" ht="15.75" customHeight="1">
      <c r="A150" s="727">
        <v>40.0</v>
      </c>
      <c r="B150" s="360" t="s">
        <v>5959</v>
      </c>
      <c r="C150" s="360" t="s">
        <v>5960</v>
      </c>
      <c r="D150" s="360" t="s">
        <v>2474</v>
      </c>
      <c r="E150" s="360" t="s">
        <v>70</v>
      </c>
      <c r="F150" s="758">
        <v>1.5617E7</v>
      </c>
      <c r="G150" s="360"/>
      <c r="H150" s="360" t="s">
        <v>92</v>
      </c>
      <c r="I150" s="360" t="s">
        <v>7082</v>
      </c>
      <c r="J150" s="360" t="s">
        <v>7083</v>
      </c>
      <c r="K150" s="759" t="s">
        <v>7084</v>
      </c>
      <c r="L150" s="759" t="s">
        <v>7085</v>
      </c>
      <c r="M150" s="369"/>
      <c r="N150" s="761" t="s">
        <v>7062</v>
      </c>
      <c r="O150" s="360" t="s">
        <v>7086</v>
      </c>
      <c r="P150" s="771" t="s">
        <v>7087</v>
      </c>
    </row>
    <row r="151" ht="15.75" customHeight="1">
      <c r="A151" s="727">
        <v>41.0</v>
      </c>
      <c r="B151" s="360" t="s">
        <v>5952</v>
      </c>
      <c r="C151" s="360" t="s">
        <v>5953</v>
      </c>
      <c r="D151" s="360" t="s">
        <v>2474</v>
      </c>
      <c r="E151" s="360" t="s">
        <v>70</v>
      </c>
      <c r="F151" s="758">
        <v>1.4288E7</v>
      </c>
      <c r="G151" s="360"/>
      <c r="H151" s="360" t="s">
        <v>92</v>
      </c>
      <c r="I151" s="719" t="s">
        <v>7088</v>
      </c>
      <c r="J151" s="360" t="s">
        <v>7089</v>
      </c>
      <c r="K151" s="759" t="s">
        <v>7090</v>
      </c>
      <c r="L151" s="759" t="s">
        <v>7091</v>
      </c>
      <c r="M151" s="369"/>
      <c r="N151" s="761" t="s">
        <v>7055</v>
      </c>
      <c r="O151" s="360"/>
      <c r="P151" s="771" t="s">
        <v>7092</v>
      </c>
    </row>
    <row r="152" ht="15.75" customHeight="1">
      <c r="A152" s="727">
        <v>42.0</v>
      </c>
      <c r="B152" s="360" t="s">
        <v>100</v>
      </c>
      <c r="C152" s="360" t="s">
        <v>3059</v>
      </c>
      <c r="D152" s="360" t="s">
        <v>2474</v>
      </c>
      <c r="E152" s="360" t="s">
        <v>70</v>
      </c>
      <c r="F152" s="758">
        <v>2.17465E7</v>
      </c>
      <c r="G152" s="360"/>
      <c r="H152" s="360" t="s">
        <v>92</v>
      </c>
      <c r="I152" s="360" t="s">
        <v>7093</v>
      </c>
      <c r="J152" s="360" t="s">
        <v>7094</v>
      </c>
      <c r="K152" s="759" t="s">
        <v>7095</v>
      </c>
      <c r="L152" s="759" t="s">
        <v>7096</v>
      </c>
      <c r="M152" s="369"/>
      <c r="N152" s="761" t="s">
        <v>6649</v>
      </c>
      <c r="O152" s="360" t="s">
        <v>7097</v>
      </c>
      <c r="P152" s="771" t="s">
        <v>7098</v>
      </c>
    </row>
    <row r="153" ht="15.75" customHeight="1">
      <c r="A153" s="727">
        <v>43.0</v>
      </c>
      <c r="B153" s="360" t="s">
        <v>100</v>
      </c>
      <c r="C153" s="360" t="s">
        <v>7099</v>
      </c>
      <c r="D153" s="360" t="s">
        <v>2474</v>
      </c>
      <c r="E153" s="360" t="s">
        <v>70</v>
      </c>
      <c r="F153" s="758">
        <v>1.78E7</v>
      </c>
      <c r="G153" s="360"/>
      <c r="H153" s="360" t="s">
        <v>910</v>
      </c>
      <c r="I153" s="360" t="s">
        <v>7100</v>
      </c>
      <c r="J153" s="360" t="s">
        <v>7101</v>
      </c>
      <c r="K153" s="759" t="s">
        <v>7102</v>
      </c>
      <c r="L153" s="759" t="s">
        <v>7103</v>
      </c>
      <c r="M153" s="369"/>
      <c r="N153" s="761" t="s">
        <v>7104</v>
      </c>
      <c r="O153" s="360" t="s">
        <v>7105</v>
      </c>
      <c r="P153" s="771" t="s">
        <v>7106</v>
      </c>
    </row>
    <row r="154" ht="15.75" customHeight="1">
      <c r="A154" s="727">
        <v>44.0</v>
      </c>
      <c r="B154" s="360" t="s">
        <v>100</v>
      </c>
      <c r="C154" s="360" t="s">
        <v>7099</v>
      </c>
      <c r="D154" s="360" t="s">
        <v>2474</v>
      </c>
      <c r="E154" s="360" t="s">
        <v>70</v>
      </c>
      <c r="F154" s="758">
        <v>1.78E7</v>
      </c>
      <c r="G154" s="360"/>
      <c r="H154" s="360" t="s">
        <v>910</v>
      </c>
      <c r="I154" s="360" t="s">
        <v>7107</v>
      </c>
      <c r="J154" s="360" t="s">
        <v>7108</v>
      </c>
      <c r="K154" s="759" t="s">
        <v>7109</v>
      </c>
      <c r="L154" s="759" t="s">
        <v>7110</v>
      </c>
      <c r="M154" s="369"/>
      <c r="N154" s="761" t="s">
        <v>6489</v>
      </c>
      <c r="O154" s="360" t="s">
        <v>7111</v>
      </c>
      <c r="P154" s="771" t="s">
        <v>7112</v>
      </c>
    </row>
    <row r="155" ht="15.75" customHeight="1">
      <c r="A155" s="727">
        <v>45.0</v>
      </c>
      <c r="B155" s="360" t="s">
        <v>100</v>
      </c>
      <c r="C155" s="360" t="s">
        <v>7099</v>
      </c>
      <c r="D155" s="360" t="s">
        <v>2474</v>
      </c>
      <c r="E155" s="360" t="s">
        <v>70</v>
      </c>
      <c r="F155" s="758">
        <v>1.78E7</v>
      </c>
      <c r="G155" s="360"/>
      <c r="H155" s="360" t="s">
        <v>910</v>
      </c>
      <c r="I155" s="360" t="s">
        <v>7113</v>
      </c>
      <c r="J155" s="360" t="s">
        <v>7114</v>
      </c>
      <c r="K155" s="759" t="s">
        <v>7115</v>
      </c>
      <c r="L155" s="759" t="s">
        <v>7116</v>
      </c>
      <c r="M155" s="369"/>
      <c r="N155" s="369" t="s">
        <v>6952</v>
      </c>
      <c r="O155" s="360"/>
      <c r="P155" s="757"/>
    </row>
    <row r="156" ht="15.75" customHeight="1">
      <c r="A156" s="727">
        <v>46.0</v>
      </c>
      <c r="B156" s="360" t="s">
        <v>100</v>
      </c>
      <c r="C156" s="360" t="s">
        <v>7099</v>
      </c>
      <c r="D156" s="360" t="s">
        <v>2474</v>
      </c>
      <c r="E156" s="360" t="s">
        <v>70</v>
      </c>
      <c r="F156" s="758">
        <v>1.78E7</v>
      </c>
      <c r="G156" s="360"/>
      <c r="H156" s="360" t="s">
        <v>910</v>
      </c>
      <c r="I156" s="360" t="s">
        <v>7117</v>
      </c>
      <c r="J156" s="360" t="s">
        <v>7118</v>
      </c>
      <c r="K156" s="759" t="s">
        <v>7119</v>
      </c>
      <c r="L156" s="759" t="s">
        <v>7120</v>
      </c>
      <c r="M156" s="369"/>
      <c r="N156" s="761" t="s">
        <v>7062</v>
      </c>
      <c r="O156" s="360" t="s">
        <v>7121</v>
      </c>
      <c r="P156" s="771" t="s">
        <v>7122</v>
      </c>
    </row>
    <row r="157" ht="15.75" customHeight="1">
      <c r="A157" s="727">
        <v>47.0</v>
      </c>
      <c r="B157" s="360" t="s">
        <v>100</v>
      </c>
      <c r="C157" s="360" t="s">
        <v>7123</v>
      </c>
      <c r="D157" s="360" t="s">
        <v>2474</v>
      </c>
      <c r="E157" s="360" t="s">
        <v>70</v>
      </c>
      <c r="F157" s="758">
        <v>1.69E7</v>
      </c>
      <c r="G157" s="360"/>
      <c r="H157" s="360" t="s">
        <v>71</v>
      </c>
      <c r="I157" s="360" t="s">
        <v>7124</v>
      </c>
      <c r="J157" s="360" t="s">
        <v>7125</v>
      </c>
      <c r="K157" s="759" t="s">
        <v>7126</v>
      </c>
      <c r="L157" s="759" t="s">
        <v>7127</v>
      </c>
      <c r="M157" s="369"/>
      <c r="N157" s="369" t="s">
        <v>6649</v>
      </c>
      <c r="O157" s="360"/>
      <c r="P157" s="757"/>
    </row>
    <row r="158" ht="15.75" customHeight="1">
      <c r="A158" s="727">
        <v>48.0</v>
      </c>
      <c r="B158" s="360" t="s">
        <v>100</v>
      </c>
      <c r="C158" s="360" t="s">
        <v>7123</v>
      </c>
      <c r="D158" s="360" t="s">
        <v>2474</v>
      </c>
      <c r="E158" s="360" t="s">
        <v>70</v>
      </c>
      <c r="F158" s="758">
        <v>1.69E7</v>
      </c>
      <c r="G158" s="360"/>
      <c r="H158" s="360" t="s">
        <v>71</v>
      </c>
      <c r="I158" s="360" t="s">
        <v>7128</v>
      </c>
      <c r="J158" s="719" t="s">
        <v>7129</v>
      </c>
      <c r="K158" s="759" t="s">
        <v>7130</v>
      </c>
      <c r="L158" s="759" t="s">
        <v>7131</v>
      </c>
      <c r="M158" s="369"/>
      <c r="N158" s="760" t="s">
        <v>6952</v>
      </c>
      <c r="O158" s="360"/>
      <c r="P158" s="771" t="s">
        <v>7132</v>
      </c>
    </row>
    <row r="159" ht="15.75" customHeight="1">
      <c r="A159" s="727">
        <v>49.0</v>
      </c>
      <c r="B159" s="360" t="s">
        <v>100</v>
      </c>
      <c r="C159" s="360" t="s">
        <v>6001</v>
      </c>
      <c r="D159" s="360" t="s">
        <v>2474</v>
      </c>
      <c r="E159" s="360" t="s">
        <v>70</v>
      </c>
      <c r="F159" s="758">
        <v>3.09E7</v>
      </c>
      <c r="G159" s="360"/>
      <c r="H159" s="360" t="s">
        <v>78</v>
      </c>
      <c r="I159" s="360" t="s">
        <v>7133</v>
      </c>
      <c r="J159" s="360" t="s">
        <v>7134</v>
      </c>
      <c r="K159" s="759" t="s">
        <v>7135</v>
      </c>
      <c r="L159" s="759" t="s">
        <v>7136</v>
      </c>
      <c r="M159" s="369"/>
      <c r="N159" s="369" t="s">
        <v>6649</v>
      </c>
      <c r="O159" s="360"/>
      <c r="P159" s="757"/>
    </row>
    <row r="160" ht="15.75" customHeight="1">
      <c r="A160" s="727">
        <v>50.0</v>
      </c>
      <c r="B160" s="360" t="s">
        <v>100</v>
      </c>
      <c r="C160" s="360" t="s">
        <v>7137</v>
      </c>
      <c r="D160" s="360" t="s">
        <v>2474</v>
      </c>
      <c r="E160" s="360" t="s">
        <v>70</v>
      </c>
      <c r="F160" s="758">
        <v>2.71E7</v>
      </c>
      <c r="G160" s="360"/>
      <c r="H160" s="360" t="s">
        <v>78</v>
      </c>
      <c r="I160" s="360" t="s">
        <v>7138</v>
      </c>
      <c r="J160" s="360" t="s">
        <v>7139</v>
      </c>
      <c r="K160" s="759" t="s">
        <v>7140</v>
      </c>
      <c r="L160" s="759" t="s">
        <v>7141</v>
      </c>
      <c r="M160" s="369"/>
      <c r="N160" s="369" t="s">
        <v>6489</v>
      </c>
      <c r="O160" s="360"/>
      <c r="P160" s="757"/>
    </row>
    <row r="161" ht="15.75" customHeight="1">
      <c r="A161" s="727">
        <v>51.0</v>
      </c>
      <c r="B161" s="360" t="s">
        <v>100</v>
      </c>
      <c r="C161" s="360" t="s">
        <v>7137</v>
      </c>
      <c r="D161" s="360" t="s">
        <v>2474</v>
      </c>
      <c r="E161" s="360" t="s">
        <v>70</v>
      </c>
      <c r="F161" s="758">
        <v>2.71E7</v>
      </c>
      <c r="G161" s="360"/>
      <c r="H161" s="360" t="s">
        <v>78</v>
      </c>
      <c r="I161" s="360" t="s">
        <v>7142</v>
      </c>
      <c r="J161" s="360" t="s">
        <v>7143</v>
      </c>
      <c r="K161" s="759" t="s">
        <v>7144</v>
      </c>
      <c r="L161" s="759" t="s">
        <v>7145</v>
      </c>
      <c r="M161" s="369"/>
      <c r="N161" s="369" t="s">
        <v>6649</v>
      </c>
      <c r="O161" s="360"/>
      <c r="P161" s="757"/>
    </row>
    <row r="162" ht="15.75" customHeight="1">
      <c r="A162" s="727">
        <v>52.0</v>
      </c>
      <c r="B162" s="360" t="s">
        <v>100</v>
      </c>
      <c r="C162" s="360" t="s">
        <v>7137</v>
      </c>
      <c r="D162" s="360" t="s">
        <v>2474</v>
      </c>
      <c r="E162" s="360" t="s">
        <v>70</v>
      </c>
      <c r="F162" s="758">
        <v>2.71E7</v>
      </c>
      <c r="G162" s="360"/>
      <c r="H162" s="360" t="s">
        <v>78</v>
      </c>
      <c r="I162" s="360" t="s">
        <v>7146</v>
      </c>
      <c r="J162" s="360" t="s">
        <v>7147</v>
      </c>
      <c r="K162" s="759" t="s">
        <v>7148</v>
      </c>
      <c r="L162" s="759" t="s">
        <v>7149</v>
      </c>
      <c r="M162" s="369"/>
      <c r="N162" s="761" t="s">
        <v>6489</v>
      </c>
      <c r="O162" s="360"/>
      <c r="P162" s="771" t="s">
        <v>7150</v>
      </c>
    </row>
    <row r="163" ht="15.75" customHeight="1">
      <c r="A163" s="727">
        <v>53.0</v>
      </c>
      <c r="B163" s="360" t="s">
        <v>100</v>
      </c>
      <c r="C163" s="360" t="s">
        <v>7137</v>
      </c>
      <c r="D163" s="360" t="s">
        <v>2474</v>
      </c>
      <c r="E163" s="360" t="s">
        <v>70</v>
      </c>
      <c r="F163" s="758">
        <v>2.71E7</v>
      </c>
      <c r="G163" s="360"/>
      <c r="H163" s="360" t="s">
        <v>78</v>
      </c>
      <c r="I163" s="360" t="s">
        <v>7151</v>
      </c>
      <c r="J163" s="360" t="s">
        <v>7152</v>
      </c>
      <c r="K163" s="759" t="s">
        <v>7153</v>
      </c>
      <c r="L163" s="759" t="s">
        <v>7154</v>
      </c>
      <c r="M163" s="369"/>
      <c r="N163" s="761" t="s">
        <v>6649</v>
      </c>
      <c r="O163" s="360"/>
      <c r="P163" s="771" t="s">
        <v>7155</v>
      </c>
    </row>
    <row r="164" ht="15.75" customHeight="1">
      <c r="A164" s="727">
        <v>54.0</v>
      </c>
      <c r="B164" s="360" t="s">
        <v>100</v>
      </c>
      <c r="C164" s="360" t="s">
        <v>7137</v>
      </c>
      <c r="D164" s="360" t="s">
        <v>2474</v>
      </c>
      <c r="E164" s="360" t="s">
        <v>70</v>
      </c>
      <c r="F164" s="758">
        <v>2.71E7</v>
      </c>
      <c r="G164" s="360"/>
      <c r="H164" s="360" t="s">
        <v>78</v>
      </c>
      <c r="I164" s="360" t="s">
        <v>7156</v>
      </c>
      <c r="J164" s="360" t="s">
        <v>7157</v>
      </c>
      <c r="K164" s="759" t="s">
        <v>7158</v>
      </c>
      <c r="L164" s="759" t="s">
        <v>7159</v>
      </c>
      <c r="M164" s="369"/>
      <c r="N164" s="761" t="s">
        <v>6649</v>
      </c>
      <c r="O164" s="360"/>
      <c r="P164" s="771" t="s">
        <v>7160</v>
      </c>
    </row>
    <row r="165" ht="15.75" customHeight="1">
      <c r="A165" s="727">
        <v>55.0</v>
      </c>
      <c r="B165" s="360" t="s">
        <v>100</v>
      </c>
      <c r="C165" s="360" t="s">
        <v>7137</v>
      </c>
      <c r="D165" s="360" t="s">
        <v>2474</v>
      </c>
      <c r="E165" s="360" t="s">
        <v>70</v>
      </c>
      <c r="F165" s="758">
        <v>2.71E7</v>
      </c>
      <c r="G165" s="360"/>
      <c r="H165" s="360" t="s">
        <v>78</v>
      </c>
      <c r="I165" s="360" t="s">
        <v>7161</v>
      </c>
      <c r="J165" s="360" t="s">
        <v>7162</v>
      </c>
      <c r="K165" s="759" t="s">
        <v>7163</v>
      </c>
      <c r="L165" s="759" t="s">
        <v>7164</v>
      </c>
      <c r="M165" s="369"/>
      <c r="N165" s="761" t="s">
        <v>6649</v>
      </c>
      <c r="O165" s="360"/>
      <c r="P165" s="771" t="s">
        <v>7165</v>
      </c>
    </row>
    <row r="166" ht="15.75" customHeight="1">
      <c r="A166" s="727">
        <v>56.0</v>
      </c>
      <c r="B166" s="360" t="s">
        <v>100</v>
      </c>
      <c r="C166" s="360" t="s">
        <v>7166</v>
      </c>
      <c r="D166" s="360" t="s">
        <v>2474</v>
      </c>
      <c r="E166" s="360" t="s">
        <v>70</v>
      </c>
      <c r="F166" s="758">
        <v>3.4381364E7</v>
      </c>
      <c r="G166" s="360"/>
      <c r="H166" s="360" t="s">
        <v>862</v>
      </c>
      <c r="I166" s="360" t="s">
        <v>7167</v>
      </c>
      <c r="J166" s="360" t="s">
        <v>7168</v>
      </c>
      <c r="K166" s="759" t="s">
        <v>7169</v>
      </c>
      <c r="L166" s="759" t="s">
        <v>7170</v>
      </c>
      <c r="M166" s="369"/>
      <c r="N166" s="369" t="s">
        <v>6489</v>
      </c>
      <c r="O166" s="360"/>
      <c r="P166" s="757"/>
    </row>
    <row r="167" ht="15.75" customHeight="1">
      <c r="A167" s="727">
        <v>57.0</v>
      </c>
      <c r="B167" s="360" t="s">
        <v>100</v>
      </c>
      <c r="C167" s="360" t="s">
        <v>7166</v>
      </c>
      <c r="D167" s="360" t="s">
        <v>2474</v>
      </c>
      <c r="E167" s="360" t="s">
        <v>70</v>
      </c>
      <c r="F167" s="758">
        <v>3.4381364E7</v>
      </c>
      <c r="G167" s="360"/>
      <c r="H167" s="360" t="s">
        <v>862</v>
      </c>
      <c r="I167" s="360" t="s">
        <v>7171</v>
      </c>
      <c r="J167" s="360" t="s">
        <v>7172</v>
      </c>
      <c r="K167" s="759" t="s">
        <v>7173</v>
      </c>
      <c r="L167" s="759" t="s">
        <v>7174</v>
      </c>
      <c r="M167" s="369"/>
      <c r="N167" s="761" t="s">
        <v>6649</v>
      </c>
      <c r="O167" s="360"/>
      <c r="P167" s="771" t="s">
        <v>7175</v>
      </c>
    </row>
    <row r="168" ht="15.75" customHeight="1">
      <c r="A168" s="727">
        <v>58.0</v>
      </c>
      <c r="B168" s="360" t="s">
        <v>100</v>
      </c>
      <c r="C168" s="360" t="s">
        <v>7176</v>
      </c>
      <c r="D168" s="360" t="s">
        <v>2474</v>
      </c>
      <c r="E168" s="360" t="s">
        <v>70</v>
      </c>
      <c r="F168" s="758">
        <v>3.0237272E7</v>
      </c>
      <c r="G168" s="360"/>
      <c r="H168" s="360" t="s">
        <v>862</v>
      </c>
      <c r="I168" s="360" t="s">
        <v>7177</v>
      </c>
      <c r="J168" s="360" t="s">
        <v>7178</v>
      </c>
      <c r="K168" s="759" t="s">
        <v>7179</v>
      </c>
      <c r="L168" s="759" t="s">
        <v>7180</v>
      </c>
      <c r="M168" s="369"/>
      <c r="N168" s="761" t="s">
        <v>7104</v>
      </c>
      <c r="O168" s="360"/>
      <c r="P168" s="771" t="s">
        <v>7181</v>
      </c>
    </row>
    <row r="169" ht="15.75" customHeight="1">
      <c r="A169" s="727">
        <v>59.0</v>
      </c>
      <c r="B169" s="360" t="s">
        <v>7182</v>
      </c>
      <c r="C169" s="360" t="s">
        <v>7183</v>
      </c>
      <c r="D169" s="360" t="s">
        <v>2474</v>
      </c>
      <c r="E169" s="360" t="s">
        <v>70</v>
      </c>
      <c r="F169" s="758">
        <v>3.34E7</v>
      </c>
      <c r="G169" s="360" t="s">
        <v>1579</v>
      </c>
      <c r="H169" s="360" t="s">
        <v>2329</v>
      </c>
      <c r="I169" s="360" t="s">
        <v>7184</v>
      </c>
      <c r="J169" s="360" t="s">
        <v>7185</v>
      </c>
      <c r="K169" s="759" t="s">
        <v>7186</v>
      </c>
      <c r="L169" s="759" t="s">
        <v>7187</v>
      </c>
      <c r="M169" s="369"/>
      <c r="N169" s="761" t="s">
        <v>7007</v>
      </c>
      <c r="O169" s="360"/>
      <c r="P169" s="771" t="s">
        <v>7188</v>
      </c>
    </row>
    <row r="170" ht="15.75" customHeight="1">
      <c r="A170" s="727">
        <v>60.0</v>
      </c>
      <c r="B170" s="360" t="s">
        <v>7189</v>
      </c>
      <c r="C170" s="360" t="s">
        <v>7183</v>
      </c>
      <c r="D170" s="360" t="s">
        <v>2474</v>
      </c>
      <c r="E170" s="360" t="s">
        <v>70</v>
      </c>
      <c r="F170" s="758">
        <v>3.34E7</v>
      </c>
      <c r="G170" s="360" t="s">
        <v>1579</v>
      </c>
      <c r="H170" s="360" t="s">
        <v>2329</v>
      </c>
      <c r="I170" s="360" t="s">
        <v>7190</v>
      </c>
      <c r="J170" s="360" t="s">
        <v>7191</v>
      </c>
      <c r="K170" s="759" t="s">
        <v>7192</v>
      </c>
      <c r="L170" s="759" t="s">
        <v>7193</v>
      </c>
      <c r="M170" s="369"/>
      <c r="N170" s="761" t="s">
        <v>7007</v>
      </c>
      <c r="O170" s="360"/>
      <c r="P170" s="771" t="s">
        <v>7194</v>
      </c>
    </row>
    <row r="171" ht="15.75" customHeight="1">
      <c r="A171" s="727">
        <v>61.0</v>
      </c>
      <c r="B171" s="360" t="s">
        <v>7195</v>
      </c>
      <c r="C171" s="360" t="s">
        <v>5785</v>
      </c>
      <c r="D171" s="360" t="s">
        <v>2474</v>
      </c>
      <c r="E171" s="360" t="s">
        <v>70</v>
      </c>
      <c r="F171" s="758">
        <v>2.07E7</v>
      </c>
      <c r="G171" s="360" t="s">
        <v>1579</v>
      </c>
      <c r="H171" s="360" t="s">
        <v>2329</v>
      </c>
      <c r="I171" s="360" t="s">
        <v>7196</v>
      </c>
      <c r="J171" s="719" t="s">
        <v>7197</v>
      </c>
      <c r="K171" s="759" t="s">
        <v>7198</v>
      </c>
      <c r="L171" s="759" t="s">
        <v>7199</v>
      </c>
      <c r="M171" s="369"/>
      <c r="N171" s="761" t="s">
        <v>6649</v>
      </c>
      <c r="O171" s="360"/>
      <c r="P171" s="771" t="s">
        <v>7200</v>
      </c>
    </row>
    <row r="172" ht="15.75" customHeight="1">
      <c r="A172" s="727">
        <v>62.0</v>
      </c>
      <c r="B172" s="360" t="s">
        <v>7201</v>
      </c>
      <c r="C172" s="360" t="s">
        <v>7201</v>
      </c>
      <c r="D172" s="360" t="s">
        <v>2474</v>
      </c>
      <c r="E172" s="360" t="s">
        <v>70</v>
      </c>
      <c r="F172" s="758">
        <v>3.496E7</v>
      </c>
      <c r="G172" s="360" t="s">
        <v>7202</v>
      </c>
      <c r="H172" s="360" t="s">
        <v>611</v>
      </c>
      <c r="I172" s="360" t="s">
        <v>7203</v>
      </c>
      <c r="J172" s="719" t="s">
        <v>7204</v>
      </c>
      <c r="K172" s="759" t="s">
        <v>7205</v>
      </c>
      <c r="L172" s="759" t="s">
        <v>7206</v>
      </c>
      <c r="M172" s="369"/>
      <c r="N172" s="761" t="s">
        <v>7104</v>
      </c>
      <c r="O172" s="360"/>
      <c r="P172" s="771" t="s">
        <v>7207</v>
      </c>
    </row>
    <row r="173" ht="15.75" customHeight="1">
      <c r="A173" s="727">
        <v>63.0</v>
      </c>
      <c r="B173" s="360" t="s">
        <v>100</v>
      </c>
      <c r="C173" s="360" t="s">
        <v>7208</v>
      </c>
      <c r="D173" s="360" t="s">
        <v>2474</v>
      </c>
      <c r="E173" s="360"/>
      <c r="F173" s="758">
        <v>2.149E7</v>
      </c>
      <c r="G173" s="360" t="s">
        <v>7209</v>
      </c>
      <c r="H173" s="360" t="s">
        <v>887</v>
      </c>
      <c r="I173" s="360" t="s">
        <v>7210</v>
      </c>
      <c r="J173" s="360" t="s">
        <v>7211</v>
      </c>
      <c r="K173" s="759" t="s">
        <v>7212</v>
      </c>
      <c r="L173" s="759" t="s">
        <v>7213</v>
      </c>
      <c r="M173" s="369"/>
      <c r="N173" s="761" t="s">
        <v>7104</v>
      </c>
      <c r="O173" s="360"/>
      <c r="P173" s="771" t="s">
        <v>7214</v>
      </c>
    </row>
    <row r="174" ht="15.75" customHeight="1">
      <c r="A174" s="727"/>
      <c r="B174" s="360" t="s">
        <v>100</v>
      </c>
      <c r="C174" s="360" t="s">
        <v>7215</v>
      </c>
      <c r="D174" s="360" t="s">
        <v>2474</v>
      </c>
      <c r="E174" s="360" t="s">
        <v>70</v>
      </c>
      <c r="F174" s="758">
        <v>3.4813E7</v>
      </c>
      <c r="G174" s="360" t="s">
        <v>1579</v>
      </c>
      <c r="H174" s="360" t="s">
        <v>887</v>
      </c>
      <c r="I174" s="360" t="s">
        <v>7216</v>
      </c>
      <c r="J174" s="360" t="s">
        <v>7217</v>
      </c>
      <c r="K174" s="759" t="s">
        <v>7218</v>
      </c>
      <c r="L174" s="759" t="s">
        <v>7219</v>
      </c>
      <c r="M174" s="369"/>
      <c r="N174" s="369" t="s">
        <v>7220</v>
      </c>
      <c r="O174" s="360"/>
      <c r="P174" s="757"/>
    </row>
    <row r="175" ht="15.75" customHeight="1">
      <c r="A175" s="727"/>
      <c r="B175" s="360" t="s">
        <v>100</v>
      </c>
      <c r="C175" s="360" t="s">
        <v>7221</v>
      </c>
      <c r="D175" s="360" t="s">
        <v>2474</v>
      </c>
      <c r="E175" s="360" t="s">
        <v>70</v>
      </c>
      <c r="F175" s="758">
        <v>2.3276E7</v>
      </c>
      <c r="G175" s="360" t="s">
        <v>1579</v>
      </c>
      <c r="H175" s="360" t="s">
        <v>887</v>
      </c>
      <c r="I175" s="360" t="s">
        <v>7222</v>
      </c>
      <c r="J175" s="360" t="s">
        <v>7223</v>
      </c>
      <c r="K175" s="759" t="s">
        <v>7224</v>
      </c>
      <c r="L175" s="759" t="s">
        <v>7225</v>
      </c>
      <c r="M175" s="369"/>
      <c r="N175" s="369" t="s">
        <v>7225</v>
      </c>
      <c r="O175" s="360"/>
      <c r="P175" s="757"/>
    </row>
    <row r="176" ht="15.75" customHeight="1">
      <c r="A176" s="727"/>
      <c r="B176" s="360" t="s">
        <v>100</v>
      </c>
      <c r="C176" s="360" t="s">
        <v>7221</v>
      </c>
      <c r="D176" s="360" t="s">
        <v>2474</v>
      </c>
      <c r="E176" s="360" t="s">
        <v>70</v>
      </c>
      <c r="F176" s="758">
        <v>2.3276E7</v>
      </c>
      <c r="G176" s="360" t="s">
        <v>1579</v>
      </c>
      <c r="H176" s="360" t="s">
        <v>887</v>
      </c>
      <c r="I176" s="360" t="s">
        <v>7226</v>
      </c>
      <c r="J176" s="360" t="s">
        <v>7227</v>
      </c>
      <c r="K176" s="759" t="s">
        <v>7228</v>
      </c>
      <c r="L176" s="759" t="s">
        <v>7229</v>
      </c>
      <c r="M176" s="369"/>
      <c r="N176" s="369" t="s">
        <v>7229</v>
      </c>
      <c r="O176" s="360"/>
      <c r="P176" s="757"/>
    </row>
    <row r="177" ht="15.75" customHeight="1">
      <c r="A177" s="727"/>
      <c r="B177" s="360" t="s">
        <v>100</v>
      </c>
      <c r="C177" s="360" t="s">
        <v>7221</v>
      </c>
      <c r="D177" s="360" t="s">
        <v>2474</v>
      </c>
      <c r="E177" s="360" t="s">
        <v>70</v>
      </c>
      <c r="F177" s="758">
        <v>2.3276E7</v>
      </c>
      <c r="G177" s="360" t="s">
        <v>1579</v>
      </c>
      <c r="H177" s="360" t="s">
        <v>887</v>
      </c>
      <c r="I177" s="360" t="s">
        <v>7230</v>
      </c>
      <c r="J177" s="360" t="s">
        <v>7231</v>
      </c>
      <c r="K177" s="759" t="s">
        <v>7232</v>
      </c>
      <c r="L177" s="759" t="s">
        <v>7233</v>
      </c>
      <c r="M177" s="369"/>
      <c r="N177" s="369" t="s">
        <v>7233</v>
      </c>
      <c r="O177" s="360"/>
      <c r="P177" s="757"/>
    </row>
    <row r="178" ht="15.75" customHeight="1">
      <c r="A178" s="801"/>
      <c r="B178" s="375" t="s">
        <v>7234</v>
      </c>
      <c r="C178" s="375" t="s">
        <v>7235</v>
      </c>
      <c r="D178" s="375" t="s">
        <v>2474</v>
      </c>
      <c r="E178" s="375" t="s">
        <v>70</v>
      </c>
      <c r="F178" s="802">
        <v>629750.0</v>
      </c>
      <c r="G178" s="375"/>
      <c r="H178" s="375" t="s">
        <v>44</v>
      </c>
      <c r="I178" s="375"/>
      <c r="J178" s="375"/>
      <c r="K178" s="731"/>
      <c r="L178" s="731"/>
      <c r="M178" s="731"/>
      <c r="N178" s="731"/>
      <c r="O178" s="375"/>
      <c r="P178" s="757"/>
    </row>
    <row r="179" ht="15.75" customHeight="1">
      <c r="A179" s="727"/>
      <c r="B179" s="360" t="s">
        <v>7234</v>
      </c>
      <c r="C179" s="360" t="s">
        <v>7235</v>
      </c>
      <c r="D179" s="360" t="s">
        <v>2474</v>
      </c>
      <c r="E179" s="360" t="s">
        <v>70</v>
      </c>
      <c r="F179" s="758">
        <v>629750.0</v>
      </c>
      <c r="G179" s="360"/>
      <c r="H179" s="360" t="s">
        <v>44</v>
      </c>
      <c r="I179" s="360"/>
      <c r="J179" s="360"/>
      <c r="K179" s="369"/>
      <c r="L179" s="369"/>
      <c r="M179" s="369"/>
      <c r="N179" s="369"/>
      <c r="O179" s="360"/>
      <c r="P179" s="757"/>
    </row>
    <row r="180" ht="15.75" customHeight="1">
      <c r="A180" s="727"/>
      <c r="B180" s="360" t="s">
        <v>7236</v>
      </c>
      <c r="C180" s="360" t="s">
        <v>7237</v>
      </c>
      <c r="D180" s="360" t="s">
        <v>2474</v>
      </c>
      <c r="E180" s="360" t="s">
        <v>70</v>
      </c>
      <c r="F180" s="758">
        <v>1595000.0</v>
      </c>
      <c r="G180" s="360"/>
      <c r="H180" s="360" t="s">
        <v>2762</v>
      </c>
      <c r="I180" s="360"/>
      <c r="J180" s="360"/>
      <c r="K180" s="369"/>
      <c r="L180" s="369"/>
      <c r="M180" s="369"/>
      <c r="N180" s="369"/>
      <c r="O180" s="360"/>
      <c r="P180" s="757"/>
    </row>
    <row r="181" ht="15.75" customHeight="1">
      <c r="A181" s="727"/>
      <c r="B181" s="360" t="s">
        <v>7236</v>
      </c>
      <c r="C181" s="360" t="s">
        <v>7238</v>
      </c>
      <c r="D181" s="360" t="s">
        <v>2474</v>
      </c>
      <c r="E181" s="360" t="s">
        <v>70</v>
      </c>
      <c r="F181" s="758">
        <v>1287000.0</v>
      </c>
      <c r="G181" s="360"/>
      <c r="H181" s="360" t="s">
        <v>2762</v>
      </c>
      <c r="I181" s="360"/>
      <c r="J181" s="360"/>
      <c r="K181" s="369"/>
      <c r="L181" s="369"/>
      <c r="M181" s="369"/>
      <c r="N181" s="369"/>
      <c r="O181" s="360"/>
      <c r="P181" s="757"/>
    </row>
    <row r="182" ht="15.75" customHeight="1"/>
    <row r="183" ht="15.75" customHeight="1">
      <c r="A183" s="35"/>
      <c r="D183" s="35"/>
      <c r="E183" s="35"/>
      <c r="H183" s="803"/>
      <c r="I183" s="35"/>
      <c r="M183" s="35"/>
    </row>
    <row r="184" ht="15.75" customHeight="1">
      <c r="A184" s="35"/>
      <c r="D184" s="35"/>
      <c r="E184" s="35"/>
      <c r="H184" s="179"/>
      <c r="I184" s="35"/>
      <c r="M184" s="35"/>
    </row>
    <row r="185" ht="15.75" customHeight="1">
      <c r="H185" s="803"/>
      <c r="I185" s="179"/>
    </row>
    <row r="186" ht="15.75" customHeight="1">
      <c r="H186" s="803"/>
      <c r="I186" s="179"/>
    </row>
    <row r="187" ht="15.75" customHeight="1">
      <c r="F187" s="284">
        <f>F11+F25+F91+F110</f>
        <v>30166832447</v>
      </c>
      <c r="H187" s="803"/>
      <c r="I187" s="179"/>
    </row>
    <row r="188" ht="15.75" customHeight="1">
      <c r="F188" s="803"/>
      <c r="H188" s="179"/>
      <c r="I188" s="179"/>
    </row>
    <row r="189" ht="15.75" customHeight="1">
      <c r="F189" s="803"/>
      <c r="H189" s="803"/>
      <c r="I189" s="179"/>
    </row>
    <row r="190" ht="15.75" customHeight="1">
      <c r="F190" s="804">
        <v>3.016683244734E10</v>
      </c>
      <c r="H190" s="803"/>
      <c r="I190" s="179"/>
    </row>
    <row r="191" ht="15.75" customHeight="1">
      <c r="H191" s="803"/>
      <c r="I191" s="179"/>
    </row>
    <row r="192" ht="15.75" customHeight="1">
      <c r="H192" s="803"/>
      <c r="I192" s="179"/>
    </row>
    <row r="193" ht="15.75" customHeight="1">
      <c r="H193" s="803"/>
      <c r="I193" s="179"/>
    </row>
    <row r="194" ht="15.75" customHeight="1">
      <c r="H194" s="803"/>
      <c r="I194" s="179"/>
    </row>
    <row r="195" ht="15.75" customHeight="1">
      <c r="H195" s="803"/>
      <c r="I195" s="179"/>
    </row>
    <row r="196" ht="15.75" customHeight="1">
      <c r="A196" s="727"/>
      <c r="B196" s="360"/>
      <c r="C196" s="719" t="s">
        <v>7239</v>
      </c>
      <c r="D196" s="360" t="s">
        <v>2474</v>
      </c>
      <c r="E196" s="360" t="s">
        <v>70</v>
      </c>
      <c r="F196" s="758">
        <v>1287000.0</v>
      </c>
      <c r="G196" s="360"/>
      <c r="H196" s="360"/>
      <c r="I196" s="719" t="s">
        <v>6372</v>
      </c>
      <c r="J196" s="360"/>
      <c r="K196" s="369"/>
      <c r="L196" s="369"/>
      <c r="M196" s="369"/>
      <c r="N196" s="369"/>
      <c r="O196" s="360"/>
      <c r="P196" s="771" t="s">
        <v>6420</v>
      </c>
    </row>
    <row r="197" ht="15.75" customHeight="1">
      <c r="H197" s="803"/>
      <c r="I197" s="179"/>
    </row>
    <row r="198" ht="15.75" customHeight="1">
      <c r="H198" s="803"/>
      <c r="I198" s="179"/>
    </row>
    <row r="199" ht="15.75" customHeight="1">
      <c r="H199" s="803"/>
      <c r="I199" s="179"/>
    </row>
    <row r="200" ht="15.75" customHeight="1">
      <c r="H200" s="803"/>
      <c r="I200" s="179"/>
    </row>
    <row r="201" ht="15.75" customHeight="1">
      <c r="H201" s="803"/>
      <c r="I201" s="179"/>
      <c r="N201" s="35" t="s">
        <v>7240</v>
      </c>
      <c r="O201" s="35">
        <v>0.0</v>
      </c>
      <c r="P201" s="440">
        <v>0.0</v>
      </c>
      <c r="Q201" s="440">
        <v>0.0</v>
      </c>
      <c r="R201" s="440">
        <v>0.0</v>
      </c>
      <c r="S201" s="440">
        <v>6.7E8</v>
      </c>
    </row>
    <row r="202" ht="15.75" customHeight="1">
      <c r="H202" s="803"/>
      <c r="I202" s="179"/>
      <c r="N202" s="35"/>
      <c r="O202" s="35"/>
      <c r="P202" s="440"/>
      <c r="Q202" s="440"/>
      <c r="R202" s="440"/>
      <c r="S202" s="440"/>
    </row>
    <row r="203" ht="15.75" customHeight="1">
      <c r="H203" s="803"/>
      <c r="I203" s="179"/>
    </row>
    <row r="204" ht="15.75" customHeight="1">
      <c r="H204" s="803"/>
      <c r="I204" s="179"/>
    </row>
    <row r="205" ht="15.75" customHeight="1">
      <c r="H205" s="803"/>
      <c r="I205" s="179"/>
    </row>
    <row r="206" ht="15.75" customHeight="1">
      <c r="H206" s="179"/>
      <c r="I206" s="179"/>
    </row>
    <row r="207" ht="15.75" customHeight="1">
      <c r="H207" s="803"/>
      <c r="I207" s="179"/>
    </row>
    <row r="208" ht="15.75" customHeight="1">
      <c r="H208" s="803"/>
      <c r="I208" s="179"/>
    </row>
    <row r="209" ht="15.75" customHeight="1">
      <c r="H209" s="803"/>
      <c r="I209" s="179"/>
    </row>
    <row r="210" ht="15.75" customHeight="1">
      <c r="H210" s="803"/>
      <c r="I210" s="179"/>
    </row>
    <row r="211" ht="15.75" customHeight="1">
      <c r="H211" s="803"/>
      <c r="I211" s="179"/>
    </row>
    <row r="212" ht="15.75" customHeight="1">
      <c r="H212" s="803"/>
      <c r="I212" s="179"/>
    </row>
    <row r="213" ht="15.75" customHeight="1">
      <c r="H213" s="803"/>
      <c r="I213" s="179"/>
    </row>
    <row r="214" ht="15.75" customHeight="1">
      <c r="H214" s="803"/>
      <c r="I214" s="179"/>
    </row>
    <row r="215" ht="15.75" customHeight="1">
      <c r="H215" s="179"/>
      <c r="I215" s="179"/>
    </row>
    <row r="216" ht="15.75" customHeight="1">
      <c r="H216" s="803"/>
      <c r="I216" s="179"/>
    </row>
    <row r="217" ht="15.75" customHeight="1">
      <c r="H217" s="803"/>
      <c r="I217" s="179"/>
    </row>
    <row r="218" ht="15.75" customHeight="1">
      <c r="H218" s="803"/>
      <c r="I218" s="179"/>
    </row>
    <row r="219" ht="15.75" customHeight="1">
      <c r="H219" s="803"/>
      <c r="I219" s="179"/>
    </row>
    <row r="220" ht="15.75" customHeight="1">
      <c r="H220" s="803"/>
      <c r="I220" s="179"/>
    </row>
    <row r="221" ht="15.75" customHeight="1">
      <c r="H221" s="803"/>
      <c r="I221" s="179"/>
    </row>
    <row r="222" ht="15.75" customHeight="1">
      <c r="H222" s="803"/>
      <c r="I222" s="179"/>
    </row>
    <row r="223" ht="15.75" customHeight="1">
      <c r="H223" s="179"/>
      <c r="I223" s="179"/>
    </row>
    <row r="224" ht="15.75" customHeight="1">
      <c r="H224" s="179"/>
      <c r="I224" s="179"/>
    </row>
    <row r="225" ht="15.75" customHeight="1">
      <c r="H225" s="179"/>
      <c r="I225" s="179"/>
    </row>
    <row r="226" ht="15.75" customHeight="1">
      <c r="H226" s="179"/>
      <c r="I226" s="179"/>
    </row>
    <row r="227" ht="15.75" customHeight="1">
      <c r="H227" s="179"/>
      <c r="I227" s="179"/>
    </row>
    <row r="228" ht="15.75" customHeight="1">
      <c r="H228" s="179"/>
      <c r="I228" s="179"/>
    </row>
    <row r="229" ht="15.75" customHeight="1">
      <c r="H229" s="179"/>
      <c r="I229" s="179"/>
    </row>
    <row r="230" ht="15.75" customHeight="1">
      <c r="H230" s="179"/>
      <c r="I230" s="179"/>
    </row>
    <row r="231" ht="15.75" customHeight="1">
      <c r="H231" s="179"/>
      <c r="I231" s="179"/>
    </row>
    <row r="232" ht="15.75" customHeight="1">
      <c r="H232" s="179"/>
      <c r="I232" s="179"/>
    </row>
    <row r="233" ht="15.75" customHeight="1">
      <c r="H233" s="179"/>
      <c r="I233" s="179"/>
    </row>
    <row r="234" ht="15.75" customHeight="1">
      <c r="H234" s="179"/>
      <c r="I234" s="179"/>
    </row>
    <row r="235" ht="15.75" customHeight="1">
      <c r="H235" s="179"/>
      <c r="I235" s="179"/>
    </row>
    <row r="236" ht="15.75" customHeight="1">
      <c r="H236" s="179"/>
      <c r="I236" s="179"/>
    </row>
    <row r="237" ht="15.75" customHeight="1"/>
    <row r="238" ht="15.75" customHeight="1"/>
    <row r="239" ht="15.75" customHeight="1">
      <c r="I239" s="805" t="s">
        <v>7241</v>
      </c>
    </row>
    <row r="240" ht="15.75" customHeight="1">
      <c r="I240" s="805" t="s">
        <v>7242</v>
      </c>
    </row>
    <row r="241" ht="15.75" customHeight="1">
      <c r="I241" s="805" t="s">
        <v>7243</v>
      </c>
    </row>
    <row r="242" ht="15.75" customHeight="1">
      <c r="I242" s="805" t="s">
        <v>7244</v>
      </c>
    </row>
    <row r="243" ht="15.75" customHeight="1">
      <c r="I243" s="805" t="s">
        <v>7245</v>
      </c>
    </row>
    <row r="244" ht="15.75" customHeight="1">
      <c r="I244" s="805" t="s">
        <v>7246</v>
      </c>
    </row>
    <row r="245" ht="15.75" customHeight="1">
      <c r="I245" s="805" t="s">
        <v>7247</v>
      </c>
    </row>
    <row r="246" ht="15.75" customHeight="1">
      <c r="I246" s="805" t="s">
        <v>7248</v>
      </c>
    </row>
    <row r="247" ht="15.75" customHeight="1">
      <c r="I247" s="805" t="s">
        <v>7010</v>
      </c>
    </row>
    <row r="248" ht="15.75" customHeight="1">
      <c r="I248" s="805" t="s">
        <v>7249</v>
      </c>
    </row>
    <row r="249" ht="15.75" customHeight="1">
      <c r="I249" s="805" t="s">
        <v>7020</v>
      </c>
    </row>
    <row r="250" ht="15.75" customHeight="1">
      <c r="I250" s="805" t="s">
        <v>7250</v>
      </c>
    </row>
    <row r="251" ht="15.75" customHeight="1">
      <c r="I251" s="805" t="s">
        <v>7251</v>
      </c>
    </row>
    <row r="252" ht="15.75" customHeight="1">
      <c r="I252" s="805" t="s">
        <v>7037</v>
      </c>
    </row>
    <row r="253" ht="15.75" customHeight="1">
      <c r="I253" s="805" t="s">
        <v>7041</v>
      </c>
    </row>
    <row r="254" ht="15.75" customHeight="1">
      <c r="I254" s="805" t="s">
        <v>7252</v>
      </c>
    </row>
    <row r="255" ht="15.75" customHeight="1">
      <c r="I255" s="805" t="s">
        <v>7253</v>
      </c>
    </row>
    <row r="256" ht="15.75" customHeight="1">
      <c r="I256" s="805" t="s">
        <v>7254</v>
      </c>
    </row>
    <row r="257" ht="15.75" customHeight="1">
      <c r="I257" s="805" t="s">
        <v>7255</v>
      </c>
    </row>
    <row r="258" ht="15.75" customHeight="1">
      <c r="I258" s="805" t="s">
        <v>7256</v>
      </c>
    </row>
    <row r="259" ht="15.75" customHeight="1">
      <c r="I259" s="805" t="s">
        <v>7257</v>
      </c>
    </row>
    <row r="260" ht="15.75" customHeight="1">
      <c r="I260" s="805" t="s">
        <v>7258</v>
      </c>
    </row>
    <row r="261" ht="15.75" customHeight="1">
      <c r="I261" s="805" t="s">
        <v>7259</v>
      </c>
    </row>
    <row r="262" ht="15.75" customHeight="1">
      <c r="I262" s="805" t="s">
        <v>7260</v>
      </c>
    </row>
    <row r="263" ht="15.75" customHeight="1">
      <c r="I263" s="805" t="s">
        <v>7261</v>
      </c>
    </row>
    <row r="264" ht="15.75" customHeight="1">
      <c r="I264" s="805" t="s">
        <v>7262</v>
      </c>
    </row>
    <row r="265" ht="15.75" customHeight="1">
      <c r="I265" s="805" t="s">
        <v>7263</v>
      </c>
    </row>
    <row r="266" ht="15.75" customHeight="1">
      <c r="I266" s="805" t="s">
        <v>6599</v>
      </c>
    </row>
    <row r="267" ht="15.75" customHeight="1">
      <c r="I267" s="805" t="s">
        <v>7264</v>
      </c>
    </row>
    <row r="268" ht="15.75" customHeight="1">
      <c r="I268" s="805" t="s">
        <v>6415</v>
      </c>
    </row>
    <row r="269" ht="15.75" customHeight="1">
      <c r="I269" s="805" t="s">
        <v>6815</v>
      </c>
    </row>
    <row r="270" ht="15.75" customHeight="1">
      <c r="I270" s="805" t="s">
        <v>7265</v>
      </c>
    </row>
    <row r="271" ht="15.75" customHeight="1">
      <c r="I271" s="805" t="s">
        <v>6610</v>
      </c>
    </row>
    <row r="272" ht="15.75" customHeight="1">
      <c r="I272" s="805" t="s">
        <v>7266</v>
      </c>
    </row>
    <row r="273" ht="15.75" customHeight="1">
      <c r="I273" s="805" t="s">
        <v>7267</v>
      </c>
    </row>
    <row r="274" ht="15.75" customHeight="1">
      <c r="I274" s="805" t="s">
        <v>7268</v>
      </c>
    </row>
    <row r="275" ht="15.75" customHeight="1">
      <c r="I275" s="805" t="s">
        <v>6630</v>
      </c>
    </row>
    <row r="276" ht="15.75" customHeight="1">
      <c r="I276" s="805" t="s">
        <v>7269</v>
      </c>
    </row>
    <row r="277" ht="15.75" customHeight="1">
      <c r="I277" s="805" t="s">
        <v>7270</v>
      </c>
    </row>
    <row r="278" ht="15.75" customHeight="1">
      <c r="I278" s="805" t="s">
        <v>7271</v>
      </c>
    </row>
    <row r="279" ht="15.75" customHeight="1">
      <c r="I279" s="805" t="s">
        <v>6774</v>
      </c>
    </row>
    <row r="280" ht="15.75" customHeight="1">
      <c r="I280" s="805" t="s">
        <v>6651</v>
      </c>
    </row>
    <row r="281" ht="15.75" customHeight="1">
      <c r="I281" s="805" t="s">
        <v>6656</v>
      </c>
    </row>
    <row r="282" ht="15.75" customHeight="1">
      <c r="I282" s="805" t="s">
        <v>6662</v>
      </c>
    </row>
    <row r="283" ht="15.75" customHeight="1">
      <c r="I283" s="805" t="s">
        <v>6665</v>
      </c>
    </row>
    <row r="284" ht="15.75" customHeight="1">
      <c r="I284" s="805" t="s">
        <v>6634</v>
      </c>
    </row>
    <row r="285" ht="15.75" customHeight="1">
      <c r="I285" s="805" t="s">
        <v>7113</v>
      </c>
    </row>
    <row r="286" ht="15.75" customHeight="1">
      <c r="I286" s="805" t="s">
        <v>7272</v>
      </c>
    </row>
    <row r="287" ht="15.75" customHeight="1">
      <c r="I287" s="805" t="s">
        <v>6671</v>
      </c>
    </row>
    <row r="288" ht="15.75" customHeight="1">
      <c r="I288" s="805" t="s">
        <v>6780</v>
      </c>
    </row>
    <row r="289" ht="15.75" customHeight="1">
      <c r="I289" s="805" t="s">
        <v>7273</v>
      </c>
    </row>
    <row r="290" ht="15.75" customHeight="1">
      <c r="I290" s="805" t="s">
        <v>6394</v>
      </c>
    </row>
    <row r="291" ht="15.75" customHeight="1">
      <c r="I291" s="805" t="s">
        <v>7274</v>
      </c>
    </row>
    <row r="292" ht="15.75" customHeight="1">
      <c r="I292" s="805" t="s">
        <v>6404</v>
      </c>
    </row>
    <row r="293" ht="15.75" customHeight="1">
      <c r="I293" s="805" t="s">
        <v>7124</v>
      </c>
    </row>
    <row r="294" ht="15.75" customHeight="1">
      <c r="I294" s="805" t="s">
        <v>7128</v>
      </c>
    </row>
    <row r="295" ht="15.75" customHeight="1">
      <c r="I295" s="805" t="s">
        <v>6677</v>
      </c>
    </row>
    <row r="296" ht="15.75" customHeight="1">
      <c r="I296" s="805" t="s">
        <v>6683</v>
      </c>
    </row>
    <row r="297" ht="15.75" customHeight="1">
      <c r="I297" s="805" t="s">
        <v>7275</v>
      </c>
    </row>
    <row r="298" ht="15.75" customHeight="1">
      <c r="I298" s="805" t="s">
        <v>6766</v>
      </c>
    </row>
    <row r="299" ht="15.75" customHeight="1">
      <c r="I299" s="805" t="s">
        <v>6695</v>
      </c>
    </row>
    <row r="300" ht="15.75" customHeight="1">
      <c r="I300" s="805" t="s">
        <v>6701</v>
      </c>
    </row>
    <row r="301" ht="15.75" customHeight="1">
      <c r="I301" s="805" t="s">
        <v>6708</v>
      </c>
    </row>
    <row r="302" ht="15.75" customHeight="1">
      <c r="I302" s="805" t="s">
        <v>6714</v>
      </c>
    </row>
    <row r="303" ht="15.75" customHeight="1">
      <c r="I303" s="805" t="s">
        <v>6718</v>
      </c>
    </row>
    <row r="304" ht="15.75" customHeight="1">
      <c r="I304" s="805" t="s">
        <v>6725</v>
      </c>
    </row>
    <row r="305" ht="15.75" customHeight="1">
      <c r="I305" s="805" t="s">
        <v>6730</v>
      </c>
    </row>
    <row r="306" ht="15.75" customHeight="1">
      <c r="I306" s="805" t="s">
        <v>6734</v>
      </c>
    </row>
    <row r="307" ht="15.75" customHeight="1">
      <c r="I307" s="805" t="s">
        <v>6738</v>
      </c>
    </row>
    <row r="308" ht="15.75" customHeight="1">
      <c r="I308" s="805" t="s">
        <v>6743</v>
      </c>
    </row>
    <row r="309" ht="15.75" customHeight="1">
      <c r="I309" s="805" t="s">
        <v>6747</v>
      </c>
    </row>
    <row r="310" ht="15.75" customHeight="1">
      <c r="I310" s="805" t="s">
        <v>6825</v>
      </c>
    </row>
    <row r="311" ht="15.75" customHeight="1">
      <c r="I311" s="805" t="s">
        <v>7133</v>
      </c>
    </row>
    <row r="312" ht="15.75" customHeight="1">
      <c r="I312" s="805" t="s">
        <v>7138</v>
      </c>
    </row>
    <row r="313" ht="15.75" customHeight="1">
      <c r="I313" s="805" t="s">
        <v>7142</v>
      </c>
    </row>
    <row r="314" ht="15.75" customHeight="1">
      <c r="I314" s="805" t="s">
        <v>7146</v>
      </c>
    </row>
    <row r="315" ht="15.75" customHeight="1">
      <c r="I315" s="805" t="s">
        <v>7151</v>
      </c>
    </row>
    <row r="316" ht="15.75" customHeight="1">
      <c r="I316" s="805" t="s">
        <v>7156</v>
      </c>
    </row>
    <row r="317" ht="15.75" customHeight="1">
      <c r="I317" s="805" t="s">
        <v>7161</v>
      </c>
    </row>
    <row r="318" ht="15.75" customHeight="1">
      <c r="I318" s="805" t="s">
        <v>6760</v>
      </c>
    </row>
    <row r="319" ht="15.75" customHeight="1">
      <c r="I319" s="805" t="s">
        <v>6753</v>
      </c>
    </row>
    <row r="320" ht="15.75" customHeight="1">
      <c r="I320" s="805" t="s">
        <v>7167</v>
      </c>
    </row>
    <row r="321" ht="15.75" customHeight="1">
      <c r="I321" s="805" t="s">
        <v>7171</v>
      </c>
    </row>
    <row r="322" ht="15.75" customHeight="1">
      <c r="I322" s="805" t="s">
        <v>7177</v>
      </c>
    </row>
    <row r="323" ht="15.75" customHeight="1">
      <c r="I323" s="805" t="s">
        <v>4404</v>
      </c>
    </row>
    <row r="324" ht="15.75" customHeight="1"/>
    <row r="325" ht="15.75" customHeight="1"/>
    <row r="326" ht="15.75" customHeight="1">
      <c r="I326" s="805" t="s">
        <v>6415</v>
      </c>
    </row>
    <row r="327" ht="15.75" customHeight="1">
      <c r="I327" s="805" t="s">
        <v>6701</v>
      </c>
    </row>
    <row r="328" ht="15.75" customHeight="1">
      <c r="I328" s="805" t="s">
        <v>6839</v>
      </c>
    </row>
    <row r="329" ht="15.75" customHeight="1">
      <c r="I329" s="805" t="s">
        <v>7184</v>
      </c>
    </row>
    <row r="330" ht="15.75" customHeight="1">
      <c r="I330" s="805" t="s">
        <v>7190</v>
      </c>
    </row>
    <row r="331" ht="15.75" customHeight="1">
      <c r="I331" s="805" t="s">
        <v>7196</v>
      </c>
    </row>
    <row r="332" ht="15.75" customHeight="1">
      <c r="I332" s="805" t="s">
        <v>7276</v>
      </c>
    </row>
    <row r="333" ht="15.75" customHeight="1">
      <c r="I333" s="805" t="s">
        <v>6861</v>
      </c>
    </row>
    <row r="334" ht="15.75" customHeight="1">
      <c r="I334" s="805" t="s">
        <v>6846</v>
      </c>
    </row>
    <row r="335" ht="15.75" customHeight="1">
      <c r="I335" s="805" t="s">
        <v>6851</v>
      </c>
    </row>
    <row r="336" ht="15.75" customHeight="1">
      <c r="I336" s="805" t="s">
        <v>7277</v>
      </c>
    </row>
    <row r="337" ht="15.75" customHeight="1">
      <c r="I337" s="805" t="s">
        <v>6780</v>
      </c>
    </row>
    <row r="338" ht="15.75" customHeight="1">
      <c r="I338" s="805" t="s">
        <v>7210</v>
      </c>
    </row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3:M3"/>
    <mergeCell ref="A4:M4"/>
  </mergeCells>
  <printOptions/>
  <pageMargins bottom="0.75" footer="0.0" header="0.0" left="0.25" right="0.25" top="0.75"/>
  <pageSetup scale="60" orientation="landscape"/>
  <drawing r:id="rId1"/>
  <tableParts count="2">
    <tablePart r:id="rId4"/>
    <tablePart r:id="rId5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workbookViewId="0"/>
  </sheetViews>
  <sheetFormatPr customHeight="1" defaultColWidth="14.43" defaultRowHeight="15.0"/>
  <cols>
    <col customWidth="1" min="1" max="1" width="5.29"/>
    <col customWidth="1" min="2" max="2" width="39.86"/>
    <col customWidth="1" min="3" max="3" width="39.14"/>
    <col customWidth="1" min="4" max="4" width="14.86"/>
    <col customWidth="1" min="5" max="5" width="12.86"/>
    <col customWidth="1" min="6" max="6" width="16.29"/>
    <col customWidth="1" min="7" max="7" width="25.57"/>
    <col customWidth="1" min="8" max="8" width="8.29"/>
    <col customWidth="1" min="9" max="9" width="10.86"/>
    <col customWidth="1" min="10" max="10" width="21.86"/>
    <col customWidth="1" min="11" max="11" width="20.57"/>
    <col customWidth="1" min="12" max="12" width="12.14"/>
    <col customWidth="1" min="13" max="13" width="54.43"/>
    <col customWidth="1" min="14" max="14" width="24.14"/>
    <col customWidth="1" min="15" max="15" width="20.71"/>
    <col customWidth="1" min="16" max="27" width="8.71"/>
  </cols>
  <sheetData>
    <row r="1" ht="14.25" customHeight="1"/>
    <row r="2" ht="14.25" customHeight="1"/>
    <row r="3" ht="14.25" customHeight="1">
      <c r="A3" s="1" t="s">
        <v>0</v>
      </c>
    </row>
    <row r="4" ht="14.25" customHeight="1">
      <c r="A4" s="1" t="s">
        <v>1</v>
      </c>
    </row>
    <row r="5" ht="14.25" customHeight="1"/>
    <row r="6" ht="14.25" customHeight="1"/>
    <row r="7" ht="14.25" customHeight="1">
      <c r="A7" s="2" t="s">
        <v>2</v>
      </c>
      <c r="C7" s="2" t="s">
        <v>3</v>
      </c>
    </row>
    <row r="8" ht="14.25" customHeight="1">
      <c r="A8" s="2" t="s">
        <v>4</v>
      </c>
      <c r="C8" s="2" t="s">
        <v>5</v>
      </c>
    </row>
    <row r="9" ht="14.25" customHeight="1">
      <c r="A9" s="2" t="s">
        <v>6</v>
      </c>
      <c r="C9" s="2" t="s">
        <v>7278</v>
      </c>
    </row>
    <row r="10" ht="14.25" customHeight="1">
      <c r="A10" s="169" t="s">
        <v>8</v>
      </c>
      <c r="B10" s="170" t="s">
        <v>9</v>
      </c>
      <c r="C10" s="170" t="s">
        <v>10</v>
      </c>
      <c r="D10" s="170" t="s">
        <v>11</v>
      </c>
      <c r="E10" s="170" t="s">
        <v>12</v>
      </c>
      <c r="F10" s="170" t="s">
        <v>13</v>
      </c>
      <c r="G10" s="170" t="s">
        <v>14</v>
      </c>
      <c r="H10" s="170" t="s">
        <v>15</v>
      </c>
      <c r="I10" s="170" t="s">
        <v>16</v>
      </c>
      <c r="J10" s="170" t="s">
        <v>17</v>
      </c>
      <c r="K10" s="246" t="s">
        <v>766</v>
      </c>
      <c r="L10" s="170" t="s">
        <v>1882</v>
      </c>
      <c r="M10" s="171" t="s">
        <v>20</v>
      </c>
      <c r="N10" s="170" t="s">
        <v>7279</v>
      </c>
      <c r="O10" s="170" t="s">
        <v>1883</v>
      </c>
    </row>
    <row r="11" ht="14.25" customHeight="1">
      <c r="A11" s="698"/>
      <c r="B11" s="317" t="s">
        <v>1884</v>
      </c>
      <c r="C11" s="317"/>
      <c r="D11" s="317"/>
      <c r="E11" s="317"/>
      <c r="F11" s="427">
        <f>SUM(F12:F17)</f>
        <v>3674282768</v>
      </c>
      <c r="G11" s="317"/>
      <c r="H11" s="317"/>
      <c r="I11" s="317"/>
      <c r="J11" s="317"/>
      <c r="K11" s="317"/>
      <c r="L11" s="317"/>
      <c r="M11" s="428"/>
      <c r="N11" s="381"/>
      <c r="O11" s="381"/>
    </row>
    <row r="12" ht="14.25" customHeight="1">
      <c r="A12" s="699">
        <v>1.0</v>
      </c>
      <c r="B12" s="175" t="s">
        <v>2472</v>
      </c>
      <c r="C12" s="175" t="s">
        <v>7280</v>
      </c>
      <c r="D12" s="175" t="s">
        <v>7281</v>
      </c>
      <c r="E12" s="175" t="s">
        <v>3832</v>
      </c>
      <c r="F12" s="177">
        <v>7.275E8</v>
      </c>
      <c r="G12" s="175"/>
      <c r="H12" s="175" t="s">
        <v>2329</v>
      </c>
      <c r="I12" s="178" t="s">
        <v>7282</v>
      </c>
      <c r="J12" s="175" t="s">
        <v>7283</v>
      </c>
      <c r="K12" s="806" t="s">
        <v>7284</v>
      </c>
      <c r="L12" s="432" t="s">
        <v>7285</v>
      </c>
      <c r="M12" s="391" t="s">
        <v>7286</v>
      </c>
      <c r="N12" s="175" t="s">
        <v>7287</v>
      </c>
      <c r="O12" s="175" t="s">
        <v>7288</v>
      </c>
    </row>
    <row r="13" ht="14.25" customHeight="1">
      <c r="A13" s="699">
        <v>2.0</v>
      </c>
      <c r="B13" s="175" t="s">
        <v>2472</v>
      </c>
      <c r="C13" s="175" t="s">
        <v>7289</v>
      </c>
      <c r="D13" s="175" t="s">
        <v>7281</v>
      </c>
      <c r="E13" s="175" t="s">
        <v>3832</v>
      </c>
      <c r="F13" s="177">
        <v>6.215E8</v>
      </c>
      <c r="G13" s="175"/>
      <c r="H13" s="175" t="s">
        <v>2329</v>
      </c>
      <c r="I13" s="175" t="s">
        <v>7290</v>
      </c>
      <c r="J13" s="178" t="s">
        <v>7291</v>
      </c>
      <c r="K13" s="175" t="s">
        <v>7292</v>
      </c>
      <c r="L13" s="175" t="s">
        <v>7285</v>
      </c>
      <c r="M13" s="391" t="s">
        <v>7286</v>
      </c>
      <c r="N13" s="175" t="s">
        <v>7293</v>
      </c>
      <c r="O13" s="175" t="s">
        <v>7294</v>
      </c>
    </row>
    <row r="14" ht="14.25" customHeight="1">
      <c r="A14" s="699">
        <v>3.0</v>
      </c>
      <c r="B14" s="175" t="s">
        <v>2472</v>
      </c>
      <c r="C14" s="175" t="s">
        <v>7295</v>
      </c>
      <c r="D14" s="175" t="s">
        <v>7281</v>
      </c>
      <c r="E14" s="175" t="s">
        <v>3832</v>
      </c>
      <c r="F14" s="177">
        <v>5.75E8</v>
      </c>
      <c r="G14" s="175"/>
      <c r="H14" s="175" t="s">
        <v>2329</v>
      </c>
      <c r="I14" s="175" t="s">
        <v>7296</v>
      </c>
      <c r="J14" s="175" t="s">
        <v>7297</v>
      </c>
      <c r="K14" s="178" t="s">
        <v>7298</v>
      </c>
      <c r="L14" s="17" t="s">
        <v>7299</v>
      </c>
      <c r="M14" s="391" t="s">
        <v>7286</v>
      </c>
      <c r="N14" s="175" t="s">
        <v>7300</v>
      </c>
      <c r="O14" s="175" t="s">
        <v>7301</v>
      </c>
    </row>
    <row r="15" ht="14.25" customHeight="1">
      <c r="A15" s="699">
        <v>4.0</v>
      </c>
      <c r="B15" s="175" t="s">
        <v>1926</v>
      </c>
      <c r="C15" s="175" t="s">
        <v>780</v>
      </c>
      <c r="D15" s="175" t="s">
        <v>7281</v>
      </c>
      <c r="E15" s="175" t="s">
        <v>3832</v>
      </c>
      <c r="F15" s="177">
        <v>5.26774E8</v>
      </c>
      <c r="G15" s="175" t="s">
        <v>7302</v>
      </c>
      <c r="H15" s="175" t="s">
        <v>910</v>
      </c>
      <c r="I15" s="175" t="s">
        <v>7303</v>
      </c>
      <c r="J15" s="175" t="s">
        <v>7304</v>
      </c>
      <c r="K15" s="806" t="s">
        <v>7305</v>
      </c>
      <c r="L15" s="27" t="s">
        <v>7306</v>
      </c>
      <c r="M15" s="391" t="s">
        <v>7307</v>
      </c>
      <c r="N15" s="175" t="s">
        <v>2755</v>
      </c>
      <c r="O15" s="175" t="s">
        <v>2755</v>
      </c>
    </row>
    <row r="16" ht="14.25" customHeight="1">
      <c r="A16" s="699">
        <v>5.0</v>
      </c>
      <c r="B16" s="175" t="s">
        <v>1926</v>
      </c>
      <c r="C16" s="175" t="s">
        <v>780</v>
      </c>
      <c r="D16" s="175" t="s">
        <v>7281</v>
      </c>
      <c r="E16" s="175" t="s">
        <v>3832</v>
      </c>
      <c r="F16" s="177">
        <v>5.26774E8</v>
      </c>
      <c r="G16" s="175" t="s">
        <v>7302</v>
      </c>
      <c r="H16" s="175" t="s">
        <v>910</v>
      </c>
      <c r="I16" s="175" t="s">
        <v>7308</v>
      </c>
      <c r="J16" s="175" t="s">
        <v>7309</v>
      </c>
      <c r="K16" s="806" t="s">
        <v>7310</v>
      </c>
      <c r="L16" s="27" t="s">
        <v>7311</v>
      </c>
      <c r="M16" s="391" t="s">
        <v>7312</v>
      </c>
      <c r="N16" s="175" t="s">
        <v>2755</v>
      </c>
      <c r="O16" s="175" t="s">
        <v>2755</v>
      </c>
    </row>
    <row r="17" ht="14.25" customHeight="1">
      <c r="A17" s="699">
        <v>6.0</v>
      </c>
      <c r="B17" s="175" t="s">
        <v>1926</v>
      </c>
      <c r="C17" s="175" t="s">
        <v>1926</v>
      </c>
      <c r="D17" s="175" t="s">
        <v>7281</v>
      </c>
      <c r="E17" s="175" t="s">
        <v>3832</v>
      </c>
      <c r="F17" s="177">
        <v>6.96734768E8</v>
      </c>
      <c r="G17" s="175" t="s">
        <v>7313</v>
      </c>
      <c r="H17" s="175" t="s">
        <v>1076</v>
      </c>
      <c r="I17" s="175" t="s">
        <v>7314</v>
      </c>
      <c r="J17" s="175" t="s">
        <v>7315</v>
      </c>
      <c r="K17" s="178" t="s">
        <v>7316</v>
      </c>
      <c r="L17" s="27" t="s">
        <v>7317</v>
      </c>
      <c r="M17" s="391" t="s">
        <v>7318</v>
      </c>
      <c r="N17" s="175" t="s">
        <v>2755</v>
      </c>
      <c r="O17" s="175" t="s">
        <v>2755</v>
      </c>
    </row>
    <row r="18" ht="14.25" customHeight="1">
      <c r="A18" s="698"/>
      <c r="B18" s="317" t="s">
        <v>23</v>
      </c>
      <c r="C18" s="317"/>
      <c r="D18" s="317"/>
      <c r="E18" s="317"/>
      <c r="F18" s="427">
        <f>SUM(F19:F24)</f>
        <v>1205000000</v>
      </c>
      <c r="G18" s="317"/>
      <c r="H18" s="317"/>
      <c r="I18" s="317"/>
      <c r="J18" s="317"/>
      <c r="K18" s="317"/>
      <c r="L18" s="317"/>
      <c r="M18" s="428"/>
      <c r="N18" s="175"/>
      <c r="O18" s="175"/>
    </row>
    <row r="19" ht="14.25" customHeight="1">
      <c r="A19" s="699">
        <v>7.0</v>
      </c>
      <c r="B19" s="175" t="s">
        <v>779</v>
      </c>
      <c r="C19" s="175" t="s">
        <v>780</v>
      </c>
      <c r="D19" s="175" t="s">
        <v>7281</v>
      </c>
      <c r="E19" s="175" t="s">
        <v>3832</v>
      </c>
      <c r="F19" s="177">
        <v>2.348E8</v>
      </c>
      <c r="G19" s="175" t="s">
        <v>6458</v>
      </c>
      <c r="H19" s="175" t="s">
        <v>979</v>
      </c>
      <c r="I19" s="178" t="s">
        <v>7319</v>
      </c>
      <c r="J19" s="175" t="s">
        <v>7320</v>
      </c>
      <c r="K19" s="178" t="s">
        <v>7321</v>
      </c>
      <c r="L19" s="27" t="s">
        <v>7322</v>
      </c>
      <c r="M19" s="391" t="s">
        <v>7323</v>
      </c>
      <c r="N19" s="175" t="s">
        <v>2755</v>
      </c>
      <c r="O19" s="175" t="s">
        <v>2755</v>
      </c>
    </row>
    <row r="20" ht="14.25" customHeight="1">
      <c r="A20" s="699">
        <v>8.0</v>
      </c>
      <c r="B20" s="175" t="s">
        <v>779</v>
      </c>
      <c r="C20" s="175" t="s">
        <v>780</v>
      </c>
      <c r="D20" s="175" t="s">
        <v>7281</v>
      </c>
      <c r="E20" s="175" t="s">
        <v>3832</v>
      </c>
      <c r="F20" s="177">
        <v>1.9456325E8</v>
      </c>
      <c r="G20" s="175" t="s">
        <v>7324</v>
      </c>
      <c r="H20" s="175" t="s">
        <v>92</v>
      </c>
      <c r="I20" s="175" t="s">
        <v>7325</v>
      </c>
      <c r="J20" s="175" t="s">
        <v>7326</v>
      </c>
      <c r="K20" s="178" t="s">
        <v>7327</v>
      </c>
      <c r="L20" s="27" t="s">
        <v>7328</v>
      </c>
      <c r="M20" s="391" t="s">
        <v>7329</v>
      </c>
      <c r="N20" s="175" t="s">
        <v>7330</v>
      </c>
      <c r="O20" s="175" t="s">
        <v>7331</v>
      </c>
    </row>
    <row r="21" ht="14.25" customHeight="1">
      <c r="A21" s="699">
        <v>9.0</v>
      </c>
      <c r="B21" s="175" t="s">
        <v>779</v>
      </c>
      <c r="C21" s="175" t="s">
        <v>780</v>
      </c>
      <c r="D21" s="175" t="s">
        <v>7281</v>
      </c>
      <c r="E21" s="175" t="s">
        <v>3832</v>
      </c>
      <c r="F21" s="177">
        <v>1.9456325E8</v>
      </c>
      <c r="G21" s="175" t="s">
        <v>7324</v>
      </c>
      <c r="H21" s="175" t="s">
        <v>92</v>
      </c>
      <c r="I21" s="175" t="s">
        <v>7332</v>
      </c>
      <c r="J21" s="175" t="s">
        <v>7333</v>
      </c>
      <c r="K21" s="178" t="s">
        <v>7334</v>
      </c>
      <c r="L21" s="27" t="s">
        <v>7335</v>
      </c>
      <c r="M21" s="391" t="s">
        <v>7336</v>
      </c>
      <c r="N21" s="175" t="s">
        <v>7337</v>
      </c>
      <c r="O21" s="175" t="s">
        <v>7338</v>
      </c>
    </row>
    <row r="22" ht="14.25" customHeight="1">
      <c r="A22" s="699">
        <v>10.0</v>
      </c>
      <c r="B22" s="175" t="s">
        <v>779</v>
      </c>
      <c r="C22" s="175" t="s">
        <v>780</v>
      </c>
      <c r="D22" s="175" t="s">
        <v>7281</v>
      </c>
      <c r="E22" s="175" t="s">
        <v>3832</v>
      </c>
      <c r="F22" s="177">
        <v>1.9456325E8</v>
      </c>
      <c r="G22" s="175" t="s">
        <v>7324</v>
      </c>
      <c r="H22" s="175" t="s">
        <v>92</v>
      </c>
      <c r="I22" s="175" t="s">
        <v>7339</v>
      </c>
      <c r="J22" s="175" t="s">
        <v>7340</v>
      </c>
      <c r="K22" s="178" t="s">
        <v>7341</v>
      </c>
      <c r="L22" s="27" t="s">
        <v>7342</v>
      </c>
      <c r="M22" s="391" t="s">
        <v>7343</v>
      </c>
      <c r="N22" s="175" t="s">
        <v>7344</v>
      </c>
      <c r="O22" s="175" t="s">
        <v>7345</v>
      </c>
    </row>
    <row r="23" ht="14.25" customHeight="1">
      <c r="A23" s="699">
        <v>11.0</v>
      </c>
      <c r="B23" s="175" t="s">
        <v>779</v>
      </c>
      <c r="C23" s="175" t="s">
        <v>780</v>
      </c>
      <c r="D23" s="175" t="s">
        <v>7281</v>
      </c>
      <c r="E23" s="175" t="s">
        <v>3832</v>
      </c>
      <c r="F23" s="177">
        <v>1.6351025E8</v>
      </c>
      <c r="G23" s="175" t="s">
        <v>7346</v>
      </c>
      <c r="H23" s="175" t="s">
        <v>92</v>
      </c>
      <c r="I23" s="178" t="s">
        <v>7347</v>
      </c>
      <c r="J23" s="175" t="s">
        <v>7348</v>
      </c>
      <c r="K23" s="178" t="s">
        <v>7349</v>
      </c>
      <c r="L23" s="27" t="s">
        <v>7350</v>
      </c>
      <c r="M23" s="686" t="s">
        <v>7351</v>
      </c>
      <c r="N23" s="175" t="s">
        <v>7352</v>
      </c>
      <c r="O23" s="175" t="s">
        <v>7353</v>
      </c>
    </row>
    <row r="24" ht="14.25" customHeight="1">
      <c r="A24" s="699">
        <v>12.0</v>
      </c>
      <c r="B24" s="175" t="s">
        <v>779</v>
      </c>
      <c r="C24" s="175" t="s">
        <v>780</v>
      </c>
      <c r="D24" s="175" t="s">
        <v>7281</v>
      </c>
      <c r="E24" s="175" t="s">
        <v>3832</v>
      </c>
      <c r="F24" s="177">
        <v>2.23E8</v>
      </c>
      <c r="G24" s="175" t="s">
        <v>7354</v>
      </c>
      <c r="H24" s="175" t="s">
        <v>910</v>
      </c>
      <c r="I24" s="175" t="s">
        <v>7355</v>
      </c>
      <c r="J24" s="175" t="s">
        <v>7356</v>
      </c>
      <c r="K24" s="175"/>
      <c r="L24" s="27" t="s">
        <v>7357</v>
      </c>
      <c r="M24" s="391" t="s">
        <v>7358</v>
      </c>
      <c r="N24" s="175" t="s">
        <v>7359</v>
      </c>
      <c r="O24" s="175" t="s">
        <v>7360</v>
      </c>
    </row>
    <row r="25" ht="14.25" customHeight="1">
      <c r="A25" s="698"/>
      <c r="B25" s="317" t="s">
        <v>99</v>
      </c>
      <c r="C25" s="317"/>
      <c r="D25" s="317"/>
      <c r="E25" s="317"/>
      <c r="F25" s="427">
        <f>SUM(F26:F50)</f>
        <v>441643111</v>
      </c>
      <c r="G25" s="317"/>
      <c r="H25" s="317"/>
      <c r="I25" s="317"/>
      <c r="J25" s="317"/>
      <c r="K25" s="317"/>
      <c r="L25" s="317"/>
      <c r="M25" s="428"/>
      <c r="N25" s="175"/>
      <c r="O25" s="175"/>
    </row>
    <row r="26" ht="14.25" customHeight="1">
      <c r="A26" s="699">
        <v>1.0</v>
      </c>
      <c r="B26" s="175" t="s">
        <v>100</v>
      </c>
      <c r="C26" s="175" t="s">
        <v>100</v>
      </c>
      <c r="D26" s="175" t="s">
        <v>7281</v>
      </c>
      <c r="E26" s="175" t="s">
        <v>3018</v>
      </c>
      <c r="F26" s="177">
        <v>1.0E7</v>
      </c>
      <c r="G26" s="175" t="s">
        <v>7361</v>
      </c>
      <c r="H26" s="175" t="s">
        <v>145</v>
      </c>
      <c r="I26" s="175" t="s">
        <v>7362</v>
      </c>
      <c r="J26" s="175" t="s">
        <v>7363</v>
      </c>
      <c r="K26" s="178" t="s">
        <v>7364</v>
      </c>
      <c r="L26" s="27" t="s">
        <v>7365</v>
      </c>
      <c r="M26" s="391"/>
      <c r="N26" s="175" t="s">
        <v>7366</v>
      </c>
      <c r="O26" s="175" t="s">
        <v>7367</v>
      </c>
    </row>
    <row r="27" ht="14.25" customHeight="1">
      <c r="A27" s="699">
        <v>2.0</v>
      </c>
      <c r="B27" s="175" t="s">
        <v>100</v>
      </c>
      <c r="C27" s="175" t="s">
        <v>100</v>
      </c>
      <c r="D27" s="175" t="s">
        <v>7281</v>
      </c>
      <c r="E27" s="175" t="s">
        <v>3832</v>
      </c>
      <c r="F27" s="177">
        <v>1.0E7</v>
      </c>
      <c r="G27" s="175" t="s">
        <v>7361</v>
      </c>
      <c r="H27" s="175" t="s">
        <v>145</v>
      </c>
      <c r="I27" s="175" t="s">
        <v>7368</v>
      </c>
      <c r="J27" s="175" t="s">
        <v>7369</v>
      </c>
      <c r="K27" s="178" t="s">
        <v>7370</v>
      </c>
      <c r="L27" s="27" t="s">
        <v>7371</v>
      </c>
      <c r="M27" s="391"/>
      <c r="N27" s="175" t="s">
        <v>2755</v>
      </c>
      <c r="O27" s="175" t="s">
        <v>2755</v>
      </c>
    </row>
    <row r="28" ht="14.25" customHeight="1">
      <c r="A28" s="699">
        <v>3.0</v>
      </c>
      <c r="B28" s="175" t="s">
        <v>100</v>
      </c>
      <c r="C28" s="175" t="s">
        <v>100</v>
      </c>
      <c r="D28" s="175" t="s">
        <v>7281</v>
      </c>
      <c r="E28" s="175" t="s">
        <v>3832</v>
      </c>
      <c r="F28" s="177">
        <v>1.4833333E7</v>
      </c>
      <c r="G28" s="175" t="s">
        <v>3272</v>
      </c>
      <c r="H28" s="175" t="s">
        <v>84</v>
      </c>
      <c r="I28" s="178" t="s">
        <v>7372</v>
      </c>
      <c r="J28" s="175" t="s">
        <v>7373</v>
      </c>
      <c r="K28" s="178" t="s">
        <v>7374</v>
      </c>
      <c r="L28" s="17" t="s">
        <v>7375</v>
      </c>
      <c r="M28" s="391" t="s">
        <v>7376</v>
      </c>
      <c r="N28" s="175" t="s">
        <v>7377</v>
      </c>
      <c r="O28" s="175" t="s">
        <v>7378</v>
      </c>
    </row>
    <row r="29" ht="14.25" customHeight="1">
      <c r="A29" s="699">
        <v>4.0</v>
      </c>
      <c r="B29" s="175" t="s">
        <v>100</v>
      </c>
      <c r="C29" s="175" t="s">
        <v>100</v>
      </c>
      <c r="D29" s="175" t="s">
        <v>7281</v>
      </c>
      <c r="E29" s="175" t="s">
        <v>3018</v>
      </c>
      <c r="F29" s="177">
        <v>1.4354E7</v>
      </c>
      <c r="G29" s="175" t="s">
        <v>7379</v>
      </c>
      <c r="H29" s="175" t="s">
        <v>84</v>
      </c>
      <c r="I29" s="178" t="s">
        <v>7380</v>
      </c>
      <c r="J29" s="175" t="s">
        <v>7381</v>
      </c>
      <c r="K29" s="178" t="s">
        <v>7382</v>
      </c>
      <c r="L29" s="17" t="s">
        <v>7383</v>
      </c>
      <c r="M29" s="391" t="s">
        <v>7384</v>
      </c>
      <c r="N29" s="175" t="s">
        <v>2755</v>
      </c>
      <c r="O29" s="175" t="s">
        <v>2755</v>
      </c>
    </row>
    <row r="30" ht="14.25" customHeight="1">
      <c r="A30" s="699">
        <v>5.0</v>
      </c>
      <c r="B30" s="175" t="s">
        <v>100</v>
      </c>
      <c r="C30" s="175" t="s">
        <v>100</v>
      </c>
      <c r="D30" s="175" t="s">
        <v>7281</v>
      </c>
      <c r="E30" s="175" t="s">
        <v>3018</v>
      </c>
      <c r="F30" s="177">
        <v>1.4354E7</v>
      </c>
      <c r="G30" s="175" t="s">
        <v>7379</v>
      </c>
      <c r="H30" s="175" t="s">
        <v>84</v>
      </c>
      <c r="I30" s="175" t="s">
        <v>7385</v>
      </c>
      <c r="J30" s="175" t="s">
        <v>7386</v>
      </c>
      <c r="K30" s="178" t="s">
        <v>7387</v>
      </c>
      <c r="L30" s="27" t="s">
        <v>7388</v>
      </c>
      <c r="M30" s="391"/>
      <c r="N30" s="175" t="s">
        <v>7389</v>
      </c>
      <c r="O30" s="175" t="s">
        <v>7390</v>
      </c>
    </row>
    <row r="31" ht="14.25" customHeight="1">
      <c r="A31" s="699">
        <v>6.0</v>
      </c>
      <c r="B31" s="175" t="s">
        <v>100</v>
      </c>
      <c r="C31" s="175" t="s">
        <v>100</v>
      </c>
      <c r="D31" s="175" t="s">
        <v>7281</v>
      </c>
      <c r="E31" s="175" t="s">
        <v>3018</v>
      </c>
      <c r="F31" s="177">
        <v>1.4354E7</v>
      </c>
      <c r="G31" s="175" t="s">
        <v>7379</v>
      </c>
      <c r="H31" s="175" t="s">
        <v>84</v>
      </c>
      <c r="I31" s="178" t="s">
        <v>7391</v>
      </c>
      <c r="J31" s="175" t="s">
        <v>7392</v>
      </c>
      <c r="K31" s="178" t="s">
        <v>7393</v>
      </c>
      <c r="L31" s="17" t="s">
        <v>7394</v>
      </c>
      <c r="M31" s="391" t="s">
        <v>7395</v>
      </c>
      <c r="N31" s="360" t="s">
        <v>7396</v>
      </c>
      <c r="O31" s="175" t="s">
        <v>7397</v>
      </c>
    </row>
    <row r="32" ht="14.25" customHeight="1">
      <c r="A32" s="699">
        <v>7.0</v>
      </c>
      <c r="B32" s="175" t="s">
        <v>100</v>
      </c>
      <c r="C32" s="175" t="s">
        <v>100</v>
      </c>
      <c r="D32" s="175" t="s">
        <v>7281</v>
      </c>
      <c r="E32" s="175" t="s">
        <v>3018</v>
      </c>
      <c r="F32" s="177">
        <v>1.994589E7</v>
      </c>
      <c r="G32" s="175" t="s">
        <v>7398</v>
      </c>
      <c r="H32" s="175" t="s">
        <v>92</v>
      </c>
      <c r="I32" s="178" t="s">
        <v>7399</v>
      </c>
      <c r="J32" s="175" t="s">
        <v>7400</v>
      </c>
      <c r="K32" s="178" t="s">
        <v>7401</v>
      </c>
      <c r="L32" s="17" t="s">
        <v>7402</v>
      </c>
      <c r="M32" s="391" t="s">
        <v>7403</v>
      </c>
      <c r="N32" s="175" t="s">
        <v>4243</v>
      </c>
      <c r="O32" s="175" t="s">
        <v>7404</v>
      </c>
    </row>
    <row r="33" ht="14.25" customHeight="1">
      <c r="A33" s="699">
        <v>8.0</v>
      </c>
      <c r="B33" s="175" t="s">
        <v>100</v>
      </c>
      <c r="C33" s="175" t="s">
        <v>100</v>
      </c>
      <c r="D33" s="175" t="s">
        <v>7281</v>
      </c>
      <c r="E33" s="175" t="s">
        <v>3832</v>
      </c>
      <c r="F33" s="177">
        <v>1.429137E7</v>
      </c>
      <c r="G33" s="175" t="s">
        <v>7405</v>
      </c>
      <c r="H33" s="175" t="s">
        <v>92</v>
      </c>
      <c r="I33" s="175" t="s">
        <v>7406</v>
      </c>
      <c r="J33" s="175" t="s">
        <v>7407</v>
      </c>
      <c r="K33" s="178" t="s">
        <v>7408</v>
      </c>
      <c r="L33" s="27" t="s">
        <v>7409</v>
      </c>
      <c r="M33" s="391"/>
      <c r="N33" s="175" t="s">
        <v>7410</v>
      </c>
      <c r="O33" s="175" t="s">
        <v>7411</v>
      </c>
    </row>
    <row r="34" ht="14.25" customHeight="1">
      <c r="A34" s="699">
        <v>9.0</v>
      </c>
      <c r="B34" s="175" t="s">
        <v>100</v>
      </c>
      <c r="C34" s="175" t="s">
        <v>100</v>
      </c>
      <c r="D34" s="175" t="s">
        <v>7281</v>
      </c>
      <c r="E34" s="175" t="s">
        <v>3832</v>
      </c>
      <c r="F34" s="177">
        <v>1.429137E7</v>
      </c>
      <c r="G34" s="175" t="s">
        <v>7405</v>
      </c>
      <c r="H34" s="175" t="s">
        <v>92</v>
      </c>
      <c r="I34" s="178" t="s">
        <v>7412</v>
      </c>
      <c r="J34" s="175" t="s">
        <v>7413</v>
      </c>
      <c r="K34" s="178" t="s">
        <v>7414</v>
      </c>
      <c r="L34" s="17" t="s">
        <v>7415</v>
      </c>
      <c r="M34" s="391" t="s">
        <v>7416</v>
      </c>
      <c r="N34" s="175" t="s">
        <v>7417</v>
      </c>
      <c r="O34" s="175" t="s">
        <v>7418</v>
      </c>
    </row>
    <row r="35" ht="14.25" customHeight="1">
      <c r="A35" s="699">
        <v>10.0</v>
      </c>
      <c r="B35" s="175" t="s">
        <v>1189</v>
      </c>
      <c r="C35" s="175" t="s">
        <v>1189</v>
      </c>
      <c r="D35" s="175" t="s">
        <v>7281</v>
      </c>
      <c r="E35" s="175" t="s">
        <v>3832</v>
      </c>
      <c r="F35" s="177">
        <v>2.1794976E7</v>
      </c>
      <c r="G35" s="175" t="s">
        <v>7419</v>
      </c>
      <c r="H35" s="175" t="s">
        <v>92</v>
      </c>
      <c r="I35" s="178" t="s">
        <v>7420</v>
      </c>
      <c r="J35" s="175" t="s">
        <v>7421</v>
      </c>
      <c r="K35" s="178" t="s">
        <v>7422</v>
      </c>
      <c r="L35" s="17" t="s">
        <v>7423</v>
      </c>
      <c r="M35" s="391" t="s">
        <v>7424</v>
      </c>
      <c r="N35" s="175" t="s">
        <v>2755</v>
      </c>
      <c r="O35" s="175" t="s">
        <v>2755</v>
      </c>
    </row>
    <row r="36" ht="14.25" customHeight="1">
      <c r="A36" s="699">
        <v>11.0</v>
      </c>
      <c r="B36" s="175" t="s">
        <v>100</v>
      </c>
      <c r="C36" s="175" t="s">
        <v>100</v>
      </c>
      <c r="D36" s="175" t="s">
        <v>7281</v>
      </c>
      <c r="E36" s="175" t="s">
        <v>3832</v>
      </c>
      <c r="F36" s="177">
        <v>1.4403086E7</v>
      </c>
      <c r="G36" s="175" t="s">
        <v>7425</v>
      </c>
      <c r="H36" s="175" t="s">
        <v>92</v>
      </c>
      <c r="I36" s="178" t="s">
        <v>7426</v>
      </c>
      <c r="J36" s="175" t="s">
        <v>7427</v>
      </c>
      <c r="K36" s="178" t="s">
        <v>7428</v>
      </c>
      <c r="L36" s="17" t="s">
        <v>7429</v>
      </c>
      <c r="M36" s="391" t="s">
        <v>7430</v>
      </c>
      <c r="N36" s="175" t="s">
        <v>7366</v>
      </c>
      <c r="O36" s="175" t="s">
        <v>7431</v>
      </c>
    </row>
    <row r="37" ht="14.25" customHeight="1">
      <c r="A37" s="699">
        <v>12.0</v>
      </c>
      <c r="B37" s="175" t="s">
        <v>100</v>
      </c>
      <c r="C37" s="175" t="s">
        <v>100</v>
      </c>
      <c r="D37" s="175" t="s">
        <v>7281</v>
      </c>
      <c r="E37" s="175" t="s">
        <v>3832</v>
      </c>
      <c r="F37" s="177">
        <v>1.4403086E7</v>
      </c>
      <c r="G37" s="175" t="s">
        <v>7425</v>
      </c>
      <c r="H37" s="175" t="s">
        <v>92</v>
      </c>
      <c r="I37" s="178" t="s">
        <v>7432</v>
      </c>
      <c r="J37" s="175" t="s">
        <v>7433</v>
      </c>
      <c r="K37" s="178" t="s">
        <v>7434</v>
      </c>
      <c r="L37" s="17" t="s">
        <v>7435</v>
      </c>
      <c r="M37" s="391" t="s">
        <v>7436</v>
      </c>
      <c r="N37" s="175" t="s">
        <v>2755</v>
      </c>
      <c r="O37" s="175" t="s">
        <v>2755</v>
      </c>
    </row>
    <row r="38" ht="14.25" customHeight="1">
      <c r="A38" s="699">
        <v>13.0</v>
      </c>
      <c r="B38" s="175" t="s">
        <v>5959</v>
      </c>
      <c r="C38" s="175" t="s">
        <v>5960</v>
      </c>
      <c r="D38" s="175" t="s">
        <v>7281</v>
      </c>
      <c r="E38" s="175" t="s">
        <v>3832</v>
      </c>
      <c r="F38" s="177">
        <v>1.5617E7</v>
      </c>
      <c r="G38" s="178" t="s">
        <v>7437</v>
      </c>
      <c r="H38" s="175" t="s">
        <v>92</v>
      </c>
      <c r="I38" s="175" t="s">
        <v>7438</v>
      </c>
      <c r="J38" s="175" t="s">
        <v>7439</v>
      </c>
      <c r="K38" s="178" t="s">
        <v>7440</v>
      </c>
      <c r="L38" s="17" t="s">
        <v>7441</v>
      </c>
      <c r="M38" s="686" t="s">
        <v>7442</v>
      </c>
      <c r="N38" s="175" t="s">
        <v>7443</v>
      </c>
      <c r="O38" s="391" t="s">
        <v>7444</v>
      </c>
    </row>
    <row r="39" ht="14.25" customHeight="1">
      <c r="A39" s="699">
        <v>14.0</v>
      </c>
      <c r="B39" s="175" t="s">
        <v>100</v>
      </c>
      <c r="C39" s="175" t="s">
        <v>100</v>
      </c>
      <c r="D39" s="175" t="s">
        <v>7281</v>
      </c>
      <c r="E39" s="175" t="s">
        <v>3832</v>
      </c>
      <c r="F39" s="177">
        <v>1.5898E7</v>
      </c>
      <c r="G39" s="175" t="s">
        <v>7445</v>
      </c>
      <c r="H39" s="175" t="s">
        <v>1040</v>
      </c>
      <c r="I39" s="178" t="s">
        <v>7446</v>
      </c>
      <c r="J39" s="175" t="s">
        <v>7447</v>
      </c>
      <c r="K39" s="178" t="s">
        <v>7448</v>
      </c>
      <c r="L39" s="27" t="s">
        <v>7449</v>
      </c>
      <c r="M39" s="391" t="s">
        <v>7450</v>
      </c>
      <c r="N39" s="175" t="s">
        <v>7451</v>
      </c>
      <c r="O39" s="175" t="s">
        <v>7452</v>
      </c>
    </row>
    <row r="40" ht="14.25" customHeight="1">
      <c r="A40" s="699">
        <v>15.0</v>
      </c>
      <c r="B40" s="175" t="s">
        <v>100</v>
      </c>
      <c r="C40" s="175" t="s">
        <v>100</v>
      </c>
      <c r="D40" s="175" t="s">
        <v>7281</v>
      </c>
      <c r="E40" s="175" t="s">
        <v>3832</v>
      </c>
      <c r="F40" s="177">
        <v>1.5898E7</v>
      </c>
      <c r="G40" s="175" t="s">
        <v>7445</v>
      </c>
      <c r="H40" s="175" t="s">
        <v>1040</v>
      </c>
      <c r="I40" s="178" t="s">
        <v>7453</v>
      </c>
      <c r="J40" s="175" t="s">
        <v>7454</v>
      </c>
      <c r="K40" s="178" t="s">
        <v>7455</v>
      </c>
      <c r="L40" s="27" t="s">
        <v>7456</v>
      </c>
      <c r="M40" s="391" t="s">
        <v>7457</v>
      </c>
      <c r="N40" s="175" t="s">
        <v>7458</v>
      </c>
      <c r="O40" s="175" t="s">
        <v>7459</v>
      </c>
    </row>
    <row r="41" ht="14.25" customHeight="1">
      <c r="A41" s="699">
        <v>16.0</v>
      </c>
      <c r="B41" s="175" t="s">
        <v>100</v>
      </c>
      <c r="C41" s="175" t="s">
        <v>100</v>
      </c>
      <c r="D41" s="175" t="s">
        <v>7281</v>
      </c>
      <c r="E41" s="175" t="s">
        <v>3832</v>
      </c>
      <c r="F41" s="177">
        <v>1.5898E7</v>
      </c>
      <c r="G41" s="175" t="s">
        <v>7445</v>
      </c>
      <c r="H41" s="175" t="s">
        <v>1040</v>
      </c>
      <c r="I41" s="178" t="s">
        <v>7460</v>
      </c>
      <c r="J41" s="178" t="s">
        <v>7461</v>
      </c>
      <c r="K41" s="178" t="s">
        <v>7462</v>
      </c>
      <c r="L41" s="27" t="s">
        <v>7463</v>
      </c>
      <c r="M41" s="391" t="s">
        <v>7464</v>
      </c>
      <c r="N41" s="175" t="s">
        <v>7465</v>
      </c>
      <c r="O41" s="175" t="s">
        <v>7466</v>
      </c>
    </row>
    <row r="42" ht="14.25" customHeight="1">
      <c r="A42" s="699">
        <v>17.0</v>
      </c>
      <c r="B42" s="175" t="s">
        <v>100</v>
      </c>
      <c r="C42" s="175" t="s">
        <v>100</v>
      </c>
      <c r="D42" s="175" t="s">
        <v>7281</v>
      </c>
      <c r="E42" s="175" t="s">
        <v>3832</v>
      </c>
      <c r="F42" s="177">
        <v>1.5898E7</v>
      </c>
      <c r="G42" s="175" t="s">
        <v>7445</v>
      </c>
      <c r="H42" s="175" t="s">
        <v>1040</v>
      </c>
      <c r="I42" s="178" t="s">
        <v>7467</v>
      </c>
      <c r="J42" s="175" t="s">
        <v>7468</v>
      </c>
      <c r="K42" s="178" t="s">
        <v>7469</v>
      </c>
      <c r="L42" s="27" t="s">
        <v>7470</v>
      </c>
      <c r="M42" s="391" t="s">
        <v>7471</v>
      </c>
      <c r="N42" s="175" t="s">
        <v>7472</v>
      </c>
      <c r="O42" s="175" t="s">
        <v>7473</v>
      </c>
    </row>
    <row r="43" ht="14.25" customHeight="1">
      <c r="A43" s="699">
        <v>18.0</v>
      </c>
      <c r="B43" s="175" t="s">
        <v>1189</v>
      </c>
      <c r="C43" s="175" t="s">
        <v>1189</v>
      </c>
      <c r="D43" s="175" t="s">
        <v>7281</v>
      </c>
      <c r="E43" s="175" t="s">
        <v>3832</v>
      </c>
      <c r="F43" s="177">
        <v>1.5898E7</v>
      </c>
      <c r="G43" s="175" t="s">
        <v>7445</v>
      </c>
      <c r="H43" s="175" t="s">
        <v>1040</v>
      </c>
      <c r="I43" s="175" t="s">
        <v>7474</v>
      </c>
      <c r="J43" s="175" t="s">
        <v>7475</v>
      </c>
      <c r="K43" s="178" t="s">
        <v>7476</v>
      </c>
      <c r="L43" s="27" t="s">
        <v>7477</v>
      </c>
      <c r="M43" s="391" t="s">
        <v>7478</v>
      </c>
      <c r="N43" s="175" t="s">
        <v>7479</v>
      </c>
      <c r="O43" s="175" t="s">
        <v>7480</v>
      </c>
    </row>
    <row r="44" ht="14.25" customHeight="1">
      <c r="A44" s="699">
        <v>19.0</v>
      </c>
      <c r="B44" s="175" t="s">
        <v>100</v>
      </c>
      <c r="C44" s="175" t="s">
        <v>100</v>
      </c>
      <c r="D44" s="175" t="s">
        <v>7281</v>
      </c>
      <c r="E44" s="175" t="s">
        <v>3832</v>
      </c>
      <c r="F44" s="177">
        <v>2.2606E7</v>
      </c>
      <c r="G44" s="175" t="s">
        <v>7481</v>
      </c>
      <c r="H44" s="175" t="s">
        <v>1040</v>
      </c>
      <c r="I44" s="178" t="s">
        <v>7482</v>
      </c>
      <c r="J44" s="175" t="s">
        <v>7483</v>
      </c>
      <c r="K44" s="178" t="s">
        <v>7484</v>
      </c>
      <c r="L44" s="27" t="s">
        <v>7485</v>
      </c>
      <c r="M44" s="391" t="s">
        <v>7486</v>
      </c>
      <c r="N44" s="175" t="s">
        <v>7487</v>
      </c>
      <c r="O44" s="175" t="s">
        <v>7488</v>
      </c>
    </row>
    <row r="45" ht="14.25" customHeight="1">
      <c r="A45" s="699">
        <v>20.0</v>
      </c>
      <c r="B45" s="175" t="s">
        <v>100</v>
      </c>
      <c r="C45" s="175" t="s">
        <v>100</v>
      </c>
      <c r="D45" s="175" t="s">
        <v>7281</v>
      </c>
      <c r="E45" s="175" t="s">
        <v>3832</v>
      </c>
      <c r="F45" s="177">
        <v>1.5435E7</v>
      </c>
      <c r="G45" s="175" t="s">
        <v>7489</v>
      </c>
      <c r="H45" s="175" t="s">
        <v>1076</v>
      </c>
      <c r="I45" s="175" t="s">
        <v>7490</v>
      </c>
      <c r="J45" s="175" t="s">
        <v>7491</v>
      </c>
      <c r="K45" s="178" t="s">
        <v>7492</v>
      </c>
      <c r="L45" s="27" t="s">
        <v>7493</v>
      </c>
      <c r="M45" s="391"/>
      <c r="N45" s="175" t="s">
        <v>7389</v>
      </c>
      <c r="O45" s="175" t="s">
        <v>7494</v>
      </c>
    </row>
    <row r="46" ht="14.25" customHeight="1">
      <c r="A46" s="699">
        <v>21.0</v>
      </c>
      <c r="B46" s="175" t="s">
        <v>100</v>
      </c>
      <c r="C46" s="175" t="s">
        <v>100</v>
      </c>
      <c r="D46" s="175" t="s">
        <v>7281</v>
      </c>
      <c r="E46" s="175" t="s">
        <v>3832</v>
      </c>
      <c r="F46" s="177">
        <v>1.5435E7</v>
      </c>
      <c r="G46" s="175" t="s">
        <v>7489</v>
      </c>
      <c r="H46" s="175" t="s">
        <v>1076</v>
      </c>
      <c r="I46" s="175" t="s">
        <v>7495</v>
      </c>
      <c r="J46" s="175" t="s">
        <v>7496</v>
      </c>
      <c r="K46" s="178" t="s">
        <v>7497</v>
      </c>
      <c r="L46" s="27" t="s">
        <v>7498</v>
      </c>
      <c r="M46" s="391"/>
      <c r="N46" s="175" t="s">
        <v>7499</v>
      </c>
      <c r="O46" s="175" t="s">
        <v>7500</v>
      </c>
    </row>
    <row r="47" ht="14.25" customHeight="1">
      <c r="A47" s="699">
        <v>22.0</v>
      </c>
      <c r="B47" s="175" t="s">
        <v>100</v>
      </c>
      <c r="C47" s="175" t="s">
        <v>100</v>
      </c>
      <c r="D47" s="175" t="s">
        <v>7281</v>
      </c>
      <c r="E47" s="175" t="s">
        <v>3832</v>
      </c>
      <c r="F47" s="177">
        <v>1.5435E7</v>
      </c>
      <c r="G47" s="175" t="s">
        <v>7489</v>
      </c>
      <c r="H47" s="175" t="s">
        <v>1076</v>
      </c>
      <c r="I47" s="175" t="s">
        <v>7501</v>
      </c>
      <c r="J47" s="175" t="s">
        <v>7502</v>
      </c>
      <c r="K47" s="178" t="s">
        <v>7503</v>
      </c>
      <c r="L47" s="27" t="s">
        <v>7504</v>
      </c>
      <c r="M47" s="391"/>
      <c r="N47" s="175" t="s">
        <v>7505</v>
      </c>
      <c r="O47" s="175" t="s">
        <v>7506</v>
      </c>
    </row>
    <row r="48" ht="14.25" customHeight="1">
      <c r="A48" s="699">
        <v>23.0</v>
      </c>
      <c r="B48" s="175" t="s">
        <v>1631</v>
      </c>
      <c r="C48" s="175" t="s">
        <v>1631</v>
      </c>
      <c r="D48" s="175" t="s">
        <v>7281</v>
      </c>
      <c r="E48" s="175" t="s">
        <v>3832</v>
      </c>
      <c r="F48" s="177">
        <v>2.905E7</v>
      </c>
      <c r="G48" s="175" t="s">
        <v>7507</v>
      </c>
      <c r="H48" s="175" t="s">
        <v>862</v>
      </c>
      <c r="I48" s="175" t="s">
        <v>7508</v>
      </c>
      <c r="J48" s="175" t="s">
        <v>7509</v>
      </c>
      <c r="K48" s="178" t="s">
        <v>7510</v>
      </c>
      <c r="L48" s="27" t="s">
        <v>7511</v>
      </c>
      <c r="M48" s="391"/>
      <c r="N48" s="175" t="s">
        <v>7512</v>
      </c>
      <c r="O48" s="175" t="s">
        <v>7512</v>
      </c>
    </row>
    <row r="49" ht="14.25" customHeight="1">
      <c r="A49" s="699">
        <v>24.0</v>
      </c>
      <c r="B49" s="175" t="s">
        <v>1631</v>
      </c>
      <c r="C49" s="175" t="s">
        <v>1631</v>
      </c>
      <c r="D49" s="175" t="s">
        <v>7281</v>
      </c>
      <c r="E49" s="175" t="s">
        <v>3832</v>
      </c>
      <c r="F49" s="177">
        <v>2.905E7</v>
      </c>
      <c r="G49" s="175" t="s">
        <v>7507</v>
      </c>
      <c r="H49" s="175" t="s">
        <v>862</v>
      </c>
      <c r="I49" s="175" t="s">
        <v>7513</v>
      </c>
      <c r="J49" s="175" t="s">
        <v>7514</v>
      </c>
      <c r="K49" s="178" t="s">
        <v>7515</v>
      </c>
      <c r="L49" s="27" t="s">
        <v>7516</v>
      </c>
      <c r="M49" s="391"/>
      <c r="N49" s="175" t="s">
        <v>7517</v>
      </c>
      <c r="O49" s="175" t="s">
        <v>7517</v>
      </c>
    </row>
    <row r="50" ht="14.25" customHeight="1">
      <c r="A50" s="807">
        <v>25.0</v>
      </c>
      <c r="B50" s="272" t="s">
        <v>1631</v>
      </c>
      <c r="C50" s="272" t="s">
        <v>1631</v>
      </c>
      <c r="D50" s="272" t="s">
        <v>7281</v>
      </c>
      <c r="E50" s="272" t="s">
        <v>3832</v>
      </c>
      <c r="F50" s="273">
        <v>4.25E7</v>
      </c>
      <c r="G50" s="272" t="s">
        <v>7518</v>
      </c>
      <c r="H50" s="272" t="s">
        <v>862</v>
      </c>
      <c r="I50" s="272" t="s">
        <v>7519</v>
      </c>
      <c r="J50" s="272" t="s">
        <v>7520</v>
      </c>
      <c r="K50" s="435" t="s">
        <v>7521</v>
      </c>
      <c r="L50" s="33" t="s">
        <v>7522</v>
      </c>
      <c r="M50" s="436"/>
      <c r="N50" s="272" t="s">
        <v>7523</v>
      </c>
      <c r="O50" s="272" t="s">
        <v>7523</v>
      </c>
    </row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3:M3"/>
    <mergeCell ref="A4:M4"/>
  </mergeCells>
  <printOptions/>
  <pageMargins bottom="0.7480314960629921" footer="0.0" header="0.0" left="0.7086614173228347" right="0.7086614173228347" top="0.7480314960629921"/>
  <pageSetup paperSize="5" scale="60" orientation="landscape"/>
  <drawing r:id="rId1"/>
  <tableParts count="1">
    <tablePart r:id="rId3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4.43" defaultRowHeight="15.0"/>
  <cols>
    <col customWidth="1" min="1" max="1" width="5.29"/>
    <col customWidth="1" min="2" max="2" width="16.71"/>
    <col customWidth="1" min="3" max="3" width="25.0"/>
    <col customWidth="1" min="4" max="4" width="7.29"/>
    <col customWidth="1" min="5" max="5" width="14.71"/>
    <col customWidth="1" min="6" max="6" width="7.86"/>
    <col customWidth="1" min="7" max="7" width="6.43"/>
    <col customWidth="1" min="8" max="8" width="25.43"/>
    <col customWidth="1" min="9" max="9" width="21.29"/>
    <col customWidth="1" min="10" max="10" width="15.71"/>
    <col customWidth="1" min="11" max="11" width="10.71"/>
    <col customWidth="1" min="12" max="12" width="26.57"/>
    <col customWidth="1" min="13" max="13" width="47.57"/>
    <col customWidth="1" min="14" max="26" width="8.71"/>
  </cols>
  <sheetData>
    <row r="1" ht="14.25" customHeight="1"/>
    <row r="2" ht="14.25" customHeight="1"/>
    <row r="3" ht="14.25" customHeight="1">
      <c r="A3" s="1" t="s">
        <v>0</v>
      </c>
    </row>
    <row r="4" ht="14.25" customHeight="1">
      <c r="A4" s="1" t="s">
        <v>1</v>
      </c>
    </row>
    <row r="5" ht="14.25" customHeight="1"/>
    <row r="6" ht="14.25" customHeight="1"/>
    <row r="7" ht="14.25" customHeight="1">
      <c r="A7" s="2" t="s">
        <v>2</v>
      </c>
      <c r="C7" s="2" t="s">
        <v>3</v>
      </c>
    </row>
    <row r="8" ht="14.25" customHeight="1">
      <c r="A8" s="2" t="s">
        <v>4</v>
      </c>
      <c r="C8" s="2" t="s">
        <v>5</v>
      </c>
    </row>
    <row r="9" ht="14.25" customHeight="1">
      <c r="A9" s="2" t="s">
        <v>6</v>
      </c>
      <c r="C9" s="2" t="s">
        <v>7524</v>
      </c>
    </row>
    <row r="10" ht="14.25" customHeight="1">
      <c r="A10" s="124" t="s">
        <v>8</v>
      </c>
      <c r="B10" s="125" t="s">
        <v>9</v>
      </c>
      <c r="C10" s="125" t="s">
        <v>11</v>
      </c>
      <c r="D10" s="125" t="s">
        <v>12</v>
      </c>
      <c r="E10" s="125" t="s">
        <v>13</v>
      </c>
      <c r="F10" s="125" t="s">
        <v>14</v>
      </c>
      <c r="G10" s="125" t="s">
        <v>15</v>
      </c>
      <c r="H10" s="125" t="s">
        <v>16</v>
      </c>
      <c r="I10" s="125" t="s">
        <v>17</v>
      </c>
      <c r="J10" s="125" t="s">
        <v>1881</v>
      </c>
      <c r="K10" s="125" t="s">
        <v>1882</v>
      </c>
      <c r="L10" s="185" t="s">
        <v>20</v>
      </c>
      <c r="M10" s="125" t="s">
        <v>1883</v>
      </c>
      <c r="N10" s="187"/>
      <c r="O10" s="187"/>
      <c r="P10" s="187"/>
      <c r="Q10" s="187"/>
      <c r="R10" s="187"/>
      <c r="S10" s="187"/>
      <c r="T10" s="187"/>
      <c r="U10" s="187"/>
      <c r="V10" s="187"/>
      <c r="W10" s="187"/>
      <c r="X10" s="187"/>
      <c r="Y10" s="187"/>
      <c r="Z10" s="187"/>
    </row>
    <row r="11" ht="14.25" customHeight="1">
      <c r="A11" s="808"/>
      <c r="B11" s="607" t="s">
        <v>1884</v>
      </c>
      <c r="C11" s="500"/>
      <c r="D11" s="500"/>
      <c r="E11" s="809">
        <v>3.347844E8</v>
      </c>
      <c r="F11" s="498"/>
      <c r="G11" s="498"/>
      <c r="H11" s="498"/>
      <c r="I11" s="498"/>
      <c r="J11" s="498"/>
      <c r="K11" s="498"/>
      <c r="L11" s="810"/>
      <c r="M11" s="811"/>
      <c r="N11" s="812"/>
      <c r="O11" s="812"/>
      <c r="P11" s="812"/>
      <c r="Q11" s="812"/>
      <c r="R11" s="812"/>
      <c r="S11" s="812"/>
      <c r="T11" s="812"/>
      <c r="U11" s="812"/>
      <c r="V11" s="812"/>
      <c r="W11" s="812"/>
      <c r="X11" s="812"/>
      <c r="Y11" s="812"/>
      <c r="Z11" s="812"/>
    </row>
    <row r="12" ht="14.25" customHeight="1">
      <c r="A12" s="327">
        <v>1.0</v>
      </c>
      <c r="B12" s="159" t="s">
        <v>780</v>
      </c>
      <c r="C12" s="159" t="s">
        <v>7525</v>
      </c>
      <c r="D12" s="159" t="s">
        <v>70</v>
      </c>
      <c r="E12" s="160">
        <v>1.408E8</v>
      </c>
      <c r="F12" s="192" t="s">
        <v>885</v>
      </c>
      <c r="G12" s="159">
        <v>2009.0</v>
      </c>
      <c r="H12" s="329" t="s">
        <v>7526</v>
      </c>
      <c r="I12" s="159" t="s">
        <v>7527</v>
      </c>
      <c r="J12" s="159" t="s">
        <v>7528</v>
      </c>
      <c r="K12" s="159" t="s">
        <v>7529</v>
      </c>
      <c r="L12" s="330"/>
      <c r="M12" s="159" t="s">
        <v>7530</v>
      </c>
      <c r="N12" s="813"/>
      <c r="O12" s="813"/>
      <c r="P12" s="813"/>
      <c r="Q12" s="813"/>
      <c r="R12" s="813"/>
      <c r="S12" s="813"/>
      <c r="T12" s="813"/>
      <c r="U12" s="813"/>
      <c r="V12" s="813"/>
      <c r="W12" s="813"/>
      <c r="X12" s="813"/>
      <c r="Y12" s="813"/>
      <c r="Z12" s="813"/>
    </row>
    <row r="13" ht="14.25" customHeight="1">
      <c r="A13" s="340">
        <v>2.0</v>
      </c>
      <c r="B13" s="137" t="s">
        <v>780</v>
      </c>
      <c r="C13" s="137" t="s">
        <v>7531</v>
      </c>
      <c r="D13" s="334" t="s">
        <v>70</v>
      </c>
      <c r="E13" s="138">
        <v>1.939844E8</v>
      </c>
      <c r="F13" s="212" t="s">
        <v>885</v>
      </c>
      <c r="G13" s="137">
        <v>2012.0</v>
      </c>
      <c r="H13" s="140" t="s">
        <v>7532</v>
      </c>
      <c r="I13" s="137" t="s">
        <v>7533</v>
      </c>
      <c r="J13" s="137" t="s">
        <v>7534</v>
      </c>
      <c r="K13" s="137" t="s">
        <v>7535</v>
      </c>
      <c r="L13" s="147"/>
      <c r="M13" s="137" t="s">
        <v>7536</v>
      </c>
      <c r="N13" s="187"/>
      <c r="O13" s="813"/>
      <c r="P13" s="187"/>
      <c r="Q13" s="187"/>
      <c r="R13" s="187"/>
      <c r="S13" s="187"/>
      <c r="T13" s="187"/>
      <c r="U13" s="187"/>
      <c r="V13" s="187"/>
      <c r="W13" s="187"/>
      <c r="X13" s="187"/>
      <c r="Y13" s="187"/>
      <c r="Z13" s="187"/>
    </row>
    <row r="14" ht="14.25" customHeight="1">
      <c r="A14" s="128"/>
      <c r="B14" s="127" t="s">
        <v>1933</v>
      </c>
      <c r="C14" s="128"/>
      <c r="D14" s="128"/>
      <c r="E14" s="129">
        <v>4.75E8</v>
      </c>
      <c r="F14" s="128"/>
      <c r="G14" s="128"/>
      <c r="H14" s="128"/>
      <c r="I14" s="128"/>
      <c r="J14" s="128"/>
      <c r="K14" s="128"/>
      <c r="L14" s="128"/>
      <c r="M14" s="128"/>
      <c r="N14" s="812"/>
      <c r="O14" s="812"/>
      <c r="P14" s="812"/>
      <c r="Q14" s="812"/>
      <c r="R14" s="812"/>
      <c r="S14" s="812"/>
      <c r="T14" s="812"/>
      <c r="U14" s="812"/>
      <c r="V14" s="812"/>
      <c r="W14" s="812"/>
      <c r="X14" s="812"/>
      <c r="Y14" s="812"/>
      <c r="Z14" s="812"/>
    </row>
    <row r="15" ht="14.25" customHeight="1">
      <c r="A15" s="337">
        <v>3.0</v>
      </c>
      <c r="B15" s="212" t="s">
        <v>780</v>
      </c>
      <c r="C15" s="212" t="s">
        <v>7537</v>
      </c>
      <c r="D15" s="212" t="s">
        <v>70</v>
      </c>
      <c r="E15" s="214">
        <v>4.75E8</v>
      </c>
      <c r="F15" s="212" t="s">
        <v>885</v>
      </c>
      <c r="G15" s="212">
        <v>2019.0</v>
      </c>
      <c r="H15" s="267" t="s">
        <v>7538</v>
      </c>
      <c r="I15" s="212" t="s">
        <v>7539</v>
      </c>
      <c r="J15" s="212" t="s">
        <v>7540</v>
      </c>
      <c r="K15" s="212" t="s">
        <v>7541</v>
      </c>
      <c r="L15" s="212" t="s">
        <v>7542</v>
      </c>
      <c r="M15" s="213"/>
      <c r="N15" s="187"/>
      <c r="O15" s="187"/>
      <c r="P15" s="187"/>
      <c r="Q15" s="187"/>
      <c r="R15" s="187"/>
      <c r="S15" s="187"/>
      <c r="T15" s="187"/>
      <c r="U15" s="187"/>
      <c r="V15" s="187"/>
      <c r="W15" s="187"/>
      <c r="X15" s="187"/>
      <c r="Y15" s="187"/>
      <c r="Z15" s="187"/>
    </row>
    <row r="16" ht="14.25" customHeight="1">
      <c r="A16" s="128"/>
      <c r="B16" s="127" t="s">
        <v>99</v>
      </c>
      <c r="C16" s="128"/>
      <c r="D16" s="128"/>
      <c r="E16" s="129">
        <v>9.105E7</v>
      </c>
      <c r="F16" s="128"/>
      <c r="G16" s="128"/>
      <c r="H16" s="128"/>
      <c r="I16" s="128"/>
      <c r="J16" s="128"/>
      <c r="K16" s="128"/>
      <c r="L16" s="128"/>
      <c r="M16" s="128"/>
      <c r="N16" s="812"/>
      <c r="O16" s="812"/>
      <c r="P16" s="812"/>
      <c r="Q16" s="812"/>
      <c r="R16" s="812"/>
      <c r="S16" s="812"/>
      <c r="T16" s="812"/>
      <c r="U16" s="812"/>
      <c r="V16" s="812"/>
      <c r="W16" s="812"/>
      <c r="X16" s="812"/>
      <c r="Y16" s="812"/>
      <c r="Z16" s="812"/>
    </row>
    <row r="17" ht="14.25" customHeight="1">
      <c r="A17" s="337">
        <v>4.0</v>
      </c>
      <c r="B17" s="212" t="s">
        <v>100</v>
      </c>
      <c r="C17" s="212" t="s">
        <v>7543</v>
      </c>
      <c r="D17" s="212" t="s">
        <v>931</v>
      </c>
      <c r="E17" s="214">
        <v>5200000.0</v>
      </c>
      <c r="F17" s="212" t="s">
        <v>1579</v>
      </c>
      <c r="G17" s="212">
        <v>2000.0</v>
      </c>
      <c r="H17" s="267" t="s">
        <v>7544</v>
      </c>
      <c r="I17" s="212" t="s">
        <v>7545</v>
      </c>
      <c r="J17" s="212" t="s">
        <v>7546</v>
      </c>
      <c r="K17" s="212" t="s">
        <v>7547</v>
      </c>
      <c r="L17" s="212" t="s">
        <v>2362</v>
      </c>
      <c r="M17" s="213"/>
      <c r="N17" s="187"/>
      <c r="O17" s="187"/>
      <c r="P17" s="187"/>
      <c r="Q17" s="187"/>
      <c r="R17" s="187"/>
      <c r="S17" s="187"/>
      <c r="T17" s="187"/>
      <c r="U17" s="187"/>
      <c r="V17" s="187"/>
      <c r="W17" s="187"/>
      <c r="X17" s="187"/>
      <c r="Y17" s="187"/>
      <c r="Z17" s="187"/>
    </row>
    <row r="18" ht="14.25" customHeight="1">
      <c r="A18" s="339">
        <v>5.0</v>
      </c>
      <c r="B18" s="192" t="s">
        <v>100</v>
      </c>
      <c r="C18" s="192" t="s">
        <v>7548</v>
      </c>
      <c r="D18" s="192" t="s">
        <v>931</v>
      </c>
      <c r="E18" s="194">
        <v>1.35E7</v>
      </c>
      <c r="F18" s="192" t="s">
        <v>7549</v>
      </c>
      <c r="G18" s="192">
        <v>2009.0</v>
      </c>
      <c r="H18" s="267" t="s">
        <v>7550</v>
      </c>
      <c r="I18" s="192" t="s">
        <v>7551</v>
      </c>
      <c r="J18" s="192" t="s">
        <v>7552</v>
      </c>
      <c r="K18" s="192" t="s">
        <v>7553</v>
      </c>
      <c r="L18" s="192" t="s">
        <v>2362</v>
      </c>
      <c r="M18" s="193"/>
      <c r="N18" s="187"/>
      <c r="O18" s="187"/>
      <c r="P18" s="187"/>
      <c r="Q18" s="187"/>
      <c r="R18" s="187"/>
      <c r="S18" s="187"/>
      <c r="T18" s="187"/>
      <c r="U18" s="187"/>
      <c r="V18" s="187"/>
      <c r="W18" s="187"/>
      <c r="X18" s="187"/>
      <c r="Y18" s="187"/>
      <c r="Z18" s="187"/>
    </row>
    <row r="19" ht="14.25" customHeight="1">
      <c r="A19" s="340">
        <v>6.0</v>
      </c>
      <c r="B19" s="137" t="s">
        <v>100</v>
      </c>
      <c r="C19" s="137" t="s">
        <v>7554</v>
      </c>
      <c r="D19" s="334" t="s">
        <v>70</v>
      </c>
      <c r="E19" s="138">
        <v>1.2485E7</v>
      </c>
      <c r="F19" s="137" t="s">
        <v>1260</v>
      </c>
      <c r="G19" s="137">
        <v>2009.0</v>
      </c>
      <c r="H19" s="140" t="s">
        <v>7555</v>
      </c>
      <c r="I19" s="137" t="s">
        <v>7556</v>
      </c>
      <c r="J19" s="137" t="s">
        <v>7557</v>
      </c>
      <c r="K19" s="137" t="s">
        <v>7558</v>
      </c>
      <c r="L19" s="147"/>
      <c r="M19" s="137" t="s">
        <v>7559</v>
      </c>
      <c r="N19" s="187"/>
      <c r="O19" s="813"/>
      <c r="P19" s="187"/>
      <c r="Q19" s="187"/>
      <c r="R19" s="187"/>
      <c r="S19" s="187"/>
      <c r="T19" s="187"/>
      <c r="U19" s="187"/>
      <c r="V19" s="187"/>
      <c r="W19" s="187"/>
      <c r="X19" s="187"/>
      <c r="Y19" s="187"/>
      <c r="Z19" s="187"/>
    </row>
    <row r="20" ht="14.25" customHeight="1">
      <c r="A20" s="343">
        <v>7.0</v>
      </c>
      <c r="B20" s="143" t="s">
        <v>100</v>
      </c>
      <c r="C20" s="143" t="s">
        <v>7560</v>
      </c>
      <c r="D20" s="159" t="s">
        <v>70</v>
      </c>
      <c r="E20" s="144">
        <v>1.6295E7</v>
      </c>
      <c r="F20" s="143" t="s">
        <v>1260</v>
      </c>
      <c r="G20" s="143">
        <v>2014.0</v>
      </c>
      <c r="H20" s="140" t="s">
        <v>7561</v>
      </c>
      <c r="I20" s="143" t="s">
        <v>7562</v>
      </c>
      <c r="J20" s="143" t="s">
        <v>7563</v>
      </c>
      <c r="K20" s="143" t="s">
        <v>7564</v>
      </c>
      <c r="L20" s="145"/>
      <c r="M20" s="143" t="s">
        <v>7565</v>
      </c>
      <c r="N20" s="187"/>
      <c r="O20" s="813"/>
      <c r="P20" s="187"/>
      <c r="Q20" s="187"/>
      <c r="R20" s="187"/>
      <c r="S20" s="187"/>
      <c r="T20" s="187"/>
      <c r="U20" s="187"/>
      <c r="V20" s="187"/>
      <c r="W20" s="187"/>
      <c r="X20" s="187"/>
      <c r="Y20" s="187"/>
      <c r="Z20" s="187"/>
    </row>
    <row r="21" ht="14.25" customHeight="1">
      <c r="A21" s="340">
        <v>8.0</v>
      </c>
      <c r="B21" s="137" t="s">
        <v>100</v>
      </c>
      <c r="C21" s="137" t="s">
        <v>7560</v>
      </c>
      <c r="D21" s="334" t="s">
        <v>70</v>
      </c>
      <c r="E21" s="138">
        <v>1.6295E7</v>
      </c>
      <c r="F21" s="137" t="s">
        <v>1260</v>
      </c>
      <c r="G21" s="137">
        <v>2014.0</v>
      </c>
      <c r="H21" s="140" t="s">
        <v>7566</v>
      </c>
      <c r="I21" s="137" t="s">
        <v>7567</v>
      </c>
      <c r="J21" s="137" t="s">
        <v>7568</v>
      </c>
      <c r="K21" s="137" t="s">
        <v>7569</v>
      </c>
      <c r="L21" s="147"/>
      <c r="M21" s="137" t="s">
        <v>7570</v>
      </c>
      <c r="N21" s="187"/>
      <c r="O21" s="813"/>
      <c r="P21" s="187"/>
      <c r="Q21" s="187"/>
      <c r="R21" s="187"/>
      <c r="S21" s="187"/>
      <c r="T21" s="187"/>
      <c r="U21" s="187"/>
      <c r="V21" s="187"/>
      <c r="W21" s="187"/>
      <c r="X21" s="187"/>
      <c r="Y21" s="187"/>
      <c r="Z21" s="187"/>
    </row>
    <row r="22" ht="14.25" customHeight="1">
      <c r="A22" s="343">
        <v>9.0</v>
      </c>
      <c r="B22" s="143" t="s">
        <v>100</v>
      </c>
      <c r="C22" s="143" t="s">
        <v>7571</v>
      </c>
      <c r="D22" s="143" t="s">
        <v>70</v>
      </c>
      <c r="E22" s="144">
        <v>2.7275E7</v>
      </c>
      <c r="F22" s="143" t="s">
        <v>1260</v>
      </c>
      <c r="G22" s="143">
        <v>2019.0</v>
      </c>
      <c r="H22" s="140" t="s">
        <v>7572</v>
      </c>
      <c r="I22" s="143" t="s">
        <v>7573</v>
      </c>
      <c r="J22" s="143" t="s">
        <v>7574</v>
      </c>
      <c r="K22" s="143" t="s">
        <v>7575</v>
      </c>
      <c r="L22" s="145"/>
      <c r="M22" s="143" t="s">
        <v>7576</v>
      </c>
      <c r="N22" s="187"/>
      <c r="O22" s="813"/>
      <c r="P22" s="187"/>
      <c r="Q22" s="187"/>
      <c r="R22" s="187"/>
      <c r="S22" s="187"/>
      <c r="T22" s="187"/>
      <c r="U22" s="187"/>
      <c r="V22" s="187"/>
      <c r="W22" s="187"/>
      <c r="X22" s="187"/>
      <c r="Y22" s="187"/>
      <c r="Z22" s="187"/>
    </row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3:L3"/>
    <mergeCell ref="A4:L4"/>
  </mergeCells>
  <printOptions/>
  <pageMargins bottom="0.7480314960629921" footer="0.0" header="0.0" left="0.3937007874015748" right="0.7086614173228347" top="0.7480314960629921"/>
  <pageSetup paperSize="5" scale="75" orientation="landscape"/>
  <drawing r:id="rId1"/>
  <tableParts count="1">
    <tablePart r:id="rId3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4.43" defaultRowHeight="15.0"/>
  <cols>
    <col customWidth="1" min="1" max="1" width="5.29"/>
    <col customWidth="1" min="2" max="2" width="36.71"/>
    <col customWidth="1" min="3" max="3" width="26.43"/>
    <col customWidth="1" min="4" max="4" width="18.0"/>
    <col customWidth="1" min="5" max="5" width="10.57"/>
    <col customWidth="1" min="6" max="6" width="14.71"/>
    <col customWidth="1" min="7" max="7" width="32.29"/>
    <col customWidth="1" min="8" max="8" width="8.71"/>
    <col customWidth="1" min="9" max="9" width="10.71"/>
    <col customWidth="1" min="10" max="10" width="20.86"/>
    <col customWidth="1" min="11" max="11" width="15.0"/>
    <col customWidth="1" min="12" max="12" width="12.57"/>
    <col customWidth="1" min="13" max="13" width="13.86"/>
    <col customWidth="1" min="14" max="14" width="19.86"/>
    <col customWidth="1" min="15" max="15" width="12.0"/>
    <col customWidth="1" min="16" max="16" width="30.71"/>
    <col customWidth="1" min="17" max="17" width="22.71"/>
    <col customWidth="1" min="18" max="27" width="8.71"/>
  </cols>
  <sheetData>
    <row r="1" ht="14.25" customHeight="1"/>
    <row r="2" ht="14.25" customHeight="1"/>
    <row r="3" ht="14.25" customHeight="1">
      <c r="A3" s="1" t="s">
        <v>0</v>
      </c>
    </row>
    <row r="4" ht="14.25" customHeight="1">
      <c r="A4" s="1" t="s">
        <v>1</v>
      </c>
    </row>
    <row r="5" ht="14.25" customHeight="1"/>
    <row r="6" ht="14.25" customHeight="1"/>
    <row r="7" ht="14.25" customHeight="1">
      <c r="A7" s="2" t="s">
        <v>2</v>
      </c>
      <c r="C7" s="2" t="s">
        <v>3</v>
      </c>
    </row>
    <row r="8" ht="14.25" customHeight="1">
      <c r="A8" s="2" t="s">
        <v>4</v>
      </c>
      <c r="C8" s="2" t="s">
        <v>5</v>
      </c>
    </row>
    <row r="9" ht="14.25" customHeight="1">
      <c r="A9" s="2" t="s">
        <v>6</v>
      </c>
      <c r="C9" s="2" t="s">
        <v>7577</v>
      </c>
    </row>
    <row r="10" ht="14.25" customHeight="1">
      <c r="A10" s="4" t="s">
        <v>8</v>
      </c>
      <c r="B10" s="5" t="s">
        <v>9</v>
      </c>
      <c r="C10" s="5" t="s">
        <v>10</v>
      </c>
      <c r="D10" s="5" t="s">
        <v>11</v>
      </c>
      <c r="E10" s="5" t="s">
        <v>12</v>
      </c>
      <c r="F10" s="5" t="s">
        <v>13</v>
      </c>
      <c r="G10" s="5" t="s">
        <v>14</v>
      </c>
      <c r="H10" s="5" t="s">
        <v>15</v>
      </c>
      <c r="I10" s="5" t="s">
        <v>16</v>
      </c>
      <c r="J10" s="5" t="s">
        <v>17</v>
      </c>
      <c r="K10" s="6" t="s">
        <v>1881</v>
      </c>
      <c r="L10" s="5" t="s">
        <v>1882</v>
      </c>
      <c r="M10" s="7" t="s">
        <v>20</v>
      </c>
      <c r="N10" s="5" t="s">
        <v>1883</v>
      </c>
      <c r="O10" s="814" t="s">
        <v>2479</v>
      </c>
    </row>
    <row r="11" ht="14.25" customHeight="1">
      <c r="A11" s="815"/>
      <c r="B11" s="9" t="s">
        <v>23</v>
      </c>
      <c r="C11" s="9"/>
      <c r="D11" s="9"/>
      <c r="E11" s="9"/>
      <c r="F11" s="10">
        <f>F12</f>
        <v>260000000</v>
      </c>
      <c r="G11" s="9"/>
      <c r="H11" s="9"/>
      <c r="I11" s="9"/>
      <c r="J11" s="9"/>
      <c r="K11" s="9"/>
      <c r="L11" s="9"/>
      <c r="M11" s="11"/>
      <c r="N11" s="743"/>
      <c r="O11" s="816"/>
      <c r="P11" s="816"/>
      <c r="Q11" s="816"/>
    </row>
    <row r="12" ht="14.25" customHeight="1">
      <c r="A12" s="463">
        <v>1.0</v>
      </c>
      <c r="B12" s="13" t="s">
        <v>779</v>
      </c>
      <c r="C12" s="13"/>
      <c r="D12" s="13" t="s">
        <v>7578</v>
      </c>
      <c r="E12" s="13" t="s">
        <v>70</v>
      </c>
      <c r="F12" s="14">
        <v>2.6E8</v>
      </c>
      <c r="G12" s="13" t="s">
        <v>7579</v>
      </c>
      <c r="H12" s="13" t="s">
        <v>78</v>
      </c>
      <c r="I12" s="27" t="s">
        <v>7580</v>
      </c>
      <c r="J12" s="17" t="s">
        <v>7581</v>
      </c>
      <c r="K12" s="17" t="s">
        <v>7582</v>
      </c>
      <c r="L12" s="17" t="s">
        <v>7583</v>
      </c>
      <c r="M12" s="18"/>
      <c r="N12" s="13" t="s">
        <v>7584</v>
      </c>
      <c r="O12" s="817" t="s">
        <v>70</v>
      </c>
      <c r="P12" s="817" t="s">
        <v>7585</v>
      </c>
      <c r="Q12" s="818"/>
      <c r="R12" s="806" t="b">
        <v>1</v>
      </c>
    </row>
    <row r="13" ht="14.25" customHeight="1">
      <c r="A13" s="815"/>
      <c r="B13" s="9" t="s">
        <v>99</v>
      </c>
      <c r="C13" s="9"/>
      <c r="D13" s="9"/>
      <c r="E13" s="9"/>
      <c r="F13" s="10">
        <f>SUM(F14:F34)</f>
        <v>341726000</v>
      </c>
      <c r="G13" s="9"/>
      <c r="H13" s="9"/>
      <c r="I13" s="9"/>
      <c r="J13" s="9"/>
      <c r="K13" s="9"/>
      <c r="L13" s="9"/>
      <c r="M13" s="11"/>
      <c r="N13" s="9"/>
      <c r="O13" s="816"/>
      <c r="P13" s="816"/>
      <c r="Q13" s="816"/>
    </row>
    <row r="14" ht="14.25" customHeight="1">
      <c r="A14" s="463">
        <v>1.0</v>
      </c>
      <c r="B14" s="13" t="s">
        <v>100</v>
      </c>
      <c r="C14" s="13"/>
      <c r="D14" s="13" t="s">
        <v>7578</v>
      </c>
      <c r="E14" s="13" t="s">
        <v>70</v>
      </c>
      <c r="F14" s="14">
        <v>3500000.0</v>
      </c>
      <c r="G14" s="13" t="s">
        <v>7586</v>
      </c>
      <c r="H14" s="819" t="s">
        <v>120</v>
      </c>
      <c r="I14" s="819" t="s">
        <v>7587</v>
      </c>
      <c r="J14" s="819"/>
      <c r="K14" s="819"/>
      <c r="L14" s="819"/>
      <c r="M14" s="820"/>
      <c r="N14" s="819"/>
      <c r="O14" s="821"/>
      <c r="P14" s="821"/>
      <c r="Q14" s="818"/>
      <c r="R14" s="805" t="b">
        <v>0</v>
      </c>
    </row>
    <row r="15" ht="14.25" customHeight="1">
      <c r="A15" s="745">
        <v>2.0</v>
      </c>
      <c r="B15" s="9" t="s">
        <v>100</v>
      </c>
      <c r="C15" s="9"/>
      <c r="D15" s="9" t="s">
        <v>7578</v>
      </c>
      <c r="E15" s="9" t="s">
        <v>27</v>
      </c>
      <c r="F15" s="10">
        <v>5500000.0</v>
      </c>
      <c r="G15" s="9" t="s">
        <v>144</v>
      </c>
      <c r="H15" s="9" t="s">
        <v>782</v>
      </c>
      <c r="I15" s="27" t="s">
        <v>7588</v>
      </c>
      <c r="J15" s="17" t="s">
        <v>7589</v>
      </c>
      <c r="K15" s="17" t="s">
        <v>7590</v>
      </c>
      <c r="L15" s="17" t="s">
        <v>7591</v>
      </c>
      <c r="M15" s="20"/>
      <c r="N15" s="9"/>
      <c r="O15" s="816"/>
      <c r="P15" s="816"/>
      <c r="Q15" s="816"/>
      <c r="R15" s="805" t="b">
        <v>0</v>
      </c>
    </row>
    <row r="16" ht="14.25" customHeight="1">
      <c r="A16" s="463">
        <v>3.0</v>
      </c>
      <c r="B16" s="13" t="s">
        <v>100</v>
      </c>
      <c r="C16" s="13"/>
      <c r="D16" s="13" t="s">
        <v>7578</v>
      </c>
      <c r="E16" s="13" t="s">
        <v>70</v>
      </c>
      <c r="F16" s="14">
        <v>7000000.0</v>
      </c>
      <c r="G16" s="13" t="s">
        <v>7592</v>
      </c>
      <c r="H16" s="819" t="s">
        <v>782</v>
      </c>
      <c r="I16" s="819" t="s">
        <v>7593</v>
      </c>
      <c r="J16" s="822" t="s">
        <v>7594</v>
      </c>
      <c r="K16" s="819"/>
      <c r="L16" s="819"/>
      <c r="M16" s="820" t="s">
        <v>7595</v>
      </c>
      <c r="N16" s="819" t="s">
        <v>7596</v>
      </c>
      <c r="P16" s="823" t="s">
        <v>7597</v>
      </c>
      <c r="Q16" s="818"/>
      <c r="R16" s="805" t="b">
        <v>0</v>
      </c>
    </row>
    <row r="17" ht="14.25" customHeight="1">
      <c r="A17" s="745">
        <v>4.0</v>
      </c>
      <c r="B17" s="9" t="s">
        <v>100</v>
      </c>
      <c r="C17" s="9"/>
      <c r="D17" s="9" t="s">
        <v>7578</v>
      </c>
      <c r="E17" s="9" t="s">
        <v>27</v>
      </c>
      <c r="F17" s="10">
        <v>6000000.0</v>
      </c>
      <c r="G17" s="9" t="s">
        <v>144</v>
      </c>
      <c r="H17" s="9" t="s">
        <v>924</v>
      </c>
      <c r="I17" s="824" t="s">
        <v>7598</v>
      </c>
      <c r="J17" s="825" t="s">
        <v>7599</v>
      </c>
      <c r="K17" s="825" t="s">
        <v>7600</v>
      </c>
      <c r="L17" s="825" t="s">
        <v>7601</v>
      </c>
      <c r="M17" s="20" t="s">
        <v>2986</v>
      </c>
      <c r="N17" s="9"/>
      <c r="O17" s="816"/>
      <c r="P17" s="816"/>
      <c r="Q17" s="816"/>
      <c r="R17" s="805" t="b">
        <v>0</v>
      </c>
    </row>
    <row r="18" ht="14.25" customHeight="1">
      <c r="A18" s="463">
        <v>5.0</v>
      </c>
      <c r="B18" s="13" t="s">
        <v>100</v>
      </c>
      <c r="C18" s="13"/>
      <c r="D18" s="13" t="s">
        <v>7578</v>
      </c>
      <c r="E18" s="13" t="s">
        <v>27</v>
      </c>
      <c r="F18" s="14">
        <v>6000000.0</v>
      </c>
      <c r="G18" s="13" t="s">
        <v>144</v>
      </c>
      <c r="H18" s="13" t="s">
        <v>924</v>
      </c>
      <c r="I18" s="824" t="s">
        <v>7602</v>
      </c>
      <c r="J18" s="825" t="s">
        <v>7603</v>
      </c>
      <c r="K18" s="825" t="s">
        <v>7604</v>
      </c>
      <c r="L18" s="825" t="s">
        <v>7605</v>
      </c>
      <c r="M18" s="18" t="s">
        <v>2986</v>
      </c>
      <c r="N18" s="13"/>
      <c r="O18" s="818"/>
      <c r="P18" s="818"/>
      <c r="Q18" s="818"/>
      <c r="R18" s="805" t="b">
        <v>0</v>
      </c>
    </row>
    <row r="19" ht="14.25" customHeight="1">
      <c r="A19" s="745">
        <v>6.0</v>
      </c>
      <c r="B19" s="9" t="s">
        <v>100</v>
      </c>
      <c r="C19" s="9"/>
      <c r="D19" s="9" t="s">
        <v>7578</v>
      </c>
      <c r="E19" s="9" t="s">
        <v>70</v>
      </c>
      <c r="F19" s="10">
        <v>9000000.0</v>
      </c>
      <c r="G19" s="9" t="s">
        <v>163</v>
      </c>
      <c r="H19" s="15" t="s">
        <v>948</v>
      </c>
      <c r="I19" s="27" t="s">
        <v>7606</v>
      </c>
      <c r="J19" s="17" t="s">
        <v>7607</v>
      </c>
      <c r="K19" s="17" t="s">
        <v>7608</v>
      </c>
      <c r="L19" s="17" t="s">
        <v>7609</v>
      </c>
      <c r="M19" s="20"/>
      <c r="N19" s="9" t="s">
        <v>7610</v>
      </c>
      <c r="O19" s="826" t="s">
        <v>5363</v>
      </c>
      <c r="P19" s="826" t="s">
        <v>7611</v>
      </c>
      <c r="Q19" s="826" t="s">
        <v>7612</v>
      </c>
      <c r="R19" s="806" t="b">
        <v>1</v>
      </c>
    </row>
    <row r="20" ht="14.25" customHeight="1">
      <c r="A20" s="463">
        <v>7.0</v>
      </c>
      <c r="B20" s="13" t="s">
        <v>100</v>
      </c>
      <c r="C20" s="13"/>
      <c r="D20" s="13" t="s">
        <v>7578</v>
      </c>
      <c r="E20" s="13" t="s">
        <v>70</v>
      </c>
      <c r="F20" s="14">
        <v>1.2725E7</v>
      </c>
      <c r="G20" s="13" t="s">
        <v>1379</v>
      </c>
      <c r="H20" s="15" t="s">
        <v>37</v>
      </c>
      <c r="I20" s="27" t="s">
        <v>7613</v>
      </c>
      <c r="J20" s="17" t="s">
        <v>7614</v>
      </c>
      <c r="K20" s="17" t="s">
        <v>7615</v>
      </c>
      <c r="L20" s="17" t="s">
        <v>7616</v>
      </c>
      <c r="M20" s="18"/>
      <c r="N20" s="13" t="s">
        <v>7617</v>
      </c>
      <c r="O20" s="817" t="s">
        <v>4618</v>
      </c>
      <c r="P20" s="817" t="s">
        <v>7618</v>
      </c>
      <c r="Q20" s="827"/>
      <c r="R20" s="806" t="b">
        <v>1</v>
      </c>
    </row>
    <row r="21" ht="14.25" customHeight="1">
      <c r="A21" s="745">
        <v>8.0</v>
      </c>
      <c r="B21" s="9" t="s">
        <v>100</v>
      </c>
      <c r="C21" s="9"/>
      <c r="D21" s="9" t="s">
        <v>7578</v>
      </c>
      <c r="E21" s="9" t="s">
        <v>70</v>
      </c>
      <c r="F21" s="10">
        <v>1.54E7</v>
      </c>
      <c r="G21" s="9" t="s">
        <v>7619</v>
      </c>
      <c r="H21" s="9" t="s">
        <v>391</v>
      </c>
      <c r="I21" s="27" t="s">
        <v>7620</v>
      </c>
      <c r="J21" s="17" t="s">
        <v>7621</v>
      </c>
      <c r="K21" s="17" t="s">
        <v>7622</v>
      </c>
      <c r="L21" s="17" t="s">
        <v>7623</v>
      </c>
      <c r="M21" s="20"/>
      <c r="N21" s="9" t="s">
        <v>7624</v>
      </c>
      <c r="O21" s="828" t="s">
        <v>27</v>
      </c>
      <c r="P21" s="828" t="s">
        <v>7625</v>
      </c>
      <c r="Q21" s="816"/>
      <c r="R21" s="805" t="b">
        <v>0</v>
      </c>
    </row>
    <row r="22" ht="14.25" customHeight="1">
      <c r="A22" s="463">
        <v>9.0</v>
      </c>
      <c r="B22" s="13" t="s">
        <v>100</v>
      </c>
      <c r="C22" s="13"/>
      <c r="D22" s="13" t="s">
        <v>7578</v>
      </c>
      <c r="E22" s="13" t="s">
        <v>70</v>
      </c>
      <c r="F22" s="14">
        <v>1.7873E7</v>
      </c>
      <c r="G22" s="13" t="s">
        <v>7626</v>
      </c>
      <c r="H22" s="13" t="s">
        <v>84</v>
      </c>
      <c r="I22" s="13" t="s">
        <v>7627</v>
      </c>
      <c r="J22" s="13" t="s">
        <v>7628</v>
      </c>
      <c r="K22" s="13"/>
      <c r="L22" s="13"/>
      <c r="M22" s="18"/>
      <c r="N22" s="13" t="s">
        <v>7629</v>
      </c>
      <c r="O22" s="823" t="s">
        <v>27</v>
      </c>
      <c r="P22" s="823" t="s">
        <v>7625</v>
      </c>
      <c r="Q22" s="827"/>
      <c r="R22" s="805" t="b">
        <v>0</v>
      </c>
    </row>
    <row r="23" ht="14.25" customHeight="1">
      <c r="A23" s="745">
        <v>10.0</v>
      </c>
      <c r="B23" s="9" t="s">
        <v>100</v>
      </c>
      <c r="C23" s="9"/>
      <c r="D23" s="9" t="s">
        <v>7578</v>
      </c>
      <c r="E23" s="9" t="s">
        <v>70</v>
      </c>
      <c r="F23" s="10">
        <v>1.7873E7</v>
      </c>
      <c r="G23" s="9" t="s">
        <v>2667</v>
      </c>
      <c r="H23" s="15" t="s">
        <v>84</v>
      </c>
      <c r="I23" s="27" t="s">
        <v>7630</v>
      </c>
      <c r="J23" s="17" t="s">
        <v>7631</v>
      </c>
      <c r="K23" s="17" t="s">
        <v>7632</v>
      </c>
      <c r="L23" s="17" t="s">
        <v>7633</v>
      </c>
      <c r="M23" s="20" t="s">
        <v>7634</v>
      </c>
      <c r="N23" s="9" t="s">
        <v>7635</v>
      </c>
      <c r="O23" s="826" t="s">
        <v>4618</v>
      </c>
      <c r="P23" s="826" t="s">
        <v>7636</v>
      </c>
      <c r="Q23" s="816"/>
      <c r="R23" s="806" t="b">
        <v>1</v>
      </c>
    </row>
    <row r="24" ht="14.25" customHeight="1">
      <c r="A24" s="463">
        <v>11.0</v>
      </c>
      <c r="B24" s="13" t="s">
        <v>100</v>
      </c>
      <c r="C24" s="13"/>
      <c r="D24" s="13" t="s">
        <v>7578</v>
      </c>
      <c r="E24" s="13" t="s">
        <v>70</v>
      </c>
      <c r="F24" s="14">
        <v>1.7755E7</v>
      </c>
      <c r="G24" s="13" t="s">
        <v>7637</v>
      </c>
      <c r="H24" s="13" t="s">
        <v>474</v>
      </c>
      <c r="I24" s="27" t="s">
        <v>7638</v>
      </c>
      <c r="J24" s="17" t="s">
        <v>7639</v>
      </c>
      <c r="K24" s="17" t="s">
        <v>7640</v>
      </c>
      <c r="L24" s="17" t="s">
        <v>7641</v>
      </c>
      <c r="M24" s="18"/>
      <c r="N24" s="13" t="s">
        <v>7642</v>
      </c>
      <c r="O24" s="823" t="s">
        <v>27</v>
      </c>
      <c r="P24" s="823" t="s">
        <v>7643</v>
      </c>
      <c r="Q24" s="818"/>
      <c r="R24" s="805" t="b">
        <v>0</v>
      </c>
    </row>
    <row r="25" ht="14.25" customHeight="1">
      <c r="A25" s="745">
        <v>12.0</v>
      </c>
      <c r="B25" s="9" t="s">
        <v>100</v>
      </c>
      <c r="C25" s="9"/>
      <c r="D25" s="9" t="s">
        <v>7578</v>
      </c>
      <c r="E25" s="9" t="s">
        <v>70</v>
      </c>
      <c r="F25" s="10">
        <v>1.708E7</v>
      </c>
      <c r="G25" s="9" t="s">
        <v>7644</v>
      </c>
      <c r="H25" s="15" t="s">
        <v>92</v>
      </c>
      <c r="I25" s="27" t="s">
        <v>7645</v>
      </c>
      <c r="J25" s="17" t="s">
        <v>7646</v>
      </c>
      <c r="K25" s="17" t="s">
        <v>7647</v>
      </c>
      <c r="L25" s="17" t="s">
        <v>7648</v>
      </c>
      <c r="M25" s="20" t="s">
        <v>7649</v>
      </c>
      <c r="N25" s="9" t="s">
        <v>7650</v>
      </c>
      <c r="O25" s="826" t="s">
        <v>4618</v>
      </c>
      <c r="P25" s="826" t="s">
        <v>7651</v>
      </c>
      <c r="Q25" s="829"/>
      <c r="R25" s="806" t="b">
        <v>1</v>
      </c>
    </row>
    <row r="26" ht="14.25" customHeight="1">
      <c r="A26" s="463">
        <v>13.0</v>
      </c>
      <c r="B26" s="13" t="s">
        <v>100</v>
      </c>
      <c r="C26" s="13"/>
      <c r="D26" s="13" t="s">
        <v>7578</v>
      </c>
      <c r="E26" s="13" t="s">
        <v>70</v>
      </c>
      <c r="F26" s="14">
        <v>1.665E7</v>
      </c>
      <c r="G26" s="13" t="s">
        <v>7652</v>
      </c>
      <c r="H26" s="15" t="s">
        <v>58</v>
      </c>
      <c r="I26" s="27" t="s">
        <v>7653</v>
      </c>
      <c r="J26" s="17" t="s">
        <v>7654</v>
      </c>
      <c r="K26" s="17" t="s">
        <v>7655</v>
      </c>
      <c r="L26" s="17" t="s">
        <v>7656</v>
      </c>
      <c r="M26" s="18"/>
      <c r="N26" s="13" t="s">
        <v>7657</v>
      </c>
      <c r="O26" s="817" t="s">
        <v>4618</v>
      </c>
      <c r="P26" s="817" t="s">
        <v>7658</v>
      </c>
      <c r="Q26" s="827"/>
      <c r="R26" s="806" t="b">
        <v>1</v>
      </c>
    </row>
    <row r="27" ht="14.25" customHeight="1">
      <c r="A27" s="745">
        <v>14.0</v>
      </c>
      <c r="B27" s="9" t="s">
        <v>100</v>
      </c>
      <c r="C27" s="9"/>
      <c r="D27" s="9" t="s">
        <v>7578</v>
      </c>
      <c r="E27" s="9" t="s">
        <v>70</v>
      </c>
      <c r="F27" s="10">
        <v>1.665E7</v>
      </c>
      <c r="G27" s="9" t="s">
        <v>7652</v>
      </c>
      <c r="H27" s="15" t="s">
        <v>58</v>
      </c>
      <c r="I27" s="27" t="s">
        <v>7659</v>
      </c>
      <c r="J27" s="17" t="s">
        <v>7660</v>
      </c>
      <c r="K27" s="17" t="s">
        <v>7661</v>
      </c>
      <c r="L27" s="17" t="s">
        <v>7662</v>
      </c>
      <c r="M27" s="20"/>
      <c r="N27" s="9" t="s">
        <v>7663</v>
      </c>
      <c r="O27" s="826" t="s">
        <v>4618</v>
      </c>
      <c r="P27" s="826" t="s">
        <v>7664</v>
      </c>
      <c r="Q27" s="816"/>
      <c r="R27" s="806" t="b">
        <v>1</v>
      </c>
    </row>
    <row r="28" ht="14.25" customHeight="1">
      <c r="A28" s="463">
        <v>15.0</v>
      </c>
      <c r="B28" s="13" t="s">
        <v>100</v>
      </c>
      <c r="C28" s="13"/>
      <c r="D28" s="13" t="s">
        <v>7578</v>
      </c>
      <c r="E28" s="13" t="s">
        <v>70</v>
      </c>
      <c r="F28" s="14">
        <v>1.835E7</v>
      </c>
      <c r="G28" s="13" t="s">
        <v>7665</v>
      </c>
      <c r="H28" s="15" t="s">
        <v>910</v>
      </c>
      <c r="I28" s="27" t="s">
        <v>7666</v>
      </c>
      <c r="J28" s="17" t="s">
        <v>7667</v>
      </c>
      <c r="K28" s="17" t="s">
        <v>7668</v>
      </c>
      <c r="L28" s="17" t="s">
        <v>7669</v>
      </c>
      <c r="M28" s="18"/>
      <c r="N28" s="13" t="s">
        <v>7670</v>
      </c>
      <c r="O28" s="817" t="s">
        <v>4618</v>
      </c>
      <c r="P28" s="817" t="s">
        <v>7671</v>
      </c>
      <c r="Q28" s="827"/>
      <c r="R28" s="806" t="b">
        <v>1</v>
      </c>
    </row>
    <row r="29" ht="14.25" customHeight="1">
      <c r="A29" s="745">
        <v>16.0</v>
      </c>
      <c r="B29" s="9" t="s">
        <v>100</v>
      </c>
      <c r="C29" s="9"/>
      <c r="D29" s="9" t="s">
        <v>7578</v>
      </c>
      <c r="E29" s="9" t="s">
        <v>70</v>
      </c>
      <c r="F29" s="10">
        <v>1.835E7</v>
      </c>
      <c r="G29" s="9" t="s">
        <v>7665</v>
      </c>
      <c r="H29" s="15" t="s">
        <v>910</v>
      </c>
      <c r="I29" s="27" t="s">
        <v>7672</v>
      </c>
      <c r="J29" s="17" t="s">
        <v>7673</v>
      </c>
      <c r="K29" s="17" t="s">
        <v>7674</v>
      </c>
      <c r="L29" s="17" t="s">
        <v>7675</v>
      </c>
      <c r="M29" s="20"/>
      <c r="N29" s="9" t="s">
        <v>7676</v>
      </c>
      <c r="O29" s="826" t="s">
        <v>4618</v>
      </c>
      <c r="P29" s="826" t="s">
        <v>7677</v>
      </c>
      <c r="Q29" s="816"/>
      <c r="R29" s="806" t="b">
        <v>1</v>
      </c>
    </row>
    <row r="30" ht="14.25" customHeight="1">
      <c r="A30" s="463">
        <v>17.0</v>
      </c>
      <c r="B30" s="13" t="s">
        <v>100</v>
      </c>
      <c r="C30" s="13"/>
      <c r="D30" s="13" t="s">
        <v>7578</v>
      </c>
      <c r="E30" s="13" t="s">
        <v>70</v>
      </c>
      <c r="F30" s="14">
        <v>1.54E7</v>
      </c>
      <c r="G30" s="13" t="s">
        <v>7619</v>
      </c>
      <c r="H30" s="13" t="s">
        <v>1076</v>
      </c>
      <c r="I30" s="27" t="s">
        <v>7678</v>
      </c>
      <c r="J30" s="17" t="s">
        <v>7679</v>
      </c>
      <c r="K30" s="17" t="s">
        <v>7680</v>
      </c>
      <c r="L30" s="17" t="s">
        <v>7681</v>
      </c>
      <c r="M30" s="18"/>
      <c r="N30" s="13"/>
      <c r="O30" s="823" t="s">
        <v>27</v>
      </c>
      <c r="P30" s="823" t="s">
        <v>7625</v>
      </c>
      <c r="Q30" s="818"/>
      <c r="R30" s="805" t="b">
        <v>0</v>
      </c>
    </row>
    <row r="31" ht="14.25" customHeight="1">
      <c r="A31" s="745">
        <v>18.0</v>
      </c>
      <c r="B31" s="9" t="s">
        <v>100</v>
      </c>
      <c r="C31" s="9" t="s">
        <v>7682</v>
      </c>
      <c r="D31" s="9" t="s">
        <v>7578</v>
      </c>
      <c r="E31" s="9" t="s">
        <v>70</v>
      </c>
      <c r="F31" s="10">
        <v>3.25E7</v>
      </c>
      <c r="G31" s="9" t="s">
        <v>7683</v>
      </c>
      <c r="H31" s="15" t="s">
        <v>78</v>
      </c>
      <c r="I31" s="830" t="s">
        <v>7684</v>
      </c>
      <c r="J31" s="831" t="s">
        <v>7685</v>
      </c>
      <c r="K31" s="831" t="s">
        <v>7686</v>
      </c>
      <c r="L31" s="831" t="s">
        <v>7687</v>
      </c>
      <c r="M31" s="20" t="s">
        <v>7688</v>
      </c>
      <c r="N31" s="9" t="s">
        <v>7689</v>
      </c>
      <c r="O31" s="826" t="s">
        <v>4618</v>
      </c>
      <c r="P31" s="826" t="s">
        <v>7690</v>
      </c>
      <c r="Q31" s="816"/>
      <c r="R31" s="806" t="b">
        <v>1</v>
      </c>
    </row>
    <row r="32" ht="14.25" customHeight="1">
      <c r="A32" s="463">
        <v>19.0</v>
      </c>
      <c r="B32" s="13" t="s">
        <v>100</v>
      </c>
      <c r="C32" s="13"/>
      <c r="D32" s="13" t="s">
        <v>7578</v>
      </c>
      <c r="E32" s="13" t="s">
        <v>70</v>
      </c>
      <c r="F32" s="14">
        <v>1.75E7</v>
      </c>
      <c r="G32" s="13" t="s">
        <v>7691</v>
      </c>
      <c r="H32" s="15" t="s">
        <v>862</v>
      </c>
      <c r="I32" s="832" t="s">
        <v>7692</v>
      </c>
      <c r="J32" s="832" t="s">
        <v>7693</v>
      </c>
      <c r="K32" s="833" t="s">
        <v>7694</v>
      </c>
      <c r="L32" s="832"/>
      <c r="M32" s="18" t="s">
        <v>7595</v>
      </c>
      <c r="N32" s="13" t="s">
        <v>7695</v>
      </c>
      <c r="O32" s="817" t="s">
        <v>4618</v>
      </c>
      <c r="P32" s="817" t="s">
        <v>7696</v>
      </c>
      <c r="Q32" s="817" t="s">
        <v>7697</v>
      </c>
      <c r="R32" s="806" t="b">
        <v>1</v>
      </c>
    </row>
    <row r="33" ht="14.25" customHeight="1">
      <c r="A33" s="745">
        <v>20.0</v>
      </c>
      <c r="B33" s="9" t="s">
        <v>7698</v>
      </c>
      <c r="C33" s="9" t="s">
        <v>7699</v>
      </c>
      <c r="D33" s="9" t="s">
        <v>7578</v>
      </c>
      <c r="E33" s="9" t="s">
        <v>70</v>
      </c>
      <c r="F33" s="10">
        <v>3.562E7</v>
      </c>
      <c r="G33" s="9" t="s">
        <v>7700</v>
      </c>
      <c r="H33" s="15" t="s">
        <v>2329</v>
      </c>
      <c r="I33" s="27" t="s">
        <v>7701</v>
      </c>
      <c r="J33" s="17" t="s">
        <v>7702</v>
      </c>
      <c r="K33" s="17" t="s">
        <v>7703</v>
      </c>
      <c r="L33" s="17" t="s">
        <v>7704</v>
      </c>
      <c r="M33" s="20" t="s">
        <v>7705</v>
      </c>
      <c r="N33" s="9" t="s">
        <v>7706</v>
      </c>
      <c r="O33" s="826" t="s">
        <v>4618</v>
      </c>
      <c r="P33" s="826" t="s">
        <v>7707</v>
      </c>
      <c r="Q33" s="829"/>
      <c r="R33" s="806" t="b">
        <v>1</v>
      </c>
    </row>
    <row r="34" ht="14.25" customHeight="1">
      <c r="A34" s="748">
        <v>21.0</v>
      </c>
      <c r="B34" s="749" t="s">
        <v>7698</v>
      </c>
      <c r="C34" s="749" t="s">
        <v>7708</v>
      </c>
      <c r="D34" s="749" t="s">
        <v>7578</v>
      </c>
      <c r="E34" s="749" t="s">
        <v>70</v>
      </c>
      <c r="F34" s="750">
        <v>3.5E7</v>
      </c>
      <c r="G34" s="749" t="s">
        <v>7700</v>
      </c>
      <c r="H34" s="691" t="s">
        <v>2329</v>
      </c>
      <c r="I34" s="438" t="s">
        <v>7709</v>
      </c>
      <c r="J34" s="33" t="s">
        <v>7710</v>
      </c>
      <c r="K34" s="33" t="s">
        <v>7711</v>
      </c>
      <c r="L34" s="33" t="s">
        <v>7712</v>
      </c>
      <c r="M34" s="751" t="s">
        <v>7713</v>
      </c>
      <c r="N34" s="749" t="s">
        <v>7714</v>
      </c>
      <c r="O34" s="817" t="s">
        <v>4618</v>
      </c>
      <c r="P34" s="817" t="s">
        <v>7715</v>
      </c>
      <c r="Q34" s="827"/>
      <c r="R34" s="806" t="b">
        <v>1</v>
      </c>
    </row>
    <row r="35" ht="14.25" customHeight="1"/>
    <row r="36" ht="14.25" customHeight="1">
      <c r="A36" s="834"/>
      <c r="B36" s="834"/>
      <c r="C36" s="834"/>
      <c r="D36" s="834"/>
      <c r="E36" s="834"/>
      <c r="F36" s="834"/>
      <c r="G36" s="834"/>
      <c r="H36" s="835">
        <v>2007.0</v>
      </c>
      <c r="I36" s="836" t="s">
        <v>7716</v>
      </c>
      <c r="J36" s="837" t="s">
        <v>7717</v>
      </c>
      <c r="K36" s="836" t="s">
        <v>7718</v>
      </c>
      <c r="L36" s="834"/>
      <c r="M36" s="838" t="s">
        <v>7713</v>
      </c>
      <c r="N36" s="836" t="s">
        <v>7719</v>
      </c>
      <c r="O36" s="836" t="s">
        <v>4618</v>
      </c>
      <c r="P36" s="836" t="s">
        <v>7720</v>
      </c>
      <c r="Q36" s="834"/>
      <c r="R36" s="836" t="b">
        <v>1</v>
      </c>
      <c r="S36" s="834"/>
      <c r="T36" s="834"/>
      <c r="U36" s="834"/>
      <c r="V36" s="834"/>
      <c r="W36" s="834"/>
      <c r="X36" s="834"/>
      <c r="Y36" s="834"/>
      <c r="Z36" s="834"/>
      <c r="AA36" s="834"/>
    </row>
    <row r="37" ht="14.25" customHeight="1">
      <c r="A37" s="834"/>
      <c r="B37" s="834"/>
      <c r="C37" s="834"/>
      <c r="D37" s="834"/>
      <c r="E37" s="834"/>
      <c r="F37" s="834"/>
      <c r="G37" s="834"/>
      <c r="H37" s="839"/>
      <c r="I37" s="836"/>
      <c r="J37" s="840"/>
      <c r="K37" s="841"/>
      <c r="L37" s="838"/>
      <c r="M37" s="842"/>
      <c r="N37" s="834"/>
      <c r="O37" s="836"/>
      <c r="P37" s="836"/>
      <c r="Q37" s="834"/>
      <c r="R37" s="834"/>
      <c r="S37" s="834"/>
      <c r="T37" s="834"/>
      <c r="U37" s="834"/>
      <c r="V37" s="834"/>
      <c r="W37" s="834"/>
      <c r="X37" s="834"/>
      <c r="Y37" s="834"/>
      <c r="Z37" s="834"/>
      <c r="AA37" s="834"/>
    </row>
    <row r="38" ht="14.25" customHeight="1">
      <c r="A38" s="834"/>
      <c r="B38" s="834"/>
      <c r="C38" s="834"/>
      <c r="D38" s="834"/>
      <c r="E38" s="834"/>
      <c r="F38" s="834"/>
      <c r="G38" s="834"/>
      <c r="H38" s="839"/>
      <c r="I38" s="834"/>
      <c r="J38" s="843"/>
      <c r="K38" s="841"/>
      <c r="L38" s="842"/>
      <c r="M38" s="842"/>
      <c r="N38" s="834"/>
      <c r="O38" s="834"/>
      <c r="P38" s="834"/>
      <c r="Q38" s="834"/>
      <c r="R38" s="834"/>
      <c r="S38" s="834"/>
      <c r="T38" s="834"/>
      <c r="U38" s="834"/>
      <c r="V38" s="834"/>
      <c r="W38" s="834"/>
      <c r="X38" s="834"/>
      <c r="Y38" s="834"/>
      <c r="Z38" s="834"/>
      <c r="AA38" s="834"/>
    </row>
    <row r="39" ht="14.25" customHeight="1">
      <c r="A39" s="834"/>
      <c r="B39" s="834"/>
      <c r="C39" s="834"/>
      <c r="D39" s="834"/>
      <c r="E39" s="834"/>
      <c r="F39" s="834"/>
      <c r="G39" s="834"/>
      <c r="H39" s="839"/>
      <c r="I39" s="834"/>
      <c r="J39" s="843"/>
      <c r="K39" s="841"/>
      <c r="L39" s="842"/>
      <c r="M39" s="842"/>
      <c r="N39" s="834"/>
      <c r="O39" s="834"/>
      <c r="P39" s="834"/>
      <c r="Q39" s="834"/>
      <c r="R39" s="834"/>
      <c r="S39" s="834"/>
      <c r="T39" s="834"/>
      <c r="U39" s="834"/>
      <c r="V39" s="834"/>
      <c r="W39" s="834"/>
      <c r="X39" s="834"/>
      <c r="Y39" s="834"/>
      <c r="Z39" s="834"/>
      <c r="AA39" s="834"/>
    </row>
    <row r="40" ht="14.25" customHeight="1">
      <c r="A40" s="834"/>
      <c r="B40" s="834"/>
      <c r="C40" s="834"/>
      <c r="D40" s="834"/>
      <c r="E40" s="834"/>
      <c r="F40" s="834"/>
      <c r="G40" s="834"/>
      <c r="H40" s="839"/>
      <c r="I40" s="834"/>
      <c r="J40" s="844"/>
      <c r="K40" s="841"/>
      <c r="L40" s="842"/>
      <c r="M40" s="842"/>
      <c r="N40" s="834"/>
      <c r="O40" s="834"/>
      <c r="P40" s="834"/>
      <c r="Q40" s="834"/>
      <c r="R40" s="834"/>
      <c r="S40" s="834"/>
      <c r="T40" s="834"/>
      <c r="U40" s="834"/>
      <c r="V40" s="834"/>
      <c r="W40" s="834"/>
      <c r="X40" s="834"/>
      <c r="Y40" s="834"/>
      <c r="Z40" s="834"/>
      <c r="AA40" s="834"/>
    </row>
    <row r="41" ht="14.25" customHeight="1">
      <c r="A41" s="834"/>
      <c r="B41" s="834"/>
      <c r="C41" s="834"/>
      <c r="D41" s="834"/>
      <c r="E41" s="834"/>
      <c r="F41" s="834"/>
      <c r="G41" s="834"/>
      <c r="H41" s="839"/>
      <c r="I41" s="834"/>
      <c r="J41" s="845"/>
      <c r="K41" s="841"/>
      <c r="L41" s="842"/>
      <c r="M41" s="842"/>
      <c r="N41" s="834"/>
      <c r="O41" s="834"/>
      <c r="P41" s="834"/>
      <c r="Q41" s="834"/>
      <c r="R41" s="834"/>
      <c r="S41" s="834"/>
      <c r="T41" s="834"/>
      <c r="U41" s="834"/>
      <c r="V41" s="834"/>
      <c r="W41" s="834"/>
      <c r="X41" s="834"/>
      <c r="Y41" s="834"/>
      <c r="Z41" s="834"/>
      <c r="AA41" s="834"/>
    </row>
    <row r="42" ht="14.25" customHeight="1">
      <c r="A42" s="834"/>
      <c r="B42" s="834"/>
      <c r="C42" s="834"/>
      <c r="D42" s="834"/>
      <c r="E42" s="834"/>
      <c r="F42" s="834"/>
      <c r="G42" s="834"/>
      <c r="H42" s="839"/>
      <c r="I42" s="834"/>
      <c r="J42" s="845"/>
      <c r="K42" s="841"/>
      <c r="L42" s="842"/>
      <c r="M42" s="842"/>
      <c r="N42" s="834"/>
      <c r="O42" s="834"/>
      <c r="P42" s="834"/>
      <c r="Q42" s="834"/>
      <c r="R42" s="834"/>
      <c r="S42" s="834"/>
      <c r="T42" s="834"/>
      <c r="U42" s="834"/>
      <c r="V42" s="834"/>
      <c r="W42" s="834"/>
      <c r="X42" s="834"/>
      <c r="Y42" s="834"/>
      <c r="Z42" s="834"/>
      <c r="AA42" s="834"/>
    </row>
    <row r="43" ht="14.25" customHeight="1">
      <c r="A43" s="834"/>
      <c r="B43" s="834"/>
      <c r="C43" s="834"/>
      <c r="D43" s="834"/>
      <c r="E43" s="834"/>
      <c r="F43" s="834"/>
      <c r="G43" s="834"/>
      <c r="H43" s="839"/>
      <c r="I43" s="834"/>
      <c r="J43" s="834"/>
      <c r="K43" s="846"/>
      <c r="L43" s="846"/>
      <c r="M43" s="846"/>
      <c r="N43" s="834"/>
      <c r="O43" s="834"/>
      <c r="P43" s="834"/>
      <c r="Q43" s="834"/>
      <c r="R43" s="834"/>
      <c r="S43" s="834"/>
      <c r="T43" s="834"/>
      <c r="U43" s="834"/>
      <c r="V43" s="834"/>
      <c r="W43" s="834"/>
      <c r="X43" s="834"/>
      <c r="Y43" s="834"/>
      <c r="Z43" s="834"/>
      <c r="AA43" s="834"/>
    </row>
    <row r="44" ht="14.25" customHeight="1">
      <c r="A44" s="834"/>
      <c r="B44" s="834"/>
      <c r="C44" s="834"/>
      <c r="D44" s="834"/>
      <c r="E44" s="834"/>
      <c r="F44" s="834"/>
      <c r="G44" s="834"/>
      <c r="H44" s="839"/>
      <c r="I44" s="834"/>
      <c r="J44" s="834"/>
      <c r="K44" s="834"/>
      <c r="L44" s="834"/>
      <c r="M44" s="834"/>
      <c r="N44" s="834"/>
      <c r="O44" s="834"/>
      <c r="P44" s="834"/>
      <c r="Q44" s="834"/>
      <c r="R44" s="834"/>
      <c r="S44" s="834"/>
      <c r="T44" s="834"/>
      <c r="U44" s="834"/>
      <c r="V44" s="834"/>
      <c r="W44" s="834"/>
      <c r="X44" s="834"/>
      <c r="Y44" s="834"/>
      <c r="Z44" s="834"/>
      <c r="AA44" s="834"/>
    </row>
    <row r="45" ht="14.25" customHeight="1">
      <c r="A45" s="834"/>
      <c r="B45" s="834"/>
      <c r="C45" s="834"/>
      <c r="D45" s="834"/>
      <c r="E45" s="834"/>
      <c r="F45" s="834"/>
      <c r="G45" s="834"/>
      <c r="H45" s="839"/>
      <c r="I45" s="834"/>
      <c r="J45" s="834"/>
      <c r="K45" s="834"/>
      <c r="L45" s="834"/>
      <c r="M45" s="834"/>
      <c r="N45" s="834"/>
      <c r="O45" s="834"/>
      <c r="P45" s="834"/>
      <c r="Q45" s="834"/>
      <c r="R45" s="834"/>
      <c r="S45" s="834"/>
      <c r="T45" s="834"/>
      <c r="U45" s="834"/>
      <c r="V45" s="834"/>
      <c r="W45" s="834"/>
      <c r="X45" s="834"/>
      <c r="Y45" s="834"/>
      <c r="Z45" s="834"/>
      <c r="AA45" s="834"/>
    </row>
    <row r="46" ht="14.25" customHeight="1">
      <c r="A46" s="834"/>
      <c r="B46" s="834"/>
      <c r="C46" s="834"/>
      <c r="D46" s="834"/>
      <c r="E46" s="834"/>
      <c r="F46" s="834"/>
      <c r="G46" s="834"/>
      <c r="H46" s="839"/>
      <c r="I46" s="834"/>
      <c r="J46" s="834"/>
      <c r="K46" s="834"/>
      <c r="L46" s="834"/>
      <c r="M46" s="834"/>
      <c r="N46" s="834"/>
      <c r="O46" s="834"/>
      <c r="P46" s="834"/>
      <c r="Q46" s="834"/>
      <c r="R46" s="834"/>
      <c r="S46" s="834"/>
      <c r="T46" s="834"/>
      <c r="U46" s="834"/>
      <c r="V46" s="834"/>
      <c r="W46" s="834"/>
      <c r="X46" s="834"/>
      <c r="Y46" s="834"/>
      <c r="Z46" s="834"/>
      <c r="AA46" s="834"/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A3:M3"/>
    <mergeCell ref="A4:M4"/>
    <mergeCell ref="O10:Q10"/>
  </mergeCells>
  <printOptions/>
  <pageMargins bottom="0.748031496062992" footer="0.0" header="0.0" left="0.708661417322835" right="0.708661417322835" top="0.748031496062992"/>
  <pageSetup paperSize="5" scale="80" orientation="landscape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 fitToPage="1"/>
  </sheetPr>
  <sheetViews>
    <sheetView workbookViewId="0"/>
  </sheetViews>
  <sheetFormatPr customHeight="1" defaultColWidth="14.43" defaultRowHeight="15.0"/>
  <cols>
    <col customWidth="1" min="1" max="1" width="5.29"/>
    <col customWidth="1" min="2" max="2" width="21.86"/>
    <col customWidth="1" min="3" max="3" width="29.0"/>
    <col customWidth="1" min="4" max="4" width="21.86"/>
    <col customWidth="1" min="5" max="5" width="19.29"/>
    <col customWidth="1" min="6" max="6" width="18.14"/>
    <col customWidth="1" min="7" max="7" width="29.29"/>
    <col customWidth="1" min="8" max="8" width="8.71"/>
    <col customWidth="1" min="9" max="9" width="22.71"/>
    <col customWidth="1" min="10" max="10" width="21.29"/>
    <col customWidth="1" min="11" max="12" width="20.86"/>
    <col customWidth="1" min="13" max="13" width="55.57"/>
    <col customWidth="1" min="14" max="14" width="20.14"/>
    <col customWidth="1" min="15" max="26" width="8.71"/>
  </cols>
  <sheetData>
    <row r="1" ht="14.25" customHeight="1"/>
    <row r="2" ht="14.25" customHeight="1"/>
    <row r="3" ht="14.25" customHeight="1"/>
    <row r="4" ht="14.25" customHeight="1">
      <c r="A4" s="2" t="s">
        <v>2</v>
      </c>
      <c r="C4" s="2" t="s">
        <v>3</v>
      </c>
    </row>
    <row r="5" ht="14.25" customHeight="1">
      <c r="A5" s="2" t="s">
        <v>4</v>
      </c>
      <c r="C5" s="2" t="s">
        <v>5</v>
      </c>
    </row>
    <row r="6" ht="14.25" customHeight="1">
      <c r="A6" s="2" t="s">
        <v>6</v>
      </c>
      <c r="C6" s="2" t="s">
        <v>7721</v>
      </c>
    </row>
    <row r="7" ht="14.25" customHeight="1">
      <c r="A7" s="323" t="s">
        <v>8</v>
      </c>
      <c r="B7" s="324" t="s">
        <v>9</v>
      </c>
      <c r="C7" s="324" t="s">
        <v>10</v>
      </c>
      <c r="D7" s="324" t="s">
        <v>11</v>
      </c>
      <c r="E7" s="324" t="s">
        <v>12</v>
      </c>
      <c r="F7" s="324" t="s">
        <v>13</v>
      </c>
      <c r="G7" s="324" t="s">
        <v>14</v>
      </c>
      <c r="H7" s="324" t="s">
        <v>15</v>
      </c>
      <c r="I7" s="324" t="s">
        <v>16</v>
      </c>
      <c r="J7" s="324" t="s">
        <v>17</v>
      </c>
      <c r="K7" s="324" t="s">
        <v>1881</v>
      </c>
      <c r="L7" s="324" t="s">
        <v>1882</v>
      </c>
      <c r="M7" s="324" t="s">
        <v>1883</v>
      </c>
      <c r="N7" s="324" t="s">
        <v>20</v>
      </c>
    </row>
    <row r="8" ht="14.25" customHeight="1">
      <c r="A8" s="847"/>
      <c r="B8" s="848" t="s">
        <v>1884</v>
      </c>
      <c r="C8" s="847"/>
      <c r="D8" s="847"/>
      <c r="E8" s="847"/>
      <c r="F8" s="849">
        <v>2.6E8</v>
      </c>
      <c r="G8" s="847"/>
      <c r="H8" s="847"/>
      <c r="I8" s="847"/>
      <c r="J8" s="847"/>
      <c r="K8" s="847"/>
      <c r="L8" s="847"/>
      <c r="M8" s="850"/>
      <c r="N8" s="189"/>
    </row>
    <row r="9" ht="14.25" customHeight="1">
      <c r="A9" s="142">
        <v>1.0</v>
      </c>
      <c r="B9" s="143" t="s">
        <v>3258</v>
      </c>
      <c r="C9" s="143" t="s">
        <v>7722</v>
      </c>
      <c r="D9" s="143" t="s">
        <v>7723</v>
      </c>
      <c r="E9" s="143" t="s">
        <v>70</v>
      </c>
      <c r="F9" s="144">
        <v>2.6E8</v>
      </c>
      <c r="G9" s="143" t="s">
        <v>7724</v>
      </c>
      <c r="H9" s="143">
        <v>2019.0</v>
      </c>
      <c r="I9" s="140" t="s">
        <v>7725</v>
      </c>
      <c r="J9" s="143" t="s">
        <v>7726</v>
      </c>
      <c r="K9" s="143" t="s">
        <v>7727</v>
      </c>
      <c r="L9" s="143" t="s">
        <v>7728</v>
      </c>
      <c r="M9" s="851" t="s">
        <v>7729</v>
      </c>
      <c r="N9" s="145"/>
    </row>
    <row r="10" ht="14.25" customHeight="1">
      <c r="A10" s="126"/>
      <c r="B10" s="852" t="s">
        <v>23</v>
      </c>
      <c r="C10" s="853"/>
      <c r="D10" s="853"/>
      <c r="E10" s="853"/>
      <c r="F10" s="854">
        <v>2.070494E8</v>
      </c>
      <c r="G10" s="853"/>
      <c r="H10" s="853"/>
      <c r="I10" s="853"/>
      <c r="J10" s="853"/>
      <c r="K10" s="853"/>
      <c r="L10" s="853"/>
      <c r="M10" s="130"/>
      <c r="N10" s="130"/>
    </row>
    <row r="11" ht="14.25" customHeight="1">
      <c r="A11" s="142">
        <v>2.0</v>
      </c>
      <c r="B11" s="143" t="s">
        <v>780</v>
      </c>
      <c r="C11" s="143" t="s">
        <v>7730</v>
      </c>
      <c r="D11" s="143" t="s">
        <v>7723</v>
      </c>
      <c r="E11" s="143" t="s">
        <v>70</v>
      </c>
      <c r="F11" s="144">
        <v>2.070494E8</v>
      </c>
      <c r="G11" s="143" t="s">
        <v>1025</v>
      </c>
      <c r="H11" s="143">
        <v>2012.0</v>
      </c>
      <c r="I11" s="157" t="s">
        <v>7731</v>
      </c>
      <c r="J11" s="143" t="s">
        <v>7732</v>
      </c>
      <c r="K11" s="143" t="s">
        <v>7733</v>
      </c>
      <c r="L11" s="143" t="s">
        <v>7734</v>
      </c>
      <c r="M11" s="851" t="s">
        <v>7735</v>
      </c>
      <c r="N11" s="145"/>
    </row>
    <row r="12" ht="14.25" customHeight="1">
      <c r="A12" s="126"/>
      <c r="B12" s="852" t="s">
        <v>99</v>
      </c>
      <c r="C12" s="853"/>
      <c r="D12" s="853"/>
      <c r="E12" s="853"/>
      <c r="F12" s="854">
        <v>3.2978717E8</v>
      </c>
      <c r="G12" s="853"/>
      <c r="H12" s="853"/>
      <c r="I12" s="853"/>
      <c r="J12" s="853"/>
      <c r="K12" s="853"/>
      <c r="L12" s="853"/>
      <c r="M12" s="130"/>
      <c r="N12" s="130"/>
    </row>
    <row r="13" ht="14.25" customHeight="1">
      <c r="A13" s="855">
        <v>1.0</v>
      </c>
      <c r="B13" s="192" t="s">
        <v>100</v>
      </c>
      <c r="C13" s="192" t="s">
        <v>2015</v>
      </c>
      <c r="D13" s="192" t="s">
        <v>7723</v>
      </c>
      <c r="E13" s="192" t="s">
        <v>70</v>
      </c>
      <c r="F13" s="194">
        <v>1.7755E7</v>
      </c>
      <c r="G13" s="192" t="s">
        <v>1579</v>
      </c>
      <c r="H13" s="192">
        <v>2009.0</v>
      </c>
      <c r="I13" s="267" t="s">
        <v>7736</v>
      </c>
      <c r="J13" s="192" t="s">
        <v>7737</v>
      </c>
      <c r="K13" s="192" t="s">
        <v>7738</v>
      </c>
      <c r="L13" s="192" t="s">
        <v>7739</v>
      </c>
      <c r="M13" s="856" t="s">
        <v>7740</v>
      </c>
      <c r="N13" s="192" t="s">
        <v>7741</v>
      </c>
    </row>
    <row r="14" ht="14.25" customHeight="1">
      <c r="A14" s="136">
        <v>2.0</v>
      </c>
      <c r="B14" s="137" t="s">
        <v>100</v>
      </c>
      <c r="C14" s="137" t="s">
        <v>2015</v>
      </c>
      <c r="D14" s="137" t="s">
        <v>7723</v>
      </c>
      <c r="E14" s="137" t="s">
        <v>70</v>
      </c>
      <c r="F14" s="138">
        <v>1.7755E7</v>
      </c>
      <c r="G14" s="137" t="s">
        <v>1579</v>
      </c>
      <c r="H14" s="137">
        <v>2009.0</v>
      </c>
      <c r="I14" s="157" t="s">
        <v>7742</v>
      </c>
      <c r="J14" s="137" t="s">
        <v>7743</v>
      </c>
      <c r="K14" s="137" t="s">
        <v>7744</v>
      </c>
      <c r="L14" s="137" t="s">
        <v>7745</v>
      </c>
      <c r="M14" s="851" t="s">
        <v>7746</v>
      </c>
      <c r="N14" s="147"/>
    </row>
    <row r="15" ht="14.25" customHeight="1">
      <c r="A15" s="142">
        <v>3.0</v>
      </c>
      <c r="B15" s="143" t="s">
        <v>100</v>
      </c>
      <c r="C15" s="143" t="s">
        <v>2015</v>
      </c>
      <c r="D15" s="143" t="s">
        <v>7723</v>
      </c>
      <c r="E15" s="143" t="s">
        <v>70</v>
      </c>
      <c r="F15" s="144">
        <v>1.7755E7</v>
      </c>
      <c r="G15" s="143" t="s">
        <v>1579</v>
      </c>
      <c r="H15" s="143">
        <v>2009.0</v>
      </c>
      <c r="I15" s="140" t="s">
        <v>7747</v>
      </c>
      <c r="J15" s="143" t="s">
        <v>7748</v>
      </c>
      <c r="K15" s="143" t="s">
        <v>7749</v>
      </c>
      <c r="L15" s="143" t="s">
        <v>7750</v>
      </c>
      <c r="M15" s="851" t="s">
        <v>7751</v>
      </c>
      <c r="N15" s="145"/>
    </row>
    <row r="16" ht="14.25" customHeight="1">
      <c r="A16" s="136">
        <v>4.0</v>
      </c>
      <c r="B16" s="137" t="s">
        <v>100</v>
      </c>
      <c r="C16" s="137" t="s">
        <v>7752</v>
      </c>
      <c r="D16" s="137" t="s">
        <v>7723</v>
      </c>
      <c r="E16" s="137" t="s">
        <v>70</v>
      </c>
      <c r="F16" s="138">
        <v>1.7755E7</v>
      </c>
      <c r="G16" s="137" t="s">
        <v>1579</v>
      </c>
      <c r="H16" s="137">
        <v>2010.0</v>
      </c>
      <c r="I16" s="140" t="s">
        <v>7753</v>
      </c>
      <c r="J16" s="137" t="s">
        <v>7754</v>
      </c>
      <c r="K16" s="137" t="s">
        <v>7755</v>
      </c>
      <c r="L16" s="137" t="s">
        <v>7756</v>
      </c>
      <c r="M16" s="199" t="s">
        <v>7757</v>
      </c>
      <c r="N16" s="147"/>
    </row>
    <row r="17" ht="14.25" customHeight="1">
      <c r="A17" s="142">
        <v>5.0</v>
      </c>
      <c r="B17" s="143" t="s">
        <v>100</v>
      </c>
      <c r="C17" s="143" t="s">
        <v>7758</v>
      </c>
      <c r="D17" s="143" t="s">
        <v>7723</v>
      </c>
      <c r="E17" s="143" t="s">
        <v>70</v>
      </c>
      <c r="F17" s="144">
        <v>1.4125735E7</v>
      </c>
      <c r="G17" s="143" t="s">
        <v>1579</v>
      </c>
      <c r="H17" s="143">
        <v>2013.0</v>
      </c>
      <c r="I17" s="140" t="s">
        <v>7759</v>
      </c>
      <c r="J17" s="143" t="s">
        <v>7760</v>
      </c>
      <c r="K17" s="143" t="s">
        <v>7761</v>
      </c>
      <c r="L17" s="143" t="s">
        <v>7762</v>
      </c>
      <c r="M17" s="851" t="s">
        <v>7763</v>
      </c>
      <c r="N17" s="145"/>
    </row>
    <row r="18" ht="14.25" customHeight="1">
      <c r="A18" s="136">
        <v>6.0</v>
      </c>
      <c r="B18" s="137" t="s">
        <v>100</v>
      </c>
      <c r="C18" s="137" t="s">
        <v>7764</v>
      </c>
      <c r="D18" s="137" t="s">
        <v>7723</v>
      </c>
      <c r="E18" s="137" t="s">
        <v>70</v>
      </c>
      <c r="F18" s="138">
        <v>1.708E7</v>
      </c>
      <c r="G18" s="137" t="s">
        <v>1579</v>
      </c>
      <c r="H18" s="137">
        <v>2013.0</v>
      </c>
      <c r="I18" s="157" t="s">
        <v>7765</v>
      </c>
      <c r="J18" s="137" t="s">
        <v>7766</v>
      </c>
      <c r="K18" s="137" t="s">
        <v>7767</v>
      </c>
      <c r="L18" s="137" t="s">
        <v>7768</v>
      </c>
      <c r="M18" s="851" t="s">
        <v>7769</v>
      </c>
      <c r="N18" s="147"/>
    </row>
    <row r="19" ht="14.25" customHeight="1">
      <c r="A19" s="142">
        <v>7.0</v>
      </c>
      <c r="B19" s="143" t="s">
        <v>100</v>
      </c>
      <c r="C19" s="143" t="s">
        <v>7770</v>
      </c>
      <c r="D19" s="143" t="s">
        <v>7723</v>
      </c>
      <c r="E19" s="143" t="s">
        <v>70</v>
      </c>
      <c r="F19" s="144">
        <v>1.4425735E7</v>
      </c>
      <c r="G19" s="143" t="s">
        <v>1579</v>
      </c>
      <c r="H19" s="143">
        <v>2013.0</v>
      </c>
      <c r="I19" s="157" t="s">
        <v>7771</v>
      </c>
      <c r="J19" s="143" t="s">
        <v>7772</v>
      </c>
      <c r="K19" s="143" t="s">
        <v>7773</v>
      </c>
      <c r="L19" s="143" t="s">
        <v>7774</v>
      </c>
      <c r="M19" s="851" t="s">
        <v>7775</v>
      </c>
      <c r="N19" s="145"/>
    </row>
    <row r="20" ht="14.25" customHeight="1">
      <c r="A20" s="857">
        <v>8.0</v>
      </c>
      <c r="B20" s="212" t="s">
        <v>100</v>
      </c>
      <c r="C20" s="212" t="s">
        <v>7776</v>
      </c>
      <c r="D20" s="212" t="s">
        <v>7723</v>
      </c>
      <c r="E20" s="212" t="s">
        <v>70</v>
      </c>
      <c r="F20" s="214">
        <v>1.54557E7</v>
      </c>
      <c r="G20" s="212" t="s">
        <v>1579</v>
      </c>
      <c r="H20" s="212">
        <v>2013.0</v>
      </c>
      <c r="I20" s="267" t="s">
        <v>7777</v>
      </c>
      <c r="J20" s="212" t="s">
        <v>7778</v>
      </c>
      <c r="K20" s="212" t="s">
        <v>7779</v>
      </c>
      <c r="L20" s="212" t="s">
        <v>7780</v>
      </c>
      <c r="M20" s="856" t="s">
        <v>7781</v>
      </c>
      <c r="N20" s="212" t="s">
        <v>7782</v>
      </c>
    </row>
    <row r="21" ht="14.25" customHeight="1">
      <c r="A21" s="142">
        <v>9.0</v>
      </c>
      <c r="B21" s="143" t="s">
        <v>100</v>
      </c>
      <c r="C21" s="143" t="s">
        <v>7783</v>
      </c>
      <c r="D21" s="143" t="s">
        <v>7723</v>
      </c>
      <c r="E21" s="143" t="s">
        <v>70</v>
      </c>
      <c r="F21" s="144">
        <v>1.375E7</v>
      </c>
      <c r="G21" s="143" t="s">
        <v>1579</v>
      </c>
      <c r="H21" s="143">
        <v>2014.0</v>
      </c>
      <c r="I21" s="157" t="s">
        <v>7784</v>
      </c>
      <c r="J21" s="143" t="s">
        <v>7785</v>
      </c>
      <c r="K21" s="143" t="s">
        <v>7786</v>
      </c>
      <c r="L21" s="143" t="s">
        <v>7787</v>
      </c>
      <c r="M21" s="851" t="s">
        <v>7788</v>
      </c>
      <c r="N21" s="145"/>
    </row>
    <row r="22" ht="14.25" customHeight="1">
      <c r="A22" s="136">
        <v>10.0</v>
      </c>
      <c r="B22" s="137" t="s">
        <v>100</v>
      </c>
      <c r="C22" s="137" t="s">
        <v>7789</v>
      </c>
      <c r="D22" s="137" t="s">
        <v>7723</v>
      </c>
      <c r="E22" s="137" t="s">
        <v>70</v>
      </c>
      <c r="F22" s="138">
        <v>1.69E7</v>
      </c>
      <c r="G22" s="137" t="s">
        <v>1260</v>
      </c>
      <c r="H22" s="137">
        <v>2020.0</v>
      </c>
      <c r="I22" s="140" t="s">
        <v>7790</v>
      </c>
      <c r="J22" s="137" t="s">
        <v>7791</v>
      </c>
      <c r="K22" s="137" t="s">
        <v>7792</v>
      </c>
      <c r="L22" s="137" t="s">
        <v>7793</v>
      </c>
      <c r="M22" s="851" t="s">
        <v>7794</v>
      </c>
      <c r="N22" s="147"/>
    </row>
    <row r="23" ht="14.25" customHeight="1">
      <c r="A23" s="142">
        <v>11.0</v>
      </c>
      <c r="B23" s="143" t="s">
        <v>100</v>
      </c>
      <c r="C23" s="143" t="s">
        <v>7795</v>
      </c>
      <c r="D23" s="143" t="s">
        <v>7723</v>
      </c>
      <c r="E23" s="143" t="s">
        <v>70</v>
      </c>
      <c r="F23" s="144">
        <v>1.62E7</v>
      </c>
      <c r="G23" s="143" t="s">
        <v>1260</v>
      </c>
      <c r="H23" s="143">
        <v>2020.0</v>
      </c>
      <c r="I23" s="140" t="s">
        <v>7796</v>
      </c>
      <c r="J23" s="143" t="s">
        <v>7797</v>
      </c>
      <c r="K23" s="143" t="s">
        <v>7798</v>
      </c>
      <c r="L23" s="143" t="s">
        <v>7799</v>
      </c>
      <c r="M23" s="851" t="s">
        <v>7800</v>
      </c>
      <c r="N23" s="145"/>
    </row>
    <row r="24" ht="14.25" customHeight="1">
      <c r="A24" s="136">
        <v>12.0</v>
      </c>
      <c r="B24" s="137" t="s">
        <v>100</v>
      </c>
      <c r="C24" s="137" t="s">
        <v>7682</v>
      </c>
      <c r="D24" s="137" t="s">
        <v>7723</v>
      </c>
      <c r="E24" s="137" t="s">
        <v>70</v>
      </c>
      <c r="F24" s="138">
        <v>3.23E7</v>
      </c>
      <c r="G24" s="137" t="s">
        <v>1579</v>
      </c>
      <c r="H24" s="137">
        <v>2021.0</v>
      </c>
      <c r="I24" s="140" t="s">
        <v>7801</v>
      </c>
      <c r="J24" s="137" t="s">
        <v>7802</v>
      </c>
      <c r="K24" s="137" t="s">
        <v>7803</v>
      </c>
      <c r="L24" s="137" t="s">
        <v>7804</v>
      </c>
      <c r="M24" s="851" t="s">
        <v>7805</v>
      </c>
      <c r="N24" s="147"/>
    </row>
    <row r="25" ht="14.25" customHeight="1">
      <c r="A25" s="142">
        <v>13.0</v>
      </c>
      <c r="B25" s="143" t="s">
        <v>100</v>
      </c>
      <c r="C25" s="143" t="s">
        <v>7806</v>
      </c>
      <c r="D25" s="143" t="s">
        <v>7723</v>
      </c>
      <c r="E25" s="143" t="s">
        <v>70</v>
      </c>
      <c r="F25" s="144">
        <v>2.7195E7</v>
      </c>
      <c r="G25" s="143" t="s">
        <v>1579</v>
      </c>
      <c r="H25" s="143">
        <v>2022.0</v>
      </c>
      <c r="I25" s="140" t="s">
        <v>7807</v>
      </c>
      <c r="J25" s="143" t="s">
        <v>7808</v>
      </c>
      <c r="K25" s="143" t="s">
        <v>7809</v>
      </c>
      <c r="L25" s="143" t="s">
        <v>7810</v>
      </c>
      <c r="M25" s="851" t="s">
        <v>7811</v>
      </c>
      <c r="N25" s="145"/>
    </row>
    <row r="26" ht="14.25" customHeight="1">
      <c r="A26" s="136">
        <v>14.0</v>
      </c>
      <c r="B26" s="137" t="s">
        <v>100</v>
      </c>
      <c r="C26" s="137" t="s">
        <v>7812</v>
      </c>
      <c r="D26" s="137" t="s">
        <v>7723</v>
      </c>
      <c r="E26" s="137" t="s">
        <v>70</v>
      </c>
      <c r="F26" s="138">
        <v>1.575E7</v>
      </c>
      <c r="G26" s="137" t="s">
        <v>1579</v>
      </c>
      <c r="H26" s="137">
        <v>2015.0</v>
      </c>
      <c r="I26" s="140" t="s">
        <v>7813</v>
      </c>
      <c r="J26" s="137" t="s">
        <v>7814</v>
      </c>
      <c r="K26" s="137" t="s">
        <v>7815</v>
      </c>
      <c r="L26" s="165" t="s">
        <v>7816</v>
      </c>
      <c r="M26" s="851" t="s">
        <v>7817</v>
      </c>
      <c r="N26" s="147"/>
    </row>
    <row r="27" ht="14.25" customHeight="1">
      <c r="A27" s="142">
        <v>15.0</v>
      </c>
      <c r="B27" s="143" t="s">
        <v>100</v>
      </c>
      <c r="C27" s="143" t="s">
        <v>7818</v>
      </c>
      <c r="D27" s="143" t="s">
        <v>7723</v>
      </c>
      <c r="E27" s="143" t="s">
        <v>70</v>
      </c>
      <c r="F27" s="144">
        <v>3.5E7</v>
      </c>
      <c r="G27" s="143" t="s">
        <v>1260</v>
      </c>
      <c r="H27" s="143">
        <v>2023.0</v>
      </c>
      <c r="I27" s="140" t="s">
        <v>7819</v>
      </c>
      <c r="J27" s="143" t="s">
        <v>7820</v>
      </c>
      <c r="K27" s="858" t="s">
        <v>7821</v>
      </c>
      <c r="L27" s="859" t="s">
        <v>7822</v>
      </c>
      <c r="M27" s="851" t="s">
        <v>7823</v>
      </c>
      <c r="N27" s="145"/>
    </row>
    <row r="28" ht="14.25" customHeight="1">
      <c r="A28" s="136">
        <v>16.0</v>
      </c>
      <c r="B28" s="137" t="s">
        <v>100</v>
      </c>
      <c r="C28" s="137" t="s">
        <v>7812</v>
      </c>
      <c r="D28" s="137" t="s">
        <v>7723</v>
      </c>
      <c r="E28" s="137" t="s">
        <v>70</v>
      </c>
      <c r="F28" s="138">
        <v>1.575E7</v>
      </c>
      <c r="G28" s="137" t="s">
        <v>1579</v>
      </c>
      <c r="H28" s="137">
        <v>2015.0</v>
      </c>
      <c r="I28" s="157" t="s">
        <v>7824</v>
      </c>
      <c r="J28" s="137" t="s">
        <v>7825</v>
      </c>
      <c r="K28" s="137" t="s">
        <v>7826</v>
      </c>
      <c r="L28" s="548" t="s">
        <v>7827</v>
      </c>
      <c r="M28" s="851" t="s">
        <v>7828</v>
      </c>
      <c r="N28" s="147"/>
    </row>
    <row r="29" ht="14.25" customHeight="1">
      <c r="A29" s="142">
        <v>17.0</v>
      </c>
      <c r="B29" s="143" t="s">
        <v>100</v>
      </c>
      <c r="C29" s="143" t="s">
        <v>7829</v>
      </c>
      <c r="D29" s="143" t="s">
        <v>7723</v>
      </c>
      <c r="E29" s="143" t="s">
        <v>70</v>
      </c>
      <c r="F29" s="144">
        <v>2.4835E7</v>
      </c>
      <c r="G29" s="143" t="s">
        <v>1579</v>
      </c>
      <c r="H29" s="143">
        <v>2024.0</v>
      </c>
      <c r="I29" s="860" t="s">
        <v>7830</v>
      </c>
      <c r="J29" s="143" t="s">
        <v>7831</v>
      </c>
      <c r="K29" s="143" t="s">
        <v>7832</v>
      </c>
      <c r="L29" s="143" t="s">
        <v>7833</v>
      </c>
      <c r="M29" s="851" t="s">
        <v>7834</v>
      </c>
      <c r="N29" s="145"/>
    </row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fitToHeight="0" orientation="portrait"/>
  <drawing r:id="rId1"/>
  <tableParts count="1">
    <tablePart r:id="rId3"/>
  </tableParts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4.43" defaultRowHeight="15.0"/>
  <cols>
    <col customWidth="1" min="1" max="1" width="5.29"/>
    <col customWidth="1" min="2" max="2" width="37.43"/>
    <col customWidth="1" min="3" max="3" width="33.71"/>
    <col customWidth="1" min="4" max="4" width="26.0"/>
    <col customWidth="1" min="5" max="5" width="12.0"/>
    <col customWidth="1" min="6" max="6" width="15.86"/>
    <col customWidth="1" min="7" max="7" width="31.43"/>
    <col customWidth="1" min="8" max="8" width="8.71"/>
    <col customWidth="1" min="9" max="9" width="26.71"/>
    <col customWidth="1" min="10" max="10" width="21.86"/>
    <col customWidth="1" min="11" max="11" width="22.57"/>
    <col customWidth="1" min="12" max="12" width="15.71"/>
    <col customWidth="1" min="13" max="13" width="25.86"/>
    <col customWidth="1" min="14" max="14" width="23.86"/>
    <col customWidth="1" min="15" max="26" width="8.71"/>
  </cols>
  <sheetData>
    <row r="1" ht="14.25" customHeight="1">
      <c r="A1" s="280"/>
    </row>
    <row r="2" ht="14.25" customHeight="1">
      <c r="A2" s="1" t="s">
        <v>0</v>
      </c>
    </row>
    <row r="3" ht="14.25" customHeight="1">
      <c r="A3" s="1" t="s">
        <v>1</v>
      </c>
    </row>
    <row r="4" ht="14.25" customHeight="1">
      <c r="A4" s="280"/>
    </row>
    <row r="5" ht="14.25" customHeight="1">
      <c r="A5" s="861" t="s">
        <v>2</v>
      </c>
      <c r="C5" s="2" t="s">
        <v>3</v>
      </c>
    </row>
    <row r="6" ht="14.25" customHeight="1">
      <c r="A6" s="861" t="s">
        <v>4</v>
      </c>
      <c r="C6" s="2" t="s">
        <v>5</v>
      </c>
    </row>
    <row r="7" ht="14.25" customHeight="1">
      <c r="A7" s="861" t="s">
        <v>6</v>
      </c>
      <c r="C7" s="2" t="s">
        <v>7835</v>
      </c>
    </row>
    <row r="8" ht="14.25" customHeight="1">
      <c r="A8" s="861"/>
      <c r="B8" s="861"/>
      <c r="C8" s="2"/>
    </row>
    <row r="9" ht="14.25" customHeight="1">
      <c r="A9" s="169" t="s">
        <v>8</v>
      </c>
      <c r="B9" s="170" t="s">
        <v>9</v>
      </c>
      <c r="C9" s="170" t="s">
        <v>10</v>
      </c>
      <c r="D9" s="170" t="s">
        <v>11</v>
      </c>
      <c r="E9" s="170" t="s">
        <v>12</v>
      </c>
      <c r="F9" s="170" t="s">
        <v>13</v>
      </c>
      <c r="G9" s="170" t="s">
        <v>14</v>
      </c>
      <c r="H9" s="170" t="s">
        <v>15</v>
      </c>
      <c r="I9" s="170" t="s">
        <v>16</v>
      </c>
      <c r="J9" s="170" t="s">
        <v>17</v>
      </c>
      <c r="K9" s="170" t="s">
        <v>7836</v>
      </c>
      <c r="L9" s="170" t="s">
        <v>1882</v>
      </c>
      <c r="M9" s="171" t="s">
        <v>20</v>
      </c>
      <c r="N9" s="170" t="s">
        <v>1883</v>
      </c>
    </row>
    <row r="10" ht="14.25" customHeight="1">
      <c r="A10" s="862"/>
      <c r="B10" s="173" t="s">
        <v>23</v>
      </c>
      <c r="C10" s="173"/>
      <c r="D10" s="173"/>
      <c r="E10" s="173"/>
      <c r="F10" s="174">
        <f>SUM(F13)</f>
        <v>0</v>
      </c>
      <c r="G10" s="173"/>
      <c r="H10" s="173"/>
      <c r="I10" s="173"/>
      <c r="J10" s="173"/>
      <c r="K10" s="173"/>
      <c r="L10" s="173"/>
      <c r="M10" s="380"/>
      <c r="N10" s="676"/>
    </row>
    <row r="11" ht="14.25" customHeight="1">
      <c r="A11" s="863">
        <v>1.0</v>
      </c>
      <c r="B11" s="263" t="s">
        <v>779</v>
      </c>
      <c r="C11" s="263" t="s">
        <v>7837</v>
      </c>
      <c r="D11" s="263" t="s">
        <v>7838</v>
      </c>
      <c r="E11" s="263" t="s">
        <v>70</v>
      </c>
      <c r="F11" s="177">
        <v>2.070494E8</v>
      </c>
      <c r="G11" s="263" t="s">
        <v>7837</v>
      </c>
      <c r="H11" s="263" t="s">
        <v>44</v>
      </c>
      <c r="I11" s="712" t="s">
        <v>7839</v>
      </c>
      <c r="J11" s="439" t="s">
        <v>7840</v>
      </c>
      <c r="K11" s="439" t="s">
        <v>7841</v>
      </c>
      <c r="L11" s="439" t="s">
        <v>7842</v>
      </c>
      <c r="M11" s="709" t="s">
        <v>7843</v>
      </c>
      <c r="N11" s="263" t="s">
        <v>7844</v>
      </c>
    </row>
    <row r="12" ht="14.25" customHeight="1">
      <c r="A12" s="863">
        <v>2.0</v>
      </c>
      <c r="B12" s="263" t="s">
        <v>779</v>
      </c>
      <c r="C12" s="263" t="s">
        <v>7579</v>
      </c>
      <c r="D12" s="263" t="s">
        <v>7838</v>
      </c>
      <c r="E12" s="263" t="s">
        <v>70</v>
      </c>
      <c r="F12" s="177">
        <v>2.6E8</v>
      </c>
      <c r="G12" s="263" t="s">
        <v>7579</v>
      </c>
      <c r="H12" s="263" t="s">
        <v>78</v>
      </c>
      <c r="I12" s="712" t="s">
        <v>7845</v>
      </c>
      <c r="J12" s="439" t="s">
        <v>7846</v>
      </c>
      <c r="K12" s="439" t="s">
        <v>7847</v>
      </c>
      <c r="L12" s="439" t="s">
        <v>7848</v>
      </c>
      <c r="M12" s="709"/>
      <c r="N12" s="263" t="s">
        <v>7585</v>
      </c>
    </row>
    <row r="13" ht="14.25" customHeight="1">
      <c r="A13" s="863"/>
      <c r="B13" s="263"/>
      <c r="C13" s="263"/>
      <c r="D13" s="263"/>
      <c r="E13" s="263"/>
      <c r="F13" s="177"/>
      <c r="G13" s="263"/>
      <c r="H13" s="263"/>
      <c r="I13" s="263"/>
      <c r="J13" s="263"/>
      <c r="K13" s="263"/>
      <c r="L13" s="263"/>
      <c r="M13" s="709"/>
      <c r="N13" s="263" t="s">
        <v>7849</v>
      </c>
    </row>
    <row r="14" ht="14.25" customHeight="1">
      <c r="A14" s="862"/>
      <c r="B14" s="173" t="s">
        <v>99</v>
      </c>
      <c r="C14" s="173"/>
      <c r="D14" s="173"/>
      <c r="E14" s="173"/>
      <c r="F14" s="174">
        <f>SUM(F15:F78)</f>
        <v>405140400</v>
      </c>
      <c r="G14" s="173"/>
      <c r="H14" s="173"/>
      <c r="I14" s="173"/>
      <c r="J14" s="173"/>
      <c r="K14" s="173"/>
      <c r="L14" s="173"/>
      <c r="M14" s="380"/>
      <c r="N14" s="380"/>
    </row>
    <row r="15" ht="14.25" customHeight="1">
      <c r="A15" s="863">
        <v>1.0</v>
      </c>
      <c r="B15" s="263" t="s">
        <v>100</v>
      </c>
      <c r="C15" s="263"/>
      <c r="D15" s="263" t="s">
        <v>7838</v>
      </c>
      <c r="E15" s="263" t="s">
        <v>27</v>
      </c>
      <c r="F15" s="177">
        <v>5500000.0</v>
      </c>
      <c r="G15" s="263" t="s">
        <v>144</v>
      </c>
      <c r="H15" s="263" t="s">
        <v>782</v>
      </c>
      <c r="I15" s="864" t="s">
        <v>7850</v>
      </c>
      <c r="J15" s="263" t="s">
        <v>7851</v>
      </c>
      <c r="K15" s="263" t="s">
        <v>7852</v>
      </c>
      <c r="L15" s="439" t="s">
        <v>7853</v>
      </c>
      <c r="M15" s="709"/>
      <c r="N15" s="709" t="s">
        <v>7854</v>
      </c>
    </row>
    <row r="16" ht="14.25" customHeight="1">
      <c r="A16" s="863">
        <v>2.0</v>
      </c>
      <c r="B16" s="263" t="s">
        <v>100</v>
      </c>
      <c r="C16" s="263"/>
      <c r="D16" s="263" t="s">
        <v>7838</v>
      </c>
      <c r="E16" s="263" t="s">
        <v>27</v>
      </c>
      <c r="F16" s="177">
        <v>6500000.0</v>
      </c>
      <c r="G16" s="263" t="s">
        <v>144</v>
      </c>
      <c r="H16" s="263" t="s">
        <v>924</v>
      </c>
      <c r="I16" s="263" t="s">
        <v>7855</v>
      </c>
      <c r="J16" s="263" t="s">
        <v>7856</v>
      </c>
      <c r="K16" s="263" t="s">
        <v>7857</v>
      </c>
      <c r="L16" s="263"/>
      <c r="M16" s="709"/>
      <c r="N16" s="263" t="s">
        <v>7854</v>
      </c>
    </row>
    <row r="17" ht="14.25" customHeight="1">
      <c r="A17" s="863">
        <v>3.0</v>
      </c>
      <c r="B17" s="263" t="s">
        <v>100</v>
      </c>
      <c r="C17" s="263"/>
      <c r="D17" s="263" t="s">
        <v>7838</v>
      </c>
      <c r="E17" s="263" t="s">
        <v>27</v>
      </c>
      <c r="F17" s="177">
        <v>6000000.0</v>
      </c>
      <c r="G17" s="263" t="s">
        <v>144</v>
      </c>
      <c r="H17" s="263" t="s">
        <v>924</v>
      </c>
      <c r="I17" s="864" t="s">
        <v>7858</v>
      </c>
      <c r="J17" s="263" t="s">
        <v>7859</v>
      </c>
      <c r="K17" s="263" t="s">
        <v>7860</v>
      </c>
      <c r="L17" s="439" t="s">
        <v>7861</v>
      </c>
      <c r="M17" s="709"/>
      <c r="N17" s="263" t="s">
        <v>7862</v>
      </c>
    </row>
    <row r="18" ht="14.25" customHeight="1">
      <c r="A18" s="863"/>
      <c r="B18" s="263"/>
      <c r="C18" s="263"/>
      <c r="D18" s="263"/>
      <c r="E18" s="263"/>
      <c r="F18" s="177"/>
      <c r="G18" s="263"/>
      <c r="H18" s="263"/>
      <c r="I18" s="263"/>
      <c r="J18" s="263"/>
      <c r="K18" s="263"/>
      <c r="L18" s="263"/>
      <c r="M18" s="709"/>
      <c r="N18" s="263" t="s">
        <v>7854</v>
      </c>
    </row>
    <row r="19" ht="14.25" customHeight="1">
      <c r="A19" s="863">
        <v>4.0</v>
      </c>
      <c r="B19" s="263" t="s">
        <v>100</v>
      </c>
      <c r="C19" s="263"/>
      <c r="D19" s="263" t="s">
        <v>7838</v>
      </c>
      <c r="E19" s="263" t="s">
        <v>27</v>
      </c>
      <c r="F19" s="177">
        <v>6000000.0</v>
      </c>
      <c r="G19" s="263" t="s">
        <v>144</v>
      </c>
      <c r="H19" s="263" t="s">
        <v>924</v>
      </c>
      <c r="I19" s="864" t="s">
        <v>7863</v>
      </c>
      <c r="J19" s="439" t="s">
        <v>7864</v>
      </c>
      <c r="K19" s="439" t="s">
        <v>7865</v>
      </c>
      <c r="L19" s="439" t="s">
        <v>7866</v>
      </c>
      <c r="M19" s="709"/>
      <c r="N19" s="263" t="s">
        <v>7867</v>
      </c>
    </row>
    <row r="20" ht="14.25" customHeight="1">
      <c r="A20" s="863"/>
      <c r="B20" s="263"/>
      <c r="C20" s="263"/>
      <c r="D20" s="263"/>
      <c r="E20" s="263"/>
      <c r="F20" s="177"/>
      <c r="G20" s="263"/>
      <c r="H20" s="263"/>
      <c r="I20" s="263"/>
      <c r="J20" s="263"/>
      <c r="K20" s="263"/>
      <c r="L20" s="263"/>
      <c r="M20" s="709"/>
      <c r="N20" s="263" t="s">
        <v>7868</v>
      </c>
    </row>
    <row r="21" ht="14.25" customHeight="1">
      <c r="A21" s="863">
        <v>5.0</v>
      </c>
      <c r="B21" s="263" t="s">
        <v>100</v>
      </c>
      <c r="C21" s="263"/>
      <c r="D21" s="263" t="s">
        <v>7838</v>
      </c>
      <c r="E21" s="263" t="s">
        <v>27</v>
      </c>
      <c r="F21" s="177">
        <v>6000000.0</v>
      </c>
      <c r="G21" s="263" t="s">
        <v>144</v>
      </c>
      <c r="H21" s="263" t="s">
        <v>924</v>
      </c>
      <c r="I21" s="864" t="s">
        <v>7869</v>
      </c>
      <c r="J21" s="439" t="s">
        <v>7870</v>
      </c>
      <c r="K21" s="439" t="s">
        <v>7871</v>
      </c>
      <c r="L21" s="439" t="s">
        <v>7872</v>
      </c>
      <c r="M21" s="709"/>
      <c r="N21" s="263" t="s">
        <v>7873</v>
      </c>
    </row>
    <row r="22" ht="14.25" customHeight="1">
      <c r="A22" s="863"/>
      <c r="B22" s="263"/>
      <c r="C22" s="263"/>
      <c r="D22" s="263"/>
      <c r="E22" s="263"/>
      <c r="F22" s="177"/>
      <c r="G22" s="263"/>
      <c r="H22" s="263"/>
      <c r="I22" s="263"/>
      <c r="J22" s="263"/>
      <c r="K22" s="263"/>
      <c r="L22" s="263"/>
      <c r="M22" s="709"/>
      <c r="N22" s="263" t="s">
        <v>7874</v>
      </c>
    </row>
    <row r="23" ht="14.25" customHeight="1">
      <c r="A23" s="863">
        <v>6.0</v>
      </c>
      <c r="B23" s="263" t="s">
        <v>100</v>
      </c>
      <c r="C23" s="263"/>
      <c r="D23" s="263" t="s">
        <v>7838</v>
      </c>
      <c r="E23" s="263" t="s">
        <v>27</v>
      </c>
      <c r="F23" s="177">
        <v>6000000.0</v>
      </c>
      <c r="G23" s="263" t="s">
        <v>144</v>
      </c>
      <c r="H23" s="263" t="s">
        <v>924</v>
      </c>
      <c r="I23" s="864" t="s">
        <v>7875</v>
      </c>
      <c r="J23" s="439" t="s">
        <v>7876</v>
      </c>
      <c r="K23" s="439" t="s">
        <v>7877</v>
      </c>
      <c r="L23" s="439" t="s">
        <v>7878</v>
      </c>
      <c r="M23" s="709"/>
      <c r="N23" s="263" t="s">
        <v>7879</v>
      </c>
    </row>
    <row r="24" ht="14.25" customHeight="1">
      <c r="A24" s="863"/>
      <c r="B24" s="263"/>
      <c r="C24" s="263"/>
      <c r="D24" s="263"/>
      <c r="E24" s="263"/>
      <c r="F24" s="177"/>
      <c r="G24" s="263"/>
      <c r="H24" s="263"/>
      <c r="I24" s="263"/>
      <c r="J24" s="263"/>
      <c r="K24" s="263"/>
      <c r="L24" s="263"/>
      <c r="M24" s="709"/>
      <c r="N24" s="263" t="s">
        <v>7880</v>
      </c>
    </row>
    <row r="25" ht="14.25" customHeight="1">
      <c r="A25" s="863">
        <v>7.0</v>
      </c>
      <c r="B25" s="263" t="s">
        <v>100</v>
      </c>
      <c r="C25" s="263"/>
      <c r="D25" s="263" t="s">
        <v>7838</v>
      </c>
      <c r="E25" s="263" t="s">
        <v>27</v>
      </c>
      <c r="F25" s="177">
        <v>6000000.0</v>
      </c>
      <c r="G25" s="263" t="s">
        <v>144</v>
      </c>
      <c r="H25" s="263" t="s">
        <v>924</v>
      </c>
      <c r="I25" s="864" t="s">
        <v>7881</v>
      </c>
      <c r="J25" s="439" t="s">
        <v>7882</v>
      </c>
      <c r="K25" s="439" t="s">
        <v>7883</v>
      </c>
      <c r="L25" s="439" t="s">
        <v>7884</v>
      </c>
      <c r="M25" s="709"/>
      <c r="N25" s="263" t="s">
        <v>7885</v>
      </c>
    </row>
    <row r="26" ht="14.25" customHeight="1">
      <c r="A26" s="863"/>
      <c r="B26" s="263"/>
      <c r="C26" s="263"/>
      <c r="D26" s="263"/>
      <c r="E26" s="263"/>
      <c r="F26" s="177"/>
      <c r="G26" s="263"/>
      <c r="H26" s="263"/>
      <c r="I26" s="263"/>
      <c r="J26" s="263"/>
      <c r="K26" s="263"/>
      <c r="L26" s="263"/>
      <c r="M26" s="709"/>
      <c r="N26" s="263" t="s">
        <v>7886</v>
      </c>
    </row>
    <row r="27" ht="14.25" customHeight="1">
      <c r="A27" s="863">
        <v>8.0</v>
      </c>
      <c r="B27" s="263" t="s">
        <v>100</v>
      </c>
      <c r="C27" s="263"/>
      <c r="D27" s="263" t="s">
        <v>7838</v>
      </c>
      <c r="E27" s="263" t="s">
        <v>27</v>
      </c>
      <c r="F27" s="177">
        <v>6000000.0</v>
      </c>
      <c r="G27" s="263" t="s">
        <v>144</v>
      </c>
      <c r="H27" s="263" t="s">
        <v>924</v>
      </c>
      <c r="I27" s="864" t="s">
        <v>7887</v>
      </c>
      <c r="J27" s="439" t="s">
        <v>7888</v>
      </c>
      <c r="K27" s="439" t="s">
        <v>7889</v>
      </c>
      <c r="L27" s="439" t="s">
        <v>7890</v>
      </c>
      <c r="M27" s="709"/>
      <c r="N27" s="263" t="s">
        <v>7891</v>
      </c>
    </row>
    <row r="28" ht="14.25" customHeight="1">
      <c r="A28" s="863"/>
      <c r="B28" s="263"/>
      <c r="C28" s="263"/>
      <c r="D28" s="263"/>
      <c r="E28" s="263"/>
      <c r="F28" s="177"/>
      <c r="G28" s="263"/>
      <c r="H28" s="263"/>
      <c r="I28" s="263"/>
      <c r="J28" s="263"/>
      <c r="K28" s="263"/>
      <c r="L28" s="263"/>
      <c r="M28" s="709"/>
      <c r="N28" s="263" t="s">
        <v>7892</v>
      </c>
    </row>
    <row r="29" ht="14.25" customHeight="1">
      <c r="A29" s="863">
        <v>9.0</v>
      </c>
      <c r="B29" s="263" t="s">
        <v>100</v>
      </c>
      <c r="C29" s="263"/>
      <c r="D29" s="263" t="s">
        <v>7838</v>
      </c>
      <c r="E29" s="263" t="s">
        <v>27</v>
      </c>
      <c r="F29" s="177">
        <v>6000000.0</v>
      </c>
      <c r="G29" s="263" t="s">
        <v>144</v>
      </c>
      <c r="H29" s="263" t="s">
        <v>924</v>
      </c>
      <c r="I29" s="864" t="s">
        <v>7893</v>
      </c>
      <c r="J29" s="439" t="s">
        <v>7894</v>
      </c>
      <c r="K29" s="439" t="s">
        <v>7895</v>
      </c>
      <c r="L29" s="439" t="s">
        <v>7896</v>
      </c>
      <c r="M29" s="709"/>
      <c r="N29" s="263" t="s">
        <v>7897</v>
      </c>
    </row>
    <row r="30" ht="14.25" customHeight="1">
      <c r="A30" s="863"/>
      <c r="B30" s="263"/>
      <c r="C30" s="263"/>
      <c r="D30" s="263"/>
      <c r="E30" s="263"/>
      <c r="F30" s="177"/>
      <c r="G30" s="263"/>
      <c r="H30" s="263"/>
      <c r="I30" s="263"/>
      <c r="J30" s="263"/>
      <c r="K30" s="263"/>
      <c r="L30" s="263"/>
      <c r="M30" s="709"/>
      <c r="N30" s="263" t="s">
        <v>7898</v>
      </c>
    </row>
    <row r="31" ht="14.25" customHeight="1">
      <c r="A31" s="863">
        <v>10.0</v>
      </c>
      <c r="B31" s="263" t="s">
        <v>100</v>
      </c>
      <c r="C31" s="263"/>
      <c r="D31" s="263" t="s">
        <v>7838</v>
      </c>
      <c r="E31" s="263" t="s">
        <v>27</v>
      </c>
      <c r="F31" s="177">
        <v>6000000.0</v>
      </c>
      <c r="G31" s="263" t="s">
        <v>144</v>
      </c>
      <c r="H31" s="263" t="s">
        <v>924</v>
      </c>
      <c r="I31" s="864" t="s">
        <v>7899</v>
      </c>
      <c r="J31" s="439" t="s">
        <v>7900</v>
      </c>
      <c r="K31" s="439" t="s">
        <v>7901</v>
      </c>
      <c r="L31" s="439" t="s">
        <v>7902</v>
      </c>
      <c r="M31" s="709"/>
      <c r="N31" s="263" t="s">
        <v>7903</v>
      </c>
    </row>
    <row r="32" ht="14.25" customHeight="1">
      <c r="A32" s="863"/>
      <c r="B32" s="263"/>
      <c r="C32" s="263"/>
      <c r="D32" s="263"/>
      <c r="E32" s="263"/>
      <c r="F32" s="177"/>
      <c r="G32" s="263"/>
      <c r="H32" s="263"/>
      <c r="I32" s="263"/>
      <c r="J32" s="263"/>
      <c r="K32" s="263"/>
      <c r="L32" s="263"/>
      <c r="M32" s="709"/>
      <c r="N32" s="263" t="s">
        <v>7904</v>
      </c>
    </row>
    <row r="33" ht="14.25" customHeight="1">
      <c r="A33" s="863">
        <v>11.0</v>
      </c>
      <c r="B33" s="263" t="s">
        <v>100</v>
      </c>
      <c r="C33" s="263"/>
      <c r="D33" s="263" t="s">
        <v>7838</v>
      </c>
      <c r="E33" s="263" t="s">
        <v>27</v>
      </c>
      <c r="F33" s="177">
        <v>6000000.0</v>
      </c>
      <c r="G33" s="263" t="s">
        <v>144</v>
      </c>
      <c r="H33" s="263" t="s">
        <v>924</v>
      </c>
      <c r="I33" s="864" t="s">
        <v>7905</v>
      </c>
      <c r="J33" s="263" t="s">
        <v>7906</v>
      </c>
      <c r="K33" s="263" t="s">
        <v>7907</v>
      </c>
      <c r="L33" s="439" t="s">
        <v>7908</v>
      </c>
      <c r="M33" s="709"/>
      <c r="N33" s="263" t="s">
        <v>7909</v>
      </c>
      <c r="P33" s="865"/>
    </row>
    <row r="34" ht="14.25" customHeight="1">
      <c r="A34" s="863"/>
      <c r="B34" s="263"/>
      <c r="C34" s="263"/>
      <c r="D34" s="263"/>
      <c r="E34" s="263"/>
      <c r="F34" s="177"/>
      <c r="G34" s="263"/>
      <c r="H34" s="263"/>
      <c r="I34" s="263"/>
      <c r="J34" s="263"/>
      <c r="K34" s="263"/>
      <c r="L34" s="263"/>
      <c r="M34" s="709"/>
      <c r="N34" s="263" t="s">
        <v>7910</v>
      </c>
    </row>
    <row r="35" ht="15.75" customHeight="1">
      <c r="A35" s="863">
        <v>12.0</v>
      </c>
      <c r="B35" s="263" t="s">
        <v>100</v>
      </c>
      <c r="C35" s="263"/>
      <c r="D35" s="263" t="s">
        <v>7838</v>
      </c>
      <c r="E35" s="263" t="s">
        <v>27</v>
      </c>
      <c r="F35" s="177">
        <v>6000000.0</v>
      </c>
      <c r="G35" s="263" t="s">
        <v>144</v>
      </c>
      <c r="H35" s="263" t="s">
        <v>924</v>
      </c>
      <c r="I35" s="864" t="s">
        <v>7911</v>
      </c>
      <c r="J35" s="263" t="s">
        <v>7912</v>
      </c>
      <c r="K35" s="866" t="s">
        <v>7913</v>
      </c>
      <c r="L35" s="867" t="s">
        <v>7914</v>
      </c>
      <c r="M35" s="709"/>
      <c r="N35" s="263" t="s">
        <v>7915</v>
      </c>
    </row>
    <row r="36" ht="15.75" customHeight="1">
      <c r="A36" s="863"/>
      <c r="B36" s="263"/>
      <c r="C36" s="263"/>
      <c r="D36" s="263"/>
      <c r="E36" s="263"/>
      <c r="F36" s="177"/>
      <c r="G36" s="263"/>
      <c r="H36" s="263"/>
      <c r="I36" s="263"/>
      <c r="J36" s="263"/>
      <c r="K36" s="263"/>
      <c r="L36" s="263"/>
      <c r="M36" s="709"/>
      <c r="N36" s="263" t="s">
        <v>7854</v>
      </c>
      <c r="P36" s="865"/>
    </row>
    <row r="37" ht="14.25" customHeight="1">
      <c r="A37" s="863">
        <v>13.0</v>
      </c>
      <c r="B37" s="263" t="s">
        <v>100</v>
      </c>
      <c r="C37" s="263"/>
      <c r="D37" s="263" t="s">
        <v>7838</v>
      </c>
      <c r="E37" s="263" t="s">
        <v>27</v>
      </c>
      <c r="F37" s="177">
        <v>6000000.0</v>
      </c>
      <c r="G37" s="263" t="s">
        <v>144</v>
      </c>
      <c r="H37" s="263" t="s">
        <v>924</v>
      </c>
      <c r="I37" s="864" t="s">
        <v>7916</v>
      </c>
      <c r="J37" s="263" t="s">
        <v>7917</v>
      </c>
      <c r="K37" s="263" t="s">
        <v>7918</v>
      </c>
      <c r="L37" s="439" t="s">
        <v>7919</v>
      </c>
      <c r="M37" s="709"/>
      <c r="N37" s="263" t="s">
        <v>7920</v>
      </c>
    </row>
    <row r="38" ht="14.25" customHeight="1">
      <c r="A38" s="863"/>
      <c r="B38" s="263"/>
      <c r="C38" s="263"/>
      <c r="D38" s="263"/>
      <c r="E38" s="263"/>
      <c r="F38" s="177"/>
      <c r="G38" s="263"/>
      <c r="H38" s="263"/>
      <c r="I38" s="263"/>
      <c r="J38" s="263"/>
      <c r="K38" s="263"/>
      <c r="L38" s="263"/>
      <c r="M38" s="709"/>
      <c r="N38" s="263" t="s">
        <v>7921</v>
      </c>
    </row>
    <row r="39" ht="14.25" customHeight="1">
      <c r="A39" s="863">
        <v>14.0</v>
      </c>
      <c r="B39" s="263" t="s">
        <v>100</v>
      </c>
      <c r="C39" s="263"/>
      <c r="D39" s="263" t="s">
        <v>7838</v>
      </c>
      <c r="E39" s="263" t="s">
        <v>27</v>
      </c>
      <c r="F39" s="177">
        <v>6000000.0</v>
      </c>
      <c r="G39" s="263" t="s">
        <v>144</v>
      </c>
      <c r="H39" s="263" t="s">
        <v>924</v>
      </c>
      <c r="I39" s="864" t="s">
        <v>7922</v>
      </c>
      <c r="J39" s="263" t="s">
        <v>7923</v>
      </c>
      <c r="K39" s="263" t="s">
        <v>7924</v>
      </c>
      <c r="L39" s="439" t="s">
        <v>7925</v>
      </c>
      <c r="M39" s="709"/>
      <c r="N39" s="263" t="s">
        <v>7926</v>
      </c>
    </row>
    <row r="40" ht="14.25" customHeight="1">
      <c r="A40" s="863"/>
      <c r="B40" s="263"/>
      <c r="C40" s="263"/>
      <c r="D40" s="263"/>
      <c r="E40" s="263"/>
      <c r="F40" s="177"/>
      <c r="G40" s="263"/>
      <c r="H40" s="263"/>
      <c r="I40" s="263"/>
      <c r="J40" s="263"/>
      <c r="K40" s="263"/>
      <c r="L40" s="263"/>
      <c r="M40" s="709"/>
      <c r="N40" s="263" t="s">
        <v>7927</v>
      </c>
    </row>
    <row r="41" ht="14.25" customHeight="1">
      <c r="A41" s="863">
        <v>15.0</v>
      </c>
      <c r="B41" s="263" t="s">
        <v>100</v>
      </c>
      <c r="C41" s="263"/>
      <c r="D41" s="263" t="s">
        <v>7838</v>
      </c>
      <c r="E41" s="263" t="s">
        <v>27</v>
      </c>
      <c r="F41" s="177">
        <v>6000000.0</v>
      </c>
      <c r="G41" s="263" t="s">
        <v>144</v>
      </c>
      <c r="H41" s="263" t="s">
        <v>924</v>
      </c>
      <c r="I41" s="864" t="s">
        <v>7928</v>
      </c>
      <c r="J41" s="263" t="s">
        <v>7929</v>
      </c>
      <c r="K41" s="263" t="s">
        <v>7930</v>
      </c>
      <c r="L41" s="439" t="s">
        <v>7931</v>
      </c>
      <c r="M41" s="709"/>
      <c r="N41" s="263" t="s">
        <v>7932</v>
      </c>
    </row>
    <row r="42" ht="14.25" customHeight="1">
      <c r="A42" s="863"/>
      <c r="B42" s="263"/>
      <c r="C42" s="263"/>
      <c r="D42" s="263"/>
      <c r="E42" s="263"/>
      <c r="F42" s="177"/>
      <c r="G42" s="263"/>
      <c r="H42" s="263"/>
      <c r="I42" s="263"/>
      <c r="J42" s="263"/>
      <c r="K42" s="263"/>
      <c r="L42" s="263"/>
      <c r="M42" s="709"/>
      <c r="N42" s="263" t="s">
        <v>7933</v>
      </c>
    </row>
    <row r="43" ht="14.25" customHeight="1">
      <c r="A43" s="863">
        <v>16.0</v>
      </c>
      <c r="B43" s="263" t="s">
        <v>100</v>
      </c>
      <c r="C43" s="263"/>
      <c r="D43" s="263" t="s">
        <v>7838</v>
      </c>
      <c r="E43" s="263" t="s">
        <v>27</v>
      </c>
      <c r="F43" s="177">
        <v>6000000.0</v>
      </c>
      <c r="G43" s="263" t="s">
        <v>144</v>
      </c>
      <c r="H43" s="263" t="s">
        <v>924</v>
      </c>
      <c r="I43" s="864" t="s">
        <v>7934</v>
      </c>
      <c r="J43" s="263" t="s">
        <v>7935</v>
      </c>
      <c r="K43" s="263" t="s">
        <v>7936</v>
      </c>
      <c r="L43" s="439" t="s">
        <v>7937</v>
      </c>
      <c r="M43" s="709"/>
      <c r="N43" s="263" t="s">
        <v>7938</v>
      </c>
    </row>
    <row r="44" ht="14.25" customHeight="1">
      <c r="A44" s="863"/>
      <c r="B44" s="263"/>
      <c r="C44" s="263"/>
      <c r="D44" s="263"/>
      <c r="E44" s="263"/>
      <c r="F44" s="177"/>
      <c r="G44" s="263"/>
      <c r="H44" s="263"/>
      <c r="I44" s="263"/>
      <c r="J44" s="263"/>
      <c r="K44" s="263"/>
      <c r="L44" s="263"/>
      <c r="M44" s="709"/>
      <c r="N44" s="263" t="s">
        <v>7939</v>
      </c>
    </row>
    <row r="45" ht="14.25" customHeight="1">
      <c r="A45" s="863">
        <v>17.0</v>
      </c>
      <c r="B45" s="263" t="s">
        <v>100</v>
      </c>
      <c r="C45" s="263"/>
      <c r="D45" s="263" t="s">
        <v>7838</v>
      </c>
      <c r="E45" s="263" t="s">
        <v>27</v>
      </c>
      <c r="F45" s="177">
        <v>6000000.0</v>
      </c>
      <c r="G45" s="263" t="s">
        <v>1579</v>
      </c>
      <c r="H45" s="263" t="s">
        <v>924</v>
      </c>
      <c r="I45" s="864" t="s">
        <v>7940</v>
      </c>
      <c r="J45" s="263" t="s">
        <v>7941</v>
      </c>
      <c r="K45" s="263" t="s">
        <v>7942</v>
      </c>
      <c r="L45" s="439" t="s">
        <v>7943</v>
      </c>
      <c r="M45" s="709"/>
      <c r="N45" s="263" t="s">
        <v>7944</v>
      </c>
    </row>
    <row r="46" ht="14.25" customHeight="1">
      <c r="A46" s="863"/>
      <c r="B46" s="263"/>
      <c r="C46" s="263"/>
      <c r="D46" s="263"/>
      <c r="E46" s="263"/>
      <c r="F46" s="177"/>
      <c r="G46" s="263"/>
      <c r="H46" s="263"/>
      <c r="I46" s="263"/>
      <c r="J46" s="263"/>
      <c r="K46" s="263"/>
      <c r="L46" s="263"/>
      <c r="M46" s="709"/>
      <c r="N46" s="263" t="s">
        <v>7945</v>
      </c>
    </row>
    <row r="47" ht="14.25" customHeight="1">
      <c r="A47" s="863">
        <v>18.0</v>
      </c>
      <c r="B47" s="263" t="s">
        <v>100</v>
      </c>
      <c r="C47" s="263"/>
      <c r="D47" s="263" t="s">
        <v>7838</v>
      </c>
      <c r="E47" s="263" t="s">
        <v>42</v>
      </c>
      <c r="F47" s="177">
        <v>9000000.0</v>
      </c>
      <c r="G47" s="263" t="s">
        <v>163</v>
      </c>
      <c r="H47" s="263" t="s">
        <v>948</v>
      </c>
      <c r="I47" s="864" t="s">
        <v>7946</v>
      </c>
      <c r="J47" s="263" t="s">
        <v>7947</v>
      </c>
      <c r="K47" s="263" t="s">
        <v>7948</v>
      </c>
      <c r="L47" s="439" t="s">
        <v>7949</v>
      </c>
      <c r="M47" s="709"/>
      <c r="N47" s="263" t="s">
        <v>7950</v>
      </c>
    </row>
    <row r="48" ht="14.25" customHeight="1">
      <c r="A48" s="863"/>
      <c r="B48" s="263"/>
      <c r="C48" s="263"/>
      <c r="D48" s="263"/>
      <c r="E48" s="263"/>
      <c r="F48" s="177"/>
      <c r="G48" s="263"/>
      <c r="H48" s="263"/>
      <c r="I48" s="263"/>
      <c r="J48" s="263"/>
      <c r="K48" s="263"/>
      <c r="L48" s="263"/>
      <c r="M48" s="709"/>
      <c r="N48" s="263" t="s">
        <v>7951</v>
      </c>
    </row>
    <row r="49" ht="14.25" customHeight="1">
      <c r="A49" s="863">
        <v>19.0</v>
      </c>
      <c r="B49" s="263" t="s">
        <v>100</v>
      </c>
      <c r="C49" s="263"/>
      <c r="D49" s="263" t="s">
        <v>7838</v>
      </c>
      <c r="E49" s="263" t="s">
        <v>42</v>
      </c>
      <c r="F49" s="177">
        <v>1.7775E7</v>
      </c>
      <c r="G49" s="263" t="s">
        <v>7952</v>
      </c>
      <c r="H49" s="263" t="s">
        <v>391</v>
      </c>
      <c r="I49" s="263" t="s">
        <v>7953</v>
      </c>
      <c r="J49" s="263" t="s">
        <v>7954</v>
      </c>
      <c r="K49" s="263" t="s">
        <v>7955</v>
      </c>
      <c r="L49" s="263"/>
      <c r="M49" s="709"/>
      <c r="N49" s="263" t="s">
        <v>7956</v>
      </c>
    </row>
    <row r="50" ht="14.25" customHeight="1">
      <c r="A50" s="863"/>
      <c r="B50" s="263"/>
      <c r="C50" s="263"/>
      <c r="D50" s="263"/>
      <c r="E50" s="263"/>
      <c r="F50" s="177"/>
      <c r="G50" s="263"/>
      <c r="H50" s="263"/>
      <c r="I50" s="263"/>
      <c r="J50" s="263"/>
      <c r="K50" s="263"/>
      <c r="L50" s="263"/>
      <c r="M50" s="709"/>
      <c r="N50" s="263" t="s">
        <v>7957</v>
      </c>
    </row>
    <row r="51" ht="14.25" customHeight="1">
      <c r="A51" s="863">
        <v>20.0</v>
      </c>
      <c r="B51" s="263" t="s">
        <v>100</v>
      </c>
      <c r="C51" s="263"/>
      <c r="D51" s="263" t="s">
        <v>7838</v>
      </c>
      <c r="E51" s="263" t="s">
        <v>42</v>
      </c>
      <c r="F51" s="177">
        <v>1.7775E7</v>
      </c>
      <c r="G51" s="263" t="s">
        <v>7952</v>
      </c>
      <c r="H51" s="263" t="s">
        <v>391</v>
      </c>
      <c r="I51" s="263" t="s">
        <v>7958</v>
      </c>
      <c r="J51" s="263" t="s">
        <v>7959</v>
      </c>
      <c r="K51" s="263" t="s">
        <v>7960</v>
      </c>
      <c r="L51" s="263"/>
      <c r="M51" s="709"/>
      <c r="N51" s="263" t="s">
        <v>7961</v>
      </c>
    </row>
    <row r="52" ht="14.25" customHeight="1">
      <c r="A52" s="863"/>
      <c r="B52" s="263"/>
      <c r="C52" s="263"/>
      <c r="D52" s="263"/>
      <c r="E52" s="263"/>
      <c r="F52" s="177"/>
      <c r="G52" s="263"/>
      <c r="H52" s="263"/>
      <c r="I52" s="263"/>
      <c r="J52" s="263"/>
      <c r="K52" s="263"/>
      <c r="L52" s="263"/>
      <c r="M52" s="709"/>
      <c r="N52" s="263" t="s">
        <v>7962</v>
      </c>
    </row>
    <row r="53" ht="14.25" customHeight="1">
      <c r="A53" s="863">
        <v>21.0</v>
      </c>
      <c r="B53" s="263" t="s">
        <v>100</v>
      </c>
      <c r="C53" s="263"/>
      <c r="D53" s="263" t="s">
        <v>7838</v>
      </c>
      <c r="E53" s="263" t="s">
        <v>70</v>
      </c>
      <c r="F53" s="177">
        <v>1.7873E7</v>
      </c>
      <c r="G53" s="263" t="s">
        <v>2667</v>
      </c>
      <c r="H53" s="263" t="s">
        <v>84</v>
      </c>
      <c r="I53" s="712" t="s">
        <v>7963</v>
      </c>
      <c r="J53" s="439" t="s">
        <v>7964</v>
      </c>
      <c r="K53" s="439" t="s">
        <v>7965</v>
      </c>
      <c r="L53" s="439" t="s">
        <v>7966</v>
      </c>
      <c r="M53" s="263" t="s">
        <v>7967</v>
      </c>
      <c r="N53" s="263" t="s">
        <v>7968</v>
      </c>
    </row>
    <row r="54" ht="14.25" customHeight="1">
      <c r="A54" s="863"/>
      <c r="B54" s="263"/>
      <c r="C54" s="263"/>
      <c r="D54" s="263"/>
      <c r="E54" s="263"/>
      <c r="F54" s="177"/>
      <c r="G54" s="263"/>
      <c r="H54" s="263"/>
      <c r="I54" s="263"/>
      <c r="J54" s="263"/>
      <c r="K54" s="263"/>
      <c r="L54" s="263"/>
      <c r="M54" s="709"/>
      <c r="N54" s="263" t="s">
        <v>7969</v>
      </c>
    </row>
    <row r="55" ht="14.25" customHeight="1">
      <c r="A55" s="863">
        <v>22.0</v>
      </c>
      <c r="B55" s="263" t="s">
        <v>100</v>
      </c>
      <c r="C55" s="263"/>
      <c r="D55" s="263" t="s">
        <v>7838</v>
      </c>
      <c r="E55" s="263" t="s">
        <v>70</v>
      </c>
      <c r="F55" s="177">
        <v>1.7755E7</v>
      </c>
      <c r="G55" s="263" t="s">
        <v>7970</v>
      </c>
      <c r="H55" s="263" t="s">
        <v>84</v>
      </c>
      <c r="I55" s="263" t="s">
        <v>7971</v>
      </c>
      <c r="J55" s="263" t="s">
        <v>7972</v>
      </c>
      <c r="K55" s="263" t="s">
        <v>7973</v>
      </c>
      <c r="L55" s="263"/>
      <c r="M55" s="709"/>
      <c r="N55" s="263" t="s">
        <v>7974</v>
      </c>
    </row>
    <row r="56" ht="14.25" customHeight="1">
      <c r="A56" s="863"/>
      <c r="B56" s="263"/>
      <c r="C56" s="263"/>
      <c r="D56" s="263"/>
      <c r="E56" s="263"/>
      <c r="F56" s="177"/>
      <c r="G56" s="263"/>
      <c r="H56" s="263"/>
      <c r="I56" s="263"/>
      <c r="J56" s="263"/>
      <c r="K56" s="263"/>
      <c r="L56" s="263"/>
      <c r="M56" s="709"/>
      <c r="N56" s="263" t="s">
        <v>7975</v>
      </c>
    </row>
    <row r="57" ht="14.25" customHeight="1">
      <c r="A57" s="863">
        <v>23.0</v>
      </c>
      <c r="B57" s="263" t="s">
        <v>100</v>
      </c>
      <c r="C57" s="263"/>
      <c r="D57" s="263" t="s">
        <v>7838</v>
      </c>
      <c r="E57" s="263" t="s">
        <v>70</v>
      </c>
      <c r="F57" s="177">
        <v>1.7755E7</v>
      </c>
      <c r="G57" s="263" t="s">
        <v>7637</v>
      </c>
      <c r="H57" s="263" t="s">
        <v>474</v>
      </c>
      <c r="I57" s="712" t="s">
        <v>7976</v>
      </c>
      <c r="J57" s="439" t="s">
        <v>7977</v>
      </c>
      <c r="K57" s="439" t="s">
        <v>7978</v>
      </c>
      <c r="L57" s="439" t="s">
        <v>7979</v>
      </c>
      <c r="M57" s="263" t="s">
        <v>7980</v>
      </c>
      <c r="N57" s="263" t="s">
        <v>7981</v>
      </c>
    </row>
    <row r="58" ht="14.25" customHeight="1">
      <c r="A58" s="863"/>
      <c r="B58" s="263"/>
      <c r="C58" s="263"/>
      <c r="D58" s="263"/>
      <c r="E58" s="263"/>
      <c r="F58" s="177"/>
      <c r="G58" s="263"/>
      <c r="H58" s="263"/>
      <c r="I58" s="263"/>
      <c r="J58" s="263"/>
      <c r="K58" s="263"/>
      <c r="L58" s="263"/>
      <c r="M58" s="709"/>
      <c r="N58" s="263" t="s">
        <v>7982</v>
      </c>
    </row>
    <row r="59" ht="14.25" customHeight="1">
      <c r="A59" s="863">
        <v>24.0</v>
      </c>
      <c r="B59" s="263" t="s">
        <v>100</v>
      </c>
      <c r="C59" s="263"/>
      <c r="D59" s="263" t="s">
        <v>7838</v>
      </c>
      <c r="E59" s="263" t="s">
        <v>42</v>
      </c>
      <c r="F59" s="177">
        <v>1.32E7</v>
      </c>
      <c r="G59" s="868" t="s">
        <v>5892</v>
      </c>
      <c r="H59" s="263" t="s">
        <v>474</v>
      </c>
      <c r="I59" s="864" t="s">
        <v>7983</v>
      </c>
      <c r="J59" s="263" t="s">
        <v>7984</v>
      </c>
      <c r="K59" s="263" t="s">
        <v>7985</v>
      </c>
      <c r="L59" s="439" t="s">
        <v>7986</v>
      </c>
      <c r="M59" s="709"/>
      <c r="N59" s="263" t="s">
        <v>7987</v>
      </c>
    </row>
    <row r="60" ht="14.25" customHeight="1">
      <c r="A60" s="863"/>
      <c r="B60" s="263"/>
      <c r="C60" s="263"/>
      <c r="D60" s="263"/>
      <c r="E60" s="263"/>
      <c r="F60" s="177"/>
      <c r="G60" s="263"/>
      <c r="H60" s="263"/>
      <c r="I60" s="263"/>
      <c r="J60" s="263"/>
      <c r="K60" s="263"/>
      <c r="L60" s="263"/>
      <c r="M60" s="709"/>
      <c r="N60" s="263" t="s">
        <v>7988</v>
      </c>
    </row>
    <row r="61" ht="14.25" customHeight="1">
      <c r="A61" s="863">
        <v>25.0</v>
      </c>
      <c r="B61" s="263" t="s">
        <v>100</v>
      </c>
      <c r="C61" s="263"/>
      <c r="D61" s="263" t="s">
        <v>7838</v>
      </c>
      <c r="E61" s="263" t="s">
        <v>42</v>
      </c>
      <c r="F61" s="177">
        <v>1.32E7</v>
      </c>
      <c r="G61" s="868" t="s">
        <v>5892</v>
      </c>
      <c r="H61" s="263" t="s">
        <v>474</v>
      </c>
      <c r="I61" s="864" t="s">
        <v>7989</v>
      </c>
      <c r="J61" s="263" t="s">
        <v>7990</v>
      </c>
      <c r="K61" s="263" t="s">
        <v>7991</v>
      </c>
      <c r="L61" s="439" t="s">
        <v>7992</v>
      </c>
      <c r="M61" s="709"/>
      <c r="N61" s="263" t="s">
        <v>7993</v>
      </c>
    </row>
    <row r="62" ht="14.25" customHeight="1">
      <c r="A62" s="863"/>
      <c r="B62" s="263"/>
      <c r="C62" s="263"/>
      <c r="D62" s="263"/>
      <c r="E62" s="263"/>
      <c r="F62" s="177"/>
      <c r="G62" s="263"/>
      <c r="H62" s="263"/>
      <c r="I62" s="263"/>
      <c r="J62" s="263"/>
      <c r="K62" s="263"/>
      <c r="L62" s="263"/>
      <c r="M62" s="709"/>
      <c r="N62" s="263" t="s">
        <v>7994</v>
      </c>
    </row>
    <row r="63" ht="14.25" customHeight="1">
      <c r="A63" s="863">
        <v>26.0</v>
      </c>
      <c r="B63" s="263" t="s">
        <v>100</v>
      </c>
      <c r="C63" s="263"/>
      <c r="D63" s="263" t="s">
        <v>7838</v>
      </c>
      <c r="E63" s="263" t="s">
        <v>42</v>
      </c>
      <c r="F63" s="177">
        <v>1.32E7</v>
      </c>
      <c r="G63" s="868" t="s">
        <v>5892</v>
      </c>
      <c r="H63" s="263" t="s">
        <v>474</v>
      </c>
      <c r="I63" s="864" t="s">
        <v>7995</v>
      </c>
      <c r="J63" s="439" t="s">
        <v>7996</v>
      </c>
      <c r="K63" s="439" t="s">
        <v>7997</v>
      </c>
      <c r="L63" s="439" t="s">
        <v>7998</v>
      </c>
      <c r="M63" s="709"/>
      <c r="N63" s="263" t="s">
        <v>7999</v>
      </c>
    </row>
    <row r="64" ht="14.25" customHeight="1">
      <c r="A64" s="863"/>
      <c r="B64" s="263"/>
      <c r="C64" s="263"/>
      <c r="D64" s="263"/>
      <c r="E64" s="263"/>
      <c r="F64" s="177"/>
      <c r="G64" s="263"/>
      <c r="H64" s="263"/>
      <c r="I64" s="263"/>
      <c r="J64" s="263"/>
      <c r="K64" s="263"/>
      <c r="L64" s="263"/>
      <c r="M64" s="709"/>
      <c r="N64" s="263" t="s">
        <v>8000</v>
      </c>
    </row>
    <row r="65" ht="14.25" customHeight="1">
      <c r="A65" s="863">
        <v>27.0</v>
      </c>
      <c r="B65" s="263" t="s">
        <v>100</v>
      </c>
      <c r="C65" s="263"/>
      <c r="D65" s="263" t="s">
        <v>7838</v>
      </c>
      <c r="E65" s="263" t="s">
        <v>70</v>
      </c>
      <c r="F65" s="177">
        <v>1.44574E7</v>
      </c>
      <c r="G65" s="263" t="s">
        <v>8001</v>
      </c>
      <c r="H65" s="263" t="s">
        <v>92</v>
      </c>
      <c r="I65" s="712" t="s">
        <v>8002</v>
      </c>
      <c r="J65" s="439" t="s">
        <v>8003</v>
      </c>
      <c r="K65" s="439" t="s">
        <v>8004</v>
      </c>
      <c r="L65" s="439" t="s">
        <v>8005</v>
      </c>
      <c r="M65" s="263" t="s">
        <v>8006</v>
      </c>
      <c r="N65" s="263" t="s">
        <v>8007</v>
      </c>
    </row>
    <row r="66" ht="14.25" customHeight="1">
      <c r="A66" s="863"/>
      <c r="B66" s="263"/>
      <c r="C66" s="263"/>
      <c r="D66" s="263"/>
      <c r="E66" s="263"/>
      <c r="F66" s="177"/>
      <c r="G66" s="263"/>
      <c r="H66" s="263"/>
      <c r="I66" s="263"/>
      <c r="J66" s="263"/>
      <c r="K66" s="263"/>
      <c r="L66" s="263"/>
      <c r="M66" s="709"/>
      <c r="N66" s="263" t="s">
        <v>8008</v>
      </c>
    </row>
    <row r="67" ht="14.25" customHeight="1">
      <c r="A67" s="863">
        <v>28.0</v>
      </c>
      <c r="B67" s="263" t="s">
        <v>100</v>
      </c>
      <c r="C67" s="263"/>
      <c r="D67" s="263" t="s">
        <v>7838</v>
      </c>
      <c r="E67" s="263" t="s">
        <v>70</v>
      </c>
      <c r="F67" s="177">
        <v>1.708E7</v>
      </c>
      <c r="G67" s="263" t="s">
        <v>2257</v>
      </c>
      <c r="H67" s="263" t="s">
        <v>92</v>
      </c>
      <c r="I67" s="712" t="s">
        <v>8009</v>
      </c>
      <c r="J67" s="439" t="s">
        <v>8010</v>
      </c>
      <c r="K67" s="439" t="s">
        <v>8011</v>
      </c>
      <c r="L67" s="439" t="s">
        <v>8012</v>
      </c>
      <c r="M67" s="263" t="s">
        <v>8013</v>
      </c>
      <c r="N67" s="263" t="s">
        <v>8014</v>
      </c>
    </row>
    <row r="68" ht="14.25" customHeight="1">
      <c r="A68" s="863"/>
      <c r="B68" s="263"/>
      <c r="C68" s="263"/>
      <c r="D68" s="263"/>
      <c r="E68" s="263"/>
      <c r="F68" s="177"/>
      <c r="G68" s="263"/>
      <c r="H68" s="263"/>
      <c r="I68" s="263"/>
      <c r="J68" s="263"/>
      <c r="K68" s="263"/>
      <c r="L68" s="263"/>
      <c r="M68" s="709"/>
      <c r="N68" s="263" t="s">
        <v>8015</v>
      </c>
    </row>
    <row r="69" ht="14.25" customHeight="1">
      <c r="A69" s="863">
        <v>29.0</v>
      </c>
      <c r="B69" s="263" t="s">
        <v>100</v>
      </c>
      <c r="C69" s="263"/>
      <c r="D69" s="263" t="s">
        <v>7838</v>
      </c>
      <c r="E69" s="263" t="s">
        <v>70</v>
      </c>
      <c r="F69" s="177">
        <v>2.1875E7</v>
      </c>
      <c r="G69" s="263" t="s">
        <v>2667</v>
      </c>
      <c r="H69" s="263" t="s">
        <v>58</v>
      </c>
      <c r="I69" s="712" t="s">
        <v>8016</v>
      </c>
      <c r="J69" s="439" t="s">
        <v>8017</v>
      </c>
      <c r="K69" s="439" t="s">
        <v>8018</v>
      </c>
      <c r="L69" s="439" t="s">
        <v>8019</v>
      </c>
      <c r="M69" s="263" t="s">
        <v>8020</v>
      </c>
      <c r="N69" s="263" t="s">
        <v>8021</v>
      </c>
    </row>
    <row r="70" ht="14.25" customHeight="1">
      <c r="A70" s="863"/>
      <c r="B70" s="263"/>
      <c r="C70" s="263"/>
      <c r="D70" s="263"/>
      <c r="E70" s="263"/>
      <c r="F70" s="177"/>
      <c r="G70" s="263"/>
      <c r="H70" s="263"/>
      <c r="I70" s="263"/>
      <c r="J70" s="263"/>
      <c r="K70" s="263"/>
      <c r="L70" s="263"/>
      <c r="M70" s="709"/>
      <c r="N70" s="263" t="s">
        <v>8022</v>
      </c>
    </row>
    <row r="71" ht="14.25" customHeight="1">
      <c r="A71" s="863">
        <v>30.0</v>
      </c>
      <c r="B71" s="263" t="s">
        <v>100</v>
      </c>
      <c r="C71" s="263"/>
      <c r="D71" s="263" t="s">
        <v>7838</v>
      </c>
      <c r="E71" s="263" t="s">
        <v>70</v>
      </c>
      <c r="F71" s="177">
        <v>3.5E7</v>
      </c>
      <c r="G71" s="263" t="s">
        <v>8023</v>
      </c>
      <c r="H71" s="263" t="s">
        <v>2329</v>
      </c>
      <c r="I71" s="864" t="s">
        <v>8024</v>
      </c>
      <c r="J71" s="263" t="s">
        <v>8025</v>
      </c>
      <c r="K71" s="263" t="s">
        <v>8026</v>
      </c>
      <c r="L71" s="439" t="s">
        <v>8026</v>
      </c>
      <c r="M71" s="709"/>
      <c r="N71" s="263" t="s">
        <v>8027</v>
      </c>
    </row>
    <row r="72" ht="14.25" customHeight="1">
      <c r="A72" s="863"/>
      <c r="B72" s="263"/>
      <c r="C72" s="263"/>
      <c r="D72" s="263"/>
      <c r="E72" s="263"/>
      <c r="F72" s="177"/>
      <c r="G72" s="263"/>
      <c r="H72" s="263"/>
      <c r="I72" s="263"/>
      <c r="J72" s="263"/>
      <c r="K72" s="263"/>
      <c r="L72" s="263"/>
      <c r="M72" s="709"/>
      <c r="N72" s="263" t="s">
        <v>8028</v>
      </c>
    </row>
    <row r="73" ht="14.25" customHeight="1">
      <c r="A73" s="863">
        <v>31.0</v>
      </c>
      <c r="B73" s="263" t="s">
        <v>100</v>
      </c>
      <c r="C73" s="263" t="s">
        <v>8029</v>
      </c>
      <c r="D73" s="263" t="s">
        <v>7838</v>
      </c>
      <c r="E73" s="263" t="s">
        <v>70</v>
      </c>
      <c r="F73" s="177">
        <v>2.5E7</v>
      </c>
      <c r="G73" s="263" t="s">
        <v>8030</v>
      </c>
      <c r="H73" s="263" t="s">
        <v>611</v>
      </c>
      <c r="I73" s="864" t="s">
        <v>8031</v>
      </c>
      <c r="J73" s="263" t="s">
        <v>8032</v>
      </c>
      <c r="K73" s="263" t="s">
        <v>8033</v>
      </c>
      <c r="L73" s="439" t="s">
        <v>8034</v>
      </c>
      <c r="M73" s="709"/>
      <c r="N73" s="263" t="s">
        <v>7636</v>
      </c>
    </row>
    <row r="74" ht="14.25" customHeight="1">
      <c r="A74" s="863"/>
      <c r="B74" s="263"/>
      <c r="C74" s="263"/>
      <c r="D74" s="263"/>
      <c r="E74" s="263"/>
      <c r="F74" s="177"/>
      <c r="G74" s="263"/>
      <c r="H74" s="263"/>
      <c r="I74" s="263"/>
      <c r="J74" s="263"/>
      <c r="K74" s="263"/>
      <c r="L74" s="263"/>
      <c r="M74" s="709"/>
      <c r="N74" s="263" t="s">
        <v>8035</v>
      </c>
    </row>
    <row r="75" ht="14.25" customHeight="1">
      <c r="A75" s="863">
        <v>32.0</v>
      </c>
      <c r="B75" s="263" t="s">
        <v>100</v>
      </c>
      <c r="C75" s="263" t="s">
        <v>8029</v>
      </c>
      <c r="D75" s="263" t="s">
        <v>7838</v>
      </c>
      <c r="E75" s="263" t="s">
        <v>70</v>
      </c>
      <c r="F75" s="177">
        <v>2.5E7</v>
      </c>
      <c r="G75" s="263" t="s">
        <v>8036</v>
      </c>
      <c r="H75" s="263" t="s">
        <v>611</v>
      </c>
      <c r="I75" s="864" t="s">
        <v>8037</v>
      </c>
      <c r="J75" s="263" t="s">
        <v>8038</v>
      </c>
      <c r="K75" s="263" t="s">
        <v>8039</v>
      </c>
      <c r="L75" s="439" t="s">
        <v>8040</v>
      </c>
      <c r="M75" s="709"/>
      <c r="N75" s="263" t="s">
        <v>2453</v>
      </c>
    </row>
    <row r="76" ht="14.25" customHeight="1">
      <c r="A76" s="863"/>
      <c r="B76" s="263"/>
      <c r="C76" s="263"/>
      <c r="D76" s="263"/>
      <c r="E76" s="263"/>
      <c r="F76" s="177"/>
      <c r="G76" s="263"/>
      <c r="H76" s="263"/>
      <c r="I76" s="263"/>
      <c r="J76" s="263"/>
      <c r="K76" s="263"/>
      <c r="L76" s="263"/>
      <c r="M76" s="709"/>
      <c r="N76" s="263" t="s">
        <v>8041</v>
      </c>
    </row>
    <row r="77" ht="14.25" customHeight="1">
      <c r="A77" s="869">
        <v>33.0</v>
      </c>
      <c r="B77" s="713" t="s">
        <v>100</v>
      </c>
      <c r="C77" s="713" t="s">
        <v>5982</v>
      </c>
      <c r="D77" s="713" t="s">
        <v>7240</v>
      </c>
      <c r="E77" s="713" t="s">
        <v>70</v>
      </c>
      <c r="F77" s="273">
        <v>2.7195E7</v>
      </c>
      <c r="G77" s="713" t="s">
        <v>8042</v>
      </c>
      <c r="H77" s="713" t="s">
        <v>2762</v>
      </c>
      <c r="I77" s="870" t="s">
        <v>8043</v>
      </c>
      <c r="J77" s="713" t="s">
        <v>8044</v>
      </c>
      <c r="K77" s="713" t="s">
        <v>8045</v>
      </c>
      <c r="L77" s="729" t="s">
        <v>8046</v>
      </c>
      <c r="M77" s="716" t="s">
        <v>5865</v>
      </c>
      <c r="N77" s="713" t="s">
        <v>8047</v>
      </c>
    </row>
    <row r="78" ht="14.25" customHeight="1">
      <c r="A78" s="869"/>
      <c r="B78" s="713"/>
      <c r="C78" s="713"/>
      <c r="D78" s="713"/>
      <c r="E78" s="713"/>
      <c r="F78" s="273"/>
      <c r="G78" s="713"/>
      <c r="H78" s="713"/>
      <c r="I78" s="713"/>
      <c r="J78" s="713"/>
      <c r="K78" s="713"/>
      <c r="L78" s="713"/>
      <c r="M78" s="716"/>
      <c r="N78" s="713" t="s">
        <v>8048</v>
      </c>
    </row>
    <row r="79" ht="14.25" customHeight="1">
      <c r="A79" s="869"/>
      <c r="B79" s="713"/>
      <c r="C79" s="713"/>
      <c r="D79" s="713"/>
      <c r="E79" s="713"/>
      <c r="F79" s="273"/>
      <c r="G79" s="713"/>
      <c r="H79" s="713"/>
      <c r="I79" s="713"/>
      <c r="J79" s="713"/>
      <c r="K79" s="713"/>
      <c r="L79" s="713"/>
      <c r="M79" s="716"/>
      <c r="N79" s="713"/>
    </row>
    <row r="80" ht="14.25" customHeight="1">
      <c r="A80" s="280"/>
    </row>
    <row r="81" ht="14.25" customHeight="1">
      <c r="A81" s="280"/>
    </row>
    <row r="82" ht="14.25" customHeight="1">
      <c r="A82" s="280"/>
    </row>
    <row r="83" ht="14.25" customHeight="1">
      <c r="A83" s="280"/>
    </row>
    <row r="84" ht="14.25" customHeight="1">
      <c r="A84" s="280"/>
    </row>
    <row r="85" ht="14.25" customHeight="1">
      <c r="A85" s="280"/>
    </row>
    <row r="86" ht="14.25" customHeight="1">
      <c r="A86" s="280"/>
    </row>
    <row r="87" ht="14.25" customHeight="1">
      <c r="A87" s="280"/>
    </row>
    <row r="88" ht="14.25" customHeight="1">
      <c r="A88" s="280"/>
    </row>
    <row r="89" ht="14.25" customHeight="1">
      <c r="A89" s="280"/>
    </row>
    <row r="90" ht="14.25" customHeight="1">
      <c r="A90" s="280"/>
    </row>
    <row r="91" ht="14.25" customHeight="1">
      <c r="A91" s="280"/>
    </row>
    <row r="92" ht="14.25" customHeight="1">
      <c r="A92" s="280"/>
    </row>
    <row r="93" ht="14.25" customHeight="1">
      <c r="A93" s="280"/>
    </row>
    <row r="94" ht="14.25" customHeight="1">
      <c r="A94" s="280"/>
    </row>
    <row r="95" ht="14.25" customHeight="1">
      <c r="A95" s="280"/>
    </row>
    <row r="96" ht="14.25" customHeight="1">
      <c r="A96" s="280"/>
    </row>
    <row r="97" ht="14.25" customHeight="1">
      <c r="A97" s="280"/>
    </row>
    <row r="98" ht="14.25" customHeight="1">
      <c r="A98" s="280"/>
    </row>
    <row r="99" ht="14.25" customHeight="1">
      <c r="A99" s="280"/>
    </row>
    <row r="100" ht="14.25" customHeight="1">
      <c r="A100" s="280"/>
    </row>
    <row r="101" ht="14.25" customHeight="1">
      <c r="A101" s="280"/>
    </row>
    <row r="102" ht="14.25" customHeight="1">
      <c r="A102" s="280"/>
    </row>
    <row r="103" ht="14.25" customHeight="1">
      <c r="A103" s="280"/>
    </row>
    <row r="104" ht="14.25" customHeight="1">
      <c r="A104" s="280"/>
    </row>
    <row r="105" ht="14.25" customHeight="1">
      <c r="A105" s="280"/>
    </row>
    <row r="106" ht="14.25" customHeight="1">
      <c r="A106" s="280"/>
    </row>
    <row r="107" ht="14.25" customHeight="1">
      <c r="A107" s="280"/>
    </row>
    <row r="108" ht="14.25" customHeight="1">
      <c r="A108" s="280"/>
    </row>
    <row r="109" ht="14.25" customHeight="1">
      <c r="A109" s="280"/>
    </row>
    <row r="110" ht="14.25" customHeight="1">
      <c r="A110" s="280"/>
    </row>
    <row r="111" ht="14.25" customHeight="1">
      <c r="A111" s="280"/>
    </row>
    <row r="112" ht="14.25" customHeight="1">
      <c r="A112" s="280"/>
    </row>
    <row r="113" ht="14.25" customHeight="1">
      <c r="A113" s="280"/>
    </row>
    <row r="114" ht="14.25" customHeight="1">
      <c r="A114" s="280"/>
    </row>
    <row r="115" ht="14.25" customHeight="1">
      <c r="A115" s="280"/>
    </row>
    <row r="116" ht="14.25" customHeight="1">
      <c r="A116" s="280"/>
    </row>
    <row r="117" ht="14.25" customHeight="1">
      <c r="A117" s="280"/>
    </row>
    <row r="118" ht="14.25" customHeight="1">
      <c r="A118" s="280"/>
    </row>
    <row r="119" ht="14.25" customHeight="1">
      <c r="A119" s="280"/>
    </row>
    <row r="120" ht="14.25" customHeight="1">
      <c r="A120" s="280"/>
    </row>
    <row r="121" ht="14.25" customHeight="1">
      <c r="A121" s="280"/>
    </row>
    <row r="122" ht="14.25" customHeight="1">
      <c r="A122" s="280"/>
    </row>
    <row r="123" ht="14.25" customHeight="1">
      <c r="A123" s="280"/>
    </row>
    <row r="124" ht="14.25" customHeight="1">
      <c r="A124" s="280"/>
    </row>
    <row r="125" ht="14.25" customHeight="1">
      <c r="A125" s="280"/>
    </row>
    <row r="126" ht="14.25" customHeight="1">
      <c r="A126" s="280"/>
    </row>
    <row r="127" ht="14.25" customHeight="1">
      <c r="A127" s="280"/>
    </row>
    <row r="128" ht="14.25" customHeight="1">
      <c r="A128" s="280"/>
    </row>
    <row r="129" ht="14.25" customHeight="1">
      <c r="A129" s="280"/>
    </row>
    <row r="130" ht="14.25" customHeight="1">
      <c r="A130" s="280"/>
    </row>
    <row r="131" ht="14.25" customHeight="1">
      <c r="A131" s="280"/>
    </row>
    <row r="132" ht="14.25" customHeight="1">
      <c r="A132" s="280"/>
    </row>
    <row r="133" ht="14.25" customHeight="1">
      <c r="A133" s="280"/>
    </row>
    <row r="134" ht="14.25" customHeight="1">
      <c r="A134" s="280"/>
    </row>
    <row r="135" ht="14.25" customHeight="1">
      <c r="A135" s="280"/>
    </row>
    <row r="136" ht="14.25" customHeight="1">
      <c r="A136" s="280"/>
    </row>
    <row r="137" ht="14.25" customHeight="1">
      <c r="A137" s="280"/>
    </row>
    <row r="138" ht="14.25" customHeight="1">
      <c r="A138" s="280"/>
    </row>
    <row r="139" ht="14.25" customHeight="1">
      <c r="A139" s="280"/>
    </row>
    <row r="140" ht="14.25" customHeight="1">
      <c r="A140" s="280"/>
    </row>
    <row r="141" ht="14.25" customHeight="1">
      <c r="A141" s="280"/>
    </row>
    <row r="142" ht="14.25" customHeight="1">
      <c r="A142" s="280"/>
    </row>
    <row r="143" ht="14.25" customHeight="1">
      <c r="A143" s="280"/>
    </row>
    <row r="144" ht="14.25" customHeight="1">
      <c r="A144" s="280"/>
    </row>
    <row r="145" ht="14.25" customHeight="1">
      <c r="A145" s="280"/>
    </row>
    <row r="146" ht="14.25" customHeight="1">
      <c r="A146" s="280"/>
    </row>
    <row r="147" ht="14.25" customHeight="1">
      <c r="A147" s="280"/>
    </row>
    <row r="148" ht="14.25" customHeight="1">
      <c r="A148" s="280"/>
    </row>
    <row r="149" ht="14.25" customHeight="1">
      <c r="A149" s="280"/>
    </row>
    <row r="150" ht="14.25" customHeight="1">
      <c r="A150" s="280"/>
    </row>
    <row r="151" ht="14.25" customHeight="1">
      <c r="A151" s="280"/>
    </row>
    <row r="152" ht="14.25" customHeight="1">
      <c r="A152" s="280"/>
    </row>
    <row r="153" ht="14.25" customHeight="1">
      <c r="A153" s="280"/>
    </row>
    <row r="154" ht="14.25" customHeight="1">
      <c r="A154" s="280"/>
    </row>
    <row r="155" ht="14.25" customHeight="1">
      <c r="A155" s="280"/>
    </row>
    <row r="156" ht="14.25" customHeight="1">
      <c r="A156" s="280"/>
    </row>
    <row r="157" ht="14.25" customHeight="1">
      <c r="A157" s="280"/>
    </row>
    <row r="158" ht="14.25" customHeight="1">
      <c r="A158" s="280"/>
    </row>
    <row r="159" ht="14.25" customHeight="1">
      <c r="A159" s="280"/>
    </row>
    <row r="160" ht="14.25" customHeight="1">
      <c r="A160" s="280"/>
    </row>
    <row r="161" ht="14.25" customHeight="1">
      <c r="A161" s="280"/>
    </row>
    <row r="162" ht="14.25" customHeight="1">
      <c r="A162" s="280"/>
    </row>
    <row r="163" ht="14.25" customHeight="1">
      <c r="A163" s="280"/>
    </row>
    <row r="164" ht="14.25" customHeight="1">
      <c r="A164" s="280"/>
    </row>
    <row r="165" ht="14.25" customHeight="1">
      <c r="A165" s="280"/>
    </row>
    <row r="166" ht="14.25" customHeight="1">
      <c r="A166" s="280"/>
    </row>
    <row r="167" ht="14.25" customHeight="1">
      <c r="A167" s="280"/>
    </row>
    <row r="168" ht="14.25" customHeight="1">
      <c r="A168" s="280"/>
    </row>
    <row r="169" ht="14.25" customHeight="1">
      <c r="A169" s="280"/>
    </row>
    <row r="170" ht="14.25" customHeight="1">
      <c r="A170" s="280"/>
    </row>
    <row r="171" ht="14.25" customHeight="1">
      <c r="A171" s="280"/>
    </row>
    <row r="172" ht="14.25" customHeight="1">
      <c r="A172" s="280"/>
    </row>
    <row r="173" ht="14.25" customHeight="1">
      <c r="A173" s="280"/>
    </row>
    <row r="174" ht="14.25" customHeight="1">
      <c r="A174" s="280"/>
    </row>
    <row r="175" ht="14.25" customHeight="1">
      <c r="A175" s="280"/>
    </row>
    <row r="176" ht="14.25" customHeight="1">
      <c r="A176" s="280"/>
    </row>
    <row r="177" ht="14.25" customHeight="1">
      <c r="A177" s="280"/>
    </row>
    <row r="178" ht="14.25" customHeight="1">
      <c r="A178" s="280"/>
    </row>
    <row r="179" ht="14.25" customHeight="1">
      <c r="A179" s="280"/>
    </row>
    <row r="180" ht="14.25" customHeight="1">
      <c r="A180" s="280"/>
    </row>
    <row r="181" ht="14.25" customHeight="1">
      <c r="A181" s="280"/>
    </row>
    <row r="182" ht="14.25" customHeight="1">
      <c r="A182" s="280"/>
    </row>
    <row r="183" ht="14.25" customHeight="1">
      <c r="A183" s="280"/>
    </row>
    <row r="184" ht="14.25" customHeight="1">
      <c r="A184" s="280"/>
    </row>
    <row r="185" ht="14.25" customHeight="1">
      <c r="A185" s="280"/>
    </row>
    <row r="186" ht="14.25" customHeight="1">
      <c r="A186" s="280"/>
    </row>
    <row r="187" ht="14.25" customHeight="1">
      <c r="A187" s="280"/>
    </row>
    <row r="188" ht="14.25" customHeight="1">
      <c r="A188" s="280"/>
    </row>
    <row r="189" ht="14.25" customHeight="1">
      <c r="A189" s="280"/>
    </row>
    <row r="190" ht="14.25" customHeight="1">
      <c r="A190" s="280"/>
    </row>
    <row r="191" ht="14.25" customHeight="1">
      <c r="A191" s="280"/>
    </row>
    <row r="192" ht="14.25" customHeight="1">
      <c r="A192" s="280"/>
    </row>
    <row r="193" ht="14.25" customHeight="1">
      <c r="A193" s="280"/>
    </row>
    <row r="194" ht="14.25" customHeight="1">
      <c r="A194" s="280"/>
    </row>
    <row r="195" ht="14.25" customHeight="1">
      <c r="A195" s="280"/>
    </row>
    <row r="196" ht="14.25" customHeight="1">
      <c r="A196" s="280"/>
    </row>
    <row r="197" ht="14.25" customHeight="1">
      <c r="A197" s="280"/>
    </row>
    <row r="198" ht="14.25" customHeight="1">
      <c r="A198" s="280"/>
    </row>
    <row r="199" ht="14.25" customHeight="1">
      <c r="A199" s="280"/>
    </row>
    <row r="200" ht="14.25" customHeight="1">
      <c r="A200" s="280"/>
    </row>
    <row r="201" ht="14.25" customHeight="1">
      <c r="A201" s="280"/>
    </row>
    <row r="202" ht="14.25" customHeight="1">
      <c r="A202" s="280"/>
    </row>
    <row r="203" ht="14.25" customHeight="1">
      <c r="A203" s="280"/>
    </row>
    <row r="204" ht="14.25" customHeight="1">
      <c r="A204" s="280"/>
    </row>
    <row r="205" ht="14.25" customHeight="1">
      <c r="A205" s="280"/>
    </row>
    <row r="206" ht="14.25" customHeight="1">
      <c r="A206" s="280"/>
    </row>
    <row r="207" ht="14.25" customHeight="1">
      <c r="A207" s="280"/>
    </row>
    <row r="208" ht="14.25" customHeight="1">
      <c r="A208" s="280"/>
    </row>
    <row r="209" ht="14.25" customHeight="1">
      <c r="A209" s="280"/>
    </row>
    <row r="210" ht="14.25" customHeight="1">
      <c r="A210" s="280"/>
    </row>
    <row r="211" ht="14.25" customHeight="1">
      <c r="A211" s="280"/>
    </row>
    <row r="212" ht="14.25" customHeight="1">
      <c r="A212" s="280"/>
    </row>
    <row r="213" ht="14.25" customHeight="1">
      <c r="A213" s="280"/>
    </row>
    <row r="214" ht="14.25" customHeight="1">
      <c r="A214" s="280"/>
    </row>
    <row r="215" ht="14.25" customHeight="1">
      <c r="A215" s="280"/>
    </row>
    <row r="216" ht="14.25" customHeight="1">
      <c r="A216" s="280"/>
    </row>
    <row r="217" ht="14.25" customHeight="1">
      <c r="A217" s="280"/>
    </row>
    <row r="218" ht="14.25" customHeight="1">
      <c r="A218" s="280"/>
    </row>
    <row r="219" ht="14.25" customHeight="1">
      <c r="A219" s="280"/>
    </row>
    <row r="220" ht="14.25" customHeight="1">
      <c r="A220" s="280"/>
    </row>
    <row r="221" ht="14.25" customHeight="1">
      <c r="A221" s="280"/>
    </row>
    <row r="222" ht="14.25" customHeight="1">
      <c r="A222" s="280"/>
    </row>
    <row r="223" ht="14.25" customHeight="1">
      <c r="A223" s="280"/>
    </row>
    <row r="224" ht="14.25" customHeight="1">
      <c r="A224" s="280"/>
    </row>
    <row r="225" ht="14.25" customHeight="1">
      <c r="A225" s="280"/>
    </row>
    <row r="226" ht="14.25" customHeight="1">
      <c r="A226" s="280"/>
    </row>
    <row r="227" ht="14.25" customHeight="1">
      <c r="A227" s="280"/>
    </row>
    <row r="228" ht="14.25" customHeight="1">
      <c r="A228" s="280"/>
    </row>
    <row r="229" ht="14.25" customHeight="1">
      <c r="A229" s="280"/>
    </row>
    <row r="230" ht="14.25" customHeight="1">
      <c r="A230" s="280"/>
    </row>
    <row r="231" ht="14.25" customHeight="1">
      <c r="A231" s="280"/>
    </row>
    <row r="232" ht="14.25" customHeight="1">
      <c r="A232" s="280"/>
    </row>
    <row r="233" ht="14.25" customHeight="1">
      <c r="A233" s="280"/>
    </row>
    <row r="234" ht="14.25" customHeight="1">
      <c r="A234" s="280"/>
    </row>
    <row r="235" ht="14.25" customHeight="1">
      <c r="A235" s="280"/>
    </row>
    <row r="236" ht="14.25" customHeight="1">
      <c r="A236" s="280"/>
    </row>
    <row r="237" ht="14.25" customHeight="1">
      <c r="A237" s="280"/>
    </row>
    <row r="238" ht="14.25" customHeight="1">
      <c r="A238" s="280"/>
    </row>
    <row r="239" ht="14.25" customHeight="1">
      <c r="A239" s="280"/>
    </row>
    <row r="240" ht="14.25" customHeight="1">
      <c r="A240" s="280"/>
    </row>
    <row r="241" ht="14.25" customHeight="1">
      <c r="A241" s="280"/>
    </row>
    <row r="242" ht="14.25" customHeight="1">
      <c r="A242" s="280"/>
    </row>
    <row r="243" ht="14.25" customHeight="1">
      <c r="A243" s="280"/>
    </row>
    <row r="244" ht="14.25" customHeight="1">
      <c r="A244" s="280"/>
    </row>
    <row r="245" ht="14.25" customHeight="1">
      <c r="A245" s="280"/>
    </row>
    <row r="246" ht="14.25" customHeight="1">
      <c r="A246" s="280"/>
    </row>
    <row r="247" ht="14.25" customHeight="1">
      <c r="A247" s="280"/>
    </row>
    <row r="248" ht="14.25" customHeight="1">
      <c r="A248" s="280"/>
    </row>
    <row r="249" ht="14.25" customHeight="1">
      <c r="A249" s="280"/>
    </row>
    <row r="250" ht="14.25" customHeight="1">
      <c r="A250" s="280"/>
    </row>
    <row r="251" ht="14.25" customHeight="1">
      <c r="A251" s="280"/>
    </row>
    <row r="252" ht="14.25" customHeight="1">
      <c r="A252" s="280"/>
    </row>
    <row r="253" ht="14.25" customHeight="1">
      <c r="A253" s="280"/>
    </row>
    <row r="254" ht="14.25" customHeight="1">
      <c r="A254" s="280"/>
    </row>
    <row r="255" ht="14.25" customHeight="1">
      <c r="A255" s="280"/>
    </row>
    <row r="256" ht="14.25" customHeight="1">
      <c r="A256" s="280"/>
    </row>
    <row r="257" ht="14.25" customHeight="1">
      <c r="A257" s="280"/>
    </row>
    <row r="258" ht="14.25" customHeight="1">
      <c r="A258" s="280"/>
    </row>
    <row r="259" ht="14.25" customHeight="1">
      <c r="A259" s="280"/>
    </row>
    <row r="260" ht="14.25" customHeight="1">
      <c r="A260" s="280"/>
    </row>
    <row r="261" ht="14.25" customHeight="1">
      <c r="A261" s="280"/>
    </row>
    <row r="262" ht="14.25" customHeight="1">
      <c r="A262" s="280"/>
    </row>
    <row r="263" ht="14.25" customHeight="1">
      <c r="A263" s="280"/>
    </row>
    <row r="264" ht="14.25" customHeight="1">
      <c r="A264" s="280"/>
    </row>
    <row r="265" ht="14.25" customHeight="1">
      <c r="A265" s="280"/>
    </row>
    <row r="266" ht="14.25" customHeight="1">
      <c r="A266" s="280"/>
    </row>
    <row r="267" ht="14.25" customHeight="1">
      <c r="A267" s="280"/>
    </row>
    <row r="268" ht="14.25" customHeight="1">
      <c r="A268" s="280"/>
    </row>
    <row r="269" ht="14.25" customHeight="1">
      <c r="A269" s="280"/>
    </row>
    <row r="270" ht="14.25" customHeight="1">
      <c r="A270" s="280"/>
    </row>
    <row r="271" ht="14.25" customHeight="1">
      <c r="A271" s="280"/>
    </row>
    <row r="272" ht="14.25" customHeight="1">
      <c r="A272" s="280"/>
    </row>
    <row r="273" ht="14.25" customHeight="1">
      <c r="A273" s="280"/>
    </row>
    <row r="274" ht="14.25" customHeight="1">
      <c r="A274" s="280"/>
    </row>
    <row r="275" ht="14.25" customHeight="1">
      <c r="A275" s="280"/>
    </row>
    <row r="276" ht="14.25" customHeight="1">
      <c r="A276" s="280"/>
    </row>
    <row r="277" ht="14.25" customHeight="1">
      <c r="A277" s="280"/>
    </row>
    <row r="278" ht="14.25" customHeight="1">
      <c r="A278" s="280"/>
    </row>
    <row r="279" ht="14.25" customHeight="1">
      <c r="A279" s="280"/>
    </row>
    <row r="280" ht="14.25" customHeight="1">
      <c r="A280" s="280"/>
    </row>
    <row r="281" ht="14.25" customHeight="1">
      <c r="A281" s="280"/>
    </row>
    <row r="282" ht="14.25" customHeight="1">
      <c r="A282" s="280"/>
    </row>
    <row r="283" ht="14.25" customHeight="1">
      <c r="A283" s="280"/>
    </row>
    <row r="284" ht="14.25" customHeight="1">
      <c r="A284" s="280"/>
    </row>
    <row r="285" ht="14.25" customHeight="1">
      <c r="A285" s="280"/>
    </row>
    <row r="286" ht="14.25" customHeight="1">
      <c r="A286" s="280"/>
    </row>
    <row r="287" ht="14.25" customHeight="1">
      <c r="A287" s="280"/>
    </row>
    <row r="288" ht="14.25" customHeight="1">
      <c r="A288" s="280"/>
    </row>
    <row r="289" ht="14.25" customHeight="1">
      <c r="A289" s="280"/>
    </row>
    <row r="290" ht="14.25" customHeight="1">
      <c r="A290" s="280"/>
    </row>
    <row r="291" ht="14.25" customHeight="1">
      <c r="A291" s="280"/>
    </row>
    <row r="292" ht="14.25" customHeight="1">
      <c r="A292" s="280"/>
    </row>
    <row r="293" ht="14.25" customHeight="1">
      <c r="A293" s="280"/>
    </row>
    <row r="294" ht="14.25" customHeight="1">
      <c r="A294" s="280"/>
    </row>
    <row r="295" ht="14.25" customHeight="1">
      <c r="A295" s="280"/>
    </row>
    <row r="296" ht="14.25" customHeight="1">
      <c r="A296" s="280"/>
    </row>
    <row r="297" ht="14.25" customHeight="1">
      <c r="A297" s="280"/>
    </row>
    <row r="298" ht="14.25" customHeight="1">
      <c r="A298" s="280"/>
    </row>
    <row r="299" ht="14.25" customHeight="1">
      <c r="A299" s="280"/>
    </row>
    <row r="300" ht="14.25" customHeight="1">
      <c r="A300" s="280"/>
    </row>
    <row r="301" ht="14.25" customHeight="1">
      <c r="A301" s="280"/>
    </row>
    <row r="302" ht="14.25" customHeight="1">
      <c r="A302" s="280"/>
    </row>
    <row r="303" ht="14.25" customHeight="1">
      <c r="A303" s="280"/>
    </row>
    <row r="304" ht="14.25" customHeight="1">
      <c r="A304" s="280"/>
    </row>
    <row r="305" ht="14.25" customHeight="1">
      <c r="A305" s="280"/>
    </row>
    <row r="306" ht="14.25" customHeight="1">
      <c r="A306" s="280"/>
    </row>
    <row r="307" ht="14.25" customHeight="1">
      <c r="A307" s="280"/>
    </row>
    <row r="308" ht="14.25" customHeight="1">
      <c r="A308" s="280"/>
    </row>
    <row r="309" ht="14.25" customHeight="1">
      <c r="A309" s="280"/>
    </row>
    <row r="310" ht="14.25" customHeight="1">
      <c r="A310" s="280"/>
    </row>
    <row r="311" ht="14.25" customHeight="1">
      <c r="A311" s="280"/>
    </row>
    <row r="312" ht="14.25" customHeight="1">
      <c r="A312" s="280"/>
    </row>
    <row r="313" ht="14.25" customHeight="1">
      <c r="A313" s="280"/>
    </row>
    <row r="314" ht="14.25" customHeight="1">
      <c r="A314" s="280"/>
    </row>
    <row r="315" ht="14.25" customHeight="1">
      <c r="A315" s="280"/>
    </row>
    <row r="316" ht="14.25" customHeight="1">
      <c r="A316" s="280"/>
    </row>
    <row r="317" ht="14.25" customHeight="1">
      <c r="A317" s="280"/>
    </row>
    <row r="318" ht="14.25" customHeight="1">
      <c r="A318" s="280"/>
    </row>
    <row r="319" ht="14.25" customHeight="1">
      <c r="A319" s="280"/>
    </row>
    <row r="320" ht="14.25" customHeight="1">
      <c r="A320" s="280"/>
    </row>
    <row r="321" ht="14.25" customHeight="1">
      <c r="A321" s="280"/>
    </row>
    <row r="322" ht="14.25" customHeight="1">
      <c r="A322" s="280"/>
    </row>
    <row r="323" ht="14.25" customHeight="1">
      <c r="A323" s="280"/>
    </row>
    <row r="324" ht="14.25" customHeight="1">
      <c r="A324" s="280"/>
    </row>
    <row r="325" ht="14.25" customHeight="1">
      <c r="A325" s="280"/>
    </row>
    <row r="326" ht="14.25" customHeight="1">
      <c r="A326" s="280"/>
    </row>
    <row r="327" ht="14.25" customHeight="1">
      <c r="A327" s="280"/>
    </row>
    <row r="328" ht="14.25" customHeight="1">
      <c r="A328" s="280"/>
    </row>
    <row r="329" ht="14.25" customHeight="1">
      <c r="A329" s="280"/>
    </row>
    <row r="330" ht="14.25" customHeight="1">
      <c r="A330" s="280"/>
    </row>
    <row r="331" ht="14.25" customHeight="1">
      <c r="A331" s="280"/>
    </row>
    <row r="332" ht="14.25" customHeight="1">
      <c r="A332" s="280"/>
    </row>
    <row r="333" ht="14.25" customHeight="1">
      <c r="A333" s="280"/>
    </row>
    <row r="334" ht="14.25" customHeight="1">
      <c r="A334" s="280"/>
    </row>
    <row r="335" ht="14.25" customHeight="1">
      <c r="A335" s="280"/>
    </row>
    <row r="336" ht="14.25" customHeight="1">
      <c r="A336" s="280"/>
    </row>
    <row r="337" ht="14.25" customHeight="1">
      <c r="A337" s="280"/>
    </row>
    <row r="338" ht="14.25" customHeight="1">
      <c r="A338" s="280"/>
    </row>
    <row r="339" ht="14.25" customHeight="1">
      <c r="A339" s="280"/>
    </row>
    <row r="340" ht="14.25" customHeight="1">
      <c r="A340" s="280"/>
    </row>
    <row r="341" ht="14.25" customHeight="1">
      <c r="A341" s="280"/>
    </row>
    <row r="342" ht="14.25" customHeight="1">
      <c r="A342" s="280"/>
    </row>
    <row r="343" ht="14.25" customHeight="1">
      <c r="A343" s="280"/>
    </row>
    <row r="344" ht="14.25" customHeight="1">
      <c r="A344" s="280"/>
    </row>
    <row r="345" ht="14.25" customHeight="1">
      <c r="A345" s="280"/>
    </row>
    <row r="346" ht="14.25" customHeight="1">
      <c r="A346" s="280"/>
    </row>
    <row r="347" ht="14.25" customHeight="1">
      <c r="A347" s="280"/>
    </row>
    <row r="348" ht="14.25" customHeight="1">
      <c r="A348" s="280"/>
    </row>
    <row r="349" ht="14.25" customHeight="1">
      <c r="A349" s="280"/>
    </row>
    <row r="350" ht="14.25" customHeight="1">
      <c r="A350" s="280"/>
    </row>
    <row r="351" ht="14.25" customHeight="1">
      <c r="A351" s="280"/>
    </row>
    <row r="352" ht="14.25" customHeight="1">
      <c r="A352" s="280"/>
    </row>
    <row r="353" ht="14.25" customHeight="1">
      <c r="A353" s="280"/>
    </row>
    <row r="354" ht="14.25" customHeight="1">
      <c r="A354" s="280"/>
    </row>
    <row r="355" ht="14.25" customHeight="1">
      <c r="A355" s="280"/>
    </row>
    <row r="356" ht="14.25" customHeight="1">
      <c r="A356" s="280"/>
    </row>
    <row r="357" ht="14.25" customHeight="1">
      <c r="A357" s="280"/>
    </row>
    <row r="358" ht="14.25" customHeight="1">
      <c r="A358" s="280"/>
    </row>
    <row r="359" ht="14.25" customHeight="1">
      <c r="A359" s="280"/>
    </row>
    <row r="360" ht="14.25" customHeight="1">
      <c r="A360" s="280"/>
    </row>
    <row r="361" ht="14.25" customHeight="1">
      <c r="A361" s="280"/>
    </row>
    <row r="362" ht="14.25" customHeight="1">
      <c r="A362" s="280"/>
    </row>
    <row r="363" ht="14.25" customHeight="1">
      <c r="A363" s="280"/>
    </row>
    <row r="364" ht="14.25" customHeight="1">
      <c r="A364" s="280"/>
    </row>
    <row r="365" ht="14.25" customHeight="1">
      <c r="A365" s="280"/>
    </row>
    <row r="366" ht="14.25" customHeight="1">
      <c r="A366" s="280"/>
    </row>
    <row r="367" ht="14.25" customHeight="1">
      <c r="A367" s="280"/>
    </row>
    <row r="368" ht="14.25" customHeight="1">
      <c r="A368" s="280"/>
    </row>
    <row r="369" ht="14.25" customHeight="1">
      <c r="A369" s="280"/>
    </row>
    <row r="370" ht="14.25" customHeight="1">
      <c r="A370" s="280"/>
    </row>
    <row r="371" ht="14.25" customHeight="1">
      <c r="A371" s="280"/>
    </row>
    <row r="372" ht="14.25" customHeight="1">
      <c r="A372" s="280"/>
    </row>
    <row r="373" ht="14.25" customHeight="1">
      <c r="A373" s="280"/>
    </row>
    <row r="374" ht="14.25" customHeight="1">
      <c r="A374" s="280"/>
    </row>
    <row r="375" ht="14.25" customHeight="1">
      <c r="A375" s="280"/>
    </row>
    <row r="376" ht="14.25" customHeight="1">
      <c r="A376" s="280"/>
    </row>
    <row r="377" ht="14.25" customHeight="1">
      <c r="A377" s="280"/>
    </row>
    <row r="378" ht="14.25" customHeight="1">
      <c r="A378" s="280"/>
    </row>
    <row r="379" ht="14.25" customHeight="1">
      <c r="A379" s="280"/>
    </row>
    <row r="380" ht="14.25" customHeight="1">
      <c r="A380" s="280"/>
    </row>
    <row r="381" ht="14.25" customHeight="1">
      <c r="A381" s="280"/>
    </row>
    <row r="382" ht="14.25" customHeight="1">
      <c r="A382" s="280"/>
    </row>
    <row r="383" ht="14.25" customHeight="1">
      <c r="A383" s="280"/>
    </row>
    <row r="384" ht="14.25" customHeight="1">
      <c r="A384" s="280"/>
    </row>
    <row r="385" ht="14.25" customHeight="1">
      <c r="A385" s="280"/>
    </row>
    <row r="386" ht="14.25" customHeight="1">
      <c r="A386" s="280"/>
    </row>
    <row r="387" ht="14.25" customHeight="1">
      <c r="A387" s="280"/>
    </row>
    <row r="388" ht="14.25" customHeight="1">
      <c r="A388" s="280"/>
    </row>
    <row r="389" ht="14.25" customHeight="1">
      <c r="A389" s="280"/>
    </row>
    <row r="390" ht="14.25" customHeight="1">
      <c r="A390" s="280"/>
    </row>
    <row r="391" ht="14.25" customHeight="1">
      <c r="A391" s="280"/>
    </row>
    <row r="392" ht="14.25" customHeight="1">
      <c r="A392" s="280"/>
    </row>
    <row r="393" ht="14.25" customHeight="1">
      <c r="A393" s="280"/>
    </row>
    <row r="394" ht="14.25" customHeight="1">
      <c r="A394" s="280"/>
    </row>
    <row r="395" ht="14.25" customHeight="1">
      <c r="A395" s="280"/>
    </row>
    <row r="396" ht="14.25" customHeight="1">
      <c r="A396" s="280"/>
    </row>
    <row r="397" ht="14.25" customHeight="1">
      <c r="A397" s="280"/>
    </row>
    <row r="398" ht="14.25" customHeight="1">
      <c r="A398" s="280"/>
    </row>
    <row r="399" ht="14.25" customHeight="1">
      <c r="A399" s="280"/>
    </row>
    <row r="400" ht="14.25" customHeight="1">
      <c r="A400" s="280"/>
    </row>
    <row r="401" ht="14.25" customHeight="1">
      <c r="A401" s="280"/>
    </row>
    <row r="402" ht="14.25" customHeight="1">
      <c r="A402" s="280"/>
    </row>
    <row r="403" ht="14.25" customHeight="1">
      <c r="A403" s="280"/>
    </row>
    <row r="404" ht="14.25" customHeight="1">
      <c r="A404" s="280"/>
    </row>
    <row r="405" ht="14.25" customHeight="1">
      <c r="A405" s="280"/>
    </row>
    <row r="406" ht="14.25" customHeight="1">
      <c r="A406" s="280"/>
    </row>
    <row r="407" ht="14.25" customHeight="1">
      <c r="A407" s="280"/>
    </row>
    <row r="408" ht="14.25" customHeight="1">
      <c r="A408" s="280"/>
    </row>
    <row r="409" ht="14.25" customHeight="1">
      <c r="A409" s="280"/>
    </row>
    <row r="410" ht="14.25" customHeight="1">
      <c r="A410" s="280"/>
    </row>
    <row r="411" ht="14.25" customHeight="1">
      <c r="A411" s="280"/>
    </row>
    <row r="412" ht="14.25" customHeight="1">
      <c r="A412" s="280"/>
    </row>
    <row r="413" ht="14.25" customHeight="1">
      <c r="A413" s="280"/>
    </row>
    <row r="414" ht="14.25" customHeight="1">
      <c r="A414" s="280"/>
    </row>
    <row r="415" ht="14.25" customHeight="1">
      <c r="A415" s="280"/>
    </row>
    <row r="416" ht="14.25" customHeight="1">
      <c r="A416" s="280"/>
    </row>
    <row r="417" ht="14.25" customHeight="1">
      <c r="A417" s="280"/>
    </row>
    <row r="418" ht="14.25" customHeight="1">
      <c r="A418" s="280"/>
    </row>
    <row r="419" ht="14.25" customHeight="1">
      <c r="A419" s="280"/>
    </row>
    <row r="420" ht="14.25" customHeight="1">
      <c r="A420" s="280"/>
    </row>
    <row r="421" ht="14.25" customHeight="1">
      <c r="A421" s="280"/>
    </row>
    <row r="422" ht="14.25" customHeight="1">
      <c r="A422" s="280"/>
    </row>
    <row r="423" ht="14.25" customHeight="1">
      <c r="A423" s="280"/>
    </row>
    <row r="424" ht="14.25" customHeight="1">
      <c r="A424" s="280"/>
    </row>
    <row r="425" ht="14.25" customHeight="1">
      <c r="A425" s="280"/>
    </row>
    <row r="426" ht="14.25" customHeight="1">
      <c r="A426" s="280"/>
    </row>
    <row r="427" ht="14.25" customHeight="1">
      <c r="A427" s="280"/>
    </row>
    <row r="428" ht="14.25" customHeight="1">
      <c r="A428" s="280"/>
    </row>
    <row r="429" ht="14.25" customHeight="1">
      <c r="A429" s="280"/>
    </row>
    <row r="430" ht="14.25" customHeight="1">
      <c r="A430" s="280"/>
    </row>
    <row r="431" ht="14.25" customHeight="1">
      <c r="A431" s="280"/>
    </row>
    <row r="432" ht="14.25" customHeight="1">
      <c r="A432" s="280"/>
    </row>
    <row r="433" ht="14.25" customHeight="1">
      <c r="A433" s="280"/>
    </row>
    <row r="434" ht="14.25" customHeight="1">
      <c r="A434" s="280"/>
    </row>
    <row r="435" ht="14.25" customHeight="1">
      <c r="A435" s="280"/>
    </row>
    <row r="436" ht="14.25" customHeight="1">
      <c r="A436" s="280"/>
    </row>
    <row r="437" ht="14.25" customHeight="1">
      <c r="A437" s="280"/>
    </row>
    <row r="438" ht="14.25" customHeight="1">
      <c r="A438" s="280"/>
    </row>
    <row r="439" ht="14.25" customHeight="1">
      <c r="A439" s="280"/>
    </row>
    <row r="440" ht="14.25" customHeight="1">
      <c r="A440" s="280"/>
    </row>
    <row r="441" ht="14.25" customHeight="1">
      <c r="A441" s="280"/>
    </row>
    <row r="442" ht="14.25" customHeight="1">
      <c r="A442" s="280"/>
    </row>
    <row r="443" ht="14.25" customHeight="1">
      <c r="A443" s="280"/>
    </row>
    <row r="444" ht="14.25" customHeight="1">
      <c r="A444" s="280"/>
    </row>
    <row r="445" ht="14.25" customHeight="1">
      <c r="A445" s="280"/>
    </row>
    <row r="446" ht="14.25" customHeight="1">
      <c r="A446" s="280"/>
    </row>
    <row r="447" ht="14.25" customHeight="1">
      <c r="A447" s="280"/>
    </row>
    <row r="448" ht="14.25" customHeight="1">
      <c r="A448" s="280"/>
    </row>
    <row r="449" ht="14.25" customHeight="1">
      <c r="A449" s="280"/>
    </row>
    <row r="450" ht="14.25" customHeight="1">
      <c r="A450" s="280"/>
    </row>
    <row r="451" ht="14.25" customHeight="1">
      <c r="A451" s="280"/>
    </row>
    <row r="452" ht="14.25" customHeight="1">
      <c r="A452" s="280"/>
    </row>
    <row r="453" ht="14.25" customHeight="1">
      <c r="A453" s="280"/>
    </row>
    <row r="454" ht="14.25" customHeight="1">
      <c r="A454" s="280"/>
    </row>
    <row r="455" ht="14.25" customHeight="1">
      <c r="A455" s="280"/>
    </row>
    <row r="456" ht="14.25" customHeight="1">
      <c r="A456" s="280"/>
    </row>
    <row r="457" ht="14.25" customHeight="1">
      <c r="A457" s="280"/>
    </row>
    <row r="458" ht="14.25" customHeight="1">
      <c r="A458" s="280"/>
    </row>
    <row r="459" ht="14.25" customHeight="1">
      <c r="A459" s="280"/>
    </row>
    <row r="460" ht="14.25" customHeight="1">
      <c r="A460" s="280"/>
    </row>
    <row r="461" ht="14.25" customHeight="1">
      <c r="A461" s="280"/>
    </row>
    <row r="462" ht="14.25" customHeight="1">
      <c r="A462" s="280"/>
    </row>
    <row r="463" ht="14.25" customHeight="1">
      <c r="A463" s="280"/>
    </row>
    <row r="464" ht="14.25" customHeight="1">
      <c r="A464" s="280"/>
    </row>
    <row r="465" ht="14.25" customHeight="1">
      <c r="A465" s="280"/>
    </row>
    <row r="466" ht="14.25" customHeight="1">
      <c r="A466" s="280"/>
    </row>
    <row r="467" ht="14.25" customHeight="1">
      <c r="A467" s="280"/>
    </row>
    <row r="468" ht="14.25" customHeight="1">
      <c r="A468" s="280"/>
    </row>
    <row r="469" ht="14.25" customHeight="1">
      <c r="A469" s="280"/>
    </row>
    <row r="470" ht="14.25" customHeight="1">
      <c r="A470" s="280"/>
    </row>
    <row r="471" ht="14.25" customHeight="1">
      <c r="A471" s="280"/>
    </row>
    <row r="472" ht="14.25" customHeight="1">
      <c r="A472" s="280"/>
    </row>
    <row r="473" ht="14.25" customHeight="1">
      <c r="A473" s="280"/>
    </row>
    <row r="474" ht="14.25" customHeight="1">
      <c r="A474" s="280"/>
    </row>
    <row r="475" ht="14.25" customHeight="1">
      <c r="A475" s="280"/>
    </row>
    <row r="476" ht="14.25" customHeight="1">
      <c r="A476" s="280"/>
    </row>
    <row r="477" ht="14.25" customHeight="1">
      <c r="A477" s="280"/>
    </row>
    <row r="478" ht="14.25" customHeight="1">
      <c r="A478" s="280"/>
    </row>
    <row r="479" ht="14.25" customHeight="1">
      <c r="A479" s="280"/>
    </row>
    <row r="480" ht="14.25" customHeight="1">
      <c r="A480" s="280"/>
    </row>
    <row r="481" ht="14.25" customHeight="1">
      <c r="A481" s="280"/>
    </row>
    <row r="482" ht="14.25" customHeight="1">
      <c r="A482" s="280"/>
    </row>
    <row r="483" ht="14.25" customHeight="1">
      <c r="A483" s="280"/>
    </row>
    <row r="484" ht="14.25" customHeight="1">
      <c r="A484" s="280"/>
    </row>
    <row r="485" ht="14.25" customHeight="1">
      <c r="A485" s="280"/>
    </row>
    <row r="486" ht="14.25" customHeight="1">
      <c r="A486" s="280"/>
    </row>
    <row r="487" ht="14.25" customHeight="1">
      <c r="A487" s="280"/>
    </row>
    <row r="488" ht="14.25" customHeight="1">
      <c r="A488" s="280"/>
    </row>
    <row r="489" ht="14.25" customHeight="1">
      <c r="A489" s="280"/>
    </row>
    <row r="490" ht="14.25" customHeight="1">
      <c r="A490" s="280"/>
    </row>
    <row r="491" ht="14.25" customHeight="1">
      <c r="A491" s="280"/>
    </row>
    <row r="492" ht="14.25" customHeight="1">
      <c r="A492" s="280"/>
    </row>
    <row r="493" ht="14.25" customHeight="1">
      <c r="A493" s="280"/>
    </row>
    <row r="494" ht="14.25" customHeight="1">
      <c r="A494" s="280"/>
    </row>
    <row r="495" ht="14.25" customHeight="1">
      <c r="A495" s="280"/>
    </row>
    <row r="496" ht="14.25" customHeight="1">
      <c r="A496" s="280"/>
    </row>
    <row r="497" ht="14.25" customHeight="1">
      <c r="A497" s="280"/>
    </row>
    <row r="498" ht="14.25" customHeight="1">
      <c r="A498" s="280"/>
    </row>
    <row r="499" ht="14.25" customHeight="1">
      <c r="A499" s="280"/>
    </row>
    <row r="500" ht="14.25" customHeight="1">
      <c r="A500" s="280"/>
    </row>
    <row r="501" ht="14.25" customHeight="1">
      <c r="A501" s="280"/>
    </row>
    <row r="502" ht="14.25" customHeight="1">
      <c r="A502" s="280"/>
    </row>
    <row r="503" ht="14.25" customHeight="1">
      <c r="A503" s="280"/>
    </row>
    <row r="504" ht="14.25" customHeight="1">
      <c r="A504" s="280"/>
    </row>
    <row r="505" ht="14.25" customHeight="1">
      <c r="A505" s="280"/>
    </row>
    <row r="506" ht="14.25" customHeight="1">
      <c r="A506" s="280"/>
    </row>
    <row r="507" ht="14.25" customHeight="1">
      <c r="A507" s="280"/>
    </row>
    <row r="508" ht="14.25" customHeight="1">
      <c r="A508" s="280"/>
    </row>
    <row r="509" ht="14.25" customHeight="1">
      <c r="A509" s="280"/>
    </row>
    <row r="510" ht="14.25" customHeight="1">
      <c r="A510" s="280"/>
    </row>
    <row r="511" ht="14.25" customHeight="1">
      <c r="A511" s="280"/>
    </row>
    <row r="512" ht="14.25" customHeight="1">
      <c r="A512" s="280"/>
    </row>
    <row r="513" ht="14.25" customHeight="1">
      <c r="A513" s="280"/>
    </row>
    <row r="514" ht="14.25" customHeight="1">
      <c r="A514" s="280"/>
    </row>
    <row r="515" ht="14.25" customHeight="1">
      <c r="A515" s="280"/>
    </row>
    <row r="516" ht="14.25" customHeight="1">
      <c r="A516" s="280"/>
    </row>
    <row r="517" ht="14.25" customHeight="1">
      <c r="A517" s="280"/>
    </row>
    <row r="518" ht="14.25" customHeight="1">
      <c r="A518" s="280"/>
    </row>
    <row r="519" ht="14.25" customHeight="1">
      <c r="A519" s="280"/>
    </row>
    <row r="520" ht="14.25" customHeight="1">
      <c r="A520" s="280"/>
    </row>
    <row r="521" ht="14.25" customHeight="1">
      <c r="A521" s="280"/>
    </row>
    <row r="522" ht="14.25" customHeight="1">
      <c r="A522" s="280"/>
    </row>
    <row r="523" ht="14.25" customHeight="1">
      <c r="A523" s="280"/>
    </row>
    <row r="524" ht="14.25" customHeight="1">
      <c r="A524" s="280"/>
    </row>
    <row r="525" ht="14.25" customHeight="1">
      <c r="A525" s="280"/>
    </row>
    <row r="526" ht="14.25" customHeight="1">
      <c r="A526" s="280"/>
    </row>
    <row r="527" ht="14.25" customHeight="1">
      <c r="A527" s="280"/>
    </row>
    <row r="528" ht="14.25" customHeight="1">
      <c r="A528" s="280"/>
    </row>
    <row r="529" ht="14.25" customHeight="1">
      <c r="A529" s="280"/>
    </row>
    <row r="530" ht="14.25" customHeight="1">
      <c r="A530" s="280"/>
    </row>
    <row r="531" ht="14.25" customHeight="1">
      <c r="A531" s="280"/>
    </row>
    <row r="532" ht="14.25" customHeight="1">
      <c r="A532" s="280"/>
    </row>
    <row r="533" ht="14.25" customHeight="1">
      <c r="A533" s="280"/>
    </row>
    <row r="534" ht="14.25" customHeight="1">
      <c r="A534" s="280"/>
    </row>
    <row r="535" ht="14.25" customHeight="1">
      <c r="A535" s="280"/>
    </row>
    <row r="536" ht="14.25" customHeight="1">
      <c r="A536" s="280"/>
    </row>
    <row r="537" ht="14.25" customHeight="1">
      <c r="A537" s="280"/>
    </row>
    <row r="538" ht="14.25" customHeight="1">
      <c r="A538" s="280"/>
    </row>
    <row r="539" ht="14.25" customHeight="1">
      <c r="A539" s="280"/>
    </row>
    <row r="540" ht="14.25" customHeight="1">
      <c r="A540" s="280"/>
    </row>
    <row r="541" ht="14.25" customHeight="1">
      <c r="A541" s="280"/>
    </row>
    <row r="542" ht="14.25" customHeight="1">
      <c r="A542" s="280"/>
    </row>
    <row r="543" ht="14.25" customHeight="1">
      <c r="A543" s="280"/>
    </row>
    <row r="544" ht="14.25" customHeight="1">
      <c r="A544" s="280"/>
    </row>
    <row r="545" ht="14.25" customHeight="1">
      <c r="A545" s="280"/>
    </row>
    <row r="546" ht="14.25" customHeight="1">
      <c r="A546" s="280"/>
    </row>
    <row r="547" ht="14.25" customHeight="1">
      <c r="A547" s="280"/>
    </row>
    <row r="548" ht="14.25" customHeight="1">
      <c r="A548" s="280"/>
    </row>
    <row r="549" ht="14.25" customHeight="1">
      <c r="A549" s="280"/>
    </row>
    <row r="550" ht="14.25" customHeight="1">
      <c r="A550" s="280"/>
    </row>
    <row r="551" ht="14.25" customHeight="1">
      <c r="A551" s="280"/>
    </row>
    <row r="552" ht="14.25" customHeight="1">
      <c r="A552" s="280"/>
    </row>
    <row r="553" ht="14.25" customHeight="1">
      <c r="A553" s="280"/>
    </row>
    <row r="554" ht="14.25" customHeight="1">
      <c r="A554" s="280"/>
    </row>
    <row r="555" ht="14.25" customHeight="1">
      <c r="A555" s="280"/>
    </row>
    <row r="556" ht="14.25" customHeight="1">
      <c r="A556" s="280"/>
    </row>
    <row r="557" ht="14.25" customHeight="1">
      <c r="A557" s="280"/>
    </row>
    <row r="558" ht="14.25" customHeight="1">
      <c r="A558" s="280"/>
    </row>
    <row r="559" ht="14.25" customHeight="1">
      <c r="A559" s="280"/>
    </row>
    <row r="560" ht="14.25" customHeight="1">
      <c r="A560" s="280"/>
    </row>
    <row r="561" ht="14.25" customHeight="1">
      <c r="A561" s="280"/>
    </row>
    <row r="562" ht="14.25" customHeight="1">
      <c r="A562" s="280"/>
    </row>
    <row r="563" ht="14.25" customHeight="1">
      <c r="A563" s="280"/>
    </row>
    <row r="564" ht="14.25" customHeight="1">
      <c r="A564" s="280"/>
    </row>
    <row r="565" ht="14.25" customHeight="1">
      <c r="A565" s="280"/>
    </row>
    <row r="566" ht="14.25" customHeight="1">
      <c r="A566" s="280"/>
    </row>
    <row r="567" ht="14.25" customHeight="1">
      <c r="A567" s="280"/>
    </row>
    <row r="568" ht="14.25" customHeight="1">
      <c r="A568" s="280"/>
    </row>
    <row r="569" ht="14.25" customHeight="1">
      <c r="A569" s="280"/>
    </row>
    <row r="570" ht="14.25" customHeight="1">
      <c r="A570" s="280"/>
    </row>
    <row r="571" ht="14.25" customHeight="1">
      <c r="A571" s="280"/>
    </row>
    <row r="572" ht="14.25" customHeight="1">
      <c r="A572" s="280"/>
    </row>
    <row r="573" ht="14.25" customHeight="1">
      <c r="A573" s="280"/>
    </row>
    <row r="574" ht="14.25" customHeight="1">
      <c r="A574" s="280"/>
    </row>
    <row r="575" ht="14.25" customHeight="1">
      <c r="A575" s="280"/>
    </row>
    <row r="576" ht="14.25" customHeight="1">
      <c r="A576" s="280"/>
    </row>
    <row r="577" ht="14.25" customHeight="1">
      <c r="A577" s="280"/>
    </row>
    <row r="578" ht="14.25" customHeight="1">
      <c r="A578" s="280"/>
    </row>
    <row r="579" ht="14.25" customHeight="1">
      <c r="A579" s="280"/>
    </row>
    <row r="580" ht="14.25" customHeight="1">
      <c r="A580" s="280"/>
    </row>
    <row r="581" ht="14.25" customHeight="1">
      <c r="A581" s="280"/>
    </row>
    <row r="582" ht="14.25" customHeight="1">
      <c r="A582" s="280"/>
    </row>
    <row r="583" ht="14.25" customHeight="1">
      <c r="A583" s="280"/>
    </row>
    <row r="584" ht="14.25" customHeight="1">
      <c r="A584" s="280"/>
    </row>
    <row r="585" ht="14.25" customHeight="1">
      <c r="A585" s="280"/>
    </row>
    <row r="586" ht="14.25" customHeight="1">
      <c r="A586" s="280"/>
    </row>
    <row r="587" ht="14.25" customHeight="1">
      <c r="A587" s="280"/>
    </row>
    <row r="588" ht="14.25" customHeight="1">
      <c r="A588" s="280"/>
    </row>
    <row r="589" ht="14.25" customHeight="1">
      <c r="A589" s="280"/>
    </row>
    <row r="590" ht="14.25" customHeight="1">
      <c r="A590" s="280"/>
    </row>
    <row r="591" ht="14.25" customHeight="1">
      <c r="A591" s="280"/>
    </row>
    <row r="592" ht="14.25" customHeight="1">
      <c r="A592" s="280"/>
    </row>
    <row r="593" ht="14.25" customHeight="1">
      <c r="A593" s="280"/>
    </row>
    <row r="594" ht="14.25" customHeight="1">
      <c r="A594" s="280"/>
    </row>
    <row r="595" ht="14.25" customHeight="1">
      <c r="A595" s="280"/>
    </row>
    <row r="596" ht="14.25" customHeight="1">
      <c r="A596" s="280"/>
    </row>
    <row r="597" ht="14.25" customHeight="1">
      <c r="A597" s="280"/>
    </row>
    <row r="598" ht="14.25" customHeight="1">
      <c r="A598" s="280"/>
    </row>
    <row r="599" ht="14.25" customHeight="1">
      <c r="A599" s="280"/>
    </row>
    <row r="600" ht="14.25" customHeight="1">
      <c r="A600" s="280"/>
    </row>
    <row r="601" ht="14.25" customHeight="1">
      <c r="A601" s="280"/>
    </row>
    <row r="602" ht="14.25" customHeight="1">
      <c r="A602" s="280"/>
    </row>
    <row r="603" ht="14.25" customHeight="1">
      <c r="A603" s="280"/>
    </row>
    <row r="604" ht="14.25" customHeight="1">
      <c r="A604" s="280"/>
    </row>
    <row r="605" ht="14.25" customHeight="1">
      <c r="A605" s="280"/>
    </row>
    <row r="606" ht="14.25" customHeight="1">
      <c r="A606" s="280"/>
    </row>
    <row r="607" ht="14.25" customHeight="1">
      <c r="A607" s="280"/>
    </row>
    <row r="608" ht="14.25" customHeight="1">
      <c r="A608" s="280"/>
    </row>
    <row r="609" ht="14.25" customHeight="1">
      <c r="A609" s="280"/>
    </row>
    <row r="610" ht="14.25" customHeight="1">
      <c r="A610" s="280"/>
    </row>
    <row r="611" ht="14.25" customHeight="1">
      <c r="A611" s="280"/>
    </row>
    <row r="612" ht="14.25" customHeight="1">
      <c r="A612" s="280"/>
    </row>
    <row r="613" ht="14.25" customHeight="1">
      <c r="A613" s="280"/>
    </row>
    <row r="614" ht="14.25" customHeight="1">
      <c r="A614" s="280"/>
    </row>
    <row r="615" ht="14.25" customHeight="1">
      <c r="A615" s="280"/>
    </row>
    <row r="616" ht="14.25" customHeight="1">
      <c r="A616" s="280"/>
    </row>
    <row r="617" ht="14.25" customHeight="1">
      <c r="A617" s="280"/>
    </row>
    <row r="618" ht="14.25" customHeight="1">
      <c r="A618" s="280"/>
    </row>
    <row r="619" ht="14.25" customHeight="1">
      <c r="A619" s="280"/>
    </row>
    <row r="620" ht="14.25" customHeight="1">
      <c r="A620" s="280"/>
    </row>
    <row r="621" ht="14.25" customHeight="1">
      <c r="A621" s="280"/>
    </row>
    <row r="622" ht="14.25" customHeight="1">
      <c r="A622" s="280"/>
    </row>
    <row r="623" ht="14.25" customHeight="1">
      <c r="A623" s="280"/>
    </row>
    <row r="624" ht="14.25" customHeight="1">
      <c r="A624" s="280"/>
    </row>
    <row r="625" ht="14.25" customHeight="1">
      <c r="A625" s="280"/>
    </row>
    <row r="626" ht="14.25" customHeight="1">
      <c r="A626" s="280"/>
    </row>
    <row r="627" ht="14.25" customHeight="1">
      <c r="A627" s="280"/>
    </row>
    <row r="628" ht="14.25" customHeight="1">
      <c r="A628" s="280"/>
    </row>
    <row r="629" ht="14.25" customHeight="1">
      <c r="A629" s="280"/>
    </row>
    <row r="630" ht="14.25" customHeight="1">
      <c r="A630" s="280"/>
    </row>
    <row r="631" ht="14.25" customHeight="1">
      <c r="A631" s="280"/>
    </row>
    <row r="632" ht="14.25" customHeight="1">
      <c r="A632" s="280"/>
    </row>
    <row r="633" ht="14.25" customHeight="1">
      <c r="A633" s="280"/>
    </row>
    <row r="634" ht="14.25" customHeight="1">
      <c r="A634" s="280"/>
    </row>
    <row r="635" ht="14.25" customHeight="1">
      <c r="A635" s="280"/>
    </row>
    <row r="636" ht="14.25" customHeight="1">
      <c r="A636" s="280"/>
    </row>
    <row r="637" ht="14.25" customHeight="1">
      <c r="A637" s="280"/>
    </row>
    <row r="638" ht="14.25" customHeight="1">
      <c r="A638" s="280"/>
    </row>
    <row r="639" ht="14.25" customHeight="1">
      <c r="A639" s="280"/>
    </row>
    <row r="640" ht="14.25" customHeight="1">
      <c r="A640" s="280"/>
    </row>
    <row r="641" ht="14.25" customHeight="1">
      <c r="A641" s="280"/>
    </row>
    <row r="642" ht="14.25" customHeight="1">
      <c r="A642" s="280"/>
    </row>
    <row r="643" ht="14.25" customHeight="1">
      <c r="A643" s="280"/>
    </row>
    <row r="644" ht="14.25" customHeight="1">
      <c r="A644" s="280"/>
    </row>
    <row r="645" ht="14.25" customHeight="1">
      <c r="A645" s="280"/>
    </row>
    <row r="646" ht="14.25" customHeight="1">
      <c r="A646" s="280"/>
    </row>
    <row r="647" ht="14.25" customHeight="1">
      <c r="A647" s="280"/>
    </row>
    <row r="648" ht="14.25" customHeight="1">
      <c r="A648" s="280"/>
    </row>
    <row r="649" ht="14.25" customHeight="1">
      <c r="A649" s="280"/>
    </row>
    <row r="650" ht="14.25" customHeight="1">
      <c r="A650" s="280"/>
    </row>
    <row r="651" ht="14.25" customHeight="1">
      <c r="A651" s="280"/>
    </row>
    <row r="652" ht="14.25" customHeight="1">
      <c r="A652" s="280"/>
    </row>
    <row r="653" ht="14.25" customHeight="1">
      <c r="A653" s="280"/>
    </row>
    <row r="654" ht="14.25" customHeight="1">
      <c r="A654" s="280"/>
    </row>
    <row r="655" ht="14.25" customHeight="1">
      <c r="A655" s="280"/>
    </row>
    <row r="656" ht="14.25" customHeight="1">
      <c r="A656" s="280"/>
    </row>
    <row r="657" ht="14.25" customHeight="1">
      <c r="A657" s="280"/>
    </row>
    <row r="658" ht="14.25" customHeight="1">
      <c r="A658" s="280"/>
    </row>
    <row r="659" ht="14.25" customHeight="1">
      <c r="A659" s="280"/>
    </row>
    <row r="660" ht="14.25" customHeight="1">
      <c r="A660" s="280"/>
    </row>
    <row r="661" ht="14.25" customHeight="1">
      <c r="A661" s="280"/>
    </row>
    <row r="662" ht="14.25" customHeight="1">
      <c r="A662" s="280"/>
    </row>
    <row r="663" ht="14.25" customHeight="1">
      <c r="A663" s="280"/>
    </row>
    <row r="664" ht="14.25" customHeight="1">
      <c r="A664" s="280"/>
    </row>
    <row r="665" ht="14.25" customHeight="1">
      <c r="A665" s="280"/>
    </row>
    <row r="666" ht="14.25" customHeight="1">
      <c r="A666" s="280"/>
    </row>
    <row r="667" ht="14.25" customHeight="1">
      <c r="A667" s="280"/>
    </row>
    <row r="668" ht="14.25" customHeight="1">
      <c r="A668" s="280"/>
    </row>
    <row r="669" ht="14.25" customHeight="1">
      <c r="A669" s="280"/>
    </row>
    <row r="670" ht="14.25" customHeight="1">
      <c r="A670" s="280"/>
    </row>
    <row r="671" ht="14.25" customHeight="1">
      <c r="A671" s="280"/>
    </row>
    <row r="672" ht="14.25" customHeight="1">
      <c r="A672" s="280"/>
    </row>
    <row r="673" ht="14.25" customHeight="1">
      <c r="A673" s="280"/>
    </row>
    <row r="674" ht="14.25" customHeight="1">
      <c r="A674" s="280"/>
    </row>
    <row r="675" ht="14.25" customHeight="1">
      <c r="A675" s="280"/>
    </row>
    <row r="676" ht="14.25" customHeight="1">
      <c r="A676" s="280"/>
    </row>
    <row r="677" ht="14.25" customHeight="1">
      <c r="A677" s="280"/>
    </row>
    <row r="678" ht="14.25" customHeight="1">
      <c r="A678" s="280"/>
    </row>
    <row r="679" ht="14.25" customHeight="1">
      <c r="A679" s="280"/>
    </row>
    <row r="680" ht="14.25" customHeight="1">
      <c r="A680" s="280"/>
    </row>
    <row r="681" ht="14.25" customHeight="1">
      <c r="A681" s="280"/>
    </row>
    <row r="682" ht="14.25" customHeight="1">
      <c r="A682" s="280"/>
    </row>
    <row r="683" ht="14.25" customHeight="1">
      <c r="A683" s="280"/>
    </row>
    <row r="684" ht="14.25" customHeight="1">
      <c r="A684" s="280"/>
    </row>
    <row r="685" ht="14.25" customHeight="1">
      <c r="A685" s="280"/>
    </row>
    <row r="686" ht="14.25" customHeight="1">
      <c r="A686" s="280"/>
    </row>
    <row r="687" ht="14.25" customHeight="1">
      <c r="A687" s="280"/>
    </row>
    <row r="688" ht="14.25" customHeight="1">
      <c r="A688" s="280"/>
    </row>
    <row r="689" ht="14.25" customHeight="1">
      <c r="A689" s="280"/>
    </row>
    <row r="690" ht="14.25" customHeight="1">
      <c r="A690" s="280"/>
    </row>
    <row r="691" ht="14.25" customHeight="1">
      <c r="A691" s="280"/>
    </row>
    <row r="692" ht="14.25" customHeight="1">
      <c r="A692" s="280"/>
    </row>
    <row r="693" ht="14.25" customHeight="1">
      <c r="A693" s="280"/>
    </row>
    <row r="694" ht="14.25" customHeight="1">
      <c r="A694" s="280"/>
    </row>
    <row r="695" ht="14.25" customHeight="1">
      <c r="A695" s="280"/>
    </row>
    <row r="696" ht="14.25" customHeight="1">
      <c r="A696" s="280"/>
    </row>
    <row r="697" ht="14.25" customHeight="1">
      <c r="A697" s="280"/>
    </row>
    <row r="698" ht="14.25" customHeight="1">
      <c r="A698" s="280"/>
    </row>
    <row r="699" ht="14.25" customHeight="1">
      <c r="A699" s="280"/>
    </row>
    <row r="700" ht="14.25" customHeight="1">
      <c r="A700" s="280"/>
    </row>
    <row r="701" ht="14.25" customHeight="1">
      <c r="A701" s="280"/>
    </row>
    <row r="702" ht="14.25" customHeight="1">
      <c r="A702" s="280"/>
    </row>
    <row r="703" ht="14.25" customHeight="1">
      <c r="A703" s="280"/>
    </row>
    <row r="704" ht="14.25" customHeight="1">
      <c r="A704" s="280"/>
    </row>
    <row r="705" ht="14.25" customHeight="1">
      <c r="A705" s="280"/>
    </row>
    <row r="706" ht="14.25" customHeight="1">
      <c r="A706" s="280"/>
    </row>
    <row r="707" ht="14.25" customHeight="1">
      <c r="A707" s="280"/>
    </row>
    <row r="708" ht="14.25" customHeight="1">
      <c r="A708" s="280"/>
    </row>
    <row r="709" ht="14.25" customHeight="1">
      <c r="A709" s="280"/>
    </row>
    <row r="710" ht="14.25" customHeight="1">
      <c r="A710" s="280"/>
    </row>
    <row r="711" ht="14.25" customHeight="1">
      <c r="A711" s="280"/>
    </row>
    <row r="712" ht="14.25" customHeight="1">
      <c r="A712" s="280"/>
    </row>
    <row r="713" ht="14.25" customHeight="1">
      <c r="A713" s="280"/>
    </row>
    <row r="714" ht="14.25" customHeight="1">
      <c r="A714" s="280"/>
    </row>
    <row r="715" ht="14.25" customHeight="1">
      <c r="A715" s="280"/>
    </row>
    <row r="716" ht="14.25" customHeight="1">
      <c r="A716" s="280"/>
    </row>
    <row r="717" ht="14.25" customHeight="1">
      <c r="A717" s="280"/>
    </row>
    <row r="718" ht="14.25" customHeight="1">
      <c r="A718" s="280"/>
    </row>
    <row r="719" ht="14.25" customHeight="1">
      <c r="A719" s="280"/>
    </row>
    <row r="720" ht="14.25" customHeight="1">
      <c r="A720" s="280"/>
    </row>
    <row r="721" ht="14.25" customHeight="1">
      <c r="A721" s="280"/>
    </row>
    <row r="722" ht="14.25" customHeight="1">
      <c r="A722" s="280"/>
    </row>
    <row r="723" ht="14.25" customHeight="1">
      <c r="A723" s="280"/>
    </row>
    <row r="724" ht="14.25" customHeight="1">
      <c r="A724" s="280"/>
    </row>
    <row r="725" ht="14.25" customHeight="1">
      <c r="A725" s="280"/>
    </row>
    <row r="726" ht="14.25" customHeight="1">
      <c r="A726" s="280"/>
    </row>
    <row r="727" ht="14.25" customHeight="1">
      <c r="A727" s="280"/>
    </row>
    <row r="728" ht="14.25" customHeight="1">
      <c r="A728" s="280"/>
    </row>
    <row r="729" ht="14.25" customHeight="1">
      <c r="A729" s="280"/>
    </row>
    <row r="730" ht="14.25" customHeight="1">
      <c r="A730" s="280"/>
    </row>
    <row r="731" ht="14.25" customHeight="1">
      <c r="A731" s="280"/>
    </row>
    <row r="732" ht="14.25" customHeight="1">
      <c r="A732" s="280"/>
    </row>
    <row r="733" ht="14.25" customHeight="1">
      <c r="A733" s="280"/>
    </row>
    <row r="734" ht="14.25" customHeight="1">
      <c r="A734" s="280"/>
    </row>
    <row r="735" ht="14.25" customHeight="1">
      <c r="A735" s="280"/>
    </row>
    <row r="736" ht="14.25" customHeight="1">
      <c r="A736" s="280"/>
    </row>
    <row r="737" ht="14.25" customHeight="1">
      <c r="A737" s="280"/>
    </row>
    <row r="738" ht="14.25" customHeight="1">
      <c r="A738" s="280"/>
    </row>
    <row r="739" ht="14.25" customHeight="1">
      <c r="A739" s="280"/>
    </row>
    <row r="740" ht="14.25" customHeight="1">
      <c r="A740" s="280"/>
    </row>
    <row r="741" ht="14.25" customHeight="1">
      <c r="A741" s="280"/>
    </row>
    <row r="742" ht="14.25" customHeight="1">
      <c r="A742" s="280"/>
    </row>
    <row r="743" ht="14.25" customHeight="1">
      <c r="A743" s="280"/>
    </row>
    <row r="744" ht="14.25" customHeight="1">
      <c r="A744" s="280"/>
    </row>
    <row r="745" ht="14.25" customHeight="1">
      <c r="A745" s="280"/>
    </row>
    <row r="746" ht="14.25" customHeight="1">
      <c r="A746" s="280"/>
    </row>
    <row r="747" ht="14.25" customHeight="1">
      <c r="A747" s="280"/>
    </row>
    <row r="748" ht="14.25" customHeight="1">
      <c r="A748" s="280"/>
    </row>
    <row r="749" ht="14.25" customHeight="1">
      <c r="A749" s="280"/>
    </row>
    <row r="750" ht="14.25" customHeight="1">
      <c r="A750" s="280"/>
    </row>
    <row r="751" ht="14.25" customHeight="1">
      <c r="A751" s="280"/>
    </row>
    <row r="752" ht="14.25" customHeight="1">
      <c r="A752" s="280"/>
    </row>
    <row r="753" ht="14.25" customHeight="1">
      <c r="A753" s="280"/>
    </row>
    <row r="754" ht="14.25" customHeight="1">
      <c r="A754" s="280"/>
    </row>
    <row r="755" ht="14.25" customHeight="1">
      <c r="A755" s="280"/>
    </row>
    <row r="756" ht="14.25" customHeight="1">
      <c r="A756" s="280"/>
    </row>
    <row r="757" ht="14.25" customHeight="1">
      <c r="A757" s="280"/>
    </row>
    <row r="758" ht="14.25" customHeight="1">
      <c r="A758" s="280"/>
    </row>
    <row r="759" ht="14.25" customHeight="1">
      <c r="A759" s="280"/>
    </row>
    <row r="760" ht="14.25" customHeight="1">
      <c r="A760" s="280"/>
    </row>
    <row r="761" ht="14.25" customHeight="1">
      <c r="A761" s="280"/>
    </row>
    <row r="762" ht="14.25" customHeight="1">
      <c r="A762" s="280"/>
    </row>
    <row r="763" ht="14.25" customHeight="1">
      <c r="A763" s="280"/>
    </row>
    <row r="764" ht="14.25" customHeight="1">
      <c r="A764" s="280"/>
    </row>
    <row r="765" ht="14.25" customHeight="1">
      <c r="A765" s="280"/>
    </row>
    <row r="766" ht="14.25" customHeight="1">
      <c r="A766" s="280"/>
    </row>
    <row r="767" ht="14.25" customHeight="1">
      <c r="A767" s="280"/>
    </row>
    <row r="768" ht="14.25" customHeight="1">
      <c r="A768" s="280"/>
    </row>
    <row r="769" ht="14.25" customHeight="1">
      <c r="A769" s="280"/>
    </row>
    <row r="770" ht="14.25" customHeight="1">
      <c r="A770" s="280"/>
    </row>
    <row r="771" ht="14.25" customHeight="1">
      <c r="A771" s="280"/>
    </row>
    <row r="772" ht="14.25" customHeight="1">
      <c r="A772" s="280"/>
    </row>
    <row r="773" ht="14.25" customHeight="1">
      <c r="A773" s="280"/>
    </row>
    <row r="774" ht="14.25" customHeight="1">
      <c r="A774" s="280"/>
    </row>
    <row r="775" ht="14.25" customHeight="1">
      <c r="A775" s="280"/>
    </row>
    <row r="776" ht="14.25" customHeight="1">
      <c r="A776" s="280"/>
    </row>
    <row r="777" ht="14.25" customHeight="1">
      <c r="A777" s="280"/>
    </row>
    <row r="778" ht="14.25" customHeight="1">
      <c r="A778" s="280"/>
    </row>
    <row r="779" ht="14.25" customHeight="1">
      <c r="A779" s="280"/>
    </row>
    <row r="780" ht="14.25" customHeight="1">
      <c r="A780" s="280"/>
    </row>
    <row r="781" ht="14.25" customHeight="1">
      <c r="A781" s="280"/>
    </row>
    <row r="782" ht="14.25" customHeight="1">
      <c r="A782" s="280"/>
    </row>
    <row r="783" ht="14.25" customHeight="1">
      <c r="A783" s="280"/>
    </row>
    <row r="784" ht="14.25" customHeight="1">
      <c r="A784" s="280"/>
    </row>
    <row r="785" ht="14.25" customHeight="1">
      <c r="A785" s="280"/>
    </row>
    <row r="786" ht="14.25" customHeight="1">
      <c r="A786" s="280"/>
    </row>
    <row r="787" ht="14.25" customHeight="1">
      <c r="A787" s="280"/>
    </row>
    <row r="788" ht="14.25" customHeight="1">
      <c r="A788" s="280"/>
    </row>
    <row r="789" ht="14.25" customHeight="1">
      <c r="A789" s="280"/>
    </row>
    <row r="790" ht="14.25" customHeight="1">
      <c r="A790" s="280"/>
    </row>
    <row r="791" ht="14.25" customHeight="1">
      <c r="A791" s="280"/>
    </row>
    <row r="792" ht="14.25" customHeight="1">
      <c r="A792" s="280"/>
    </row>
    <row r="793" ht="14.25" customHeight="1">
      <c r="A793" s="280"/>
    </row>
    <row r="794" ht="14.25" customHeight="1">
      <c r="A794" s="280"/>
    </row>
    <row r="795" ht="14.25" customHeight="1">
      <c r="A795" s="280"/>
    </row>
    <row r="796" ht="14.25" customHeight="1">
      <c r="A796" s="280"/>
    </row>
    <row r="797" ht="14.25" customHeight="1">
      <c r="A797" s="280"/>
    </row>
    <row r="798" ht="14.25" customHeight="1">
      <c r="A798" s="280"/>
    </row>
    <row r="799" ht="14.25" customHeight="1">
      <c r="A799" s="280"/>
    </row>
    <row r="800" ht="14.25" customHeight="1">
      <c r="A800" s="280"/>
    </row>
    <row r="801" ht="14.25" customHeight="1">
      <c r="A801" s="280"/>
    </row>
    <row r="802" ht="14.25" customHeight="1">
      <c r="A802" s="280"/>
    </row>
    <row r="803" ht="14.25" customHeight="1">
      <c r="A803" s="280"/>
    </row>
    <row r="804" ht="14.25" customHeight="1">
      <c r="A804" s="280"/>
    </row>
    <row r="805" ht="14.25" customHeight="1">
      <c r="A805" s="280"/>
    </row>
    <row r="806" ht="14.25" customHeight="1">
      <c r="A806" s="280"/>
    </row>
    <row r="807" ht="14.25" customHeight="1">
      <c r="A807" s="280"/>
    </row>
    <row r="808" ht="14.25" customHeight="1">
      <c r="A808" s="280"/>
    </row>
    <row r="809" ht="14.25" customHeight="1">
      <c r="A809" s="280"/>
    </row>
    <row r="810" ht="14.25" customHeight="1">
      <c r="A810" s="280"/>
    </row>
    <row r="811" ht="14.25" customHeight="1">
      <c r="A811" s="280"/>
    </row>
    <row r="812" ht="14.25" customHeight="1">
      <c r="A812" s="280"/>
    </row>
    <row r="813" ht="14.25" customHeight="1">
      <c r="A813" s="280"/>
    </row>
    <row r="814" ht="14.25" customHeight="1">
      <c r="A814" s="280"/>
    </row>
    <row r="815" ht="14.25" customHeight="1">
      <c r="A815" s="280"/>
    </row>
    <row r="816" ht="14.25" customHeight="1">
      <c r="A816" s="280"/>
    </row>
    <row r="817" ht="14.25" customHeight="1">
      <c r="A817" s="280"/>
    </row>
    <row r="818" ht="14.25" customHeight="1">
      <c r="A818" s="280"/>
    </row>
    <row r="819" ht="14.25" customHeight="1">
      <c r="A819" s="280"/>
    </row>
    <row r="820" ht="14.25" customHeight="1">
      <c r="A820" s="280"/>
    </row>
    <row r="821" ht="14.25" customHeight="1">
      <c r="A821" s="280"/>
    </row>
    <row r="822" ht="14.25" customHeight="1">
      <c r="A822" s="280"/>
    </row>
    <row r="823" ht="14.25" customHeight="1">
      <c r="A823" s="280"/>
    </row>
    <row r="824" ht="14.25" customHeight="1">
      <c r="A824" s="280"/>
    </row>
    <row r="825" ht="14.25" customHeight="1">
      <c r="A825" s="280"/>
    </row>
    <row r="826" ht="14.25" customHeight="1">
      <c r="A826" s="280"/>
    </row>
    <row r="827" ht="14.25" customHeight="1">
      <c r="A827" s="280"/>
    </row>
    <row r="828" ht="14.25" customHeight="1">
      <c r="A828" s="280"/>
    </row>
    <row r="829" ht="14.25" customHeight="1">
      <c r="A829" s="280"/>
    </row>
    <row r="830" ht="14.25" customHeight="1">
      <c r="A830" s="280"/>
    </row>
    <row r="831" ht="14.25" customHeight="1">
      <c r="A831" s="280"/>
    </row>
    <row r="832" ht="14.25" customHeight="1">
      <c r="A832" s="280"/>
    </row>
    <row r="833" ht="14.25" customHeight="1">
      <c r="A833" s="280"/>
    </row>
    <row r="834" ht="14.25" customHeight="1">
      <c r="A834" s="280"/>
    </row>
    <row r="835" ht="14.25" customHeight="1">
      <c r="A835" s="280"/>
    </row>
    <row r="836" ht="14.25" customHeight="1">
      <c r="A836" s="280"/>
    </row>
    <row r="837" ht="14.25" customHeight="1">
      <c r="A837" s="280"/>
    </row>
    <row r="838" ht="14.25" customHeight="1">
      <c r="A838" s="280"/>
    </row>
    <row r="839" ht="14.25" customHeight="1">
      <c r="A839" s="280"/>
    </row>
    <row r="840" ht="14.25" customHeight="1">
      <c r="A840" s="280"/>
    </row>
    <row r="841" ht="14.25" customHeight="1">
      <c r="A841" s="280"/>
    </row>
    <row r="842" ht="14.25" customHeight="1">
      <c r="A842" s="280"/>
    </row>
    <row r="843" ht="14.25" customHeight="1">
      <c r="A843" s="280"/>
    </row>
    <row r="844" ht="14.25" customHeight="1">
      <c r="A844" s="280"/>
    </row>
    <row r="845" ht="14.25" customHeight="1">
      <c r="A845" s="280"/>
    </row>
    <row r="846" ht="14.25" customHeight="1">
      <c r="A846" s="280"/>
    </row>
    <row r="847" ht="14.25" customHeight="1">
      <c r="A847" s="280"/>
    </row>
    <row r="848" ht="14.25" customHeight="1">
      <c r="A848" s="280"/>
    </row>
    <row r="849" ht="14.25" customHeight="1">
      <c r="A849" s="280"/>
    </row>
    <row r="850" ht="14.25" customHeight="1">
      <c r="A850" s="280"/>
    </row>
    <row r="851" ht="14.25" customHeight="1">
      <c r="A851" s="280"/>
    </row>
    <row r="852" ht="14.25" customHeight="1">
      <c r="A852" s="280"/>
    </row>
    <row r="853" ht="14.25" customHeight="1">
      <c r="A853" s="280"/>
    </row>
    <row r="854" ht="14.25" customHeight="1">
      <c r="A854" s="280"/>
    </row>
    <row r="855" ht="14.25" customHeight="1">
      <c r="A855" s="280"/>
    </row>
    <row r="856" ht="14.25" customHeight="1">
      <c r="A856" s="280"/>
    </row>
    <row r="857" ht="14.25" customHeight="1">
      <c r="A857" s="280"/>
    </row>
    <row r="858" ht="14.25" customHeight="1">
      <c r="A858" s="280"/>
    </row>
    <row r="859" ht="14.25" customHeight="1">
      <c r="A859" s="280"/>
    </row>
    <row r="860" ht="14.25" customHeight="1">
      <c r="A860" s="280"/>
    </row>
    <row r="861" ht="14.25" customHeight="1">
      <c r="A861" s="280"/>
    </row>
    <row r="862" ht="14.25" customHeight="1">
      <c r="A862" s="280"/>
    </row>
    <row r="863" ht="14.25" customHeight="1">
      <c r="A863" s="280"/>
    </row>
    <row r="864" ht="14.25" customHeight="1">
      <c r="A864" s="280"/>
    </row>
    <row r="865" ht="14.25" customHeight="1">
      <c r="A865" s="280"/>
    </row>
    <row r="866" ht="14.25" customHeight="1">
      <c r="A866" s="280"/>
    </row>
    <row r="867" ht="14.25" customHeight="1">
      <c r="A867" s="280"/>
    </row>
    <row r="868" ht="14.25" customHeight="1">
      <c r="A868" s="280"/>
    </row>
    <row r="869" ht="14.25" customHeight="1">
      <c r="A869" s="280"/>
    </row>
    <row r="870" ht="14.25" customHeight="1">
      <c r="A870" s="280"/>
    </row>
    <row r="871" ht="14.25" customHeight="1">
      <c r="A871" s="280"/>
    </row>
    <row r="872" ht="14.25" customHeight="1">
      <c r="A872" s="280"/>
    </row>
    <row r="873" ht="14.25" customHeight="1">
      <c r="A873" s="280"/>
    </row>
    <row r="874" ht="14.25" customHeight="1">
      <c r="A874" s="280"/>
    </row>
    <row r="875" ht="14.25" customHeight="1">
      <c r="A875" s="280"/>
    </row>
    <row r="876" ht="14.25" customHeight="1">
      <c r="A876" s="280"/>
    </row>
    <row r="877" ht="14.25" customHeight="1">
      <c r="A877" s="280"/>
    </row>
    <row r="878" ht="14.25" customHeight="1">
      <c r="A878" s="280"/>
    </row>
    <row r="879" ht="14.25" customHeight="1">
      <c r="A879" s="280"/>
    </row>
    <row r="880" ht="14.25" customHeight="1">
      <c r="A880" s="280"/>
    </row>
    <row r="881" ht="14.25" customHeight="1">
      <c r="A881" s="280"/>
    </row>
    <row r="882" ht="14.25" customHeight="1">
      <c r="A882" s="280"/>
    </row>
    <row r="883" ht="14.25" customHeight="1">
      <c r="A883" s="280"/>
    </row>
    <row r="884" ht="14.25" customHeight="1">
      <c r="A884" s="280"/>
    </row>
    <row r="885" ht="14.25" customHeight="1">
      <c r="A885" s="280"/>
    </row>
    <row r="886" ht="14.25" customHeight="1">
      <c r="A886" s="280"/>
    </row>
    <row r="887" ht="14.25" customHeight="1">
      <c r="A887" s="280"/>
    </row>
    <row r="888" ht="14.25" customHeight="1">
      <c r="A888" s="280"/>
    </row>
    <row r="889" ht="14.25" customHeight="1">
      <c r="A889" s="280"/>
    </row>
    <row r="890" ht="14.25" customHeight="1">
      <c r="A890" s="280"/>
    </row>
    <row r="891" ht="14.25" customHeight="1">
      <c r="A891" s="280"/>
    </row>
    <row r="892" ht="14.25" customHeight="1">
      <c r="A892" s="280"/>
    </row>
    <row r="893" ht="14.25" customHeight="1">
      <c r="A893" s="280"/>
    </row>
    <row r="894" ht="14.25" customHeight="1">
      <c r="A894" s="280"/>
    </row>
    <row r="895" ht="14.25" customHeight="1">
      <c r="A895" s="280"/>
    </row>
    <row r="896" ht="14.25" customHeight="1">
      <c r="A896" s="280"/>
    </row>
    <row r="897" ht="14.25" customHeight="1">
      <c r="A897" s="280"/>
    </row>
    <row r="898" ht="14.25" customHeight="1">
      <c r="A898" s="280"/>
    </row>
    <row r="899" ht="14.25" customHeight="1">
      <c r="A899" s="280"/>
    </row>
    <row r="900" ht="14.25" customHeight="1">
      <c r="A900" s="280"/>
    </row>
    <row r="901" ht="14.25" customHeight="1">
      <c r="A901" s="280"/>
    </row>
    <row r="902" ht="14.25" customHeight="1">
      <c r="A902" s="280"/>
    </row>
    <row r="903" ht="14.25" customHeight="1">
      <c r="A903" s="280"/>
    </row>
    <row r="904" ht="14.25" customHeight="1">
      <c r="A904" s="280"/>
    </row>
    <row r="905" ht="14.25" customHeight="1">
      <c r="A905" s="280"/>
    </row>
    <row r="906" ht="14.25" customHeight="1">
      <c r="A906" s="280"/>
    </row>
    <row r="907" ht="14.25" customHeight="1">
      <c r="A907" s="280"/>
    </row>
    <row r="908" ht="14.25" customHeight="1">
      <c r="A908" s="280"/>
    </row>
    <row r="909" ht="14.25" customHeight="1">
      <c r="A909" s="280"/>
    </row>
    <row r="910" ht="14.25" customHeight="1">
      <c r="A910" s="280"/>
    </row>
    <row r="911" ht="14.25" customHeight="1">
      <c r="A911" s="280"/>
    </row>
    <row r="912" ht="14.25" customHeight="1">
      <c r="A912" s="280"/>
    </row>
    <row r="913" ht="14.25" customHeight="1">
      <c r="A913" s="280"/>
    </row>
    <row r="914" ht="14.25" customHeight="1">
      <c r="A914" s="280"/>
    </row>
    <row r="915" ht="14.25" customHeight="1">
      <c r="A915" s="280"/>
    </row>
    <row r="916" ht="14.25" customHeight="1">
      <c r="A916" s="280"/>
    </row>
    <row r="917" ht="14.25" customHeight="1">
      <c r="A917" s="280"/>
    </row>
    <row r="918" ht="14.25" customHeight="1">
      <c r="A918" s="280"/>
    </row>
    <row r="919" ht="14.25" customHeight="1">
      <c r="A919" s="280"/>
    </row>
    <row r="920" ht="14.25" customHeight="1">
      <c r="A920" s="280"/>
    </row>
    <row r="921" ht="14.25" customHeight="1">
      <c r="A921" s="280"/>
    </row>
    <row r="922" ht="14.25" customHeight="1">
      <c r="A922" s="280"/>
    </row>
    <row r="923" ht="14.25" customHeight="1">
      <c r="A923" s="280"/>
    </row>
    <row r="924" ht="14.25" customHeight="1">
      <c r="A924" s="280"/>
    </row>
    <row r="925" ht="14.25" customHeight="1">
      <c r="A925" s="280"/>
    </row>
    <row r="926" ht="14.25" customHeight="1">
      <c r="A926" s="280"/>
    </row>
    <row r="927" ht="14.25" customHeight="1">
      <c r="A927" s="280"/>
    </row>
    <row r="928" ht="14.25" customHeight="1">
      <c r="A928" s="280"/>
    </row>
    <row r="929" ht="14.25" customHeight="1">
      <c r="A929" s="280"/>
    </row>
    <row r="930" ht="14.25" customHeight="1">
      <c r="A930" s="280"/>
    </row>
    <row r="931" ht="14.25" customHeight="1">
      <c r="A931" s="280"/>
    </row>
    <row r="932" ht="14.25" customHeight="1">
      <c r="A932" s="280"/>
    </row>
    <row r="933" ht="14.25" customHeight="1">
      <c r="A933" s="280"/>
    </row>
    <row r="934" ht="14.25" customHeight="1">
      <c r="A934" s="280"/>
    </row>
    <row r="935" ht="14.25" customHeight="1">
      <c r="A935" s="280"/>
    </row>
    <row r="936" ht="14.25" customHeight="1">
      <c r="A936" s="280"/>
    </row>
    <row r="937" ht="14.25" customHeight="1">
      <c r="A937" s="280"/>
    </row>
    <row r="938" ht="14.25" customHeight="1">
      <c r="A938" s="280"/>
    </row>
    <row r="939" ht="14.25" customHeight="1">
      <c r="A939" s="280"/>
    </row>
    <row r="940" ht="14.25" customHeight="1">
      <c r="A940" s="280"/>
    </row>
    <row r="941" ht="14.25" customHeight="1">
      <c r="A941" s="280"/>
    </row>
    <row r="942" ht="14.25" customHeight="1">
      <c r="A942" s="280"/>
    </row>
    <row r="943" ht="14.25" customHeight="1">
      <c r="A943" s="280"/>
    </row>
    <row r="944" ht="14.25" customHeight="1">
      <c r="A944" s="280"/>
    </row>
    <row r="945" ht="14.25" customHeight="1">
      <c r="A945" s="280"/>
    </row>
    <row r="946" ht="14.25" customHeight="1">
      <c r="A946" s="280"/>
    </row>
    <row r="947" ht="14.25" customHeight="1">
      <c r="A947" s="280"/>
    </row>
    <row r="948" ht="14.25" customHeight="1">
      <c r="A948" s="280"/>
    </row>
    <row r="949" ht="14.25" customHeight="1">
      <c r="A949" s="280"/>
    </row>
    <row r="950" ht="14.25" customHeight="1">
      <c r="A950" s="280"/>
    </row>
    <row r="951" ht="14.25" customHeight="1">
      <c r="A951" s="280"/>
    </row>
    <row r="952" ht="14.25" customHeight="1">
      <c r="A952" s="280"/>
    </row>
    <row r="953" ht="14.25" customHeight="1">
      <c r="A953" s="280"/>
    </row>
    <row r="954" ht="14.25" customHeight="1">
      <c r="A954" s="280"/>
    </row>
    <row r="955" ht="14.25" customHeight="1">
      <c r="A955" s="280"/>
    </row>
    <row r="956" ht="14.25" customHeight="1">
      <c r="A956" s="280"/>
    </row>
    <row r="957" ht="14.25" customHeight="1">
      <c r="A957" s="280"/>
    </row>
    <row r="958" ht="14.25" customHeight="1">
      <c r="A958" s="280"/>
    </row>
    <row r="959" ht="14.25" customHeight="1">
      <c r="A959" s="280"/>
    </row>
    <row r="960" ht="14.25" customHeight="1">
      <c r="A960" s="280"/>
    </row>
    <row r="961" ht="14.25" customHeight="1">
      <c r="A961" s="280"/>
    </row>
    <row r="962" ht="14.25" customHeight="1">
      <c r="A962" s="280"/>
    </row>
    <row r="963" ht="14.25" customHeight="1">
      <c r="A963" s="280"/>
    </row>
    <row r="964" ht="14.25" customHeight="1">
      <c r="A964" s="280"/>
    </row>
    <row r="965" ht="14.25" customHeight="1">
      <c r="A965" s="280"/>
    </row>
    <row r="966" ht="14.25" customHeight="1">
      <c r="A966" s="280"/>
    </row>
    <row r="967" ht="14.25" customHeight="1">
      <c r="A967" s="280"/>
    </row>
    <row r="968" ht="14.25" customHeight="1">
      <c r="A968" s="280"/>
    </row>
    <row r="969" ht="14.25" customHeight="1">
      <c r="A969" s="280"/>
    </row>
    <row r="970" ht="14.25" customHeight="1">
      <c r="A970" s="280"/>
    </row>
    <row r="971" ht="14.25" customHeight="1">
      <c r="A971" s="280"/>
    </row>
    <row r="972" ht="14.25" customHeight="1">
      <c r="A972" s="280"/>
    </row>
    <row r="973" ht="14.25" customHeight="1">
      <c r="A973" s="280"/>
    </row>
    <row r="974" ht="14.25" customHeight="1">
      <c r="A974" s="280"/>
    </row>
    <row r="975" ht="14.25" customHeight="1">
      <c r="A975" s="280"/>
    </row>
    <row r="976" ht="14.25" customHeight="1">
      <c r="A976" s="280"/>
    </row>
    <row r="977" ht="14.25" customHeight="1">
      <c r="A977" s="280"/>
    </row>
    <row r="978" ht="14.25" customHeight="1">
      <c r="A978" s="280"/>
    </row>
    <row r="979" ht="14.25" customHeight="1">
      <c r="A979" s="280"/>
    </row>
    <row r="980" ht="14.25" customHeight="1">
      <c r="A980" s="280"/>
    </row>
    <row r="981" ht="14.25" customHeight="1">
      <c r="A981" s="280"/>
    </row>
    <row r="982" ht="14.25" customHeight="1">
      <c r="A982" s="280"/>
    </row>
    <row r="983" ht="14.25" customHeight="1">
      <c r="A983" s="280"/>
    </row>
    <row r="984" ht="14.25" customHeight="1">
      <c r="A984" s="280"/>
    </row>
    <row r="985" ht="14.25" customHeight="1">
      <c r="A985" s="280"/>
    </row>
    <row r="986" ht="14.25" customHeight="1">
      <c r="A986" s="280"/>
    </row>
    <row r="987" ht="14.25" customHeight="1">
      <c r="A987" s="280"/>
    </row>
    <row r="988" ht="14.25" customHeight="1">
      <c r="A988" s="280"/>
    </row>
    <row r="989" ht="14.25" customHeight="1">
      <c r="A989" s="280"/>
    </row>
    <row r="990" ht="14.25" customHeight="1">
      <c r="A990" s="280"/>
    </row>
    <row r="991" ht="14.25" customHeight="1">
      <c r="A991" s="280"/>
    </row>
    <row r="992" ht="14.25" customHeight="1">
      <c r="A992" s="280"/>
    </row>
    <row r="993" ht="14.25" customHeight="1">
      <c r="A993" s="280"/>
    </row>
    <row r="994" ht="14.25" customHeight="1">
      <c r="A994" s="280"/>
    </row>
    <row r="995" ht="14.25" customHeight="1">
      <c r="A995" s="280"/>
    </row>
    <row r="996" ht="14.25" customHeight="1">
      <c r="A996" s="280"/>
    </row>
    <row r="997" ht="14.25" customHeight="1">
      <c r="A997" s="280"/>
    </row>
    <row r="998" ht="14.25" customHeight="1">
      <c r="A998" s="280"/>
    </row>
    <row r="999" ht="14.25" customHeight="1">
      <c r="A999" s="280"/>
    </row>
    <row r="1000" ht="14.25" customHeight="1">
      <c r="A1000" s="280"/>
    </row>
  </sheetData>
  <mergeCells count="6">
    <mergeCell ref="A2:M2"/>
    <mergeCell ref="A3:M3"/>
    <mergeCell ref="A5:B5"/>
    <mergeCell ref="A6:B6"/>
    <mergeCell ref="A7:B7"/>
    <mergeCell ref="P33:P35"/>
  </mergeCells>
  <printOptions/>
  <pageMargins bottom="0.7480314960629921" footer="0.0" header="0.0" left="0.7086614173228347" right="0.7086614173228347" top="0.7480314960629921"/>
  <pageSetup paperSize="5" scale="55" orientation="landscape"/>
  <drawing r:id="rId1"/>
  <tableParts count="1">
    <tablePart r:id="rId3"/>
  </tableParts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42.43"/>
    <col customWidth="1" min="3" max="3" width="23.43"/>
    <col customWidth="1" min="4" max="4" width="20.29"/>
    <col customWidth="1" min="5" max="5" width="8.29"/>
    <col customWidth="1" min="6" max="6" width="16.71"/>
    <col customWidth="1" min="7" max="7" width="28.43"/>
    <col customWidth="1" min="8" max="8" width="9.0"/>
    <col customWidth="1" min="9" max="9" width="26.0"/>
    <col customWidth="1" min="10" max="10" width="23.43"/>
    <col customWidth="1" min="11" max="11" width="23.86"/>
    <col customWidth="1" min="12" max="12" width="13.57"/>
    <col customWidth="1" min="13" max="13" width="18.14"/>
    <col customWidth="1" min="14" max="14" width="24.43"/>
    <col customWidth="1" min="15" max="27" width="9.0"/>
  </cols>
  <sheetData>
    <row r="1" ht="14.25" customHeight="1"/>
    <row r="2" ht="14.25" customHeight="1"/>
    <row r="3" ht="14.25" customHeight="1">
      <c r="A3" s="1" t="s">
        <v>0</v>
      </c>
    </row>
    <row r="4" ht="14.25" customHeight="1">
      <c r="A4" s="1" t="s">
        <v>1</v>
      </c>
    </row>
    <row r="5" ht="14.25" customHeight="1"/>
    <row r="6" ht="14.25" customHeight="1"/>
    <row r="7" ht="14.25" customHeight="1">
      <c r="A7" s="2" t="s">
        <v>2</v>
      </c>
      <c r="C7" s="2" t="s">
        <v>3</v>
      </c>
    </row>
    <row r="8" ht="14.25" customHeight="1">
      <c r="A8" s="2" t="s">
        <v>4</v>
      </c>
      <c r="C8" s="2" t="s">
        <v>5</v>
      </c>
    </row>
    <row r="9" ht="14.25" customHeight="1">
      <c r="A9" s="2" t="s">
        <v>6</v>
      </c>
      <c r="C9" s="2" t="s">
        <v>8049</v>
      </c>
    </row>
    <row r="10" ht="14.25" customHeight="1">
      <c r="A10" s="169" t="s">
        <v>8</v>
      </c>
      <c r="B10" s="170" t="s">
        <v>9</v>
      </c>
      <c r="C10" s="170" t="s">
        <v>10</v>
      </c>
      <c r="D10" s="170" t="s">
        <v>11</v>
      </c>
      <c r="E10" s="170" t="s">
        <v>12</v>
      </c>
      <c r="F10" s="170" t="s">
        <v>13</v>
      </c>
      <c r="G10" s="170" t="s">
        <v>14</v>
      </c>
      <c r="H10" s="170" t="s">
        <v>15</v>
      </c>
      <c r="I10" s="170" t="s">
        <v>16</v>
      </c>
      <c r="J10" s="170" t="s">
        <v>17</v>
      </c>
      <c r="K10" s="246" t="s">
        <v>1881</v>
      </c>
      <c r="L10" s="170" t="s">
        <v>1882</v>
      </c>
      <c r="M10" s="171" t="s">
        <v>20</v>
      </c>
      <c r="N10" s="170" t="s">
        <v>1883</v>
      </c>
    </row>
    <row r="11" ht="14.25" customHeight="1">
      <c r="A11" s="871"/>
      <c r="B11" s="872" t="s">
        <v>23</v>
      </c>
      <c r="C11" s="872"/>
      <c r="D11" s="872"/>
      <c r="E11" s="872"/>
      <c r="F11" s="873">
        <f>SUM(F12:F13)</f>
        <v>467049400</v>
      </c>
      <c r="G11" s="872"/>
      <c r="H11" s="872"/>
      <c r="I11" s="872"/>
      <c r="J11" s="872"/>
      <c r="K11" s="872"/>
      <c r="L11" s="872"/>
      <c r="M11" s="874"/>
      <c r="N11" s="381"/>
    </row>
    <row r="12" ht="14.25" customHeight="1">
      <c r="A12" s="875">
        <v>1.0</v>
      </c>
      <c r="B12" s="876" t="s">
        <v>779</v>
      </c>
      <c r="C12" s="876" t="s">
        <v>780</v>
      </c>
      <c r="D12" s="876" t="s">
        <v>8050</v>
      </c>
      <c r="E12" s="876" t="s">
        <v>70</v>
      </c>
      <c r="F12" s="877">
        <v>2.070494E8</v>
      </c>
      <c r="G12" s="876" t="s">
        <v>7837</v>
      </c>
      <c r="H12" s="876" t="s">
        <v>44</v>
      </c>
      <c r="I12" s="878" t="s">
        <v>8051</v>
      </c>
      <c r="J12" s="879" t="s">
        <v>8052</v>
      </c>
      <c r="K12" s="879" t="s">
        <v>8053</v>
      </c>
      <c r="L12" s="879" t="s">
        <v>8054</v>
      </c>
      <c r="M12" s="880" t="s">
        <v>8055</v>
      </c>
      <c r="N12" s="175" t="s">
        <v>8056</v>
      </c>
    </row>
    <row r="13" ht="14.25" customHeight="1">
      <c r="A13" s="875">
        <v>2.0</v>
      </c>
      <c r="B13" s="876" t="s">
        <v>779</v>
      </c>
      <c r="C13" s="876" t="s">
        <v>780</v>
      </c>
      <c r="D13" s="876" t="s">
        <v>8050</v>
      </c>
      <c r="E13" s="876" t="s">
        <v>70</v>
      </c>
      <c r="F13" s="877">
        <v>2.6E8</v>
      </c>
      <c r="G13" s="876" t="s">
        <v>7724</v>
      </c>
      <c r="H13" s="876" t="s">
        <v>78</v>
      </c>
      <c r="I13" s="878" t="s">
        <v>8057</v>
      </c>
      <c r="J13" s="879" t="s">
        <v>8058</v>
      </c>
      <c r="K13" s="879" t="s">
        <v>8059</v>
      </c>
      <c r="L13" s="876" t="s">
        <v>8060</v>
      </c>
      <c r="M13" s="391"/>
      <c r="N13" s="175" t="s">
        <v>8061</v>
      </c>
    </row>
    <row r="14" ht="14.25" customHeight="1">
      <c r="A14" s="871"/>
      <c r="B14" s="872" t="s">
        <v>99</v>
      </c>
      <c r="C14" s="872"/>
      <c r="D14" s="872"/>
      <c r="E14" s="872"/>
      <c r="F14" s="873">
        <f>SUM(F15:F34)</f>
        <v>280812900</v>
      </c>
      <c r="G14" s="872"/>
      <c r="H14" s="872"/>
      <c r="I14" s="872"/>
      <c r="J14" s="872"/>
      <c r="K14" s="872"/>
      <c r="L14" s="872"/>
      <c r="M14" s="874"/>
      <c r="N14" s="175"/>
    </row>
    <row r="15" ht="14.25" customHeight="1">
      <c r="A15" s="875">
        <v>1.0</v>
      </c>
      <c r="B15" s="876" t="s">
        <v>100</v>
      </c>
      <c r="C15" s="876" t="s">
        <v>100</v>
      </c>
      <c r="D15" s="876" t="s">
        <v>8050</v>
      </c>
      <c r="E15" s="876" t="s">
        <v>70</v>
      </c>
      <c r="F15" s="877">
        <v>3250000.0</v>
      </c>
      <c r="G15" s="876" t="s">
        <v>144</v>
      </c>
      <c r="H15" s="876" t="s">
        <v>127</v>
      </c>
      <c r="I15" s="876" t="s">
        <v>8062</v>
      </c>
      <c r="J15" s="876" t="s">
        <v>8063</v>
      </c>
      <c r="K15" s="175"/>
      <c r="L15" s="175"/>
      <c r="M15" s="391" t="s">
        <v>8064</v>
      </c>
      <c r="N15" s="175" t="s">
        <v>8065</v>
      </c>
    </row>
    <row r="16" ht="14.25" customHeight="1">
      <c r="A16" s="875">
        <v>2.0</v>
      </c>
      <c r="B16" s="876" t="s">
        <v>100</v>
      </c>
      <c r="C16" s="876" t="s">
        <v>100</v>
      </c>
      <c r="D16" s="876" t="s">
        <v>8050</v>
      </c>
      <c r="E16" s="876" t="s">
        <v>70</v>
      </c>
      <c r="F16" s="877">
        <v>5500000.0</v>
      </c>
      <c r="G16" s="876" t="s">
        <v>144</v>
      </c>
      <c r="H16" s="876" t="s">
        <v>782</v>
      </c>
      <c r="I16" s="878" t="s">
        <v>8066</v>
      </c>
      <c r="J16" s="879" t="s">
        <v>8067</v>
      </c>
      <c r="K16" s="879" t="s">
        <v>8068</v>
      </c>
      <c r="L16" s="879" t="s">
        <v>8069</v>
      </c>
      <c r="M16" s="391"/>
      <c r="N16" s="175" t="s">
        <v>8070</v>
      </c>
    </row>
    <row r="17" ht="14.25" customHeight="1">
      <c r="A17" s="875">
        <v>3.0</v>
      </c>
      <c r="B17" s="876" t="s">
        <v>100</v>
      </c>
      <c r="C17" s="876" t="s">
        <v>100</v>
      </c>
      <c r="D17" s="876" t="s">
        <v>8050</v>
      </c>
      <c r="E17" s="876" t="s">
        <v>8071</v>
      </c>
      <c r="F17" s="877">
        <v>6000000.0</v>
      </c>
      <c r="G17" s="876" t="s">
        <v>144</v>
      </c>
      <c r="H17" s="876" t="s">
        <v>924</v>
      </c>
      <c r="I17" s="878" t="s">
        <v>8072</v>
      </c>
      <c r="J17" s="879" t="s">
        <v>8073</v>
      </c>
      <c r="K17" s="879" t="s">
        <v>8074</v>
      </c>
      <c r="L17" s="879" t="s">
        <v>8075</v>
      </c>
      <c r="M17" s="391"/>
      <c r="N17" s="175"/>
    </row>
    <row r="18" ht="14.25" customHeight="1">
      <c r="A18" s="875">
        <v>4.0</v>
      </c>
      <c r="B18" s="876" t="s">
        <v>100</v>
      </c>
      <c r="C18" s="876" t="s">
        <v>100</v>
      </c>
      <c r="D18" s="876" t="s">
        <v>8050</v>
      </c>
      <c r="E18" s="876" t="s">
        <v>8071</v>
      </c>
      <c r="F18" s="877">
        <v>6000000.0</v>
      </c>
      <c r="G18" s="876" t="s">
        <v>144</v>
      </c>
      <c r="H18" s="876" t="s">
        <v>924</v>
      </c>
      <c r="I18" s="881" t="s">
        <v>8076</v>
      </c>
      <c r="J18" s="876" t="s">
        <v>8077</v>
      </c>
      <c r="K18" s="879" t="s">
        <v>8078</v>
      </c>
      <c r="L18" s="879" t="s">
        <v>8079</v>
      </c>
      <c r="M18" s="391"/>
      <c r="N18" s="175"/>
    </row>
    <row r="19" ht="14.25" customHeight="1">
      <c r="A19" s="875">
        <v>5.0</v>
      </c>
      <c r="B19" s="876" t="s">
        <v>100</v>
      </c>
      <c r="C19" s="876" t="s">
        <v>100</v>
      </c>
      <c r="D19" s="876" t="s">
        <v>8050</v>
      </c>
      <c r="E19" s="876" t="s">
        <v>8071</v>
      </c>
      <c r="F19" s="877">
        <v>6000000.0</v>
      </c>
      <c r="G19" s="876" t="s">
        <v>144</v>
      </c>
      <c r="H19" s="876" t="s">
        <v>924</v>
      </c>
      <c r="I19" s="881" t="s">
        <v>8080</v>
      </c>
      <c r="J19" s="876" t="s">
        <v>8081</v>
      </c>
      <c r="K19" s="879" t="s">
        <v>8082</v>
      </c>
      <c r="L19" s="879" t="s">
        <v>8083</v>
      </c>
      <c r="M19" s="391"/>
      <c r="N19" s="175"/>
    </row>
    <row r="20" ht="14.25" customHeight="1">
      <c r="A20" s="875">
        <v>6.0</v>
      </c>
      <c r="B20" s="876" t="s">
        <v>100</v>
      </c>
      <c r="C20" s="876" t="s">
        <v>100</v>
      </c>
      <c r="D20" s="876" t="s">
        <v>8050</v>
      </c>
      <c r="E20" s="876" t="s">
        <v>70</v>
      </c>
      <c r="F20" s="877">
        <v>9000000.0</v>
      </c>
      <c r="G20" s="876" t="s">
        <v>8084</v>
      </c>
      <c r="H20" s="876" t="s">
        <v>948</v>
      </c>
      <c r="I20" s="881" t="s">
        <v>8085</v>
      </c>
      <c r="J20" s="876" t="s">
        <v>8086</v>
      </c>
      <c r="K20" s="879" t="s">
        <v>8087</v>
      </c>
      <c r="L20" s="879" t="s">
        <v>8088</v>
      </c>
      <c r="M20" s="391"/>
      <c r="N20" s="175" t="s">
        <v>8089</v>
      </c>
    </row>
    <row r="21" ht="14.25" customHeight="1">
      <c r="A21" s="875">
        <v>7.0</v>
      </c>
      <c r="B21" s="876" t="s">
        <v>100</v>
      </c>
      <c r="C21" s="876" t="s">
        <v>100</v>
      </c>
      <c r="D21" s="876" t="s">
        <v>8050</v>
      </c>
      <c r="E21" s="876" t="s">
        <v>70</v>
      </c>
      <c r="F21" s="877">
        <v>1.7525E7</v>
      </c>
      <c r="G21" s="876" t="s">
        <v>8090</v>
      </c>
      <c r="H21" s="876" t="s">
        <v>391</v>
      </c>
      <c r="I21" s="881" t="s">
        <v>8091</v>
      </c>
      <c r="J21" s="876" t="s">
        <v>8092</v>
      </c>
      <c r="K21" s="879" t="s">
        <v>8093</v>
      </c>
      <c r="L21" s="879" t="s">
        <v>8094</v>
      </c>
      <c r="M21" s="391"/>
      <c r="N21" s="175" t="s">
        <v>8095</v>
      </c>
    </row>
    <row r="22" ht="14.25" customHeight="1">
      <c r="A22" s="875">
        <v>8.0</v>
      </c>
      <c r="B22" s="876" t="s">
        <v>100</v>
      </c>
      <c r="C22" s="876" t="s">
        <v>100</v>
      </c>
      <c r="D22" s="876" t="s">
        <v>8050</v>
      </c>
      <c r="E22" s="876" t="s">
        <v>70</v>
      </c>
      <c r="F22" s="877">
        <v>1.7525E7</v>
      </c>
      <c r="G22" s="876" t="s">
        <v>8090</v>
      </c>
      <c r="H22" s="876" t="s">
        <v>391</v>
      </c>
      <c r="I22" s="878" t="s">
        <v>8096</v>
      </c>
      <c r="J22" s="879" t="s">
        <v>8097</v>
      </c>
      <c r="K22" s="879" t="s">
        <v>8098</v>
      </c>
      <c r="L22" s="879" t="s">
        <v>8099</v>
      </c>
      <c r="M22" s="391" t="s">
        <v>8100</v>
      </c>
      <c r="N22" s="175" t="s">
        <v>8101</v>
      </c>
    </row>
    <row r="23" ht="14.25" customHeight="1">
      <c r="A23" s="875">
        <v>9.0</v>
      </c>
      <c r="B23" s="876" t="s">
        <v>100</v>
      </c>
      <c r="C23" s="876" t="s">
        <v>100</v>
      </c>
      <c r="D23" s="876" t="s">
        <v>8050</v>
      </c>
      <c r="E23" s="876" t="s">
        <v>70</v>
      </c>
      <c r="F23" s="877">
        <v>1.26229E7</v>
      </c>
      <c r="G23" s="876" t="s">
        <v>522</v>
      </c>
      <c r="H23" s="876" t="s">
        <v>84</v>
      </c>
      <c r="I23" s="878" t="s">
        <v>8102</v>
      </c>
      <c r="J23" s="879" t="s">
        <v>8103</v>
      </c>
      <c r="K23" s="879" t="s">
        <v>8104</v>
      </c>
      <c r="L23" s="879" t="s">
        <v>8105</v>
      </c>
      <c r="M23" s="391" t="s">
        <v>8106</v>
      </c>
      <c r="N23" s="175" t="s">
        <v>8107</v>
      </c>
    </row>
    <row r="24" ht="14.25" customHeight="1">
      <c r="A24" s="875">
        <v>10.0</v>
      </c>
      <c r="B24" s="876" t="s">
        <v>100</v>
      </c>
      <c r="C24" s="876" t="s">
        <v>100</v>
      </c>
      <c r="D24" s="876" t="s">
        <v>8050</v>
      </c>
      <c r="E24" s="876" t="s">
        <v>70</v>
      </c>
      <c r="F24" s="877">
        <v>1.7755E7</v>
      </c>
      <c r="G24" s="876" t="s">
        <v>2749</v>
      </c>
      <c r="H24" s="876" t="s">
        <v>84</v>
      </c>
      <c r="I24" s="876" t="s">
        <v>8108</v>
      </c>
      <c r="J24" s="876" t="s">
        <v>8109</v>
      </c>
      <c r="K24" s="175"/>
      <c r="L24" s="175"/>
      <c r="M24" s="391"/>
      <c r="N24" s="175" t="s">
        <v>8110</v>
      </c>
    </row>
    <row r="25" ht="14.25" customHeight="1">
      <c r="A25" s="875">
        <v>11.0</v>
      </c>
      <c r="B25" s="876" t="s">
        <v>100</v>
      </c>
      <c r="C25" s="876" t="s">
        <v>100</v>
      </c>
      <c r="D25" s="876" t="s">
        <v>8050</v>
      </c>
      <c r="E25" s="876" t="s">
        <v>70</v>
      </c>
      <c r="F25" s="877">
        <v>1.7755E7</v>
      </c>
      <c r="G25" s="876" t="s">
        <v>7637</v>
      </c>
      <c r="H25" s="876" t="s">
        <v>474</v>
      </c>
      <c r="I25" s="881" t="s">
        <v>8111</v>
      </c>
      <c r="J25" s="178" t="s">
        <v>8112</v>
      </c>
      <c r="K25" s="879" t="s">
        <v>8113</v>
      </c>
      <c r="L25" s="879" t="s">
        <v>8114</v>
      </c>
      <c r="M25" s="391"/>
      <c r="N25" s="175" t="s">
        <v>8115</v>
      </c>
    </row>
    <row r="26" ht="14.25" customHeight="1">
      <c r="A26" s="875">
        <v>12.0</v>
      </c>
      <c r="B26" s="876" t="s">
        <v>100</v>
      </c>
      <c r="C26" s="876" t="s">
        <v>100</v>
      </c>
      <c r="D26" s="876" t="s">
        <v>8050</v>
      </c>
      <c r="E26" s="876" t="s">
        <v>70</v>
      </c>
      <c r="F26" s="877">
        <v>1.32E7</v>
      </c>
      <c r="G26" s="876" t="s">
        <v>5892</v>
      </c>
      <c r="H26" s="876" t="s">
        <v>474</v>
      </c>
      <c r="I26" s="878" t="s">
        <v>8116</v>
      </c>
      <c r="J26" s="879" t="s">
        <v>8117</v>
      </c>
      <c r="K26" s="879" t="s">
        <v>8118</v>
      </c>
      <c r="L26" s="879" t="s">
        <v>8119</v>
      </c>
      <c r="M26" s="391"/>
      <c r="N26" s="175" t="s">
        <v>8120</v>
      </c>
    </row>
    <row r="27" ht="14.25" customHeight="1">
      <c r="A27" s="875">
        <v>13.0</v>
      </c>
      <c r="B27" s="876" t="s">
        <v>100</v>
      </c>
      <c r="C27" s="876" t="s">
        <v>100</v>
      </c>
      <c r="D27" s="876" t="s">
        <v>8050</v>
      </c>
      <c r="E27" s="876" t="s">
        <v>70</v>
      </c>
      <c r="F27" s="877">
        <v>1.32E7</v>
      </c>
      <c r="G27" s="876" t="s">
        <v>5892</v>
      </c>
      <c r="H27" s="876" t="s">
        <v>474</v>
      </c>
      <c r="I27" s="878" t="s">
        <v>8121</v>
      </c>
      <c r="J27" s="879" t="s">
        <v>8122</v>
      </c>
      <c r="K27" s="879" t="s">
        <v>8123</v>
      </c>
      <c r="L27" s="879" t="s">
        <v>8124</v>
      </c>
      <c r="M27" s="391" t="s">
        <v>8125</v>
      </c>
      <c r="N27" s="175" t="s">
        <v>8126</v>
      </c>
    </row>
    <row r="28" ht="14.25" customHeight="1">
      <c r="A28" s="875">
        <v>14.0</v>
      </c>
      <c r="B28" s="876" t="s">
        <v>100</v>
      </c>
      <c r="C28" s="876" t="s">
        <v>100</v>
      </c>
      <c r="D28" s="876" t="s">
        <v>8050</v>
      </c>
      <c r="E28" s="876" t="s">
        <v>70</v>
      </c>
      <c r="F28" s="877">
        <v>1.708E7</v>
      </c>
      <c r="G28" s="876" t="s">
        <v>6147</v>
      </c>
      <c r="H28" s="876" t="s">
        <v>92</v>
      </c>
      <c r="I28" s="876" t="s">
        <v>8127</v>
      </c>
      <c r="J28" s="876" t="s">
        <v>8128</v>
      </c>
      <c r="K28" s="175"/>
      <c r="L28" s="175"/>
      <c r="M28" s="391"/>
      <c r="N28" s="175" t="s">
        <v>8129</v>
      </c>
    </row>
    <row r="29" ht="14.25" customHeight="1">
      <c r="A29" s="875">
        <v>15.0</v>
      </c>
      <c r="B29" s="876" t="s">
        <v>100</v>
      </c>
      <c r="C29" s="876" t="s">
        <v>100</v>
      </c>
      <c r="D29" s="876" t="s">
        <v>8050</v>
      </c>
      <c r="E29" s="876" t="s">
        <v>70</v>
      </c>
      <c r="F29" s="877">
        <v>1.708E7</v>
      </c>
      <c r="G29" s="876" t="s">
        <v>6147</v>
      </c>
      <c r="H29" s="876" t="s">
        <v>92</v>
      </c>
      <c r="I29" s="878" t="s">
        <v>8130</v>
      </c>
      <c r="J29" s="879" t="s">
        <v>8131</v>
      </c>
      <c r="K29" s="879" t="s">
        <v>8132</v>
      </c>
      <c r="L29" s="879" t="s">
        <v>8133</v>
      </c>
      <c r="M29" s="391" t="s">
        <v>8134</v>
      </c>
      <c r="N29" s="175" t="s">
        <v>8135</v>
      </c>
    </row>
    <row r="30" ht="14.25" customHeight="1">
      <c r="A30" s="875">
        <v>16.0</v>
      </c>
      <c r="B30" s="876" t="s">
        <v>100</v>
      </c>
      <c r="C30" s="876" t="s">
        <v>4180</v>
      </c>
      <c r="D30" s="876" t="s">
        <v>8050</v>
      </c>
      <c r="E30" s="876" t="s">
        <v>70</v>
      </c>
      <c r="F30" s="877">
        <v>1.396E7</v>
      </c>
      <c r="G30" s="876" t="s">
        <v>8136</v>
      </c>
      <c r="H30" s="876" t="s">
        <v>910</v>
      </c>
      <c r="I30" s="876" t="s">
        <v>8137</v>
      </c>
      <c r="J30" s="175" t="s">
        <v>8138</v>
      </c>
      <c r="K30" s="175"/>
      <c r="L30" s="175" t="s">
        <v>8139</v>
      </c>
      <c r="M30" s="391"/>
      <c r="N30" s="175" t="s">
        <v>8140</v>
      </c>
    </row>
    <row r="31" ht="14.25" customHeight="1">
      <c r="A31" s="875">
        <v>17.0</v>
      </c>
      <c r="B31" s="876" t="s">
        <v>100</v>
      </c>
      <c r="C31" s="876" t="s">
        <v>4180</v>
      </c>
      <c r="D31" s="876" t="s">
        <v>8050</v>
      </c>
      <c r="E31" s="876" t="s">
        <v>70</v>
      </c>
      <c r="F31" s="877">
        <v>1.396E7</v>
      </c>
      <c r="G31" s="876" t="s">
        <v>8136</v>
      </c>
      <c r="H31" s="876" t="s">
        <v>910</v>
      </c>
      <c r="I31" s="876" t="s">
        <v>8141</v>
      </c>
      <c r="J31" s="175" t="s">
        <v>8142</v>
      </c>
      <c r="K31" s="175"/>
      <c r="L31" s="175"/>
      <c r="M31" s="391"/>
      <c r="N31" s="175" t="s">
        <v>8143</v>
      </c>
    </row>
    <row r="32" ht="14.25" customHeight="1">
      <c r="A32" s="875">
        <v>18.0</v>
      </c>
      <c r="B32" s="876" t="s">
        <v>100</v>
      </c>
      <c r="C32" s="876" t="s">
        <v>100</v>
      </c>
      <c r="D32" s="876" t="s">
        <v>8050</v>
      </c>
      <c r="E32" s="876" t="s">
        <v>70</v>
      </c>
      <c r="F32" s="877">
        <v>1.92E7</v>
      </c>
      <c r="G32" s="876" t="s">
        <v>8144</v>
      </c>
      <c r="H32" s="876" t="s">
        <v>862</v>
      </c>
      <c r="I32" s="881" t="s">
        <v>8145</v>
      </c>
      <c r="J32" s="876" t="s">
        <v>8146</v>
      </c>
      <c r="K32" s="178" t="s">
        <v>8147</v>
      </c>
      <c r="L32" s="178" t="s">
        <v>8148</v>
      </c>
      <c r="M32" s="391"/>
      <c r="N32" s="175" t="s">
        <v>8149</v>
      </c>
    </row>
    <row r="33" ht="14.25" customHeight="1">
      <c r="A33" s="875">
        <v>19.0</v>
      </c>
      <c r="B33" s="876" t="s">
        <v>100</v>
      </c>
      <c r="C33" s="876" t="s">
        <v>100</v>
      </c>
      <c r="D33" s="876" t="s">
        <v>8050</v>
      </c>
      <c r="E33" s="876" t="s">
        <v>70</v>
      </c>
      <c r="F33" s="877">
        <v>1.92E7</v>
      </c>
      <c r="G33" s="876" t="s">
        <v>8150</v>
      </c>
      <c r="H33" s="876" t="s">
        <v>862</v>
      </c>
      <c r="I33" s="881" t="s">
        <v>8151</v>
      </c>
      <c r="J33" s="876" t="s">
        <v>8152</v>
      </c>
      <c r="K33" s="178" t="s">
        <v>8153</v>
      </c>
      <c r="L33" s="178" t="s">
        <v>8154</v>
      </c>
      <c r="M33" s="391"/>
      <c r="N33" s="175" t="s">
        <v>8155</v>
      </c>
    </row>
    <row r="34" ht="14.25" customHeight="1">
      <c r="A34" s="882">
        <v>20.0</v>
      </c>
      <c r="B34" s="883" t="s">
        <v>8156</v>
      </c>
      <c r="C34" s="883" t="s">
        <v>8157</v>
      </c>
      <c r="D34" s="883" t="s">
        <v>8050</v>
      </c>
      <c r="E34" s="883" t="s">
        <v>70</v>
      </c>
      <c r="F34" s="884">
        <v>3.5E7</v>
      </c>
      <c r="G34" s="883" t="s">
        <v>1260</v>
      </c>
      <c r="H34" s="883" t="s">
        <v>2329</v>
      </c>
      <c r="I34" s="881" t="s">
        <v>8158</v>
      </c>
      <c r="J34" s="876" t="s">
        <v>8159</v>
      </c>
      <c r="K34" s="435" t="s">
        <v>8160</v>
      </c>
      <c r="L34" s="435" t="s">
        <v>8161</v>
      </c>
      <c r="M34" s="885" t="s">
        <v>8162</v>
      </c>
      <c r="N34" s="272" t="s">
        <v>8163</v>
      </c>
    </row>
    <row r="35" ht="14.25" customHeight="1"/>
    <row r="36" ht="14.25" customHeight="1"/>
    <row r="37" ht="14.25" customHeight="1"/>
    <row r="38" ht="14.25" customHeight="1"/>
    <row r="39" ht="14.25" customHeight="1">
      <c r="I39" s="806">
        <v>0.0</v>
      </c>
    </row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3:M3"/>
    <mergeCell ref="A4:M4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4.43" defaultRowHeight="15.0"/>
  <cols>
    <col customWidth="1" min="1" max="1" width="6.71"/>
    <col customWidth="1" min="2" max="2" width="39.71"/>
    <col customWidth="1" min="3" max="3" width="20.86"/>
    <col customWidth="1" min="4" max="4" width="23.71"/>
    <col customWidth="1" min="5" max="5" width="14.14"/>
    <col customWidth="1" min="6" max="6" width="19.71"/>
    <col customWidth="1" min="7" max="7" width="25.0"/>
    <col customWidth="1" min="8" max="8" width="11.71"/>
    <col customWidth="1" min="9" max="9" width="25.71"/>
    <col customWidth="1" min="10" max="10" width="20.86"/>
    <col customWidth="1" min="11" max="12" width="26.43"/>
    <col customWidth="1" min="13" max="13" width="42.29"/>
    <col customWidth="1" min="14" max="14" width="36.29"/>
    <col customWidth="1" min="15" max="15" width="27.71"/>
    <col customWidth="1" min="16" max="16" width="40.86"/>
    <col customWidth="1" min="17" max="27" width="8.71"/>
  </cols>
  <sheetData>
    <row r="1" ht="14.25" customHeight="1">
      <c r="A1" s="1" t="s">
        <v>0</v>
      </c>
    </row>
    <row r="2" ht="14.25" customHeight="1">
      <c r="A2" s="1" t="s">
        <v>1</v>
      </c>
    </row>
    <row r="3" ht="14.25" customHeight="1"/>
    <row r="4" ht="14.25" customHeight="1"/>
    <row r="5" ht="14.25" customHeight="1">
      <c r="A5" s="2" t="s">
        <v>2</v>
      </c>
      <c r="C5" s="2" t="s">
        <v>3</v>
      </c>
    </row>
    <row r="6" ht="14.25" customHeight="1">
      <c r="A6" s="2" t="s">
        <v>4</v>
      </c>
      <c r="C6" s="2" t="s">
        <v>5</v>
      </c>
    </row>
    <row r="7" ht="14.25" customHeight="1">
      <c r="A7" s="2" t="s">
        <v>6</v>
      </c>
      <c r="C7" s="2" t="s">
        <v>8164</v>
      </c>
    </row>
    <row r="8" ht="14.25" customHeight="1">
      <c r="A8" s="169" t="s">
        <v>8</v>
      </c>
      <c r="B8" s="170" t="s">
        <v>9</v>
      </c>
      <c r="C8" s="170" t="s">
        <v>10</v>
      </c>
      <c r="D8" s="170" t="s">
        <v>11</v>
      </c>
      <c r="E8" s="170" t="s">
        <v>12</v>
      </c>
      <c r="F8" s="170" t="s">
        <v>13</v>
      </c>
      <c r="G8" s="170" t="s">
        <v>14</v>
      </c>
      <c r="H8" s="170" t="s">
        <v>15</v>
      </c>
      <c r="I8" s="170" t="s">
        <v>16</v>
      </c>
      <c r="J8" s="170" t="s">
        <v>17</v>
      </c>
      <c r="K8" s="246" t="s">
        <v>1881</v>
      </c>
      <c r="L8" s="170" t="s">
        <v>1882</v>
      </c>
      <c r="M8" s="315" t="s">
        <v>1883</v>
      </c>
      <c r="N8" s="246" t="s">
        <v>20</v>
      </c>
      <c r="O8" s="316"/>
      <c r="P8" s="316"/>
      <c r="Q8" s="316"/>
    </row>
    <row r="9" ht="14.25" customHeight="1">
      <c r="A9" s="378"/>
      <c r="B9" s="173" t="s">
        <v>23</v>
      </c>
      <c r="C9" s="173"/>
      <c r="D9" s="173"/>
      <c r="E9" s="173"/>
      <c r="F9" s="886">
        <f>SUM(F10:F11)</f>
        <v>467049400</v>
      </c>
      <c r="G9" s="173"/>
      <c r="H9" s="173"/>
      <c r="I9" s="173"/>
      <c r="J9" s="173"/>
      <c r="K9" s="173"/>
      <c r="L9" s="173"/>
      <c r="M9" s="380"/>
      <c r="N9" s="381"/>
      <c r="O9" s="321"/>
      <c r="P9" s="321"/>
      <c r="Q9" s="321"/>
    </row>
    <row r="10" ht="14.25" customHeight="1">
      <c r="A10" s="253">
        <v>1.0</v>
      </c>
      <c r="B10" s="175" t="s">
        <v>779</v>
      </c>
      <c r="C10" s="175" t="s">
        <v>780</v>
      </c>
      <c r="D10" s="175" t="s">
        <v>8165</v>
      </c>
      <c r="E10" s="175" t="s">
        <v>70</v>
      </c>
      <c r="F10" s="887">
        <v>2.070494E8</v>
      </c>
      <c r="G10" s="175" t="s">
        <v>7837</v>
      </c>
      <c r="H10" s="175" t="s">
        <v>44</v>
      </c>
      <c r="I10" s="17" t="s">
        <v>8166</v>
      </c>
      <c r="J10" s="175" t="s">
        <v>8167</v>
      </c>
      <c r="K10" s="178" t="s">
        <v>8168</v>
      </c>
      <c r="L10" s="178" t="s">
        <v>8169</v>
      </c>
      <c r="M10" s="391" t="s">
        <v>8170</v>
      </c>
      <c r="N10" s="175" t="s">
        <v>8171</v>
      </c>
      <c r="O10" s="431" t="s">
        <v>8171</v>
      </c>
      <c r="P10" s="321"/>
      <c r="Q10" s="321"/>
    </row>
    <row r="11" ht="14.25" customHeight="1">
      <c r="A11" s="253">
        <v>2.0</v>
      </c>
      <c r="B11" s="175" t="s">
        <v>779</v>
      </c>
      <c r="C11" s="175" t="s">
        <v>780</v>
      </c>
      <c r="D11" s="175" t="s">
        <v>8165</v>
      </c>
      <c r="E11" s="175" t="s">
        <v>70</v>
      </c>
      <c r="F11" s="887">
        <v>2.6E8</v>
      </c>
      <c r="G11" s="175" t="s">
        <v>8172</v>
      </c>
      <c r="H11" s="175" t="s">
        <v>78</v>
      </c>
      <c r="I11" s="27" t="s">
        <v>8173</v>
      </c>
      <c r="J11" s="175" t="s">
        <v>8174</v>
      </c>
      <c r="K11" s="178" t="s">
        <v>8175</v>
      </c>
      <c r="L11" s="178" t="s">
        <v>8176</v>
      </c>
      <c r="M11" s="391" t="s">
        <v>8177</v>
      </c>
      <c r="N11" s="175" t="s">
        <v>8178</v>
      </c>
      <c r="O11" s="320" t="s">
        <v>8179</v>
      </c>
      <c r="P11" s="888"/>
      <c r="Q11" s="888"/>
    </row>
    <row r="12" ht="14.25" customHeight="1">
      <c r="A12" s="378"/>
      <c r="B12" s="173" t="s">
        <v>8180</v>
      </c>
      <c r="C12" s="173"/>
      <c r="D12" s="173"/>
      <c r="E12" s="173"/>
      <c r="F12" s="886">
        <f>SUM(F13:F24)</f>
        <v>164966470</v>
      </c>
      <c r="G12" s="173"/>
      <c r="H12" s="173"/>
      <c r="I12" s="173"/>
      <c r="J12" s="173"/>
      <c r="K12" s="173"/>
      <c r="L12" s="173"/>
      <c r="M12" s="380"/>
      <c r="N12" s="175"/>
      <c r="O12" s="321"/>
      <c r="P12" s="321"/>
      <c r="Q12" s="321"/>
    </row>
    <row r="13" ht="14.25" customHeight="1">
      <c r="A13" s="253">
        <v>1.0</v>
      </c>
      <c r="B13" s="175" t="s">
        <v>100</v>
      </c>
      <c r="C13" s="175" t="s">
        <v>100</v>
      </c>
      <c r="D13" s="175" t="s">
        <v>8165</v>
      </c>
      <c r="E13" s="175" t="s">
        <v>3018</v>
      </c>
      <c r="F13" s="887">
        <v>6000000.0</v>
      </c>
      <c r="G13" s="175" t="s">
        <v>144</v>
      </c>
      <c r="H13" s="175" t="s">
        <v>924</v>
      </c>
      <c r="I13" s="27" t="s">
        <v>8181</v>
      </c>
      <c r="J13" s="175" t="s">
        <v>8182</v>
      </c>
      <c r="K13" s="178" t="s">
        <v>8183</v>
      </c>
      <c r="L13" s="178" t="s">
        <v>8184</v>
      </c>
      <c r="M13" s="391" t="s">
        <v>8185</v>
      </c>
      <c r="N13" s="175" t="s">
        <v>8186</v>
      </c>
      <c r="O13" s="321"/>
      <c r="P13" s="321"/>
      <c r="Q13" s="321"/>
    </row>
    <row r="14" ht="14.25" customHeight="1">
      <c r="A14" s="253">
        <v>2.0</v>
      </c>
      <c r="B14" s="175" t="s">
        <v>100</v>
      </c>
      <c r="C14" s="175" t="s">
        <v>100</v>
      </c>
      <c r="D14" s="175" t="s">
        <v>8165</v>
      </c>
      <c r="E14" s="175" t="s">
        <v>3018</v>
      </c>
      <c r="F14" s="887">
        <v>6000000.0</v>
      </c>
      <c r="G14" s="175" t="s">
        <v>144</v>
      </c>
      <c r="H14" s="175" t="s">
        <v>924</v>
      </c>
      <c r="I14" s="175" t="s">
        <v>8187</v>
      </c>
      <c r="J14" s="175" t="s">
        <v>8188</v>
      </c>
      <c r="K14" s="178" t="s">
        <v>8189</v>
      </c>
      <c r="L14" s="175"/>
      <c r="M14" s="391" t="s">
        <v>8190</v>
      </c>
      <c r="N14" s="175" t="s">
        <v>8191</v>
      </c>
      <c r="O14" s="321"/>
      <c r="P14" s="321"/>
      <c r="Q14" s="321"/>
    </row>
    <row r="15" ht="14.25" customHeight="1">
      <c r="A15" s="253">
        <v>3.0</v>
      </c>
      <c r="B15" s="175" t="s">
        <v>100</v>
      </c>
      <c r="C15" s="175" t="s">
        <v>100</v>
      </c>
      <c r="D15" s="175" t="s">
        <v>8165</v>
      </c>
      <c r="E15" s="175" t="s">
        <v>3018</v>
      </c>
      <c r="F15" s="887">
        <v>6000000.0</v>
      </c>
      <c r="G15" s="175" t="s">
        <v>144</v>
      </c>
      <c r="H15" s="175" t="s">
        <v>924</v>
      </c>
      <c r="I15" s="27" t="s">
        <v>8192</v>
      </c>
      <c r="J15" s="175" t="s">
        <v>8193</v>
      </c>
      <c r="K15" s="178" t="s">
        <v>8194</v>
      </c>
      <c r="L15" s="178" t="s">
        <v>8195</v>
      </c>
      <c r="M15" s="391" t="s">
        <v>8196</v>
      </c>
      <c r="N15" s="175" t="s">
        <v>8186</v>
      </c>
      <c r="O15" s="321"/>
      <c r="P15" s="321"/>
      <c r="Q15" s="321"/>
    </row>
    <row r="16" ht="14.25" customHeight="1">
      <c r="A16" s="253">
        <v>4.0</v>
      </c>
      <c r="B16" s="175" t="s">
        <v>100</v>
      </c>
      <c r="C16" s="175" t="s">
        <v>100</v>
      </c>
      <c r="D16" s="175" t="s">
        <v>8165</v>
      </c>
      <c r="E16" s="175" t="s">
        <v>70</v>
      </c>
      <c r="F16" s="887">
        <v>9000000.0</v>
      </c>
      <c r="G16" s="175" t="s">
        <v>8197</v>
      </c>
      <c r="H16" s="175" t="s">
        <v>948</v>
      </c>
      <c r="I16" s="27" t="s">
        <v>8198</v>
      </c>
      <c r="J16" s="175" t="s">
        <v>8199</v>
      </c>
      <c r="K16" s="178" t="s">
        <v>8200</v>
      </c>
      <c r="L16" s="178" t="s">
        <v>8201</v>
      </c>
      <c r="M16" s="391" t="s">
        <v>8202</v>
      </c>
      <c r="N16" s="175" t="s">
        <v>8203</v>
      </c>
      <c r="O16" s="431" t="s">
        <v>8203</v>
      </c>
      <c r="P16" s="320" t="s">
        <v>8204</v>
      </c>
      <c r="Q16" s="320" t="s">
        <v>8205</v>
      </c>
    </row>
    <row r="17" ht="14.25" customHeight="1">
      <c r="A17" s="253">
        <v>5.0</v>
      </c>
      <c r="B17" s="175" t="s">
        <v>100</v>
      </c>
      <c r="C17" s="175" t="s">
        <v>100</v>
      </c>
      <c r="D17" s="175" t="s">
        <v>8165</v>
      </c>
      <c r="E17" s="175" t="s">
        <v>70</v>
      </c>
      <c r="F17" s="887">
        <v>1.2725E7</v>
      </c>
      <c r="G17" s="175" t="s">
        <v>8206</v>
      </c>
      <c r="H17" s="175" t="s">
        <v>37</v>
      </c>
      <c r="I17" s="27" t="s">
        <v>8207</v>
      </c>
      <c r="J17" s="175" t="s">
        <v>8208</v>
      </c>
      <c r="K17" s="178" t="s">
        <v>8209</v>
      </c>
      <c r="L17" s="178" t="s">
        <v>8210</v>
      </c>
      <c r="M17" s="391" t="s">
        <v>8211</v>
      </c>
      <c r="N17" s="175" t="s">
        <v>8212</v>
      </c>
      <c r="O17" s="320" t="s">
        <v>8213</v>
      </c>
      <c r="P17" s="320" t="s">
        <v>8214</v>
      </c>
      <c r="Q17" s="321"/>
    </row>
    <row r="18" ht="14.25" customHeight="1">
      <c r="A18" s="253">
        <v>6.0</v>
      </c>
      <c r="B18" s="175" t="s">
        <v>100</v>
      </c>
      <c r="C18" s="175" t="s">
        <v>100</v>
      </c>
      <c r="D18" s="175" t="s">
        <v>8165</v>
      </c>
      <c r="E18" s="175" t="s">
        <v>70</v>
      </c>
      <c r="F18" s="887">
        <v>1.7755E7</v>
      </c>
      <c r="G18" s="175" t="s">
        <v>8215</v>
      </c>
      <c r="H18" s="682">
        <v>2013.0</v>
      </c>
      <c r="I18" s="27" t="s">
        <v>8216</v>
      </c>
      <c r="J18" s="175" t="s">
        <v>8217</v>
      </c>
      <c r="K18" s="178" t="s">
        <v>8218</v>
      </c>
      <c r="L18" s="178" t="s">
        <v>8219</v>
      </c>
      <c r="M18" s="391" t="s">
        <v>8220</v>
      </c>
      <c r="N18" s="175" t="s">
        <v>8221</v>
      </c>
      <c r="O18" s="431" t="s">
        <v>8221</v>
      </c>
      <c r="P18" s="320" t="s">
        <v>8214</v>
      </c>
      <c r="Q18" s="321"/>
    </row>
    <row r="19" ht="14.25" customHeight="1">
      <c r="A19" s="253">
        <v>7.0</v>
      </c>
      <c r="B19" s="175" t="s">
        <v>100</v>
      </c>
      <c r="C19" s="175" t="s">
        <v>100</v>
      </c>
      <c r="D19" s="175" t="s">
        <v>8165</v>
      </c>
      <c r="E19" s="175" t="s">
        <v>70</v>
      </c>
      <c r="F19" s="887">
        <v>1.7755E7</v>
      </c>
      <c r="G19" s="175" t="s">
        <v>8222</v>
      </c>
      <c r="H19" s="175" t="s">
        <v>474</v>
      </c>
      <c r="I19" s="17" t="s">
        <v>8223</v>
      </c>
      <c r="J19" s="178" t="s">
        <v>8224</v>
      </c>
      <c r="K19" s="178" t="s">
        <v>8225</v>
      </c>
      <c r="L19" s="178" t="s">
        <v>8226</v>
      </c>
      <c r="M19" s="391" t="s">
        <v>8227</v>
      </c>
      <c r="N19" s="175" t="s">
        <v>8228</v>
      </c>
      <c r="O19" s="431" t="s">
        <v>8228</v>
      </c>
      <c r="P19" s="320" t="s">
        <v>8229</v>
      </c>
      <c r="Q19" s="888"/>
    </row>
    <row r="20" ht="14.25" customHeight="1">
      <c r="A20" s="253">
        <v>8.0</v>
      </c>
      <c r="B20" s="175" t="s">
        <v>100</v>
      </c>
      <c r="C20" s="175" t="s">
        <v>100</v>
      </c>
      <c r="D20" s="175" t="s">
        <v>8165</v>
      </c>
      <c r="E20" s="175" t="s">
        <v>70</v>
      </c>
      <c r="F20" s="887">
        <v>1.4125735E7</v>
      </c>
      <c r="G20" s="175" t="s">
        <v>8230</v>
      </c>
      <c r="H20" s="175" t="s">
        <v>92</v>
      </c>
      <c r="I20" s="27" t="s">
        <v>8231</v>
      </c>
      <c r="J20" s="175" t="s">
        <v>8232</v>
      </c>
      <c r="K20" s="178" t="s">
        <v>8233</v>
      </c>
      <c r="L20" s="178" t="s">
        <v>8234</v>
      </c>
      <c r="M20" s="391" t="s">
        <v>8235</v>
      </c>
      <c r="N20" s="175" t="s">
        <v>8236</v>
      </c>
      <c r="O20" s="431" t="s">
        <v>8236</v>
      </c>
      <c r="P20" s="320" t="s">
        <v>8007</v>
      </c>
      <c r="Q20" s="888"/>
    </row>
    <row r="21" ht="14.25" customHeight="1">
      <c r="A21" s="253">
        <v>9.0</v>
      </c>
      <c r="B21" s="175" t="s">
        <v>100</v>
      </c>
      <c r="C21" s="175" t="s">
        <v>100</v>
      </c>
      <c r="D21" s="175" t="s">
        <v>8165</v>
      </c>
      <c r="E21" s="175" t="s">
        <v>70</v>
      </c>
      <c r="F21" s="887">
        <v>1.4125735E7</v>
      </c>
      <c r="G21" s="175" t="s">
        <v>8230</v>
      </c>
      <c r="H21" s="175" t="s">
        <v>92</v>
      </c>
      <c r="I21" s="27" t="s">
        <v>8237</v>
      </c>
      <c r="J21" s="175" t="s">
        <v>8238</v>
      </c>
      <c r="K21" s="178" t="s">
        <v>8239</v>
      </c>
      <c r="L21" s="178" t="s">
        <v>8240</v>
      </c>
      <c r="M21" s="391" t="s">
        <v>8241</v>
      </c>
      <c r="N21" s="175" t="s">
        <v>8242</v>
      </c>
      <c r="O21" s="431" t="s">
        <v>8242</v>
      </c>
      <c r="P21" s="320" t="s">
        <v>8243</v>
      </c>
      <c r="Q21" s="888"/>
    </row>
    <row r="22" ht="14.25" customHeight="1">
      <c r="A22" s="253">
        <v>10.0</v>
      </c>
      <c r="B22" s="175" t="s">
        <v>100</v>
      </c>
      <c r="C22" s="175" t="s">
        <v>100</v>
      </c>
      <c r="D22" s="175" t="s">
        <v>8165</v>
      </c>
      <c r="E22" s="175" t="s">
        <v>70</v>
      </c>
      <c r="F22" s="887">
        <v>1.708E7</v>
      </c>
      <c r="G22" s="175" t="s">
        <v>8244</v>
      </c>
      <c r="H22" s="682">
        <v>2009.0</v>
      </c>
      <c r="I22" s="27" t="s">
        <v>8245</v>
      </c>
      <c r="J22" s="178" t="s">
        <v>8246</v>
      </c>
      <c r="K22" s="178" t="s">
        <v>8247</v>
      </c>
      <c r="L22" s="178" t="s">
        <v>8248</v>
      </c>
      <c r="M22" s="391" t="s">
        <v>8249</v>
      </c>
      <c r="N22" s="175" t="s">
        <v>8250</v>
      </c>
      <c r="O22" s="431" t="s">
        <v>8250</v>
      </c>
      <c r="P22" s="320" t="s">
        <v>7671</v>
      </c>
      <c r="Q22" s="888"/>
    </row>
    <row r="23" ht="14.25" customHeight="1">
      <c r="A23" s="253">
        <v>11.0</v>
      </c>
      <c r="B23" s="175" t="s">
        <v>100</v>
      </c>
      <c r="C23" s="175" t="s">
        <v>100</v>
      </c>
      <c r="D23" s="175" t="s">
        <v>8165</v>
      </c>
      <c r="E23" s="175" t="s">
        <v>70</v>
      </c>
      <c r="F23" s="887">
        <v>2.52E7</v>
      </c>
      <c r="G23" s="175" t="s">
        <v>8251</v>
      </c>
      <c r="H23" s="175" t="s">
        <v>862</v>
      </c>
      <c r="I23" s="17" t="s">
        <v>8252</v>
      </c>
      <c r="J23" s="175" t="s">
        <v>8253</v>
      </c>
      <c r="K23" s="178" t="s">
        <v>8254</v>
      </c>
      <c r="L23" s="178" t="s">
        <v>8255</v>
      </c>
      <c r="M23" s="272" t="s">
        <v>8256</v>
      </c>
      <c r="N23" s="391" t="s">
        <v>8257</v>
      </c>
      <c r="O23" s="320" t="s">
        <v>8258</v>
      </c>
      <c r="P23" s="320" t="s">
        <v>8259</v>
      </c>
      <c r="Q23" s="321"/>
    </row>
    <row r="24" ht="14.25" customHeight="1">
      <c r="A24" s="271">
        <v>12.0</v>
      </c>
      <c r="B24" s="272" t="s">
        <v>100</v>
      </c>
      <c r="C24" s="272" t="s">
        <v>100</v>
      </c>
      <c r="D24" s="272" t="s">
        <v>8165</v>
      </c>
      <c r="E24" s="272" t="s">
        <v>70</v>
      </c>
      <c r="F24" s="889">
        <v>1.92E7</v>
      </c>
      <c r="G24" s="272" t="s">
        <v>8260</v>
      </c>
      <c r="H24" s="272" t="s">
        <v>862</v>
      </c>
      <c r="I24" s="33" t="s">
        <v>8261</v>
      </c>
      <c r="J24" s="435" t="s">
        <v>8262</v>
      </c>
      <c r="K24" s="435" t="s">
        <v>8263</v>
      </c>
      <c r="L24" s="435" t="s">
        <v>8264</v>
      </c>
      <c r="M24" s="436" t="s">
        <v>8265</v>
      </c>
      <c r="N24" s="272" t="s">
        <v>8266</v>
      </c>
      <c r="O24" s="431" t="s">
        <v>8266</v>
      </c>
      <c r="P24" s="320" t="s">
        <v>8267</v>
      </c>
      <c r="Q24" s="321"/>
    </row>
    <row r="25" ht="14.25" customHeight="1">
      <c r="A25" s="271"/>
      <c r="B25" s="272"/>
      <c r="C25" s="272"/>
      <c r="D25" s="272"/>
      <c r="E25" s="272"/>
      <c r="F25" s="889"/>
      <c r="G25" s="272"/>
      <c r="H25" s="272"/>
      <c r="I25" s="272"/>
      <c r="J25" s="272"/>
      <c r="K25" s="272"/>
      <c r="L25" s="272"/>
      <c r="M25" s="436"/>
      <c r="N25" s="272"/>
      <c r="O25" s="321"/>
      <c r="P25" s="321"/>
      <c r="Q25" s="321"/>
    </row>
    <row r="26" ht="14.25" customHeight="1"/>
    <row r="27" ht="14.25" customHeight="1">
      <c r="N27" s="890"/>
    </row>
    <row r="28" ht="14.25" customHeight="1"/>
    <row r="29" ht="14.25" customHeight="1">
      <c r="N29" s="805" t="s">
        <v>8268</v>
      </c>
    </row>
    <row r="30" ht="14.25" customHeight="1"/>
    <row r="31" ht="14.25" customHeight="1">
      <c r="I31" s="805" t="s">
        <v>8269</v>
      </c>
      <c r="M31" s="805" t="s">
        <v>8270</v>
      </c>
    </row>
    <row r="32" ht="14.25" customHeight="1"/>
    <row r="33" ht="14.25" customHeight="1"/>
    <row r="34" ht="14.25" customHeight="1"/>
    <row r="35" ht="14.25" customHeight="1">
      <c r="I35" s="805" t="s">
        <v>8271</v>
      </c>
      <c r="M35" s="805" t="s">
        <v>8203</v>
      </c>
    </row>
    <row r="36" ht="14.25" customHeight="1">
      <c r="I36" s="805" t="s">
        <v>8272</v>
      </c>
      <c r="M36" s="805" t="s">
        <v>8273</v>
      </c>
    </row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M1"/>
    <mergeCell ref="A2:M2"/>
  </mergeCells>
  <printOptions horizontalCentered="1"/>
  <pageMargins bottom="0.7480314960629921" footer="0.0" header="0.0" left="0.03937007874015748" right="0.03937007874015748" top="0.7480314960629921"/>
  <pageSetup paperSize="9" scale="45" orientation="landscape"/>
  <drawing r:id="rId1"/>
  <tableParts count="1">
    <tablePart r:id="rId3"/>
  </tableParts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4.43" defaultRowHeight="15.0"/>
  <cols>
    <col customWidth="1" min="1" max="1" width="5.29"/>
    <col customWidth="1" min="2" max="2" width="16.86"/>
    <col customWidth="1" min="3" max="3" width="42.0"/>
    <col customWidth="1" min="4" max="4" width="17.86"/>
    <col customWidth="1" min="5" max="5" width="12.29"/>
    <col customWidth="1" min="6" max="6" width="16.14"/>
    <col customWidth="1" min="7" max="7" width="10.29"/>
    <col customWidth="1" min="8" max="8" width="8.71"/>
    <col customWidth="1" min="9" max="9" width="14.86"/>
    <col customWidth="1" min="10" max="10" width="21.71"/>
    <col customWidth="1" min="11" max="11" width="22.57"/>
    <col customWidth="1" min="12" max="12" width="12.86"/>
    <col customWidth="1" min="13" max="13" width="20.43"/>
    <col customWidth="1" min="14" max="15" width="53.43"/>
    <col customWidth="1" min="16" max="26" width="8.71"/>
  </cols>
  <sheetData>
    <row r="1" ht="14.25" customHeight="1"/>
    <row r="2" ht="14.25" customHeight="1"/>
    <row r="3" ht="14.25" customHeight="1">
      <c r="A3" s="1" t="s">
        <v>0</v>
      </c>
    </row>
    <row r="4" ht="14.25" customHeight="1">
      <c r="A4" s="1" t="s">
        <v>1</v>
      </c>
    </row>
    <row r="5" ht="14.25" customHeight="1"/>
    <row r="6" ht="14.25" customHeight="1"/>
    <row r="7" ht="14.25" customHeight="1">
      <c r="A7" s="2" t="s">
        <v>2</v>
      </c>
      <c r="C7" s="2" t="s">
        <v>3</v>
      </c>
    </row>
    <row r="8" ht="14.25" customHeight="1">
      <c r="A8" s="2" t="s">
        <v>4</v>
      </c>
      <c r="C8" s="2" t="s">
        <v>5</v>
      </c>
    </row>
    <row r="9" ht="14.25" customHeight="1">
      <c r="A9" s="2" t="s">
        <v>6</v>
      </c>
      <c r="C9" s="2" t="s">
        <v>8274</v>
      </c>
    </row>
    <row r="10" ht="14.25" customHeight="1">
      <c r="A10" s="169" t="s">
        <v>8</v>
      </c>
      <c r="B10" s="170" t="s">
        <v>9</v>
      </c>
      <c r="C10" s="170" t="s">
        <v>10</v>
      </c>
      <c r="D10" s="170" t="s">
        <v>11</v>
      </c>
      <c r="E10" s="170" t="s">
        <v>12</v>
      </c>
      <c r="F10" s="170" t="s">
        <v>13</v>
      </c>
      <c r="G10" s="170" t="s">
        <v>14</v>
      </c>
      <c r="H10" s="170" t="s">
        <v>15</v>
      </c>
      <c r="I10" s="170" t="s">
        <v>16</v>
      </c>
      <c r="J10" s="170" t="s">
        <v>17</v>
      </c>
      <c r="K10" s="170" t="s">
        <v>1881</v>
      </c>
      <c r="L10" s="170" t="s">
        <v>1882</v>
      </c>
      <c r="M10" s="171" t="s">
        <v>20</v>
      </c>
      <c r="N10" s="170" t="s">
        <v>1883</v>
      </c>
      <c r="O10" s="377"/>
    </row>
    <row r="11" ht="14.25" customHeight="1">
      <c r="A11" s="891"/>
      <c r="B11" s="673" t="s">
        <v>1884</v>
      </c>
      <c r="C11" s="673"/>
      <c r="D11" s="673"/>
      <c r="E11" s="673"/>
      <c r="F11" s="174">
        <f>SUM(F12:F13)</f>
        <v>467049400</v>
      </c>
      <c r="G11" s="174"/>
      <c r="H11" s="174"/>
      <c r="I11" s="174"/>
      <c r="J11" s="174"/>
      <c r="K11" s="174"/>
      <c r="L11" s="174"/>
      <c r="M11" s="174"/>
      <c r="N11" s="174"/>
      <c r="O11" s="892"/>
    </row>
    <row r="12" ht="14.25" customHeight="1">
      <c r="A12" s="893">
        <v>1.0</v>
      </c>
      <c r="B12" s="894" t="s">
        <v>1885</v>
      </c>
      <c r="C12" s="894" t="s">
        <v>780</v>
      </c>
      <c r="D12" s="894" t="s">
        <v>8275</v>
      </c>
      <c r="E12" s="894" t="s">
        <v>70</v>
      </c>
      <c r="F12" s="365">
        <v>2.070494E8</v>
      </c>
      <c r="G12" s="894" t="s">
        <v>771</v>
      </c>
      <c r="H12" s="894" t="s">
        <v>44</v>
      </c>
      <c r="I12" s="895" t="s">
        <v>8276</v>
      </c>
      <c r="J12" s="894" t="s">
        <v>8277</v>
      </c>
      <c r="K12" s="894" t="s">
        <v>8278</v>
      </c>
      <c r="L12" s="896" t="s">
        <v>8279</v>
      </c>
      <c r="M12" s="894" t="s">
        <v>8280</v>
      </c>
      <c r="N12" s="894" t="s">
        <v>8281</v>
      </c>
      <c r="O12" s="897" t="s">
        <v>8281</v>
      </c>
      <c r="P12" s="898" t="b">
        <v>1</v>
      </c>
      <c r="Q12" s="899"/>
      <c r="R12" s="899"/>
      <c r="S12" s="899"/>
      <c r="T12" s="899"/>
      <c r="U12" s="899"/>
      <c r="V12" s="899"/>
      <c r="W12" s="899"/>
      <c r="X12" s="899"/>
      <c r="Y12" s="899"/>
      <c r="Z12" s="899"/>
    </row>
    <row r="13" ht="14.25" customHeight="1">
      <c r="A13" s="900">
        <v>2.0</v>
      </c>
      <c r="B13" s="263" t="s">
        <v>8282</v>
      </c>
      <c r="C13" s="263" t="s">
        <v>780</v>
      </c>
      <c r="D13" s="263" t="s">
        <v>8275</v>
      </c>
      <c r="E13" s="263" t="s">
        <v>70</v>
      </c>
      <c r="F13" s="177">
        <v>2.6E8</v>
      </c>
      <c r="G13" s="263" t="s">
        <v>771</v>
      </c>
      <c r="H13" s="263" t="s">
        <v>78</v>
      </c>
      <c r="I13" s="901" t="s">
        <v>8283</v>
      </c>
      <c r="J13" s="263" t="s">
        <v>8284</v>
      </c>
      <c r="K13" s="263" t="s">
        <v>8285</v>
      </c>
      <c r="L13" s="263" t="s">
        <v>8286</v>
      </c>
      <c r="M13" s="263" t="s">
        <v>70</v>
      </c>
      <c r="N13" s="263" t="s">
        <v>8287</v>
      </c>
      <c r="O13" s="677" t="s">
        <v>8287</v>
      </c>
      <c r="P13" s="902" t="b">
        <v>1</v>
      </c>
      <c r="Q13" s="179"/>
      <c r="R13" s="179"/>
      <c r="S13" s="179"/>
      <c r="T13" s="179"/>
      <c r="U13" s="179"/>
      <c r="V13" s="179"/>
      <c r="W13" s="179"/>
      <c r="X13" s="179"/>
      <c r="Y13" s="179"/>
      <c r="Z13" s="179"/>
    </row>
    <row r="14" ht="14.25" customHeight="1">
      <c r="A14" s="903"/>
      <c r="B14" s="673" t="s">
        <v>99</v>
      </c>
      <c r="C14" s="904"/>
      <c r="D14" s="904"/>
      <c r="E14" s="904"/>
      <c r="F14" s="174">
        <f>SUM(F15:F27)</f>
        <v>222368120</v>
      </c>
      <c r="G14" s="427"/>
      <c r="H14" s="427"/>
      <c r="I14" s="177"/>
      <c r="J14" s="427"/>
      <c r="K14" s="427"/>
      <c r="L14" s="427"/>
      <c r="M14" s="427"/>
      <c r="N14" s="174"/>
      <c r="O14" s="892"/>
    </row>
    <row r="15" ht="14.25" customHeight="1">
      <c r="A15" s="900">
        <v>1.0</v>
      </c>
      <c r="B15" s="263" t="s">
        <v>100</v>
      </c>
      <c r="C15" s="263" t="s">
        <v>8288</v>
      </c>
      <c r="D15" s="263" t="s">
        <v>8275</v>
      </c>
      <c r="E15" s="263" t="s">
        <v>3743</v>
      </c>
      <c r="F15" s="177">
        <v>9000000.0</v>
      </c>
      <c r="G15" s="263" t="s">
        <v>771</v>
      </c>
      <c r="H15" s="263" t="s">
        <v>948</v>
      </c>
      <c r="I15" s="901" t="s">
        <v>8289</v>
      </c>
      <c r="J15" s="263" t="s">
        <v>8290</v>
      </c>
      <c r="K15" s="263" t="s">
        <v>8291</v>
      </c>
      <c r="L15" s="263" t="s">
        <v>8292</v>
      </c>
      <c r="M15" s="263"/>
      <c r="N15" s="263" t="s">
        <v>8293</v>
      </c>
      <c r="O15" s="905" t="s">
        <v>1238</v>
      </c>
      <c r="P15" s="906" t="b">
        <v>0</v>
      </c>
      <c r="Q15" s="362"/>
      <c r="R15" s="362"/>
      <c r="S15" s="362"/>
      <c r="T15" s="362"/>
      <c r="U15" s="362"/>
      <c r="V15" s="362"/>
      <c r="W15" s="362"/>
      <c r="X15" s="362"/>
      <c r="Y15" s="362"/>
      <c r="Z15" s="362"/>
    </row>
    <row r="16" ht="14.25" customHeight="1">
      <c r="A16" s="893">
        <v>2.0</v>
      </c>
      <c r="B16" s="894" t="s">
        <v>100</v>
      </c>
      <c r="C16" s="894" t="s">
        <v>8294</v>
      </c>
      <c r="D16" s="894" t="s">
        <v>8275</v>
      </c>
      <c r="E16" s="894" t="s">
        <v>70</v>
      </c>
      <c r="F16" s="365">
        <v>1.7325E7</v>
      </c>
      <c r="G16" s="894" t="s">
        <v>771</v>
      </c>
      <c r="H16" s="894" t="s">
        <v>391</v>
      </c>
      <c r="I16" s="907" t="s">
        <v>8295</v>
      </c>
      <c r="J16" s="894" t="s">
        <v>8296</v>
      </c>
      <c r="K16" s="894" t="s">
        <v>8297</v>
      </c>
      <c r="L16" s="896" t="s">
        <v>8298</v>
      </c>
      <c r="M16" s="894" t="s">
        <v>8299</v>
      </c>
      <c r="N16" s="894" t="s">
        <v>8300</v>
      </c>
      <c r="O16" s="263" t="s">
        <v>8301</v>
      </c>
      <c r="P16" s="898" t="b">
        <v>1</v>
      </c>
      <c r="Q16" s="899"/>
      <c r="R16" s="899"/>
      <c r="S16" s="899"/>
      <c r="T16" s="899"/>
      <c r="U16" s="899"/>
      <c r="V16" s="899"/>
      <c r="W16" s="899"/>
      <c r="X16" s="899"/>
      <c r="Y16" s="899"/>
      <c r="Z16" s="899"/>
    </row>
    <row r="17" ht="14.25" customHeight="1">
      <c r="A17" s="900">
        <v>3.0</v>
      </c>
      <c r="B17" s="263" t="s">
        <v>100</v>
      </c>
      <c r="C17" s="263" t="s">
        <v>8302</v>
      </c>
      <c r="D17" s="263" t="s">
        <v>8275</v>
      </c>
      <c r="E17" s="263" t="s">
        <v>70</v>
      </c>
      <c r="F17" s="177">
        <v>1.7325E7</v>
      </c>
      <c r="G17" s="263" t="s">
        <v>771</v>
      </c>
      <c r="H17" s="263" t="s">
        <v>391</v>
      </c>
      <c r="I17" s="864" t="s">
        <v>8303</v>
      </c>
      <c r="J17" s="439" t="s">
        <v>8304</v>
      </c>
      <c r="K17" s="439" t="s">
        <v>8305</v>
      </c>
      <c r="L17" s="263"/>
      <c r="M17" s="263"/>
      <c r="N17" s="263" t="s">
        <v>8301</v>
      </c>
      <c r="O17" s="905" t="s">
        <v>8306</v>
      </c>
      <c r="P17" s="906" t="b">
        <v>1</v>
      </c>
      <c r="Q17" s="362"/>
      <c r="R17" s="362"/>
      <c r="S17" s="362"/>
      <c r="T17" s="362"/>
      <c r="U17" s="362"/>
      <c r="V17" s="362"/>
      <c r="W17" s="362"/>
      <c r="X17" s="362"/>
      <c r="Y17" s="362"/>
      <c r="Z17" s="362"/>
    </row>
    <row r="18" ht="14.25" customHeight="1">
      <c r="A18" s="908">
        <v>4.0</v>
      </c>
      <c r="B18" s="909" t="s">
        <v>100</v>
      </c>
      <c r="C18" s="910" t="s">
        <v>8307</v>
      </c>
      <c r="D18" s="909" t="s">
        <v>8275</v>
      </c>
      <c r="E18" s="909" t="s">
        <v>70</v>
      </c>
      <c r="F18" s="911">
        <v>1.7325E7</v>
      </c>
      <c r="G18" s="909" t="s">
        <v>781</v>
      </c>
      <c r="H18" s="909" t="s">
        <v>391</v>
      </c>
      <c r="I18" s="909" t="s">
        <v>2648</v>
      </c>
      <c r="J18" s="909" t="s">
        <v>8308</v>
      </c>
      <c r="K18" s="909"/>
      <c r="L18" s="909"/>
      <c r="M18" s="909"/>
      <c r="N18" s="909" t="s">
        <v>8309</v>
      </c>
      <c r="O18" s="912"/>
      <c r="P18" s="913" t="b">
        <v>0</v>
      </c>
      <c r="Q18" s="913"/>
      <c r="R18" s="913"/>
      <c r="S18" s="913"/>
      <c r="T18" s="913"/>
      <c r="U18" s="913"/>
      <c r="V18" s="913"/>
      <c r="W18" s="913"/>
      <c r="X18" s="913"/>
      <c r="Y18" s="913"/>
      <c r="Z18" s="913"/>
    </row>
    <row r="19" ht="14.25" customHeight="1">
      <c r="A19" s="893">
        <v>5.0</v>
      </c>
      <c r="B19" s="894" t="s">
        <v>100</v>
      </c>
      <c r="C19" s="894" t="s">
        <v>8310</v>
      </c>
      <c r="D19" s="894" t="s">
        <v>8275</v>
      </c>
      <c r="E19" s="894" t="s">
        <v>70</v>
      </c>
      <c r="F19" s="365">
        <v>1.7873E7</v>
      </c>
      <c r="G19" s="894" t="s">
        <v>771</v>
      </c>
      <c r="H19" s="894" t="s">
        <v>84</v>
      </c>
      <c r="I19" s="895" t="s">
        <v>8311</v>
      </c>
      <c r="J19" s="894" t="s">
        <v>8312</v>
      </c>
      <c r="K19" s="896" t="s">
        <v>8313</v>
      </c>
      <c r="L19" s="894" t="s">
        <v>8313</v>
      </c>
      <c r="M19" s="894" t="s">
        <v>8314</v>
      </c>
      <c r="N19" s="894" t="s">
        <v>8306</v>
      </c>
      <c r="O19" s="914" t="s">
        <v>8315</v>
      </c>
      <c r="P19" s="899" t="b">
        <v>0</v>
      </c>
      <c r="Q19" s="899"/>
      <c r="R19" s="899"/>
      <c r="S19" s="899"/>
      <c r="T19" s="899"/>
      <c r="U19" s="899"/>
      <c r="V19" s="899"/>
      <c r="W19" s="899"/>
      <c r="X19" s="899"/>
      <c r="Y19" s="899"/>
      <c r="Z19" s="899"/>
    </row>
    <row r="20" ht="14.25" customHeight="1">
      <c r="A20" s="900">
        <v>6.0</v>
      </c>
      <c r="B20" s="263" t="s">
        <v>100</v>
      </c>
      <c r="C20" s="263" t="s">
        <v>7029</v>
      </c>
      <c r="D20" s="263" t="s">
        <v>8275</v>
      </c>
      <c r="E20" s="263" t="s">
        <v>3743</v>
      </c>
      <c r="F20" s="177">
        <v>1.7775E7</v>
      </c>
      <c r="G20" s="263" t="s">
        <v>781</v>
      </c>
      <c r="H20" s="263" t="s">
        <v>84</v>
      </c>
      <c r="I20" s="263" t="s">
        <v>8316</v>
      </c>
      <c r="J20" s="263" t="s">
        <v>8317</v>
      </c>
      <c r="K20" s="263"/>
      <c r="L20" s="263"/>
      <c r="M20" s="263" t="s">
        <v>8309</v>
      </c>
      <c r="N20" s="263"/>
      <c r="O20" s="914" t="s">
        <v>8315</v>
      </c>
      <c r="P20" s="362" t="b">
        <v>0</v>
      </c>
      <c r="Q20" s="362"/>
      <c r="R20" s="362"/>
      <c r="S20" s="362"/>
      <c r="T20" s="362"/>
      <c r="U20" s="362"/>
      <c r="V20" s="362"/>
      <c r="W20" s="362"/>
      <c r="X20" s="362"/>
      <c r="Y20" s="362"/>
      <c r="Z20" s="362"/>
    </row>
    <row r="21" ht="14.25" customHeight="1">
      <c r="A21" s="893">
        <v>7.0</v>
      </c>
      <c r="B21" s="894" t="s">
        <v>100</v>
      </c>
      <c r="C21" s="894" t="s">
        <v>8318</v>
      </c>
      <c r="D21" s="894" t="s">
        <v>8275</v>
      </c>
      <c r="E21" s="894" t="s">
        <v>70</v>
      </c>
      <c r="F21" s="365">
        <v>1.425E7</v>
      </c>
      <c r="G21" s="894" t="s">
        <v>771</v>
      </c>
      <c r="H21" s="894" t="s">
        <v>474</v>
      </c>
      <c r="I21" s="907" t="s">
        <v>8319</v>
      </c>
      <c r="J21" s="915" t="s">
        <v>8320</v>
      </c>
      <c r="K21" s="896" t="s">
        <v>8321</v>
      </c>
      <c r="L21" s="896" t="s">
        <v>8322</v>
      </c>
      <c r="M21" s="894"/>
      <c r="N21" s="894" t="s">
        <v>8323</v>
      </c>
      <c r="O21" s="897" t="s">
        <v>8323</v>
      </c>
      <c r="P21" s="898" t="b">
        <v>1</v>
      </c>
      <c r="Q21" s="899"/>
      <c r="R21" s="899"/>
      <c r="S21" s="899"/>
      <c r="T21" s="899"/>
      <c r="U21" s="899"/>
      <c r="V21" s="899"/>
      <c r="W21" s="899"/>
      <c r="X21" s="899"/>
      <c r="Y21" s="899"/>
      <c r="Z21" s="899"/>
    </row>
    <row r="22" ht="14.25" customHeight="1">
      <c r="A22" s="900">
        <v>8.0</v>
      </c>
      <c r="B22" s="263" t="s">
        <v>100</v>
      </c>
      <c r="C22" s="263" t="s">
        <v>8324</v>
      </c>
      <c r="D22" s="263" t="s">
        <v>8275</v>
      </c>
      <c r="E22" s="263" t="s">
        <v>70</v>
      </c>
      <c r="F22" s="177">
        <v>1.7755E7</v>
      </c>
      <c r="G22" s="263" t="s">
        <v>771</v>
      </c>
      <c r="H22" s="263" t="s">
        <v>474</v>
      </c>
      <c r="I22" s="864" t="s">
        <v>8325</v>
      </c>
      <c r="J22" s="263" t="s">
        <v>8326</v>
      </c>
      <c r="K22" s="263" t="s">
        <v>8327</v>
      </c>
      <c r="L22" s="263" t="s">
        <v>8328</v>
      </c>
      <c r="M22" s="263"/>
      <c r="N22" s="263" t="s">
        <v>8329</v>
      </c>
      <c r="O22" s="916" t="s">
        <v>8329</v>
      </c>
      <c r="P22" s="906" t="b">
        <v>1</v>
      </c>
      <c r="Q22" s="362"/>
      <c r="R22" s="362"/>
      <c r="S22" s="362"/>
      <c r="T22" s="362"/>
      <c r="U22" s="362"/>
      <c r="V22" s="362"/>
      <c r="W22" s="362"/>
      <c r="X22" s="362"/>
      <c r="Y22" s="362"/>
      <c r="Z22" s="362"/>
    </row>
    <row r="23" ht="14.25" customHeight="1">
      <c r="A23" s="908">
        <v>9.0</v>
      </c>
      <c r="B23" s="909" t="s">
        <v>100</v>
      </c>
      <c r="C23" s="910" t="s">
        <v>8330</v>
      </c>
      <c r="D23" s="909" t="s">
        <v>8275</v>
      </c>
      <c r="E23" s="909" t="s">
        <v>70</v>
      </c>
      <c r="F23" s="911">
        <v>1.32E7</v>
      </c>
      <c r="G23" s="909" t="s">
        <v>771</v>
      </c>
      <c r="H23" s="909" t="s">
        <v>474</v>
      </c>
      <c r="I23" s="909" t="s">
        <v>8331</v>
      </c>
      <c r="J23" s="909" t="s">
        <v>8332</v>
      </c>
      <c r="K23" s="909" t="s">
        <v>8333</v>
      </c>
      <c r="L23" s="909" t="s">
        <v>8334</v>
      </c>
      <c r="M23" s="909"/>
      <c r="N23" s="909" t="s">
        <v>8335</v>
      </c>
      <c r="O23" s="917"/>
      <c r="P23" s="918" t="b">
        <v>0</v>
      </c>
      <c r="Q23" s="918"/>
      <c r="R23" s="918"/>
      <c r="S23" s="918"/>
      <c r="T23" s="918"/>
      <c r="U23" s="918"/>
      <c r="V23" s="918"/>
      <c r="W23" s="918"/>
      <c r="X23" s="918"/>
      <c r="Y23" s="918"/>
      <c r="Z23" s="918"/>
    </row>
    <row r="24" ht="14.25" customHeight="1">
      <c r="A24" s="908">
        <v>10.0</v>
      </c>
      <c r="B24" s="909" t="s">
        <v>100</v>
      </c>
      <c r="C24" s="910" t="s">
        <v>8330</v>
      </c>
      <c r="D24" s="909" t="s">
        <v>8275</v>
      </c>
      <c r="E24" s="909" t="s">
        <v>70</v>
      </c>
      <c r="F24" s="911">
        <v>1.32E7</v>
      </c>
      <c r="G24" s="909" t="s">
        <v>771</v>
      </c>
      <c r="H24" s="909" t="s">
        <v>474</v>
      </c>
      <c r="I24" s="909" t="s">
        <v>8336</v>
      </c>
      <c r="J24" s="909" t="s">
        <v>8337</v>
      </c>
      <c r="K24" s="909" t="s">
        <v>8338</v>
      </c>
      <c r="L24" s="909" t="s">
        <v>8339</v>
      </c>
      <c r="M24" s="909"/>
      <c r="N24" s="909" t="s">
        <v>8340</v>
      </c>
      <c r="O24" s="917"/>
      <c r="P24" s="919" t="b">
        <v>0</v>
      </c>
      <c r="Q24" s="918"/>
      <c r="R24" s="918"/>
      <c r="S24" s="918"/>
      <c r="T24" s="918"/>
      <c r="U24" s="918"/>
      <c r="V24" s="918"/>
      <c r="W24" s="918"/>
      <c r="X24" s="918"/>
      <c r="Y24" s="918"/>
      <c r="Z24" s="918"/>
    </row>
    <row r="25" ht="14.25" customHeight="1">
      <c r="A25" s="893">
        <v>11.0</v>
      </c>
      <c r="B25" s="894" t="s">
        <v>100</v>
      </c>
      <c r="C25" s="894" t="s">
        <v>8341</v>
      </c>
      <c r="D25" s="894" t="s">
        <v>8275</v>
      </c>
      <c r="E25" s="894" t="s">
        <v>70</v>
      </c>
      <c r="F25" s="365">
        <v>1.791512E7</v>
      </c>
      <c r="G25" s="894" t="s">
        <v>771</v>
      </c>
      <c r="H25" s="894" t="s">
        <v>92</v>
      </c>
      <c r="I25" s="907" t="s">
        <v>8342</v>
      </c>
      <c r="J25" s="894" t="s">
        <v>8343</v>
      </c>
      <c r="K25" s="894" t="s">
        <v>8344</v>
      </c>
      <c r="L25" s="896" t="s">
        <v>8345</v>
      </c>
      <c r="M25" s="894"/>
      <c r="N25" s="894" t="s">
        <v>8346</v>
      </c>
      <c r="O25" s="897" t="s">
        <v>8346</v>
      </c>
      <c r="P25" s="898" t="b">
        <v>1</v>
      </c>
      <c r="Q25" s="899"/>
      <c r="R25" s="899"/>
      <c r="S25" s="899"/>
      <c r="T25" s="899"/>
      <c r="U25" s="899"/>
      <c r="V25" s="899"/>
      <c r="W25" s="899"/>
      <c r="X25" s="899"/>
      <c r="Y25" s="899"/>
      <c r="Z25" s="899"/>
    </row>
    <row r="26" ht="14.25" customHeight="1">
      <c r="A26" s="893">
        <v>12.0</v>
      </c>
      <c r="B26" s="894" t="s">
        <v>100</v>
      </c>
      <c r="C26" s="894" t="s">
        <v>8347</v>
      </c>
      <c r="D26" s="894" t="s">
        <v>8275</v>
      </c>
      <c r="E26" s="894" t="s">
        <v>70</v>
      </c>
      <c r="F26" s="365">
        <v>1.4425E7</v>
      </c>
      <c r="G26" s="894" t="s">
        <v>771</v>
      </c>
      <c r="H26" s="894" t="s">
        <v>58</v>
      </c>
      <c r="I26" s="907" t="s">
        <v>8348</v>
      </c>
      <c r="J26" s="894" t="s">
        <v>8349</v>
      </c>
      <c r="K26" s="894" t="s">
        <v>8350</v>
      </c>
      <c r="L26" s="896" t="s">
        <v>8351</v>
      </c>
      <c r="M26" s="894"/>
      <c r="N26" s="894" t="s">
        <v>8352</v>
      </c>
      <c r="O26" s="897" t="s">
        <v>8352</v>
      </c>
      <c r="P26" s="898" t="b">
        <v>1</v>
      </c>
      <c r="Q26" s="899"/>
      <c r="R26" s="899"/>
      <c r="S26" s="899"/>
      <c r="T26" s="899"/>
      <c r="U26" s="899"/>
      <c r="V26" s="899"/>
      <c r="W26" s="899"/>
      <c r="X26" s="899"/>
      <c r="Y26" s="899"/>
      <c r="Z26" s="899"/>
    </row>
    <row r="27" ht="14.25" customHeight="1">
      <c r="A27" s="900">
        <v>13.0</v>
      </c>
      <c r="B27" s="263" t="s">
        <v>100</v>
      </c>
      <c r="C27" s="263" t="s">
        <v>8353</v>
      </c>
      <c r="D27" s="263" t="s">
        <v>8275</v>
      </c>
      <c r="E27" s="263" t="s">
        <v>70</v>
      </c>
      <c r="F27" s="177">
        <v>3.5E7</v>
      </c>
      <c r="G27" s="263" t="s">
        <v>8354</v>
      </c>
      <c r="H27" s="263" t="s">
        <v>2329</v>
      </c>
      <c r="I27" s="864" t="s">
        <v>8355</v>
      </c>
      <c r="J27" s="263" t="s">
        <v>8356</v>
      </c>
      <c r="K27" s="263" t="s">
        <v>8357</v>
      </c>
      <c r="L27" s="439" t="s">
        <v>8358</v>
      </c>
      <c r="M27" s="263" t="s">
        <v>8309</v>
      </c>
      <c r="N27" s="263" t="s">
        <v>8359</v>
      </c>
      <c r="O27" s="263" t="s">
        <v>8359</v>
      </c>
      <c r="P27" s="906" t="b">
        <v>1</v>
      </c>
      <c r="Q27" s="362"/>
      <c r="R27" s="362"/>
      <c r="S27" s="362"/>
      <c r="T27" s="362"/>
      <c r="U27" s="362"/>
      <c r="V27" s="362"/>
      <c r="W27" s="362"/>
      <c r="X27" s="362"/>
      <c r="Y27" s="362"/>
      <c r="Z27" s="362"/>
    </row>
    <row r="28" ht="14.25" customHeight="1">
      <c r="A28" s="920"/>
      <c r="B28" s="439" t="s">
        <v>100</v>
      </c>
      <c r="C28" s="439" t="s">
        <v>5990</v>
      </c>
      <c r="D28" s="439" t="s">
        <v>8275</v>
      </c>
      <c r="E28" s="439" t="s">
        <v>70</v>
      </c>
      <c r="F28" s="921">
        <v>3.4372E7</v>
      </c>
      <c r="G28" s="439" t="s">
        <v>1579</v>
      </c>
      <c r="H28" s="922">
        <v>2025.0</v>
      </c>
      <c r="I28" s="304" t="s">
        <v>8360</v>
      </c>
      <c r="J28" s="439" t="s">
        <v>8361</v>
      </c>
      <c r="K28" s="439" t="s">
        <v>8362</v>
      </c>
      <c r="L28" s="439" t="s">
        <v>8363</v>
      </c>
      <c r="M28" s="439" t="s">
        <v>8364</v>
      </c>
      <c r="N28" s="263" t="s">
        <v>8287</v>
      </c>
      <c r="O28" s="677" t="s">
        <v>8287</v>
      </c>
      <c r="P28" s="806" t="b">
        <v>1</v>
      </c>
    </row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3:L3"/>
    <mergeCell ref="A4:L4"/>
  </mergeCells>
  <printOptions/>
  <pageMargins bottom="0.7480314960629921" footer="0.0" header="0.0" left="0.7086614173228347" right="0.7086614173228347" top="0.7480314960629921"/>
  <pageSetup paperSize="5" scale="70" orientation="landscape"/>
  <drawing r:id="rId1"/>
  <tableParts count="1">
    <tablePart r:id="rId3"/>
  </tableParts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4.43" defaultRowHeight="15.0"/>
  <cols>
    <col customWidth="1" min="1" max="1" width="5.29"/>
    <col customWidth="1" min="2" max="2" width="17.86"/>
    <col customWidth="1" min="3" max="3" width="28.71"/>
    <col customWidth="1" min="4" max="4" width="26.0"/>
    <col customWidth="1" min="5" max="5" width="12.57"/>
    <col customWidth="1" min="6" max="6" width="17.29"/>
    <col customWidth="1" min="7" max="7" width="34.71"/>
    <col customWidth="1" min="8" max="8" width="8.29"/>
    <col customWidth="1" min="9" max="9" width="13.86"/>
    <col customWidth="1" min="10" max="10" width="25.71"/>
    <col customWidth="1" min="11" max="11" width="22.57"/>
    <col customWidth="1" min="12" max="12" width="19.0"/>
    <col customWidth="1" min="13" max="13" width="24.43"/>
    <col customWidth="1" min="14" max="14" width="28.57"/>
    <col customWidth="1" min="15" max="26" width="9.0"/>
  </cols>
  <sheetData>
    <row r="1" ht="14.25" customHeight="1"/>
    <row r="2" ht="14.25" customHeight="1"/>
    <row r="3" ht="14.25" customHeight="1">
      <c r="A3" s="1" t="s">
        <v>0</v>
      </c>
    </row>
    <row r="4" ht="14.25" customHeight="1">
      <c r="A4" s="1" t="s">
        <v>1</v>
      </c>
    </row>
    <row r="5" ht="14.25" customHeight="1"/>
    <row r="6" ht="14.25" customHeight="1"/>
    <row r="7" ht="14.25" customHeight="1">
      <c r="A7" s="2" t="s">
        <v>2</v>
      </c>
      <c r="C7" s="2" t="s">
        <v>3</v>
      </c>
    </row>
    <row r="8" ht="14.25" customHeight="1">
      <c r="A8" s="2" t="s">
        <v>4</v>
      </c>
      <c r="C8" s="2" t="s">
        <v>5</v>
      </c>
    </row>
    <row r="9" ht="14.25" customHeight="1">
      <c r="A9" s="2" t="s">
        <v>6</v>
      </c>
      <c r="C9" s="2" t="s">
        <v>8365</v>
      </c>
    </row>
    <row r="10" ht="14.25" customHeight="1">
      <c r="A10" s="169" t="s">
        <v>8</v>
      </c>
      <c r="B10" s="170" t="s">
        <v>9</v>
      </c>
      <c r="C10" s="170" t="s">
        <v>10</v>
      </c>
      <c r="D10" s="170" t="s">
        <v>11</v>
      </c>
      <c r="E10" s="170" t="s">
        <v>12</v>
      </c>
      <c r="F10" s="170" t="s">
        <v>13</v>
      </c>
      <c r="G10" s="170" t="s">
        <v>14</v>
      </c>
      <c r="H10" s="170" t="s">
        <v>15</v>
      </c>
      <c r="I10" s="170" t="s">
        <v>16</v>
      </c>
      <c r="J10" s="170" t="s">
        <v>17</v>
      </c>
      <c r="K10" s="170" t="s">
        <v>7836</v>
      </c>
      <c r="L10" s="170" t="s">
        <v>1882</v>
      </c>
      <c r="M10" s="315" t="s">
        <v>20</v>
      </c>
      <c r="N10" s="170" t="s">
        <v>1883</v>
      </c>
      <c r="O10" s="923"/>
      <c r="P10" s="923"/>
      <c r="Q10" s="923"/>
      <c r="R10" s="923"/>
      <c r="S10" s="923"/>
      <c r="T10" s="923"/>
      <c r="U10" s="923"/>
      <c r="V10" s="923"/>
      <c r="W10" s="923"/>
      <c r="X10" s="923"/>
      <c r="Y10" s="923"/>
      <c r="Z10" s="923"/>
    </row>
    <row r="11" ht="14.25" customHeight="1">
      <c r="A11" s="924"/>
      <c r="B11" s="925" t="s">
        <v>1884</v>
      </c>
      <c r="C11" s="924"/>
      <c r="D11" s="924"/>
      <c r="E11" s="924"/>
      <c r="F11" s="926">
        <f>SUM(F12:F13)</f>
        <v>467049400</v>
      </c>
      <c r="G11" s="926"/>
      <c r="H11" s="926"/>
      <c r="I11" s="926"/>
      <c r="J11" s="926"/>
      <c r="K11" s="926"/>
      <c r="L11" s="926"/>
      <c r="M11" s="926"/>
      <c r="N11" s="779"/>
      <c r="O11" s="927"/>
      <c r="P11" s="927"/>
      <c r="Q11" s="927"/>
      <c r="R11" s="927"/>
      <c r="S11" s="927"/>
      <c r="T11" s="927"/>
      <c r="U11" s="927"/>
      <c r="V11" s="927"/>
      <c r="W11" s="927"/>
      <c r="X11" s="927"/>
      <c r="Y11" s="927"/>
      <c r="Z11" s="927"/>
    </row>
    <row r="12" ht="14.25" customHeight="1">
      <c r="A12" s="384">
        <v>1.0</v>
      </c>
      <c r="B12" s="383" t="s">
        <v>780</v>
      </c>
      <c r="C12" s="383"/>
      <c r="D12" s="383" t="s">
        <v>3126</v>
      </c>
      <c r="E12" s="383" t="s">
        <v>70</v>
      </c>
      <c r="F12" s="365">
        <v>2.070494E8</v>
      </c>
      <c r="G12" s="383" t="s">
        <v>7837</v>
      </c>
      <c r="H12" s="383" t="s">
        <v>44</v>
      </c>
      <c r="I12" s="928" t="s">
        <v>8366</v>
      </c>
      <c r="J12" s="383" t="s">
        <v>8367</v>
      </c>
      <c r="K12" s="383" t="s">
        <v>8368</v>
      </c>
      <c r="L12" s="929" t="s">
        <v>8369</v>
      </c>
      <c r="M12" s="929"/>
      <c r="N12" s="929" t="s">
        <v>7585</v>
      </c>
      <c r="O12" s="368" t="s">
        <v>25</v>
      </c>
      <c r="P12" s="368"/>
      <c r="Q12" s="368"/>
      <c r="R12" s="368"/>
      <c r="S12" s="368"/>
      <c r="T12" s="368"/>
      <c r="U12" s="368"/>
      <c r="V12" s="368"/>
      <c r="W12" s="368"/>
      <c r="X12" s="368"/>
      <c r="Y12" s="368"/>
      <c r="Z12" s="368"/>
    </row>
    <row r="13" ht="14.25" customHeight="1">
      <c r="A13" s="319">
        <v>2.0</v>
      </c>
      <c r="B13" s="175" t="s">
        <v>2831</v>
      </c>
      <c r="C13" s="175"/>
      <c r="D13" s="175" t="s">
        <v>3126</v>
      </c>
      <c r="E13" s="175" t="s">
        <v>70</v>
      </c>
      <c r="F13" s="177">
        <v>2.6E8</v>
      </c>
      <c r="G13" s="175" t="s">
        <v>7579</v>
      </c>
      <c r="H13" s="175" t="s">
        <v>78</v>
      </c>
      <c r="I13" s="27" t="s">
        <v>8370</v>
      </c>
      <c r="J13" s="175" t="s">
        <v>8371</v>
      </c>
      <c r="K13" s="930" t="s">
        <v>8372</v>
      </c>
      <c r="L13" s="178" t="s">
        <v>8373</v>
      </c>
      <c r="M13" s="175"/>
      <c r="N13" s="931" t="s">
        <v>7844</v>
      </c>
      <c r="O13" s="179" t="s">
        <v>25</v>
      </c>
      <c r="P13" s="890"/>
      <c r="Q13" s="890"/>
      <c r="R13" s="179"/>
      <c r="S13" s="179"/>
      <c r="T13" s="179"/>
      <c r="U13" s="179"/>
      <c r="V13" s="179"/>
      <c r="W13" s="179"/>
      <c r="X13" s="179"/>
      <c r="Y13" s="179"/>
      <c r="Z13" s="179"/>
    </row>
    <row r="14" ht="14.25" customHeight="1">
      <c r="A14" s="322"/>
      <c r="B14" s="173" t="s">
        <v>99</v>
      </c>
      <c r="C14" s="317"/>
      <c r="D14" s="317"/>
      <c r="E14" s="317"/>
      <c r="F14" s="174">
        <f>SUM(F15:F31)</f>
        <v>243536400</v>
      </c>
      <c r="G14" s="174"/>
      <c r="H14" s="174"/>
      <c r="I14" s="174"/>
      <c r="J14" s="174"/>
      <c r="K14" s="174"/>
      <c r="L14" s="174"/>
      <c r="M14" s="174"/>
      <c r="N14" s="174"/>
      <c r="O14" s="932"/>
      <c r="P14" s="890"/>
      <c r="Q14" s="890"/>
      <c r="R14" s="932"/>
      <c r="S14" s="932"/>
      <c r="T14" s="932"/>
      <c r="U14" s="932"/>
      <c r="V14" s="932"/>
      <c r="W14" s="932"/>
      <c r="X14" s="932"/>
      <c r="Y14" s="932"/>
      <c r="Z14" s="932"/>
    </row>
    <row r="15" ht="14.25" customHeight="1">
      <c r="A15" s="384">
        <v>1.0</v>
      </c>
      <c r="B15" s="383" t="s">
        <v>100</v>
      </c>
      <c r="C15" s="383"/>
      <c r="D15" s="383" t="s">
        <v>3126</v>
      </c>
      <c r="E15" s="929" t="s">
        <v>27</v>
      </c>
      <c r="F15" s="365">
        <v>6000000.0</v>
      </c>
      <c r="G15" s="383" t="s">
        <v>4776</v>
      </c>
      <c r="H15" s="383" t="s">
        <v>924</v>
      </c>
      <c r="I15" s="933" t="s">
        <v>8374</v>
      </c>
      <c r="J15" s="383" t="s">
        <v>8375</v>
      </c>
      <c r="K15" s="383" t="s">
        <v>8376</v>
      </c>
      <c r="L15" s="383" t="s">
        <v>8377</v>
      </c>
      <c r="M15" s="929" t="s">
        <v>8378</v>
      </c>
      <c r="N15" s="934" t="s">
        <v>8379</v>
      </c>
      <c r="O15" s="179" t="s">
        <v>25</v>
      </c>
      <c r="P15" s="935"/>
      <c r="Q15" s="935"/>
      <c r="R15" s="368"/>
      <c r="S15" s="368"/>
      <c r="T15" s="368"/>
      <c r="U15" s="368"/>
      <c r="V15" s="368"/>
      <c r="W15" s="368"/>
      <c r="X15" s="368"/>
      <c r="Y15" s="368"/>
      <c r="Z15" s="368"/>
    </row>
    <row r="16" ht="14.25" customHeight="1">
      <c r="A16" s="936">
        <v>2.0</v>
      </c>
      <c r="B16" s="394" t="s">
        <v>100</v>
      </c>
      <c r="C16" s="394"/>
      <c r="D16" s="394" t="s">
        <v>3126</v>
      </c>
      <c r="E16" s="394" t="s">
        <v>70</v>
      </c>
      <c r="F16" s="359">
        <v>6000000.0</v>
      </c>
      <c r="G16" s="394" t="s">
        <v>4776</v>
      </c>
      <c r="H16" s="394" t="s">
        <v>924</v>
      </c>
      <c r="I16" s="824" t="s">
        <v>8380</v>
      </c>
      <c r="J16" s="394" t="s">
        <v>8381</v>
      </c>
      <c r="K16" s="394" t="s">
        <v>8382</v>
      </c>
      <c r="L16" s="937" t="s">
        <v>8383</v>
      </c>
      <c r="M16" s="937" t="s">
        <v>8384</v>
      </c>
      <c r="N16" s="937" t="s">
        <v>8385</v>
      </c>
      <c r="O16" s="362"/>
      <c r="P16" s="938"/>
      <c r="Q16" s="938"/>
      <c r="R16" s="362"/>
      <c r="S16" s="362"/>
      <c r="T16" s="362"/>
      <c r="U16" s="362"/>
      <c r="V16" s="362"/>
      <c r="W16" s="362"/>
      <c r="X16" s="362"/>
      <c r="Y16" s="362"/>
      <c r="Z16" s="362"/>
    </row>
    <row r="17" ht="14.25" customHeight="1">
      <c r="A17" s="936">
        <v>3.0</v>
      </c>
      <c r="B17" s="394" t="s">
        <v>100</v>
      </c>
      <c r="C17" s="394"/>
      <c r="D17" s="394" t="s">
        <v>3126</v>
      </c>
      <c r="E17" s="394" t="s">
        <v>70</v>
      </c>
      <c r="F17" s="359">
        <v>6000000.0</v>
      </c>
      <c r="G17" s="394" t="s">
        <v>4776</v>
      </c>
      <c r="H17" s="394" t="s">
        <v>924</v>
      </c>
      <c r="I17" s="824" t="s">
        <v>8386</v>
      </c>
      <c r="J17" s="394" t="s">
        <v>8387</v>
      </c>
      <c r="K17" s="394" t="s">
        <v>8388</v>
      </c>
      <c r="L17" s="937" t="s">
        <v>8389</v>
      </c>
      <c r="M17" s="937" t="s">
        <v>8384</v>
      </c>
      <c r="N17" s="937" t="s">
        <v>8390</v>
      </c>
      <c r="O17" s="362" t="s">
        <v>25</v>
      </c>
      <c r="P17" s="938"/>
      <c r="Q17" s="938"/>
      <c r="R17" s="362"/>
      <c r="S17" s="362"/>
      <c r="T17" s="362"/>
      <c r="U17" s="362"/>
      <c r="V17" s="362"/>
      <c r="W17" s="362"/>
      <c r="X17" s="362"/>
      <c r="Y17" s="362"/>
      <c r="Z17" s="362"/>
    </row>
    <row r="18" ht="14.25" customHeight="1">
      <c r="A18" s="936">
        <v>4.0</v>
      </c>
      <c r="B18" s="394" t="s">
        <v>100</v>
      </c>
      <c r="C18" s="394"/>
      <c r="D18" s="394" t="s">
        <v>3126</v>
      </c>
      <c r="E18" s="394" t="s">
        <v>70</v>
      </c>
      <c r="F18" s="359">
        <v>6000000.0</v>
      </c>
      <c r="G18" s="394" t="s">
        <v>4776</v>
      </c>
      <c r="H18" s="394" t="s">
        <v>924</v>
      </c>
      <c r="I18" s="824" t="s">
        <v>8391</v>
      </c>
      <c r="J18" s="394" t="s">
        <v>8392</v>
      </c>
      <c r="K18" s="394" t="s">
        <v>8393</v>
      </c>
      <c r="L18" s="937" t="s">
        <v>8394</v>
      </c>
      <c r="M18" s="937" t="s">
        <v>8384</v>
      </c>
      <c r="N18" s="937" t="s">
        <v>8395</v>
      </c>
      <c r="O18" s="362" t="s">
        <v>25</v>
      </c>
      <c r="P18" s="938"/>
      <c r="Q18" s="938"/>
      <c r="R18" s="362"/>
      <c r="S18" s="362"/>
      <c r="T18" s="362"/>
      <c r="U18" s="362"/>
      <c r="V18" s="362"/>
      <c r="W18" s="362"/>
      <c r="X18" s="362"/>
      <c r="Y18" s="362"/>
      <c r="Z18" s="362"/>
    </row>
    <row r="19" ht="14.25" customHeight="1">
      <c r="A19" s="319">
        <v>5.0</v>
      </c>
      <c r="B19" s="175" t="s">
        <v>100</v>
      </c>
      <c r="C19" s="175"/>
      <c r="D19" s="175" t="s">
        <v>3126</v>
      </c>
      <c r="E19" s="931" t="s">
        <v>8396</v>
      </c>
      <c r="F19" s="177">
        <v>9000000.0</v>
      </c>
      <c r="G19" s="175" t="s">
        <v>8084</v>
      </c>
      <c r="H19" s="175" t="s">
        <v>948</v>
      </c>
      <c r="I19" s="27" t="s">
        <v>8397</v>
      </c>
      <c r="J19" s="175" t="s">
        <v>8398</v>
      </c>
      <c r="K19" s="175" t="s">
        <v>8399</v>
      </c>
      <c r="L19" s="931" t="s">
        <v>8400</v>
      </c>
      <c r="M19" s="931" t="s">
        <v>8378</v>
      </c>
      <c r="N19" s="939" t="s">
        <v>5322</v>
      </c>
      <c r="O19" s="179" t="s">
        <v>25</v>
      </c>
      <c r="P19" s="890"/>
      <c r="Q19" s="890"/>
      <c r="R19" s="179"/>
      <c r="S19" s="179"/>
      <c r="T19" s="179"/>
      <c r="U19" s="179"/>
      <c r="V19" s="179"/>
      <c r="W19" s="179"/>
      <c r="X19" s="179"/>
      <c r="Y19" s="179"/>
      <c r="Z19" s="179"/>
    </row>
    <row r="20" ht="14.25" customHeight="1">
      <c r="A20" s="384">
        <v>6.0</v>
      </c>
      <c r="B20" s="383" t="s">
        <v>100</v>
      </c>
      <c r="C20" s="383"/>
      <c r="D20" s="383" t="s">
        <v>3126</v>
      </c>
      <c r="E20" s="929" t="s">
        <v>8396</v>
      </c>
      <c r="F20" s="365">
        <v>1.7525E7</v>
      </c>
      <c r="G20" s="383" t="s">
        <v>5766</v>
      </c>
      <c r="H20" s="383" t="s">
        <v>391</v>
      </c>
      <c r="I20" s="928" t="s">
        <v>8401</v>
      </c>
      <c r="J20" s="383" t="s">
        <v>8402</v>
      </c>
      <c r="K20" s="383" t="s">
        <v>8403</v>
      </c>
      <c r="L20" s="929" t="s">
        <v>8404</v>
      </c>
      <c r="M20" s="929"/>
      <c r="N20" s="929" t="s">
        <v>8405</v>
      </c>
      <c r="O20" s="368" t="s">
        <v>3239</v>
      </c>
      <c r="P20" s="935"/>
      <c r="Q20" s="935"/>
      <c r="R20" s="368"/>
      <c r="S20" s="368"/>
      <c r="T20" s="368"/>
      <c r="U20" s="368"/>
      <c r="V20" s="368"/>
      <c r="W20" s="368"/>
      <c r="X20" s="368"/>
      <c r="Y20" s="368"/>
      <c r="Z20" s="368"/>
    </row>
    <row r="21" ht="14.25" customHeight="1">
      <c r="A21" s="384">
        <v>7.0</v>
      </c>
      <c r="B21" s="383" t="s">
        <v>100</v>
      </c>
      <c r="C21" s="383"/>
      <c r="D21" s="383" t="s">
        <v>3126</v>
      </c>
      <c r="E21" s="383" t="s">
        <v>70</v>
      </c>
      <c r="F21" s="365">
        <v>1.7525E7</v>
      </c>
      <c r="G21" s="383" t="s">
        <v>5766</v>
      </c>
      <c r="H21" s="383" t="s">
        <v>391</v>
      </c>
      <c r="I21" s="928" t="s">
        <v>8406</v>
      </c>
      <c r="J21" s="383" t="s">
        <v>8407</v>
      </c>
      <c r="K21" s="383" t="s">
        <v>8408</v>
      </c>
      <c r="L21" s="929" t="s">
        <v>8409</v>
      </c>
      <c r="M21" s="929"/>
      <c r="N21" s="929" t="s">
        <v>8410</v>
      </c>
      <c r="O21" s="179" t="s">
        <v>25</v>
      </c>
      <c r="P21" s="935"/>
      <c r="Q21" s="935"/>
      <c r="R21" s="368"/>
      <c r="S21" s="368"/>
      <c r="T21" s="368"/>
      <c r="U21" s="368"/>
      <c r="V21" s="368"/>
      <c r="W21" s="368"/>
      <c r="X21" s="368"/>
      <c r="Y21" s="368"/>
      <c r="Z21" s="368"/>
    </row>
    <row r="22" ht="14.25" customHeight="1">
      <c r="A22" s="319">
        <v>8.0</v>
      </c>
      <c r="B22" s="175" t="s">
        <v>100</v>
      </c>
      <c r="C22" s="175"/>
      <c r="D22" s="175" t="s">
        <v>3126</v>
      </c>
      <c r="E22" s="931" t="s">
        <v>8396</v>
      </c>
      <c r="F22" s="177">
        <v>1.555E7</v>
      </c>
      <c r="G22" s="175" t="s">
        <v>3396</v>
      </c>
      <c r="H22" s="175" t="s">
        <v>84</v>
      </c>
      <c r="I22" s="27" t="s">
        <v>8411</v>
      </c>
      <c r="J22" s="931" t="s">
        <v>8412</v>
      </c>
      <c r="K22" s="175" t="s">
        <v>8413</v>
      </c>
      <c r="L22" s="931" t="s">
        <v>8414</v>
      </c>
      <c r="M22" s="931"/>
      <c r="N22" s="931" t="s">
        <v>8415</v>
      </c>
      <c r="O22" s="179" t="s">
        <v>25</v>
      </c>
      <c r="P22" s="890"/>
      <c r="Q22" s="890"/>
      <c r="R22" s="179"/>
      <c r="S22" s="179"/>
      <c r="T22" s="179"/>
      <c r="U22" s="179"/>
      <c r="V22" s="179"/>
      <c r="W22" s="179"/>
      <c r="X22" s="179"/>
      <c r="Y22" s="179"/>
      <c r="Z22" s="179"/>
    </row>
    <row r="23" ht="14.25" customHeight="1">
      <c r="A23" s="384">
        <v>9.0</v>
      </c>
      <c r="B23" s="383" t="s">
        <v>100</v>
      </c>
      <c r="C23" s="383"/>
      <c r="D23" s="383" t="s">
        <v>3126</v>
      </c>
      <c r="E23" s="383" t="s">
        <v>70</v>
      </c>
      <c r="F23" s="365">
        <v>1.7755E7</v>
      </c>
      <c r="G23" s="383" t="s">
        <v>7637</v>
      </c>
      <c r="H23" s="383" t="s">
        <v>474</v>
      </c>
      <c r="I23" s="928" t="s">
        <v>8416</v>
      </c>
      <c r="J23" s="383" t="s">
        <v>8417</v>
      </c>
      <c r="K23" s="383" t="s">
        <v>8418</v>
      </c>
      <c r="L23" s="929" t="s">
        <v>8419</v>
      </c>
      <c r="M23" s="929"/>
      <c r="N23" s="929" t="s">
        <v>7961</v>
      </c>
      <c r="O23" s="179" t="s">
        <v>25</v>
      </c>
      <c r="P23" s="935"/>
      <c r="Q23" s="935"/>
      <c r="R23" s="368"/>
      <c r="S23" s="368"/>
      <c r="T23" s="368"/>
      <c r="U23" s="368"/>
      <c r="V23" s="368"/>
      <c r="W23" s="368"/>
      <c r="X23" s="368"/>
      <c r="Y23" s="368"/>
      <c r="Z23" s="368"/>
    </row>
    <row r="24" ht="14.25" customHeight="1">
      <c r="A24" s="319">
        <v>10.0</v>
      </c>
      <c r="B24" s="175" t="s">
        <v>100</v>
      </c>
      <c r="C24" s="175"/>
      <c r="D24" s="175" t="s">
        <v>3126</v>
      </c>
      <c r="E24" s="175" t="s">
        <v>70</v>
      </c>
      <c r="F24" s="177">
        <v>1.51E7</v>
      </c>
      <c r="G24" s="175" t="s">
        <v>8420</v>
      </c>
      <c r="H24" s="175" t="s">
        <v>474</v>
      </c>
      <c r="I24" s="17" t="s">
        <v>8421</v>
      </c>
      <c r="J24" s="383" t="s">
        <v>8422</v>
      </c>
      <c r="K24" s="929" t="s">
        <v>8423</v>
      </c>
      <c r="L24" s="929" t="s">
        <v>8424</v>
      </c>
      <c r="M24" s="929"/>
      <c r="N24" s="929" t="s">
        <v>8425</v>
      </c>
      <c r="O24" s="179" t="s">
        <v>25</v>
      </c>
      <c r="P24" s="890"/>
      <c r="Q24" s="890"/>
      <c r="R24" s="179"/>
      <c r="S24" s="179"/>
      <c r="T24" s="179"/>
      <c r="U24" s="179"/>
      <c r="V24" s="179"/>
      <c r="W24" s="179"/>
      <c r="X24" s="179"/>
      <c r="Y24" s="179"/>
      <c r="Z24" s="179"/>
    </row>
    <row r="25" ht="14.25" customHeight="1">
      <c r="A25" s="384">
        <v>11.0</v>
      </c>
      <c r="B25" s="383" t="s">
        <v>100</v>
      </c>
      <c r="C25" s="383"/>
      <c r="D25" s="383" t="s">
        <v>3126</v>
      </c>
      <c r="E25" s="383" t="s">
        <v>70</v>
      </c>
      <c r="F25" s="365">
        <v>1.43974E7</v>
      </c>
      <c r="G25" s="383" t="s">
        <v>8426</v>
      </c>
      <c r="H25" s="383" t="s">
        <v>44</v>
      </c>
      <c r="I25" s="928" t="s">
        <v>8427</v>
      </c>
      <c r="J25" s="383" t="s">
        <v>8428</v>
      </c>
      <c r="K25" s="383" t="s">
        <v>8429</v>
      </c>
      <c r="L25" s="929" t="s">
        <v>8430</v>
      </c>
      <c r="M25" s="929"/>
      <c r="N25" s="929" t="s">
        <v>8431</v>
      </c>
      <c r="O25" s="179" t="s">
        <v>25</v>
      </c>
      <c r="P25" s="368"/>
      <c r="Q25" s="368"/>
      <c r="R25" s="368"/>
      <c r="S25" s="368"/>
      <c r="T25" s="368"/>
      <c r="U25" s="368"/>
      <c r="V25" s="368"/>
      <c r="W25" s="368"/>
      <c r="X25" s="368"/>
      <c r="Y25" s="368"/>
      <c r="Z25" s="368"/>
    </row>
    <row r="26" ht="14.25" customHeight="1">
      <c r="A26" s="384">
        <v>12.0</v>
      </c>
      <c r="B26" s="383" t="s">
        <v>100</v>
      </c>
      <c r="C26" s="383"/>
      <c r="D26" s="383" t="s">
        <v>3126</v>
      </c>
      <c r="E26" s="383" t="s">
        <v>70</v>
      </c>
      <c r="F26" s="365">
        <v>1.4304E7</v>
      </c>
      <c r="G26" s="383" t="s">
        <v>8432</v>
      </c>
      <c r="H26" s="383" t="s">
        <v>44</v>
      </c>
      <c r="I26" s="928" t="s">
        <v>8433</v>
      </c>
      <c r="J26" s="383" t="s">
        <v>8434</v>
      </c>
      <c r="K26" s="383" t="s">
        <v>8435</v>
      </c>
      <c r="L26" s="929" t="s">
        <v>8436</v>
      </c>
      <c r="M26" s="929"/>
      <c r="N26" s="929" t="s">
        <v>2666</v>
      </c>
      <c r="O26" s="179" t="s">
        <v>25</v>
      </c>
      <c r="P26" s="368"/>
      <c r="Q26" s="368"/>
      <c r="R26" s="368"/>
      <c r="S26" s="368"/>
      <c r="T26" s="368"/>
      <c r="U26" s="368"/>
      <c r="V26" s="368"/>
      <c r="W26" s="368"/>
      <c r="X26" s="368"/>
      <c r="Y26" s="368"/>
      <c r="Z26" s="368"/>
    </row>
    <row r="27" ht="14.25" customHeight="1">
      <c r="A27" s="384">
        <v>13.0</v>
      </c>
      <c r="B27" s="383" t="s">
        <v>100</v>
      </c>
      <c r="C27" s="383"/>
      <c r="D27" s="383" t="s">
        <v>3126</v>
      </c>
      <c r="E27" s="383" t="s">
        <v>70</v>
      </c>
      <c r="F27" s="365">
        <v>1.708E7</v>
      </c>
      <c r="G27" s="383" t="s">
        <v>2257</v>
      </c>
      <c r="H27" s="383" t="s">
        <v>92</v>
      </c>
      <c r="I27" s="933" t="s">
        <v>8437</v>
      </c>
      <c r="J27" s="383" t="s">
        <v>8438</v>
      </c>
      <c r="K27" s="383" t="s">
        <v>8439</v>
      </c>
      <c r="L27" s="929" t="s">
        <v>8440</v>
      </c>
      <c r="M27" s="929"/>
      <c r="N27" s="929" t="s">
        <v>8441</v>
      </c>
      <c r="O27" s="179" t="s">
        <v>25</v>
      </c>
      <c r="P27" s="368"/>
      <c r="Q27" s="368"/>
      <c r="R27" s="368"/>
      <c r="S27" s="368"/>
      <c r="T27" s="368"/>
      <c r="U27" s="368"/>
      <c r="V27" s="368"/>
      <c r="W27" s="368"/>
      <c r="X27" s="368"/>
      <c r="Y27" s="368"/>
      <c r="Z27" s="368"/>
    </row>
    <row r="28" ht="14.25" customHeight="1">
      <c r="A28" s="319">
        <v>14.0</v>
      </c>
      <c r="B28" s="175" t="s">
        <v>100</v>
      </c>
      <c r="C28" s="175"/>
      <c r="D28" s="175" t="s">
        <v>3126</v>
      </c>
      <c r="E28" s="175" t="s">
        <v>70</v>
      </c>
      <c r="F28" s="177">
        <v>1.89E7</v>
      </c>
      <c r="G28" s="175" t="s">
        <v>8442</v>
      </c>
      <c r="H28" s="175" t="s">
        <v>862</v>
      </c>
      <c r="I28" s="27" t="s">
        <v>8443</v>
      </c>
      <c r="J28" s="175" t="s">
        <v>8444</v>
      </c>
      <c r="K28" s="175" t="s">
        <v>8445</v>
      </c>
      <c r="L28" s="931" t="s">
        <v>8446</v>
      </c>
      <c r="M28" s="931"/>
      <c r="N28" s="931" t="s">
        <v>8447</v>
      </c>
      <c r="O28" s="179" t="s">
        <v>25</v>
      </c>
      <c r="P28" s="179"/>
      <c r="Q28" s="179"/>
      <c r="R28" s="179"/>
      <c r="S28" s="179"/>
      <c r="T28" s="179"/>
      <c r="U28" s="179"/>
      <c r="V28" s="179"/>
      <c r="W28" s="179"/>
      <c r="X28" s="179"/>
      <c r="Y28" s="179"/>
      <c r="Z28" s="179"/>
    </row>
    <row r="29" ht="14.25" customHeight="1">
      <c r="A29" s="319">
        <v>15.0</v>
      </c>
      <c r="B29" s="175" t="s">
        <v>100</v>
      </c>
      <c r="C29" s="175"/>
      <c r="D29" s="175" t="s">
        <v>3126</v>
      </c>
      <c r="E29" s="175" t="s">
        <v>70</v>
      </c>
      <c r="F29" s="177">
        <v>1.89E7</v>
      </c>
      <c r="G29" s="175" t="s">
        <v>8442</v>
      </c>
      <c r="H29" s="175" t="s">
        <v>862</v>
      </c>
      <c r="I29" s="27" t="s">
        <v>8448</v>
      </c>
      <c r="J29" s="175" t="s">
        <v>8449</v>
      </c>
      <c r="K29" s="175" t="s">
        <v>8450</v>
      </c>
      <c r="L29" s="931" t="s">
        <v>8451</v>
      </c>
      <c r="M29" s="175"/>
      <c r="N29" s="931" t="s">
        <v>8452</v>
      </c>
      <c r="O29" s="179" t="s">
        <v>25</v>
      </c>
      <c r="P29" s="179"/>
      <c r="Q29" s="179"/>
      <c r="R29" s="179"/>
      <c r="S29" s="179"/>
      <c r="T29" s="179"/>
      <c r="U29" s="179"/>
      <c r="V29" s="179"/>
      <c r="W29" s="179"/>
      <c r="X29" s="179"/>
      <c r="Y29" s="179"/>
      <c r="Z29" s="179"/>
    </row>
    <row r="30" ht="14.25" customHeight="1">
      <c r="A30" s="319">
        <v>16.0</v>
      </c>
      <c r="B30" s="175" t="s">
        <v>100</v>
      </c>
      <c r="C30" s="175"/>
      <c r="D30" s="175" t="s">
        <v>3126</v>
      </c>
      <c r="E30" s="175" t="s">
        <v>70</v>
      </c>
      <c r="F30" s="177">
        <v>1.89E7</v>
      </c>
      <c r="G30" s="175" t="s">
        <v>8442</v>
      </c>
      <c r="H30" s="175" t="s">
        <v>862</v>
      </c>
      <c r="I30" s="27" t="s">
        <v>8453</v>
      </c>
      <c r="J30" s="175" t="s">
        <v>8454</v>
      </c>
      <c r="K30" s="175" t="s">
        <v>8455</v>
      </c>
      <c r="L30" s="931" t="s">
        <v>8456</v>
      </c>
      <c r="M30" s="175"/>
      <c r="N30" s="931" t="s">
        <v>8457</v>
      </c>
      <c r="O30" s="179" t="s">
        <v>25</v>
      </c>
      <c r="P30" s="179"/>
      <c r="Q30" s="179"/>
      <c r="R30" s="179"/>
      <c r="S30" s="179"/>
      <c r="T30" s="179"/>
      <c r="U30" s="179"/>
      <c r="V30" s="179"/>
      <c r="W30" s="179"/>
      <c r="X30" s="179"/>
      <c r="Y30" s="179"/>
      <c r="Z30" s="179"/>
    </row>
    <row r="31" ht="14.25" customHeight="1">
      <c r="A31" s="319">
        <v>17.0</v>
      </c>
      <c r="B31" s="175" t="s">
        <v>100</v>
      </c>
      <c r="C31" s="175" t="s">
        <v>8458</v>
      </c>
      <c r="D31" s="175" t="s">
        <v>3126</v>
      </c>
      <c r="E31" s="175" t="s">
        <v>70</v>
      </c>
      <c r="F31" s="177">
        <v>2.46E7</v>
      </c>
      <c r="G31" s="175" t="s">
        <v>1579</v>
      </c>
      <c r="H31" s="175" t="s">
        <v>2329</v>
      </c>
      <c r="I31" s="27" t="s">
        <v>8459</v>
      </c>
      <c r="J31" s="175" t="s">
        <v>8460</v>
      </c>
      <c r="K31" s="175" t="s">
        <v>8461</v>
      </c>
      <c r="L31" s="931" t="s">
        <v>8462</v>
      </c>
      <c r="M31" s="175"/>
      <c r="N31" s="931" t="s">
        <v>8007</v>
      </c>
      <c r="O31" s="179" t="s">
        <v>25</v>
      </c>
      <c r="P31" s="179"/>
      <c r="Q31" s="179"/>
      <c r="R31" s="179"/>
      <c r="S31" s="179"/>
      <c r="T31" s="179"/>
      <c r="U31" s="179"/>
      <c r="V31" s="179"/>
      <c r="W31" s="179"/>
      <c r="X31" s="179"/>
      <c r="Y31" s="179"/>
      <c r="Z31" s="179"/>
    </row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3:M3"/>
    <mergeCell ref="A4:M4"/>
  </mergeCells>
  <printOptions/>
  <pageMargins bottom="0.7480314960629921" footer="0.0" header="0.0" left="0.0" right="0.0" top="0.7480314960629921"/>
  <pageSetup paperSize="5" scale="62" orientation="landscape"/>
  <drawing r:id="rId1"/>
  <tableParts count="1">
    <tablePart r:id="rId3"/>
  </tableParts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4.43" defaultRowHeight="15.0"/>
  <cols>
    <col customWidth="1" min="1" max="1" width="5.29"/>
    <col customWidth="1" min="2" max="2" width="33.71"/>
    <col customWidth="1" min="3" max="3" width="18.71"/>
    <col customWidth="1" min="4" max="4" width="26.0"/>
    <col customWidth="1" min="5" max="5" width="9.14"/>
    <col customWidth="1" min="6" max="6" width="15.29"/>
    <col customWidth="1" min="7" max="7" width="29.0"/>
    <col customWidth="1" min="8" max="8" width="8.29"/>
    <col customWidth="1" min="9" max="9" width="24.14"/>
    <col customWidth="1" min="10" max="10" width="24.71"/>
    <col customWidth="1" min="11" max="11" width="22.0"/>
    <col customWidth="1" min="12" max="12" width="17.0"/>
    <col customWidth="1" min="13" max="13" width="17.29"/>
    <col customWidth="1" min="14" max="14" width="26.86"/>
    <col customWidth="1" min="15" max="15" width="18.0"/>
    <col customWidth="1" min="16" max="34" width="8.71"/>
  </cols>
  <sheetData>
    <row r="1" ht="14.25" customHeight="1"/>
    <row r="2" ht="14.25" customHeight="1"/>
    <row r="3" ht="14.25" customHeight="1">
      <c r="A3" s="1" t="s">
        <v>0</v>
      </c>
    </row>
    <row r="4" ht="14.25" customHeight="1">
      <c r="A4" s="1" t="s">
        <v>1</v>
      </c>
    </row>
    <row r="5" ht="14.25" customHeight="1"/>
    <row r="6" ht="14.25" customHeight="1"/>
    <row r="7" ht="14.25" customHeight="1">
      <c r="A7" s="2" t="s">
        <v>2</v>
      </c>
      <c r="C7" s="2" t="s">
        <v>3</v>
      </c>
    </row>
    <row r="8" ht="14.25" customHeight="1">
      <c r="A8" s="2" t="s">
        <v>4</v>
      </c>
      <c r="C8" s="2" t="s">
        <v>5</v>
      </c>
    </row>
    <row r="9" ht="14.25" customHeight="1">
      <c r="A9" s="2" t="s">
        <v>6</v>
      </c>
      <c r="C9" s="2" t="s">
        <v>8463</v>
      </c>
    </row>
    <row r="10" ht="14.25" customHeight="1">
      <c r="A10" s="169" t="s">
        <v>8</v>
      </c>
      <c r="B10" s="170" t="s">
        <v>9</v>
      </c>
      <c r="C10" s="170" t="s">
        <v>10</v>
      </c>
      <c r="D10" s="170" t="s">
        <v>11</v>
      </c>
      <c r="E10" s="170" t="s">
        <v>12</v>
      </c>
      <c r="F10" s="170" t="s">
        <v>13</v>
      </c>
      <c r="G10" s="170" t="s">
        <v>14</v>
      </c>
      <c r="H10" s="170" t="s">
        <v>15</v>
      </c>
      <c r="I10" s="170" t="s">
        <v>16</v>
      </c>
      <c r="J10" s="170" t="s">
        <v>17</v>
      </c>
      <c r="K10" s="246" t="s">
        <v>1881</v>
      </c>
      <c r="L10" s="170" t="s">
        <v>1882</v>
      </c>
      <c r="M10" s="171" t="s">
        <v>20</v>
      </c>
      <c r="N10" s="717" t="s">
        <v>1883</v>
      </c>
      <c r="O10" s="940"/>
    </row>
    <row r="11" ht="14.25" customHeight="1">
      <c r="A11" s="426" t="s">
        <v>22</v>
      </c>
      <c r="B11" s="317" t="s">
        <v>23</v>
      </c>
      <c r="C11" s="317"/>
      <c r="D11" s="317"/>
      <c r="E11" s="317"/>
      <c r="F11" s="427">
        <f>SUM(F12:F13)</f>
        <v>421800000</v>
      </c>
      <c r="G11" s="317"/>
      <c r="H11" s="317"/>
      <c r="I11" s="317"/>
      <c r="J11" s="317"/>
      <c r="K11" s="317"/>
      <c r="L11" s="317"/>
      <c r="M11" s="941"/>
      <c r="N11" s="317"/>
      <c r="O11" s="317"/>
      <c r="P11" s="942"/>
      <c r="Q11" s="890"/>
      <c r="R11" s="890"/>
      <c r="S11" s="890"/>
      <c r="T11" s="890"/>
      <c r="U11" s="890"/>
      <c r="V11" s="890"/>
      <c r="W11" s="890"/>
      <c r="X11" s="890"/>
      <c r="Y11" s="890"/>
      <c r="Z11" s="890"/>
      <c r="AA11" s="890"/>
      <c r="AB11" s="890"/>
      <c r="AC11" s="890"/>
      <c r="AD11" s="890"/>
      <c r="AE11" s="890"/>
      <c r="AF11" s="890"/>
      <c r="AG11" s="890"/>
      <c r="AH11" s="890"/>
    </row>
    <row r="12" ht="14.25" customHeight="1">
      <c r="A12" s="943">
        <v>1.0</v>
      </c>
      <c r="B12" s="180" t="s">
        <v>780</v>
      </c>
      <c r="C12" s="180"/>
      <c r="D12" s="180" t="s">
        <v>8464</v>
      </c>
      <c r="E12" s="184" t="s">
        <v>931</v>
      </c>
      <c r="F12" s="181">
        <v>1.618E8</v>
      </c>
      <c r="G12" s="180" t="s">
        <v>8465</v>
      </c>
      <c r="H12" s="180" t="s">
        <v>37</v>
      </c>
      <c r="I12" s="180" t="s">
        <v>8466</v>
      </c>
      <c r="J12" s="180" t="s">
        <v>8467</v>
      </c>
      <c r="K12" s="180"/>
      <c r="L12" s="180" t="s">
        <v>8468</v>
      </c>
      <c r="M12" s="702" t="s">
        <v>70</v>
      </c>
      <c r="N12" s="944" t="s">
        <v>8469</v>
      </c>
      <c r="O12" s="945" t="s">
        <v>2362</v>
      </c>
      <c r="P12" s="942"/>
      <c r="Q12" s="890"/>
      <c r="R12" s="890"/>
      <c r="S12" s="890"/>
      <c r="T12" s="890"/>
      <c r="U12" s="890"/>
      <c r="V12" s="890"/>
      <c r="W12" s="890"/>
      <c r="X12" s="890"/>
      <c r="Y12" s="890"/>
      <c r="Z12" s="890"/>
      <c r="AA12" s="890"/>
      <c r="AB12" s="890"/>
      <c r="AC12" s="890"/>
      <c r="AD12" s="890"/>
      <c r="AE12" s="890"/>
      <c r="AF12" s="890"/>
      <c r="AG12" s="890"/>
      <c r="AH12" s="890"/>
    </row>
    <row r="13" ht="14.25" customHeight="1">
      <c r="A13" s="253">
        <v>2.0</v>
      </c>
      <c r="B13" s="175" t="s">
        <v>780</v>
      </c>
      <c r="C13" s="175"/>
      <c r="D13" s="175" t="s">
        <v>8464</v>
      </c>
      <c r="E13" s="175" t="s">
        <v>70</v>
      </c>
      <c r="F13" s="177">
        <v>2.6E8</v>
      </c>
      <c r="G13" s="178" t="s">
        <v>7724</v>
      </c>
      <c r="H13" s="175" t="s">
        <v>78</v>
      </c>
      <c r="I13" s="27" t="s">
        <v>8470</v>
      </c>
      <c r="J13" s="175" t="s">
        <v>8471</v>
      </c>
      <c r="K13" s="946" t="s">
        <v>8472</v>
      </c>
      <c r="L13" s="175" t="s">
        <v>8473</v>
      </c>
      <c r="M13" s="391" t="s">
        <v>70</v>
      </c>
      <c r="N13" s="947" t="s">
        <v>8474</v>
      </c>
      <c r="O13" s="947"/>
      <c r="P13" s="942"/>
      <c r="Q13" s="890"/>
      <c r="R13" s="890"/>
      <c r="S13" s="890"/>
      <c r="T13" s="890"/>
      <c r="U13" s="890"/>
      <c r="V13" s="890"/>
      <c r="W13" s="890"/>
      <c r="X13" s="890"/>
      <c r="Y13" s="890"/>
      <c r="Z13" s="890"/>
      <c r="AA13" s="890"/>
      <c r="AB13" s="890"/>
      <c r="AC13" s="890"/>
      <c r="AD13" s="890"/>
      <c r="AE13" s="890"/>
      <c r="AF13" s="890"/>
      <c r="AG13" s="890"/>
      <c r="AH13" s="890"/>
    </row>
    <row r="14" ht="14.25" customHeight="1">
      <c r="A14" s="426" t="s">
        <v>22</v>
      </c>
      <c r="B14" s="317" t="s">
        <v>99</v>
      </c>
      <c r="C14" s="317"/>
      <c r="D14" s="317"/>
      <c r="E14" s="317"/>
      <c r="F14" s="427">
        <f>SUM(F15:F27)</f>
        <v>182349836</v>
      </c>
      <c r="G14" s="317"/>
      <c r="H14" s="317"/>
      <c r="I14" s="317"/>
      <c r="J14" s="317"/>
      <c r="K14" s="317"/>
      <c r="L14" s="317"/>
      <c r="M14" s="941"/>
      <c r="N14" s="317"/>
      <c r="O14" s="317"/>
      <c r="P14" s="942"/>
      <c r="Q14" s="890"/>
      <c r="R14" s="890"/>
      <c r="S14" s="890"/>
      <c r="T14" s="890"/>
      <c r="U14" s="890"/>
      <c r="V14" s="890"/>
      <c r="W14" s="890"/>
      <c r="X14" s="890"/>
      <c r="Y14" s="890"/>
      <c r="Z14" s="890"/>
      <c r="AA14" s="890"/>
      <c r="AB14" s="890"/>
      <c r="AC14" s="890"/>
      <c r="AD14" s="890"/>
      <c r="AE14" s="890"/>
      <c r="AF14" s="890"/>
      <c r="AG14" s="890"/>
      <c r="AH14" s="890"/>
    </row>
    <row r="15" ht="14.25" customHeight="1">
      <c r="A15" s="943">
        <v>1.0</v>
      </c>
      <c r="B15" s="180" t="s">
        <v>100</v>
      </c>
      <c r="C15" s="180"/>
      <c r="D15" s="180" t="s">
        <v>8464</v>
      </c>
      <c r="E15" s="184" t="s">
        <v>931</v>
      </c>
      <c r="F15" s="181">
        <v>6000000.0</v>
      </c>
      <c r="G15" s="180" t="s">
        <v>144</v>
      </c>
      <c r="H15" s="180" t="s">
        <v>924</v>
      </c>
      <c r="I15" s="948" t="s">
        <v>8475</v>
      </c>
      <c r="J15" s="180" t="s">
        <v>8476</v>
      </c>
      <c r="K15" s="184" t="s">
        <v>8477</v>
      </c>
      <c r="L15" s="180" t="s">
        <v>8478</v>
      </c>
      <c r="M15" s="702" t="s">
        <v>5322</v>
      </c>
      <c r="N15" s="949"/>
      <c r="O15" s="945" t="s">
        <v>2362</v>
      </c>
      <c r="P15" s="942"/>
      <c r="Q15" s="890"/>
      <c r="R15" s="890"/>
      <c r="S15" s="890"/>
      <c r="T15" s="890"/>
      <c r="U15" s="890"/>
      <c r="V15" s="890"/>
      <c r="W15" s="890"/>
      <c r="X15" s="890"/>
      <c r="Y15" s="890"/>
      <c r="Z15" s="890"/>
      <c r="AA15" s="890"/>
      <c r="AB15" s="890"/>
      <c r="AC15" s="890"/>
      <c r="AD15" s="890"/>
      <c r="AE15" s="890"/>
      <c r="AF15" s="890"/>
      <c r="AG15" s="890"/>
      <c r="AH15" s="890"/>
    </row>
    <row r="16" ht="14.25" customHeight="1">
      <c r="A16" s="943">
        <v>2.0</v>
      </c>
      <c r="B16" s="180" t="s">
        <v>100</v>
      </c>
      <c r="C16" s="180"/>
      <c r="D16" s="180" t="s">
        <v>8464</v>
      </c>
      <c r="E16" s="184" t="s">
        <v>931</v>
      </c>
      <c r="F16" s="181">
        <v>6000000.0</v>
      </c>
      <c r="G16" s="180" t="s">
        <v>144</v>
      </c>
      <c r="H16" s="180" t="s">
        <v>924</v>
      </c>
      <c r="I16" s="948" t="s">
        <v>8479</v>
      </c>
      <c r="J16" s="180" t="s">
        <v>8480</v>
      </c>
      <c r="K16" s="184" t="s">
        <v>8481</v>
      </c>
      <c r="L16" s="180" t="s">
        <v>8482</v>
      </c>
      <c r="M16" s="702" t="s">
        <v>5322</v>
      </c>
      <c r="N16" s="944"/>
      <c r="O16" s="945" t="s">
        <v>2362</v>
      </c>
      <c r="P16" s="942"/>
      <c r="Q16" s="890"/>
      <c r="R16" s="890"/>
      <c r="S16" s="890"/>
      <c r="T16" s="890"/>
      <c r="U16" s="890"/>
      <c r="V16" s="890"/>
      <c r="W16" s="890"/>
      <c r="X16" s="890"/>
      <c r="Y16" s="890"/>
      <c r="Z16" s="890"/>
      <c r="AA16" s="890"/>
      <c r="AB16" s="890"/>
      <c r="AC16" s="890"/>
      <c r="AD16" s="890"/>
      <c r="AE16" s="890"/>
      <c r="AF16" s="890"/>
      <c r="AG16" s="890"/>
      <c r="AH16" s="890"/>
    </row>
    <row r="17" ht="14.25" customHeight="1">
      <c r="A17" s="253">
        <v>3.0</v>
      </c>
      <c r="B17" s="175" t="s">
        <v>100</v>
      </c>
      <c r="C17" s="175"/>
      <c r="D17" s="175" t="s">
        <v>8464</v>
      </c>
      <c r="E17" s="175" t="s">
        <v>70</v>
      </c>
      <c r="F17" s="177">
        <v>1.7985E7</v>
      </c>
      <c r="G17" s="175" t="s">
        <v>2749</v>
      </c>
      <c r="H17" s="175" t="s">
        <v>37</v>
      </c>
      <c r="I17" s="17" t="s">
        <v>8483</v>
      </c>
      <c r="J17" s="175" t="s">
        <v>8484</v>
      </c>
      <c r="K17" s="178" t="s">
        <v>8485</v>
      </c>
      <c r="L17" s="175" t="s">
        <v>8486</v>
      </c>
      <c r="M17" s="391" t="s">
        <v>70</v>
      </c>
      <c r="N17" s="947" t="s">
        <v>8487</v>
      </c>
      <c r="O17" s="947"/>
      <c r="P17" s="942"/>
      <c r="Q17" s="890"/>
      <c r="R17" s="890"/>
      <c r="S17" s="890"/>
      <c r="T17" s="890"/>
      <c r="U17" s="890"/>
      <c r="V17" s="890"/>
      <c r="W17" s="890"/>
      <c r="X17" s="890"/>
      <c r="Y17" s="890"/>
      <c r="Z17" s="890"/>
      <c r="AA17" s="890"/>
      <c r="AB17" s="890"/>
      <c r="AC17" s="890"/>
      <c r="AD17" s="890"/>
      <c r="AE17" s="890"/>
      <c r="AF17" s="890"/>
      <c r="AG17" s="890"/>
      <c r="AH17" s="890"/>
    </row>
    <row r="18" ht="14.25" customHeight="1">
      <c r="A18" s="253">
        <v>4.0</v>
      </c>
      <c r="B18" s="175" t="s">
        <v>100</v>
      </c>
      <c r="C18" s="175"/>
      <c r="D18" s="175" t="s">
        <v>8464</v>
      </c>
      <c r="E18" s="175" t="s">
        <v>70</v>
      </c>
      <c r="F18" s="177">
        <v>1.3875E7</v>
      </c>
      <c r="G18" s="175" t="s">
        <v>8488</v>
      </c>
      <c r="H18" s="175" t="s">
        <v>391</v>
      </c>
      <c r="I18" s="27" t="s">
        <v>8489</v>
      </c>
      <c r="J18" s="175" t="s">
        <v>8490</v>
      </c>
      <c r="K18" s="178" t="s">
        <v>8491</v>
      </c>
      <c r="L18" s="175" t="s">
        <v>8492</v>
      </c>
      <c r="M18" s="391" t="s">
        <v>70</v>
      </c>
      <c r="N18" s="950" t="s">
        <v>8493</v>
      </c>
      <c r="O18" s="950"/>
      <c r="P18" s="942"/>
      <c r="Q18" s="890"/>
      <c r="R18" s="890"/>
      <c r="S18" s="890"/>
      <c r="T18" s="890"/>
      <c r="U18" s="890"/>
      <c r="V18" s="890"/>
      <c r="W18" s="890"/>
      <c r="X18" s="890"/>
      <c r="Y18" s="890"/>
      <c r="Z18" s="890"/>
      <c r="AA18" s="890"/>
      <c r="AB18" s="890"/>
      <c r="AC18" s="890"/>
      <c r="AD18" s="890"/>
      <c r="AE18" s="890"/>
      <c r="AF18" s="890"/>
      <c r="AG18" s="890"/>
      <c r="AH18" s="890"/>
    </row>
    <row r="19" ht="14.25" customHeight="1">
      <c r="A19" s="253">
        <v>5.0</v>
      </c>
      <c r="B19" s="175" t="s">
        <v>100</v>
      </c>
      <c r="C19" s="175"/>
      <c r="D19" s="175" t="s">
        <v>8464</v>
      </c>
      <c r="E19" s="175" t="s">
        <v>70</v>
      </c>
      <c r="F19" s="177">
        <v>1.32E7</v>
      </c>
      <c r="G19" s="175" t="s">
        <v>5892</v>
      </c>
      <c r="H19" s="951">
        <v>2007.0</v>
      </c>
      <c r="I19" s="27" t="s">
        <v>8494</v>
      </c>
      <c r="J19" s="175" t="s">
        <v>8495</v>
      </c>
      <c r="K19" s="178" t="s">
        <v>8496</v>
      </c>
      <c r="L19" s="175" t="s">
        <v>8497</v>
      </c>
      <c r="M19" s="391" t="s">
        <v>70</v>
      </c>
      <c r="N19" s="947" t="s">
        <v>8498</v>
      </c>
      <c r="O19" s="947"/>
      <c r="P19" s="942"/>
      <c r="Q19" s="890"/>
      <c r="R19" s="890"/>
      <c r="S19" s="890"/>
      <c r="T19" s="890"/>
      <c r="U19" s="890"/>
      <c r="V19" s="890"/>
      <c r="W19" s="890"/>
      <c r="X19" s="890"/>
      <c r="Y19" s="890"/>
      <c r="Z19" s="890"/>
      <c r="AA19" s="890"/>
      <c r="AB19" s="890"/>
      <c r="AC19" s="890"/>
      <c r="AD19" s="890"/>
      <c r="AE19" s="890"/>
      <c r="AF19" s="890"/>
      <c r="AG19" s="890"/>
      <c r="AH19" s="890"/>
    </row>
    <row r="20" ht="14.25" customHeight="1">
      <c r="A20" s="253">
        <v>6.0</v>
      </c>
      <c r="B20" s="175" t="s">
        <v>100</v>
      </c>
      <c r="C20" s="175"/>
      <c r="D20" s="175" t="s">
        <v>8464</v>
      </c>
      <c r="E20" s="175" t="s">
        <v>70</v>
      </c>
      <c r="F20" s="177">
        <v>1.32E7</v>
      </c>
      <c r="G20" s="175" t="s">
        <v>5892</v>
      </c>
      <c r="H20" s="175" t="s">
        <v>474</v>
      </c>
      <c r="I20" s="17" t="s">
        <v>8499</v>
      </c>
      <c r="J20" s="175" t="s">
        <v>8500</v>
      </c>
      <c r="K20" s="178" t="s">
        <v>8501</v>
      </c>
      <c r="L20" s="178" t="s">
        <v>8502</v>
      </c>
      <c r="M20" s="391" t="s">
        <v>70</v>
      </c>
      <c r="N20" s="950" t="s">
        <v>8503</v>
      </c>
      <c r="O20" s="950"/>
      <c r="P20" s="942"/>
      <c r="Q20" s="890"/>
      <c r="R20" s="890"/>
      <c r="S20" s="890"/>
      <c r="T20" s="890"/>
      <c r="U20" s="890"/>
      <c r="V20" s="890"/>
      <c r="W20" s="890"/>
      <c r="X20" s="890"/>
      <c r="Y20" s="890"/>
      <c r="Z20" s="890"/>
      <c r="AA20" s="890"/>
      <c r="AB20" s="890"/>
      <c r="AC20" s="890"/>
      <c r="AD20" s="890"/>
      <c r="AE20" s="890"/>
      <c r="AF20" s="890"/>
      <c r="AG20" s="890"/>
      <c r="AH20" s="890"/>
    </row>
    <row r="21" ht="14.25" customHeight="1">
      <c r="A21" s="253">
        <v>7.0</v>
      </c>
      <c r="B21" s="175" t="s">
        <v>100</v>
      </c>
      <c r="C21" s="175"/>
      <c r="D21" s="175" t="s">
        <v>8464</v>
      </c>
      <c r="E21" s="175" t="s">
        <v>70</v>
      </c>
      <c r="F21" s="177">
        <v>1.32E7</v>
      </c>
      <c r="G21" s="175" t="s">
        <v>5892</v>
      </c>
      <c r="H21" s="175" t="s">
        <v>474</v>
      </c>
      <c r="I21" s="17" t="s">
        <v>8504</v>
      </c>
      <c r="J21" s="175" t="s">
        <v>8505</v>
      </c>
      <c r="K21" s="178" t="s">
        <v>8506</v>
      </c>
      <c r="L21" s="178" t="s">
        <v>8507</v>
      </c>
      <c r="M21" s="391" t="s">
        <v>70</v>
      </c>
      <c r="N21" s="947" t="s">
        <v>8508</v>
      </c>
      <c r="O21" s="947"/>
      <c r="P21" s="942"/>
      <c r="Q21" s="890"/>
      <c r="R21" s="890"/>
      <c r="S21" s="890"/>
      <c r="T21" s="890"/>
      <c r="U21" s="890"/>
      <c r="V21" s="890"/>
      <c r="W21" s="890"/>
      <c r="X21" s="890"/>
      <c r="Y21" s="890"/>
      <c r="Z21" s="890"/>
      <c r="AA21" s="890"/>
      <c r="AB21" s="890"/>
      <c r="AC21" s="890"/>
      <c r="AD21" s="890"/>
      <c r="AE21" s="890"/>
      <c r="AF21" s="890"/>
      <c r="AG21" s="890"/>
      <c r="AH21" s="890"/>
    </row>
    <row r="22" ht="14.25" customHeight="1">
      <c r="A22" s="253">
        <v>8.0</v>
      </c>
      <c r="B22" s="175" t="s">
        <v>100</v>
      </c>
      <c r="C22" s="175"/>
      <c r="D22" s="175" t="s">
        <v>8464</v>
      </c>
      <c r="E22" s="175" t="s">
        <v>70</v>
      </c>
      <c r="F22" s="177">
        <v>1.32E7</v>
      </c>
      <c r="G22" s="175" t="s">
        <v>5892</v>
      </c>
      <c r="H22" s="175" t="s">
        <v>474</v>
      </c>
      <c r="I22" s="27" t="s">
        <v>8509</v>
      </c>
      <c r="J22" s="175" t="s">
        <v>8510</v>
      </c>
      <c r="K22" s="178" t="s">
        <v>8511</v>
      </c>
      <c r="L22" s="178" t="s">
        <v>8512</v>
      </c>
      <c r="M22" s="391" t="s">
        <v>70</v>
      </c>
      <c r="N22" s="950" t="s">
        <v>8513</v>
      </c>
      <c r="O22" s="950"/>
      <c r="P22" s="942"/>
      <c r="Q22" s="890"/>
      <c r="R22" s="890"/>
      <c r="S22" s="890"/>
      <c r="T22" s="890"/>
      <c r="U22" s="890"/>
      <c r="V22" s="890"/>
      <c r="W22" s="890"/>
      <c r="X22" s="890"/>
      <c r="Y22" s="890"/>
      <c r="Z22" s="890"/>
      <c r="AA22" s="890"/>
      <c r="AB22" s="890"/>
      <c r="AC22" s="890"/>
      <c r="AD22" s="890"/>
      <c r="AE22" s="890"/>
      <c r="AF22" s="890"/>
      <c r="AG22" s="890"/>
      <c r="AH22" s="890"/>
    </row>
    <row r="23" ht="14.25" customHeight="1">
      <c r="A23" s="253">
        <v>9.0</v>
      </c>
      <c r="B23" s="175" t="s">
        <v>100</v>
      </c>
      <c r="C23" s="175"/>
      <c r="D23" s="175" t="s">
        <v>8464</v>
      </c>
      <c r="E23" s="175" t="s">
        <v>70</v>
      </c>
      <c r="F23" s="177">
        <v>1.7755E7</v>
      </c>
      <c r="G23" s="175" t="s">
        <v>7637</v>
      </c>
      <c r="H23" s="175" t="s">
        <v>474</v>
      </c>
      <c r="I23" s="17" t="s">
        <v>8514</v>
      </c>
      <c r="J23" s="175" t="s">
        <v>8515</v>
      </c>
      <c r="K23" s="178" t="s">
        <v>8516</v>
      </c>
      <c r="L23" s="175" t="s">
        <v>8517</v>
      </c>
      <c r="M23" s="391" t="s">
        <v>70</v>
      </c>
      <c r="N23" s="947" t="s">
        <v>8518</v>
      </c>
      <c r="O23" s="947"/>
      <c r="P23" s="942"/>
      <c r="Q23" s="890"/>
      <c r="R23" s="890"/>
      <c r="S23" s="890"/>
      <c r="T23" s="890"/>
      <c r="U23" s="890"/>
      <c r="V23" s="890"/>
      <c r="W23" s="890"/>
      <c r="X23" s="890"/>
      <c r="Y23" s="890"/>
      <c r="Z23" s="890"/>
      <c r="AA23" s="890"/>
      <c r="AB23" s="890"/>
      <c r="AC23" s="890"/>
      <c r="AD23" s="890"/>
      <c r="AE23" s="890"/>
      <c r="AF23" s="890"/>
      <c r="AG23" s="890"/>
      <c r="AH23" s="890"/>
    </row>
    <row r="24" ht="14.25" customHeight="1">
      <c r="A24" s="253">
        <v>10.0</v>
      </c>
      <c r="B24" s="175" t="s">
        <v>100</v>
      </c>
      <c r="C24" s="175"/>
      <c r="D24" s="175" t="s">
        <v>8464</v>
      </c>
      <c r="E24" s="175" t="s">
        <v>70</v>
      </c>
      <c r="F24" s="177">
        <v>1.4667418E7</v>
      </c>
      <c r="G24" s="175" t="s">
        <v>8519</v>
      </c>
      <c r="H24" s="175" t="s">
        <v>92</v>
      </c>
      <c r="I24" s="175" t="s">
        <v>8520</v>
      </c>
      <c r="J24" s="175" t="s">
        <v>8521</v>
      </c>
      <c r="K24" s="175"/>
      <c r="L24" s="175"/>
      <c r="M24" s="391" t="s">
        <v>70</v>
      </c>
      <c r="N24" s="950" t="s">
        <v>8522</v>
      </c>
      <c r="O24" s="950"/>
      <c r="P24" s="942"/>
      <c r="Q24" s="890"/>
      <c r="R24" s="890"/>
      <c r="S24" s="890"/>
      <c r="T24" s="890"/>
      <c r="U24" s="890"/>
      <c r="V24" s="890"/>
      <c r="W24" s="890"/>
      <c r="X24" s="890"/>
      <c r="Y24" s="890"/>
      <c r="Z24" s="890"/>
      <c r="AA24" s="890"/>
      <c r="AB24" s="890"/>
      <c r="AC24" s="890"/>
      <c r="AD24" s="890"/>
      <c r="AE24" s="890"/>
      <c r="AF24" s="890"/>
      <c r="AG24" s="890"/>
      <c r="AH24" s="890"/>
    </row>
    <row r="25" ht="14.25" customHeight="1">
      <c r="A25" s="253">
        <v>11.0</v>
      </c>
      <c r="B25" s="175" t="s">
        <v>100</v>
      </c>
      <c r="C25" s="175"/>
      <c r="D25" s="175" t="s">
        <v>8464</v>
      </c>
      <c r="E25" s="175" t="s">
        <v>70</v>
      </c>
      <c r="F25" s="177">
        <v>1.4667418E7</v>
      </c>
      <c r="G25" s="175" t="s">
        <v>8519</v>
      </c>
      <c r="H25" s="175" t="s">
        <v>92</v>
      </c>
      <c r="I25" s="175" t="s">
        <v>8523</v>
      </c>
      <c r="J25" s="175" t="s">
        <v>8524</v>
      </c>
      <c r="K25" s="175"/>
      <c r="L25" s="175"/>
      <c r="M25" s="391" t="s">
        <v>70</v>
      </c>
      <c r="N25" s="947" t="s">
        <v>8525</v>
      </c>
      <c r="O25" s="947"/>
      <c r="P25" s="942"/>
      <c r="Q25" s="890"/>
      <c r="R25" s="890"/>
      <c r="S25" s="890"/>
      <c r="T25" s="890"/>
      <c r="U25" s="890"/>
      <c r="V25" s="890"/>
      <c r="W25" s="890"/>
      <c r="X25" s="890"/>
      <c r="Y25" s="890"/>
      <c r="Z25" s="890"/>
      <c r="AA25" s="890"/>
      <c r="AB25" s="890"/>
      <c r="AC25" s="890"/>
      <c r="AD25" s="890"/>
      <c r="AE25" s="890"/>
      <c r="AF25" s="890"/>
      <c r="AG25" s="890"/>
      <c r="AH25" s="890"/>
    </row>
    <row r="26" ht="14.25" customHeight="1">
      <c r="A26" s="253">
        <v>12.0</v>
      </c>
      <c r="B26" s="175" t="s">
        <v>100</v>
      </c>
      <c r="C26" s="175"/>
      <c r="D26" s="175" t="s">
        <v>8464</v>
      </c>
      <c r="E26" s="175" t="s">
        <v>70</v>
      </c>
      <c r="F26" s="177">
        <v>1.93E7</v>
      </c>
      <c r="G26" s="175" t="s">
        <v>8526</v>
      </c>
      <c r="H26" s="175" t="s">
        <v>78</v>
      </c>
      <c r="I26" s="27" t="s">
        <v>8527</v>
      </c>
      <c r="J26" s="175" t="s">
        <v>8528</v>
      </c>
      <c r="K26" s="178" t="s">
        <v>8529</v>
      </c>
      <c r="L26" s="175" t="s">
        <v>8530</v>
      </c>
      <c r="M26" s="391" t="s">
        <v>70</v>
      </c>
      <c r="N26" s="950" t="s">
        <v>8531</v>
      </c>
      <c r="O26" s="950"/>
      <c r="P26" s="942"/>
      <c r="Q26" s="890"/>
      <c r="R26" s="890"/>
      <c r="S26" s="890"/>
      <c r="T26" s="890"/>
      <c r="U26" s="890"/>
      <c r="V26" s="890"/>
      <c r="W26" s="890"/>
      <c r="X26" s="890"/>
      <c r="Y26" s="890"/>
      <c r="Z26" s="890"/>
      <c r="AA26" s="890"/>
      <c r="AB26" s="890"/>
      <c r="AC26" s="890"/>
      <c r="AD26" s="890"/>
      <c r="AE26" s="890"/>
      <c r="AF26" s="890"/>
      <c r="AG26" s="890"/>
      <c r="AH26" s="890"/>
    </row>
    <row r="27" ht="14.25" customHeight="1">
      <c r="A27" s="175">
        <v>13.0</v>
      </c>
      <c r="B27" s="175" t="s">
        <v>100</v>
      </c>
      <c r="C27" s="175"/>
      <c r="D27" s="175" t="s">
        <v>8464</v>
      </c>
      <c r="E27" s="175" t="s">
        <v>70</v>
      </c>
      <c r="F27" s="177">
        <v>1.93E7</v>
      </c>
      <c r="G27" s="175" t="s">
        <v>8526</v>
      </c>
      <c r="H27" s="175" t="s">
        <v>78</v>
      </c>
      <c r="I27" s="27" t="s">
        <v>8532</v>
      </c>
      <c r="J27" s="175" t="s">
        <v>8533</v>
      </c>
      <c r="K27" s="178" t="s">
        <v>8534</v>
      </c>
      <c r="L27" s="175" t="s">
        <v>8535</v>
      </c>
      <c r="M27" s="175" t="s">
        <v>70</v>
      </c>
      <c r="N27" s="947" t="s">
        <v>8536</v>
      </c>
      <c r="O27" s="947"/>
      <c r="P27" s="942"/>
      <c r="Q27" s="890"/>
      <c r="R27" s="890"/>
      <c r="S27" s="890"/>
      <c r="T27" s="890"/>
      <c r="U27" s="890"/>
      <c r="V27" s="890"/>
      <c r="W27" s="890"/>
      <c r="X27" s="890"/>
      <c r="Y27" s="890"/>
      <c r="Z27" s="890"/>
      <c r="AA27" s="890"/>
      <c r="AB27" s="890"/>
      <c r="AC27" s="890"/>
      <c r="AD27" s="890"/>
      <c r="AE27" s="890"/>
      <c r="AF27" s="890"/>
      <c r="AG27" s="890"/>
      <c r="AH27" s="890"/>
    </row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3:M3"/>
    <mergeCell ref="A4:M4"/>
  </mergeCells>
  <printOptions horizontalCentered="1"/>
  <pageMargins bottom="0.748031496062992" footer="0.0" header="0.0" left="0.5" right="0.5" top="0.748031496062992"/>
  <pageSetup paperSize="5" scale="65" orientation="landscape"/>
  <drawing r:id="rId1"/>
  <tableParts count="1">
    <tablePart r:id="rId3"/>
  </tableParts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4.43" defaultRowHeight="15.0"/>
  <cols>
    <col customWidth="1" min="1" max="1" width="5.29"/>
    <col customWidth="1" min="2" max="2" width="39.57"/>
    <col customWidth="1" min="3" max="3" width="18.71"/>
    <col customWidth="1" min="4" max="4" width="28.43"/>
    <col customWidth="1" min="5" max="5" width="11.86"/>
    <col customWidth="1" min="6" max="6" width="15.29"/>
    <col customWidth="1" min="7" max="7" width="27.14"/>
    <col customWidth="1" min="8" max="8" width="8.29"/>
    <col customWidth="1" min="9" max="9" width="11.71"/>
    <col customWidth="1" min="10" max="10" width="25.43"/>
    <col customWidth="1" min="11" max="11" width="15.86"/>
    <col customWidth="1" min="12" max="12" width="13.86"/>
    <col customWidth="1" min="13" max="13" width="14.71"/>
    <col customWidth="1" min="14" max="14" width="36.86"/>
    <col customWidth="1" min="15" max="27" width="8.71"/>
  </cols>
  <sheetData>
    <row r="1" ht="14.25" customHeight="1"/>
    <row r="2" ht="14.25" customHeight="1"/>
    <row r="3" ht="14.25" customHeight="1">
      <c r="A3" s="1" t="s">
        <v>0</v>
      </c>
    </row>
    <row r="4" ht="14.25" customHeight="1">
      <c r="A4" s="1" t="s">
        <v>1</v>
      </c>
    </row>
    <row r="5" ht="14.25" customHeight="1"/>
    <row r="6" ht="14.25" customHeight="1"/>
    <row r="7" ht="14.25" customHeight="1">
      <c r="A7" s="2" t="s">
        <v>2</v>
      </c>
      <c r="C7" s="2" t="s">
        <v>3</v>
      </c>
    </row>
    <row r="8" ht="14.25" customHeight="1">
      <c r="A8" s="2" t="s">
        <v>4</v>
      </c>
      <c r="C8" s="2" t="s">
        <v>5</v>
      </c>
    </row>
    <row r="9" ht="14.25" customHeight="1">
      <c r="A9" s="2" t="s">
        <v>6</v>
      </c>
      <c r="C9" s="2" t="s">
        <v>8537</v>
      </c>
    </row>
    <row r="10" ht="14.25" customHeight="1">
      <c r="A10" s="169" t="s">
        <v>8</v>
      </c>
      <c r="B10" s="170" t="s">
        <v>9</v>
      </c>
      <c r="C10" s="170" t="s">
        <v>10</v>
      </c>
      <c r="D10" s="170" t="s">
        <v>11</v>
      </c>
      <c r="E10" s="170" t="s">
        <v>12</v>
      </c>
      <c r="F10" s="170" t="s">
        <v>13</v>
      </c>
      <c r="G10" s="170" t="s">
        <v>14</v>
      </c>
      <c r="H10" s="170" t="s">
        <v>15</v>
      </c>
      <c r="I10" s="170" t="s">
        <v>16</v>
      </c>
      <c r="J10" s="170" t="s">
        <v>17</v>
      </c>
      <c r="K10" s="246" t="s">
        <v>1881</v>
      </c>
      <c r="L10" s="170" t="s">
        <v>1882</v>
      </c>
      <c r="M10" s="171" t="s">
        <v>20</v>
      </c>
      <c r="N10" s="170" t="s">
        <v>1883</v>
      </c>
      <c r="O10" s="377"/>
    </row>
    <row r="11" ht="14.25" customHeight="1">
      <c r="A11" s="426"/>
      <c r="B11" s="317" t="s">
        <v>23</v>
      </c>
      <c r="C11" s="317"/>
      <c r="D11" s="317"/>
      <c r="E11" s="317"/>
      <c r="F11" s="427">
        <f>SUM(F12:F13)</f>
        <v>459815000</v>
      </c>
      <c r="G11" s="317"/>
      <c r="H11" s="317"/>
      <c r="I11" s="317"/>
      <c r="J11" s="317"/>
      <c r="K11" s="317"/>
      <c r="L11" s="317"/>
      <c r="M11" s="428"/>
      <c r="N11" s="952"/>
      <c r="O11" s="953"/>
    </row>
    <row r="12" ht="14.25" customHeight="1">
      <c r="A12" s="253">
        <v>1.0</v>
      </c>
      <c r="B12" s="175" t="s">
        <v>779</v>
      </c>
      <c r="C12" s="175"/>
      <c r="D12" s="175" t="s">
        <v>8538</v>
      </c>
      <c r="E12" s="175" t="s">
        <v>3743</v>
      </c>
      <c r="F12" s="177">
        <v>1.99815E8</v>
      </c>
      <c r="G12" s="175" t="s">
        <v>8539</v>
      </c>
      <c r="H12" s="175" t="s">
        <v>474</v>
      </c>
      <c r="I12" s="183" t="s">
        <v>8540</v>
      </c>
      <c r="J12" s="175" t="s">
        <v>8541</v>
      </c>
      <c r="K12" s="175"/>
      <c r="L12" s="175" t="s">
        <v>8542</v>
      </c>
      <c r="M12" s="391"/>
      <c r="N12" s="263" t="s">
        <v>8543</v>
      </c>
      <c r="O12" s="263" t="s">
        <v>8543</v>
      </c>
    </row>
    <row r="13" ht="14.25" customHeight="1">
      <c r="A13" s="253">
        <v>2.0</v>
      </c>
      <c r="B13" s="175" t="s">
        <v>779</v>
      </c>
      <c r="C13" s="175"/>
      <c r="D13" s="175" t="s">
        <v>8538</v>
      </c>
      <c r="E13" s="175" t="s">
        <v>70</v>
      </c>
      <c r="F13" s="177">
        <v>2.6E8</v>
      </c>
      <c r="G13" s="175" t="s">
        <v>7579</v>
      </c>
      <c r="H13" s="954" t="s">
        <v>78</v>
      </c>
      <c r="I13" s="175" t="s">
        <v>8544</v>
      </c>
      <c r="J13" s="175" t="s">
        <v>8545</v>
      </c>
      <c r="K13" s="175"/>
      <c r="L13" s="175" t="s">
        <v>8546</v>
      </c>
      <c r="M13" s="391"/>
      <c r="N13" s="263" t="s">
        <v>7585</v>
      </c>
      <c r="O13" s="955" t="s">
        <v>8547</v>
      </c>
    </row>
    <row r="14" ht="14.25" customHeight="1">
      <c r="A14" s="426"/>
      <c r="B14" s="317" t="s">
        <v>99</v>
      </c>
      <c r="C14" s="317"/>
      <c r="D14" s="317"/>
      <c r="E14" s="317"/>
      <c r="F14" s="427">
        <f>SUM(F15:F30)</f>
        <v>223097800</v>
      </c>
      <c r="G14" s="317"/>
      <c r="H14" s="317"/>
      <c r="I14" s="317"/>
      <c r="J14" s="317"/>
      <c r="K14" s="317"/>
      <c r="L14" s="317"/>
      <c r="M14" s="428"/>
      <c r="N14" s="904"/>
      <c r="O14" s="953"/>
    </row>
    <row r="15" ht="14.25" customHeight="1">
      <c r="A15" s="707">
        <v>1.0</v>
      </c>
      <c r="B15" s="263" t="s">
        <v>100</v>
      </c>
      <c r="C15" s="263"/>
      <c r="D15" s="263" t="s">
        <v>8538</v>
      </c>
      <c r="E15" s="263" t="s">
        <v>27</v>
      </c>
      <c r="F15" s="177">
        <v>6000000.0</v>
      </c>
      <c r="G15" s="263" t="s">
        <v>144</v>
      </c>
      <c r="H15" s="263" t="s">
        <v>924</v>
      </c>
      <c r="I15" s="864" t="s">
        <v>8548</v>
      </c>
      <c r="J15" s="263" t="s">
        <v>8549</v>
      </c>
      <c r="K15" s="439" t="s">
        <v>8550</v>
      </c>
      <c r="L15" s="263" t="s">
        <v>8551</v>
      </c>
      <c r="M15" s="709"/>
      <c r="N15" s="263"/>
      <c r="O15" s="955" t="s">
        <v>8552</v>
      </c>
    </row>
    <row r="16" ht="14.25" customHeight="1">
      <c r="A16" s="707">
        <v>2.0</v>
      </c>
      <c r="B16" s="263" t="s">
        <v>100</v>
      </c>
      <c r="C16" s="263"/>
      <c r="D16" s="263" t="s">
        <v>8538</v>
      </c>
      <c r="E16" s="263" t="s">
        <v>27</v>
      </c>
      <c r="F16" s="177">
        <v>6000000.0</v>
      </c>
      <c r="G16" s="263" t="s">
        <v>144</v>
      </c>
      <c r="H16" s="263" t="s">
        <v>924</v>
      </c>
      <c r="I16" s="864" t="s">
        <v>8553</v>
      </c>
      <c r="J16" s="263" t="s">
        <v>8554</v>
      </c>
      <c r="K16" s="439" t="s">
        <v>8555</v>
      </c>
      <c r="L16" s="263" t="s">
        <v>8556</v>
      </c>
      <c r="M16" s="709"/>
      <c r="N16" s="263" t="s">
        <v>8557</v>
      </c>
      <c r="O16" s="955" t="s">
        <v>8552</v>
      </c>
    </row>
    <row r="17" ht="14.25" customHeight="1">
      <c r="A17" s="707">
        <v>3.0</v>
      </c>
      <c r="B17" s="263" t="s">
        <v>100</v>
      </c>
      <c r="C17" s="263"/>
      <c r="D17" s="263" t="s">
        <v>8538</v>
      </c>
      <c r="E17" s="263" t="s">
        <v>27</v>
      </c>
      <c r="F17" s="177">
        <v>6000000.0</v>
      </c>
      <c r="G17" s="263" t="s">
        <v>144</v>
      </c>
      <c r="H17" s="263" t="s">
        <v>924</v>
      </c>
      <c r="I17" s="864" t="s">
        <v>8558</v>
      </c>
      <c r="J17" s="263" t="s">
        <v>8559</v>
      </c>
      <c r="K17" s="439" t="s">
        <v>8560</v>
      </c>
      <c r="L17" s="263" t="s">
        <v>8561</v>
      </c>
      <c r="M17" s="709"/>
      <c r="N17" s="263"/>
      <c r="O17" s="955" t="s">
        <v>8552</v>
      </c>
    </row>
    <row r="18" ht="14.25" customHeight="1">
      <c r="A18" s="707">
        <v>4.0</v>
      </c>
      <c r="B18" s="263" t="s">
        <v>100</v>
      </c>
      <c r="C18" s="263"/>
      <c r="D18" s="263" t="s">
        <v>8538</v>
      </c>
      <c r="E18" s="263" t="s">
        <v>27</v>
      </c>
      <c r="F18" s="177">
        <v>6000000.0</v>
      </c>
      <c r="G18" s="263" t="s">
        <v>144</v>
      </c>
      <c r="H18" s="263" t="s">
        <v>924</v>
      </c>
      <c r="I18" s="864" t="s">
        <v>8562</v>
      </c>
      <c r="J18" s="263" t="s">
        <v>8563</v>
      </c>
      <c r="K18" s="439" t="s">
        <v>8564</v>
      </c>
      <c r="L18" s="263" t="s">
        <v>8565</v>
      </c>
      <c r="M18" s="709"/>
      <c r="N18" s="263" t="s">
        <v>8566</v>
      </c>
      <c r="O18" s="955" t="s">
        <v>8552</v>
      </c>
    </row>
    <row r="19" ht="14.25" customHeight="1">
      <c r="A19" s="707">
        <v>5.0</v>
      </c>
      <c r="B19" s="263" t="s">
        <v>100</v>
      </c>
      <c r="C19" s="263"/>
      <c r="D19" s="263" t="s">
        <v>8538</v>
      </c>
      <c r="E19" s="263" t="s">
        <v>27</v>
      </c>
      <c r="F19" s="177">
        <v>6000000.0</v>
      </c>
      <c r="G19" s="263" t="s">
        <v>144</v>
      </c>
      <c r="H19" s="263" t="s">
        <v>924</v>
      </c>
      <c r="I19" s="864" t="s">
        <v>8567</v>
      </c>
      <c r="J19" s="263" t="s">
        <v>8568</v>
      </c>
      <c r="K19" s="439" t="s">
        <v>8569</v>
      </c>
      <c r="L19" s="263" t="s">
        <v>8570</v>
      </c>
      <c r="M19" s="709"/>
      <c r="N19" s="263"/>
      <c r="O19" s="955" t="s">
        <v>8552</v>
      </c>
    </row>
    <row r="20" ht="14.25" customHeight="1">
      <c r="A20" s="707">
        <v>6.0</v>
      </c>
      <c r="B20" s="263" t="s">
        <v>100</v>
      </c>
      <c r="C20" s="263"/>
      <c r="D20" s="263" t="s">
        <v>8538</v>
      </c>
      <c r="E20" s="263" t="s">
        <v>70</v>
      </c>
      <c r="F20" s="177">
        <v>1.7755E7</v>
      </c>
      <c r="G20" s="263" t="s">
        <v>7637</v>
      </c>
      <c r="H20" s="263" t="s">
        <v>474</v>
      </c>
      <c r="I20" s="45" t="s">
        <v>8571</v>
      </c>
      <c r="J20" s="263" t="s">
        <v>8572</v>
      </c>
      <c r="K20" s="439" t="s">
        <v>8573</v>
      </c>
      <c r="L20" s="263" t="s">
        <v>8574</v>
      </c>
      <c r="M20" s="709"/>
      <c r="N20" s="263" t="s">
        <v>8575</v>
      </c>
      <c r="O20" s="955" t="s">
        <v>8576</v>
      </c>
    </row>
    <row r="21" ht="14.25" customHeight="1">
      <c r="A21" s="707">
        <v>7.0</v>
      </c>
      <c r="B21" s="263" t="s">
        <v>100</v>
      </c>
      <c r="C21" s="263"/>
      <c r="D21" s="263" t="s">
        <v>8538</v>
      </c>
      <c r="E21" s="263" t="s">
        <v>70</v>
      </c>
      <c r="F21" s="177">
        <v>1.7E7</v>
      </c>
      <c r="G21" s="263" t="s">
        <v>2749</v>
      </c>
      <c r="H21" s="263" t="s">
        <v>979</v>
      </c>
      <c r="I21" s="45" t="s">
        <v>8577</v>
      </c>
      <c r="J21" s="263" t="s">
        <v>8578</v>
      </c>
      <c r="K21" s="439" t="s">
        <v>8579</v>
      </c>
      <c r="L21" s="263" t="s">
        <v>8580</v>
      </c>
      <c r="M21" s="709"/>
      <c r="N21" s="263" t="s">
        <v>8581</v>
      </c>
      <c r="O21" s="955" t="s">
        <v>8582</v>
      </c>
    </row>
    <row r="22" ht="14.25" customHeight="1">
      <c r="A22" s="707">
        <v>8.0</v>
      </c>
      <c r="B22" s="263" t="s">
        <v>100</v>
      </c>
      <c r="C22" s="263"/>
      <c r="D22" s="263" t="s">
        <v>8538</v>
      </c>
      <c r="E22" s="263" t="s">
        <v>70</v>
      </c>
      <c r="F22" s="177">
        <v>1.7E7</v>
      </c>
      <c r="G22" s="263" t="s">
        <v>2749</v>
      </c>
      <c r="H22" s="263" t="s">
        <v>979</v>
      </c>
      <c r="I22" s="45" t="s">
        <v>8583</v>
      </c>
      <c r="J22" s="263" t="s">
        <v>8584</v>
      </c>
      <c r="K22" s="439" t="s">
        <v>8585</v>
      </c>
      <c r="L22" s="263" t="s">
        <v>8586</v>
      </c>
      <c r="M22" s="709"/>
      <c r="N22" s="263" t="s">
        <v>8587</v>
      </c>
      <c r="O22" s="955" t="s">
        <v>8588</v>
      </c>
    </row>
    <row r="23" ht="14.25" customHeight="1">
      <c r="A23" s="707">
        <v>9.0</v>
      </c>
      <c r="B23" s="263" t="s">
        <v>100</v>
      </c>
      <c r="C23" s="263"/>
      <c r="D23" s="263" t="s">
        <v>8538</v>
      </c>
      <c r="E23" s="263" t="s">
        <v>70</v>
      </c>
      <c r="F23" s="177">
        <v>1.7E7</v>
      </c>
      <c r="G23" s="263" t="s">
        <v>2749</v>
      </c>
      <c r="H23" s="263" t="s">
        <v>979</v>
      </c>
      <c r="I23" s="45" t="s">
        <v>8589</v>
      </c>
      <c r="J23" s="263" t="s">
        <v>8590</v>
      </c>
      <c r="K23" s="439" t="s">
        <v>8591</v>
      </c>
      <c r="L23" s="263" t="s">
        <v>8592</v>
      </c>
      <c r="M23" s="709"/>
      <c r="N23" s="263" t="s">
        <v>8593</v>
      </c>
      <c r="O23" s="955" t="s">
        <v>8594</v>
      </c>
    </row>
    <row r="24" ht="14.25" customHeight="1">
      <c r="A24" s="707">
        <v>10.0</v>
      </c>
      <c r="B24" s="263" t="s">
        <v>100</v>
      </c>
      <c r="C24" s="263"/>
      <c r="D24" s="263" t="s">
        <v>8538</v>
      </c>
      <c r="E24" s="263" t="s">
        <v>70</v>
      </c>
      <c r="F24" s="177">
        <v>1.7E7</v>
      </c>
      <c r="G24" s="263" t="s">
        <v>2749</v>
      </c>
      <c r="H24" s="263" t="s">
        <v>979</v>
      </c>
      <c r="I24" s="45" t="s">
        <v>8595</v>
      </c>
      <c r="J24" s="263" t="s">
        <v>8596</v>
      </c>
      <c r="K24" s="439" t="s">
        <v>8597</v>
      </c>
      <c r="L24" s="263" t="s">
        <v>8598</v>
      </c>
      <c r="M24" s="709"/>
      <c r="N24" s="263" t="s">
        <v>8599</v>
      </c>
      <c r="O24" s="955" t="s">
        <v>8600</v>
      </c>
    </row>
    <row r="25" ht="14.25" customHeight="1">
      <c r="A25" s="707">
        <v>11.0</v>
      </c>
      <c r="B25" s="263" t="s">
        <v>100</v>
      </c>
      <c r="C25" s="263"/>
      <c r="D25" s="263" t="s">
        <v>8538</v>
      </c>
      <c r="E25" s="263" t="s">
        <v>70</v>
      </c>
      <c r="F25" s="177">
        <v>1.43007E7</v>
      </c>
      <c r="G25" s="263" t="s">
        <v>8601</v>
      </c>
      <c r="H25" s="263" t="s">
        <v>44</v>
      </c>
      <c r="I25" s="45" t="s">
        <v>8602</v>
      </c>
      <c r="J25" s="263" t="s">
        <v>8603</v>
      </c>
      <c r="K25" s="439" t="s">
        <v>8604</v>
      </c>
      <c r="L25" s="263" t="s">
        <v>8605</v>
      </c>
      <c r="M25" s="709"/>
      <c r="N25" s="263" t="s">
        <v>8007</v>
      </c>
      <c r="O25" s="955" t="s">
        <v>8606</v>
      </c>
    </row>
    <row r="26" ht="14.25" customHeight="1">
      <c r="A26" s="707">
        <v>12.0</v>
      </c>
      <c r="B26" s="263" t="s">
        <v>100</v>
      </c>
      <c r="C26" s="263"/>
      <c r="D26" s="263" t="s">
        <v>8538</v>
      </c>
      <c r="E26" s="263" t="s">
        <v>70</v>
      </c>
      <c r="F26" s="177">
        <v>1.43007E7</v>
      </c>
      <c r="G26" s="263" t="s">
        <v>8601</v>
      </c>
      <c r="H26" s="263" t="s">
        <v>44</v>
      </c>
      <c r="I26" s="45" t="s">
        <v>8607</v>
      </c>
      <c r="J26" s="263" t="s">
        <v>8608</v>
      </c>
      <c r="K26" s="439" t="s">
        <v>8609</v>
      </c>
      <c r="L26" s="263" t="s">
        <v>8610</v>
      </c>
      <c r="M26" s="709"/>
      <c r="N26" s="263" t="s">
        <v>2453</v>
      </c>
      <c r="O26" s="955" t="s">
        <v>8611</v>
      </c>
    </row>
    <row r="27" ht="14.25" customHeight="1">
      <c r="A27" s="707">
        <v>13.0</v>
      </c>
      <c r="B27" s="263" t="s">
        <v>100</v>
      </c>
      <c r="C27" s="263"/>
      <c r="D27" s="263" t="s">
        <v>8538</v>
      </c>
      <c r="E27" s="263" t="s">
        <v>70</v>
      </c>
      <c r="F27" s="177">
        <v>1.43007E7</v>
      </c>
      <c r="G27" s="263" t="s">
        <v>8601</v>
      </c>
      <c r="H27" s="263" t="s">
        <v>44</v>
      </c>
      <c r="I27" s="45" t="s">
        <v>8612</v>
      </c>
      <c r="J27" s="263" t="s">
        <v>8613</v>
      </c>
      <c r="K27" s="439" t="s">
        <v>8614</v>
      </c>
      <c r="L27" s="263" t="s">
        <v>8615</v>
      </c>
      <c r="M27" s="709"/>
      <c r="N27" s="263" t="s">
        <v>2947</v>
      </c>
      <c r="O27" s="955" t="s">
        <v>8616</v>
      </c>
    </row>
    <row r="28" ht="14.25" customHeight="1">
      <c r="A28" s="707">
        <v>14.0</v>
      </c>
      <c r="B28" s="263" t="s">
        <v>100</v>
      </c>
      <c r="C28" s="263"/>
      <c r="D28" s="263" t="s">
        <v>8538</v>
      </c>
      <c r="E28" s="263" t="s">
        <v>70</v>
      </c>
      <c r="F28" s="177">
        <v>1.43007E7</v>
      </c>
      <c r="G28" s="263" t="s">
        <v>8601</v>
      </c>
      <c r="H28" s="263" t="s">
        <v>44</v>
      </c>
      <c r="I28" s="45" t="s">
        <v>8617</v>
      </c>
      <c r="J28" s="263" t="s">
        <v>8618</v>
      </c>
      <c r="K28" s="439" t="s">
        <v>8619</v>
      </c>
      <c r="L28" s="263" t="s">
        <v>8620</v>
      </c>
      <c r="M28" s="709"/>
      <c r="N28" s="263" t="s">
        <v>8621</v>
      </c>
      <c r="O28" s="955" t="s">
        <v>8622</v>
      </c>
    </row>
    <row r="29" ht="14.25" customHeight="1">
      <c r="A29" s="707">
        <v>15.0</v>
      </c>
      <c r="B29" s="263" t="s">
        <v>100</v>
      </c>
      <c r="C29" s="263"/>
      <c r="D29" s="263" t="s">
        <v>8538</v>
      </c>
      <c r="E29" s="263" t="s">
        <v>70</v>
      </c>
      <c r="F29" s="177">
        <v>1.708E7</v>
      </c>
      <c r="G29" s="263" t="s">
        <v>8623</v>
      </c>
      <c r="H29" s="263" t="s">
        <v>92</v>
      </c>
      <c r="I29" s="45" t="s">
        <v>8624</v>
      </c>
      <c r="J29" s="263" t="s">
        <v>8625</v>
      </c>
      <c r="K29" s="439" t="s">
        <v>8626</v>
      </c>
      <c r="L29" s="263" t="s">
        <v>8627</v>
      </c>
      <c r="M29" s="709"/>
      <c r="N29" s="263" t="s">
        <v>7968</v>
      </c>
      <c r="O29" s="955" t="s">
        <v>8628</v>
      </c>
    </row>
    <row r="30" ht="14.25" customHeight="1">
      <c r="A30" s="707">
        <v>16.0</v>
      </c>
      <c r="B30" s="713" t="s">
        <v>100</v>
      </c>
      <c r="C30" s="713" t="s">
        <v>100</v>
      </c>
      <c r="D30" s="713" t="s">
        <v>8538</v>
      </c>
      <c r="E30" s="713" t="s">
        <v>70</v>
      </c>
      <c r="F30" s="273">
        <v>3.306E7</v>
      </c>
      <c r="G30" s="729" t="s">
        <v>8629</v>
      </c>
      <c r="H30" s="713" t="s">
        <v>2762</v>
      </c>
      <c r="I30" s="956" t="s">
        <v>8630</v>
      </c>
      <c r="J30" s="713" t="s">
        <v>8631</v>
      </c>
      <c r="K30" s="729" t="s">
        <v>8632</v>
      </c>
      <c r="L30" s="713" t="s">
        <v>8633</v>
      </c>
      <c r="M30" s="957" t="s">
        <v>2986</v>
      </c>
      <c r="N30" s="713"/>
      <c r="O30" s="958"/>
    </row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3:M3"/>
    <mergeCell ref="A4:M4"/>
  </mergeCells>
  <printOptions horizontalCentered="1"/>
  <pageMargins bottom="0.748031496062992" footer="0.0" header="0.0" left="0.5" right="0.5" top="0.748031496062992"/>
  <pageSetup paperSize="5" scale="65" orientation="landscape"/>
  <drawing r:id="rId1"/>
  <tableParts count="1">
    <tablePart r:id="rId3"/>
  </tableParts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4.43" defaultRowHeight="15.0"/>
  <cols>
    <col customWidth="1" min="1" max="1" width="5.29"/>
    <col customWidth="1" min="2" max="2" width="33.71"/>
    <col customWidth="1" min="3" max="3" width="18.71"/>
    <col customWidth="1" min="4" max="4" width="27.71"/>
    <col customWidth="1" min="5" max="5" width="9.14"/>
    <col customWidth="1" min="6" max="6" width="14.71"/>
    <col customWidth="1" min="7" max="7" width="28.86"/>
    <col customWidth="1" min="8" max="8" width="8.29"/>
    <col customWidth="1" min="9" max="9" width="24.29"/>
    <col customWidth="1" min="10" max="10" width="20.43"/>
    <col customWidth="1" min="11" max="11" width="22.0"/>
    <col customWidth="1" min="12" max="12" width="12.0"/>
    <col customWidth="1" min="13" max="13" width="29.14"/>
    <col customWidth="1" min="14" max="14" width="21.71"/>
    <col customWidth="1" min="15" max="27" width="8.71"/>
  </cols>
  <sheetData>
    <row r="1" ht="14.25" customHeight="1"/>
    <row r="2" ht="14.25" customHeight="1"/>
    <row r="3" ht="14.25" customHeight="1">
      <c r="A3" s="1" t="s">
        <v>0</v>
      </c>
    </row>
    <row r="4" ht="14.25" customHeight="1">
      <c r="A4" s="1" t="s">
        <v>1</v>
      </c>
    </row>
    <row r="5" ht="14.25" customHeight="1"/>
    <row r="6" ht="14.25" customHeight="1"/>
    <row r="7" ht="14.25" customHeight="1">
      <c r="A7" s="2" t="s">
        <v>2</v>
      </c>
      <c r="C7" s="2" t="s">
        <v>3</v>
      </c>
    </row>
    <row r="8" ht="14.25" customHeight="1">
      <c r="A8" s="2" t="s">
        <v>4</v>
      </c>
      <c r="C8" s="2" t="s">
        <v>5</v>
      </c>
    </row>
    <row r="9" ht="14.25" customHeight="1">
      <c r="A9" s="2" t="s">
        <v>6</v>
      </c>
      <c r="C9" s="2" t="s">
        <v>8634</v>
      </c>
    </row>
    <row r="10" ht="14.25" customHeight="1">
      <c r="A10" s="169" t="s">
        <v>8</v>
      </c>
      <c r="B10" s="170" t="s">
        <v>9</v>
      </c>
      <c r="C10" s="170" t="s">
        <v>10</v>
      </c>
      <c r="D10" s="170" t="s">
        <v>11</v>
      </c>
      <c r="E10" s="170" t="s">
        <v>12</v>
      </c>
      <c r="F10" s="170" t="s">
        <v>13</v>
      </c>
      <c r="G10" s="170" t="s">
        <v>14</v>
      </c>
      <c r="H10" s="170" t="s">
        <v>15</v>
      </c>
      <c r="I10" s="170" t="s">
        <v>16</v>
      </c>
      <c r="J10" s="170" t="s">
        <v>17</v>
      </c>
      <c r="K10" s="246" t="s">
        <v>1881</v>
      </c>
      <c r="L10" s="170" t="s">
        <v>1882</v>
      </c>
      <c r="M10" s="171" t="s">
        <v>20</v>
      </c>
      <c r="N10" s="170" t="s">
        <v>1883</v>
      </c>
      <c r="O10" s="377"/>
    </row>
    <row r="11" ht="14.25" customHeight="1">
      <c r="A11" s="317"/>
      <c r="B11" s="317" t="s">
        <v>23</v>
      </c>
      <c r="C11" s="317"/>
      <c r="D11" s="317"/>
      <c r="E11" s="317"/>
      <c r="F11" s="427">
        <f>F12</f>
        <v>260000000</v>
      </c>
      <c r="G11" s="317"/>
      <c r="H11" s="317"/>
      <c r="I11" s="317"/>
      <c r="J11" s="317"/>
      <c r="K11" s="317"/>
      <c r="L11" s="317"/>
      <c r="M11" s="317"/>
      <c r="N11" s="175"/>
      <c r="O11" s="321"/>
    </row>
    <row r="12" ht="14.25" customHeight="1">
      <c r="A12" s="175">
        <v>1.0</v>
      </c>
      <c r="B12" s="175" t="s">
        <v>780</v>
      </c>
      <c r="C12" s="175"/>
      <c r="D12" s="175" t="s">
        <v>8635</v>
      </c>
      <c r="E12" s="175" t="s">
        <v>70</v>
      </c>
      <c r="F12" s="177">
        <v>2.6E8</v>
      </c>
      <c r="G12" s="175" t="s">
        <v>7724</v>
      </c>
      <c r="H12" s="175" t="s">
        <v>78</v>
      </c>
      <c r="I12" s="27" t="s">
        <v>8636</v>
      </c>
      <c r="J12" s="178" t="s">
        <v>8637</v>
      </c>
      <c r="K12" s="178" t="s">
        <v>8638</v>
      </c>
      <c r="L12" s="178" t="s">
        <v>8639</v>
      </c>
      <c r="M12" s="175" t="s">
        <v>8640</v>
      </c>
      <c r="N12" s="175"/>
      <c r="O12" s="321"/>
    </row>
    <row r="13" ht="14.25" customHeight="1">
      <c r="A13" s="317"/>
      <c r="B13" s="317" t="s">
        <v>99</v>
      </c>
      <c r="C13" s="317"/>
      <c r="D13" s="317"/>
      <c r="E13" s="317"/>
      <c r="F13" s="427">
        <f>SUM(F14:F27)</f>
        <v>223272000</v>
      </c>
      <c r="G13" s="317"/>
      <c r="H13" s="317"/>
      <c r="I13" s="317"/>
      <c r="J13" s="317"/>
      <c r="K13" s="317"/>
      <c r="L13" s="317"/>
      <c r="M13" s="317"/>
      <c r="N13" s="175"/>
      <c r="O13" s="321"/>
    </row>
    <row r="14" ht="14.25" customHeight="1">
      <c r="A14" s="175">
        <v>1.0</v>
      </c>
      <c r="B14" s="175" t="s">
        <v>100</v>
      </c>
      <c r="C14" s="175"/>
      <c r="D14" s="175" t="s">
        <v>8635</v>
      </c>
      <c r="E14" s="175" t="s">
        <v>70</v>
      </c>
      <c r="F14" s="177">
        <v>1.32E7</v>
      </c>
      <c r="G14" s="175" t="s">
        <v>8641</v>
      </c>
      <c r="H14" s="175" t="s">
        <v>474</v>
      </c>
      <c r="I14" s="175" t="s">
        <v>8642</v>
      </c>
      <c r="J14" s="175" t="s">
        <v>8643</v>
      </c>
      <c r="K14" s="175"/>
      <c r="L14" s="175"/>
      <c r="M14" s="175" t="s">
        <v>8452</v>
      </c>
      <c r="N14" s="175" t="s">
        <v>8644</v>
      </c>
      <c r="O14" s="320" t="s">
        <v>8645</v>
      </c>
    </row>
    <row r="15" ht="14.25" customHeight="1">
      <c r="A15" s="300">
        <v>2.0</v>
      </c>
      <c r="B15" s="300" t="s">
        <v>100</v>
      </c>
      <c r="C15" s="300"/>
      <c r="D15" s="300" t="s">
        <v>8635</v>
      </c>
      <c r="E15" s="300" t="s">
        <v>70</v>
      </c>
      <c r="F15" s="301">
        <v>1.32E7</v>
      </c>
      <c r="G15" s="300" t="s">
        <v>8641</v>
      </c>
      <c r="H15" s="300" t="s">
        <v>474</v>
      </c>
      <c r="I15" s="300" t="s">
        <v>8646</v>
      </c>
      <c r="J15" s="300" t="s">
        <v>8647</v>
      </c>
      <c r="K15" s="300"/>
      <c r="L15" s="300"/>
      <c r="M15" s="300" t="s">
        <v>8452</v>
      </c>
      <c r="N15" s="300" t="s">
        <v>8644</v>
      </c>
      <c r="O15" s="902" t="s">
        <v>8648</v>
      </c>
    </row>
    <row r="16" ht="14.25" customHeight="1">
      <c r="A16" s="175">
        <v>3.0</v>
      </c>
      <c r="B16" s="175" t="s">
        <v>100</v>
      </c>
      <c r="C16" s="175"/>
      <c r="D16" s="175" t="s">
        <v>8635</v>
      </c>
      <c r="E16" s="175" t="s">
        <v>70</v>
      </c>
      <c r="F16" s="177">
        <v>1.32E7</v>
      </c>
      <c r="G16" s="175" t="s">
        <v>8641</v>
      </c>
      <c r="H16" s="175" t="s">
        <v>474</v>
      </c>
      <c r="I16" s="175" t="s">
        <v>8649</v>
      </c>
      <c r="J16" s="175" t="s">
        <v>8650</v>
      </c>
      <c r="K16" s="175"/>
      <c r="L16" s="175"/>
      <c r="M16" s="175" t="s">
        <v>8452</v>
      </c>
      <c r="N16" s="175" t="s">
        <v>8644</v>
      </c>
      <c r="O16" s="320" t="s">
        <v>8651</v>
      </c>
    </row>
    <row r="17" ht="14.25" customHeight="1">
      <c r="A17" s="175">
        <v>4.0</v>
      </c>
      <c r="B17" s="175" t="s">
        <v>100</v>
      </c>
      <c r="C17" s="175"/>
      <c r="D17" s="175" t="s">
        <v>8635</v>
      </c>
      <c r="E17" s="175" t="s">
        <v>70</v>
      </c>
      <c r="F17" s="177">
        <v>1.32E7</v>
      </c>
      <c r="G17" s="175" t="s">
        <v>8641</v>
      </c>
      <c r="H17" s="175" t="s">
        <v>474</v>
      </c>
      <c r="I17" s="17" t="s">
        <v>8652</v>
      </c>
      <c r="J17" s="178" t="s">
        <v>7990</v>
      </c>
      <c r="K17" s="178" t="s">
        <v>8653</v>
      </c>
      <c r="L17" s="178" t="s">
        <v>8654</v>
      </c>
      <c r="M17" s="175" t="s">
        <v>8452</v>
      </c>
      <c r="N17" s="175" t="s">
        <v>8644</v>
      </c>
      <c r="O17" s="320" t="s">
        <v>8651</v>
      </c>
    </row>
    <row r="18" ht="14.25" customHeight="1">
      <c r="A18" s="175">
        <v>5.0</v>
      </c>
      <c r="B18" s="175" t="s">
        <v>100</v>
      </c>
      <c r="C18" s="175"/>
      <c r="D18" s="175" t="s">
        <v>8635</v>
      </c>
      <c r="E18" s="175" t="s">
        <v>70</v>
      </c>
      <c r="F18" s="177">
        <v>1.32E7</v>
      </c>
      <c r="G18" s="175" t="s">
        <v>8641</v>
      </c>
      <c r="H18" s="175" t="s">
        <v>474</v>
      </c>
      <c r="I18" s="175" t="s">
        <v>8655</v>
      </c>
      <c r="J18" s="175" t="s">
        <v>8656</v>
      </c>
      <c r="K18" s="175"/>
      <c r="L18" s="175"/>
      <c r="M18" s="175" t="s">
        <v>8657</v>
      </c>
      <c r="N18" s="175" t="s">
        <v>8658</v>
      </c>
      <c r="O18" s="320" t="s">
        <v>8659</v>
      </c>
    </row>
    <row r="19" ht="14.25" customHeight="1">
      <c r="A19" s="175">
        <v>6.0</v>
      </c>
      <c r="B19" s="175" t="s">
        <v>100</v>
      </c>
      <c r="C19" s="175"/>
      <c r="D19" s="175" t="s">
        <v>8635</v>
      </c>
      <c r="E19" s="175" t="s">
        <v>70</v>
      </c>
      <c r="F19" s="177">
        <v>1.7755E7</v>
      </c>
      <c r="G19" s="175" t="s">
        <v>7637</v>
      </c>
      <c r="H19" s="175" t="s">
        <v>474</v>
      </c>
      <c r="I19" s="17" t="s">
        <v>8660</v>
      </c>
      <c r="J19" s="178" t="s">
        <v>8661</v>
      </c>
      <c r="K19" s="178" t="s">
        <v>8662</v>
      </c>
      <c r="L19" s="178" t="s">
        <v>8663</v>
      </c>
      <c r="M19" s="175" t="s">
        <v>8457</v>
      </c>
      <c r="N19" s="175" t="s">
        <v>8664</v>
      </c>
      <c r="O19" s="320" t="s">
        <v>8664</v>
      </c>
    </row>
    <row r="20" ht="14.25" customHeight="1">
      <c r="A20" s="175">
        <v>7.0</v>
      </c>
      <c r="B20" s="175" t="s">
        <v>100</v>
      </c>
      <c r="C20" s="175"/>
      <c r="D20" s="175" t="s">
        <v>8635</v>
      </c>
      <c r="E20" s="175" t="s">
        <v>70</v>
      </c>
      <c r="F20" s="177">
        <v>1.7E7</v>
      </c>
      <c r="G20" s="175" t="s">
        <v>3284</v>
      </c>
      <c r="H20" s="175" t="s">
        <v>979</v>
      </c>
      <c r="I20" s="17" t="s">
        <v>8665</v>
      </c>
      <c r="J20" s="178" t="s">
        <v>8666</v>
      </c>
      <c r="K20" s="178" t="s">
        <v>8667</v>
      </c>
      <c r="L20" s="178" t="s">
        <v>8668</v>
      </c>
      <c r="M20" s="175" t="s">
        <v>7961</v>
      </c>
      <c r="N20" s="175" t="s">
        <v>8669</v>
      </c>
      <c r="O20" s="320" t="s">
        <v>8669</v>
      </c>
    </row>
    <row r="21" ht="14.25" customHeight="1">
      <c r="A21" s="175">
        <v>8.0</v>
      </c>
      <c r="B21" s="175" t="s">
        <v>100</v>
      </c>
      <c r="C21" s="175"/>
      <c r="D21" s="175" t="s">
        <v>8635</v>
      </c>
      <c r="E21" s="175" t="s">
        <v>70</v>
      </c>
      <c r="F21" s="177">
        <v>1.7E7</v>
      </c>
      <c r="G21" s="175" t="s">
        <v>3284</v>
      </c>
      <c r="H21" s="175" t="s">
        <v>979</v>
      </c>
      <c r="I21" s="27" t="s">
        <v>8670</v>
      </c>
      <c r="J21" s="178" t="s">
        <v>8671</v>
      </c>
      <c r="K21" s="178" t="s">
        <v>8672</v>
      </c>
      <c r="L21" s="178" t="s">
        <v>8673</v>
      </c>
      <c r="M21" s="175" t="s">
        <v>8007</v>
      </c>
      <c r="N21" s="175" t="s">
        <v>8674</v>
      </c>
      <c r="O21" s="320" t="s">
        <v>8674</v>
      </c>
    </row>
    <row r="22" ht="14.25" customHeight="1">
      <c r="A22" s="175">
        <v>9.0</v>
      </c>
      <c r="B22" s="175" t="s">
        <v>100</v>
      </c>
      <c r="C22" s="175"/>
      <c r="D22" s="175" t="s">
        <v>8635</v>
      </c>
      <c r="E22" s="175" t="s">
        <v>70</v>
      </c>
      <c r="F22" s="177">
        <v>1.77111E7</v>
      </c>
      <c r="G22" s="175" t="s">
        <v>8675</v>
      </c>
      <c r="H22" s="175" t="s">
        <v>44</v>
      </c>
      <c r="I22" s="17" t="s">
        <v>8676</v>
      </c>
      <c r="J22" s="178" t="s">
        <v>8677</v>
      </c>
      <c r="K22" s="178" t="s">
        <v>8678</v>
      </c>
      <c r="L22" s="178" t="s">
        <v>8679</v>
      </c>
      <c r="M22" s="175" t="s">
        <v>8452</v>
      </c>
      <c r="N22" s="175" t="s">
        <v>8644</v>
      </c>
      <c r="O22" s="178" t="s">
        <v>8680</v>
      </c>
    </row>
    <row r="23" ht="14.25" customHeight="1">
      <c r="A23" s="175">
        <v>10.0</v>
      </c>
      <c r="B23" s="175" t="s">
        <v>100</v>
      </c>
      <c r="C23" s="175"/>
      <c r="D23" s="175" t="s">
        <v>8635</v>
      </c>
      <c r="E23" s="175" t="s">
        <v>70</v>
      </c>
      <c r="F23" s="177">
        <v>1.77111E7</v>
      </c>
      <c r="G23" s="175" t="s">
        <v>8675</v>
      </c>
      <c r="H23" s="175" t="s">
        <v>44</v>
      </c>
      <c r="I23" s="17" t="s">
        <v>8681</v>
      </c>
      <c r="J23" s="175" t="s">
        <v>8682</v>
      </c>
      <c r="K23" s="178" t="s">
        <v>8683</v>
      </c>
      <c r="L23" s="178" t="s">
        <v>8684</v>
      </c>
      <c r="M23" s="175" t="s">
        <v>7844</v>
      </c>
      <c r="N23" s="175" t="s">
        <v>8685</v>
      </c>
      <c r="O23" s="178" t="s">
        <v>8686</v>
      </c>
    </row>
    <row r="24" ht="14.25" customHeight="1">
      <c r="A24" s="175">
        <v>11.0</v>
      </c>
      <c r="B24" s="175" t="s">
        <v>100</v>
      </c>
      <c r="C24" s="175"/>
      <c r="D24" s="175" t="s">
        <v>8635</v>
      </c>
      <c r="E24" s="175" t="s">
        <v>70</v>
      </c>
      <c r="F24" s="177">
        <v>1.708E7</v>
      </c>
      <c r="G24" s="175" t="s">
        <v>2257</v>
      </c>
      <c r="H24" s="175" t="s">
        <v>92</v>
      </c>
      <c r="I24" s="17" t="s">
        <v>8687</v>
      </c>
      <c r="J24" s="178" t="s">
        <v>8688</v>
      </c>
      <c r="K24" s="178" t="s">
        <v>8689</v>
      </c>
      <c r="L24" s="178" t="s">
        <v>8690</v>
      </c>
      <c r="M24" s="175" t="s">
        <v>8452</v>
      </c>
      <c r="N24" s="175" t="s">
        <v>8644</v>
      </c>
      <c r="O24" s="320" t="s">
        <v>8691</v>
      </c>
    </row>
    <row r="25" ht="14.25" customHeight="1">
      <c r="A25" s="175">
        <v>12.0</v>
      </c>
      <c r="B25" s="175" t="s">
        <v>100</v>
      </c>
      <c r="C25" s="175"/>
      <c r="D25" s="175" t="s">
        <v>8635</v>
      </c>
      <c r="E25" s="175" t="s">
        <v>70</v>
      </c>
      <c r="F25" s="177">
        <v>1.44074E7</v>
      </c>
      <c r="G25" s="175" t="s">
        <v>8692</v>
      </c>
      <c r="H25" s="175" t="s">
        <v>92</v>
      </c>
      <c r="I25" s="17" t="s">
        <v>8693</v>
      </c>
      <c r="J25" s="178" t="s">
        <v>8694</v>
      </c>
      <c r="K25" s="178" t="s">
        <v>8695</v>
      </c>
      <c r="L25" s="178" t="s">
        <v>8696</v>
      </c>
      <c r="M25" s="175" t="s">
        <v>8452</v>
      </c>
      <c r="N25" s="175" t="s">
        <v>8644</v>
      </c>
      <c r="O25" s="320" t="s">
        <v>8680</v>
      </c>
    </row>
    <row r="26" ht="14.25" customHeight="1">
      <c r="A26" s="175">
        <v>13.0</v>
      </c>
      <c r="B26" s="175" t="s">
        <v>100</v>
      </c>
      <c r="C26" s="175"/>
      <c r="D26" s="175" t="s">
        <v>8635</v>
      </c>
      <c r="E26" s="175" t="s">
        <v>70</v>
      </c>
      <c r="F26" s="177">
        <v>1.44074E7</v>
      </c>
      <c r="G26" s="175" t="s">
        <v>8692</v>
      </c>
      <c r="H26" s="175" t="s">
        <v>92</v>
      </c>
      <c r="I26" s="17" t="s">
        <v>8697</v>
      </c>
      <c r="J26" s="178" t="s">
        <v>8698</v>
      </c>
      <c r="K26" s="178" t="s">
        <v>8699</v>
      </c>
      <c r="L26" s="178" t="s">
        <v>8700</v>
      </c>
      <c r="M26" s="175" t="s">
        <v>8657</v>
      </c>
      <c r="N26" s="175" t="s">
        <v>8658</v>
      </c>
      <c r="O26" s="320" t="s">
        <v>8658</v>
      </c>
    </row>
    <row r="27" ht="14.25" customHeight="1">
      <c r="A27" s="175">
        <v>14.0</v>
      </c>
      <c r="B27" s="175" t="s">
        <v>100</v>
      </c>
      <c r="C27" s="175"/>
      <c r="D27" s="175" t="s">
        <v>8635</v>
      </c>
      <c r="E27" s="175" t="s">
        <v>70</v>
      </c>
      <c r="F27" s="177">
        <v>2.42E7</v>
      </c>
      <c r="G27" s="175" t="s">
        <v>8701</v>
      </c>
      <c r="H27" s="175" t="s">
        <v>58</v>
      </c>
      <c r="I27" s="175" t="s">
        <v>8702</v>
      </c>
      <c r="J27" s="175" t="s">
        <v>8703</v>
      </c>
      <c r="K27" s="175"/>
      <c r="L27" s="175"/>
      <c r="M27" s="175" t="s">
        <v>27</v>
      </c>
      <c r="N27" s="175" t="s">
        <v>2786</v>
      </c>
      <c r="O27" s="320" t="s">
        <v>8704</v>
      </c>
    </row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3:M3"/>
    <mergeCell ref="A4:M4"/>
  </mergeCells>
  <printOptions/>
  <pageMargins bottom="0.7480314960629921" footer="0.0" header="0.0" left="0.7086614173228347" right="0.7086614173228347" top="0.7480314960629921"/>
  <pageSetup paperSize="5" scale="70" orientation="landscape"/>
  <drawing r:id="rId1"/>
  <tableParts count="1">
    <tablePart r:id="rId3"/>
  </tableParts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4.43" defaultRowHeight="15.0"/>
  <cols>
    <col customWidth="1" min="1" max="1" width="5.29"/>
    <col customWidth="1" min="2" max="2" width="38.0"/>
    <col customWidth="1" min="3" max="3" width="17.71"/>
    <col customWidth="1" min="4" max="4" width="22.71"/>
    <col customWidth="1" min="5" max="5" width="12.0"/>
    <col customWidth="1" min="6" max="6" width="15.71"/>
    <col customWidth="1" min="7" max="7" width="8.29"/>
    <col customWidth="1" min="8" max="8" width="35.71"/>
    <col customWidth="1" min="9" max="9" width="20.43"/>
    <col customWidth="1" min="10" max="10" width="22.0"/>
    <col customWidth="1" min="11" max="11" width="11.57"/>
    <col customWidth="1" min="12" max="12" width="37.14"/>
    <col customWidth="1" min="13" max="13" width="36.57"/>
    <col customWidth="1" min="14" max="14" width="14.29"/>
    <col customWidth="1" min="15" max="27" width="8.71"/>
  </cols>
  <sheetData>
    <row r="1" ht="14.25" customHeight="1"/>
    <row r="2" ht="14.25" customHeight="1"/>
    <row r="3" ht="14.25" customHeight="1">
      <c r="A3" s="1" t="s">
        <v>0</v>
      </c>
    </row>
    <row r="4" ht="14.25" customHeight="1">
      <c r="A4" s="1" t="s">
        <v>1</v>
      </c>
    </row>
    <row r="5" ht="14.25" customHeight="1"/>
    <row r="6" ht="14.25" customHeight="1"/>
    <row r="7" ht="14.25" customHeight="1">
      <c r="A7" s="2" t="s">
        <v>2</v>
      </c>
      <c r="C7" s="2" t="s">
        <v>3</v>
      </c>
    </row>
    <row r="8" ht="14.25" customHeight="1">
      <c r="A8" s="2" t="s">
        <v>4</v>
      </c>
      <c r="C8" s="2" t="s">
        <v>5</v>
      </c>
    </row>
    <row r="9" ht="14.25" customHeight="1">
      <c r="A9" s="2" t="s">
        <v>6</v>
      </c>
      <c r="C9" s="2" t="s">
        <v>8705</v>
      </c>
    </row>
    <row r="10" ht="14.25" customHeight="1">
      <c r="A10" s="169" t="s">
        <v>8</v>
      </c>
      <c r="B10" s="170" t="s">
        <v>9</v>
      </c>
      <c r="C10" s="170" t="s">
        <v>10</v>
      </c>
      <c r="D10" s="170" t="s">
        <v>11</v>
      </c>
      <c r="E10" s="170" t="s">
        <v>12</v>
      </c>
      <c r="F10" s="170" t="s">
        <v>13</v>
      </c>
      <c r="G10" s="170" t="s">
        <v>15</v>
      </c>
      <c r="H10" s="170" t="s">
        <v>16</v>
      </c>
      <c r="I10" s="170" t="s">
        <v>17</v>
      </c>
      <c r="J10" s="315" t="s">
        <v>1881</v>
      </c>
      <c r="K10" s="315" t="s">
        <v>1882</v>
      </c>
      <c r="L10" s="171" t="s">
        <v>20</v>
      </c>
      <c r="M10" s="170" t="s">
        <v>1883</v>
      </c>
      <c r="N10" s="170" t="s">
        <v>3232</v>
      </c>
    </row>
    <row r="11" ht="14.25" customHeight="1">
      <c r="A11" s="247"/>
      <c r="B11" s="248" t="s">
        <v>23</v>
      </c>
      <c r="C11" s="248"/>
      <c r="D11" s="248"/>
      <c r="E11" s="248"/>
      <c r="F11" s="249">
        <f>SUM(F12:F13)</f>
        <v>459815000</v>
      </c>
      <c r="G11" s="248"/>
      <c r="H11" s="248"/>
      <c r="I11" s="248"/>
      <c r="J11" s="299"/>
      <c r="K11" s="299"/>
      <c r="L11" s="250"/>
      <c r="M11" s="959"/>
      <c r="N11" s="959" t="s">
        <v>8706</v>
      </c>
    </row>
    <row r="12" ht="14.25" customHeight="1">
      <c r="A12" s="253">
        <v>1.0</v>
      </c>
      <c r="B12" s="175" t="s">
        <v>779</v>
      </c>
      <c r="C12" s="175" t="s">
        <v>780</v>
      </c>
      <c r="D12" s="175" t="s">
        <v>8707</v>
      </c>
      <c r="E12" s="175" t="s">
        <v>5363</v>
      </c>
      <c r="F12" s="177">
        <v>1.99815E8</v>
      </c>
      <c r="G12" s="175" t="s">
        <v>474</v>
      </c>
      <c r="H12" s="17" t="s">
        <v>8708</v>
      </c>
      <c r="I12" s="178" t="s">
        <v>8709</v>
      </c>
      <c r="J12" s="686" t="s">
        <v>8710</v>
      </c>
      <c r="K12" s="686" t="s">
        <v>8711</v>
      </c>
      <c r="L12" s="391"/>
      <c r="M12" s="175" t="s">
        <v>7844</v>
      </c>
      <c r="N12" s="175"/>
    </row>
    <row r="13" ht="14.25" customHeight="1">
      <c r="A13" s="253">
        <v>2.0</v>
      </c>
      <c r="B13" s="175" t="s">
        <v>779</v>
      </c>
      <c r="C13" s="175" t="s">
        <v>780</v>
      </c>
      <c r="D13" s="175" t="s">
        <v>8707</v>
      </c>
      <c r="E13" s="175" t="s">
        <v>27</v>
      </c>
      <c r="F13" s="177">
        <v>2.6E8</v>
      </c>
      <c r="G13" s="175" t="s">
        <v>78</v>
      </c>
      <c r="H13" s="17" t="s">
        <v>8712</v>
      </c>
      <c r="I13" s="178" t="s">
        <v>8713</v>
      </c>
      <c r="J13" s="686" t="s">
        <v>8714</v>
      </c>
      <c r="K13" s="686" t="s">
        <v>8715</v>
      </c>
      <c r="L13" s="391"/>
      <c r="M13" s="175" t="s">
        <v>7585</v>
      </c>
      <c r="N13" s="175"/>
    </row>
    <row r="14" ht="14.25" customHeight="1">
      <c r="A14" s="247"/>
      <c r="B14" s="248" t="s">
        <v>99</v>
      </c>
      <c r="C14" s="248"/>
      <c r="D14" s="248"/>
      <c r="E14" s="248"/>
      <c r="F14" s="249">
        <f>SUM(F15:F26)</f>
        <v>217321300</v>
      </c>
      <c r="G14" s="248"/>
      <c r="H14" s="248"/>
      <c r="I14" s="248"/>
      <c r="J14" s="299"/>
      <c r="K14" s="299"/>
      <c r="L14" s="250"/>
      <c r="M14" s="248"/>
      <c r="N14" s="248"/>
    </row>
    <row r="15" ht="14.25" customHeight="1">
      <c r="A15" s="253">
        <v>3.0</v>
      </c>
      <c r="B15" s="175" t="s">
        <v>8716</v>
      </c>
      <c r="C15" s="178" t="s">
        <v>1379</v>
      </c>
      <c r="D15" s="175" t="s">
        <v>8707</v>
      </c>
      <c r="E15" s="175" t="s">
        <v>27</v>
      </c>
      <c r="F15" s="177">
        <v>1.32E7</v>
      </c>
      <c r="G15" s="175" t="s">
        <v>474</v>
      </c>
      <c r="H15" s="27" t="s">
        <v>8717</v>
      </c>
      <c r="I15" s="178" t="s">
        <v>8718</v>
      </c>
      <c r="J15" s="686" t="s">
        <v>8719</v>
      </c>
      <c r="K15" s="686" t="s">
        <v>8720</v>
      </c>
      <c r="L15" s="391" t="s">
        <v>8721</v>
      </c>
      <c r="M15" s="175" t="s">
        <v>8722</v>
      </c>
      <c r="N15" s="175"/>
    </row>
    <row r="16" ht="14.25" customHeight="1">
      <c r="A16" s="943">
        <v>4.0</v>
      </c>
      <c r="B16" s="180" t="s">
        <v>8716</v>
      </c>
      <c r="C16" s="184" t="s">
        <v>2749</v>
      </c>
      <c r="D16" s="180" t="s">
        <v>8707</v>
      </c>
      <c r="E16" s="184" t="s">
        <v>931</v>
      </c>
      <c r="F16" s="181">
        <v>1.7755E7</v>
      </c>
      <c r="G16" s="180" t="s">
        <v>474</v>
      </c>
      <c r="H16" s="701" t="s">
        <v>8723</v>
      </c>
      <c r="I16" s="184" t="s">
        <v>8724</v>
      </c>
      <c r="J16" s="960" t="s">
        <v>8725</v>
      </c>
      <c r="K16" s="960" t="s">
        <v>8726</v>
      </c>
      <c r="L16" s="702"/>
      <c r="M16" s="180" t="s">
        <v>8727</v>
      </c>
      <c r="N16" s="184" t="s">
        <v>2362</v>
      </c>
    </row>
    <row r="17" ht="14.25" customHeight="1">
      <c r="A17" s="253">
        <v>5.0</v>
      </c>
      <c r="B17" s="175" t="s">
        <v>8716</v>
      </c>
      <c r="C17" s="178" t="s">
        <v>2749</v>
      </c>
      <c r="D17" s="175" t="s">
        <v>8707</v>
      </c>
      <c r="E17" s="175" t="s">
        <v>5363</v>
      </c>
      <c r="F17" s="177">
        <v>1.8075E7</v>
      </c>
      <c r="G17" s="175" t="s">
        <v>979</v>
      </c>
      <c r="H17" s="17" t="s">
        <v>8728</v>
      </c>
      <c r="I17" s="178" t="s">
        <v>8729</v>
      </c>
      <c r="J17" s="686" t="s">
        <v>8730</v>
      </c>
      <c r="K17" s="686" t="s">
        <v>8731</v>
      </c>
      <c r="L17" s="391"/>
      <c r="M17" s="175" t="s">
        <v>8732</v>
      </c>
      <c r="N17" s="175"/>
    </row>
    <row r="18" ht="14.25" customHeight="1">
      <c r="A18" s="253">
        <v>6.0</v>
      </c>
      <c r="B18" s="175" t="s">
        <v>8716</v>
      </c>
      <c r="C18" s="178" t="s">
        <v>2749</v>
      </c>
      <c r="D18" s="175" t="s">
        <v>8707</v>
      </c>
      <c r="E18" s="175" t="s">
        <v>5363</v>
      </c>
      <c r="F18" s="177">
        <v>1.77072E7</v>
      </c>
      <c r="G18" s="175" t="s">
        <v>44</v>
      </c>
      <c r="H18" s="17" t="s">
        <v>8733</v>
      </c>
      <c r="I18" s="178" t="s">
        <v>8734</v>
      </c>
      <c r="J18" s="686" t="s">
        <v>8735</v>
      </c>
      <c r="K18" s="686" t="s">
        <v>8736</v>
      </c>
      <c r="L18" s="391"/>
      <c r="M18" s="175" t="s">
        <v>8737</v>
      </c>
      <c r="N18" s="175"/>
    </row>
    <row r="19" ht="14.25" customHeight="1">
      <c r="A19" s="253">
        <v>7.0</v>
      </c>
      <c r="B19" s="175" t="s">
        <v>8716</v>
      </c>
      <c r="C19" s="178" t="s">
        <v>2749</v>
      </c>
      <c r="D19" s="175" t="s">
        <v>8707</v>
      </c>
      <c r="E19" s="175" t="s">
        <v>5363</v>
      </c>
      <c r="F19" s="177">
        <v>1.77072E7</v>
      </c>
      <c r="G19" s="175" t="s">
        <v>44</v>
      </c>
      <c r="H19" s="17" t="s">
        <v>8738</v>
      </c>
      <c r="I19" s="178" t="s">
        <v>8739</v>
      </c>
      <c r="J19" s="686" t="s">
        <v>8740</v>
      </c>
      <c r="K19" s="686" t="s">
        <v>8741</v>
      </c>
      <c r="L19" s="391"/>
      <c r="M19" s="175" t="s">
        <v>8742</v>
      </c>
      <c r="N19" s="175"/>
    </row>
    <row r="20" ht="14.25" customHeight="1">
      <c r="A20" s="253">
        <v>8.0</v>
      </c>
      <c r="B20" s="175" t="s">
        <v>8716</v>
      </c>
      <c r="C20" s="178" t="s">
        <v>1379</v>
      </c>
      <c r="D20" s="175" t="s">
        <v>8707</v>
      </c>
      <c r="E20" s="175" t="s">
        <v>27</v>
      </c>
      <c r="F20" s="177">
        <v>1.39192E7</v>
      </c>
      <c r="G20" s="175" t="s">
        <v>44</v>
      </c>
      <c r="H20" s="17" t="s">
        <v>8743</v>
      </c>
      <c r="I20" s="178" t="s">
        <v>8744</v>
      </c>
      <c r="J20" s="686" t="s">
        <v>8745</v>
      </c>
      <c r="K20" s="686" t="s">
        <v>8746</v>
      </c>
      <c r="L20" s="391"/>
      <c r="M20" s="175"/>
      <c r="N20" s="175"/>
    </row>
    <row r="21" ht="14.25" customHeight="1">
      <c r="A21" s="253">
        <v>9.0</v>
      </c>
      <c r="B21" s="175" t="s">
        <v>8716</v>
      </c>
      <c r="C21" s="178" t="s">
        <v>1379</v>
      </c>
      <c r="D21" s="175" t="s">
        <v>8707</v>
      </c>
      <c r="E21" s="175" t="s">
        <v>5363</v>
      </c>
      <c r="F21" s="177">
        <v>1.39192E7</v>
      </c>
      <c r="G21" s="175" t="s">
        <v>44</v>
      </c>
      <c r="H21" s="17" t="s">
        <v>8747</v>
      </c>
      <c r="I21" s="178" t="s">
        <v>8748</v>
      </c>
      <c r="J21" s="686" t="s">
        <v>8749</v>
      </c>
      <c r="K21" s="686" t="s">
        <v>8750</v>
      </c>
      <c r="L21" s="391"/>
      <c r="M21" s="175" t="s">
        <v>8751</v>
      </c>
      <c r="N21" s="175"/>
    </row>
    <row r="22" ht="14.25" customHeight="1">
      <c r="A22" s="253">
        <v>10.0</v>
      </c>
      <c r="B22" s="175" t="s">
        <v>8716</v>
      </c>
      <c r="C22" s="178" t="s">
        <v>6141</v>
      </c>
      <c r="D22" s="175" t="s">
        <v>8707</v>
      </c>
      <c r="E22" s="175" t="s">
        <v>5363</v>
      </c>
      <c r="F22" s="177">
        <v>1.708E7</v>
      </c>
      <c r="G22" s="175" t="s">
        <v>92</v>
      </c>
      <c r="H22" s="17" t="s">
        <v>8752</v>
      </c>
      <c r="I22" s="178" t="s">
        <v>8753</v>
      </c>
      <c r="J22" s="686" t="s">
        <v>8754</v>
      </c>
      <c r="K22" s="686" t="s">
        <v>8755</v>
      </c>
      <c r="L22" s="391"/>
      <c r="M22" s="175" t="s">
        <v>2453</v>
      </c>
      <c r="N22" s="175"/>
    </row>
    <row r="23" ht="14.25" customHeight="1">
      <c r="A23" s="253">
        <v>11.0</v>
      </c>
      <c r="B23" s="175" t="s">
        <v>8716</v>
      </c>
      <c r="C23" s="178" t="s">
        <v>3272</v>
      </c>
      <c r="D23" s="175" t="s">
        <v>8707</v>
      </c>
      <c r="E23" s="175" t="s">
        <v>5363</v>
      </c>
      <c r="F23" s="177">
        <v>1.59585E7</v>
      </c>
      <c r="G23" s="175" t="s">
        <v>92</v>
      </c>
      <c r="H23" s="17" t="s">
        <v>8756</v>
      </c>
      <c r="I23" s="178" t="s">
        <v>8757</v>
      </c>
      <c r="J23" s="686" t="s">
        <v>8758</v>
      </c>
      <c r="K23" s="686" t="s">
        <v>8759</v>
      </c>
      <c r="L23" s="391"/>
      <c r="M23" s="175" t="s">
        <v>8760</v>
      </c>
      <c r="N23" s="175"/>
    </row>
    <row r="24" ht="14.25" customHeight="1">
      <c r="A24" s="253">
        <v>12.0</v>
      </c>
      <c r="B24" s="175" t="s">
        <v>8716</v>
      </c>
      <c r="C24" s="178" t="s">
        <v>4429</v>
      </c>
      <c r="D24" s="175" t="s">
        <v>8707</v>
      </c>
      <c r="E24" s="175" t="s">
        <v>5363</v>
      </c>
      <c r="F24" s="177">
        <v>1.93E7</v>
      </c>
      <c r="G24" s="175" t="s">
        <v>862</v>
      </c>
      <c r="H24" s="17" t="s">
        <v>8761</v>
      </c>
      <c r="I24" s="178" t="s">
        <v>8762</v>
      </c>
      <c r="J24" s="686" t="s">
        <v>8763</v>
      </c>
      <c r="K24" s="686" t="s">
        <v>8764</v>
      </c>
      <c r="L24" s="391"/>
      <c r="M24" s="175" t="s">
        <v>8229</v>
      </c>
      <c r="N24" s="175"/>
    </row>
    <row r="25" ht="14.25" customHeight="1">
      <c r="A25" s="253">
        <v>13.0</v>
      </c>
      <c r="B25" s="175" t="s">
        <v>8716</v>
      </c>
      <c r="C25" s="178" t="s">
        <v>4429</v>
      </c>
      <c r="D25" s="175" t="s">
        <v>8707</v>
      </c>
      <c r="E25" s="175" t="s">
        <v>5363</v>
      </c>
      <c r="F25" s="177">
        <v>1.93E7</v>
      </c>
      <c r="G25" s="175" t="s">
        <v>862</v>
      </c>
      <c r="H25" s="17" t="s">
        <v>8765</v>
      </c>
      <c r="I25" s="178" t="s">
        <v>8766</v>
      </c>
      <c r="J25" s="686" t="s">
        <v>8767</v>
      </c>
      <c r="K25" s="686" t="s">
        <v>8768</v>
      </c>
      <c r="L25" s="391"/>
      <c r="M25" s="175" t="s">
        <v>7961</v>
      </c>
      <c r="N25" s="175"/>
    </row>
    <row r="26" ht="14.25" customHeight="1">
      <c r="A26" s="682">
        <v>14.0</v>
      </c>
      <c r="B26" s="682" t="s">
        <v>8156</v>
      </c>
      <c r="C26" s="682" t="s">
        <v>5990</v>
      </c>
      <c r="D26" s="682" t="s">
        <v>8707</v>
      </c>
      <c r="E26" s="682" t="s">
        <v>70</v>
      </c>
      <c r="F26" s="961">
        <v>3.34E7</v>
      </c>
      <c r="G26" s="682" t="s">
        <v>2329</v>
      </c>
      <c r="H26" s="962" t="s">
        <v>8769</v>
      </c>
      <c r="I26" s="963" t="s">
        <v>8770</v>
      </c>
      <c r="J26" s="964" t="s">
        <v>8771</v>
      </c>
      <c r="K26" s="964" t="s">
        <v>8772</v>
      </c>
      <c r="L26" s="682"/>
      <c r="M26" s="682" t="s">
        <v>7844</v>
      </c>
      <c r="N26" s="682"/>
      <c r="O26" s="965"/>
      <c r="P26" s="965"/>
      <c r="Q26" s="965"/>
      <c r="R26" s="965"/>
      <c r="S26" s="965"/>
      <c r="T26" s="965"/>
      <c r="U26" s="965"/>
      <c r="V26" s="965"/>
      <c r="W26" s="965"/>
      <c r="X26" s="965"/>
      <c r="Y26" s="965"/>
      <c r="Z26" s="965"/>
      <c r="AA26" s="965"/>
    </row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3:L3"/>
    <mergeCell ref="A4:L4"/>
  </mergeCells>
  <printOptions/>
  <pageMargins bottom="0.7480314960629921" footer="0.0" header="0.0" left="0.5905511811023623" right="0.3937007874015748" top="0.7480314960629921"/>
  <pageSetup paperSize="5" scale="60" orientation="landscape"/>
  <drawing r:id="rId1"/>
  <tableParts count="1">
    <tablePart r:id="rId3"/>
  </tableParts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86"/>
    <col customWidth="1" min="2" max="2" width="18.29"/>
    <col customWidth="1" min="3" max="4" width="40.14"/>
    <col customWidth="1" min="5" max="5" width="15.57"/>
    <col customWidth="1" min="6" max="6" width="20.71"/>
    <col customWidth="1" min="7" max="7" width="19.29"/>
    <col customWidth="1" min="8" max="8" width="16.43"/>
    <col customWidth="1" min="9" max="9" width="14.14"/>
    <col customWidth="1" min="10" max="10" width="21.0"/>
    <col customWidth="1" hidden="1" min="11" max="11" width="9.43"/>
    <col customWidth="1" hidden="1" min="12" max="12" width="46.29"/>
    <col customWidth="1" hidden="1" min="13" max="13" width="33.57"/>
    <col customWidth="1" hidden="1" min="14" max="14" width="26.57"/>
    <col customWidth="1" min="15" max="15" width="9.29"/>
    <col customWidth="1" min="16" max="16" width="10.86"/>
    <col customWidth="1" min="17" max="17" width="10.57"/>
    <col customWidth="1" hidden="1" min="18" max="18" width="10.29"/>
    <col customWidth="1" hidden="1" min="19" max="19" width="10.14"/>
    <col customWidth="1" hidden="1" min="20" max="20" width="19.71"/>
    <col customWidth="1" hidden="1" min="21" max="21" width="16.14"/>
    <col customWidth="1" min="22" max="22" width="17.86"/>
    <col customWidth="1" min="23" max="23" width="31.14"/>
    <col customWidth="1" min="24" max="24" width="20.57"/>
    <col customWidth="1" min="25" max="25" width="12.71"/>
    <col customWidth="1" min="26" max="26" width="10.86"/>
    <col customWidth="1" min="27" max="27" width="10.0"/>
    <col customWidth="1" min="28" max="28" width="41.71"/>
    <col customWidth="1" min="29" max="29" width="57.86"/>
    <col customWidth="1" min="30" max="30" width="21.86"/>
    <col customWidth="1" min="31" max="31" width="17.14"/>
    <col customWidth="1" min="32" max="32" width="13.0"/>
    <col customWidth="1" min="33" max="33" width="8.57"/>
    <col customWidth="1" min="34" max="34" width="12.29"/>
    <col customWidth="1" min="35" max="35" width="31.43"/>
    <col customWidth="1" min="36" max="36" width="19.71"/>
    <col customWidth="1" min="37" max="37" width="21.0"/>
    <col customWidth="1" min="38" max="38" width="19.86"/>
    <col customWidth="1" min="39" max="40" width="21.0"/>
  </cols>
  <sheetData>
    <row r="1" ht="12.75" customHeight="1">
      <c r="A1" s="42" t="s">
        <v>8</v>
      </c>
      <c r="B1" s="42" t="s">
        <v>8773</v>
      </c>
      <c r="C1" s="42" t="s">
        <v>9</v>
      </c>
      <c r="D1" s="42" t="s">
        <v>10</v>
      </c>
      <c r="E1" s="42" t="s">
        <v>8774</v>
      </c>
      <c r="F1" s="42" t="s">
        <v>11</v>
      </c>
      <c r="G1" s="42" t="s">
        <v>8775</v>
      </c>
      <c r="H1" s="42" t="s">
        <v>8776</v>
      </c>
      <c r="I1" s="42" t="s">
        <v>12</v>
      </c>
      <c r="J1" s="42" t="s">
        <v>13</v>
      </c>
      <c r="K1" s="42" t="s">
        <v>759</v>
      </c>
      <c r="L1" s="42" t="s">
        <v>14</v>
      </c>
      <c r="M1" s="42" t="s">
        <v>760</v>
      </c>
      <c r="N1" s="42" t="s">
        <v>761</v>
      </c>
      <c r="O1" s="42" t="s">
        <v>15</v>
      </c>
      <c r="P1" s="42" t="s">
        <v>8777</v>
      </c>
      <c r="Q1" s="42" t="s">
        <v>8778</v>
      </c>
      <c r="R1" s="42" t="s">
        <v>762</v>
      </c>
      <c r="S1" s="42" t="s">
        <v>763</v>
      </c>
      <c r="T1" s="42" t="s">
        <v>764</v>
      </c>
      <c r="U1" s="42" t="s">
        <v>765</v>
      </c>
      <c r="V1" s="42" t="s">
        <v>16</v>
      </c>
      <c r="W1" s="42" t="s">
        <v>17</v>
      </c>
      <c r="X1" s="42" t="s">
        <v>766</v>
      </c>
      <c r="Y1" s="42" t="s">
        <v>19</v>
      </c>
      <c r="Z1" s="42" t="s">
        <v>767</v>
      </c>
      <c r="AA1" s="42" t="s">
        <v>8779</v>
      </c>
      <c r="AB1" s="42" t="s">
        <v>20</v>
      </c>
      <c r="AC1" s="42" t="s">
        <v>8780</v>
      </c>
      <c r="AD1" s="42" t="s">
        <v>8781</v>
      </c>
      <c r="AE1" s="42" t="s">
        <v>8782</v>
      </c>
      <c r="AF1" s="42" t="s">
        <v>8783</v>
      </c>
      <c r="AG1" s="42" t="s">
        <v>8784</v>
      </c>
      <c r="AH1" s="42" t="s">
        <v>8785</v>
      </c>
      <c r="AI1" s="42" t="s">
        <v>21</v>
      </c>
      <c r="AJ1" s="42" t="s">
        <v>8786</v>
      </c>
      <c r="AK1" s="42" t="s">
        <v>8787</v>
      </c>
      <c r="AL1" s="42" t="s">
        <v>8788</v>
      </c>
      <c r="AM1" s="42" t="s">
        <v>8789</v>
      </c>
      <c r="AN1" s="42" t="s">
        <v>8790</v>
      </c>
    </row>
    <row r="2" ht="12.75" customHeight="1">
      <c r="A2" s="50">
        <v>1.0</v>
      </c>
      <c r="B2" s="50" t="s">
        <v>8791</v>
      </c>
      <c r="C2" s="50" t="s">
        <v>768</v>
      </c>
      <c r="D2" s="50" t="s">
        <v>769</v>
      </c>
      <c r="E2" s="50" t="s">
        <v>8792</v>
      </c>
      <c r="F2" s="50" t="s">
        <v>770</v>
      </c>
      <c r="G2" s="50" t="s">
        <v>8793</v>
      </c>
      <c r="H2" s="966">
        <v>39814.0</v>
      </c>
      <c r="I2" s="50" t="s">
        <v>70</v>
      </c>
      <c r="J2" s="101">
        <v>2.684E8</v>
      </c>
      <c r="K2" s="50">
        <v>0.0</v>
      </c>
      <c r="L2" s="50" t="s">
        <v>771</v>
      </c>
      <c r="M2" s="50"/>
      <c r="N2" s="50"/>
      <c r="O2" s="50" t="s">
        <v>84</v>
      </c>
      <c r="P2" s="50"/>
      <c r="Q2" s="50"/>
      <c r="R2" s="50" t="s">
        <v>772</v>
      </c>
      <c r="S2" s="50">
        <v>1.0</v>
      </c>
      <c r="T2" s="50">
        <v>7.0</v>
      </c>
      <c r="U2" s="50"/>
      <c r="V2" s="83" t="s">
        <v>773</v>
      </c>
      <c r="W2" s="83" t="s">
        <v>774</v>
      </c>
      <c r="X2" s="83" t="s">
        <v>775</v>
      </c>
      <c r="Y2" s="83" t="s">
        <v>776</v>
      </c>
      <c r="Z2" s="83" t="s">
        <v>777</v>
      </c>
      <c r="AA2" s="50"/>
      <c r="AB2" s="50"/>
      <c r="AC2" s="50"/>
      <c r="AD2" s="50"/>
      <c r="AE2" s="50" t="s">
        <v>8794</v>
      </c>
      <c r="AF2" s="50" t="s">
        <v>4470</v>
      </c>
      <c r="AG2" s="50"/>
      <c r="AH2" s="50"/>
      <c r="AI2" s="50"/>
      <c r="AJ2" s="50">
        <v>0.0</v>
      </c>
      <c r="AK2" s="101">
        <v>2.684E8</v>
      </c>
      <c r="AL2" s="101">
        <v>0.0</v>
      </c>
      <c r="AM2" s="101">
        <v>2.684E8</v>
      </c>
      <c r="AN2" s="101">
        <v>0.0</v>
      </c>
    </row>
    <row r="3" ht="12.75" customHeight="1">
      <c r="A3" s="50">
        <v>2.0</v>
      </c>
      <c r="B3" s="50" t="s">
        <v>8795</v>
      </c>
      <c r="C3" s="50" t="s">
        <v>779</v>
      </c>
      <c r="D3" s="50" t="s">
        <v>780</v>
      </c>
      <c r="E3" s="50" t="s">
        <v>8792</v>
      </c>
      <c r="F3" s="50" t="s">
        <v>770</v>
      </c>
      <c r="G3" s="50" t="s">
        <v>8796</v>
      </c>
      <c r="H3" s="966">
        <v>37257.0</v>
      </c>
      <c r="I3" s="50" t="s">
        <v>70</v>
      </c>
      <c r="J3" s="101">
        <v>1.1E8</v>
      </c>
      <c r="K3" s="50">
        <v>0.0</v>
      </c>
      <c r="L3" s="50" t="s">
        <v>781</v>
      </c>
      <c r="M3" s="50"/>
      <c r="N3" s="50"/>
      <c r="O3" s="50" t="s">
        <v>782</v>
      </c>
      <c r="P3" s="50"/>
      <c r="Q3" s="50"/>
      <c r="R3" s="50" t="s">
        <v>772</v>
      </c>
      <c r="S3" s="50">
        <v>1.0</v>
      </c>
      <c r="T3" s="50">
        <v>7.0</v>
      </c>
      <c r="U3" s="50"/>
      <c r="V3" s="83" t="s">
        <v>783</v>
      </c>
      <c r="W3" s="83" t="s">
        <v>784</v>
      </c>
      <c r="X3" s="83" t="s">
        <v>785</v>
      </c>
      <c r="Y3" s="83" t="s">
        <v>786</v>
      </c>
      <c r="Z3" s="83" t="s">
        <v>777</v>
      </c>
      <c r="AA3" s="50"/>
      <c r="AB3" s="50" t="s">
        <v>952</v>
      </c>
      <c r="AC3" s="50"/>
      <c r="AD3" s="50"/>
      <c r="AE3" s="50" t="s">
        <v>8794</v>
      </c>
      <c r="AF3" s="50" t="s">
        <v>4470</v>
      </c>
      <c r="AG3" s="50"/>
      <c r="AH3" s="50"/>
      <c r="AI3" s="50"/>
      <c r="AJ3" s="50">
        <v>0.0</v>
      </c>
      <c r="AK3" s="101">
        <v>1.1E8</v>
      </c>
      <c r="AL3" s="101">
        <v>0.0</v>
      </c>
      <c r="AM3" s="101">
        <v>1.1E8</v>
      </c>
      <c r="AN3" s="101">
        <v>0.0</v>
      </c>
    </row>
    <row r="4" ht="12.75" customHeight="1">
      <c r="A4" s="50">
        <v>3.0</v>
      </c>
      <c r="B4" s="50" t="s">
        <v>8795</v>
      </c>
      <c r="C4" s="50" t="s">
        <v>779</v>
      </c>
      <c r="D4" s="50" t="s">
        <v>780</v>
      </c>
      <c r="E4" s="50" t="s">
        <v>8792</v>
      </c>
      <c r="F4" s="50" t="s">
        <v>770</v>
      </c>
      <c r="G4" s="50" t="s">
        <v>8797</v>
      </c>
      <c r="H4" s="966">
        <v>37987.0</v>
      </c>
      <c r="I4" s="50" t="s">
        <v>70</v>
      </c>
      <c r="J4" s="101">
        <v>1.32E8</v>
      </c>
      <c r="K4" s="50">
        <v>0.0</v>
      </c>
      <c r="L4" s="50" t="s">
        <v>781</v>
      </c>
      <c r="M4" s="50"/>
      <c r="N4" s="50"/>
      <c r="O4" s="50" t="s">
        <v>788</v>
      </c>
      <c r="P4" s="50"/>
      <c r="Q4" s="50"/>
      <c r="R4" s="50" t="s">
        <v>772</v>
      </c>
      <c r="S4" s="50">
        <v>1.0</v>
      </c>
      <c r="T4" s="50">
        <v>7.0</v>
      </c>
      <c r="U4" s="50"/>
      <c r="V4" s="83" t="s">
        <v>789</v>
      </c>
      <c r="W4" s="83" t="s">
        <v>790</v>
      </c>
      <c r="X4" s="83" t="s">
        <v>791</v>
      </c>
      <c r="Y4" s="83" t="s">
        <v>792</v>
      </c>
      <c r="Z4" s="83" t="s">
        <v>777</v>
      </c>
      <c r="AA4" s="50"/>
      <c r="AB4" s="50" t="s">
        <v>952</v>
      </c>
      <c r="AC4" s="50"/>
      <c r="AD4" s="50"/>
      <c r="AE4" s="50" t="s">
        <v>8794</v>
      </c>
      <c r="AF4" s="50" t="s">
        <v>4470</v>
      </c>
      <c r="AG4" s="50"/>
      <c r="AH4" s="50"/>
      <c r="AI4" s="50"/>
      <c r="AJ4" s="50">
        <v>0.0</v>
      </c>
      <c r="AK4" s="101">
        <v>1.32E8</v>
      </c>
      <c r="AL4" s="101">
        <v>0.0</v>
      </c>
      <c r="AM4" s="101">
        <v>1.32E8</v>
      </c>
      <c r="AN4" s="101">
        <v>0.0</v>
      </c>
    </row>
    <row r="5" ht="12.75" customHeight="1">
      <c r="A5" s="50">
        <v>4.0</v>
      </c>
      <c r="B5" s="50" t="s">
        <v>8795</v>
      </c>
      <c r="C5" s="50" t="s">
        <v>779</v>
      </c>
      <c r="D5" s="50" t="s">
        <v>780</v>
      </c>
      <c r="E5" s="50" t="s">
        <v>8792</v>
      </c>
      <c r="F5" s="50" t="s">
        <v>770</v>
      </c>
      <c r="G5" s="50" t="s">
        <v>8798</v>
      </c>
      <c r="H5" s="966">
        <v>38353.0</v>
      </c>
      <c r="I5" s="50" t="s">
        <v>70</v>
      </c>
      <c r="J5" s="101">
        <v>6.5E7</v>
      </c>
      <c r="K5" s="50">
        <v>0.0</v>
      </c>
      <c r="L5" s="50" t="s">
        <v>781</v>
      </c>
      <c r="M5" s="50"/>
      <c r="N5" s="50"/>
      <c r="O5" s="50" t="s">
        <v>145</v>
      </c>
      <c r="P5" s="50"/>
      <c r="Q5" s="50"/>
      <c r="R5" s="50" t="s">
        <v>772</v>
      </c>
      <c r="S5" s="50">
        <v>1.0</v>
      </c>
      <c r="T5" s="50">
        <v>7.0</v>
      </c>
      <c r="U5" s="50"/>
      <c r="V5" s="83" t="s">
        <v>794</v>
      </c>
      <c r="W5" s="83" t="s">
        <v>795</v>
      </c>
      <c r="X5" s="83" t="s">
        <v>796</v>
      </c>
      <c r="Y5" s="83" t="s">
        <v>797</v>
      </c>
      <c r="Z5" s="83" t="s">
        <v>777</v>
      </c>
      <c r="AA5" s="50"/>
      <c r="AB5" s="29" t="s">
        <v>8799</v>
      </c>
      <c r="AC5" s="50"/>
      <c r="AD5" s="50"/>
      <c r="AE5" s="50" t="s">
        <v>8794</v>
      </c>
      <c r="AF5" s="50" t="s">
        <v>4470</v>
      </c>
      <c r="AG5" s="50"/>
      <c r="AH5" s="50"/>
      <c r="AI5" s="50"/>
      <c r="AJ5" s="50">
        <v>0.0</v>
      </c>
      <c r="AK5" s="101">
        <v>6.5E7</v>
      </c>
      <c r="AL5" s="101">
        <v>0.0</v>
      </c>
      <c r="AM5" s="101">
        <v>6.5E7</v>
      </c>
      <c r="AN5" s="101">
        <v>0.0</v>
      </c>
    </row>
    <row r="6" ht="12.75" customHeight="1">
      <c r="A6" s="50">
        <v>5.0</v>
      </c>
      <c r="B6" s="50" t="s">
        <v>8795</v>
      </c>
      <c r="C6" s="50" t="s">
        <v>779</v>
      </c>
      <c r="D6" s="50" t="s">
        <v>780</v>
      </c>
      <c r="E6" s="50" t="s">
        <v>8792</v>
      </c>
      <c r="F6" s="50" t="s">
        <v>770</v>
      </c>
      <c r="G6" s="50" t="s">
        <v>8800</v>
      </c>
      <c r="H6" s="966">
        <v>38353.0</v>
      </c>
      <c r="I6" s="50" t="s">
        <v>70</v>
      </c>
      <c r="J6" s="101">
        <v>1.02E8</v>
      </c>
      <c r="K6" s="50">
        <v>0.0</v>
      </c>
      <c r="L6" s="50" t="s">
        <v>781</v>
      </c>
      <c r="M6" s="50"/>
      <c r="N6" s="50"/>
      <c r="O6" s="50" t="s">
        <v>145</v>
      </c>
      <c r="P6" s="50"/>
      <c r="Q6" s="50"/>
      <c r="R6" s="50" t="s">
        <v>772</v>
      </c>
      <c r="S6" s="50">
        <v>1.0</v>
      </c>
      <c r="T6" s="50">
        <v>7.0</v>
      </c>
      <c r="U6" s="50"/>
      <c r="V6" s="83" t="s">
        <v>800</v>
      </c>
      <c r="W6" s="83" t="s">
        <v>801</v>
      </c>
      <c r="X6" s="83" t="s">
        <v>802</v>
      </c>
      <c r="Y6" s="83" t="s">
        <v>803</v>
      </c>
      <c r="Z6" s="83" t="s">
        <v>777</v>
      </c>
      <c r="AA6" s="50"/>
      <c r="AB6" s="50" t="s">
        <v>8801</v>
      </c>
      <c r="AC6" s="50"/>
      <c r="AD6" s="50"/>
      <c r="AE6" s="50" t="s">
        <v>8794</v>
      </c>
      <c r="AF6" s="50" t="s">
        <v>4470</v>
      </c>
      <c r="AG6" s="50"/>
      <c r="AH6" s="50"/>
      <c r="AI6" s="50"/>
      <c r="AJ6" s="50">
        <v>0.0</v>
      </c>
      <c r="AK6" s="101">
        <v>1.02E8</v>
      </c>
      <c r="AL6" s="101">
        <v>0.0</v>
      </c>
      <c r="AM6" s="101">
        <v>1.02E8</v>
      </c>
      <c r="AN6" s="101">
        <v>0.0</v>
      </c>
    </row>
    <row r="7" ht="12.75" customHeight="1">
      <c r="A7" s="50">
        <v>6.0</v>
      </c>
      <c r="B7" s="50" t="s">
        <v>8795</v>
      </c>
      <c r="C7" s="50" t="s">
        <v>779</v>
      </c>
      <c r="D7" s="50" t="s">
        <v>805</v>
      </c>
      <c r="E7" s="50" t="s">
        <v>8792</v>
      </c>
      <c r="F7" s="50" t="s">
        <v>770</v>
      </c>
      <c r="G7" s="50" t="s">
        <v>8802</v>
      </c>
      <c r="H7" s="966">
        <v>39083.0</v>
      </c>
      <c r="I7" s="50" t="s">
        <v>70</v>
      </c>
      <c r="J7" s="101">
        <v>1.299E8</v>
      </c>
      <c r="K7" s="50">
        <v>0.0</v>
      </c>
      <c r="L7" s="50" t="s">
        <v>781</v>
      </c>
      <c r="M7" s="50"/>
      <c r="N7" s="50"/>
      <c r="O7" s="50" t="s">
        <v>37</v>
      </c>
      <c r="P7" s="50"/>
      <c r="Q7" s="50"/>
      <c r="R7" s="50" t="s">
        <v>772</v>
      </c>
      <c r="S7" s="50">
        <v>1.0</v>
      </c>
      <c r="T7" s="50">
        <v>7.0</v>
      </c>
      <c r="U7" s="50"/>
      <c r="V7" s="50" t="s">
        <v>8803</v>
      </c>
      <c r="W7" s="50" t="s">
        <v>807</v>
      </c>
      <c r="X7" s="50" t="s">
        <v>808</v>
      </c>
      <c r="Y7" s="50">
        <v>0.0</v>
      </c>
      <c r="Z7" s="50"/>
      <c r="AA7" s="50"/>
      <c r="AB7" s="50"/>
      <c r="AC7" s="50"/>
      <c r="AD7" s="50"/>
      <c r="AE7" s="50" t="s">
        <v>8794</v>
      </c>
      <c r="AF7" s="50" t="s">
        <v>4470</v>
      </c>
      <c r="AG7" s="50"/>
      <c r="AH7" s="50"/>
      <c r="AI7" s="50"/>
      <c r="AJ7" s="50">
        <v>0.0</v>
      </c>
      <c r="AK7" s="101">
        <v>1.299E8</v>
      </c>
      <c r="AL7" s="101">
        <v>0.0</v>
      </c>
      <c r="AM7" s="101">
        <v>1.299E8</v>
      </c>
      <c r="AN7" s="101">
        <v>0.0</v>
      </c>
    </row>
    <row r="8" ht="12.75" customHeight="1">
      <c r="A8" s="50">
        <v>7.0</v>
      </c>
      <c r="B8" s="50" t="s">
        <v>8795</v>
      </c>
      <c r="C8" s="50" t="s">
        <v>779</v>
      </c>
      <c r="D8" s="50" t="s">
        <v>780</v>
      </c>
      <c r="E8" s="50" t="s">
        <v>8792</v>
      </c>
      <c r="F8" s="50" t="s">
        <v>770</v>
      </c>
      <c r="G8" s="50" t="s">
        <v>8804</v>
      </c>
      <c r="H8" s="966">
        <v>39083.0</v>
      </c>
      <c r="I8" s="50" t="s">
        <v>70</v>
      </c>
      <c r="J8" s="101">
        <v>1.75E8</v>
      </c>
      <c r="K8" s="50">
        <v>0.0</v>
      </c>
      <c r="L8" s="50" t="s">
        <v>781</v>
      </c>
      <c r="M8" s="50"/>
      <c r="N8" s="50"/>
      <c r="O8" s="50" t="s">
        <v>37</v>
      </c>
      <c r="P8" s="50"/>
      <c r="Q8" s="50"/>
      <c r="R8" s="50" t="s">
        <v>772</v>
      </c>
      <c r="S8" s="50">
        <v>1.0</v>
      </c>
      <c r="T8" s="50">
        <v>7.0</v>
      </c>
      <c r="U8" s="50"/>
      <c r="V8" s="83" t="s">
        <v>810</v>
      </c>
      <c r="W8" s="83" t="s">
        <v>811</v>
      </c>
      <c r="X8" s="83" t="s">
        <v>812</v>
      </c>
      <c r="Y8" s="83" t="s">
        <v>813</v>
      </c>
      <c r="Z8" s="83" t="s">
        <v>777</v>
      </c>
      <c r="AA8" s="50"/>
      <c r="AB8" s="50" t="s">
        <v>952</v>
      </c>
      <c r="AC8" s="50"/>
      <c r="AD8" s="50"/>
      <c r="AE8" s="50" t="s">
        <v>8794</v>
      </c>
      <c r="AF8" s="50" t="s">
        <v>4470</v>
      </c>
      <c r="AG8" s="50"/>
      <c r="AH8" s="50"/>
      <c r="AI8" s="50"/>
      <c r="AJ8" s="50">
        <v>0.0</v>
      </c>
      <c r="AK8" s="101">
        <v>1.75E8</v>
      </c>
      <c r="AL8" s="101">
        <v>0.0</v>
      </c>
      <c r="AM8" s="101">
        <v>1.75E8</v>
      </c>
      <c r="AN8" s="101">
        <v>0.0</v>
      </c>
    </row>
    <row r="9" ht="12.75" customHeight="1">
      <c r="A9" s="50">
        <v>8.0</v>
      </c>
      <c r="B9" s="50" t="s">
        <v>8795</v>
      </c>
      <c r="C9" s="50" t="s">
        <v>779</v>
      </c>
      <c r="D9" s="50" t="s">
        <v>780</v>
      </c>
      <c r="E9" s="50" t="s">
        <v>8792</v>
      </c>
      <c r="F9" s="50" t="s">
        <v>770</v>
      </c>
      <c r="G9" s="50" t="s">
        <v>8805</v>
      </c>
      <c r="H9" s="966">
        <v>40179.0</v>
      </c>
      <c r="I9" s="50" t="s">
        <v>70</v>
      </c>
      <c r="J9" s="101">
        <v>1.9955E8</v>
      </c>
      <c r="K9" s="50">
        <v>0.0</v>
      </c>
      <c r="L9" s="50" t="s">
        <v>781</v>
      </c>
      <c r="M9" s="50"/>
      <c r="N9" s="50"/>
      <c r="O9" s="50" t="s">
        <v>474</v>
      </c>
      <c r="P9" s="50"/>
      <c r="Q9" s="50"/>
      <c r="R9" s="50" t="s">
        <v>772</v>
      </c>
      <c r="S9" s="50">
        <v>1.0</v>
      </c>
      <c r="T9" s="50">
        <v>7.0</v>
      </c>
      <c r="U9" s="50"/>
      <c r="V9" s="83" t="s">
        <v>814</v>
      </c>
      <c r="W9" s="83" t="s">
        <v>815</v>
      </c>
      <c r="X9" s="83" t="s">
        <v>816</v>
      </c>
      <c r="Y9" s="83" t="s">
        <v>817</v>
      </c>
      <c r="Z9" s="83" t="s">
        <v>777</v>
      </c>
      <c r="AA9" s="50"/>
      <c r="AB9" s="50" t="s">
        <v>818</v>
      </c>
      <c r="AC9" s="50"/>
      <c r="AD9" s="50"/>
      <c r="AE9" s="50" t="s">
        <v>8794</v>
      </c>
      <c r="AF9" s="50" t="s">
        <v>4470</v>
      </c>
      <c r="AG9" s="50"/>
      <c r="AH9" s="50"/>
      <c r="AI9" s="50"/>
      <c r="AJ9" s="50">
        <v>0.0</v>
      </c>
      <c r="AK9" s="101">
        <v>1.9955E8</v>
      </c>
      <c r="AL9" s="101">
        <v>0.0</v>
      </c>
      <c r="AM9" s="101">
        <v>1.9955E8</v>
      </c>
      <c r="AN9" s="101">
        <v>0.0</v>
      </c>
    </row>
    <row r="10" ht="12.75" customHeight="1">
      <c r="A10" s="50">
        <v>9.0</v>
      </c>
      <c r="B10" s="50" t="s">
        <v>8795</v>
      </c>
      <c r="C10" s="50" t="s">
        <v>779</v>
      </c>
      <c r="D10" s="50" t="s">
        <v>780</v>
      </c>
      <c r="E10" s="50" t="s">
        <v>8792</v>
      </c>
      <c r="F10" s="50" t="s">
        <v>770</v>
      </c>
      <c r="G10" s="50" t="s">
        <v>8806</v>
      </c>
      <c r="H10" s="966">
        <v>40909.0</v>
      </c>
      <c r="I10" s="50" t="s">
        <v>70</v>
      </c>
      <c r="J10" s="101">
        <v>1.41E8</v>
      </c>
      <c r="K10" s="50">
        <v>0.0</v>
      </c>
      <c r="L10" s="50" t="s">
        <v>781</v>
      </c>
      <c r="M10" s="50"/>
      <c r="N10" s="50"/>
      <c r="O10" s="50" t="s">
        <v>44</v>
      </c>
      <c r="P10" s="50"/>
      <c r="Q10" s="50"/>
      <c r="R10" s="50" t="s">
        <v>772</v>
      </c>
      <c r="S10" s="50">
        <v>1.0</v>
      </c>
      <c r="T10" s="50">
        <v>7.0</v>
      </c>
      <c r="U10" s="50"/>
      <c r="V10" s="29" t="s">
        <v>8807</v>
      </c>
      <c r="W10" s="50" t="s">
        <v>821</v>
      </c>
      <c r="X10" s="50" t="s">
        <v>822</v>
      </c>
      <c r="Y10" s="50">
        <v>0.0</v>
      </c>
      <c r="Z10" s="50"/>
      <c r="AA10" s="50"/>
      <c r="AB10" s="29" t="s">
        <v>8808</v>
      </c>
      <c r="AC10" s="50"/>
      <c r="AD10" s="50"/>
      <c r="AE10" s="50" t="s">
        <v>8794</v>
      </c>
      <c r="AF10" s="50" t="s">
        <v>4470</v>
      </c>
      <c r="AG10" s="50"/>
      <c r="AH10" s="50"/>
      <c r="AI10" s="50"/>
      <c r="AJ10" s="50">
        <v>0.0</v>
      </c>
      <c r="AK10" s="101">
        <v>1.41E8</v>
      </c>
      <c r="AL10" s="101">
        <v>0.0</v>
      </c>
      <c r="AM10" s="101">
        <v>1.41E8</v>
      </c>
      <c r="AN10" s="101">
        <v>0.0</v>
      </c>
    </row>
    <row r="11" ht="12.75" customHeight="1">
      <c r="A11" s="50">
        <v>10.0</v>
      </c>
      <c r="B11" s="50" t="s">
        <v>8795</v>
      </c>
      <c r="C11" s="50" t="s">
        <v>779</v>
      </c>
      <c r="D11" s="50" t="s">
        <v>780</v>
      </c>
      <c r="E11" s="50" t="s">
        <v>8792</v>
      </c>
      <c r="F11" s="50" t="s">
        <v>770</v>
      </c>
      <c r="G11" s="50" t="s">
        <v>8809</v>
      </c>
      <c r="H11" s="966">
        <v>40909.0</v>
      </c>
      <c r="I11" s="50" t="s">
        <v>70</v>
      </c>
      <c r="J11" s="101">
        <v>1.882E8</v>
      </c>
      <c r="K11" s="50">
        <v>0.0</v>
      </c>
      <c r="L11" s="50" t="s">
        <v>771</v>
      </c>
      <c r="M11" s="50"/>
      <c r="N11" s="50"/>
      <c r="O11" s="50" t="s">
        <v>44</v>
      </c>
      <c r="P11" s="50"/>
      <c r="Q11" s="50"/>
      <c r="R11" s="50" t="s">
        <v>772</v>
      </c>
      <c r="S11" s="50">
        <v>1.0</v>
      </c>
      <c r="T11" s="50">
        <v>7.0</v>
      </c>
      <c r="U11" s="50"/>
      <c r="V11" s="83" t="s">
        <v>8810</v>
      </c>
      <c r="W11" s="83" t="s">
        <v>827</v>
      </c>
      <c r="X11" s="83" t="s">
        <v>828</v>
      </c>
      <c r="Y11" s="83" t="s">
        <v>829</v>
      </c>
      <c r="Z11" s="83" t="s">
        <v>777</v>
      </c>
      <c r="AA11" s="50"/>
      <c r="AB11" s="50"/>
      <c r="AC11" s="50"/>
      <c r="AD11" s="50"/>
      <c r="AE11" s="50" t="s">
        <v>8794</v>
      </c>
      <c r="AF11" s="50" t="s">
        <v>4470</v>
      </c>
      <c r="AG11" s="50"/>
      <c r="AH11" s="50"/>
      <c r="AI11" s="50"/>
      <c r="AJ11" s="50">
        <v>0.0</v>
      </c>
      <c r="AK11" s="101">
        <v>1.882E8</v>
      </c>
      <c r="AL11" s="101">
        <v>0.0</v>
      </c>
      <c r="AM11" s="101">
        <v>1.882E8</v>
      </c>
      <c r="AN11" s="101">
        <v>0.0</v>
      </c>
    </row>
    <row r="12" ht="12.75" customHeight="1">
      <c r="A12" s="50">
        <v>11.0</v>
      </c>
      <c r="B12" s="50" t="s">
        <v>8795</v>
      </c>
      <c r="C12" s="50" t="s">
        <v>779</v>
      </c>
      <c r="D12" s="50" t="s">
        <v>780</v>
      </c>
      <c r="E12" s="50" t="s">
        <v>8792</v>
      </c>
      <c r="F12" s="50" t="s">
        <v>770</v>
      </c>
      <c r="G12" s="50" t="s">
        <v>8811</v>
      </c>
      <c r="H12" s="966">
        <v>40909.0</v>
      </c>
      <c r="I12" s="50" t="s">
        <v>70</v>
      </c>
      <c r="J12" s="101">
        <v>1.41E8</v>
      </c>
      <c r="K12" s="50">
        <v>0.0</v>
      </c>
      <c r="L12" s="50" t="s">
        <v>781</v>
      </c>
      <c r="M12" s="50"/>
      <c r="N12" s="50"/>
      <c r="O12" s="50" t="s">
        <v>44</v>
      </c>
      <c r="P12" s="50"/>
      <c r="Q12" s="50"/>
      <c r="R12" s="50" t="s">
        <v>772</v>
      </c>
      <c r="S12" s="50">
        <v>1.0</v>
      </c>
      <c r="T12" s="50">
        <v>7.0</v>
      </c>
      <c r="U12" s="50"/>
      <c r="V12" s="29" t="s">
        <v>8812</v>
      </c>
      <c r="W12" s="50" t="s">
        <v>832</v>
      </c>
      <c r="X12" s="50" t="s">
        <v>8813</v>
      </c>
      <c r="Y12" s="50">
        <v>0.0</v>
      </c>
      <c r="Z12" s="50"/>
      <c r="AA12" s="50"/>
      <c r="AB12" s="29" t="s">
        <v>8808</v>
      </c>
      <c r="AC12" s="50"/>
      <c r="AD12" s="50"/>
      <c r="AE12" s="50" t="s">
        <v>8794</v>
      </c>
      <c r="AF12" s="50" t="s">
        <v>4470</v>
      </c>
      <c r="AG12" s="50"/>
      <c r="AH12" s="50"/>
      <c r="AI12" s="50"/>
      <c r="AJ12" s="50">
        <v>0.0</v>
      </c>
      <c r="AK12" s="101">
        <v>1.41E8</v>
      </c>
      <c r="AL12" s="101">
        <v>0.0</v>
      </c>
      <c r="AM12" s="101">
        <v>1.41E8</v>
      </c>
      <c r="AN12" s="101">
        <v>0.0</v>
      </c>
    </row>
    <row r="13" ht="12.75" customHeight="1">
      <c r="A13" s="50">
        <v>12.0</v>
      </c>
      <c r="B13" s="50" t="s">
        <v>8795</v>
      </c>
      <c r="C13" s="50" t="s">
        <v>779</v>
      </c>
      <c r="D13" s="50" t="s">
        <v>780</v>
      </c>
      <c r="E13" s="50" t="s">
        <v>8792</v>
      </c>
      <c r="F13" s="50" t="s">
        <v>770</v>
      </c>
      <c r="G13" s="50" t="s">
        <v>8814</v>
      </c>
      <c r="H13" s="966">
        <v>41275.0</v>
      </c>
      <c r="I13" s="50" t="s">
        <v>70</v>
      </c>
      <c r="J13" s="101">
        <v>1.698E8</v>
      </c>
      <c r="K13" s="50">
        <v>0.0</v>
      </c>
      <c r="L13" s="50" t="s">
        <v>781</v>
      </c>
      <c r="M13" s="50"/>
      <c r="N13" s="50"/>
      <c r="O13" s="50" t="s">
        <v>92</v>
      </c>
      <c r="P13" s="50"/>
      <c r="Q13" s="50"/>
      <c r="R13" s="50" t="s">
        <v>772</v>
      </c>
      <c r="S13" s="50">
        <v>1.0</v>
      </c>
      <c r="T13" s="50">
        <v>7.0</v>
      </c>
      <c r="U13" s="50"/>
      <c r="V13" s="967" t="s">
        <v>8815</v>
      </c>
      <c r="W13" s="50" t="s">
        <v>836</v>
      </c>
      <c r="X13" s="50" t="s">
        <v>837</v>
      </c>
      <c r="Y13" s="50">
        <v>0.0</v>
      </c>
      <c r="Z13" s="50"/>
      <c r="AA13" s="50"/>
      <c r="AB13" s="50" t="s">
        <v>8816</v>
      </c>
      <c r="AC13" s="50"/>
      <c r="AD13" s="50"/>
      <c r="AE13" s="50" t="s">
        <v>8794</v>
      </c>
      <c r="AF13" s="50" t="s">
        <v>4470</v>
      </c>
      <c r="AG13" s="50"/>
      <c r="AH13" s="50"/>
      <c r="AI13" s="50"/>
      <c r="AJ13" s="50">
        <v>0.0</v>
      </c>
      <c r="AK13" s="101">
        <v>1.698E8</v>
      </c>
      <c r="AL13" s="101">
        <v>0.0</v>
      </c>
      <c r="AM13" s="101">
        <v>1.698E8</v>
      </c>
      <c r="AN13" s="101">
        <v>0.0</v>
      </c>
    </row>
    <row r="14" ht="12.75" customHeight="1">
      <c r="A14" s="50">
        <v>13.0</v>
      </c>
      <c r="B14" s="50" t="s">
        <v>8795</v>
      </c>
      <c r="C14" s="50" t="s">
        <v>779</v>
      </c>
      <c r="D14" s="50" t="s">
        <v>780</v>
      </c>
      <c r="E14" s="50" t="s">
        <v>8792</v>
      </c>
      <c r="F14" s="50" t="s">
        <v>770</v>
      </c>
      <c r="G14" s="50" t="s">
        <v>8817</v>
      </c>
      <c r="H14" s="966">
        <v>41275.0</v>
      </c>
      <c r="I14" s="50" t="s">
        <v>70</v>
      </c>
      <c r="J14" s="101">
        <v>1.698E8</v>
      </c>
      <c r="K14" s="50">
        <v>0.0</v>
      </c>
      <c r="L14" s="50" t="s">
        <v>781</v>
      </c>
      <c r="M14" s="50"/>
      <c r="N14" s="50"/>
      <c r="O14" s="50" t="s">
        <v>92</v>
      </c>
      <c r="P14" s="50"/>
      <c r="Q14" s="50"/>
      <c r="R14" s="50" t="s">
        <v>772</v>
      </c>
      <c r="S14" s="50">
        <v>1.0</v>
      </c>
      <c r="T14" s="50">
        <v>7.0</v>
      </c>
      <c r="U14" s="50"/>
      <c r="V14" s="968" t="s">
        <v>8818</v>
      </c>
      <c r="W14" s="50" t="s">
        <v>840</v>
      </c>
      <c r="X14" s="50" t="s">
        <v>841</v>
      </c>
      <c r="Y14" s="50">
        <v>0.0</v>
      </c>
      <c r="Z14" s="50"/>
      <c r="AA14" s="50"/>
      <c r="AB14" s="29" t="s">
        <v>8808</v>
      </c>
      <c r="AC14" s="50"/>
      <c r="AD14" s="50"/>
      <c r="AE14" s="50" t="s">
        <v>8794</v>
      </c>
      <c r="AF14" s="50" t="s">
        <v>4470</v>
      </c>
      <c r="AG14" s="50"/>
      <c r="AH14" s="50"/>
      <c r="AI14" s="50"/>
      <c r="AJ14" s="50">
        <v>0.0</v>
      </c>
      <c r="AK14" s="101">
        <v>1.698E8</v>
      </c>
      <c r="AL14" s="101">
        <v>0.0</v>
      </c>
      <c r="AM14" s="101">
        <v>1.698E8</v>
      </c>
      <c r="AN14" s="101">
        <v>0.0</v>
      </c>
    </row>
    <row r="15" ht="12.75" customHeight="1">
      <c r="A15" s="50">
        <v>14.0</v>
      </c>
      <c r="B15" s="50" t="s">
        <v>8795</v>
      </c>
      <c r="C15" s="50" t="s">
        <v>779</v>
      </c>
      <c r="D15" s="50" t="s">
        <v>780</v>
      </c>
      <c r="E15" s="50" t="s">
        <v>8792</v>
      </c>
      <c r="F15" s="50" t="s">
        <v>770</v>
      </c>
      <c r="G15" s="50" t="s">
        <v>8819</v>
      </c>
      <c r="H15" s="966">
        <v>41275.0</v>
      </c>
      <c r="I15" s="50" t="s">
        <v>70</v>
      </c>
      <c r="J15" s="101">
        <v>1.8605E8</v>
      </c>
      <c r="K15" s="50">
        <v>0.0</v>
      </c>
      <c r="L15" s="50" t="s">
        <v>781</v>
      </c>
      <c r="M15" s="50"/>
      <c r="N15" s="50"/>
      <c r="O15" s="50" t="s">
        <v>92</v>
      </c>
      <c r="P15" s="50"/>
      <c r="Q15" s="50"/>
      <c r="R15" s="50" t="s">
        <v>772</v>
      </c>
      <c r="S15" s="50">
        <v>1.0</v>
      </c>
      <c r="T15" s="50">
        <v>7.0</v>
      </c>
      <c r="U15" s="50"/>
      <c r="V15" s="83" t="s">
        <v>843</v>
      </c>
      <c r="W15" s="83" t="s">
        <v>844</v>
      </c>
      <c r="X15" s="83" t="s">
        <v>845</v>
      </c>
      <c r="Y15" s="83" t="s">
        <v>846</v>
      </c>
      <c r="Z15" s="83" t="s">
        <v>777</v>
      </c>
      <c r="AA15" s="50"/>
      <c r="AB15" s="50" t="s">
        <v>818</v>
      </c>
      <c r="AC15" s="50"/>
      <c r="AD15" s="50"/>
      <c r="AE15" s="50" t="s">
        <v>8794</v>
      </c>
      <c r="AF15" s="50" t="s">
        <v>4470</v>
      </c>
      <c r="AG15" s="50"/>
      <c r="AH15" s="50"/>
      <c r="AI15" s="50"/>
      <c r="AJ15" s="50">
        <v>0.0</v>
      </c>
      <c r="AK15" s="101">
        <v>1.8605E8</v>
      </c>
      <c r="AL15" s="101">
        <v>0.0</v>
      </c>
      <c r="AM15" s="101">
        <v>1.8605E8</v>
      </c>
      <c r="AN15" s="101">
        <v>0.0</v>
      </c>
    </row>
    <row r="16" ht="12.75" customHeight="1">
      <c r="A16" s="50">
        <v>15.0</v>
      </c>
      <c r="B16" s="50" t="s">
        <v>8795</v>
      </c>
      <c r="C16" s="50" t="s">
        <v>779</v>
      </c>
      <c r="D16" s="50" t="s">
        <v>780</v>
      </c>
      <c r="E16" s="50" t="s">
        <v>8792</v>
      </c>
      <c r="F16" s="50" t="s">
        <v>770</v>
      </c>
      <c r="G16" s="50" t="s">
        <v>8820</v>
      </c>
      <c r="H16" s="966">
        <v>41640.0</v>
      </c>
      <c r="I16" s="50" t="s">
        <v>70</v>
      </c>
      <c r="J16" s="101">
        <v>1.95E8</v>
      </c>
      <c r="K16" s="50">
        <v>0.0</v>
      </c>
      <c r="L16" s="50" t="s">
        <v>781</v>
      </c>
      <c r="M16" s="50"/>
      <c r="N16" s="50"/>
      <c r="O16" s="50" t="s">
        <v>58</v>
      </c>
      <c r="P16" s="50"/>
      <c r="Q16" s="50"/>
      <c r="R16" s="50" t="s">
        <v>772</v>
      </c>
      <c r="S16" s="50">
        <v>1.0</v>
      </c>
      <c r="T16" s="50">
        <v>7.0</v>
      </c>
      <c r="U16" s="50"/>
      <c r="V16" s="83" t="s">
        <v>847</v>
      </c>
      <c r="W16" s="83" t="s">
        <v>848</v>
      </c>
      <c r="X16" s="83" t="s">
        <v>849</v>
      </c>
      <c r="Y16" s="83" t="s">
        <v>850</v>
      </c>
      <c r="Z16" s="83" t="s">
        <v>777</v>
      </c>
      <c r="AA16" s="50"/>
      <c r="AB16" s="50"/>
      <c r="AC16" s="50"/>
      <c r="AD16" s="50"/>
      <c r="AE16" s="50" t="s">
        <v>8794</v>
      </c>
      <c r="AF16" s="50" t="s">
        <v>4470</v>
      </c>
      <c r="AG16" s="50"/>
      <c r="AH16" s="50"/>
      <c r="AI16" s="50"/>
      <c r="AJ16" s="50">
        <v>0.0</v>
      </c>
      <c r="AK16" s="101">
        <v>1.95E8</v>
      </c>
      <c r="AL16" s="101">
        <v>0.0</v>
      </c>
      <c r="AM16" s="101">
        <v>1.95E8</v>
      </c>
      <c r="AN16" s="101">
        <v>0.0</v>
      </c>
    </row>
    <row r="17" ht="12.75" customHeight="1">
      <c r="A17" s="50">
        <v>16.0</v>
      </c>
      <c r="B17" s="50" t="s">
        <v>8795</v>
      </c>
      <c r="C17" s="50" t="s">
        <v>779</v>
      </c>
      <c r="D17" s="50" t="s">
        <v>851</v>
      </c>
      <c r="E17" s="50" t="s">
        <v>8792</v>
      </c>
      <c r="F17" s="50" t="s">
        <v>770</v>
      </c>
      <c r="G17" s="50" t="s">
        <v>8821</v>
      </c>
      <c r="H17" s="966">
        <v>42736.0</v>
      </c>
      <c r="I17" s="50" t="s">
        <v>70</v>
      </c>
      <c r="J17" s="101">
        <v>2.178E8</v>
      </c>
      <c r="K17" s="50">
        <v>0.0</v>
      </c>
      <c r="L17" s="50"/>
      <c r="M17" s="50"/>
      <c r="N17" s="50"/>
      <c r="O17" s="50" t="s">
        <v>71</v>
      </c>
      <c r="P17" s="50"/>
      <c r="Q17" s="50"/>
      <c r="R17" s="50" t="s">
        <v>772</v>
      </c>
      <c r="S17" s="50">
        <v>1.0</v>
      </c>
      <c r="T17" s="50">
        <v>7.0</v>
      </c>
      <c r="U17" s="50"/>
      <c r="V17" s="83" t="s">
        <v>852</v>
      </c>
      <c r="W17" s="83" t="s">
        <v>853</v>
      </c>
      <c r="X17" s="83" t="s">
        <v>854</v>
      </c>
      <c r="Y17" s="83" t="s">
        <v>855</v>
      </c>
      <c r="Z17" s="83" t="s">
        <v>777</v>
      </c>
      <c r="AA17" s="50"/>
      <c r="AB17" s="50" t="s">
        <v>856</v>
      </c>
      <c r="AC17" s="50"/>
      <c r="AD17" s="50"/>
      <c r="AE17" s="50" t="s">
        <v>8794</v>
      </c>
      <c r="AF17" s="50" t="s">
        <v>4470</v>
      </c>
      <c r="AG17" s="50"/>
      <c r="AH17" s="50"/>
      <c r="AI17" s="50"/>
      <c r="AJ17" s="50">
        <v>0.0</v>
      </c>
      <c r="AK17" s="101">
        <v>2.178E8</v>
      </c>
      <c r="AL17" s="101">
        <v>0.0</v>
      </c>
      <c r="AM17" s="101">
        <v>2.178E8</v>
      </c>
      <c r="AN17" s="101">
        <v>0.0</v>
      </c>
    </row>
    <row r="18" ht="12.75" customHeight="1">
      <c r="A18" s="50">
        <v>17.0</v>
      </c>
      <c r="B18" s="50" t="s">
        <v>8795</v>
      </c>
      <c r="C18" s="50" t="s">
        <v>779</v>
      </c>
      <c r="D18" s="50" t="s">
        <v>857</v>
      </c>
      <c r="E18" s="50" t="s">
        <v>8792</v>
      </c>
      <c r="F18" s="50" t="s">
        <v>770</v>
      </c>
      <c r="G18" s="50" t="s">
        <v>8822</v>
      </c>
      <c r="H18" s="966">
        <v>43466.0</v>
      </c>
      <c r="I18" s="50" t="s">
        <v>70</v>
      </c>
      <c r="J18" s="101">
        <v>2.567E8</v>
      </c>
      <c r="K18" s="50">
        <v>0.0</v>
      </c>
      <c r="L18" s="50" t="s">
        <v>858</v>
      </c>
      <c r="M18" s="50"/>
      <c r="N18" s="50"/>
      <c r="O18" s="50" t="s">
        <v>78</v>
      </c>
      <c r="P18" s="50"/>
      <c r="Q18" s="50"/>
      <c r="R18" s="50" t="s">
        <v>772</v>
      </c>
      <c r="S18" s="50">
        <v>1.0</v>
      </c>
      <c r="T18" s="50">
        <v>7.0</v>
      </c>
      <c r="U18" s="50"/>
      <c r="V18" s="50"/>
      <c r="W18" s="50"/>
      <c r="X18" s="50"/>
      <c r="Y18" s="50">
        <v>0.0</v>
      </c>
      <c r="Z18" s="50"/>
      <c r="AA18" s="50"/>
      <c r="AB18" s="50" t="s">
        <v>860</v>
      </c>
      <c r="AC18" s="50"/>
      <c r="AD18" s="50"/>
      <c r="AE18" s="50" t="s">
        <v>8794</v>
      </c>
      <c r="AF18" s="50" t="s">
        <v>4470</v>
      </c>
      <c r="AG18" s="50"/>
      <c r="AH18" s="50"/>
      <c r="AI18" s="50"/>
      <c r="AJ18" s="50">
        <v>0.0</v>
      </c>
      <c r="AK18" s="101">
        <v>2.2002857143E8</v>
      </c>
      <c r="AL18" s="101">
        <v>3.667142857E7</v>
      </c>
      <c r="AM18" s="101">
        <v>2.567E8</v>
      </c>
      <c r="AN18" s="101">
        <v>0.0</v>
      </c>
    </row>
    <row r="19" ht="12.75" customHeight="1">
      <c r="A19" s="50">
        <v>18.0</v>
      </c>
      <c r="B19" s="50" t="s">
        <v>8795</v>
      </c>
      <c r="C19" s="50" t="s">
        <v>779</v>
      </c>
      <c r="D19" s="50" t="s">
        <v>861</v>
      </c>
      <c r="E19" s="50" t="s">
        <v>8792</v>
      </c>
      <c r="F19" s="50" t="s">
        <v>770</v>
      </c>
      <c r="G19" s="50" t="s">
        <v>8823</v>
      </c>
      <c r="H19" s="966">
        <v>43831.0</v>
      </c>
      <c r="I19" s="50" t="s">
        <v>70</v>
      </c>
      <c r="J19" s="101">
        <v>1.62E8</v>
      </c>
      <c r="K19" s="50">
        <v>0.0</v>
      </c>
      <c r="L19" s="50" t="s">
        <v>781</v>
      </c>
      <c r="M19" s="50"/>
      <c r="N19" s="50"/>
      <c r="O19" s="50" t="s">
        <v>862</v>
      </c>
      <c r="P19" s="50"/>
      <c r="Q19" s="50"/>
      <c r="R19" s="50" t="s">
        <v>772</v>
      </c>
      <c r="S19" s="50">
        <v>1.0</v>
      </c>
      <c r="T19" s="50">
        <v>7.0</v>
      </c>
      <c r="U19" s="50"/>
      <c r="V19" s="83" t="s">
        <v>863</v>
      </c>
      <c r="W19" s="83" t="s">
        <v>864</v>
      </c>
      <c r="X19" s="83" t="s">
        <v>865</v>
      </c>
      <c r="Y19" s="83" t="s">
        <v>866</v>
      </c>
      <c r="Z19" s="83" t="s">
        <v>777</v>
      </c>
      <c r="AA19" s="50"/>
      <c r="AB19" s="50"/>
      <c r="AC19" s="50"/>
      <c r="AD19" s="50"/>
      <c r="AE19" s="50" t="s">
        <v>8794</v>
      </c>
      <c r="AF19" s="50" t="s">
        <v>4470</v>
      </c>
      <c r="AG19" s="50"/>
      <c r="AH19" s="50"/>
      <c r="AI19" s="50"/>
      <c r="AJ19" s="50">
        <v>0.0</v>
      </c>
      <c r="AK19" s="101">
        <v>1.1571428571E8</v>
      </c>
      <c r="AL19" s="101">
        <v>2.314285714E7</v>
      </c>
      <c r="AM19" s="101">
        <v>1.3885714285E8</v>
      </c>
      <c r="AN19" s="101">
        <v>2.314285715E7</v>
      </c>
    </row>
    <row r="20" ht="12.75" customHeight="1">
      <c r="A20" s="50">
        <v>19.0</v>
      </c>
      <c r="B20" s="50" t="s">
        <v>8795</v>
      </c>
      <c r="C20" s="50" t="s">
        <v>779</v>
      </c>
      <c r="D20" s="50" t="s">
        <v>861</v>
      </c>
      <c r="E20" s="50" t="s">
        <v>8792</v>
      </c>
      <c r="F20" s="50" t="s">
        <v>770</v>
      </c>
      <c r="G20" s="50" t="s">
        <v>8824</v>
      </c>
      <c r="H20" s="966">
        <v>43831.0</v>
      </c>
      <c r="I20" s="50" t="s">
        <v>70</v>
      </c>
      <c r="J20" s="101">
        <v>4.13E8</v>
      </c>
      <c r="K20" s="50">
        <v>0.0</v>
      </c>
      <c r="L20" s="50" t="s">
        <v>781</v>
      </c>
      <c r="M20" s="50"/>
      <c r="N20" s="50"/>
      <c r="O20" s="50" t="s">
        <v>862</v>
      </c>
      <c r="P20" s="50"/>
      <c r="Q20" s="50"/>
      <c r="R20" s="50" t="s">
        <v>772</v>
      </c>
      <c r="S20" s="50">
        <v>1.0</v>
      </c>
      <c r="T20" s="50">
        <v>7.0</v>
      </c>
      <c r="U20" s="50"/>
      <c r="V20" s="50" t="s">
        <v>867</v>
      </c>
      <c r="W20" s="50" t="s">
        <v>868</v>
      </c>
      <c r="X20" s="50" t="s">
        <v>869</v>
      </c>
      <c r="Y20" s="50">
        <v>0.0</v>
      </c>
      <c r="Z20" s="50"/>
      <c r="AA20" s="50"/>
      <c r="AB20" s="50"/>
      <c r="AC20" s="50"/>
      <c r="AD20" s="50"/>
      <c r="AE20" s="50" t="s">
        <v>8794</v>
      </c>
      <c r="AF20" s="50" t="s">
        <v>4470</v>
      </c>
      <c r="AG20" s="50"/>
      <c r="AH20" s="50"/>
      <c r="AI20" s="50"/>
      <c r="AJ20" s="50">
        <v>0.0</v>
      </c>
      <c r="AK20" s="101">
        <v>2.95E8</v>
      </c>
      <c r="AL20" s="101">
        <v>5.9E7</v>
      </c>
      <c r="AM20" s="101">
        <v>3.54E8</v>
      </c>
      <c r="AN20" s="101">
        <v>5.9E7</v>
      </c>
    </row>
    <row r="21" ht="12.75" customHeight="1">
      <c r="A21" s="50">
        <v>20.0</v>
      </c>
      <c r="B21" s="50" t="s">
        <v>8795</v>
      </c>
      <c r="C21" s="50" t="s">
        <v>779</v>
      </c>
      <c r="D21" s="50" t="s">
        <v>861</v>
      </c>
      <c r="E21" s="50" t="s">
        <v>8792</v>
      </c>
      <c r="F21" s="50" t="s">
        <v>770</v>
      </c>
      <c r="G21" s="50" t="s">
        <v>8825</v>
      </c>
      <c r="H21" s="966">
        <v>43831.0</v>
      </c>
      <c r="I21" s="50" t="s">
        <v>70</v>
      </c>
      <c r="J21" s="101">
        <v>3.47E8</v>
      </c>
      <c r="K21" s="50">
        <v>0.0</v>
      </c>
      <c r="L21" s="50" t="s">
        <v>781</v>
      </c>
      <c r="M21" s="50"/>
      <c r="N21" s="50"/>
      <c r="O21" s="50" t="s">
        <v>862</v>
      </c>
      <c r="P21" s="50"/>
      <c r="Q21" s="50"/>
      <c r="R21" s="50" t="s">
        <v>772</v>
      </c>
      <c r="S21" s="50">
        <v>1.0</v>
      </c>
      <c r="T21" s="50">
        <v>7.0</v>
      </c>
      <c r="U21" s="50"/>
      <c r="V21" s="50" t="s">
        <v>871</v>
      </c>
      <c r="W21" s="50" t="s">
        <v>872</v>
      </c>
      <c r="X21" s="50" t="s">
        <v>873</v>
      </c>
      <c r="Y21" s="50">
        <v>0.0</v>
      </c>
      <c r="Z21" s="50"/>
      <c r="AA21" s="50"/>
      <c r="AB21" s="50"/>
      <c r="AC21" s="50"/>
      <c r="AD21" s="50"/>
      <c r="AE21" s="50" t="s">
        <v>8794</v>
      </c>
      <c r="AF21" s="50" t="s">
        <v>4470</v>
      </c>
      <c r="AG21" s="50"/>
      <c r="AH21" s="50"/>
      <c r="AI21" s="50"/>
      <c r="AJ21" s="50">
        <v>0.0</v>
      </c>
      <c r="AK21" s="101">
        <v>2.4785714286E8</v>
      </c>
      <c r="AL21" s="101">
        <v>4.957142857E7</v>
      </c>
      <c r="AM21" s="101">
        <v>2.9742857143E8</v>
      </c>
      <c r="AN21" s="101">
        <v>4.957142857E7</v>
      </c>
    </row>
    <row r="22" ht="12.75" customHeight="1">
      <c r="A22" s="50">
        <v>21.0</v>
      </c>
      <c r="B22" s="50" t="s">
        <v>8795</v>
      </c>
      <c r="C22" s="50" t="s">
        <v>875</v>
      </c>
      <c r="D22" s="50" t="s">
        <v>876</v>
      </c>
      <c r="E22" s="50" t="s">
        <v>8792</v>
      </c>
      <c r="F22" s="50" t="s">
        <v>770</v>
      </c>
      <c r="G22" s="50" t="s">
        <v>8826</v>
      </c>
      <c r="H22" s="966">
        <v>45393.0</v>
      </c>
      <c r="I22" s="50" t="s">
        <v>70</v>
      </c>
      <c r="J22" s="101">
        <v>1.1E9</v>
      </c>
      <c r="K22" s="50">
        <v>0.0</v>
      </c>
      <c r="L22" s="50"/>
      <c r="M22" s="50"/>
      <c r="N22" s="50"/>
      <c r="O22" s="50" t="s">
        <v>611</v>
      </c>
      <c r="P22" s="50" t="s">
        <v>8827</v>
      </c>
      <c r="Q22" s="50"/>
      <c r="R22" s="50" t="s">
        <v>772</v>
      </c>
      <c r="S22" s="50">
        <v>1.0</v>
      </c>
      <c r="T22" s="50">
        <v>7.0</v>
      </c>
      <c r="U22" s="50"/>
      <c r="V22" s="83" t="s">
        <v>878</v>
      </c>
      <c r="W22" s="83" t="s">
        <v>879</v>
      </c>
      <c r="X22" s="83" t="s">
        <v>880</v>
      </c>
      <c r="Y22" s="83" t="s">
        <v>881</v>
      </c>
      <c r="Z22" s="83" t="s">
        <v>777</v>
      </c>
      <c r="AA22" s="50"/>
      <c r="AB22" s="50" t="s">
        <v>824</v>
      </c>
      <c r="AC22" s="50" t="s">
        <v>8828</v>
      </c>
      <c r="AD22" s="50"/>
      <c r="AE22" s="50" t="s">
        <v>4469</v>
      </c>
      <c r="AF22" s="50" t="s">
        <v>8829</v>
      </c>
      <c r="AG22" s="50"/>
      <c r="AH22" s="50"/>
      <c r="AI22" s="50" t="s">
        <v>824</v>
      </c>
      <c r="AJ22" s="50">
        <v>0.0</v>
      </c>
      <c r="AK22" s="101">
        <v>1.5714285714E8</v>
      </c>
      <c r="AL22" s="101">
        <v>1.5714285714E8</v>
      </c>
      <c r="AM22" s="101">
        <v>3.1428571428E8</v>
      </c>
      <c r="AN22" s="101">
        <v>7.8571428572E8</v>
      </c>
    </row>
    <row r="23" ht="12.75" customHeight="1">
      <c r="A23" s="50">
        <v>22.0</v>
      </c>
      <c r="B23" s="50" t="s">
        <v>8795</v>
      </c>
      <c r="C23" s="50" t="s">
        <v>883</v>
      </c>
      <c r="D23" s="50" t="s">
        <v>884</v>
      </c>
      <c r="E23" s="50" t="s">
        <v>8792</v>
      </c>
      <c r="F23" s="50" t="s">
        <v>770</v>
      </c>
      <c r="G23" s="50" t="s">
        <v>8830</v>
      </c>
      <c r="H23" s="966">
        <v>45998.0</v>
      </c>
      <c r="I23" s="50" t="s">
        <v>70</v>
      </c>
      <c r="J23" s="101">
        <v>3.498E8</v>
      </c>
      <c r="K23" s="50">
        <v>0.0</v>
      </c>
      <c r="L23" s="50" t="s">
        <v>885</v>
      </c>
      <c r="M23" s="50"/>
      <c r="N23" s="50" t="s">
        <v>886</v>
      </c>
      <c r="O23" s="50" t="s">
        <v>887</v>
      </c>
      <c r="P23" s="50" t="s">
        <v>8827</v>
      </c>
      <c r="Q23" s="50"/>
      <c r="R23" s="50" t="s">
        <v>772</v>
      </c>
      <c r="S23" s="50">
        <v>1.0</v>
      </c>
      <c r="T23" s="50">
        <v>7.0</v>
      </c>
      <c r="U23" s="50"/>
      <c r="V23" s="50" t="s">
        <v>888</v>
      </c>
      <c r="W23" s="50" t="s">
        <v>889</v>
      </c>
      <c r="X23" s="50"/>
      <c r="Y23" s="50">
        <v>0.0</v>
      </c>
      <c r="Z23" s="50"/>
      <c r="AA23" s="50"/>
      <c r="AB23" s="50" t="s">
        <v>892</v>
      </c>
      <c r="AC23" s="50" t="s">
        <v>8831</v>
      </c>
      <c r="AD23" s="50"/>
      <c r="AE23" s="50" t="s">
        <v>4469</v>
      </c>
      <c r="AF23" s="50" t="s">
        <v>8829</v>
      </c>
      <c r="AG23" s="50"/>
      <c r="AH23" s="50"/>
      <c r="AI23" s="50" t="s">
        <v>892</v>
      </c>
      <c r="AJ23" s="50">
        <v>0.0</v>
      </c>
      <c r="AK23" s="101">
        <v>0.0</v>
      </c>
      <c r="AL23" s="101">
        <v>4.997142857E7</v>
      </c>
      <c r="AM23" s="101">
        <v>4.997142857E7</v>
      </c>
      <c r="AN23" s="101">
        <v>2.9982857143E8</v>
      </c>
    </row>
    <row r="24" ht="12.75" customHeight="1">
      <c r="A24" s="50">
        <v>23.0</v>
      </c>
      <c r="B24" s="50" t="s">
        <v>8795</v>
      </c>
      <c r="C24" s="50" t="s">
        <v>883</v>
      </c>
      <c r="D24" s="50" t="s">
        <v>884</v>
      </c>
      <c r="E24" s="50" t="s">
        <v>8792</v>
      </c>
      <c r="F24" s="50" t="s">
        <v>770</v>
      </c>
      <c r="G24" s="50" t="s">
        <v>8832</v>
      </c>
      <c r="H24" s="966">
        <v>45998.0</v>
      </c>
      <c r="I24" s="50" t="s">
        <v>70</v>
      </c>
      <c r="J24" s="101">
        <v>3.498E8</v>
      </c>
      <c r="K24" s="50">
        <v>0.0</v>
      </c>
      <c r="L24" s="50" t="s">
        <v>885</v>
      </c>
      <c r="M24" s="50"/>
      <c r="N24" s="50" t="s">
        <v>886</v>
      </c>
      <c r="O24" s="50" t="s">
        <v>887</v>
      </c>
      <c r="P24" s="50" t="s">
        <v>8827</v>
      </c>
      <c r="Q24" s="50"/>
      <c r="R24" s="50" t="s">
        <v>772</v>
      </c>
      <c r="S24" s="50">
        <v>1.0</v>
      </c>
      <c r="T24" s="50">
        <v>7.0</v>
      </c>
      <c r="U24" s="50"/>
      <c r="V24" s="50" t="s">
        <v>893</v>
      </c>
      <c r="W24" s="50" t="s">
        <v>894</v>
      </c>
      <c r="X24" s="50"/>
      <c r="Y24" s="50">
        <v>0.0</v>
      </c>
      <c r="Z24" s="50"/>
      <c r="AA24" s="50"/>
      <c r="AB24" s="50" t="s">
        <v>892</v>
      </c>
      <c r="AC24" s="50" t="s">
        <v>8831</v>
      </c>
      <c r="AD24" s="50"/>
      <c r="AE24" s="50" t="s">
        <v>4469</v>
      </c>
      <c r="AF24" s="50" t="s">
        <v>8829</v>
      </c>
      <c r="AG24" s="50"/>
      <c r="AH24" s="50"/>
      <c r="AI24" s="50" t="s">
        <v>892</v>
      </c>
      <c r="AJ24" s="50">
        <v>0.0</v>
      </c>
      <c r="AK24" s="101">
        <v>0.0</v>
      </c>
      <c r="AL24" s="101">
        <v>4.997142857E7</v>
      </c>
      <c r="AM24" s="101">
        <v>4.997142857E7</v>
      </c>
      <c r="AN24" s="101">
        <v>2.9982857143E8</v>
      </c>
    </row>
    <row r="25" ht="12.75" customHeight="1">
      <c r="A25" s="50">
        <v>24.0</v>
      </c>
      <c r="B25" s="50" t="s">
        <v>8795</v>
      </c>
      <c r="C25" s="50" t="s">
        <v>883</v>
      </c>
      <c r="D25" s="50" t="s">
        <v>884</v>
      </c>
      <c r="E25" s="50" t="s">
        <v>8792</v>
      </c>
      <c r="F25" s="50" t="s">
        <v>770</v>
      </c>
      <c r="G25" s="50" t="s">
        <v>8833</v>
      </c>
      <c r="H25" s="966">
        <v>45998.0</v>
      </c>
      <c r="I25" s="50" t="s">
        <v>70</v>
      </c>
      <c r="J25" s="101">
        <v>3.498E8</v>
      </c>
      <c r="K25" s="50">
        <v>0.0</v>
      </c>
      <c r="L25" s="50" t="s">
        <v>885</v>
      </c>
      <c r="M25" s="50"/>
      <c r="N25" s="50" t="s">
        <v>886</v>
      </c>
      <c r="O25" s="50" t="s">
        <v>887</v>
      </c>
      <c r="P25" s="50" t="s">
        <v>8827</v>
      </c>
      <c r="Q25" s="50"/>
      <c r="R25" s="50" t="s">
        <v>772</v>
      </c>
      <c r="S25" s="50">
        <v>1.0</v>
      </c>
      <c r="T25" s="50">
        <v>7.0</v>
      </c>
      <c r="U25" s="50"/>
      <c r="V25" s="50" t="s">
        <v>896</v>
      </c>
      <c r="W25" s="50" t="s">
        <v>897</v>
      </c>
      <c r="X25" s="50"/>
      <c r="Y25" s="50">
        <v>0.0</v>
      </c>
      <c r="Z25" s="50"/>
      <c r="AA25" s="50"/>
      <c r="AB25" s="50" t="s">
        <v>892</v>
      </c>
      <c r="AC25" s="50" t="s">
        <v>8831</v>
      </c>
      <c r="AD25" s="50"/>
      <c r="AE25" s="50" t="s">
        <v>4469</v>
      </c>
      <c r="AF25" s="50" t="s">
        <v>8829</v>
      </c>
      <c r="AG25" s="50"/>
      <c r="AH25" s="50"/>
      <c r="AI25" s="50" t="s">
        <v>892</v>
      </c>
      <c r="AJ25" s="50">
        <v>0.0</v>
      </c>
      <c r="AK25" s="101">
        <v>0.0</v>
      </c>
      <c r="AL25" s="101">
        <v>4.997142857E7</v>
      </c>
      <c r="AM25" s="101">
        <v>4.997142857E7</v>
      </c>
      <c r="AN25" s="101">
        <v>2.9982857143E8</v>
      </c>
    </row>
    <row r="26" ht="12.75" customHeight="1">
      <c r="A26" s="50">
        <v>25.0</v>
      </c>
      <c r="B26" s="50" t="s">
        <v>8795</v>
      </c>
      <c r="C26" s="50" t="s">
        <v>883</v>
      </c>
      <c r="D26" s="50" t="s">
        <v>900</v>
      </c>
      <c r="E26" s="50" t="s">
        <v>8792</v>
      </c>
      <c r="F26" s="50" t="s">
        <v>770</v>
      </c>
      <c r="G26" s="50" t="s">
        <v>8834</v>
      </c>
      <c r="H26" s="966">
        <v>45998.0</v>
      </c>
      <c r="I26" s="50" t="s">
        <v>70</v>
      </c>
      <c r="J26" s="101">
        <v>6.498E8</v>
      </c>
      <c r="K26" s="50">
        <v>0.0</v>
      </c>
      <c r="L26" s="50" t="s">
        <v>885</v>
      </c>
      <c r="M26" s="50"/>
      <c r="N26" s="50" t="s">
        <v>886</v>
      </c>
      <c r="O26" s="50" t="s">
        <v>887</v>
      </c>
      <c r="P26" s="50" t="s">
        <v>8827</v>
      </c>
      <c r="Q26" s="50"/>
      <c r="R26" s="50" t="s">
        <v>772</v>
      </c>
      <c r="S26" s="50">
        <v>1.0</v>
      </c>
      <c r="T26" s="50">
        <v>7.0</v>
      </c>
      <c r="U26" s="50"/>
      <c r="V26" s="50" t="s">
        <v>903</v>
      </c>
      <c r="W26" s="50" t="s">
        <v>904</v>
      </c>
      <c r="X26" s="50"/>
      <c r="Y26" s="50">
        <v>0.0</v>
      </c>
      <c r="Z26" s="50"/>
      <c r="AA26" s="50"/>
      <c r="AB26" s="50" t="s">
        <v>892</v>
      </c>
      <c r="AC26" s="50" t="s">
        <v>8831</v>
      </c>
      <c r="AD26" s="50"/>
      <c r="AE26" s="50" t="s">
        <v>4469</v>
      </c>
      <c r="AF26" s="50" t="s">
        <v>8829</v>
      </c>
      <c r="AG26" s="50"/>
      <c r="AH26" s="50"/>
      <c r="AI26" s="50" t="s">
        <v>892</v>
      </c>
      <c r="AJ26" s="50">
        <v>0.0</v>
      </c>
      <c r="AK26" s="101">
        <v>0.0</v>
      </c>
      <c r="AL26" s="101">
        <v>9.282857143E7</v>
      </c>
      <c r="AM26" s="101">
        <v>9.282857143E7</v>
      </c>
      <c r="AN26" s="101">
        <v>5.5697142857E8</v>
      </c>
    </row>
    <row r="27" ht="12.75" customHeight="1">
      <c r="A27" s="50">
        <v>26.0</v>
      </c>
      <c r="B27" s="50" t="s">
        <v>8835</v>
      </c>
      <c r="C27" s="50" t="s">
        <v>908</v>
      </c>
      <c r="D27" s="50" t="s">
        <v>909</v>
      </c>
      <c r="E27" s="50" t="s">
        <v>8792</v>
      </c>
      <c r="F27" s="50" t="s">
        <v>770</v>
      </c>
      <c r="G27" s="50" t="s">
        <v>8836</v>
      </c>
      <c r="H27" s="966">
        <v>42370.0</v>
      </c>
      <c r="I27" s="50" t="s">
        <v>70</v>
      </c>
      <c r="J27" s="101">
        <v>2.0980216E8</v>
      </c>
      <c r="K27" s="50">
        <v>0.0</v>
      </c>
      <c r="L27" s="50" t="s">
        <v>858</v>
      </c>
      <c r="M27" s="50"/>
      <c r="N27" s="50"/>
      <c r="O27" s="50" t="s">
        <v>910</v>
      </c>
      <c r="P27" s="50"/>
      <c r="Q27" s="50"/>
      <c r="R27" s="50" t="s">
        <v>772</v>
      </c>
      <c r="S27" s="50">
        <v>1.0</v>
      </c>
      <c r="T27" s="50">
        <v>7.0</v>
      </c>
      <c r="U27" s="50"/>
      <c r="V27" s="83" t="s">
        <v>911</v>
      </c>
      <c r="W27" s="83" t="s">
        <v>912</v>
      </c>
      <c r="X27" s="83" t="s">
        <v>913</v>
      </c>
      <c r="Y27" s="83" t="s">
        <v>914</v>
      </c>
      <c r="Z27" s="83" t="s">
        <v>777</v>
      </c>
      <c r="AA27" s="50"/>
      <c r="AB27" s="50" t="s">
        <v>915</v>
      </c>
      <c r="AC27" s="50"/>
      <c r="AD27" s="50"/>
      <c r="AE27" s="50" t="s">
        <v>8794</v>
      </c>
      <c r="AF27" s="50" t="s">
        <v>4470</v>
      </c>
      <c r="AG27" s="50"/>
      <c r="AH27" s="50"/>
      <c r="AI27" s="50"/>
      <c r="AJ27" s="50">
        <v>0.0</v>
      </c>
      <c r="AK27" s="101">
        <v>2.0980216E8</v>
      </c>
      <c r="AL27" s="101">
        <v>0.0</v>
      </c>
      <c r="AM27" s="101">
        <v>2.0980216E8</v>
      </c>
      <c r="AN27" s="101">
        <v>0.0</v>
      </c>
    </row>
    <row r="28" ht="12.75" customHeight="1">
      <c r="A28" s="50">
        <v>27.0</v>
      </c>
      <c r="B28" s="50" t="s">
        <v>8837</v>
      </c>
      <c r="C28" s="50" t="s">
        <v>916</v>
      </c>
      <c r="D28" s="50" t="s">
        <v>917</v>
      </c>
      <c r="E28" s="50" t="s">
        <v>8792</v>
      </c>
      <c r="F28" s="50" t="s">
        <v>770</v>
      </c>
      <c r="G28" s="50" t="s">
        <v>8838</v>
      </c>
      <c r="H28" s="966">
        <v>33604.0</v>
      </c>
      <c r="I28" s="50" t="s">
        <v>70</v>
      </c>
      <c r="J28" s="101">
        <v>5.4817E7</v>
      </c>
      <c r="K28" s="50">
        <v>0.0</v>
      </c>
      <c r="L28" s="50" t="s">
        <v>858</v>
      </c>
      <c r="M28" s="50"/>
      <c r="N28" s="50"/>
      <c r="O28" s="50" t="s">
        <v>918</v>
      </c>
      <c r="P28" s="50"/>
      <c r="Q28" s="50"/>
      <c r="R28" s="50" t="s">
        <v>772</v>
      </c>
      <c r="S28" s="50">
        <v>1.0</v>
      </c>
      <c r="T28" s="50">
        <v>7.0</v>
      </c>
      <c r="U28" s="50"/>
      <c r="V28" s="83" t="s">
        <v>919</v>
      </c>
      <c r="W28" s="83" t="s">
        <v>920</v>
      </c>
      <c r="X28" s="83" t="s">
        <v>921</v>
      </c>
      <c r="Y28" s="83">
        <v>9190860.0</v>
      </c>
      <c r="Z28" s="83" t="s">
        <v>777</v>
      </c>
      <c r="AA28" s="50"/>
      <c r="AB28" s="50" t="s">
        <v>8839</v>
      </c>
      <c r="AC28" s="50"/>
      <c r="AD28" s="50"/>
      <c r="AE28" s="50" t="s">
        <v>8794</v>
      </c>
      <c r="AF28" s="50" t="s">
        <v>4470</v>
      </c>
      <c r="AG28" s="50"/>
      <c r="AH28" s="50"/>
      <c r="AI28" s="50"/>
      <c r="AJ28" s="50">
        <v>0.0</v>
      </c>
      <c r="AK28" s="101">
        <v>5.4817E7</v>
      </c>
      <c r="AL28" s="101">
        <v>0.0</v>
      </c>
      <c r="AM28" s="101">
        <v>5.4817E7</v>
      </c>
      <c r="AN28" s="101">
        <v>0.0</v>
      </c>
    </row>
    <row r="29" ht="12.75" customHeight="1">
      <c r="A29" s="50">
        <v>28.0</v>
      </c>
      <c r="B29" s="50" t="s">
        <v>8837</v>
      </c>
      <c r="C29" s="50" t="s">
        <v>916</v>
      </c>
      <c r="D29" s="50" t="s">
        <v>923</v>
      </c>
      <c r="E29" s="50" t="s">
        <v>8792</v>
      </c>
      <c r="F29" s="50" t="s">
        <v>770</v>
      </c>
      <c r="G29" s="50" t="s">
        <v>8840</v>
      </c>
      <c r="H29" s="966">
        <v>37622.0</v>
      </c>
      <c r="I29" s="50" t="s">
        <v>70</v>
      </c>
      <c r="J29" s="101">
        <v>1.1675E8</v>
      </c>
      <c r="K29" s="50">
        <v>0.0</v>
      </c>
      <c r="L29" s="50" t="s">
        <v>781</v>
      </c>
      <c r="M29" s="50"/>
      <c r="N29" s="50"/>
      <c r="O29" s="50" t="s">
        <v>924</v>
      </c>
      <c r="P29" s="50"/>
      <c r="Q29" s="50"/>
      <c r="R29" s="50" t="s">
        <v>772</v>
      </c>
      <c r="S29" s="50">
        <v>1.0</v>
      </c>
      <c r="T29" s="50">
        <v>7.0</v>
      </c>
      <c r="U29" s="50"/>
      <c r="V29" s="83" t="s">
        <v>925</v>
      </c>
      <c r="W29" s="83" t="s">
        <v>926</v>
      </c>
      <c r="X29" s="83" t="s">
        <v>927</v>
      </c>
      <c r="Y29" s="83" t="s">
        <v>928</v>
      </c>
      <c r="Z29" s="83" t="s">
        <v>777</v>
      </c>
      <c r="AA29" s="50"/>
      <c r="AB29" s="50" t="s">
        <v>8841</v>
      </c>
      <c r="AC29" s="50"/>
      <c r="AD29" s="50"/>
      <c r="AE29" s="50" t="s">
        <v>8794</v>
      </c>
      <c r="AF29" s="50" t="s">
        <v>4470</v>
      </c>
      <c r="AG29" s="50"/>
      <c r="AH29" s="50"/>
      <c r="AI29" s="50"/>
      <c r="AJ29" s="50">
        <v>0.0</v>
      </c>
      <c r="AK29" s="101">
        <v>1.1675E8</v>
      </c>
      <c r="AL29" s="101">
        <v>0.0</v>
      </c>
      <c r="AM29" s="101">
        <v>1.1675E8</v>
      </c>
      <c r="AN29" s="101">
        <v>0.0</v>
      </c>
    </row>
    <row r="30" ht="12.75" customHeight="1">
      <c r="A30" s="50">
        <v>29.0</v>
      </c>
      <c r="B30" s="50" t="s">
        <v>8837</v>
      </c>
      <c r="C30" s="50" t="s">
        <v>916</v>
      </c>
      <c r="D30" s="50" t="s">
        <v>923</v>
      </c>
      <c r="E30" s="50" t="s">
        <v>8792</v>
      </c>
      <c r="F30" s="50" t="s">
        <v>770</v>
      </c>
      <c r="G30" s="50" t="s">
        <v>8842</v>
      </c>
      <c r="H30" s="966">
        <v>37622.0</v>
      </c>
      <c r="I30" s="50" t="s">
        <v>70</v>
      </c>
      <c r="J30" s="101">
        <v>1.16E8</v>
      </c>
      <c r="K30" s="50">
        <v>0.0</v>
      </c>
      <c r="L30" s="50" t="s">
        <v>781</v>
      </c>
      <c r="M30" s="50"/>
      <c r="N30" s="50"/>
      <c r="O30" s="50" t="s">
        <v>924</v>
      </c>
      <c r="P30" s="50"/>
      <c r="Q30" s="50"/>
      <c r="R30" s="50" t="s">
        <v>772</v>
      </c>
      <c r="S30" s="50">
        <v>1.0</v>
      </c>
      <c r="T30" s="50">
        <v>7.0</v>
      </c>
      <c r="U30" s="50"/>
      <c r="V30" s="50" t="s">
        <v>932</v>
      </c>
      <c r="W30" s="50" t="s">
        <v>933</v>
      </c>
      <c r="X30" s="50" t="s">
        <v>927</v>
      </c>
      <c r="Y30" s="50">
        <v>0.0</v>
      </c>
      <c r="Z30" s="50"/>
      <c r="AA30" s="50"/>
      <c r="AB30" s="50" t="s">
        <v>934</v>
      </c>
      <c r="AC30" s="50"/>
      <c r="AD30" s="50"/>
      <c r="AE30" s="50" t="s">
        <v>8794</v>
      </c>
      <c r="AF30" s="50" t="s">
        <v>4470</v>
      </c>
      <c r="AG30" s="50"/>
      <c r="AH30" s="50"/>
      <c r="AI30" s="50"/>
      <c r="AJ30" s="50">
        <v>0.0</v>
      </c>
      <c r="AK30" s="101">
        <v>1.16E8</v>
      </c>
      <c r="AL30" s="101">
        <v>0.0</v>
      </c>
      <c r="AM30" s="101">
        <v>1.16E8</v>
      </c>
      <c r="AN30" s="101">
        <v>0.0</v>
      </c>
    </row>
    <row r="31" ht="12.75" customHeight="1">
      <c r="A31" s="50">
        <v>30.0</v>
      </c>
      <c r="B31" s="50" t="s">
        <v>8837</v>
      </c>
      <c r="C31" s="50" t="s">
        <v>916</v>
      </c>
      <c r="D31" s="50" t="s">
        <v>917</v>
      </c>
      <c r="E31" s="50" t="s">
        <v>8792</v>
      </c>
      <c r="F31" s="50" t="s">
        <v>770</v>
      </c>
      <c r="G31" s="50" t="s">
        <v>8843</v>
      </c>
      <c r="H31" s="966">
        <v>37987.0</v>
      </c>
      <c r="I31" s="50" t="s">
        <v>70</v>
      </c>
      <c r="J31" s="101">
        <v>1.75E8</v>
      </c>
      <c r="K31" s="50">
        <v>0.0</v>
      </c>
      <c r="L31" s="50" t="s">
        <v>781</v>
      </c>
      <c r="M31" s="50"/>
      <c r="N31" s="50"/>
      <c r="O31" s="50" t="s">
        <v>788</v>
      </c>
      <c r="P31" s="50"/>
      <c r="Q31" s="50"/>
      <c r="R31" s="50" t="s">
        <v>772</v>
      </c>
      <c r="S31" s="50">
        <v>1.0</v>
      </c>
      <c r="T31" s="50">
        <v>7.0</v>
      </c>
      <c r="U31" s="50"/>
      <c r="V31" s="83" t="s">
        <v>937</v>
      </c>
      <c r="W31" s="83" t="s">
        <v>938</v>
      </c>
      <c r="X31" s="83" t="s">
        <v>939</v>
      </c>
      <c r="Y31" s="83" t="s">
        <v>940</v>
      </c>
      <c r="Z31" s="83" t="s">
        <v>777</v>
      </c>
      <c r="AA31" s="50"/>
      <c r="AB31" s="50" t="s">
        <v>941</v>
      </c>
      <c r="AC31" s="50"/>
      <c r="AD31" s="50"/>
      <c r="AE31" s="50" t="s">
        <v>8794</v>
      </c>
      <c r="AF31" s="50" t="s">
        <v>4470</v>
      </c>
      <c r="AG31" s="50"/>
      <c r="AH31" s="50"/>
      <c r="AI31" s="50"/>
      <c r="AJ31" s="50">
        <v>0.0</v>
      </c>
      <c r="AK31" s="101">
        <v>1.75E8</v>
      </c>
      <c r="AL31" s="101">
        <v>0.0</v>
      </c>
      <c r="AM31" s="101">
        <v>1.75E8</v>
      </c>
      <c r="AN31" s="101">
        <v>0.0</v>
      </c>
    </row>
    <row r="32" ht="12.75" customHeight="1">
      <c r="A32" s="50">
        <v>31.0</v>
      </c>
      <c r="B32" s="50" t="s">
        <v>8837</v>
      </c>
      <c r="C32" s="50" t="s">
        <v>916</v>
      </c>
      <c r="D32" s="50" t="s">
        <v>942</v>
      </c>
      <c r="E32" s="50" t="s">
        <v>8792</v>
      </c>
      <c r="F32" s="50" t="s">
        <v>770</v>
      </c>
      <c r="G32" s="50" t="s">
        <v>8844</v>
      </c>
      <c r="H32" s="966">
        <v>37987.0</v>
      </c>
      <c r="I32" s="50" t="s">
        <v>70</v>
      </c>
      <c r="J32" s="101">
        <v>8.0E7</v>
      </c>
      <c r="K32" s="50">
        <v>0.0</v>
      </c>
      <c r="L32" s="50" t="s">
        <v>781</v>
      </c>
      <c r="M32" s="50"/>
      <c r="N32" s="50"/>
      <c r="O32" s="50" t="s">
        <v>788</v>
      </c>
      <c r="P32" s="50"/>
      <c r="Q32" s="50"/>
      <c r="R32" s="50" t="s">
        <v>772</v>
      </c>
      <c r="S32" s="50">
        <v>1.0</v>
      </c>
      <c r="T32" s="50">
        <v>7.0</v>
      </c>
      <c r="U32" s="50"/>
      <c r="V32" s="29" t="s">
        <v>8845</v>
      </c>
      <c r="W32" s="50" t="s">
        <v>944</v>
      </c>
      <c r="X32" s="50" t="s">
        <v>945</v>
      </c>
      <c r="Y32" s="50">
        <v>0.0</v>
      </c>
      <c r="Z32" s="50"/>
      <c r="AA32" s="50"/>
      <c r="AB32" s="29" t="s">
        <v>8808</v>
      </c>
      <c r="AC32" s="50"/>
      <c r="AD32" s="50"/>
      <c r="AE32" s="50" t="s">
        <v>8794</v>
      </c>
      <c r="AF32" s="50" t="s">
        <v>4470</v>
      </c>
      <c r="AG32" s="50"/>
      <c r="AH32" s="50"/>
      <c r="AI32" s="50"/>
      <c r="AJ32" s="50">
        <v>0.0</v>
      </c>
      <c r="AK32" s="101">
        <v>8.0E7</v>
      </c>
      <c r="AL32" s="101">
        <v>0.0</v>
      </c>
      <c r="AM32" s="101">
        <v>8.0E7</v>
      </c>
      <c r="AN32" s="101">
        <v>0.0</v>
      </c>
    </row>
    <row r="33" ht="12.75" customHeight="1">
      <c r="A33" s="50">
        <v>32.0</v>
      </c>
      <c r="B33" s="50" t="s">
        <v>8837</v>
      </c>
      <c r="C33" s="50" t="s">
        <v>916</v>
      </c>
      <c r="D33" s="50" t="s">
        <v>917</v>
      </c>
      <c r="E33" s="50" t="s">
        <v>8792</v>
      </c>
      <c r="F33" s="50" t="s">
        <v>770</v>
      </c>
      <c r="G33" s="50" t="s">
        <v>8846</v>
      </c>
      <c r="H33" s="966">
        <v>38718.0</v>
      </c>
      <c r="I33" s="50" t="s">
        <v>70</v>
      </c>
      <c r="J33" s="101">
        <v>5.9E7</v>
      </c>
      <c r="K33" s="50">
        <v>0.0</v>
      </c>
      <c r="L33" s="50" t="s">
        <v>781</v>
      </c>
      <c r="M33" s="50"/>
      <c r="N33" s="50"/>
      <c r="O33" s="50" t="s">
        <v>948</v>
      </c>
      <c r="P33" s="50"/>
      <c r="Q33" s="50"/>
      <c r="R33" s="50" t="s">
        <v>772</v>
      </c>
      <c r="S33" s="50">
        <v>1.0</v>
      </c>
      <c r="T33" s="50">
        <v>7.0</v>
      </c>
      <c r="U33" s="50"/>
      <c r="V33" s="83" t="s">
        <v>949</v>
      </c>
      <c r="W33" s="83" t="s">
        <v>950</v>
      </c>
      <c r="X33" s="83">
        <v>9298255.0</v>
      </c>
      <c r="Y33" s="83" t="s">
        <v>951</v>
      </c>
      <c r="Z33" s="83" t="s">
        <v>777</v>
      </c>
      <c r="AA33" s="50"/>
      <c r="AB33" s="50" t="s">
        <v>952</v>
      </c>
      <c r="AC33" s="50"/>
      <c r="AD33" s="50"/>
      <c r="AE33" s="50" t="s">
        <v>8794</v>
      </c>
      <c r="AF33" s="50" t="s">
        <v>4470</v>
      </c>
      <c r="AG33" s="50"/>
      <c r="AH33" s="50"/>
      <c r="AI33" s="50"/>
      <c r="AJ33" s="50">
        <v>0.0</v>
      </c>
      <c r="AK33" s="101">
        <v>5.9E7</v>
      </c>
      <c r="AL33" s="101">
        <v>0.0</v>
      </c>
      <c r="AM33" s="101">
        <v>5.9E7</v>
      </c>
      <c r="AN33" s="101">
        <v>0.0</v>
      </c>
    </row>
    <row r="34" ht="12.75" customHeight="1">
      <c r="A34" s="50">
        <v>33.0</v>
      </c>
      <c r="B34" s="50" t="s">
        <v>8837</v>
      </c>
      <c r="C34" s="50" t="s">
        <v>916</v>
      </c>
      <c r="D34" s="50" t="s">
        <v>923</v>
      </c>
      <c r="E34" s="50" t="s">
        <v>8792</v>
      </c>
      <c r="F34" s="50" t="s">
        <v>770</v>
      </c>
      <c r="G34" s="50" t="s">
        <v>8847</v>
      </c>
      <c r="H34" s="966">
        <v>39083.0</v>
      </c>
      <c r="I34" s="50" t="s">
        <v>70</v>
      </c>
      <c r="J34" s="101">
        <v>1.5315E8</v>
      </c>
      <c r="K34" s="50">
        <v>0.0</v>
      </c>
      <c r="L34" s="50" t="s">
        <v>781</v>
      </c>
      <c r="M34" s="50"/>
      <c r="N34" s="50"/>
      <c r="O34" s="50" t="s">
        <v>37</v>
      </c>
      <c r="P34" s="50"/>
      <c r="Q34" s="50"/>
      <c r="R34" s="50" t="s">
        <v>772</v>
      </c>
      <c r="S34" s="50">
        <v>1.0</v>
      </c>
      <c r="T34" s="50">
        <v>7.0</v>
      </c>
      <c r="U34" s="50"/>
      <c r="V34" s="83" t="s">
        <v>953</v>
      </c>
      <c r="W34" s="83" t="s">
        <v>954</v>
      </c>
      <c r="X34" s="83" t="s">
        <v>955</v>
      </c>
      <c r="Y34" s="83" t="s">
        <v>956</v>
      </c>
      <c r="Z34" s="83" t="s">
        <v>777</v>
      </c>
      <c r="AA34" s="50"/>
      <c r="AB34" s="50" t="s">
        <v>957</v>
      </c>
      <c r="AC34" s="50"/>
      <c r="AD34" s="50"/>
      <c r="AE34" s="50" t="s">
        <v>8794</v>
      </c>
      <c r="AF34" s="50" t="s">
        <v>4470</v>
      </c>
      <c r="AG34" s="50"/>
      <c r="AH34" s="50"/>
      <c r="AI34" s="50"/>
      <c r="AJ34" s="50">
        <v>0.0</v>
      </c>
      <c r="AK34" s="101">
        <v>1.5315E8</v>
      </c>
      <c r="AL34" s="101">
        <v>0.0</v>
      </c>
      <c r="AM34" s="101">
        <v>1.5315E8</v>
      </c>
      <c r="AN34" s="101">
        <v>0.0</v>
      </c>
    </row>
    <row r="35" ht="12.75" customHeight="1">
      <c r="A35" s="83">
        <v>34.0</v>
      </c>
      <c r="B35" s="83" t="s">
        <v>8837</v>
      </c>
      <c r="C35" s="83" t="s">
        <v>916</v>
      </c>
      <c r="D35" s="83" t="s">
        <v>958</v>
      </c>
      <c r="E35" s="83" t="s">
        <v>8792</v>
      </c>
      <c r="F35" s="83" t="s">
        <v>770</v>
      </c>
      <c r="G35" s="83" t="s">
        <v>8848</v>
      </c>
      <c r="H35" s="969">
        <v>39083.0</v>
      </c>
      <c r="I35" s="83" t="s">
        <v>70</v>
      </c>
      <c r="J35" s="970">
        <v>5.9705E7</v>
      </c>
      <c r="K35" s="83">
        <v>0.0</v>
      </c>
      <c r="L35" s="83"/>
      <c r="M35" s="83"/>
      <c r="N35" s="83"/>
      <c r="O35" s="83" t="s">
        <v>37</v>
      </c>
      <c r="P35" s="83"/>
      <c r="Q35" s="83"/>
      <c r="R35" s="83" t="s">
        <v>772</v>
      </c>
      <c r="S35" s="83">
        <v>1.0</v>
      </c>
      <c r="T35" s="83">
        <v>7.0</v>
      </c>
      <c r="U35" s="83"/>
      <c r="V35" s="83"/>
      <c r="W35" s="83"/>
      <c r="X35" s="83"/>
      <c r="Y35" s="83">
        <v>0.0</v>
      </c>
      <c r="Z35" s="83"/>
      <c r="AA35" s="83"/>
      <c r="AB35" s="83"/>
      <c r="AC35" s="83"/>
      <c r="AD35" s="83"/>
      <c r="AE35" s="83" t="s">
        <v>8794</v>
      </c>
      <c r="AF35" s="83" t="s">
        <v>4470</v>
      </c>
      <c r="AG35" s="83"/>
      <c r="AH35" s="83"/>
      <c r="AI35" s="83"/>
      <c r="AJ35" s="83">
        <v>0.0</v>
      </c>
      <c r="AK35" s="970">
        <v>5.9705E7</v>
      </c>
      <c r="AL35" s="970">
        <v>0.0</v>
      </c>
      <c r="AM35" s="970">
        <v>5.9705E7</v>
      </c>
      <c r="AN35" s="970">
        <v>0.0</v>
      </c>
    </row>
    <row r="36" ht="12.75" customHeight="1">
      <c r="A36" s="50">
        <v>35.0</v>
      </c>
      <c r="B36" s="50" t="s">
        <v>8837</v>
      </c>
      <c r="C36" s="50" t="s">
        <v>916</v>
      </c>
      <c r="D36" s="50" t="s">
        <v>923</v>
      </c>
      <c r="E36" s="50" t="s">
        <v>8792</v>
      </c>
      <c r="F36" s="50" t="s">
        <v>770</v>
      </c>
      <c r="G36" s="50" t="s">
        <v>8849</v>
      </c>
      <c r="H36" s="966">
        <v>39083.0</v>
      </c>
      <c r="I36" s="50" t="s">
        <v>70</v>
      </c>
      <c r="J36" s="101">
        <v>1.5315E8</v>
      </c>
      <c r="K36" s="50">
        <v>0.0</v>
      </c>
      <c r="L36" s="50" t="s">
        <v>781</v>
      </c>
      <c r="M36" s="50"/>
      <c r="N36" s="50"/>
      <c r="O36" s="50" t="s">
        <v>37</v>
      </c>
      <c r="P36" s="50"/>
      <c r="Q36" s="50"/>
      <c r="R36" s="50" t="s">
        <v>772</v>
      </c>
      <c r="S36" s="50">
        <v>1.0</v>
      </c>
      <c r="T36" s="50">
        <v>7.0</v>
      </c>
      <c r="U36" s="50"/>
      <c r="V36" s="50" t="s">
        <v>960</v>
      </c>
      <c r="W36" s="50" t="s">
        <v>961</v>
      </c>
      <c r="X36" s="50" t="s">
        <v>962</v>
      </c>
      <c r="Y36" s="50">
        <v>0.0</v>
      </c>
      <c r="Z36" s="50"/>
      <c r="AA36" s="50"/>
      <c r="AB36" s="50" t="s">
        <v>963</v>
      </c>
      <c r="AC36" s="50"/>
      <c r="AD36" s="50"/>
      <c r="AE36" s="50" t="s">
        <v>8794</v>
      </c>
      <c r="AF36" s="50" t="s">
        <v>4470</v>
      </c>
      <c r="AG36" s="50"/>
      <c r="AH36" s="50"/>
      <c r="AI36" s="50"/>
      <c r="AJ36" s="50">
        <v>0.0</v>
      </c>
      <c r="AK36" s="101">
        <v>1.5315E8</v>
      </c>
      <c r="AL36" s="101">
        <v>0.0</v>
      </c>
      <c r="AM36" s="101">
        <v>1.5315E8</v>
      </c>
      <c r="AN36" s="101">
        <v>0.0</v>
      </c>
    </row>
    <row r="37" ht="12.75" customHeight="1">
      <c r="A37" s="50">
        <v>36.0</v>
      </c>
      <c r="B37" s="50" t="s">
        <v>8837</v>
      </c>
      <c r="C37" s="50" t="s">
        <v>916</v>
      </c>
      <c r="D37" s="50" t="s">
        <v>917</v>
      </c>
      <c r="E37" s="50" t="s">
        <v>8792</v>
      </c>
      <c r="F37" s="50" t="s">
        <v>770</v>
      </c>
      <c r="G37" s="50" t="s">
        <v>8850</v>
      </c>
      <c r="H37" s="966">
        <v>39448.0</v>
      </c>
      <c r="I37" s="50" t="s">
        <v>70</v>
      </c>
      <c r="J37" s="101">
        <v>1.4975E8</v>
      </c>
      <c r="K37" s="50">
        <v>0.0</v>
      </c>
      <c r="L37" s="50" t="s">
        <v>781</v>
      </c>
      <c r="M37" s="50"/>
      <c r="N37" s="50"/>
      <c r="O37" s="50" t="s">
        <v>391</v>
      </c>
      <c r="P37" s="50"/>
      <c r="Q37" s="50"/>
      <c r="R37" s="50" t="s">
        <v>772</v>
      </c>
      <c r="S37" s="50">
        <v>1.0</v>
      </c>
      <c r="T37" s="50">
        <v>7.0</v>
      </c>
      <c r="U37" s="50"/>
      <c r="V37" s="83" t="s">
        <v>964</v>
      </c>
      <c r="W37" s="83" t="s">
        <v>965</v>
      </c>
      <c r="X37" s="83" t="s">
        <v>966</v>
      </c>
      <c r="Y37" s="83" t="s">
        <v>967</v>
      </c>
      <c r="Z37" s="83" t="s">
        <v>777</v>
      </c>
      <c r="AA37" s="50"/>
      <c r="AB37" s="50" t="s">
        <v>1070</v>
      </c>
      <c r="AC37" s="50"/>
      <c r="AD37" s="50"/>
      <c r="AE37" s="50" t="s">
        <v>8794</v>
      </c>
      <c r="AF37" s="50" t="s">
        <v>4470</v>
      </c>
      <c r="AG37" s="50"/>
      <c r="AH37" s="50"/>
      <c r="AI37" s="50"/>
      <c r="AJ37" s="50">
        <v>0.0</v>
      </c>
      <c r="AK37" s="101">
        <v>1.4975E8</v>
      </c>
      <c r="AL37" s="101">
        <v>0.0</v>
      </c>
      <c r="AM37" s="101">
        <v>1.4975E8</v>
      </c>
      <c r="AN37" s="101">
        <v>0.0</v>
      </c>
    </row>
    <row r="38" ht="12.75" customHeight="1">
      <c r="A38" s="50">
        <v>37.0</v>
      </c>
      <c r="B38" s="50" t="s">
        <v>8837</v>
      </c>
      <c r="C38" s="50" t="s">
        <v>916</v>
      </c>
      <c r="D38" s="50" t="s">
        <v>917</v>
      </c>
      <c r="E38" s="50" t="s">
        <v>8792</v>
      </c>
      <c r="F38" s="50" t="s">
        <v>770</v>
      </c>
      <c r="G38" s="50" t="s">
        <v>8851</v>
      </c>
      <c r="H38" s="966">
        <v>39448.0</v>
      </c>
      <c r="I38" s="50" t="s">
        <v>70</v>
      </c>
      <c r="J38" s="101">
        <v>1.4975E8</v>
      </c>
      <c r="K38" s="50">
        <v>0.0</v>
      </c>
      <c r="L38" s="50" t="s">
        <v>781</v>
      </c>
      <c r="M38" s="50"/>
      <c r="N38" s="50"/>
      <c r="O38" s="50" t="s">
        <v>391</v>
      </c>
      <c r="P38" s="50"/>
      <c r="Q38" s="50"/>
      <c r="R38" s="50" t="s">
        <v>772</v>
      </c>
      <c r="S38" s="50">
        <v>1.0</v>
      </c>
      <c r="T38" s="50">
        <v>7.0</v>
      </c>
      <c r="U38" s="50"/>
      <c r="V38" s="50" t="s">
        <v>969</v>
      </c>
      <c r="W38" s="50" t="s">
        <v>965</v>
      </c>
      <c r="X38" s="50" t="s">
        <v>966</v>
      </c>
      <c r="Y38" s="50">
        <v>0.0</v>
      </c>
      <c r="Z38" s="50"/>
      <c r="AA38" s="50"/>
      <c r="AB38" s="50" t="s">
        <v>970</v>
      </c>
      <c r="AC38" s="50"/>
      <c r="AD38" s="50"/>
      <c r="AE38" s="50" t="s">
        <v>8794</v>
      </c>
      <c r="AF38" s="50" t="s">
        <v>4470</v>
      </c>
      <c r="AG38" s="50"/>
      <c r="AH38" s="50"/>
      <c r="AI38" s="50"/>
      <c r="AJ38" s="50">
        <v>0.0</v>
      </c>
      <c r="AK38" s="101">
        <v>1.4975E8</v>
      </c>
      <c r="AL38" s="101">
        <v>0.0</v>
      </c>
      <c r="AM38" s="101">
        <v>1.4975E8</v>
      </c>
      <c r="AN38" s="101">
        <v>0.0</v>
      </c>
    </row>
    <row r="39" ht="12.75" customHeight="1">
      <c r="A39" s="83">
        <v>38.0</v>
      </c>
      <c r="B39" s="83" t="s">
        <v>8837</v>
      </c>
      <c r="C39" s="83" t="s">
        <v>916</v>
      </c>
      <c r="D39" s="83" t="s">
        <v>958</v>
      </c>
      <c r="E39" s="83" t="s">
        <v>8792</v>
      </c>
      <c r="F39" s="83" t="s">
        <v>770</v>
      </c>
      <c r="G39" s="83" t="s">
        <v>8852</v>
      </c>
      <c r="H39" s="969">
        <v>39448.0</v>
      </c>
      <c r="I39" s="83" t="s">
        <v>70</v>
      </c>
      <c r="J39" s="970">
        <v>7.756135E7</v>
      </c>
      <c r="K39" s="83">
        <v>0.0</v>
      </c>
      <c r="L39" s="83"/>
      <c r="M39" s="83"/>
      <c r="N39" s="83"/>
      <c r="O39" s="83" t="s">
        <v>391</v>
      </c>
      <c r="P39" s="83"/>
      <c r="Q39" s="83"/>
      <c r="R39" s="83" t="s">
        <v>772</v>
      </c>
      <c r="S39" s="83">
        <v>1.0</v>
      </c>
      <c r="T39" s="83">
        <v>7.0</v>
      </c>
      <c r="U39" s="83"/>
      <c r="V39" s="83"/>
      <c r="W39" s="83"/>
      <c r="X39" s="83"/>
      <c r="Y39" s="83">
        <v>0.0</v>
      </c>
      <c r="Z39" s="83"/>
      <c r="AA39" s="83"/>
      <c r="AB39" s="83"/>
      <c r="AC39" s="83"/>
      <c r="AD39" s="83"/>
      <c r="AE39" s="83" t="s">
        <v>8794</v>
      </c>
      <c r="AF39" s="83" t="s">
        <v>4470</v>
      </c>
      <c r="AG39" s="83"/>
      <c r="AH39" s="83"/>
      <c r="AI39" s="83"/>
      <c r="AJ39" s="83">
        <v>0.0</v>
      </c>
      <c r="AK39" s="970">
        <v>7.756135E7</v>
      </c>
      <c r="AL39" s="970">
        <v>0.0</v>
      </c>
      <c r="AM39" s="970">
        <v>7.756135E7</v>
      </c>
      <c r="AN39" s="970">
        <v>0.0</v>
      </c>
    </row>
    <row r="40" ht="12.75" customHeight="1">
      <c r="A40" s="50">
        <v>39.0</v>
      </c>
      <c r="B40" s="50" t="s">
        <v>8837</v>
      </c>
      <c r="C40" s="50" t="s">
        <v>916</v>
      </c>
      <c r="D40" s="50" t="s">
        <v>971</v>
      </c>
      <c r="E40" s="50" t="s">
        <v>8792</v>
      </c>
      <c r="F40" s="50" t="s">
        <v>770</v>
      </c>
      <c r="G40" s="50" t="s">
        <v>8853</v>
      </c>
      <c r="H40" s="966">
        <v>39814.0</v>
      </c>
      <c r="I40" s="50" t="s">
        <v>70</v>
      </c>
      <c r="J40" s="101">
        <v>1.9965E8</v>
      </c>
      <c r="K40" s="50">
        <v>0.0</v>
      </c>
      <c r="L40" s="50" t="s">
        <v>781</v>
      </c>
      <c r="M40" s="50"/>
      <c r="N40" s="50"/>
      <c r="O40" s="50" t="s">
        <v>84</v>
      </c>
      <c r="P40" s="50"/>
      <c r="Q40" s="50"/>
      <c r="R40" s="50" t="s">
        <v>772</v>
      </c>
      <c r="S40" s="50">
        <v>1.0</v>
      </c>
      <c r="T40" s="50">
        <v>7.0</v>
      </c>
      <c r="U40" s="50"/>
      <c r="V40" s="50" t="s">
        <v>972</v>
      </c>
      <c r="W40" s="50" t="s">
        <v>973</v>
      </c>
      <c r="X40" s="50" t="s">
        <v>974</v>
      </c>
      <c r="Y40" s="50">
        <v>0.0</v>
      </c>
      <c r="Z40" s="50"/>
      <c r="AA40" s="50"/>
      <c r="AB40" s="50" t="s">
        <v>952</v>
      </c>
      <c r="AC40" s="50"/>
      <c r="AD40" s="50"/>
      <c r="AE40" s="50" t="s">
        <v>8794</v>
      </c>
      <c r="AF40" s="50" t="s">
        <v>4470</v>
      </c>
      <c r="AG40" s="50"/>
      <c r="AH40" s="50"/>
      <c r="AI40" s="50"/>
      <c r="AJ40" s="50">
        <v>0.0</v>
      </c>
      <c r="AK40" s="101">
        <v>1.9965E8</v>
      </c>
      <c r="AL40" s="101">
        <v>0.0</v>
      </c>
      <c r="AM40" s="101">
        <v>1.9965E8</v>
      </c>
      <c r="AN40" s="101">
        <v>0.0</v>
      </c>
    </row>
    <row r="41" ht="12.75" customHeight="1">
      <c r="A41" s="50">
        <v>40.0</v>
      </c>
      <c r="B41" s="50" t="s">
        <v>8837</v>
      </c>
      <c r="C41" s="50" t="s">
        <v>916</v>
      </c>
      <c r="D41" s="50" t="s">
        <v>971</v>
      </c>
      <c r="E41" s="50" t="s">
        <v>8792</v>
      </c>
      <c r="F41" s="50" t="s">
        <v>770</v>
      </c>
      <c r="G41" s="50" t="s">
        <v>8854</v>
      </c>
      <c r="H41" s="966">
        <v>39814.0</v>
      </c>
      <c r="I41" s="50" t="s">
        <v>70</v>
      </c>
      <c r="J41" s="101">
        <v>1.9965E8</v>
      </c>
      <c r="K41" s="50">
        <v>0.0</v>
      </c>
      <c r="L41" s="50" t="s">
        <v>781</v>
      </c>
      <c r="M41" s="50"/>
      <c r="N41" s="50"/>
      <c r="O41" s="50" t="s">
        <v>84</v>
      </c>
      <c r="P41" s="50"/>
      <c r="Q41" s="50"/>
      <c r="R41" s="50" t="s">
        <v>772</v>
      </c>
      <c r="S41" s="50">
        <v>1.0</v>
      </c>
      <c r="T41" s="50">
        <v>7.0</v>
      </c>
      <c r="U41" s="50"/>
      <c r="V41" s="50" t="s">
        <v>976</v>
      </c>
      <c r="W41" s="50" t="s">
        <v>977</v>
      </c>
      <c r="X41" s="50" t="s">
        <v>978</v>
      </c>
      <c r="Y41" s="50">
        <v>0.0</v>
      </c>
      <c r="Z41" s="50"/>
      <c r="AA41" s="50"/>
      <c r="AB41" s="50" t="s">
        <v>952</v>
      </c>
      <c r="AC41" s="50"/>
      <c r="AD41" s="50"/>
      <c r="AE41" s="50" t="s">
        <v>8794</v>
      </c>
      <c r="AF41" s="50" t="s">
        <v>4470</v>
      </c>
      <c r="AG41" s="50"/>
      <c r="AH41" s="50"/>
      <c r="AI41" s="50"/>
      <c r="AJ41" s="50">
        <v>0.0</v>
      </c>
      <c r="AK41" s="101">
        <v>1.9965E8</v>
      </c>
      <c r="AL41" s="101">
        <v>0.0</v>
      </c>
      <c r="AM41" s="101">
        <v>1.9965E8</v>
      </c>
      <c r="AN41" s="101">
        <v>0.0</v>
      </c>
    </row>
    <row r="42" ht="12.75" customHeight="1">
      <c r="A42" s="50">
        <v>41.0</v>
      </c>
      <c r="B42" s="50" t="s">
        <v>8837</v>
      </c>
      <c r="C42" s="50" t="s">
        <v>916</v>
      </c>
      <c r="D42" s="50" t="s">
        <v>917</v>
      </c>
      <c r="E42" s="50" t="s">
        <v>8792</v>
      </c>
      <c r="F42" s="50" t="s">
        <v>770</v>
      </c>
      <c r="G42" s="50" t="s">
        <v>8855</v>
      </c>
      <c r="H42" s="966">
        <v>40544.0</v>
      </c>
      <c r="I42" s="50" t="s">
        <v>70</v>
      </c>
      <c r="J42" s="101">
        <v>2.4409E8</v>
      </c>
      <c r="K42" s="50">
        <v>0.0</v>
      </c>
      <c r="L42" s="50" t="s">
        <v>771</v>
      </c>
      <c r="M42" s="50"/>
      <c r="N42" s="50"/>
      <c r="O42" s="50" t="s">
        <v>979</v>
      </c>
      <c r="P42" s="50"/>
      <c r="Q42" s="50"/>
      <c r="R42" s="50" t="s">
        <v>772</v>
      </c>
      <c r="S42" s="50">
        <v>1.0</v>
      </c>
      <c r="T42" s="50">
        <v>7.0</v>
      </c>
      <c r="U42" s="50"/>
      <c r="V42" s="50" t="s">
        <v>8856</v>
      </c>
      <c r="W42" s="50" t="s">
        <v>981</v>
      </c>
      <c r="X42" s="50" t="s">
        <v>982</v>
      </c>
      <c r="Y42" s="50">
        <v>0.0</v>
      </c>
      <c r="Z42" s="50"/>
      <c r="AA42" s="50"/>
      <c r="AB42" s="50"/>
      <c r="AC42" s="50"/>
      <c r="AD42" s="50"/>
      <c r="AE42" s="50" t="s">
        <v>8794</v>
      </c>
      <c r="AF42" s="50" t="s">
        <v>4470</v>
      </c>
      <c r="AG42" s="50"/>
      <c r="AH42" s="50"/>
      <c r="AI42" s="50"/>
      <c r="AJ42" s="50">
        <v>0.0</v>
      </c>
      <c r="AK42" s="101">
        <v>2.4409E8</v>
      </c>
      <c r="AL42" s="101">
        <v>0.0</v>
      </c>
      <c r="AM42" s="101">
        <v>2.4409E8</v>
      </c>
      <c r="AN42" s="101">
        <v>0.0</v>
      </c>
    </row>
    <row r="43" ht="12.75" customHeight="1">
      <c r="A43" s="50">
        <v>42.0</v>
      </c>
      <c r="B43" s="50" t="s">
        <v>8837</v>
      </c>
      <c r="C43" s="50" t="s">
        <v>916</v>
      </c>
      <c r="D43" s="50" t="s">
        <v>983</v>
      </c>
      <c r="E43" s="50" t="s">
        <v>8792</v>
      </c>
      <c r="F43" s="50" t="s">
        <v>770</v>
      </c>
      <c r="G43" s="50" t="s">
        <v>8857</v>
      </c>
      <c r="H43" s="966">
        <v>40909.0</v>
      </c>
      <c r="I43" s="50" t="s">
        <v>70</v>
      </c>
      <c r="J43" s="101">
        <v>1.5075E8</v>
      </c>
      <c r="K43" s="50">
        <v>0.0</v>
      </c>
      <c r="L43" s="50" t="s">
        <v>771</v>
      </c>
      <c r="M43" s="50"/>
      <c r="N43" s="50"/>
      <c r="O43" s="50" t="s">
        <v>44</v>
      </c>
      <c r="P43" s="50"/>
      <c r="Q43" s="50"/>
      <c r="R43" s="50" t="s">
        <v>772</v>
      </c>
      <c r="S43" s="50">
        <v>1.0</v>
      </c>
      <c r="T43" s="50">
        <v>7.0</v>
      </c>
      <c r="U43" s="50"/>
      <c r="V43" s="50" t="s">
        <v>8858</v>
      </c>
      <c r="W43" s="50" t="s">
        <v>985</v>
      </c>
      <c r="X43" s="50" t="s">
        <v>986</v>
      </c>
      <c r="Y43" s="50">
        <v>0.0</v>
      </c>
      <c r="Z43" s="50"/>
      <c r="AA43" s="50"/>
      <c r="AB43" s="50"/>
      <c r="AC43" s="50"/>
      <c r="AD43" s="50"/>
      <c r="AE43" s="50" t="s">
        <v>8794</v>
      </c>
      <c r="AF43" s="50" t="s">
        <v>4470</v>
      </c>
      <c r="AG43" s="50"/>
      <c r="AH43" s="50"/>
      <c r="AI43" s="50"/>
      <c r="AJ43" s="50">
        <v>0.0</v>
      </c>
      <c r="AK43" s="101">
        <v>1.5075E8</v>
      </c>
      <c r="AL43" s="101">
        <v>0.0</v>
      </c>
      <c r="AM43" s="101">
        <v>1.5075E8</v>
      </c>
      <c r="AN43" s="101">
        <v>0.0</v>
      </c>
    </row>
    <row r="44" ht="12.75" customHeight="1">
      <c r="A44" s="50">
        <v>43.0</v>
      </c>
      <c r="B44" s="50" t="s">
        <v>8837</v>
      </c>
      <c r="C44" s="50" t="s">
        <v>916</v>
      </c>
      <c r="D44" s="50" t="s">
        <v>987</v>
      </c>
      <c r="E44" s="50" t="s">
        <v>8792</v>
      </c>
      <c r="F44" s="50" t="s">
        <v>770</v>
      </c>
      <c r="G44" s="50" t="s">
        <v>8859</v>
      </c>
      <c r="H44" s="966">
        <v>41275.0</v>
      </c>
      <c r="I44" s="50" t="s">
        <v>70</v>
      </c>
      <c r="J44" s="101">
        <v>2.103994E8</v>
      </c>
      <c r="K44" s="50">
        <v>0.0</v>
      </c>
      <c r="L44" s="50" t="s">
        <v>781</v>
      </c>
      <c r="M44" s="50"/>
      <c r="N44" s="50"/>
      <c r="O44" s="50" t="s">
        <v>92</v>
      </c>
      <c r="P44" s="50"/>
      <c r="Q44" s="50"/>
      <c r="R44" s="50" t="s">
        <v>772</v>
      </c>
      <c r="S44" s="50">
        <v>1.0</v>
      </c>
      <c r="T44" s="50">
        <v>7.0</v>
      </c>
      <c r="U44" s="50"/>
      <c r="V44" s="50" t="s">
        <v>8860</v>
      </c>
      <c r="W44" s="50" t="s">
        <v>990</v>
      </c>
      <c r="X44" s="50" t="s">
        <v>991</v>
      </c>
      <c r="Y44" s="50">
        <v>0.0</v>
      </c>
      <c r="Z44" s="50"/>
      <c r="AA44" s="50"/>
      <c r="AB44" s="50" t="s">
        <v>992</v>
      </c>
      <c r="AC44" s="50"/>
      <c r="AD44" s="50"/>
      <c r="AE44" s="50" t="s">
        <v>8794</v>
      </c>
      <c r="AF44" s="50" t="s">
        <v>4470</v>
      </c>
      <c r="AG44" s="50"/>
      <c r="AH44" s="50"/>
      <c r="AI44" s="50"/>
      <c r="AJ44" s="50">
        <v>0.0</v>
      </c>
      <c r="AK44" s="101">
        <v>2.103994E8</v>
      </c>
      <c r="AL44" s="101">
        <v>0.0</v>
      </c>
      <c r="AM44" s="101">
        <v>2.103994E8</v>
      </c>
      <c r="AN44" s="101">
        <v>0.0</v>
      </c>
    </row>
    <row r="45" ht="12.75" customHeight="1">
      <c r="A45" s="50">
        <v>44.0</v>
      </c>
      <c r="B45" s="50" t="s">
        <v>8837</v>
      </c>
      <c r="C45" s="50" t="s">
        <v>916</v>
      </c>
      <c r="D45" s="50" t="s">
        <v>994</v>
      </c>
      <c r="E45" s="50" t="s">
        <v>8792</v>
      </c>
      <c r="F45" s="50" t="s">
        <v>770</v>
      </c>
      <c r="G45" s="50" t="s">
        <v>8861</v>
      </c>
      <c r="H45" s="966">
        <v>41275.0</v>
      </c>
      <c r="I45" s="50" t="s">
        <v>70</v>
      </c>
      <c r="J45" s="101">
        <v>2.227796E8</v>
      </c>
      <c r="K45" s="50">
        <v>0.0</v>
      </c>
      <c r="L45" s="50" t="s">
        <v>781</v>
      </c>
      <c r="M45" s="50"/>
      <c r="N45" s="50"/>
      <c r="O45" s="50" t="s">
        <v>92</v>
      </c>
      <c r="P45" s="50"/>
      <c r="Q45" s="50"/>
      <c r="R45" s="50" t="s">
        <v>772</v>
      </c>
      <c r="S45" s="50">
        <v>1.0</v>
      </c>
      <c r="T45" s="50">
        <v>7.0</v>
      </c>
      <c r="U45" s="50"/>
      <c r="V45" s="50" t="s">
        <v>995</v>
      </c>
      <c r="W45" s="50" t="s">
        <v>996</v>
      </c>
      <c r="X45" s="50" t="s">
        <v>997</v>
      </c>
      <c r="Y45" s="50">
        <v>0.0</v>
      </c>
      <c r="Z45" s="50"/>
      <c r="AA45" s="50"/>
      <c r="AB45" s="50" t="s">
        <v>8862</v>
      </c>
      <c r="AC45" s="50"/>
      <c r="AD45" s="50"/>
      <c r="AE45" s="50" t="s">
        <v>8794</v>
      </c>
      <c r="AF45" s="50" t="s">
        <v>4470</v>
      </c>
      <c r="AG45" s="50"/>
      <c r="AH45" s="50"/>
      <c r="AI45" s="50"/>
      <c r="AJ45" s="50">
        <v>0.0</v>
      </c>
      <c r="AK45" s="101">
        <v>2.227796E8</v>
      </c>
      <c r="AL45" s="101">
        <v>0.0</v>
      </c>
      <c r="AM45" s="101">
        <v>2.227796E8</v>
      </c>
      <c r="AN45" s="101">
        <v>0.0</v>
      </c>
    </row>
    <row r="46" ht="12.75" customHeight="1">
      <c r="A46" s="50">
        <v>45.0</v>
      </c>
      <c r="B46" s="50" t="s">
        <v>8837</v>
      </c>
      <c r="C46" s="50" t="s">
        <v>916</v>
      </c>
      <c r="D46" s="50" t="s">
        <v>994</v>
      </c>
      <c r="E46" s="50" t="s">
        <v>8792</v>
      </c>
      <c r="F46" s="50" t="s">
        <v>770</v>
      </c>
      <c r="G46" s="50" t="s">
        <v>8863</v>
      </c>
      <c r="H46" s="966">
        <v>41275.0</v>
      </c>
      <c r="I46" s="50" t="s">
        <v>70</v>
      </c>
      <c r="J46" s="101">
        <v>2.227796E8</v>
      </c>
      <c r="K46" s="50">
        <v>0.0</v>
      </c>
      <c r="L46" s="50" t="s">
        <v>781</v>
      </c>
      <c r="M46" s="50"/>
      <c r="N46" s="50"/>
      <c r="O46" s="50" t="s">
        <v>92</v>
      </c>
      <c r="P46" s="50"/>
      <c r="Q46" s="50"/>
      <c r="R46" s="50" t="s">
        <v>772</v>
      </c>
      <c r="S46" s="50">
        <v>1.0</v>
      </c>
      <c r="T46" s="50">
        <v>7.0</v>
      </c>
      <c r="U46" s="50"/>
      <c r="V46" s="83" t="s">
        <v>999</v>
      </c>
      <c r="W46" s="83" t="s">
        <v>1000</v>
      </c>
      <c r="X46" s="83" t="s">
        <v>1001</v>
      </c>
      <c r="Y46" s="83" t="s">
        <v>1002</v>
      </c>
      <c r="Z46" s="83" t="s">
        <v>777</v>
      </c>
      <c r="AA46" s="50"/>
      <c r="AB46" s="50" t="s">
        <v>1003</v>
      </c>
      <c r="AC46" s="50"/>
      <c r="AD46" s="50"/>
      <c r="AE46" s="50" t="s">
        <v>8794</v>
      </c>
      <c r="AF46" s="50" t="s">
        <v>4470</v>
      </c>
      <c r="AG46" s="50"/>
      <c r="AH46" s="50"/>
      <c r="AI46" s="50"/>
      <c r="AJ46" s="50">
        <v>0.0</v>
      </c>
      <c r="AK46" s="101">
        <v>2.227796E8</v>
      </c>
      <c r="AL46" s="101">
        <v>0.0</v>
      </c>
      <c r="AM46" s="101">
        <v>2.227796E8</v>
      </c>
      <c r="AN46" s="101">
        <v>0.0</v>
      </c>
    </row>
    <row r="47" ht="12.75" customHeight="1">
      <c r="A47" s="50">
        <v>46.0</v>
      </c>
      <c r="B47" s="50" t="s">
        <v>8837</v>
      </c>
      <c r="C47" s="50" t="s">
        <v>916</v>
      </c>
      <c r="D47" s="50" t="s">
        <v>994</v>
      </c>
      <c r="E47" s="50" t="s">
        <v>8792</v>
      </c>
      <c r="F47" s="50" t="s">
        <v>770</v>
      </c>
      <c r="G47" s="50" t="s">
        <v>8864</v>
      </c>
      <c r="H47" s="966">
        <v>41275.0</v>
      </c>
      <c r="I47" s="50" t="s">
        <v>70</v>
      </c>
      <c r="J47" s="101">
        <v>2.227796E8</v>
      </c>
      <c r="K47" s="50">
        <v>0.0</v>
      </c>
      <c r="L47" s="50" t="s">
        <v>781</v>
      </c>
      <c r="M47" s="50"/>
      <c r="N47" s="50"/>
      <c r="O47" s="50" t="s">
        <v>92</v>
      </c>
      <c r="P47" s="50"/>
      <c r="Q47" s="50"/>
      <c r="R47" s="50" t="s">
        <v>772</v>
      </c>
      <c r="S47" s="50">
        <v>1.0</v>
      </c>
      <c r="T47" s="50">
        <v>7.0</v>
      </c>
      <c r="U47" s="50"/>
      <c r="V47" s="50" t="s">
        <v>1005</v>
      </c>
      <c r="W47" s="50" t="s">
        <v>1006</v>
      </c>
      <c r="X47" s="50" t="s">
        <v>1007</v>
      </c>
      <c r="Y47" s="50">
        <v>0.0</v>
      </c>
      <c r="Z47" s="50"/>
      <c r="AA47" s="50"/>
      <c r="AB47" s="50" t="s">
        <v>1008</v>
      </c>
      <c r="AC47" s="50"/>
      <c r="AD47" s="50"/>
      <c r="AE47" s="50" t="s">
        <v>8794</v>
      </c>
      <c r="AF47" s="50" t="s">
        <v>4470</v>
      </c>
      <c r="AG47" s="50"/>
      <c r="AH47" s="50"/>
      <c r="AI47" s="50"/>
      <c r="AJ47" s="50">
        <v>0.0</v>
      </c>
      <c r="AK47" s="101">
        <v>2.227796E8</v>
      </c>
      <c r="AL47" s="101">
        <v>0.0</v>
      </c>
      <c r="AM47" s="101">
        <v>2.227796E8</v>
      </c>
      <c r="AN47" s="101">
        <v>0.0</v>
      </c>
    </row>
    <row r="48" ht="12.75" customHeight="1">
      <c r="A48" s="50">
        <v>47.0</v>
      </c>
      <c r="B48" s="50" t="s">
        <v>8837</v>
      </c>
      <c r="C48" s="50" t="s">
        <v>916</v>
      </c>
      <c r="D48" s="50" t="s">
        <v>987</v>
      </c>
      <c r="E48" s="50" t="s">
        <v>8792</v>
      </c>
      <c r="F48" s="50" t="s">
        <v>770</v>
      </c>
      <c r="G48" s="50" t="s">
        <v>8865</v>
      </c>
      <c r="H48" s="966">
        <v>41275.0</v>
      </c>
      <c r="I48" s="50" t="s">
        <v>70</v>
      </c>
      <c r="J48" s="101">
        <v>2.103994E8</v>
      </c>
      <c r="K48" s="50">
        <v>0.0</v>
      </c>
      <c r="L48" s="50" t="s">
        <v>781</v>
      </c>
      <c r="M48" s="50"/>
      <c r="N48" s="50"/>
      <c r="O48" s="50" t="s">
        <v>92</v>
      </c>
      <c r="P48" s="50"/>
      <c r="Q48" s="50"/>
      <c r="R48" s="50" t="s">
        <v>772</v>
      </c>
      <c r="S48" s="50">
        <v>1.0</v>
      </c>
      <c r="T48" s="50">
        <v>7.0</v>
      </c>
      <c r="U48" s="50"/>
      <c r="V48" s="50" t="s">
        <v>1010</v>
      </c>
      <c r="W48" s="50" t="s">
        <v>1011</v>
      </c>
      <c r="X48" s="50" t="s">
        <v>1012</v>
      </c>
      <c r="Y48" s="50">
        <v>0.0</v>
      </c>
      <c r="Z48" s="50"/>
      <c r="AA48" s="50"/>
      <c r="AB48" s="50" t="s">
        <v>1013</v>
      </c>
      <c r="AC48" s="50"/>
      <c r="AD48" s="50"/>
      <c r="AE48" s="50" t="s">
        <v>8794</v>
      </c>
      <c r="AF48" s="50" t="s">
        <v>4470</v>
      </c>
      <c r="AG48" s="50"/>
      <c r="AH48" s="50"/>
      <c r="AI48" s="50"/>
      <c r="AJ48" s="50">
        <v>0.0</v>
      </c>
      <c r="AK48" s="101">
        <v>2.103994E8</v>
      </c>
      <c r="AL48" s="101">
        <v>0.0</v>
      </c>
      <c r="AM48" s="101">
        <v>2.103994E8</v>
      </c>
      <c r="AN48" s="101">
        <v>0.0</v>
      </c>
    </row>
    <row r="49" ht="12.75" customHeight="1">
      <c r="A49" s="50">
        <v>48.0</v>
      </c>
      <c r="B49" s="50" t="s">
        <v>8837</v>
      </c>
      <c r="C49" s="50" t="s">
        <v>916</v>
      </c>
      <c r="D49" s="50" t="s">
        <v>1015</v>
      </c>
      <c r="E49" s="50" t="s">
        <v>8792</v>
      </c>
      <c r="F49" s="50" t="s">
        <v>770</v>
      </c>
      <c r="G49" s="50" t="s">
        <v>8866</v>
      </c>
      <c r="H49" s="966">
        <v>41640.0</v>
      </c>
      <c r="I49" s="50" t="s">
        <v>70</v>
      </c>
      <c r="J49" s="101">
        <v>2.326645E8</v>
      </c>
      <c r="K49" s="50">
        <v>0.0</v>
      </c>
      <c r="L49" s="50" t="s">
        <v>858</v>
      </c>
      <c r="M49" s="50"/>
      <c r="N49" s="50"/>
      <c r="O49" s="50" t="s">
        <v>58</v>
      </c>
      <c r="P49" s="50"/>
      <c r="Q49" s="50"/>
      <c r="R49" s="50" t="s">
        <v>772</v>
      </c>
      <c r="S49" s="50">
        <v>1.0</v>
      </c>
      <c r="T49" s="50">
        <v>7.0</v>
      </c>
      <c r="U49" s="50"/>
      <c r="V49" s="83" t="s">
        <v>1016</v>
      </c>
      <c r="W49" s="83" t="s">
        <v>1017</v>
      </c>
      <c r="X49" s="83" t="s">
        <v>1018</v>
      </c>
      <c r="Y49" s="83" t="s">
        <v>1019</v>
      </c>
      <c r="Z49" s="83" t="s">
        <v>777</v>
      </c>
      <c r="AA49" s="50"/>
      <c r="AB49" s="50" t="s">
        <v>1020</v>
      </c>
      <c r="AC49" s="50"/>
      <c r="AD49" s="50"/>
      <c r="AE49" s="50" t="s">
        <v>8794</v>
      </c>
      <c r="AF49" s="50" t="s">
        <v>4470</v>
      </c>
      <c r="AG49" s="50"/>
      <c r="AH49" s="50"/>
      <c r="AI49" s="50"/>
      <c r="AJ49" s="50">
        <v>0.0</v>
      </c>
      <c r="AK49" s="101">
        <v>2.326645E8</v>
      </c>
      <c r="AL49" s="101">
        <v>0.0</v>
      </c>
      <c r="AM49" s="101">
        <v>2.326645E8</v>
      </c>
      <c r="AN49" s="101">
        <v>0.0</v>
      </c>
    </row>
    <row r="50" ht="12.75" customHeight="1">
      <c r="A50" s="50">
        <v>49.0</v>
      </c>
      <c r="B50" s="50" t="s">
        <v>8837</v>
      </c>
      <c r="C50" s="50" t="s">
        <v>916</v>
      </c>
      <c r="D50" s="50" t="s">
        <v>1015</v>
      </c>
      <c r="E50" s="50" t="s">
        <v>8792</v>
      </c>
      <c r="F50" s="50" t="s">
        <v>770</v>
      </c>
      <c r="G50" s="50" t="s">
        <v>8867</v>
      </c>
      <c r="H50" s="966">
        <v>41640.0</v>
      </c>
      <c r="I50" s="50" t="s">
        <v>70</v>
      </c>
      <c r="J50" s="101">
        <v>2.326645E8</v>
      </c>
      <c r="K50" s="50">
        <v>0.0</v>
      </c>
      <c r="L50" s="50" t="s">
        <v>858</v>
      </c>
      <c r="M50" s="50"/>
      <c r="N50" s="50"/>
      <c r="O50" s="50" t="s">
        <v>58</v>
      </c>
      <c r="P50" s="50"/>
      <c r="Q50" s="50"/>
      <c r="R50" s="50" t="s">
        <v>772</v>
      </c>
      <c r="S50" s="50">
        <v>1.0</v>
      </c>
      <c r="T50" s="50">
        <v>7.0</v>
      </c>
      <c r="U50" s="50"/>
      <c r="V50" s="83" t="s">
        <v>1021</v>
      </c>
      <c r="W50" s="83" t="s">
        <v>1022</v>
      </c>
      <c r="X50" s="83" t="s">
        <v>1023</v>
      </c>
      <c r="Y50" s="83" t="s">
        <v>1024</v>
      </c>
      <c r="Z50" s="83" t="s">
        <v>777</v>
      </c>
      <c r="AA50" s="50"/>
      <c r="AB50" s="50" t="s">
        <v>8868</v>
      </c>
      <c r="AC50" s="50"/>
      <c r="AD50" s="50"/>
      <c r="AE50" s="50" t="s">
        <v>8794</v>
      </c>
      <c r="AF50" s="50" t="s">
        <v>4470</v>
      </c>
      <c r="AG50" s="50"/>
      <c r="AH50" s="50"/>
      <c r="AI50" s="50"/>
      <c r="AJ50" s="50">
        <v>0.0</v>
      </c>
      <c r="AK50" s="101">
        <v>2.326645E8</v>
      </c>
      <c r="AL50" s="101">
        <v>0.0</v>
      </c>
      <c r="AM50" s="101">
        <v>2.326645E8</v>
      </c>
      <c r="AN50" s="101">
        <v>0.0</v>
      </c>
    </row>
    <row r="51" ht="12.75" customHeight="1">
      <c r="A51" s="50">
        <v>50.0</v>
      </c>
      <c r="B51" s="50" t="s">
        <v>8837</v>
      </c>
      <c r="C51" s="50" t="s">
        <v>916</v>
      </c>
      <c r="D51" s="50" t="s">
        <v>1015</v>
      </c>
      <c r="E51" s="50" t="s">
        <v>8792</v>
      </c>
      <c r="F51" s="50" t="s">
        <v>770</v>
      </c>
      <c r="G51" s="50" t="s">
        <v>8869</v>
      </c>
      <c r="H51" s="966">
        <v>41640.0</v>
      </c>
      <c r="I51" s="50" t="s">
        <v>70</v>
      </c>
      <c r="J51" s="101">
        <v>2.326645E8</v>
      </c>
      <c r="K51" s="50">
        <v>0.0</v>
      </c>
      <c r="L51" s="50" t="s">
        <v>858</v>
      </c>
      <c r="M51" s="50"/>
      <c r="N51" s="50"/>
      <c r="O51" s="50" t="s">
        <v>58</v>
      </c>
      <c r="P51" s="50"/>
      <c r="Q51" s="50"/>
      <c r="R51" s="50" t="s">
        <v>772</v>
      </c>
      <c r="S51" s="50">
        <v>1.0</v>
      </c>
      <c r="T51" s="50">
        <v>7.0</v>
      </c>
      <c r="U51" s="50"/>
      <c r="V51" s="83" t="s">
        <v>1027</v>
      </c>
      <c r="W51" s="83" t="s">
        <v>1017</v>
      </c>
      <c r="X51" s="83" t="s">
        <v>1018</v>
      </c>
      <c r="Y51" s="83" t="s">
        <v>1028</v>
      </c>
      <c r="Z51" s="83" t="s">
        <v>777</v>
      </c>
      <c r="AA51" s="50"/>
      <c r="AB51" s="50" t="s">
        <v>1029</v>
      </c>
      <c r="AC51" s="50"/>
      <c r="AD51" s="50"/>
      <c r="AE51" s="50" t="s">
        <v>8794</v>
      </c>
      <c r="AF51" s="50" t="s">
        <v>4470</v>
      </c>
      <c r="AG51" s="50"/>
      <c r="AH51" s="50"/>
      <c r="AI51" s="50"/>
      <c r="AJ51" s="50">
        <v>0.0</v>
      </c>
      <c r="AK51" s="101">
        <v>2.326645E8</v>
      </c>
      <c r="AL51" s="101">
        <v>0.0</v>
      </c>
      <c r="AM51" s="101">
        <v>2.326645E8</v>
      </c>
      <c r="AN51" s="101">
        <v>0.0</v>
      </c>
    </row>
    <row r="52" ht="12.75" customHeight="1">
      <c r="A52" s="50">
        <v>51.0</v>
      </c>
      <c r="B52" s="50" t="s">
        <v>8837</v>
      </c>
      <c r="C52" s="50" t="s">
        <v>916</v>
      </c>
      <c r="D52" s="50" t="s">
        <v>917</v>
      </c>
      <c r="E52" s="50" t="s">
        <v>8792</v>
      </c>
      <c r="F52" s="50" t="s">
        <v>770</v>
      </c>
      <c r="G52" s="50" t="s">
        <v>8870</v>
      </c>
      <c r="H52" s="966">
        <v>41640.0</v>
      </c>
      <c r="I52" s="50" t="s">
        <v>70</v>
      </c>
      <c r="J52" s="101">
        <v>2.0840225E8</v>
      </c>
      <c r="K52" s="50">
        <v>0.0</v>
      </c>
      <c r="L52" s="50" t="s">
        <v>858</v>
      </c>
      <c r="M52" s="50"/>
      <c r="N52" s="50"/>
      <c r="O52" s="50" t="s">
        <v>58</v>
      </c>
      <c r="P52" s="50"/>
      <c r="Q52" s="50"/>
      <c r="R52" s="50" t="s">
        <v>772</v>
      </c>
      <c r="S52" s="50">
        <v>1.0</v>
      </c>
      <c r="T52" s="50">
        <v>7.0</v>
      </c>
      <c r="U52" s="50"/>
      <c r="V52" s="83" t="s">
        <v>1031</v>
      </c>
      <c r="W52" s="83" t="s">
        <v>1032</v>
      </c>
      <c r="X52" s="83" t="s">
        <v>1033</v>
      </c>
      <c r="Y52" s="83" t="s">
        <v>1034</v>
      </c>
      <c r="Z52" s="83" t="s">
        <v>777</v>
      </c>
      <c r="AA52" s="50"/>
      <c r="AB52" s="50" t="s">
        <v>8871</v>
      </c>
      <c r="AC52" s="50"/>
      <c r="AD52" s="50"/>
      <c r="AE52" s="50" t="s">
        <v>8794</v>
      </c>
      <c r="AF52" s="50" t="s">
        <v>4470</v>
      </c>
      <c r="AG52" s="50"/>
      <c r="AH52" s="50"/>
      <c r="AI52" s="50"/>
      <c r="AJ52" s="50">
        <v>0.0</v>
      </c>
      <c r="AK52" s="101">
        <v>2.0840225E8</v>
      </c>
      <c r="AL52" s="101">
        <v>0.0</v>
      </c>
      <c r="AM52" s="101">
        <v>2.0840225E8</v>
      </c>
      <c r="AN52" s="101">
        <v>0.0</v>
      </c>
    </row>
    <row r="53" ht="12.75" customHeight="1">
      <c r="A53" s="50">
        <v>52.0</v>
      </c>
      <c r="B53" s="50" t="s">
        <v>8837</v>
      </c>
      <c r="C53" s="50" t="s">
        <v>916</v>
      </c>
      <c r="D53" s="50" t="s">
        <v>1015</v>
      </c>
      <c r="E53" s="50" t="s">
        <v>8792</v>
      </c>
      <c r="F53" s="50" t="s">
        <v>770</v>
      </c>
      <c r="G53" s="50" t="s">
        <v>8872</v>
      </c>
      <c r="H53" s="966">
        <v>41640.0</v>
      </c>
      <c r="I53" s="50" t="s">
        <v>70</v>
      </c>
      <c r="J53" s="101">
        <v>2.326645E8</v>
      </c>
      <c r="K53" s="50">
        <v>0.0</v>
      </c>
      <c r="L53" s="50" t="s">
        <v>858</v>
      </c>
      <c r="M53" s="50"/>
      <c r="N53" s="50"/>
      <c r="O53" s="50" t="s">
        <v>58</v>
      </c>
      <c r="P53" s="50"/>
      <c r="Q53" s="50"/>
      <c r="R53" s="50" t="s">
        <v>772</v>
      </c>
      <c r="S53" s="50">
        <v>1.0</v>
      </c>
      <c r="T53" s="50">
        <v>7.0</v>
      </c>
      <c r="U53" s="50"/>
      <c r="V53" s="83" t="s">
        <v>1036</v>
      </c>
      <c r="W53" s="83" t="s">
        <v>1037</v>
      </c>
      <c r="X53" s="83" t="s">
        <v>1038</v>
      </c>
      <c r="Y53" s="83" t="s">
        <v>1039</v>
      </c>
      <c r="Z53" s="83" t="s">
        <v>777</v>
      </c>
      <c r="AA53" s="50"/>
      <c r="AB53" s="50" t="s">
        <v>934</v>
      </c>
      <c r="AC53" s="50"/>
      <c r="AD53" s="50"/>
      <c r="AE53" s="50" t="s">
        <v>8794</v>
      </c>
      <c r="AF53" s="50" t="s">
        <v>4470</v>
      </c>
      <c r="AG53" s="50"/>
      <c r="AH53" s="50"/>
      <c r="AI53" s="50"/>
      <c r="AJ53" s="50">
        <v>0.0</v>
      </c>
      <c r="AK53" s="101">
        <v>2.326645E8</v>
      </c>
      <c r="AL53" s="101">
        <v>0.0</v>
      </c>
      <c r="AM53" s="101">
        <v>2.326645E8</v>
      </c>
      <c r="AN53" s="101">
        <v>0.0</v>
      </c>
    </row>
    <row r="54" ht="12.75" customHeight="1">
      <c r="A54" s="50">
        <v>53.0</v>
      </c>
      <c r="B54" s="50" t="s">
        <v>8837</v>
      </c>
      <c r="C54" s="50" t="s">
        <v>916</v>
      </c>
      <c r="D54" s="50" t="s">
        <v>916</v>
      </c>
      <c r="E54" s="50" t="s">
        <v>8792</v>
      </c>
      <c r="F54" s="50" t="s">
        <v>770</v>
      </c>
      <c r="G54" s="50" t="s">
        <v>8873</v>
      </c>
      <c r="H54" s="966">
        <v>42005.0</v>
      </c>
      <c r="I54" s="50" t="s">
        <v>70</v>
      </c>
      <c r="J54" s="101">
        <v>2.0E8</v>
      </c>
      <c r="K54" s="50">
        <v>0.0</v>
      </c>
      <c r="L54" s="50" t="s">
        <v>858</v>
      </c>
      <c r="M54" s="50"/>
      <c r="N54" s="50"/>
      <c r="O54" s="50" t="s">
        <v>1040</v>
      </c>
      <c r="P54" s="50"/>
      <c r="Q54" s="50"/>
      <c r="R54" s="50" t="s">
        <v>772</v>
      </c>
      <c r="S54" s="50">
        <v>1.0</v>
      </c>
      <c r="T54" s="50">
        <v>7.0</v>
      </c>
      <c r="U54" s="50"/>
      <c r="V54" s="50" t="s">
        <v>1041</v>
      </c>
      <c r="W54" s="50" t="s">
        <v>815</v>
      </c>
      <c r="X54" s="50" t="s">
        <v>816</v>
      </c>
      <c r="Y54" s="50">
        <v>0.0</v>
      </c>
      <c r="Z54" s="50"/>
      <c r="AA54" s="50"/>
      <c r="AB54" s="50"/>
      <c r="AC54" s="50"/>
      <c r="AD54" s="50"/>
      <c r="AE54" s="50" t="s">
        <v>8794</v>
      </c>
      <c r="AF54" s="50" t="s">
        <v>4470</v>
      </c>
      <c r="AG54" s="50"/>
      <c r="AH54" s="50"/>
      <c r="AI54" s="50"/>
      <c r="AJ54" s="50">
        <v>0.0</v>
      </c>
      <c r="AK54" s="101">
        <v>2.0E8</v>
      </c>
      <c r="AL54" s="101">
        <v>0.0</v>
      </c>
      <c r="AM54" s="101">
        <v>2.0E8</v>
      </c>
      <c r="AN54" s="101">
        <v>0.0</v>
      </c>
    </row>
    <row r="55" ht="12.75" customHeight="1">
      <c r="A55" s="50">
        <v>54.0</v>
      </c>
      <c r="B55" s="50" t="s">
        <v>8837</v>
      </c>
      <c r="C55" s="50" t="s">
        <v>916</v>
      </c>
      <c r="D55" s="50" t="s">
        <v>1042</v>
      </c>
      <c r="E55" s="50" t="s">
        <v>8792</v>
      </c>
      <c r="F55" s="50" t="s">
        <v>770</v>
      </c>
      <c r="G55" s="50" t="s">
        <v>8874</v>
      </c>
      <c r="H55" s="966">
        <v>42370.0</v>
      </c>
      <c r="I55" s="50" t="s">
        <v>70</v>
      </c>
      <c r="J55" s="101">
        <v>2.619702E8</v>
      </c>
      <c r="K55" s="50">
        <v>0.0</v>
      </c>
      <c r="L55" s="50" t="s">
        <v>858</v>
      </c>
      <c r="M55" s="50"/>
      <c r="N55" s="50"/>
      <c r="O55" s="50" t="s">
        <v>910</v>
      </c>
      <c r="P55" s="50"/>
      <c r="Q55" s="50"/>
      <c r="R55" s="50" t="s">
        <v>772</v>
      </c>
      <c r="S55" s="50">
        <v>1.0</v>
      </c>
      <c r="T55" s="50">
        <v>7.0</v>
      </c>
      <c r="U55" s="50"/>
      <c r="V55" s="83" t="s">
        <v>1043</v>
      </c>
      <c r="W55" s="83" t="s">
        <v>1044</v>
      </c>
      <c r="X55" s="83" t="s">
        <v>1045</v>
      </c>
      <c r="Y55" s="83" t="s">
        <v>1046</v>
      </c>
      <c r="Z55" s="83" t="s">
        <v>777</v>
      </c>
      <c r="AA55" s="50"/>
      <c r="AB55" s="50" t="s">
        <v>1047</v>
      </c>
      <c r="AC55" s="50"/>
      <c r="AD55" s="50"/>
      <c r="AE55" s="50" t="s">
        <v>8794</v>
      </c>
      <c r="AF55" s="50" t="s">
        <v>4470</v>
      </c>
      <c r="AG55" s="50"/>
      <c r="AH55" s="50"/>
      <c r="AI55" s="50"/>
      <c r="AJ55" s="50">
        <v>0.0</v>
      </c>
      <c r="AK55" s="101">
        <v>2.619702E8</v>
      </c>
      <c r="AL55" s="101">
        <v>0.0</v>
      </c>
      <c r="AM55" s="101">
        <v>2.619702E8</v>
      </c>
      <c r="AN55" s="101">
        <v>0.0</v>
      </c>
    </row>
    <row r="56" ht="12.75" customHeight="1">
      <c r="A56" s="50">
        <v>55.0</v>
      </c>
      <c r="B56" s="50" t="s">
        <v>8837</v>
      </c>
      <c r="C56" s="50" t="s">
        <v>916</v>
      </c>
      <c r="D56" s="50" t="s">
        <v>1042</v>
      </c>
      <c r="E56" s="50" t="s">
        <v>8792</v>
      </c>
      <c r="F56" s="50" t="s">
        <v>770</v>
      </c>
      <c r="G56" s="50" t="s">
        <v>8875</v>
      </c>
      <c r="H56" s="966">
        <v>42370.0</v>
      </c>
      <c r="I56" s="50" t="s">
        <v>70</v>
      </c>
      <c r="J56" s="101">
        <v>2.619702E8</v>
      </c>
      <c r="K56" s="50">
        <v>0.0</v>
      </c>
      <c r="L56" s="50" t="s">
        <v>858</v>
      </c>
      <c r="M56" s="50"/>
      <c r="N56" s="50"/>
      <c r="O56" s="50" t="s">
        <v>910</v>
      </c>
      <c r="P56" s="50"/>
      <c r="Q56" s="50"/>
      <c r="R56" s="50" t="s">
        <v>772</v>
      </c>
      <c r="S56" s="50">
        <v>1.0</v>
      </c>
      <c r="T56" s="50">
        <v>7.0</v>
      </c>
      <c r="U56" s="50"/>
      <c r="V56" s="83" t="s">
        <v>1048</v>
      </c>
      <c r="W56" s="83" t="s">
        <v>1049</v>
      </c>
      <c r="X56" s="83" t="s">
        <v>1050</v>
      </c>
      <c r="Y56" s="83" t="s">
        <v>1051</v>
      </c>
      <c r="Z56" s="83" t="s">
        <v>777</v>
      </c>
      <c r="AA56" s="50"/>
      <c r="AB56" s="50" t="s">
        <v>1052</v>
      </c>
      <c r="AC56" s="50"/>
      <c r="AD56" s="50"/>
      <c r="AE56" s="50" t="s">
        <v>8794</v>
      </c>
      <c r="AF56" s="50" t="s">
        <v>4470</v>
      </c>
      <c r="AG56" s="50"/>
      <c r="AH56" s="50"/>
      <c r="AI56" s="50"/>
      <c r="AJ56" s="50">
        <v>0.0</v>
      </c>
      <c r="AK56" s="101">
        <v>2.619702E8</v>
      </c>
      <c r="AL56" s="101">
        <v>0.0</v>
      </c>
      <c r="AM56" s="101">
        <v>2.619702E8</v>
      </c>
      <c r="AN56" s="101">
        <v>0.0</v>
      </c>
    </row>
    <row r="57" ht="12.75" customHeight="1">
      <c r="A57" s="50">
        <v>56.0</v>
      </c>
      <c r="B57" s="50" t="s">
        <v>8837</v>
      </c>
      <c r="C57" s="50" t="s">
        <v>916</v>
      </c>
      <c r="D57" s="50" t="s">
        <v>1042</v>
      </c>
      <c r="E57" s="50" t="s">
        <v>8792</v>
      </c>
      <c r="F57" s="50" t="s">
        <v>770</v>
      </c>
      <c r="G57" s="50" t="s">
        <v>8876</v>
      </c>
      <c r="H57" s="966">
        <v>42370.0</v>
      </c>
      <c r="I57" s="50" t="s">
        <v>70</v>
      </c>
      <c r="J57" s="101">
        <v>2.619702E8</v>
      </c>
      <c r="K57" s="50">
        <v>0.0</v>
      </c>
      <c r="L57" s="50" t="s">
        <v>858</v>
      </c>
      <c r="M57" s="50"/>
      <c r="N57" s="50"/>
      <c r="O57" s="50" t="s">
        <v>910</v>
      </c>
      <c r="P57" s="50"/>
      <c r="Q57" s="50"/>
      <c r="R57" s="50" t="s">
        <v>772</v>
      </c>
      <c r="S57" s="50">
        <v>1.0</v>
      </c>
      <c r="T57" s="50">
        <v>7.0</v>
      </c>
      <c r="U57" s="50"/>
      <c r="V57" s="83" t="s">
        <v>1053</v>
      </c>
      <c r="W57" s="83" t="s">
        <v>1054</v>
      </c>
      <c r="X57" s="83" t="s">
        <v>1055</v>
      </c>
      <c r="Y57" s="83" t="s">
        <v>1056</v>
      </c>
      <c r="Z57" s="83" t="s">
        <v>777</v>
      </c>
      <c r="AA57" s="50"/>
      <c r="AB57" s="50" t="s">
        <v>898</v>
      </c>
      <c r="AC57" s="50"/>
      <c r="AD57" s="50"/>
      <c r="AE57" s="50" t="s">
        <v>8794</v>
      </c>
      <c r="AF57" s="50" t="s">
        <v>4470</v>
      </c>
      <c r="AG57" s="50"/>
      <c r="AH57" s="50"/>
      <c r="AI57" s="50"/>
      <c r="AJ57" s="50">
        <v>0.0</v>
      </c>
      <c r="AK57" s="101">
        <v>2.619702E8</v>
      </c>
      <c r="AL57" s="101">
        <v>0.0</v>
      </c>
      <c r="AM57" s="101">
        <v>2.619702E8</v>
      </c>
      <c r="AN57" s="101">
        <v>0.0</v>
      </c>
    </row>
    <row r="58" ht="12.75" customHeight="1">
      <c r="A58" s="50">
        <v>57.0</v>
      </c>
      <c r="B58" s="50" t="s">
        <v>8837</v>
      </c>
      <c r="C58" s="50" t="s">
        <v>916</v>
      </c>
      <c r="D58" s="50" t="s">
        <v>1042</v>
      </c>
      <c r="E58" s="50" t="s">
        <v>8792</v>
      </c>
      <c r="F58" s="50" t="s">
        <v>770</v>
      </c>
      <c r="G58" s="50" t="s">
        <v>8877</v>
      </c>
      <c r="H58" s="966">
        <v>42370.0</v>
      </c>
      <c r="I58" s="50" t="s">
        <v>70</v>
      </c>
      <c r="J58" s="101">
        <v>2.619702E8</v>
      </c>
      <c r="K58" s="50">
        <v>0.0</v>
      </c>
      <c r="L58" s="50" t="s">
        <v>858</v>
      </c>
      <c r="M58" s="50"/>
      <c r="N58" s="50"/>
      <c r="O58" s="50" t="s">
        <v>910</v>
      </c>
      <c r="P58" s="50"/>
      <c r="Q58" s="50"/>
      <c r="R58" s="50" t="s">
        <v>772</v>
      </c>
      <c r="S58" s="50">
        <v>1.0</v>
      </c>
      <c r="T58" s="50">
        <v>7.0</v>
      </c>
      <c r="U58" s="50"/>
      <c r="V58" s="50" t="s">
        <v>1059</v>
      </c>
      <c r="W58" s="50"/>
      <c r="X58" s="50"/>
      <c r="Y58" s="50">
        <v>0.0</v>
      </c>
      <c r="Z58" s="50"/>
      <c r="AA58" s="50"/>
      <c r="AB58" s="50" t="s">
        <v>1060</v>
      </c>
      <c r="AC58" s="50"/>
      <c r="AD58" s="50"/>
      <c r="AE58" s="50" t="s">
        <v>8794</v>
      </c>
      <c r="AF58" s="50" t="s">
        <v>4470</v>
      </c>
      <c r="AG58" s="50"/>
      <c r="AH58" s="50"/>
      <c r="AI58" s="50"/>
      <c r="AJ58" s="50">
        <v>0.0</v>
      </c>
      <c r="AK58" s="101">
        <v>2.619702E8</v>
      </c>
      <c r="AL58" s="101">
        <v>0.0</v>
      </c>
      <c r="AM58" s="101">
        <v>2.619702E8</v>
      </c>
      <c r="AN58" s="101">
        <v>0.0</v>
      </c>
    </row>
    <row r="59" ht="12.75" customHeight="1">
      <c r="A59" s="50">
        <v>58.0</v>
      </c>
      <c r="B59" s="50" t="s">
        <v>8837</v>
      </c>
      <c r="C59" s="50" t="s">
        <v>916</v>
      </c>
      <c r="D59" s="50" t="s">
        <v>1042</v>
      </c>
      <c r="E59" s="50" t="s">
        <v>8792</v>
      </c>
      <c r="F59" s="50" t="s">
        <v>770</v>
      </c>
      <c r="G59" s="50" t="s">
        <v>8878</v>
      </c>
      <c r="H59" s="966">
        <v>42370.0</v>
      </c>
      <c r="I59" s="50" t="s">
        <v>70</v>
      </c>
      <c r="J59" s="101">
        <v>2.619702E8</v>
      </c>
      <c r="K59" s="50">
        <v>0.0</v>
      </c>
      <c r="L59" s="50" t="s">
        <v>858</v>
      </c>
      <c r="M59" s="50"/>
      <c r="N59" s="50"/>
      <c r="O59" s="50" t="s">
        <v>910</v>
      </c>
      <c r="P59" s="50"/>
      <c r="Q59" s="50"/>
      <c r="R59" s="50" t="s">
        <v>772</v>
      </c>
      <c r="S59" s="50">
        <v>1.0</v>
      </c>
      <c r="T59" s="50">
        <v>7.0</v>
      </c>
      <c r="U59" s="50"/>
      <c r="V59" s="83" t="s">
        <v>1061</v>
      </c>
      <c r="W59" s="83" t="s">
        <v>1062</v>
      </c>
      <c r="X59" s="83" t="s">
        <v>1063</v>
      </c>
      <c r="Y59" s="83" t="s">
        <v>1064</v>
      </c>
      <c r="Z59" s="83" t="s">
        <v>777</v>
      </c>
      <c r="AA59" s="50"/>
      <c r="AB59" s="50" t="s">
        <v>1065</v>
      </c>
      <c r="AC59" s="50"/>
      <c r="AD59" s="50"/>
      <c r="AE59" s="50" t="s">
        <v>8794</v>
      </c>
      <c r="AF59" s="50" t="s">
        <v>4470</v>
      </c>
      <c r="AG59" s="50"/>
      <c r="AH59" s="50"/>
      <c r="AI59" s="50"/>
      <c r="AJ59" s="50">
        <v>0.0</v>
      </c>
      <c r="AK59" s="101">
        <v>2.619702E8</v>
      </c>
      <c r="AL59" s="101">
        <v>0.0</v>
      </c>
      <c r="AM59" s="101">
        <v>2.619702E8</v>
      </c>
      <c r="AN59" s="101">
        <v>0.0</v>
      </c>
    </row>
    <row r="60" ht="12.75" customHeight="1">
      <c r="A60" s="50">
        <v>59.0</v>
      </c>
      <c r="B60" s="50" t="s">
        <v>8837</v>
      </c>
      <c r="C60" s="50" t="s">
        <v>916</v>
      </c>
      <c r="D60" s="50" t="s">
        <v>1042</v>
      </c>
      <c r="E60" s="50" t="s">
        <v>8792</v>
      </c>
      <c r="F60" s="50" t="s">
        <v>770</v>
      </c>
      <c r="G60" s="50" t="s">
        <v>8879</v>
      </c>
      <c r="H60" s="966">
        <v>42370.0</v>
      </c>
      <c r="I60" s="50" t="s">
        <v>70</v>
      </c>
      <c r="J60" s="101">
        <v>2.619702E8</v>
      </c>
      <c r="K60" s="50">
        <v>0.0</v>
      </c>
      <c r="L60" s="50" t="s">
        <v>858</v>
      </c>
      <c r="M60" s="50"/>
      <c r="N60" s="50"/>
      <c r="O60" s="50" t="s">
        <v>910</v>
      </c>
      <c r="P60" s="50"/>
      <c r="Q60" s="50"/>
      <c r="R60" s="50" t="s">
        <v>772</v>
      </c>
      <c r="S60" s="50">
        <v>1.0</v>
      </c>
      <c r="T60" s="50">
        <v>7.0</v>
      </c>
      <c r="U60" s="50"/>
      <c r="V60" s="83" t="s">
        <v>1066</v>
      </c>
      <c r="W60" s="83" t="s">
        <v>1067</v>
      </c>
      <c r="X60" s="83" t="s">
        <v>1068</v>
      </c>
      <c r="Y60" s="83" t="s">
        <v>1069</v>
      </c>
      <c r="Z60" s="83" t="s">
        <v>777</v>
      </c>
      <c r="AA60" s="50"/>
      <c r="AB60" s="50" t="s">
        <v>1070</v>
      </c>
      <c r="AC60" s="50"/>
      <c r="AD60" s="50"/>
      <c r="AE60" s="50" t="s">
        <v>8794</v>
      </c>
      <c r="AF60" s="50" t="s">
        <v>4470</v>
      </c>
      <c r="AG60" s="50"/>
      <c r="AH60" s="50"/>
      <c r="AI60" s="50"/>
      <c r="AJ60" s="50">
        <v>0.0</v>
      </c>
      <c r="AK60" s="101">
        <v>2.619702E8</v>
      </c>
      <c r="AL60" s="101">
        <v>0.0</v>
      </c>
      <c r="AM60" s="101">
        <v>2.619702E8</v>
      </c>
      <c r="AN60" s="101">
        <v>0.0</v>
      </c>
    </row>
    <row r="61" ht="12.75" customHeight="1">
      <c r="A61" s="50">
        <v>60.0</v>
      </c>
      <c r="B61" s="50" t="s">
        <v>8837</v>
      </c>
      <c r="C61" s="50" t="s">
        <v>916</v>
      </c>
      <c r="D61" s="50" t="s">
        <v>917</v>
      </c>
      <c r="E61" s="50" t="s">
        <v>8792</v>
      </c>
      <c r="F61" s="50" t="s">
        <v>770</v>
      </c>
      <c r="G61" s="50" t="s">
        <v>8880</v>
      </c>
      <c r="H61" s="966">
        <v>42736.0</v>
      </c>
      <c r="I61" s="50" t="s">
        <v>70</v>
      </c>
      <c r="J61" s="101">
        <v>3.268E8</v>
      </c>
      <c r="K61" s="50">
        <v>0.0</v>
      </c>
      <c r="L61" s="50" t="s">
        <v>771</v>
      </c>
      <c r="M61" s="50"/>
      <c r="N61" s="50"/>
      <c r="O61" s="50" t="s">
        <v>71</v>
      </c>
      <c r="P61" s="50"/>
      <c r="Q61" s="50"/>
      <c r="R61" s="50" t="s">
        <v>772</v>
      </c>
      <c r="S61" s="50">
        <v>1.0</v>
      </c>
      <c r="T61" s="50">
        <v>7.0</v>
      </c>
      <c r="U61" s="50"/>
      <c r="V61" s="83" t="s">
        <v>1071</v>
      </c>
      <c r="W61" s="83" t="s">
        <v>1072</v>
      </c>
      <c r="X61" s="83" t="s">
        <v>1073</v>
      </c>
      <c r="Y61" s="83" t="s">
        <v>1074</v>
      </c>
      <c r="Z61" s="83" t="s">
        <v>777</v>
      </c>
      <c r="AA61" s="50"/>
      <c r="AB61" s="50"/>
      <c r="AC61" s="50"/>
      <c r="AD61" s="50"/>
      <c r="AE61" s="50" t="s">
        <v>8794</v>
      </c>
      <c r="AF61" s="50" t="s">
        <v>4470</v>
      </c>
      <c r="AG61" s="50"/>
      <c r="AH61" s="50"/>
      <c r="AI61" s="50"/>
      <c r="AJ61" s="50">
        <v>0.0</v>
      </c>
      <c r="AK61" s="101">
        <v>3.268E8</v>
      </c>
      <c r="AL61" s="101">
        <v>0.0</v>
      </c>
      <c r="AM61" s="101">
        <v>3.268E8</v>
      </c>
      <c r="AN61" s="101">
        <v>0.0</v>
      </c>
    </row>
    <row r="62" ht="12.75" customHeight="1">
      <c r="A62" s="50">
        <v>61.0</v>
      </c>
      <c r="B62" s="50" t="s">
        <v>8837</v>
      </c>
      <c r="C62" s="50" t="s">
        <v>916</v>
      </c>
      <c r="D62" s="50" t="s">
        <v>916</v>
      </c>
      <c r="E62" s="50" t="s">
        <v>8792</v>
      </c>
      <c r="F62" s="50" t="s">
        <v>770</v>
      </c>
      <c r="G62" s="50" t="s">
        <v>8881</v>
      </c>
      <c r="H62" s="966">
        <v>43101.0</v>
      </c>
      <c r="I62" s="50" t="s">
        <v>70</v>
      </c>
      <c r="J62" s="101">
        <v>4.23572E8</v>
      </c>
      <c r="K62" s="50">
        <v>0.0</v>
      </c>
      <c r="L62" s="50" t="s">
        <v>858</v>
      </c>
      <c r="M62" s="50"/>
      <c r="N62" s="50"/>
      <c r="O62" s="50" t="s">
        <v>1076</v>
      </c>
      <c r="P62" s="50"/>
      <c r="Q62" s="50"/>
      <c r="R62" s="50" t="s">
        <v>772</v>
      </c>
      <c r="S62" s="50">
        <v>1.0</v>
      </c>
      <c r="T62" s="50">
        <v>7.0</v>
      </c>
      <c r="U62" s="50"/>
      <c r="V62" s="83" t="s">
        <v>1077</v>
      </c>
      <c r="W62" s="83" t="s">
        <v>1078</v>
      </c>
      <c r="X62" s="83" t="s">
        <v>1079</v>
      </c>
      <c r="Y62" s="83" t="s">
        <v>1080</v>
      </c>
      <c r="Z62" s="83" t="s">
        <v>777</v>
      </c>
      <c r="AA62" s="50"/>
      <c r="AB62" s="50"/>
      <c r="AC62" s="50"/>
      <c r="AD62" s="50"/>
      <c r="AE62" s="50" t="s">
        <v>8794</v>
      </c>
      <c r="AF62" s="50" t="s">
        <v>4470</v>
      </c>
      <c r="AG62" s="50"/>
      <c r="AH62" s="50"/>
      <c r="AI62" s="50"/>
      <c r="AJ62" s="50">
        <v>0.0</v>
      </c>
      <c r="AK62" s="101">
        <v>4.23572E8</v>
      </c>
      <c r="AL62" s="101">
        <v>0.0</v>
      </c>
      <c r="AM62" s="101">
        <v>4.23572E8</v>
      </c>
      <c r="AN62" s="101">
        <v>0.0</v>
      </c>
    </row>
    <row r="63" ht="12.75" customHeight="1">
      <c r="A63" s="50">
        <v>62.0</v>
      </c>
      <c r="B63" s="50" t="s">
        <v>8837</v>
      </c>
      <c r="C63" s="50" t="s">
        <v>916</v>
      </c>
      <c r="D63" s="50" t="s">
        <v>1082</v>
      </c>
      <c r="E63" s="50" t="s">
        <v>8792</v>
      </c>
      <c r="F63" s="50" t="s">
        <v>770</v>
      </c>
      <c r="G63" s="50" t="s">
        <v>8882</v>
      </c>
      <c r="H63" s="966">
        <v>43466.0</v>
      </c>
      <c r="I63" s="50" t="s">
        <v>70</v>
      </c>
      <c r="J63" s="101">
        <v>3.18561273E8</v>
      </c>
      <c r="K63" s="50">
        <v>0.0</v>
      </c>
      <c r="L63" s="50" t="s">
        <v>858</v>
      </c>
      <c r="M63" s="50"/>
      <c r="N63" s="50"/>
      <c r="O63" s="50" t="s">
        <v>78</v>
      </c>
      <c r="P63" s="50"/>
      <c r="Q63" s="50"/>
      <c r="R63" s="50" t="s">
        <v>772</v>
      </c>
      <c r="S63" s="50">
        <v>1.0</v>
      </c>
      <c r="T63" s="50">
        <v>7.0</v>
      </c>
      <c r="U63" s="50"/>
      <c r="V63" s="83" t="s">
        <v>1083</v>
      </c>
      <c r="W63" s="83" t="s">
        <v>1084</v>
      </c>
      <c r="X63" s="83" t="s">
        <v>1085</v>
      </c>
      <c r="Y63" s="83" t="s">
        <v>1086</v>
      </c>
      <c r="Z63" s="83" t="s">
        <v>777</v>
      </c>
      <c r="AA63" s="50"/>
      <c r="AB63" s="50" t="s">
        <v>8883</v>
      </c>
      <c r="AC63" s="50"/>
      <c r="AD63" s="50"/>
      <c r="AE63" s="50" t="s">
        <v>8794</v>
      </c>
      <c r="AF63" s="50" t="s">
        <v>4470</v>
      </c>
      <c r="AG63" s="50"/>
      <c r="AH63" s="50"/>
      <c r="AI63" s="50"/>
      <c r="AJ63" s="50">
        <v>0.0</v>
      </c>
      <c r="AK63" s="101">
        <v>2.7305251972E8</v>
      </c>
      <c r="AL63" s="101">
        <v>4.550875329E7</v>
      </c>
      <c r="AM63" s="101">
        <v>3.1856127301E8</v>
      </c>
      <c r="AN63" s="101">
        <v>0.0</v>
      </c>
    </row>
    <row r="64" ht="12.75" customHeight="1">
      <c r="A64" s="50">
        <v>63.0</v>
      </c>
      <c r="B64" s="50" t="s">
        <v>8837</v>
      </c>
      <c r="C64" s="50" t="s">
        <v>916</v>
      </c>
      <c r="D64" s="50" t="s">
        <v>1088</v>
      </c>
      <c r="E64" s="50" t="s">
        <v>8792</v>
      </c>
      <c r="F64" s="50" t="s">
        <v>770</v>
      </c>
      <c r="G64" s="50" t="s">
        <v>8884</v>
      </c>
      <c r="H64" s="966">
        <v>43466.0</v>
      </c>
      <c r="I64" s="50" t="s">
        <v>70</v>
      </c>
      <c r="J64" s="101">
        <v>2.96011E8</v>
      </c>
      <c r="K64" s="50">
        <v>0.0</v>
      </c>
      <c r="L64" s="50" t="s">
        <v>858</v>
      </c>
      <c r="M64" s="50"/>
      <c r="N64" s="50"/>
      <c r="O64" s="50" t="s">
        <v>78</v>
      </c>
      <c r="P64" s="50"/>
      <c r="Q64" s="50"/>
      <c r="R64" s="50" t="s">
        <v>772</v>
      </c>
      <c r="S64" s="50">
        <v>1.0</v>
      </c>
      <c r="T64" s="50">
        <v>7.0</v>
      </c>
      <c r="U64" s="50"/>
      <c r="V64" s="50"/>
      <c r="W64" s="50"/>
      <c r="X64" s="50"/>
      <c r="Y64" s="50">
        <v>0.0</v>
      </c>
      <c r="Z64" s="50"/>
      <c r="AA64" s="50"/>
      <c r="AB64" s="50" t="s">
        <v>8885</v>
      </c>
      <c r="AC64" s="50"/>
      <c r="AD64" s="50"/>
      <c r="AE64" s="50" t="s">
        <v>8794</v>
      </c>
      <c r="AF64" s="50" t="s">
        <v>4470</v>
      </c>
      <c r="AG64" s="50"/>
      <c r="AH64" s="50"/>
      <c r="AI64" s="50"/>
      <c r="AJ64" s="50">
        <v>0.0</v>
      </c>
      <c r="AK64" s="101">
        <v>2.5372371428E8</v>
      </c>
      <c r="AL64" s="101">
        <v>4.228728571E7</v>
      </c>
      <c r="AM64" s="101">
        <v>2.9601099999E8</v>
      </c>
      <c r="AN64" s="101">
        <v>0.0</v>
      </c>
    </row>
    <row r="65" ht="12.75" customHeight="1">
      <c r="A65" s="50">
        <v>64.0</v>
      </c>
      <c r="B65" s="50" t="s">
        <v>8837</v>
      </c>
      <c r="C65" s="50" t="s">
        <v>916</v>
      </c>
      <c r="D65" s="50" t="s">
        <v>1088</v>
      </c>
      <c r="E65" s="50" t="s">
        <v>8792</v>
      </c>
      <c r="F65" s="50" t="s">
        <v>770</v>
      </c>
      <c r="G65" s="50" t="s">
        <v>8886</v>
      </c>
      <c r="H65" s="966">
        <v>43466.0</v>
      </c>
      <c r="I65" s="50" t="s">
        <v>70</v>
      </c>
      <c r="J65" s="101">
        <v>2.9905E8</v>
      </c>
      <c r="K65" s="50">
        <v>0.0</v>
      </c>
      <c r="L65" s="50" t="s">
        <v>858</v>
      </c>
      <c r="M65" s="50"/>
      <c r="N65" s="50"/>
      <c r="O65" s="50" t="s">
        <v>78</v>
      </c>
      <c r="P65" s="50"/>
      <c r="Q65" s="50"/>
      <c r="R65" s="50" t="s">
        <v>772</v>
      </c>
      <c r="S65" s="50">
        <v>1.0</v>
      </c>
      <c r="T65" s="50">
        <v>7.0</v>
      </c>
      <c r="U65" s="50"/>
      <c r="V65" s="83" t="s">
        <v>1090</v>
      </c>
      <c r="W65" s="83" t="s">
        <v>1091</v>
      </c>
      <c r="X65" s="83" t="s">
        <v>1092</v>
      </c>
      <c r="Y65" s="83" t="s">
        <v>1093</v>
      </c>
      <c r="Z65" s="83" t="s">
        <v>777</v>
      </c>
      <c r="AA65" s="50"/>
      <c r="AB65" s="50" t="s">
        <v>1094</v>
      </c>
      <c r="AC65" s="50"/>
      <c r="AD65" s="50"/>
      <c r="AE65" s="50" t="s">
        <v>8794</v>
      </c>
      <c r="AF65" s="50" t="s">
        <v>4470</v>
      </c>
      <c r="AG65" s="50"/>
      <c r="AH65" s="50"/>
      <c r="AI65" s="50"/>
      <c r="AJ65" s="50">
        <v>0.0</v>
      </c>
      <c r="AK65" s="101">
        <v>2.5632857143E8</v>
      </c>
      <c r="AL65" s="101">
        <v>4.272142857E7</v>
      </c>
      <c r="AM65" s="101">
        <v>2.9905E8</v>
      </c>
      <c r="AN65" s="101">
        <v>0.0</v>
      </c>
    </row>
    <row r="66" ht="12.75" customHeight="1">
      <c r="A66" s="50">
        <v>65.0</v>
      </c>
      <c r="B66" s="50" t="s">
        <v>8837</v>
      </c>
      <c r="C66" s="50" t="s">
        <v>916</v>
      </c>
      <c r="D66" s="50" t="s">
        <v>1088</v>
      </c>
      <c r="E66" s="50" t="s">
        <v>8792</v>
      </c>
      <c r="F66" s="50" t="s">
        <v>770</v>
      </c>
      <c r="G66" s="50" t="s">
        <v>8887</v>
      </c>
      <c r="H66" s="966">
        <v>43466.0</v>
      </c>
      <c r="I66" s="50" t="s">
        <v>70</v>
      </c>
      <c r="J66" s="101">
        <v>2.9905E8</v>
      </c>
      <c r="K66" s="50">
        <v>0.0</v>
      </c>
      <c r="L66" s="50" t="s">
        <v>858</v>
      </c>
      <c r="M66" s="50"/>
      <c r="N66" s="50"/>
      <c r="O66" s="50" t="s">
        <v>78</v>
      </c>
      <c r="P66" s="50"/>
      <c r="Q66" s="50"/>
      <c r="R66" s="50" t="s">
        <v>772</v>
      </c>
      <c r="S66" s="50">
        <v>1.0</v>
      </c>
      <c r="T66" s="50">
        <v>7.0</v>
      </c>
      <c r="U66" s="50"/>
      <c r="V66" s="83" t="s">
        <v>1095</v>
      </c>
      <c r="W66" s="83" t="s">
        <v>1096</v>
      </c>
      <c r="X66" s="83" t="s">
        <v>1097</v>
      </c>
      <c r="Y66" s="83" t="s">
        <v>1098</v>
      </c>
      <c r="Z66" s="83" t="s">
        <v>777</v>
      </c>
      <c r="AA66" s="50"/>
      <c r="AB66" s="50" t="s">
        <v>1099</v>
      </c>
      <c r="AC66" s="50"/>
      <c r="AD66" s="50"/>
      <c r="AE66" s="50" t="s">
        <v>8794</v>
      </c>
      <c r="AF66" s="50" t="s">
        <v>4470</v>
      </c>
      <c r="AG66" s="50"/>
      <c r="AH66" s="50"/>
      <c r="AI66" s="50"/>
      <c r="AJ66" s="50">
        <v>0.0</v>
      </c>
      <c r="AK66" s="101">
        <v>2.5632857143E8</v>
      </c>
      <c r="AL66" s="101">
        <v>4.272142857E7</v>
      </c>
      <c r="AM66" s="101">
        <v>2.9905E8</v>
      </c>
      <c r="AN66" s="101">
        <v>0.0</v>
      </c>
    </row>
    <row r="67" ht="12.75" customHeight="1">
      <c r="A67" s="50">
        <v>66.0</v>
      </c>
      <c r="B67" s="50" t="s">
        <v>8837</v>
      </c>
      <c r="C67" s="50" t="s">
        <v>916</v>
      </c>
      <c r="D67" s="50" t="s">
        <v>1088</v>
      </c>
      <c r="E67" s="50" t="s">
        <v>8792</v>
      </c>
      <c r="F67" s="50" t="s">
        <v>770</v>
      </c>
      <c r="G67" s="50" t="s">
        <v>8888</v>
      </c>
      <c r="H67" s="966">
        <v>43466.0</v>
      </c>
      <c r="I67" s="50" t="s">
        <v>70</v>
      </c>
      <c r="J67" s="101">
        <v>2.9905E8</v>
      </c>
      <c r="K67" s="50">
        <v>0.0</v>
      </c>
      <c r="L67" s="50" t="s">
        <v>858</v>
      </c>
      <c r="M67" s="50"/>
      <c r="N67" s="50"/>
      <c r="O67" s="50" t="s">
        <v>78</v>
      </c>
      <c r="P67" s="50"/>
      <c r="Q67" s="50"/>
      <c r="R67" s="50" t="s">
        <v>772</v>
      </c>
      <c r="S67" s="50">
        <v>1.0</v>
      </c>
      <c r="T67" s="50">
        <v>7.0</v>
      </c>
      <c r="U67" s="50"/>
      <c r="V67" s="83" t="s">
        <v>1100</v>
      </c>
      <c r="W67" s="83" t="s">
        <v>1101</v>
      </c>
      <c r="X67" s="83" t="s">
        <v>1102</v>
      </c>
      <c r="Y67" s="83" t="s">
        <v>1103</v>
      </c>
      <c r="Z67" s="83" t="s">
        <v>777</v>
      </c>
      <c r="AA67" s="50"/>
      <c r="AB67" s="50" t="s">
        <v>1104</v>
      </c>
      <c r="AC67" s="50"/>
      <c r="AD67" s="50"/>
      <c r="AE67" s="50" t="s">
        <v>8794</v>
      </c>
      <c r="AF67" s="50" t="s">
        <v>4470</v>
      </c>
      <c r="AG67" s="50"/>
      <c r="AH67" s="50"/>
      <c r="AI67" s="50"/>
      <c r="AJ67" s="50">
        <v>0.0</v>
      </c>
      <c r="AK67" s="101">
        <v>2.5632857143E8</v>
      </c>
      <c r="AL67" s="101">
        <v>4.272142857E7</v>
      </c>
      <c r="AM67" s="101">
        <v>2.9905E8</v>
      </c>
      <c r="AN67" s="101">
        <v>0.0</v>
      </c>
    </row>
    <row r="68" ht="12.75" customHeight="1">
      <c r="A68" s="50">
        <v>67.0</v>
      </c>
      <c r="B68" s="50" t="s">
        <v>8837</v>
      </c>
      <c r="C68" s="50" t="s">
        <v>916</v>
      </c>
      <c r="D68" s="50" t="s">
        <v>1088</v>
      </c>
      <c r="E68" s="50" t="s">
        <v>8792</v>
      </c>
      <c r="F68" s="50" t="s">
        <v>770</v>
      </c>
      <c r="G68" s="50" t="s">
        <v>8889</v>
      </c>
      <c r="H68" s="966">
        <v>43466.0</v>
      </c>
      <c r="I68" s="50" t="s">
        <v>70</v>
      </c>
      <c r="J68" s="101">
        <v>2.96011E8</v>
      </c>
      <c r="K68" s="50">
        <v>0.0</v>
      </c>
      <c r="L68" s="50" t="s">
        <v>858</v>
      </c>
      <c r="M68" s="50"/>
      <c r="N68" s="50"/>
      <c r="O68" s="50" t="s">
        <v>78</v>
      </c>
      <c r="P68" s="50"/>
      <c r="Q68" s="50"/>
      <c r="R68" s="50" t="s">
        <v>772</v>
      </c>
      <c r="S68" s="50">
        <v>1.0</v>
      </c>
      <c r="T68" s="50">
        <v>7.0</v>
      </c>
      <c r="U68" s="50"/>
      <c r="V68" s="50"/>
      <c r="W68" s="50"/>
      <c r="X68" s="50"/>
      <c r="Y68" s="50">
        <v>0.0</v>
      </c>
      <c r="Z68" s="50"/>
      <c r="AA68" s="50"/>
      <c r="AB68" s="50" t="s">
        <v>8890</v>
      </c>
      <c r="AC68" s="50"/>
      <c r="AD68" s="50"/>
      <c r="AE68" s="50" t="s">
        <v>8794</v>
      </c>
      <c r="AF68" s="50" t="s">
        <v>4470</v>
      </c>
      <c r="AG68" s="50"/>
      <c r="AH68" s="50"/>
      <c r="AI68" s="50"/>
      <c r="AJ68" s="50">
        <v>0.0</v>
      </c>
      <c r="AK68" s="101">
        <v>2.5372371428E8</v>
      </c>
      <c r="AL68" s="101">
        <v>4.228728571E7</v>
      </c>
      <c r="AM68" s="101">
        <v>2.9601099999E8</v>
      </c>
      <c r="AN68" s="101">
        <v>0.0</v>
      </c>
    </row>
    <row r="69" ht="12.75" customHeight="1">
      <c r="A69" s="50">
        <v>68.0</v>
      </c>
      <c r="B69" s="50" t="s">
        <v>8837</v>
      </c>
      <c r="C69" s="50" t="s">
        <v>916</v>
      </c>
      <c r="D69" s="50" t="s">
        <v>917</v>
      </c>
      <c r="E69" s="50" t="s">
        <v>8792</v>
      </c>
      <c r="F69" s="50" t="s">
        <v>770</v>
      </c>
      <c r="G69" s="50" t="s">
        <v>8891</v>
      </c>
      <c r="H69" s="966">
        <v>43831.0</v>
      </c>
      <c r="I69" s="50" t="s">
        <v>70</v>
      </c>
      <c r="J69" s="101">
        <v>3.263E8</v>
      </c>
      <c r="K69" s="50">
        <v>0.0</v>
      </c>
      <c r="L69" s="50" t="s">
        <v>858</v>
      </c>
      <c r="M69" s="50"/>
      <c r="N69" s="50"/>
      <c r="O69" s="50" t="s">
        <v>862</v>
      </c>
      <c r="P69" s="50"/>
      <c r="Q69" s="50"/>
      <c r="R69" s="50" t="s">
        <v>772</v>
      </c>
      <c r="S69" s="50">
        <v>1.0</v>
      </c>
      <c r="T69" s="50">
        <v>7.0</v>
      </c>
      <c r="U69" s="50"/>
      <c r="V69" s="50" t="s">
        <v>1107</v>
      </c>
      <c r="W69" s="50" t="s">
        <v>1108</v>
      </c>
      <c r="X69" s="50" t="s">
        <v>1109</v>
      </c>
      <c r="Y69" s="50">
        <v>0.0</v>
      </c>
      <c r="Z69" s="50"/>
      <c r="AA69" s="50"/>
      <c r="AB69" s="29" t="s">
        <v>8808</v>
      </c>
      <c r="AC69" s="50"/>
      <c r="AD69" s="50"/>
      <c r="AE69" s="50" t="s">
        <v>8794</v>
      </c>
      <c r="AF69" s="50" t="s">
        <v>4470</v>
      </c>
      <c r="AG69" s="50"/>
      <c r="AH69" s="50"/>
      <c r="AI69" s="50"/>
      <c r="AJ69" s="50">
        <v>0.0</v>
      </c>
      <c r="AK69" s="101">
        <v>2.3307142857E8</v>
      </c>
      <c r="AL69" s="101">
        <v>4.661428571E7</v>
      </c>
      <c r="AM69" s="101">
        <v>2.7968571428E8</v>
      </c>
      <c r="AN69" s="101">
        <v>4.661428572E7</v>
      </c>
    </row>
    <row r="70" ht="12.75" customHeight="1">
      <c r="A70" s="50">
        <v>69.0</v>
      </c>
      <c r="B70" s="50" t="s">
        <v>8837</v>
      </c>
      <c r="C70" s="50" t="s">
        <v>916</v>
      </c>
      <c r="D70" s="50" t="s">
        <v>916</v>
      </c>
      <c r="E70" s="50" t="s">
        <v>8792</v>
      </c>
      <c r="F70" s="50" t="s">
        <v>770</v>
      </c>
      <c r="G70" s="50" t="s">
        <v>8892</v>
      </c>
      <c r="H70" s="966">
        <v>43831.0</v>
      </c>
      <c r="I70" s="50" t="s">
        <v>70</v>
      </c>
      <c r="J70" s="101">
        <v>4.98E8</v>
      </c>
      <c r="K70" s="50">
        <v>0.0</v>
      </c>
      <c r="L70" s="50" t="s">
        <v>858</v>
      </c>
      <c r="M70" s="50"/>
      <c r="N70" s="50"/>
      <c r="O70" s="50" t="s">
        <v>862</v>
      </c>
      <c r="P70" s="50"/>
      <c r="Q70" s="50"/>
      <c r="R70" s="50" t="s">
        <v>772</v>
      </c>
      <c r="S70" s="50">
        <v>1.0</v>
      </c>
      <c r="T70" s="50">
        <v>7.0</v>
      </c>
      <c r="U70" s="50"/>
      <c r="V70" s="50" t="s">
        <v>1110</v>
      </c>
      <c r="W70" s="50" t="s">
        <v>1111</v>
      </c>
      <c r="X70" s="50" t="s">
        <v>1112</v>
      </c>
      <c r="Y70" s="50">
        <v>0.0</v>
      </c>
      <c r="Z70" s="50"/>
      <c r="AA70" s="50"/>
      <c r="AB70" s="50" t="s">
        <v>1113</v>
      </c>
      <c r="AC70" s="50"/>
      <c r="AD70" s="50"/>
      <c r="AE70" s="50" t="s">
        <v>8794</v>
      </c>
      <c r="AF70" s="50" t="s">
        <v>4470</v>
      </c>
      <c r="AG70" s="50"/>
      <c r="AH70" s="50"/>
      <c r="AI70" s="50"/>
      <c r="AJ70" s="50">
        <v>0.0</v>
      </c>
      <c r="AK70" s="101">
        <v>3.5571428571E8</v>
      </c>
      <c r="AL70" s="101">
        <v>7.114285714E7</v>
      </c>
      <c r="AM70" s="101">
        <v>4.2685714285E8</v>
      </c>
      <c r="AN70" s="101">
        <v>7.114285715E7</v>
      </c>
    </row>
    <row r="71" ht="12.75" customHeight="1">
      <c r="A71" s="50">
        <v>70.0</v>
      </c>
      <c r="B71" s="50" t="s">
        <v>8837</v>
      </c>
      <c r="C71" s="50" t="s">
        <v>916</v>
      </c>
      <c r="D71" s="50" t="s">
        <v>916</v>
      </c>
      <c r="E71" s="50" t="s">
        <v>8792</v>
      </c>
      <c r="F71" s="50" t="s">
        <v>770</v>
      </c>
      <c r="G71" s="50" t="s">
        <v>8893</v>
      </c>
      <c r="H71" s="966">
        <v>43831.0</v>
      </c>
      <c r="I71" s="50" t="s">
        <v>70</v>
      </c>
      <c r="J71" s="101">
        <v>4.98E8</v>
      </c>
      <c r="K71" s="50">
        <v>0.0</v>
      </c>
      <c r="L71" s="50" t="s">
        <v>858</v>
      </c>
      <c r="M71" s="50"/>
      <c r="N71" s="50"/>
      <c r="O71" s="50" t="s">
        <v>862</v>
      </c>
      <c r="P71" s="50"/>
      <c r="Q71" s="50"/>
      <c r="R71" s="50" t="s">
        <v>772</v>
      </c>
      <c r="S71" s="50">
        <v>1.0</v>
      </c>
      <c r="T71" s="50">
        <v>7.0</v>
      </c>
      <c r="U71" s="50"/>
      <c r="V71" s="50" t="s">
        <v>1115</v>
      </c>
      <c r="W71" s="50" t="s">
        <v>1116</v>
      </c>
      <c r="X71" s="50" t="s">
        <v>1117</v>
      </c>
      <c r="Y71" s="50">
        <v>0.0</v>
      </c>
      <c r="Z71" s="50"/>
      <c r="AA71" s="50"/>
      <c r="AB71" s="50" t="s">
        <v>1118</v>
      </c>
      <c r="AC71" s="50"/>
      <c r="AD71" s="50"/>
      <c r="AE71" s="50" t="s">
        <v>8794</v>
      </c>
      <c r="AF71" s="50" t="s">
        <v>4470</v>
      </c>
      <c r="AG71" s="50"/>
      <c r="AH71" s="50"/>
      <c r="AI71" s="50"/>
      <c r="AJ71" s="50">
        <v>0.0</v>
      </c>
      <c r="AK71" s="101">
        <v>3.5571428571E8</v>
      </c>
      <c r="AL71" s="101">
        <v>7.114285714E7</v>
      </c>
      <c r="AM71" s="101">
        <v>4.2685714285E8</v>
      </c>
      <c r="AN71" s="101">
        <v>7.114285715E7</v>
      </c>
    </row>
    <row r="72" ht="12.75" customHeight="1">
      <c r="A72" s="50">
        <v>71.0</v>
      </c>
      <c r="B72" s="50" t="s">
        <v>8837</v>
      </c>
      <c r="C72" s="50" t="s">
        <v>916</v>
      </c>
      <c r="D72" s="50" t="s">
        <v>1088</v>
      </c>
      <c r="E72" s="50" t="s">
        <v>8792</v>
      </c>
      <c r="F72" s="50" t="s">
        <v>770</v>
      </c>
      <c r="G72" s="50" t="s">
        <v>8894</v>
      </c>
      <c r="H72" s="966">
        <v>43831.0</v>
      </c>
      <c r="I72" s="50" t="s">
        <v>70</v>
      </c>
      <c r="J72" s="101">
        <v>3.972E8</v>
      </c>
      <c r="K72" s="50">
        <v>0.0</v>
      </c>
      <c r="L72" s="50" t="s">
        <v>858</v>
      </c>
      <c r="M72" s="50"/>
      <c r="N72" s="50"/>
      <c r="O72" s="50" t="s">
        <v>862</v>
      </c>
      <c r="P72" s="50"/>
      <c r="Q72" s="50"/>
      <c r="R72" s="50" t="s">
        <v>772</v>
      </c>
      <c r="S72" s="50">
        <v>1.0</v>
      </c>
      <c r="T72" s="50">
        <v>7.0</v>
      </c>
      <c r="U72" s="50"/>
      <c r="V72" s="50" t="s">
        <v>1121</v>
      </c>
      <c r="W72" s="50"/>
      <c r="X72" s="50" t="s">
        <v>8895</v>
      </c>
      <c r="Y72" s="50">
        <v>0.0</v>
      </c>
      <c r="Z72" s="50"/>
      <c r="AA72" s="50"/>
      <c r="AB72" s="50" t="s">
        <v>1125</v>
      </c>
      <c r="AC72" s="50"/>
      <c r="AD72" s="50"/>
      <c r="AE72" s="50" t="s">
        <v>8794</v>
      </c>
      <c r="AF72" s="50" t="s">
        <v>4470</v>
      </c>
      <c r="AG72" s="50"/>
      <c r="AH72" s="50"/>
      <c r="AI72" s="50"/>
      <c r="AJ72" s="50">
        <v>0.0</v>
      </c>
      <c r="AK72" s="101">
        <v>2.8371428571E8</v>
      </c>
      <c r="AL72" s="101">
        <v>5.674285714E7</v>
      </c>
      <c r="AM72" s="101">
        <v>3.4045714285E8</v>
      </c>
      <c r="AN72" s="101">
        <v>5.674285715E7</v>
      </c>
    </row>
    <row r="73" ht="12.75" customHeight="1">
      <c r="A73" s="50">
        <v>72.0</v>
      </c>
      <c r="B73" s="50" t="s">
        <v>8837</v>
      </c>
      <c r="C73" s="50" t="s">
        <v>916</v>
      </c>
      <c r="D73" s="50" t="s">
        <v>1088</v>
      </c>
      <c r="E73" s="50" t="s">
        <v>8792</v>
      </c>
      <c r="F73" s="50" t="s">
        <v>770</v>
      </c>
      <c r="G73" s="50" t="s">
        <v>8896</v>
      </c>
      <c r="H73" s="966">
        <v>43831.0</v>
      </c>
      <c r="I73" s="50" t="s">
        <v>70</v>
      </c>
      <c r="J73" s="101">
        <v>3.972E8</v>
      </c>
      <c r="K73" s="50">
        <v>0.0</v>
      </c>
      <c r="L73" s="50" t="s">
        <v>858</v>
      </c>
      <c r="M73" s="50"/>
      <c r="N73" s="50"/>
      <c r="O73" s="50" t="s">
        <v>862</v>
      </c>
      <c r="P73" s="50"/>
      <c r="Q73" s="50"/>
      <c r="R73" s="50" t="s">
        <v>772</v>
      </c>
      <c r="S73" s="50">
        <v>1.0</v>
      </c>
      <c r="T73" s="50">
        <v>7.0</v>
      </c>
      <c r="U73" s="50"/>
      <c r="V73" s="50" t="s">
        <v>1126</v>
      </c>
      <c r="W73" s="50" t="s">
        <v>1127</v>
      </c>
      <c r="X73" s="50" t="s">
        <v>1128</v>
      </c>
      <c r="Y73" s="50">
        <v>0.0</v>
      </c>
      <c r="Z73" s="50"/>
      <c r="AA73" s="50"/>
      <c r="AB73" s="50" t="s">
        <v>1129</v>
      </c>
      <c r="AC73" s="50"/>
      <c r="AD73" s="50"/>
      <c r="AE73" s="50" t="s">
        <v>8794</v>
      </c>
      <c r="AF73" s="50" t="s">
        <v>4470</v>
      </c>
      <c r="AG73" s="50"/>
      <c r="AH73" s="50"/>
      <c r="AI73" s="50"/>
      <c r="AJ73" s="50">
        <v>0.0</v>
      </c>
      <c r="AK73" s="101">
        <v>2.8371428571E8</v>
      </c>
      <c r="AL73" s="101">
        <v>5.674285714E7</v>
      </c>
      <c r="AM73" s="101">
        <v>3.4045714285E8</v>
      </c>
      <c r="AN73" s="101">
        <v>5.674285715E7</v>
      </c>
    </row>
    <row r="74" ht="12.75" customHeight="1">
      <c r="A74" s="50">
        <v>73.0</v>
      </c>
      <c r="B74" s="50" t="s">
        <v>8837</v>
      </c>
      <c r="C74" s="50" t="s">
        <v>1130</v>
      </c>
      <c r="D74" s="50" t="s">
        <v>1131</v>
      </c>
      <c r="E74" s="50" t="s">
        <v>8792</v>
      </c>
      <c r="F74" s="50" t="s">
        <v>770</v>
      </c>
      <c r="G74" s="50" t="s">
        <v>8897</v>
      </c>
      <c r="H74" s="966">
        <v>45485.0</v>
      </c>
      <c r="I74" s="50" t="s">
        <v>70</v>
      </c>
      <c r="J74" s="101">
        <v>5.827E8</v>
      </c>
      <c r="K74" s="50">
        <v>0.0</v>
      </c>
      <c r="L74" s="50"/>
      <c r="M74" s="50"/>
      <c r="N74" s="50"/>
      <c r="O74" s="50" t="s">
        <v>611</v>
      </c>
      <c r="P74" s="50" t="s">
        <v>8827</v>
      </c>
      <c r="Q74" s="50"/>
      <c r="R74" s="50" t="s">
        <v>772</v>
      </c>
      <c r="S74" s="50">
        <v>1.0</v>
      </c>
      <c r="T74" s="50">
        <v>7.0</v>
      </c>
      <c r="U74" s="50"/>
      <c r="V74" s="83" t="s">
        <v>1132</v>
      </c>
      <c r="W74" s="83" t="s">
        <v>1133</v>
      </c>
      <c r="X74" s="83" t="s">
        <v>1134</v>
      </c>
      <c r="Y74" s="83" t="s">
        <v>1135</v>
      </c>
      <c r="Z74" s="83" t="s">
        <v>777</v>
      </c>
      <c r="AA74" s="50"/>
      <c r="AB74" s="50" t="s">
        <v>1137</v>
      </c>
      <c r="AC74" s="50" t="s">
        <v>8898</v>
      </c>
      <c r="AD74" s="50"/>
      <c r="AE74" s="50" t="s">
        <v>4469</v>
      </c>
      <c r="AF74" s="50" t="s">
        <v>8829</v>
      </c>
      <c r="AG74" s="50"/>
      <c r="AH74" s="50"/>
      <c r="AI74" s="50" t="s">
        <v>1137</v>
      </c>
      <c r="AJ74" s="50">
        <v>0.0</v>
      </c>
      <c r="AK74" s="101">
        <v>8.324285714E7</v>
      </c>
      <c r="AL74" s="101">
        <v>8.324285714E7</v>
      </c>
      <c r="AM74" s="101">
        <v>1.6648571428E8</v>
      </c>
      <c r="AN74" s="101">
        <v>4.1621428572E8</v>
      </c>
    </row>
    <row r="75" ht="12.75" customHeight="1">
      <c r="A75" s="50">
        <v>74.0</v>
      </c>
      <c r="B75" s="50" t="s">
        <v>8837</v>
      </c>
      <c r="C75" s="50" t="s">
        <v>1130</v>
      </c>
      <c r="D75" s="50" t="s">
        <v>1131</v>
      </c>
      <c r="E75" s="50" t="s">
        <v>8792</v>
      </c>
      <c r="F75" s="50" t="s">
        <v>770</v>
      </c>
      <c r="G75" s="50" t="s">
        <v>8899</v>
      </c>
      <c r="H75" s="966">
        <v>45485.0</v>
      </c>
      <c r="I75" s="50" t="s">
        <v>70</v>
      </c>
      <c r="J75" s="101">
        <v>5.827E8</v>
      </c>
      <c r="K75" s="50">
        <v>0.0</v>
      </c>
      <c r="L75" s="50"/>
      <c r="M75" s="50"/>
      <c r="N75" s="50"/>
      <c r="O75" s="50" t="s">
        <v>611</v>
      </c>
      <c r="P75" s="50" t="s">
        <v>8827</v>
      </c>
      <c r="Q75" s="50"/>
      <c r="R75" s="50" t="s">
        <v>772</v>
      </c>
      <c r="S75" s="50">
        <v>1.0</v>
      </c>
      <c r="T75" s="50">
        <v>7.0</v>
      </c>
      <c r="U75" s="50"/>
      <c r="V75" s="83" t="s">
        <v>1138</v>
      </c>
      <c r="W75" s="83" t="s">
        <v>1139</v>
      </c>
      <c r="X75" s="83" t="s">
        <v>1140</v>
      </c>
      <c r="Y75" s="83" t="s">
        <v>1141</v>
      </c>
      <c r="Z75" s="83" t="s">
        <v>777</v>
      </c>
      <c r="AA75" s="50"/>
      <c r="AB75" s="50" t="s">
        <v>1137</v>
      </c>
      <c r="AC75" s="50" t="s">
        <v>8898</v>
      </c>
      <c r="AD75" s="50"/>
      <c r="AE75" s="50" t="s">
        <v>4469</v>
      </c>
      <c r="AF75" s="50" t="s">
        <v>8829</v>
      </c>
      <c r="AG75" s="50"/>
      <c r="AH75" s="50"/>
      <c r="AI75" s="50" t="s">
        <v>1137</v>
      </c>
      <c r="AJ75" s="50">
        <v>0.0</v>
      </c>
      <c r="AK75" s="101">
        <v>8.324285714E7</v>
      </c>
      <c r="AL75" s="101">
        <v>8.324285714E7</v>
      </c>
      <c r="AM75" s="101">
        <v>1.6648571428E8</v>
      </c>
      <c r="AN75" s="101">
        <v>4.1621428572E8</v>
      </c>
    </row>
    <row r="76" ht="12.75" customHeight="1">
      <c r="A76" s="50">
        <v>75.0</v>
      </c>
      <c r="B76" s="50" t="s">
        <v>8837</v>
      </c>
      <c r="C76" s="50" t="s">
        <v>1130</v>
      </c>
      <c r="D76" s="50" t="s">
        <v>1131</v>
      </c>
      <c r="E76" s="50" t="s">
        <v>8792</v>
      </c>
      <c r="F76" s="50" t="s">
        <v>770</v>
      </c>
      <c r="G76" s="50" t="s">
        <v>8900</v>
      </c>
      <c r="H76" s="966">
        <v>45485.0</v>
      </c>
      <c r="I76" s="50" t="s">
        <v>70</v>
      </c>
      <c r="J76" s="101">
        <v>5.827E8</v>
      </c>
      <c r="K76" s="50">
        <v>0.0</v>
      </c>
      <c r="L76" s="50"/>
      <c r="M76" s="50"/>
      <c r="N76" s="50"/>
      <c r="O76" s="50" t="s">
        <v>611</v>
      </c>
      <c r="P76" s="50" t="s">
        <v>8827</v>
      </c>
      <c r="Q76" s="50"/>
      <c r="R76" s="50" t="s">
        <v>772</v>
      </c>
      <c r="S76" s="50">
        <v>1.0</v>
      </c>
      <c r="T76" s="50">
        <v>7.0</v>
      </c>
      <c r="U76" s="50"/>
      <c r="V76" s="83" t="s">
        <v>1143</v>
      </c>
      <c r="W76" s="83" t="s">
        <v>1144</v>
      </c>
      <c r="X76" s="83" t="s">
        <v>1145</v>
      </c>
      <c r="Y76" s="83" t="s">
        <v>1146</v>
      </c>
      <c r="Z76" s="83" t="s">
        <v>777</v>
      </c>
      <c r="AA76" s="50"/>
      <c r="AB76" s="50" t="s">
        <v>1137</v>
      </c>
      <c r="AC76" s="50" t="s">
        <v>8898</v>
      </c>
      <c r="AD76" s="50"/>
      <c r="AE76" s="50" t="s">
        <v>4469</v>
      </c>
      <c r="AF76" s="50" t="s">
        <v>8829</v>
      </c>
      <c r="AG76" s="50"/>
      <c r="AH76" s="50"/>
      <c r="AI76" s="50" t="s">
        <v>1137</v>
      </c>
      <c r="AJ76" s="50">
        <v>0.0</v>
      </c>
      <c r="AK76" s="101">
        <v>8.324285714E7</v>
      </c>
      <c r="AL76" s="101">
        <v>8.324285714E7</v>
      </c>
      <c r="AM76" s="101">
        <v>1.6648571428E8</v>
      </c>
      <c r="AN76" s="101">
        <v>4.1621428572E8</v>
      </c>
    </row>
    <row r="77" ht="12.75" customHeight="1">
      <c r="A77" s="50">
        <v>76.0</v>
      </c>
      <c r="B77" s="50" t="s">
        <v>8837</v>
      </c>
      <c r="C77" s="50" t="s">
        <v>1130</v>
      </c>
      <c r="D77" s="50" t="s">
        <v>1131</v>
      </c>
      <c r="E77" s="50" t="s">
        <v>8792</v>
      </c>
      <c r="F77" s="50" t="s">
        <v>770</v>
      </c>
      <c r="G77" s="50" t="s">
        <v>8901</v>
      </c>
      <c r="H77" s="966">
        <v>45485.0</v>
      </c>
      <c r="I77" s="50" t="s">
        <v>70</v>
      </c>
      <c r="J77" s="101">
        <v>5.827E8</v>
      </c>
      <c r="K77" s="50">
        <v>0.0</v>
      </c>
      <c r="L77" s="50"/>
      <c r="M77" s="50"/>
      <c r="N77" s="50"/>
      <c r="O77" s="50" t="s">
        <v>611</v>
      </c>
      <c r="P77" s="50" t="s">
        <v>8827</v>
      </c>
      <c r="Q77" s="50"/>
      <c r="R77" s="50" t="s">
        <v>772</v>
      </c>
      <c r="S77" s="50">
        <v>1.0</v>
      </c>
      <c r="T77" s="50">
        <v>7.0</v>
      </c>
      <c r="U77" s="50"/>
      <c r="V77" s="83" t="s">
        <v>1148</v>
      </c>
      <c r="W77" s="83" t="s">
        <v>1149</v>
      </c>
      <c r="X77" s="83" t="s">
        <v>1150</v>
      </c>
      <c r="Y77" s="83" t="s">
        <v>1151</v>
      </c>
      <c r="Z77" s="83" t="s">
        <v>777</v>
      </c>
      <c r="AA77" s="50"/>
      <c r="AB77" s="50" t="s">
        <v>1137</v>
      </c>
      <c r="AC77" s="50" t="s">
        <v>8898</v>
      </c>
      <c r="AD77" s="50"/>
      <c r="AE77" s="50" t="s">
        <v>4469</v>
      </c>
      <c r="AF77" s="50" t="s">
        <v>8829</v>
      </c>
      <c r="AG77" s="50"/>
      <c r="AH77" s="50"/>
      <c r="AI77" s="50" t="s">
        <v>1137</v>
      </c>
      <c r="AJ77" s="50">
        <v>0.0</v>
      </c>
      <c r="AK77" s="101">
        <v>8.324285714E7</v>
      </c>
      <c r="AL77" s="101">
        <v>8.324285714E7</v>
      </c>
      <c r="AM77" s="101">
        <v>1.6648571428E8</v>
      </c>
      <c r="AN77" s="101">
        <v>4.1621428572E8</v>
      </c>
    </row>
    <row r="78" ht="12.75" customHeight="1">
      <c r="A78" s="50">
        <v>77.0</v>
      </c>
      <c r="B78" s="50" t="s">
        <v>8837</v>
      </c>
      <c r="C78" s="50" t="s">
        <v>1130</v>
      </c>
      <c r="D78" s="50" t="s">
        <v>1131</v>
      </c>
      <c r="E78" s="50" t="s">
        <v>8792</v>
      </c>
      <c r="F78" s="50" t="s">
        <v>770</v>
      </c>
      <c r="G78" s="50" t="s">
        <v>8902</v>
      </c>
      <c r="H78" s="966">
        <v>45485.0</v>
      </c>
      <c r="I78" s="50" t="s">
        <v>70</v>
      </c>
      <c r="J78" s="101">
        <v>5.827E8</v>
      </c>
      <c r="K78" s="50">
        <v>0.0</v>
      </c>
      <c r="L78" s="50"/>
      <c r="M78" s="50"/>
      <c r="N78" s="50"/>
      <c r="O78" s="50" t="s">
        <v>611</v>
      </c>
      <c r="P78" s="50" t="s">
        <v>8827</v>
      </c>
      <c r="Q78" s="50"/>
      <c r="R78" s="50" t="s">
        <v>772</v>
      </c>
      <c r="S78" s="50">
        <v>1.0</v>
      </c>
      <c r="T78" s="50">
        <v>7.0</v>
      </c>
      <c r="U78" s="50"/>
      <c r="V78" s="83" t="s">
        <v>1153</v>
      </c>
      <c r="W78" s="83" t="s">
        <v>1154</v>
      </c>
      <c r="X78" s="83" t="s">
        <v>1155</v>
      </c>
      <c r="Y78" s="83" t="s">
        <v>1156</v>
      </c>
      <c r="Z78" s="83" t="s">
        <v>777</v>
      </c>
      <c r="AA78" s="50"/>
      <c r="AB78" s="50" t="s">
        <v>1137</v>
      </c>
      <c r="AC78" s="50" t="s">
        <v>8898</v>
      </c>
      <c r="AD78" s="50"/>
      <c r="AE78" s="50" t="s">
        <v>4469</v>
      </c>
      <c r="AF78" s="50" t="s">
        <v>8829</v>
      </c>
      <c r="AG78" s="50"/>
      <c r="AH78" s="50"/>
      <c r="AI78" s="50" t="s">
        <v>1137</v>
      </c>
      <c r="AJ78" s="50">
        <v>0.0</v>
      </c>
      <c r="AK78" s="101">
        <v>8.324285714E7</v>
      </c>
      <c r="AL78" s="101">
        <v>8.324285714E7</v>
      </c>
      <c r="AM78" s="101">
        <v>1.6648571428E8</v>
      </c>
      <c r="AN78" s="101">
        <v>4.1621428572E8</v>
      </c>
    </row>
    <row r="79" ht="12.75" customHeight="1">
      <c r="A79" s="50">
        <v>78.0</v>
      </c>
      <c r="B79" s="50" t="s">
        <v>8837</v>
      </c>
      <c r="C79" s="50" t="s">
        <v>1130</v>
      </c>
      <c r="D79" s="50" t="s">
        <v>1131</v>
      </c>
      <c r="E79" s="50" t="s">
        <v>8792</v>
      </c>
      <c r="F79" s="50" t="s">
        <v>770</v>
      </c>
      <c r="G79" s="50" t="s">
        <v>8903</v>
      </c>
      <c r="H79" s="966">
        <v>45485.0</v>
      </c>
      <c r="I79" s="50" t="s">
        <v>70</v>
      </c>
      <c r="J79" s="101">
        <v>5.827E8</v>
      </c>
      <c r="K79" s="50">
        <v>0.0</v>
      </c>
      <c r="L79" s="50"/>
      <c r="M79" s="50"/>
      <c r="N79" s="50"/>
      <c r="O79" s="50" t="s">
        <v>611</v>
      </c>
      <c r="P79" s="50" t="s">
        <v>8827</v>
      </c>
      <c r="Q79" s="50"/>
      <c r="R79" s="50" t="s">
        <v>772</v>
      </c>
      <c r="S79" s="50">
        <v>1.0</v>
      </c>
      <c r="T79" s="50">
        <v>7.0</v>
      </c>
      <c r="U79" s="50"/>
      <c r="V79" s="971" t="s">
        <v>8904</v>
      </c>
      <c r="W79" s="83" t="s">
        <v>1159</v>
      </c>
      <c r="X79" s="83" t="s">
        <v>1160</v>
      </c>
      <c r="Y79" s="83" t="s">
        <v>1161</v>
      </c>
      <c r="Z79" s="83" t="s">
        <v>777</v>
      </c>
      <c r="AA79" s="50"/>
      <c r="AB79" s="29" t="s">
        <v>8808</v>
      </c>
      <c r="AC79" s="50" t="s">
        <v>8898</v>
      </c>
      <c r="AD79" s="50"/>
      <c r="AE79" s="50" t="s">
        <v>4469</v>
      </c>
      <c r="AF79" s="50" t="s">
        <v>8829</v>
      </c>
      <c r="AG79" s="50"/>
      <c r="AH79" s="50"/>
      <c r="AI79" s="50" t="s">
        <v>1137</v>
      </c>
      <c r="AJ79" s="50">
        <v>0.0</v>
      </c>
      <c r="AK79" s="101">
        <v>8.324285714E7</v>
      </c>
      <c r="AL79" s="101">
        <v>8.324285714E7</v>
      </c>
      <c r="AM79" s="101">
        <v>1.6648571428E8</v>
      </c>
      <c r="AN79" s="101">
        <v>4.1621428572E8</v>
      </c>
    </row>
    <row r="80" ht="12.75" customHeight="1">
      <c r="A80" s="50">
        <v>79.0</v>
      </c>
      <c r="B80" s="50" t="s">
        <v>8837</v>
      </c>
      <c r="C80" s="50" t="s">
        <v>1130</v>
      </c>
      <c r="D80" s="50" t="s">
        <v>1131</v>
      </c>
      <c r="E80" s="50" t="s">
        <v>8792</v>
      </c>
      <c r="F80" s="50" t="s">
        <v>770</v>
      </c>
      <c r="G80" s="50" t="s">
        <v>8905</v>
      </c>
      <c r="H80" s="966">
        <v>45485.0</v>
      </c>
      <c r="I80" s="50" t="s">
        <v>70</v>
      </c>
      <c r="J80" s="101">
        <v>5.827E8</v>
      </c>
      <c r="K80" s="50">
        <v>0.0</v>
      </c>
      <c r="L80" s="50"/>
      <c r="M80" s="50"/>
      <c r="N80" s="50"/>
      <c r="O80" s="50" t="s">
        <v>611</v>
      </c>
      <c r="P80" s="50" t="s">
        <v>8827</v>
      </c>
      <c r="Q80" s="50"/>
      <c r="R80" s="50" t="s">
        <v>772</v>
      </c>
      <c r="S80" s="50">
        <v>1.0</v>
      </c>
      <c r="T80" s="50">
        <v>7.0</v>
      </c>
      <c r="U80" s="50"/>
      <c r="V80" s="971" t="s">
        <v>8906</v>
      </c>
      <c r="W80" s="83" t="s">
        <v>1164</v>
      </c>
      <c r="X80" s="83" t="s">
        <v>1165</v>
      </c>
      <c r="Y80" s="83" t="s">
        <v>1166</v>
      </c>
      <c r="Z80" s="83" t="s">
        <v>777</v>
      </c>
      <c r="AA80" s="50"/>
      <c r="AB80" s="29" t="s">
        <v>8808</v>
      </c>
      <c r="AC80" s="50" t="s">
        <v>8898</v>
      </c>
      <c r="AD80" s="50"/>
      <c r="AE80" s="50" t="s">
        <v>4469</v>
      </c>
      <c r="AF80" s="50" t="s">
        <v>8829</v>
      </c>
      <c r="AG80" s="50"/>
      <c r="AH80" s="50"/>
      <c r="AI80" s="50" t="s">
        <v>1137</v>
      </c>
      <c r="AJ80" s="50">
        <v>0.0</v>
      </c>
      <c r="AK80" s="101">
        <v>8.324285714E7</v>
      </c>
      <c r="AL80" s="101">
        <v>8.324285714E7</v>
      </c>
      <c r="AM80" s="101">
        <v>1.6648571428E8</v>
      </c>
      <c r="AN80" s="101">
        <v>4.1621428572E8</v>
      </c>
    </row>
    <row r="81" ht="12.75" customHeight="1">
      <c r="A81" s="50">
        <v>80.0</v>
      </c>
      <c r="B81" s="50" t="s">
        <v>8837</v>
      </c>
      <c r="C81" s="50" t="s">
        <v>1130</v>
      </c>
      <c r="D81" s="50" t="s">
        <v>1131</v>
      </c>
      <c r="E81" s="50" t="s">
        <v>8792</v>
      </c>
      <c r="F81" s="50" t="s">
        <v>770</v>
      </c>
      <c r="G81" s="50" t="s">
        <v>8907</v>
      </c>
      <c r="H81" s="966">
        <v>45485.0</v>
      </c>
      <c r="I81" s="50" t="s">
        <v>70</v>
      </c>
      <c r="J81" s="101">
        <v>5.827E8</v>
      </c>
      <c r="K81" s="50">
        <v>0.0</v>
      </c>
      <c r="L81" s="50"/>
      <c r="M81" s="50"/>
      <c r="N81" s="50"/>
      <c r="O81" s="50" t="s">
        <v>611</v>
      </c>
      <c r="P81" s="50" t="s">
        <v>8827</v>
      </c>
      <c r="Q81" s="50"/>
      <c r="R81" s="50" t="s">
        <v>772</v>
      </c>
      <c r="S81" s="50">
        <v>1.0</v>
      </c>
      <c r="T81" s="50">
        <v>7.0</v>
      </c>
      <c r="U81" s="50"/>
      <c r="V81" s="83" t="s">
        <v>1168</v>
      </c>
      <c r="W81" s="83" t="s">
        <v>1169</v>
      </c>
      <c r="X81" s="83" t="s">
        <v>1170</v>
      </c>
      <c r="Y81" s="83" t="s">
        <v>1171</v>
      </c>
      <c r="Z81" s="83" t="s">
        <v>777</v>
      </c>
      <c r="AA81" s="50"/>
      <c r="AB81" s="50" t="s">
        <v>1137</v>
      </c>
      <c r="AC81" s="50" t="s">
        <v>8898</v>
      </c>
      <c r="AD81" s="50"/>
      <c r="AE81" s="50" t="s">
        <v>4469</v>
      </c>
      <c r="AF81" s="50" t="s">
        <v>8829</v>
      </c>
      <c r="AG81" s="50"/>
      <c r="AH81" s="50"/>
      <c r="AI81" s="50" t="s">
        <v>1137</v>
      </c>
      <c r="AJ81" s="50">
        <v>0.0</v>
      </c>
      <c r="AK81" s="101">
        <v>8.324285714E7</v>
      </c>
      <c r="AL81" s="101">
        <v>8.324285714E7</v>
      </c>
      <c r="AM81" s="101">
        <v>1.6648571428E8</v>
      </c>
      <c r="AN81" s="101">
        <v>4.1621428572E8</v>
      </c>
    </row>
    <row r="82" ht="12.75" customHeight="1">
      <c r="A82" s="50">
        <v>81.0</v>
      </c>
      <c r="B82" s="50" t="s">
        <v>8837</v>
      </c>
      <c r="C82" s="50" t="s">
        <v>1130</v>
      </c>
      <c r="D82" s="50" t="s">
        <v>1131</v>
      </c>
      <c r="E82" s="50" t="s">
        <v>8792</v>
      </c>
      <c r="F82" s="50" t="s">
        <v>770</v>
      </c>
      <c r="G82" s="50" t="s">
        <v>8908</v>
      </c>
      <c r="H82" s="966">
        <v>45485.0</v>
      </c>
      <c r="I82" s="50" t="s">
        <v>70</v>
      </c>
      <c r="J82" s="101">
        <v>5.827E8</v>
      </c>
      <c r="K82" s="50">
        <v>0.0</v>
      </c>
      <c r="L82" s="50"/>
      <c r="M82" s="50"/>
      <c r="N82" s="50"/>
      <c r="O82" s="50" t="s">
        <v>611</v>
      </c>
      <c r="P82" s="50" t="s">
        <v>8827</v>
      </c>
      <c r="Q82" s="50"/>
      <c r="R82" s="50" t="s">
        <v>772</v>
      </c>
      <c r="S82" s="50">
        <v>1.0</v>
      </c>
      <c r="T82" s="50">
        <v>7.0</v>
      </c>
      <c r="U82" s="50"/>
      <c r="V82" s="83" t="s">
        <v>1173</v>
      </c>
      <c r="W82" s="83" t="s">
        <v>1174</v>
      </c>
      <c r="X82" s="83" t="s">
        <v>1175</v>
      </c>
      <c r="Y82" s="83" t="s">
        <v>1176</v>
      </c>
      <c r="Z82" s="83" t="s">
        <v>777</v>
      </c>
      <c r="AA82" s="50"/>
      <c r="AB82" s="50" t="s">
        <v>1137</v>
      </c>
      <c r="AC82" s="50" t="s">
        <v>8898</v>
      </c>
      <c r="AD82" s="50"/>
      <c r="AE82" s="50" t="s">
        <v>4469</v>
      </c>
      <c r="AF82" s="50" t="s">
        <v>8829</v>
      </c>
      <c r="AG82" s="50"/>
      <c r="AH82" s="50"/>
      <c r="AI82" s="50" t="s">
        <v>1137</v>
      </c>
      <c r="AJ82" s="50">
        <v>0.0</v>
      </c>
      <c r="AK82" s="101">
        <v>8.324285714E7</v>
      </c>
      <c r="AL82" s="101">
        <v>8.324285714E7</v>
      </c>
      <c r="AM82" s="101">
        <v>1.6648571428E8</v>
      </c>
      <c r="AN82" s="101">
        <v>4.1621428572E8</v>
      </c>
    </row>
    <row r="83" ht="12.75" customHeight="1">
      <c r="A83" s="50">
        <v>82.0</v>
      </c>
      <c r="B83" s="50" t="s">
        <v>8909</v>
      </c>
      <c r="C83" s="50" t="s">
        <v>1178</v>
      </c>
      <c r="D83" s="50" t="s">
        <v>1178</v>
      </c>
      <c r="E83" s="50" t="s">
        <v>8792</v>
      </c>
      <c r="F83" s="50" t="s">
        <v>770</v>
      </c>
      <c r="G83" s="50" t="s">
        <v>8910</v>
      </c>
      <c r="H83" s="966">
        <v>43831.0</v>
      </c>
      <c r="I83" s="50" t="s">
        <v>70</v>
      </c>
      <c r="J83" s="101">
        <v>5.49E8</v>
      </c>
      <c r="K83" s="50">
        <v>0.0</v>
      </c>
      <c r="L83" s="50" t="s">
        <v>858</v>
      </c>
      <c r="M83" s="50"/>
      <c r="N83" s="50"/>
      <c r="O83" s="50" t="s">
        <v>862</v>
      </c>
      <c r="P83" s="50"/>
      <c r="Q83" s="50"/>
      <c r="R83" s="50" t="s">
        <v>772</v>
      </c>
      <c r="S83" s="50">
        <v>1.0</v>
      </c>
      <c r="T83" s="50">
        <v>7.0</v>
      </c>
      <c r="U83" s="50"/>
      <c r="V83" s="50" t="s">
        <v>1179</v>
      </c>
      <c r="W83" s="50" t="s">
        <v>1180</v>
      </c>
      <c r="X83" s="50" t="s">
        <v>1181</v>
      </c>
      <c r="Y83" s="50">
        <v>0.0</v>
      </c>
      <c r="Z83" s="50"/>
      <c r="AA83" s="50"/>
      <c r="AB83" s="50" t="s">
        <v>1113</v>
      </c>
      <c r="AC83" s="50"/>
      <c r="AD83" s="50"/>
      <c r="AE83" s="50" t="s">
        <v>8794</v>
      </c>
      <c r="AF83" s="50" t="s">
        <v>4470</v>
      </c>
      <c r="AG83" s="50"/>
      <c r="AH83" s="50"/>
      <c r="AI83" s="50"/>
      <c r="AJ83" s="50">
        <v>0.0</v>
      </c>
      <c r="AK83" s="101">
        <v>3.9214285714E8</v>
      </c>
      <c r="AL83" s="101">
        <v>7.842857143E7</v>
      </c>
      <c r="AM83" s="101">
        <v>4.7057142857E8</v>
      </c>
      <c r="AN83" s="101">
        <v>7.842857143E7</v>
      </c>
    </row>
    <row r="84" ht="12.75" customHeight="1">
      <c r="A84" s="50">
        <v>83.0</v>
      </c>
      <c r="B84" s="50" t="s">
        <v>8911</v>
      </c>
      <c r="C84" s="50" t="s">
        <v>100</v>
      </c>
      <c r="D84" s="50" t="s">
        <v>1189</v>
      </c>
      <c r="E84" s="50" t="s">
        <v>8792</v>
      </c>
      <c r="F84" s="50" t="s">
        <v>770</v>
      </c>
      <c r="G84" s="50" t="s">
        <v>8912</v>
      </c>
      <c r="H84" s="966">
        <v>32874.0</v>
      </c>
      <c r="I84" s="50" t="s">
        <v>70</v>
      </c>
      <c r="J84" s="101">
        <v>2000000.0</v>
      </c>
      <c r="K84" s="50">
        <v>0.0</v>
      </c>
      <c r="L84" s="50" t="s">
        <v>781</v>
      </c>
      <c r="M84" s="50"/>
      <c r="N84" s="50"/>
      <c r="O84" s="50" t="s">
        <v>1190</v>
      </c>
      <c r="P84" s="50"/>
      <c r="Q84" s="50"/>
      <c r="R84" s="50" t="s">
        <v>772</v>
      </c>
      <c r="S84" s="50">
        <v>1.0</v>
      </c>
      <c r="T84" s="50">
        <v>7.0</v>
      </c>
      <c r="U84" s="50"/>
      <c r="V84" s="83" t="s">
        <v>1191</v>
      </c>
      <c r="W84" s="83" t="s">
        <v>1192</v>
      </c>
      <c r="X84" s="83" t="s">
        <v>1193</v>
      </c>
      <c r="Y84" s="83">
        <v>8966076.0</v>
      </c>
      <c r="Z84" s="83" t="s">
        <v>777</v>
      </c>
      <c r="AA84" s="50"/>
      <c r="AB84" s="50"/>
      <c r="AC84" s="50"/>
      <c r="AD84" s="50"/>
      <c r="AE84" s="50" t="s">
        <v>8794</v>
      </c>
      <c r="AF84" s="50" t="s">
        <v>4470</v>
      </c>
      <c r="AG84" s="50"/>
      <c r="AH84" s="50"/>
      <c r="AI84" s="50"/>
      <c r="AJ84" s="50">
        <v>0.0</v>
      </c>
      <c r="AK84" s="101">
        <v>2000000.0</v>
      </c>
      <c r="AL84" s="101">
        <v>0.0</v>
      </c>
      <c r="AM84" s="101">
        <v>2000000.0</v>
      </c>
      <c r="AN84" s="101">
        <v>0.0</v>
      </c>
    </row>
    <row r="85" ht="12.75" customHeight="1">
      <c r="A85" s="50">
        <v>84.0</v>
      </c>
      <c r="B85" s="50" t="s">
        <v>8911</v>
      </c>
      <c r="C85" s="50" t="s">
        <v>100</v>
      </c>
      <c r="D85" s="50" t="s">
        <v>1189</v>
      </c>
      <c r="E85" s="50" t="s">
        <v>8792</v>
      </c>
      <c r="F85" s="50" t="s">
        <v>770</v>
      </c>
      <c r="G85" s="50" t="s">
        <v>8913</v>
      </c>
      <c r="H85" s="966">
        <v>32874.0</v>
      </c>
      <c r="I85" s="50" t="s">
        <v>70</v>
      </c>
      <c r="J85" s="101">
        <v>1500000.0</v>
      </c>
      <c r="K85" s="50">
        <v>0.0</v>
      </c>
      <c r="L85" s="50" t="s">
        <v>781</v>
      </c>
      <c r="M85" s="50"/>
      <c r="N85" s="50"/>
      <c r="O85" s="50" t="s">
        <v>1190</v>
      </c>
      <c r="P85" s="50"/>
      <c r="Q85" s="50"/>
      <c r="R85" s="50" t="s">
        <v>772</v>
      </c>
      <c r="S85" s="50">
        <v>1.0</v>
      </c>
      <c r="T85" s="50">
        <v>7.0</v>
      </c>
      <c r="U85" s="50"/>
      <c r="V85" s="50" t="s">
        <v>1195</v>
      </c>
      <c r="W85" s="50" t="s">
        <v>1196</v>
      </c>
      <c r="X85" s="50" t="s">
        <v>1197</v>
      </c>
      <c r="Y85" s="50">
        <v>0.0</v>
      </c>
      <c r="Z85" s="50"/>
      <c r="AA85" s="50"/>
      <c r="AB85" s="50" t="s">
        <v>1198</v>
      </c>
      <c r="AC85" s="50"/>
      <c r="AD85" s="50"/>
      <c r="AE85" s="50" t="s">
        <v>8794</v>
      </c>
      <c r="AF85" s="50" t="s">
        <v>4470</v>
      </c>
      <c r="AG85" s="50"/>
      <c r="AH85" s="50"/>
      <c r="AI85" s="50"/>
      <c r="AJ85" s="50">
        <v>0.0</v>
      </c>
      <c r="AK85" s="101">
        <v>1500000.0</v>
      </c>
      <c r="AL85" s="101">
        <v>0.0</v>
      </c>
      <c r="AM85" s="101">
        <v>1500000.0</v>
      </c>
      <c r="AN85" s="101">
        <v>0.0</v>
      </c>
    </row>
    <row r="86" ht="12.75" customHeight="1">
      <c r="A86" s="50">
        <v>85.0</v>
      </c>
      <c r="B86" s="50" t="s">
        <v>8911</v>
      </c>
      <c r="C86" s="50" t="s">
        <v>100</v>
      </c>
      <c r="D86" s="50" t="s">
        <v>1189</v>
      </c>
      <c r="E86" s="50" t="s">
        <v>8792</v>
      </c>
      <c r="F86" s="50" t="s">
        <v>770</v>
      </c>
      <c r="G86" s="50" t="s">
        <v>8914</v>
      </c>
      <c r="H86" s="966">
        <v>32874.0</v>
      </c>
      <c r="I86" s="50" t="s">
        <v>70</v>
      </c>
      <c r="J86" s="101">
        <v>3000000.0</v>
      </c>
      <c r="K86" s="50">
        <v>0.0</v>
      </c>
      <c r="L86" s="50" t="s">
        <v>781</v>
      </c>
      <c r="M86" s="50"/>
      <c r="N86" s="50"/>
      <c r="O86" s="50" t="s">
        <v>1190</v>
      </c>
      <c r="P86" s="50"/>
      <c r="Q86" s="50"/>
      <c r="R86" s="50" t="s">
        <v>772</v>
      </c>
      <c r="S86" s="50">
        <v>1.0</v>
      </c>
      <c r="T86" s="50">
        <v>7.0</v>
      </c>
      <c r="U86" s="50"/>
      <c r="V86" s="50" t="s">
        <v>1200</v>
      </c>
      <c r="W86" s="50" t="s">
        <v>1201</v>
      </c>
      <c r="X86" s="50" t="s">
        <v>1202</v>
      </c>
      <c r="Y86" s="50">
        <v>0.0</v>
      </c>
      <c r="Z86" s="50"/>
      <c r="AA86" s="50"/>
      <c r="AB86" s="50"/>
      <c r="AC86" s="50"/>
      <c r="AD86" s="50"/>
      <c r="AE86" s="50" t="s">
        <v>8794</v>
      </c>
      <c r="AF86" s="50" t="s">
        <v>4470</v>
      </c>
      <c r="AG86" s="50"/>
      <c r="AH86" s="50"/>
      <c r="AI86" s="50"/>
      <c r="AJ86" s="50">
        <v>0.0</v>
      </c>
      <c r="AK86" s="101">
        <v>3000000.0</v>
      </c>
      <c r="AL86" s="101">
        <v>0.0</v>
      </c>
      <c r="AM86" s="101">
        <v>3000000.0</v>
      </c>
      <c r="AN86" s="101">
        <v>0.0</v>
      </c>
    </row>
    <row r="87" ht="12.75" customHeight="1">
      <c r="A87" s="50">
        <v>86.0</v>
      </c>
      <c r="B87" s="50" t="s">
        <v>8911</v>
      </c>
      <c r="C87" s="50" t="s">
        <v>100</v>
      </c>
      <c r="D87" s="50" t="s">
        <v>1189</v>
      </c>
      <c r="E87" s="50" t="s">
        <v>8792</v>
      </c>
      <c r="F87" s="50" t="s">
        <v>770</v>
      </c>
      <c r="G87" s="50" t="s">
        <v>8915</v>
      </c>
      <c r="H87" s="966">
        <v>33239.0</v>
      </c>
      <c r="I87" s="50" t="s">
        <v>70</v>
      </c>
      <c r="J87" s="101">
        <v>2500000.0</v>
      </c>
      <c r="K87" s="50">
        <v>0.0</v>
      </c>
      <c r="L87" s="50" t="s">
        <v>781</v>
      </c>
      <c r="M87" s="50"/>
      <c r="N87" s="50"/>
      <c r="O87" s="50" t="s">
        <v>1203</v>
      </c>
      <c r="P87" s="50"/>
      <c r="Q87" s="50"/>
      <c r="R87" s="50" t="s">
        <v>772</v>
      </c>
      <c r="S87" s="50">
        <v>1.0</v>
      </c>
      <c r="T87" s="50">
        <v>7.0</v>
      </c>
      <c r="U87" s="50"/>
      <c r="V87" s="50" t="s">
        <v>1204</v>
      </c>
      <c r="W87" s="50" t="s">
        <v>1205</v>
      </c>
      <c r="X87" s="50" t="s">
        <v>1206</v>
      </c>
      <c r="Y87" s="50">
        <v>0.0</v>
      </c>
      <c r="Z87" s="50"/>
      <c r="AA87" s="50"/>
      <c r="AB87" s="50"/>
      <c r="AC87" s="50"/>
      <c r="AD87" s="50"/>
      <c r="AE87" s="50" t="s">
        <v>8794</v>
      </c>
      <c r="AF87" s="50" t="s">
        <v>4470</v>
      </c>
      <c r="AG87" s="50"/>
      <c r="AH87" s="50"/>
      <c r="AI87" s="50"/>
      <c r="AJ87" s="50">
        <v>0.0</v>
      </c>
      <c r="AK87" s="101">
        <v>2500000.0</v>
      </c>
      <c r="AL87" s="101">
        <v>0.0</v>
      </c>
      <c r="AM87" s="101">
        <v>2500000.0</v>
      </c>
      <c r="AN87" s="101">
        <v>0.0</v>
      </c>
    </row>
    <row r="88" ht="12.75" customHeight="1">
      <c r="A88" s="50">
        <v>87.0</v>
      </c>
      <c r="B88" s="50" t="s">
        <v>8911</v>
      </c>
      <c r="C88" s="50" t="s">
        <v>100</v>
      </c>
      <c r="D88" s="50" t="s">
        <v>100</v>
      </c>
      <c r="E88" s="50" t="s">
        <v>8792</v>
      </c>
      <c r="F88" s="50" t="s">
        <v>770</v>
      </c>
      <c r="G88" s="50" t="s">
        <v>8916</v>
      </c>
      <c r="H88" s="966">
        <v>33239.0</v>
      </c>
      <c r="I88" s="50" t="s">
        <v>70</v>
      </c>
      <c r="J88" s="101">
        <v>2500000.0</v>
      </c>
      <c r="K88" s="50">
        <v>0.0</v>
      </c>
      <c r="L88" s="50" t="s">
        <v>781</v>
      </c>
      <c r="M88" s="50"/>
      <c r="N88" s="50"/>
      <c r="O88" s="50" t="s">
        <v>1203</v>
      </c>
      <c r="P88" s="50"/>
      <c r="Q88" s="50"/>
      <c r="R88" s="50" t="s">
        <v>772</v>
      </c>
      <c r="S88" s="50">
        <v>1.0</v>
      </c>
      <c r="T88" s="50">
        <v>7.0</v>
      </c>
      <c r="U88" s="50"/>
      <c r="V88" s="50" t="s">
        <v>1207</v>
      </c>
      <c r="W88" s="50" t="s">
        <v>1208</v>
      </c>
      <c r="X88" s="50" t="s">
        <v>1209</v>
      </c>
      <c r="Y88" s="50">
        <v>0.0</v>
      </c>
      <c r="Z88" s="50"/>
      <c r="AA88" s="50"/>
      <c r="AB88" s="50"/>
      <c r="AC88" s="50"/>
      <c r="AD88" s="50"/>
      <c r="AE88" s="50" t="s">
        <v>8794</v>
      </c>
      <c r="AF88" s="50" t="s">
        <v>4470</v>
      </c>
      <c r="AG88" s="50"/>
      <c r="AH88" s="50"/>
      <c r="AI88" s="50"/>
      <c r="AJ88" s="50">
        <v>0.0</v>
      </c>
      <c r="AK88" s="101">
        <v>2500000.0</v>
      </c>
      <c r="AL88" s="101">
        <v>0.0</v>
      </c>
      <c r="AM88" s="101">
        <v>2500000.0</v>
      </c>
      <c r="AN88" s="101">
        <v>0.0</v>
      </c>
    </row>
    <row r="89" ht="12.75" customHeight="1">
      <c r="A89" s="50">
        <v>88.0</v>
      </c>
      <c r="B89" s="50" t="s">
        <v>8911</v>
      </c>
      <c r="C89" s="50" t="s">
        <v>100</v>
      </c>
      <c r="D89" s="50" t="s">
        <v>1189</v>
      </c>
      <c r="E89" s="50" t="s">
        <v>8792</v>
      </c>
      <c r="F89" s="50" t="s">
        <v>770</v>
      </c>
      <c r="G89" s="50" t="s">
        <v>8917</v>
      </c>
      <c r="H89" s="966">
        <v>33604.0</v>
      </c>
      <c r="I89" s="50" t="s">
        <v>70</v>
      </c>
      <c r="J89" s="101">
        <v>2500000.0</v>
      </c>
      <c r="K89" s="50">
        <v>0.0</v>
      </c>
      <c r="L89" s="50" t="s">
        <v>781</v>
      </c>
      <c r="M89" s="50"/>
      <c r="N89" s="50"/>
      <c r="O89" s="50" t="s">
        <v>918</v>
      </c>
      <c r="P89" s="50"/>
      <c r="Q89" s="50"/>
      <c r="R89" s="50" t="s">
        <v>772</v>
      </c>
      <c r="S89" s="50">
        <v>1.0</v>
      </c>
      <c r="T89" s="50">
        <v>7.0</v>
      </c>
      <c r="U89" s="50"/>
      <c r="V89" s="50" t="s">
        <v>1210</v>
      </c>
      <c r="W89" s="50" t="s">
        <v>1211</v>
      </c>
      <c r="X89" s="50" t="s">
        <v>1212</v>
      </c>
      <c r="Y89" s="50">
        <v>0.0</v>
      </c>
      <c r="Z89" s="50"/>
      <c r="AA89" s="50"/>
      <c r="AB89" s="50"/>
      <c r="AC89" s="50"/>
      <c r="AD89" s="50"/>
      <c r="AE89" s="50" t="s">
        <v>8794</v>
      </c>
      <c r="AF89" s="50" t="s">
        <v>4470</v>
      </c>
      <c r="AG89" s="50"/>
      <c r="AH89" s="50"/>
      <c r="AI89" s="50"/>
      <c r="AJ89" s="50">
        <v>0.0</v>
      </c>
      <c r="AK89" s="101">
        <v>2500000.0</v>
      </c>
      <c r="AL89" s="101">
        <v>0.0</v>
      </c>
      <c r="AM89" s="101">
        <v>2500000.0</v>
      </c>
      <c r="AN89" s="101">
        <v>0.0</v>
      </c>
    </row>
    <row r="90" ht="12.75" customHeight="1">
      <c r="A90" s="50">
        <v>89.0</v>
      </c>
      <c r="B90" s="50" t="s">
        <v>8911</v>
      </c>
      <c r="C90" s="50" t="s">
        <v>100</v>
      </c>
      <c r="D90" s="50" t="s">
        <v>1189</v>
      </c>
      <c r="E90" s="50" t="s">
        <v>8792</v>
      </c>
      <c r="F90" s="50" t="s">
        <v>770</v>
      </c>
      <c r="G90" s="50" t="s">
        <v>8918</v>
      </c>
      <c r="H90" s="966">
        <v>33970.0</v>
      </c>
      <c r="I90" s="50" t="s">
        <v>70</v>
      </c>
      <c r="J90" s="101">
        <v>2500000.0</v>
      </c>
      <c r="K90" s="50">
        <v>0.0</v>
      </c>
      <c r="L90" s="50" t="s">
        <v>781</v>
      </c>
      <c r="M90" s="50"/>
      <c r="N90" s="50"/>
      <c r="O90" s="50" t="s">
        <v>102</v>
      </c>
      <c r="P90" s="50"/>
      <c r="Q90" s="50"/>
      <c r="R90" s="50" t="s">
        <v>772</v>
      </c>
      <c r="S90" s="50">
        <v>1.0</v>
      </c>
      <c r="T90" s="50">
        <v>7.0</v>
      </c>
      <c r="U90" s="50"/>
      <c r="V90" s="50" t="s">
        <v>1213</v>
      </c>
      <c r="W90" s="50" t="s">
        <v>1214</v>
      </c>
      <c r="X90" s="50" t="s">
        <v>1215</v>
      </c>
      <c r="Y90" s="50">
        <v>0.0</v>
      </c>
      <c r="Z90" s="50"/>
      <c r="AA90" s="50"/>
      <c r="AB90" s="50"/>
      <c r="AC90" s="50"/>
      <c r="AD90" s="50"/>
      <c r="AE90" s="50" t="s">
        <v>8794</v>
      </c>
      <c r="AF90" s="50" t="s">
        <v>4470</v>
      </c>
      <c r="AG90" s="50"/>
      <c r="AH90" s="50"/>
      <c r="AI90" s="50"/>
      <c r="AJ90" s="50">
        <v>0.0</v>
      </c>
      <c r="AK90" s="101">
        <v>2500000.0</v>
      </c>
      <c r="AL90" s="101">
        <v>0.0</v>
      </c>
      <c r="AM90" s="101">
        <v>2500000.0</v>
      </c>
      <c r="AN90" s="101">
        <v>0.0</v>
      </c>
    </row>
    <row r="91" ht="12.75" customHeight="1">
      <c r="A91" s="50">
        <v>90.0</v>
      </c>
      <c r="B91" s="50" t="s">
        <v>8911</v>
      </c>
      <c r="C91" s="50" t="s">
        <v>100</v>
      </c>
      <c r="D91" s="50" t="s">
        <v>1189</v>
      </c>
      <c r="E91" s="50" t="s">
        <v>8792</v>
      </c>
      <c r="F91" s="50" t="s">
        <v>770</v>
      </c>
      <c r="G91" s="50" t="s">
        <v>8919</v>
      </c>
      <c r="H91" s="966">
        <v>33970.0</v>
      </c>
      <c r="I91" s="50" t="s">
        <v>70</v>
      </c>
      <c r="J91" s="101">
        <v>2500000.0</v>
      </c>
      <c r="K91" s="50">
        <v>0.0</v>
      </c>
      <c r="L91" s="50" t="s">
        <v>781</v>
      </c>
      <c r="M91" s="50"/>
      <c r="N91" s="50"/>
      <c r="O91" s="50" t="s">
        <v>102</v>
      </c>
      <c r="P91" s="50"/>
      <c r="Q91" s="50"/>
      <c r="R91" s="50" t="s">
        <v>772</v>
      </c>
      <c r="S91" s="50">
        <v>1.0</v>
      </c>
      <c r="T91" s="50">
        <v>7.0</v>
      </c>
      <c r="U91" s="50"/>
      <c r="V91" s="50" t="s">
        <v>1216</v>
      </c>
      <c r="W91" s="50" t="s">
        <v>1217</v>
      </c>
      <c r="X91" s="50" t="s">
        <v>1218</v>
      </c>
      <c r="Y91" s="50">
        <v>0.0</v>
      </c>
      <c r="Z91" s="50"/>
      <c r="AA91" s="50"/>
      <c r="AB91" s="50"/>
      <c r="AC91" s="50"/>
      <c r="AD91" s="50"/>
      <c r="AE91" s="50" t="s">
        <v>8794</v>
      </c>
      <c r="AF91" s="50" t="s">
        <v>4470</v>
      </c>
      <c r="AG91" s="50"/>
      <c r="AH91" s="50"/>
      <c r="AI91" s="50"/>
      <c r="AJ91" s="50">
        <v>0.0</v>
      </c>
      <c r="AK91" s="101">
        <v>2500000.0</v>
      </c>
      <c r="AL91" s="101">
        <v>0.0</v>
      </c>
      <c r="AM91" s="101">
        <v>2500000.0</v>
      </c>
      <c r="AN91" s="101">
        <v>0.0</v>
      </c>
    </row>
    <row r="92" ht="12.75" customHeight="1">
      <c r="A92" s="50">
        <v>91.0</v>
      </c>
      <c r="B92" s="50" t="s">
        <v>8911</v>
      </c>
      <c r="C92" s="50" t="s">
        <v>100</v>
      </c>
      <c r="D92" s="50" t="s">
        <v>1189</v>
      </c>
      <c r="E92" s="50" t="s">
        <v>8792</v>
      </c>
      <c r="F92" s="50" t="s">
        <v>770</v>
      </c>
      <c r="G92" s="50" t="s">
        <v>8920</v>
      </c>
      <c r="H92" s="966">
        <v>33970.0</v>
      </c>
      <c r="I92" s="50" t="s">
        <v>70</v>
      </c>
      <c r="J92" s="101">
        <v>2500000.0</v>
      </c>
      <c r="K92" s="50">
        <v>0.0</v>
      </c>
      <c r="L92" s="50" t="s">
        <v>781</v>
      </c>
      <c r="M92" s="50"/>
      <c r="N92" s="50"/>
      <c r="O92" s="50" t="s">
        <v>102</v>
      </c>
      <c r="P92" s="50"/>
      <c r="Q92" s="50"/>
      <c r="R92" s="50" t="s">
        <v>772</v>
      </c>
      <c r="S92" s="50">
        <v>1.0</v>
      </c>
      <c r="T92" s="50">
        <v>7.0</v>
      </c>
      <c r="U92" s="50"/>
      <c r="V92" s="50" t="s">
        <v>1219</v>
      </c>
      <c r="W92" s="50" t="s">
        <v>1220</v>
      </c>
      <c r="X92" s="50" t="s">
        <v>1221</v>
      </c>
      <c r="Y92" s="50">
        <v>0.0</v>
      </c>
      <c r="Z92" s="50"/>
      <c r="AA92" s="50"/>
      <c r="AB92" s="50"/>
      <c r="AC92" s="50"/>
      <c r="AD92" s="50"/>
      <c r="AE92" s="50" t="s">
        <v>8794</v>
      </c>
      <c r="AF92" s="50" t="s">
        <v>4470</v>
      </c>
      <c r="AG92" s="50"/>
      <c r="AH92" s="50"/>
      <c r="AI92" s="50"/>
      <c r="AJ92" s="50">
        <v>0.0</v>
      </c>
      <c r="AK92" s="101">
        <v>2500000.0</v>
      </c>
      <c r="AL92" s="101">
        <v>0.0</v>
      </c>
      <c r="AM92" s="101">
        <v>2500000.0</v>
      </c>
      <c r="AN92" s="101">
        <v>0.0</v>
      </c>
    </row>
    <row r="93" ht="12.75" customHeight="1">
      <c r="A93" s="50">
        <v>92.0</v>
      </c>
      <c r="B93" s="50" t="s">
        <v>8911</v>
      </c>
      <c r="C93" s="50" t="s">
        <v>100</v>
      </c>
      <c r="D93" s="50" t="s">
        <v>1189</v>
      </c>
      <c r="E93" s="50" t="s">
        <v>8792</v>
      </c>
      <c r="F93" s="50" t="s">
        <v>770</v>
      </c>
      <c r="G93" s="50" t="s">
        <v>8921</v>
      </c>
      <c r="H93" s="966">
        <v>34335.0</v>
      </c>
      <c r="I93" s="50" t="s">
        <v>70</v>
      </c>
      <c r="J93" s="101">
        <v>2500000.0</v>
      </c>
      <c r="K93" s="50">
        <v>0.0</v>
      </c>
      <c r="L93" s="50" t="s">
        <v>781</v>
      </c>
      <c r="M93" s="50"/>
      <c r="N93" s="50"/>
      <c r="O93" s="50" t="s">
        <v>110</v>
      </c>
      <c r="P93" s="50"/>
      <c r="Q93" s="50"/>
      <c r="R93" s="50" t="s">
        <v>772</v>
      </c>
      <c r="S93" s="50">
        <v>1.0</v>
      </c>
      <c r="T93" s="50">
        <v>7.0</v>
      </c>
      <c r="U93" s="50"/>
      <c r="V93" s="83" t="s">
        <v>1222</v>
      </c>
      <c r="W93" s="83" t="s">
        <v>1223</v>
      </c>
      <c r="X93" s="83" t="s">
        <v>1224</v>
      </c>
      <c r="Y93" s="83" t="s">
        <v>1225</v>
      </c>
      <c r="Z93" s="83" t="s">
        <v>777</v>
      </c>
      <c r="AA93" s="50"/>
      <c r="AB93" s="50" t="s">
        <v>8922</v>
      </c>
      <c r="AC93" s="50"/>
      <c r="AD93" s="50"/>
      <c r="AE93" s="50" t="s">
        <v>8794</v>
      </c>
      <c r="AF93" s="50" t="s">
        <v>4470</v>
      </c>
      <c r="AG93" s="50"/>
      <c r="AH93" s="50"/>
      <c r="AI93" s="50"/>
      <c r="AJ93" s="50">
        <v>0.0</v>
      </c>
      <c r="AK93" s="101">
        <v>2500000.0</v>
      </c>
      <c r="AL93" s="101">
        <v>0.0</v>
      </c>
      <c r="AM93" s="101">
        <v>2500000.0</v>
      </c>
      <c r="AN93" s="101">
        <v>0.0</v>
      </c>
    </row>
    <row r="94" ht="12.75" customHeight="1">
      <c r="A94" s="50">
        <v>93.0</v>
      </c>
      <c r="B94" s="50" t="s">
        <v>8911</v>
      </c>
      <c r="C94" s="50" t="s">
        <v>100</v>
      </c>
      <c r="D94" s="50" t="s">
        <v>100</v>
      </c>
      <c r="E94" s="50" t="s">
        <v>8792</v>
      </c>
      <c r="F94" s="50" t="s">
        <v>770</v>
      </c>
      <c r="G94" s="50" t="s">
        <v>8923</v>
      </c>
      <c r="H94" s="966">
        <v>34335.0</v>
      </c>
      <c r="I94" s="50" t="s">
        <v>70</v>
      </c>
      <c r="J94" s="101">
        <v>2500000.0</v>
      </c>
      <c r="K94" s="50">
        <v>0.0</v>
      </c>
      <c r="L94" s="50" t="s">
        <v>781</v>
      </c>
      <c r="M94" s="50"/>
      <c r="N94" s="50"/>
      <c r="O94" s="50" t="s">
        <v>110</v>
      </c>
      <c r="P94" s="50"/>
      <c r="Q94" s="50"/>
      <c r="R94" s="50" t="s">
        <v>772</v>
      </c>
      <c r="S94" s="50">
        <v>1.0</v>
      </c>
      <c r="T94" s="50">
        <v>7.0</v>
      </c>
      <c r="U94" s="50"/>
      <c r="V94" s="83" t="s">
        <v>1227</v>
      </c>
      <c r="W94" s="83" t="s">
        <v>1228</v>
      </c>
      <c r="X94" s="83" t="s">
        <v>1229</v>
      </c>
      <c r="Y94" s="83" t="s">
        <v>1230</v>
      </c>
      <c r="Z94" s="83" t="s">
        <v>777</v>
      </c>
      <c r="AA94" s="50"/>
      <c r="AB94" s="50" t="s">
        <v>1231</v>
      </c>
      <c r="AC94" s="50"/>
      <c r="AD94" s="50"/>
      <c r="AE94" s="50" t="s">
        <v>8794</v>
      </c>
      <c r="AF94" s="50" t="s">
        <v>4470</v>
      </c>
      <c r="AG94" s="50"/>
      <c r="AH94" s="50"/>
      <c r="AI94" s="50"/>
      <c r="AJ94" s="50">
        <v>0.0</v>
      </c>
      <c r="AK94" s="101">
        <v>2500000.0</v>
      </c>
      <c r="AL94" s="101">
        <v>0.0</v>
      </c>
      <c r="AM94" s="101">
        <v>2500000.0</v>
      </c>
      <c r="AN94" s="101">
        <v>0.0</v>
      </c>
    </row>
    <row r="95" ht="12.75" customHeight="1">
      <c r="A95" s="50">
        <v>94.0</v>
      </c>
      <c r="B95" s="50" t="s">
        <v>8911</v>
      </c>
      <c r="C95" s="50" t="s">
        <v>100</v>
      </c>
      <c r="D95" s="50" t="s">
        <v>100</v>
      </c>
      <c r="E95" s="50" t="s">
        <v>8792</v>
      </c>
      <c r="F95" s="50" t="s">
        <v>770</v>
      </c>
      <c r="G95" s="50" t="s">
        <v>8924</v>
      </c>
      <c r="H95" s="966">
        <v>34335.0</v>
      </c>
      <c r="I95" s="50" t="s">
        <v>70</v>
      </c>
      <c r="J95" s="101">
        <v>3000000.0</v>
      </c>
      <c r="K95" s="50">
        <v>0.0</v>
      </c>
      <c r="L95" s="50" t="s">
        <v>781</v>
      </c>
      <c r="M95" s="50"/>
      <c r="N95" s="50"/>
      <c r="O95" s="50" t="s">
        <v>110</v>
      </c>
      <c r="P95" s="50"/>
      <c r="Q95" s="50"/>
      <c r="R95" s="50" t="s">
        <v>772</v>
      </c>
      <c r="S95" s="50">
        <v>1.0</v>
      </c>
      <c r="T95" s="50">
        <v>7.0</v>
      </c>
      <c r="U95" s="50"/>
      <c r="V95" s="50" t="s">
        <v>1232</v>
      </c>
      <c r="W95" s="50" t="s">
        <v>1233</v>
      </c>
      <c r="X95" s="50" t="s">
        <v>1234</v>
      </c>
      <c r="Y95" s="50">
        <v>0.0</v>
      </c>
      <c r="Z95" s="50"/>
      <c r="AA95" s="50"/>
      <c r="AB95" s="50"/>
      <c r="AC95" s="50"/>
      <c r="AD95" s="50"/>
      <c r="AE95" s="50" t="s">
        <v>8794</v>
      </c>
      <c r="AF95" s="50" t="s">
        <v>4470</v>
      </c>
      <c r="AG95" s="50"/>
      <c r="AH95" s="50"/>
      <c r="AI95" s="50"/>
      <c r="AJ95" s="50">
        <v>0.0</v>
      </c>
      <c r="AK95" s="101">
        <v>3000000.0</v>
      </c>
      <c r="AL95" s="101">
        <v>0.0</v>
      </c>
      <c r="AM95" s="101">
        <v>3000000.0</v>
      </c>
      <c r="AN95" s="101">
        <v>0.0</v>
      </c>
    </row>
    <row r="96" ht="12.75" customHeight="1">
      <c r="A96" s="50">
        <v>95.0</v>
      </c>
      <c r="B96" s="50" t="s">
        <v>8911</v>
      </c>
      <c r="C96" s="50" t="s">
        <v>100</v>
      </c>
      <c r="D96" s="50" t="s">
        <v>1189</v>
      </c>
      <c r="E96" s="50" t="s">
        <v>8792</v>
      </c>
      <c r="F96" s="50" t="s">
        <v>770</v>
      </c>
      <c r="G96" s="50" t="s">
        <v>8925</v>
      </c>
      <c r="H96" s="966">
        <v>34700.0</v>
      </c>
      <c r="I96" s="50" t="s">
        <v>70</v>
      </c>
      <c r="J96" s="101">
        <v>2500000.0</v>
      </c>
      <c r="K96" s="50">
        <v>0.0</v>
      </c>
      <c r="L96" s="50" t="s">
        <v>781</v>
      </c>
      <c r="M96" s="50"/>
      <c r="N96" s="50"/>
      <c r="O96" s="50" t="s">
        <v>120</v>
      </c>
      <c r="P96" s="50"/>
      <c r="Q96" s="50"/>
      <c r="R96" s="50" t="s">
        <v>772</v>
      </c>
      <c r="S96" s="50">
        <v>1.0</v>
      </c>
      <c r="T96" s="50">
        <v>7.0</v>
      </c>
      <c r="U96" s="50"/>
      <c r="V96" s="50" t="s">
        <v>1235</v>
      </c>
      <c r="W96" s="50" t="s">
        <v>1236</v>
      </c>
      <c r="X96" s="50" t="s">
        <v>1237</v>
      </c>
      <c r="Y96" s="50">
        <v>0.0</v>
      </c>
      <c r="Z96" s="50"/>
      <c r="AA96" s="50"/>
      <c r="AB96" s="50" t="s">
        <v>1239</v>
      </c>
      <c r="AC96" s="50"/>
      <c r="AD96" s="50"/>
      <c r="AE96" s="50" t="s">
        <v>8794</v>
      </c>
      <c r="AF96" s="50" t="s">
        <v>4470</v>
      </c>
      <c r="AG96" s="50"/>
      <c r="AH96" s="50"/>
      <c r="AI96" s="50"/>
      <c r="AJ96" s="50">
        <v>0.0</v>
      </c>
      <c r="AK96" s="101">
        <v>2500000.0</v>
      </c>
      <c r="AL96" s="101">
        <v>0.0</v>
      </c>
      <c r="AM96" s="101">
        <v>2500000.0</v>
      </c>
      <c r="AN96" s="101">
        <v>0.0</v>
      </c>
    </row>
    <row r="97" ht="12.75" customHeight="1">
      <c r="A97" s="50">
        <v>96.0</v>
      </c>
      <c r="B97" s="50" t="s">
        <v>8911</v>
      </c>
      <c r="C97" s="50" t="s">
        <v>100</v>
      </c>
      <c r="D97" s="50" t="s">
        <v>1189</v>
      </c>
      <c r="E97" s="50" t="s">
        <v>8792</v>
      </c>
      <c r="F97" s="50" t="s">
        <v>770</v>
      </c>
      <c r="G97" s="50" t="s">
        <v>8926</v>
      </c>
      <c r="H97" s="966">
        <v>35065.0</v>
      </c>
      <c r="I97" s="50" t="s">
        <v>70</v>
      </c>
      <c r="J97" s="101">
        <v>2500000.0</v>
      </c>
      <c r="K97" s="50">
        <v>0.0</v>
      </c>
      <c r="L97" s="50" t="s">
        <v>781</v>
      </c>
      <c r="M97" s="50"/>
      <c r="N97" s="50"/>
      <c r="O97" s="50" t="s">
        <v>127</v>
      </c>
      <c r="P97" s="50"/>
      <c r="Q97" s="50"/>
      <c r="R97" s="50" t="s">
        <v>772</v>
      </c>
      <c r="S97" s="50">
        <v>1.0</v>
      </c>
      <c r="T97" s="50">
        <v>7.0</v>
      </c>
      <c r="U97" s="50"/>
      <c r="V97" s="50" t="s">
        <v>1240</v>
      </c>
      <c r="W97" s="50" t="s">
        <v>1241</v>
      </c>
      <c r="X97" s="50" t="s">
        <v>1242</v>
      </c>
      <c r="Y97" s="50">
        <v>0.0</v>
      </c>
      <c r="Z97" s="50"/>
      <c r="AA97" s="50"/>
      <c r="AB97" s="50"/>
      <c r="AC97" s="50"/>
      <c r="AD97" s="50"/>
      <c r="AE97" s="50" t="s">
        <v>8794</v>
      </c>
      <c r="AF97" s="50" t="s">
        <v>4470</v>
      </c>
      <c r="AG97" s="50"/>
      <c r="AH97" s="50"/>
      <c r="AI97" s="50"/>
      <c r="AJ97" s="50">
        <v>0.0</v>
      </c>
      <c r="AK97" s="101">
        <v>2500000.0</v>
      </c>
      <c r="AL97" s="101">
        <v>0.0</v>
      </c>
      <c r="AM97" s="101">
        <v>2500000.0</v>
      </c>
      <c r="AN97" s="101">
        <v>0.0</v>
      </c>
    </row>
    <row r="98" ht="12.75" customHeight="1">
      <c r="A98" s="50">
        <v>97.0</v>
      </c>
      <c r="B98" s="50" t="s">
        <v>8911</v>
      </c>
      <c r="C98" s="50" t="s">
        <v>100</v>
      </c>
      <c r="D98" s="50" t="s">
        <v>1189</v>
      </c>
      <c r="E98" s="50" t="s">
        <v>8792</v>
      </c>
      <c r="F98" s="50" t="s">
        <v>770</v>
      </c>
      <c r="G98" s="50" t="s">
        <v>8927</v>
      </c>
      <c r="H98" s="966">
        <v>35065.0</v>
      </c>
      <c r="I98" s="50" t="s">
        <v>70</v>
      </c>
      <c r="J98" s="101">
        <v>2500000.0</v>
      </c>
      <c r="K98" s="50">
        <v>0.0</v>
      </c>
      <c r="L98" s="50" t="s">
        <v>781</v>
      </c>
      <c r="M98" s="50"/>
      <c r="N98" s="50"/>
      <c r="O98" s="50" t="s">
        <v>127</v>
      </c>
      <c r="P98" s="50"/>
      <c r="Q98" s="50"/>
      <c r="R98" s="50" t="s">
        <v>772</v>
      </c>
      <c r="S98" s="50">
        <v>1.0</v>
      </c>
      <c r="T98" s="50">
        <v>7.0</v>
      </c>
      <c r="U98" s="50"/>
      <c r="V98" s="50" t="s">
        <v>1243</v>
      </c>
      <c r="W98" s="50" t="s">
        <v>1244</v>
      </c>
      <c r="X98" s="50" t="s">
        <v>1245</v>
      </c>
      <c r="Y98" s="50">
        <v>0.0</v>
      </c>
      <c r="Z98" s="50"/>
      <c r="AA98" s="50"/>
      <c r="AB98" s="50"/>
      <c r="AC98" s="50"/>
      <c r="AD98" s="50"/>
      <c r="AE98" s="50" t="s">
        <v>8794</v>
      </c>
      <c r="AF98" s="50" t="s">
        <v>4470</v>
      </c>
      <c r="AG98" s="50"/>
      <c r="AH98" s="50"/>
      <c r="AI98" s="50"/>
      <c r="AJ98" s="50">
        <v>0.0</v>
      </c>
      <c r="AK98" s="101">
        <v>2500000.0</v>
      </c>
      <c r="AL98" s="101">
        <v>0.0</v>
      </c>
      <c r="AM98" s="101">
        <v>2500000.0</v>
      </c>
      <c r="AN98" s="101">
        <v>0.0</v>
      </c>
    </row>
    <row r="99" ht="12.75" customHeight="1">
      <c r="A99" s="50">
        <v>98.0</v>
      </c>
      <c r="B99" s="50" t="s">
        <v>8911</v>
      </c>
      <c r="C99" s="50" t="s">
        <v>100</v>
      </c>
      <c r="D99" s="50" t="s">
        <v>100</v>
      </c>
      <c r="E99" s="50" t="s">
        <v>8792</v>
      </c>
      <c r="F99" s="50" t="s">
        <v>770</v>
      </c>
      <c r="G99" s="50" t="s">
        <v>8928</v>
      </c>
      <c r="H99" s="966">
        <v>35431.0</v>
      </c>
      <c r="I99" s="50" t="s">
        <v>70</v>
      </c>
      <c r="J99" s="101">
        <v>2500000.0</v>
      </c>
      <c r="K99" s="50">
        <v>0.0</v>
      </c>
      <c r="L99" s="50" t="s">
        <v>781</v>
      </c>
      <c r="M99" s="50"/>
      <c r="N99" s="50"/>
      <c r="O99" s="50" t="s">
        <v>131</v>
      </c>
      <c r="P99" s="50"/>
      <c r="Q99" s="50"/>
      <c r="R99" s="50" t="s">
        <v>772</v>
      </c>
      <c r="S99" s="50">
        <v>1.0</v>
      </c>
      <c r="T99" s="50">
        <v>7.0</v>
      </c>
      <c r="U99" s="50"/>
      <c r="V99" s="83" t="s">
        <v>1246</v>
      </c>
      <c r="W99" s="83" t="s">
        <v>1247</v>
      </c>
      <c r="X99" s="83" t="s">
        <v>1248</v>
      </c>
      <c r="Y99" s="83" t="s">
        <v>1249</v>
      </c>
      <c r="Z99" s="83" t="s">
        <v>777</v>
      </c>
      <c r="AA99" s="50"/>
      <c r="AB99" s="50" t="s">
        <v>1250</v>
      </c>
      <c r="AC99" s="50"/>
      <c r="AD99" s="50"/>
      <c r="AE99" s="50" t="s">
        <v>8794</v>
      </c>
      <c r="AF99" s="50" t="s">
        <v>4470</v>
      </c>
      <c r="AG99" s="50"/>
      <c r="AH99" s="50"/>
      <c r="AI99" s="50"/>
      <c r="AJ99" s="50">
        <v>0.0</v>
      </c>
      <c r="AK99" s="101">
        <v>2500000.0</v>
      </c>
      <c r="AL99" s="101">
        <v>0.0</v>
      </c>
      <c r="AM99" s="101">
        <v>2500000.0</v>
      </c>
      <c r="AN99" s="101">
        <v>0.0</v>
      </c>
    </row>
    <row r="100" ht="12.75" customHeight="1">
      <c r="A100" s="50">
        <v>99.0</v>
      </c>
      <c r="B100" s="50" t="s">
        <v>8911</v>
      </c>
      <c r="C100" s="50" t="s">
        <v>100</v>
      </c>
      <c r="D100" s="50" t="s">
        <v>1189</v>
      </c>
      <c r="E100" s="50" t="s">
        <v>8792</v>
      </c>
      <c r="F100" s="50" t="s">
        <v>770</v>
      </c>
      <c r="G100" s="50" t="s">
        <v>8929</v>
      </c>
      <c r="H100" s="966">
        <v>35431.0</v>
      </c>
      <c r="I100" s="50" t="s">
        <v>70</v>
      </c>
      <c r="J100" s="101">
        <v>2500000.0</v>
      </c>
      <c r="K100" s="50">
        <v>0.0</v>
      </c>
      <c r="L100" s="50" t="s">
        <v>781</v>
      </c>
      <c r="M100" s="50"/>
      <c r="N100" s="50"/>
      <c r="O100" s="50" t="s">
        <v>131</v>
      </c>
      <c r="P100" s="50"/>
      <c r="Q100" s="50"/>
      <c r="R100" s="50" t="s">
        <v>772</v>
      </c>
      <c r="S100" s="50">
        <v>1.0</v>
      </c>
      <c r="T100" s="50">
        <v>7.0</v>
      </c>
      <c r="U100" s="50"/>
      <c r="V100" s="50" t="s">
        <v>1251</v>
      </c>
      <c r="W100" s="50" t="s">
        <v>1252</v>
      </c>
      <c r="X100" s="50" t="s">
        <v>1253</v>
      </c>
      <c r="Y100" s="50">
        <v>0.0</v>
      </c>
      <c r="Z100" s="50"/>
      <c r="AA100" s="50"/>
      <c r="AB100" s="50"/>
      <c r="AC100" s="50"/>
      <c r="AD100" s="50"/>
      <c r="AE100" s="50" t="s">
        <v>8794</v>
      </c>
      <c r="AF100" s="50" t="s">
        <v>4470</v>
      </c>
      <c r="AG100" s="50"/>
      <c r="AH100" s="50"/>
      <c r="AI100" s="50"/>
      <c r="AJ100" s="50">
        <v>0.0</v>
      </c>
      <c r="AK100" s="101">
        <v>2500000.0</v>
      </c>
      <c r="AL100" s="101">
        <v>0.0</v>
      </c>
      <c r="AM100" s="101">
        <v>2500000.0</v>
      </c>
      <c r="AN100" s="101">
        <v>0.0</v>
      </c>
    </row>
    <row r="101" ht="12.75" customHeight="1">
      <c r="A101" s="50">
        <v>100.0</v>
      </c>
      <c r="B101" s="50" t="s">
        <v>8911</v>
      </c>
      <c r="C101" s="50" t="s">
        <v>100</v>
      </c>
      <c r="D101" s="50" t="s">
        <v>1189</v>
      </c>
      <c r="E101" s="50" t="s">
        <v>8792</v>
      </c>
      <c r="F101" s="50" t="s">
        <v>770</v>
      </c>
      <c r="G101" s="50" t="s">
        <v>8930</v>
      </c>
      <c r="H101" s="966">
        <v>35431.0</v>
      </c>
      <c r="I101" s="50" t="s">
        <v>70</v>
      </c>
      <c r="J101" s="101">
        <v>2500000.0</v>
      </c>
      <c r="K101" s="50">
        <v>0.0</v>
      </c>
      <c r="L101" s="50" t="s">
        <v>781</v>
      </c>
      <c r="M101" s="50"/>
      <c r="N101" s="50"/>
      <c r="O101" s="50" t="s">
        <v>131</v>
      </c>
      <c r="P101" s="50"/>
      <c r="Q101" s="50"/>
      <c r="R101" s="50" t="s">
        <v>772</v>
      </c>
      <c r="S101" s="50">
        <v>1.0</v>
      </c>
      <c r="T101" s="50">
        <v>7.0</v>
      </c>
      <c r="U101" s="50"/>
      <c r="V101" s="50" t="s">
        <v>1254</v>
      </c>
      <c r="W101" s="50" t="s">
        <v>1255</v>
      </c>
      <c r="X101" s="50" t="s">
        <v>1256</v>
      </c>
      <c r="Y101" s="50">
        <v>0.0</v>
      </c>
      <c r="Z101" s="50"/>
      <c r="AA101" s="50"/>
      <c r="AB101" s="50"/>
      <c r="AC101" s="50"/>
      <c r="AD101" s="50"/>
      <c r="AE101" s="50" t="s">
        <v>8794</v>
      </c>
      <c r="AF101" s="50" t="s">
        <v>4470</v>
      </c>
      <c r="AG101" s="50"/>
      <c r="AH101" s="50"/>
      <c r="AI101" s="50"/>
      <c r="AJ101" s="50">
        <v>0.0</v>
      </c>
      <c r="AK101" s="101">
        <v>2500000.0</v>
      </c>
      <c r="AL101" s="101">
        <v>0.0</v>
      </c>
      <c r="AM101" s="101">
        <v>2500000.0</v>
      </c>
      <c r="AN101" s="101">
        <v>0.0</v>
      </c>
    </row>
    <row r="102" ht="12.75" customHeight="1">
      <c r="A102" s="50">
        <v>101.0</v>
      </c>
      <c r="B102" s="50" t="s">
        <v>8911</v>
      </c>
      <c r="C102" s="50" t="s">
        <v>100</v>
      </c>
      <c r="D102" s="50" t="s">
        <v>1189</v>
      </c>
      <c r="E102" s="50" t="s">
        <v>8792</v>
      </c>
      <c r="F102" s="50" t="s">
        <v>770</v>
      </c>
      <c r="G102" s="50" t="s">
        <v>8931</v>
      </c>
      <c r="H102" s="966">
        <v>35431.0</v>
      </c>
      <c r="I102" s="50" t="s">
        <v>70</v>
      </c>
      <c r="J102" s="101">
        <v>2500000.0</v>
      </c>
      <c r="K102" s="50">
        <v>0.0</v>
      </c>
      <c r="L102" s="50" t="s">
        <v>781</v>
      </c>
      <c r="M102" s="50"/>
      <c r="N102" s="50"/>
      <c r="O102" s="50" t="s">
        <v>131</v>
      </c>
      <c r="P102" s="50"/>
      <c r="Q102" s="50"/>
      <c r="R102" s="50" t="s">
        <v>772</v>
      </c>
      <c r="S102" s="50">
        <v>1.0</v>
      </c>
      <c r="T102" s="50">
        <v>7.0</v>
      </c>
      <c r="U102" s="50"/>
      <c r="V102" s="50" t="s">
        <v>1257</v>
      </c>
      <c r="W102" s="50" t="s">
        <v>1258</v>
      </c>
      <c r="X102" s="50" t="s">
        <v>1259</v>
      </c>
      <c r="Y102" s="50">
        <v>0.0</v>
      </c>
      <c r="Z102" s="50"/>
      <c r="AA102" s="50"/>
      <c r="AB102" s="50"/>
      <c r="AC102" s="50"/>
      <c r="AD102" s="50"/>
      <c r="AE102" s="50" t="s">
        <v>8794</v>
      </c>
      <c r="AF102" s="50" t="s">
        <v>4470</v>
      </c>
      <c r="AG102" s="50"/>
      <c r="AH102" s="50"/>
      <c r="AI102" s="50"/>
      <c r="AJ102" s="50">
        <v>0.0</v>
      </c>
      <c r="AK102" s="101">
        <v>2500000.0</v>
      </c>
      <c r="AL102" s="101">
        <v>0.0</v>
      </c>
      <c r="AM102" s="101">
        <v>2500000.0</v>
      </c>
      <c r="AN102" s="101">
        <v>0.0</v>
      </c>
    </row>
    <row r="103" ht="12.75" customHeight="1">
      <c r="A103" s="50">
        <v>102.0</v>
      </c>
      <c r="B103" s="50" t="s">
        <v>8911</v>
      </c>
      <c r="C103" s="50" t="s">
        <v>100</v>
      </c>
      <c r="D103" s="50" t="s">
        <v>1189</v>
      </c>
      <c r="E103" s="50" t="s">
        <v>8792</v>
      </c>
      <c r="F103" s="50" t="s">
        <v>770</v>
      </c>
      <c r="G103" s="50" t="s">
        <v>8932</v>
      </c>
      <c r="H103" s="966">
        <v>35431.0</v>
      </c>
      <c r="I103" s="50" t="s">
        <v>70</v>
      </c>
      <c r="J103" s="101">
        <v>2500000.0</v>
      </c>
      <c r="K103" s="50">
        <v>0.0</v>
      </c>
      <c r="L103" s="50" t="s">
        <v>781</v>
      </c>
      <c r="M103" s="50"/>
      <c r="N103" s="50"/>
      <c r="O103" s="50" t="s">
        <v>131</v>
      </c>
      <c r="P103" s="50"/>
      <c r="Q103" s="50"/>
      <c r="R103" s="50" t="s">
        <v>772</v>
      </c>
      <c r="S103" s="50">
        <v>1.0</v>
      </c>
      <c r="T103" s="50">
        <v>7.0</v>
      </c>
      <c r="U103" s="50"/>
      <c r="V103" s="50" t="s">
        <v>1261</v>
      </c>
      <c r="W103" s="50" t="s">
        <v>1262</v>
      </c>
      <c r="X103" s="50" t="s">
        <v>1263</v>
      </c>
      <c r="Y103" s="50">
        <v>0.0</v>
      </c>
      <c r="Z103" s="50"/>
      <c r="AA103" s="50"/>
      <c r="AB103" s="50" t="s">
        <v>8862</v>
      </c>
      <c r="AC103" s="50"/>
      <c r="AD103" s="50"/>
      <c r="AE103" s="50" t="s">
        <v>8794</v>
      </c>
      <c r="AF103" s="50" t="s">
        <v>4470</v>
      </c>
      <c r="AG103" s="50"/>
      <c r="AH103" s="50"/>
      <c r="AI103" s="50"/>
      <c r="AJ103" s="50">
        <v>0.0</v>
      </c>
      <c r="AK103" s="101">
        <v>2500000.0</v>
      </c>
      <c r="AL103" s="101">
        <v>0.0</v>
      </c>
      <c r="AM103" s="101">
        <v>2500000.0</v>
      </c>
      <c r="AN103" s="101">
        <v>0.0</v>
      </c>
    </row>
    <row r="104" ht="12.75" customHeight="1">
      <c r="A104" s="50">
        <v>103.0</v>
      </c>
      <c r="B104" s="50" t="s">
        <v>8911</v>
      </c>
      <c r="C104" s="50" t="s">
        <v>100</v>
      </c>
      <c r="D104" s="50" t="s">
        <v>100</v>
      </c>
      <c r="E104" s="50" t="s">
        <v>8792</v>
      </c>
      <c r="F104" s="50" t="s">
        <v>770</v>
      </c>
      <c r="G104" s="50" t="s">
        <v>8933</v>
      </c>
      <c r="H104" s="966">
        <v>35431.0</v>
      </c>
      <c r="I104" s="50" t="s">
        <v>70</v>
      </c>
      <c r="J104" s="101">
        <v>2500000.0</v>
      </c>
      <c r="K104" s="50">
        <v>0.0</v>
      </c>
      <c r="L104" s="50" t="s">
        <v>781</v>
      </c>
      <c r="M104" s="50"/>
      <c r="N104" s="50"/>
      <c r="O104" s="50" t="s">
        <v>131</v>
      </c>
      <c r="P104" s="50"/>
      <c r="Q104" s="50"/>
      <c r="R104" s="50" t="s">
        <v>772</v>
      </c>
      <c r="S104" s="50">
        <v>1.0</v>
      </c>
      <c r="T104" s="50">
        <v>7.0</v>
      </c>
      <c r="U104" s="50"/>
      <c r="V104" s="50" t="s">
        <v>1264</v>
      </c>
      <c r="W104" s="50" t="s">
        <v>1265</v>
      </c>
      <c r="X104" s="50" t="s">
        <v>1266</v>
      </c>
      <c r="Y104" s="50">
        <v>0.0</v>
      </c>
      <c r="Z104" s="50"/>
      <c r="AA104" s="50"/>
      <c r="AB104" s="50"/>
      <c r="AC104" s="50"/>
      <c r="AD104" s="50"/>
      <c r="AE104" s="50" t="s">
        <v>8794</v>
      </c>
      <c r="AF104" s="50" t="s">
        <v>4470</v>
      </c>
      <c r="AG104" s="50"/>
      <c r="AH104" s="50"/>
      <c r="AI104" s="50"/>
      <c r="AJ104" s="50">
        <v>0.0</v>
      </c>
      <c r="AK104" s="101">
        <v>2500000.0</v>
      </c>
      <c r="AL104" s="101">
        <v>0.0</v>
      </c>
      <c r="AM104" s="101">
        <v>2500000.0</v>
      </c>
      <c r="AN104" s="101">
        <v>0.0</v>
      </c>
    </row>
    <row r="105" ht="12.75" customHeight="1">
      <c r="A105" s="50">
        <v>104.0</v>
      </c>
      <c r="B105" s="50" t="s">
        <v>8911</v>
      </c>
      <c r="C105" s="50" t="s">
        <v>100</v>
      </c>
      <c r="D105" s="50" t="s">
        <v>1189</v>
      </c>
      <c r="E105" s="50" t="s">
        <v>8792</v>
      </c>
      <c r="F105" s="50" t="s">
        <v>770</v>
      </c>
      <c r="G105" s="50" t="s">
        <v>8934</v>
      </c>
      <c r="H105" s="966">
        <v>35431.0</v>
      </c>
      <c r="I105" s="50" t="s">
        <v>70</v>
      </c>
      <c r="J105" s="101">
        <v>2500000.0</v>
      </c>
      <c r="K105" s="50">
        <v>0.0</v>
      </c>
      <c r="L105" s="50" t="s">
        <v>781</v>
      </c>
      <c r="M105" s="50"/>
      <c r="N105" s="50"/>
      <c r="O105" s="50" t="s">
        <v>131</v>
      </c>
      <c r="P105" s="50"/>
      <c r="Q105" s="50"/>
      <c r="R105" s="50" t="s">
        <v>772</v>
      </c>
      <c r="S105" s="50">
        <v>1.0</v>
      </c>
      <c r="T105" s="50">
        <v>7.0</v>
      </c>
      <c r="U105" s="50"/>
      <c r="V105" s="50" t="s">
        <v>1267</v>
      </c>
      <c r="W105" s="50" t="s">
        <v>1268</v>
      </c>
      <c r="X105" s="50" t="s">
        <v>1269</v>
      </c>
      <c r="Y105" s="50">
        <v>0.0</v>
      </c>
      <c r="Z105" s="50"/>
      <c r="AA105" s="50"/>
      <c r="AB105" s="50" t="s">
        <v>8935</v>
      </c>
      <c r="AC105" s="50"/>
      <c r="AD105" s="50"/>
      <c r="AE105" s="50" t="s">
        <v>8794</v>
      </c>
      <c r="AF105" s="50" t="s">
        <v>4470</v>
      </c>
      <c r="AG105" s="50"/>
      <c r="AH105" s="50"/>
      <c r="AI105" s="50"/>
      <c r="AJ105" s="50">
        <v>0.0</v>
      </c>
      <c r="AK105" s="101">
        <v>2500000.0</v>
      </c>
      <c r="AL105" s="101">
        <v>0.0</v>
      </c>
      <c r="AM105" s="101">
        <v>2500000.0</v>
      </c>
      <c r="AN105" s="101">
        <v>0.0</v>
      </c>
    </row>
    <row r="106" ht="12.75" customHeight="1">
      <c r="A106" s="50">
        <v>105.0</v>
      </c>
      <c r="B106" s="50" t="s">
        <v>8911</v>
      </c>
      <c r="C106" s="50" t="s">
        <v>100</v>
      </c>
      <c r="D106" s="50" t="s">
        <v>100</v>
      </c>
      <c r="E106" s="50" t="s">
        <v>8792</v>
      </c>
      <c r="F106" s="50" t="s">
        <v>770</v>
      </c>
      <c r="G106" s="50" t="s">
        <v>8936</v>
      </c>
      <c r="H106" s="966">
        <v>35796.0</v>
      </c>
      <c r="I106" s="50" t="s">
        <v>70</v>
      </c>
      <c r="J106" s="101">
        <v>2500000.0</v>
      </c>
      <c r="K106" s="50">
        <v>0.0</v>
      </c>
      <c r="L106" s="50" t="s">
        <v>781</v>
      </c>
      <c r="M106" s="50"/>
      <c r="N106" s="50"/>
      <c r="O106" s="50" t="s">
        <v>1272</v>
      </c>
      <c r="P106" s="50"/>
      <c r="Q106" s="50"/>
      <c r="R106" s="50" t="s">
        <v>772</v>
      </c>
      <c r="S106" s="50">
        <v>1.0</v>
      </c>
      <c r="T106" s="50">
        <v>7.0</v>
      </c>
      <c r="U106" s="50"/>
      <c r="V106" s="83" t="s">
        <v>1273</v>
      </c>
      <c r="W106" s="83" t="s">
        <v>1274</v>
      </c>
      <c r="X106" s="83" t="s">
        <v>1275</v>
      </c>
      <c r="Y106" s="83" t="s">
        <v>1276</v>
      </c>
      <c r="Z106" s="83" t="s">
        <v>777</v>
      </c>
      <c r="AA106" s="50"/>
      <c r="AB106" s="50" t="s">
        <v>1250</v>
      </c>
      <c r="AC106" s="50"/>
      <c r="AD106" s="50"/>
      <c r="AE106" s="50" t="s">
        <v>8794</v>
      </c>
      <c r="AF106" s="50" t="s">
        <v>4470</v>
      </c>
      <c r="AG106" s="50"/>
      <c r="AH106" s="50"/>
      <c r="AI106" s="50"/>
      <c r="AJ106" s="50">
        <v>0.0</v>
      </c>
      <c r="AK106" s="101">
        <v>2500000.0</v>
      </c>
      <c r="AL106" s="101">
        <v>0.0</v>
      </c>
      <c r="AM106" s="101">
        <v>2500000.0</v>
      </c>
      <c r="AN106" s="101">
        <v>0.0</v>
      </c>
    </row>
    <row r="107" ht="12.75" customHeight="1">
      <c r="A107" s="50">
        <v>106.0</v>
      </c>
      <c r="B107" s="50" t="s">
        <v>8911</v>
      </c>
      <c r="C107" s="50" t="s">
        <v>100</v>
      </c>
      <c r="D107" s="50" t="s">
        <v>1189</v>
      </c>
      <c r="E107" s="50" t="s">
        <v>8792</v>
      </c>
      <c r="F107" s="50" t="s">
        <v>770</v>
      </c>
      <c r="G107" s="50" t="s">
        <v>8937</v>
      </c>
      <c r="H107" s="966">
        <v>35796.0</v>
      </c>
      <c r="I107" s="50" t="s">
        <v>70</v>
      </c>
      <c r="J107" s="101">
        <v>3000000.0</v>
      </c>
      <c r="K107" s="50">
        <v>0.0</v>
      </c>
      <c r="L107" s="50" t="s">
        <v>781</v>
      </c>
      <c r="M107" s="50"/>
      <c r="N107" s="50"/>
      <c r="O107" s="50" t="s">
        <v>1272</v>
      </c>
      <c r="P107" s="50"/>
      <c r="Q107" s="50"/>
      <c r="R107" s="50" t="s">
        <v>772</v>
      </c>
      <c r="S107" s="50">
        <v>1.0</v>
      </c>
      <c r="T107" s="50">
        <v>7.0</v>
      </c>
      <c r="U107" s="50"/>
      <c r="V107" s="83" t="s">
        <v>1278</v>
      </c>
      <c r="W107" s="83" t="s">
        <v>1279</v>
      </c>
      <c r="X107" s="83" t="s">
        <v>1280</v>
      </c>
      <c r="Y107" s="83" t="s">
        <v>1281</v>
      </c>
      <c r="Z107" s="83" t="s">
        <v>777</v>
      </c>
      <c r="AA107" s="50"/>
      <c r="AB107" s="50" t="s">
        <v>1250</v>
      </c>
      <c r="AC107" s="50"/>
      <c r="AD107" s="50"/>
      <c r="AE107" s="50" t="s">
        <v>8794</v>
      </c>
      <c r="AF107" s="50" t="s">
        <v>4470</v>
      </c>
      <c r="AG107" s="50"/>
      <c r="AH107" s="50"/>
      <c r="AI107" s="50"/>
      <c r="AJ107" s="50">
        <v>0.0</v>
      </c>
      <c r="AK107" s="101">
        <v>3000000.0</v>
      </c>
      <c r="AL107" s="101">
        <v>0.0</v>
      </c>
      <c r="AM107" s="101">
        <v>3000000.0</v>
      </c>
      <c r="AN107" s="101">
        <v>0.0</v>
      </c>
    </row>
    <row r="108" ht="12.75" customHeight="1">
      <c r="A108" s="50">
        <v>107.0</v>
      </c>
      <c r="B108" s="50" t="s">
        <v>8911</v>
      </c>
      <c r="C108" s="50" t="s">
        <v>100</v>
      </c>
      <c r="D108" s="50" t="s">
        <v>1189</v>
      </c>
      <c r="E108" s="50" t="s">
        <v>8792</v>
      </c>
      <c r="F108" s="50" t="s">
        <v>770</v>
      </c>
      <c r="G108" s="50" t="s">
        <v>8938</v>
      </c>
      <c r="H108" s="966">
        <v>35796.0</v>
      </c>
      <c r="I108" s="50" t="s">
        <v>70</v>
      </c>
      <c r="J108" s="101">
        <v>6000000.0</v>
      </c>
      <c r="K108" s="50">
        <v>0.0</v>
      </c>
      <c r="L108" s="50" t="s">
        <v>781</v>
      </c>
      <c r="M108" s="50"/>
      <c r="N108" s="50"/>
      <c r="O108" s="50" t="s">
        <v>1272</v>
      </c>
      <c r="P108" s="50"/>
      <c r="Q108" s="50"/>
      <c r="R108" s="50" t="s">
        <v>772</v>
      </c>
      <c r="S108" s="50">
        <v>1.0</v>
      </c>
      <c r="T108" s="50">
        <v>7.0</v>
      </c>
      <c r="U108" s="50"/>
      <c r="V108" s="50" t="s">
        <v>1282</v>
      </c>
      <c r="W108" s="50"/>
      <c r="X108" s="50"/>
      <c r="Y108" s="50">
        <v>0.0</v>
      </c>
      <c r="Z108" s="50"/>
      <c r="AA108" s="50"/>
      <c r="AB108" s="50"/>
      <c r="AC108" s="50"/>
      <c r="AD108" s="50"/>
      <c r="AE108" s="50" t="s">
        <v>8794</v>
      </c>
      <c r="AF108" s="50" t="s">
        <v>4470</v>
      </c>
      <c r="AG108" s="50"/>
      <c r="AH108" s="50"/>
      <c r="AI108" s="50"/>
      <c r="AJ108" s="50">
        <v>0.0</v>
      </c>
      <c r="AK108" s="101">
        <v>6000000.0</v>
      </c>
      <c r="AL108" s="101">
        <v>0.0</v>
      </c>
      <c r="AM108" s="101">
        <v>6000000.0</v>
      </c>
      <c r="AN108" s="101">
        <v>0.0</v>
      </c>
    </row>
    <row r="109" ht="12.75" customHeight="1">
      <c r="A109" s="50">
        <v>108.0</v>
      </c>
      <c r="B109" s="50" t="s">
        <v>8911</v>
      </c>
      <c r="C109" s="50" t="s">
        <v>100</v>
      </c>
      <c r="D109" s="50" t="s">
        <v>100</v>
      </c>
      <c r="E109" s="50" t="s">
        <v>8792</v>
      </c>
      <c r="F109" s="50" t="s">
        <v>770</v>
      </c>
      <c r="G109" s="50" t="s">
        <v>8939</v>
      </c>
      <c r="H109" s="966">
        <v>35796.0</v>
      </c>
      <c r="I109" s="50" t="s">
        <v>70</v>
      </c>
      <c r="J109" s="101">
        <v>4000000.0</v>
      </c>
      <c r="K109" s="50">
        <v>0.0</v>
      </c>
      <c r="L109" s="50" t="s">
        <v>781</v>
      </c>
      <c r="M109" s="50"/>
      <c r="N109" s="50"/>
      <c r="O109" s="50" t="s">
        <v>1272</v>
      </c>
      <c r="P109" s="50"/>
      <c r="Q109" s="50"/>
      <c r="R109" s="50" t="s">
        <v>772</v>
      </c>
      <c r="S109" s="50">
        <v>1.0</v>
      </c>
      <c r="T109" s="50">
        <v>7.0</v>
      </c>
      <c r="U109" s="50"/>
      <c r="V109" s="50" t="s">
        <v>1283</v>
      </c>
      <c r="W109" s="50"/>
      <c r="X109" s="50"/>
      <c r="Y109" s="50">
        <v>0.0</v>
      </c>
      <c r="Z109" s="50"/>
      <c r="AA109" s="50"/>
      <c r="AB109" s="50"/>
      <c r="AC109" s="50"/>
      <c r="AD109" s="50"/>
      <c r="AE109" s="50" t="s">
        <v>8794</v>
      </c>
      <c r="AF109" s="50" t="s">
        <v>4470</v>
      </c>
      <c r="AG109" s="50"/>
      <c r="AH109" s="50"/>
      <c r="AI109" s="50"/>
      <c r="AJ109" s="50">
        <v>0.0</v>
      </c>
      <c r="AK109" s="101">
        <v>4000000.0</v>
      </c>
      <c r="AL109" s="101">
        <v>0.0</v>
      </c>
      <c r="AM109" s="101">
        <v>4000000.0</v>
      </c>
      <c r="AN109" s="101">
        <v>0.0</v>
      </c>
    </row>
    <row r="110" ht="12.75" customHeight="1">
      <c r="A110" s="50">
        <v>109.0</v>
      </c>
      <c r="B110" s="50" t="s">
        <v>8911</v>
      </c>
      <c r="C110" s="50" t="s">
        <v>100</v>
      </c>
      <c r="D110" s="50" t="s">
        <v>1189</v>
      </c>
      <c r="E110" s="50" t="s">
        <v>8792</v>
      </c>
      <c r="F110" s="50" t="s">
        <v>770</v>
      </c>
      <c r="G110" s="50" t="s">
        <v>8940</v>
      </c>
      <c r="H110" s="966">
        <v>36161.0</v>
      </c>
      <c r="I110" s="50" t="s">
        <v>70</v>
      </c>
      <c r="J110" s="101">
        <v>6000000.0</v>
      </c>
      <c r="K110" s="50">
        <v>0.0</v>
      </c>
      <c r="L110" s="50" t="s">
        <v>781</v>
      </c>
      <c r="M110" s="50"/>
      <c r="N110" s="50"/>
      <c r="O110" s="50" t="s">
        <v>1284</v>
      </c>
      <c r="P110" s="50"/>
      <c r="Q110" s="50"/>
      <c r="R110" s="50" t="s">
        <v>772</v>
      </c>
      <c r="S110" s="50">
        <v>1.0</v>
      </c>
      <c r="T110" s="50">
        <v>7.0</v>
      </c>
      <c r="U110" s="50"/>
      <c r="V110" s="50" t="s">
        <v>1285</v>
      </c>
      <c r="W110" s="50" t="s">
        <v>1286</v>
      </c>
      <c r="X110" s="50" t="s">
        <v>1287</v>
      </c>
      <c r="Y110" s="50">
        <v>0.0</v>
      </c>
      <c r="Z110" s="50"/>
      <c r="AA110" s="50"/>
      <c r="AB110" s="50" t="s">
        <v>963</v>
      </c>
      <c r="AC110" s="50"/>
      <c r="AD110" s="50"/>
      <c r="AE110" s="50" t="s">
        <v>8794</v>
      </c>
      <c r="AF110" s="50" t="s">
        <v>4470</v>
      </c>
      <c r="AG110" s="50"/>
      <c r="AH110" s="50"/>
      <c r="AI110" s="50"/>
      <c r="AJ110" s="50">
        <v>0.0</v>
      </c>
      <c r="AK110" s="101">
        <v>6000000.0</v>
      </c>
      <c r="AL110" s="101">
        <v>0.0</v>
      </c>
      <c r="AM110" s="101">
        <v>6000000.0</v>
      </c>
      <c r="AN110" s="101">
        <v>0.0</v>
      </c>
    </row>
    <row r="111" ht="12.75" customHeight="1">
      <c r="A111" s="50">
        <v>110.0</v>
      </c>
      <c r="B111" s="50" t="s">
        <v>8911</v>
      </c>
      <c r="C111" s="50" t="s">
        <v>100</v>
      </c>
      <c r="D111" s="50" t="s">
        <v>1189</v>
      </c>
      <c r="E111" s="50" t="s">
        <v>8792</v>
      </c>
      <c r="F111" s="50" t="s">
        <v>770</v>
      </c>
      <c r="G111" s="50" t="s">
        <v>8941</v>
      </c>
      <c r="H111" s="966">
        <v>36161.0</v>
      </c>
      <c r="I111" s="50" t="s">
        <v>70</v>
      </c>
      <c r="J111" s="101">
        <v>2500000.0</v>
      </c>
      <c r="K111" s="50">
        <v>0.0</v>
      </c>
      <c r="L111" s="50" t="s">
        <v>781</v>
      </c>
      <c r="M111" s="50"/>
      <c r="N111" s="50"/>
      <c r="O111" s="50" t="s">
        <v>1284</v>
      </c>
      <c r="P111" s="50"/>
      <c r="Q111" s="50"/>
      <c r="R111" s="50" t="s">
        <v>772</v>
      </c>
      <c r="S111" s="50">
        <v>1.0</v>
      </c>
      <c r="T111" s="50">
        <v>7.0</v>
      </c>
      <c r="U111" s="50"/>
      <c r="V111" s="50" t="s">
        <v>1289</v>
      </c>
      <c r="W111" s="50" t="s">
        <v>1290</v>
      </c>
      <c r="X111" s="50" t="s">
        <v>1291</v>
      </c>
      <c r="Y111" s="50">
        <v>0.0</v>
      </c>
      <c r="Z111" s="50"/>
      <c r="AA111" s="50"/>
      <c r="AB111" s="50" t="s">
        <v>8862</v>
      </c>
      <c r="AC111" s="50"/>
      <c r="AD111" s="50"/>
      <c r="AE111" s="50" t="s">
        <v>8794</v>
      </c>
      <c r="AF111" s="50" t="s">
        <v>4470</v>
      </c>
      <c r="AG111" s="50"/>
      <c r="AH111" s="50"/>
      <c r="AI111" s="50"/>
      <c r="AJ111" s="50">
        <v>0.0</v>
      </c>
      <c r="AK111" s="101">
        <v>2500000.0</v>
      </c>
      <c r="AL111" s="101">
        <v>0.0</v>
      </c>
      <c r="AM111" s="101">
        <v>2500000.0</v>
      </c>
      <c r="AN111" s="101">
        <v>0.0</v>
      </c>
    </row>
    <row r="112" ht="12.75" customHeight="1">
      <c r="A112" s="50">
        <v>111.0</v>
      </c>
      <c r="B112" s="50" t="s">
        <v>8911</v>
      </c>
      <c r="C112" s="50" t="s">
        <v>100</v>
      </c>
      <c r="D112" s="50" t="s">
        <v>1189</v>
      </c>
      <c r="E112" s="50" t="s">
        <v>8792</v>
      </c>
      <c r="F112" s="50" t="s">
        <v>770</v>
      </c>
      <c r="G112" s="50" t="s">
        <v>8942</v>
      </c>
      <c r="H112" s="966">
        <v>36526.0</v>
      </c>
      <c r="I112" s="50" t="s">
        <v>70</v>
      </c>
      <c r="J112" s="101">
        <v>4700000.0</v>
      </c>
      <c r="K112" s="50">
        <v>0.0</v>
      </c>
      <c r="L112" s="50" t="s">
        <v>781</v>
      </c>
      <c r="M112" s="50"/>
      <c r="N112" s="50"/>
      <c r="O112" s="50" t="s">
        <v>29</v>
      </c>
      <c r="P112" s="50"/>
      <c r="Q112" s="50"/>
      <c r="R112" s="50" t="s">
        <v>772</v>
      </c>
      <c r="S112" s="50">
        <v>1.0</v>
      </c>
      <c r="T112" s="50">
        <v>7.0</v>
      </c>
      <c r="U112" s="50"/>
      <c r="V112" s="50" t="s">
        <v>1292</v>
      </c>
      <c r="W112" s="50" t="s">
        <v>1293</v>
      </c>
      <c r="X112" s="50" t="s">
        <v>1294</v>
      </c>
      <c r="Y112" s="50">
        <v>0.0</v>
      </c>
      <c r="Z112" s="50"/>
      <c r="AA112" s="50"/>
      <c r="AB112" s="50"/>
      <c r="AC112" s="50"/>
      <c r="AD112" s="50"/>
      <c r="AE112" s="50" t="s">
        <v>8794</v>
      </c>
      <c r="AF112" s="50" t="s">
        <v>4470</v>
      </c>
      <c r="AG112" s="50"/>
      <c r="AH112" s="50"/>
      <c r="AI112" s="50"/>
      <c r="AJ112" s="50">
        <v>0.0</v>
      </c>
      <c r="AK112" s="101">
        <v>4700000.0</v>
      </c>
      <c r="AL112" s="101">
        <v>0.0</v>
      </c>
      <c r="AM112" s="101">
        <v>4700000.0</v>
      </c>
      <c r="AN112" s="101">
        <v>0.0</v>
      </c>
    </row>
    <row r="113" ht="12.75" customHeight="1">
      <c r="A113" s="50">
        <v>112.0</v>
      </c>
      <c r="B113" s="50" t="s">
        <v>8911</v>
      </c>
      <c r="C113" s="50" t="s">
        <v>100</v>
      </c>
      <c r="D113" s="50" t="s">
        <v>1189</v>
      </c>
      <c r="E113" s="50" t="s">
        <v>8792</v>
      </c>
      <c r="F113" s="50" t="s">
        <v>770</v>
      </c>
      <c r="G113" s="50" t="s">
        <v>8943</v>
      </c>
      <c r="H113" s="966">
        <v>36526.0</v>
      </c>
      <c r="I113" s="50" t="s">
        <v>70</v>
      </c>
      <c r="J113" s="101">
        <v>4500000.0</v>
      </c>
      <c r="K113" s="50">
        <v>0.0</v>
      </c>
      <c r="L113" s="50" t="s">
        <v>781</v>
      </c>
      <c r="M113" s="50"/>
      <c r="N113" s="50"/>
      <c r="O113" s="50" t="s">
        <v>29</v>
      </c>
      <c r="P113" s="50"/>
      <c r="Q113" s="50"/>
      <c r="R113" s="50" t="s">
        <v>772</v>
      </c>
      <c r="S113" s="50">
        <v>1.0</v>
      </c>
      <c r="T113" s="50">
        <v>7.0</v>
      </c>
      <c r="U113" s="50"/>
      <c r="V113" s="83" t="s">
        <v>1295</v>
      </c>
      <c r="W113" s="83" t="s">
        <v>1296</v>
      </c>
      <c r="X113" s="83" t="s">
        <v>1297</v>
      </c>
      <c r="Y113" s="83" t="s">
        <v>1298</v>
      </c>
      <c r="Z113" s="83" t="s">
        <v>777</v>
      </c>
      <c r="AA113" s="50"/>
      <c r="AB113" s="50" t="s">
        <v>1250</v>
      </c>
      <c r="AC113" s="50"/>
      <c r="AD113" s="50"/>
      <c r="AE113" s="50" t="s">
        <v>8794</v>
      </c>
      <c r="AF113" s="50" t="s">
        <v>4470</v>
      </c>
      <c r="AG113" s="50"/>
      <c r="AH113" s="50"/>
      <c r="AI113" s="50"/>
      <c r="AJ113" s="50">
        <v>0.0</v>
      </c>
      <c r="AK113" s="101">
        <v>4500000.0</v>
      </c>
      <c r="AL113" s="101">
        <v>0.0</v>
      </c>
      <c r="AM113" s="101">
        <v>4500000.0</v>
      </c>
      <c r="AN113" s="101">
        <v>0.0</v>
      </c>
    </row>
    <row r="114" ht="12.75" customHeight="1">
      <c r="A114" s="50">
        <v>113.0</v>
      </c>
      <c r="B114" s="50" t="s">
        <v>8911</v>
      </c>
      <c r="C114" s="50" t="s">
        <v>100</v>
      </c>
      <c r="D114" s="50" t="s">
        <v>1189</v>
      </c>
      <c r="E114" s="50" t="s">
        <v>8792</v>
      </c>
      <c r="F114" s="50" t="s">
        <v>770</v>
      </c>
      <c r="G114" s="50" t="s">
        <v>8944</v>
      </c>
      <c r="H114" s="966">
        <v>36526.0</v>
      </c>
      <c r="I114" s="50" t="s">
        <v>70</v>
      </c>
      <c r="J114" s="101">
        <v>3000000.0</v>
      </c>
      <c r="K114" s="50">
        <v>0.0</v>
      </c>
      <c r="L114" s="50" t="s">
        <v>781</v>
      </c>
      <c r="M114" s="50"/>
      <c r="N114" s="50"/>
      <c r="O114" s="50" t="s">
        <v>29</v>
      </c>
      <c r="P114" s="50"/>
      <c r="Q114" s="50"/>
      <c r="R114" s="50" t="s">
        <v>772</v>
      </c>
      <c r="S114" s="50">
        <v>1.0</v>
      </c>
      <c r="T114" s="50">
        <v>7.0</v>
      </c>
      <c r="U114" s="50"/>
      <c r="V114" s="83" t="s">
        <v>1299</v>
      </c>
      <c r="W114" s="83" t="s">
        <v>1300</v>
      </c>
      <c r="X114" s="83" t="s">
        <v>1301</v>
      </c>
      <c r="Y114" s="83" t="s">
        <v>1302</v>
      </c>
      <c r="Z114" s="83" t="s">
        <v>777</v>
      </c>
      <c r="AA114" s="50"/>
      <c r="AB114" s="50" t="s">
        <v>1250</v>
      </c>
      <c r="AC114" s="50"/>
      <c r="AD114" s="50"/>
      <c r="AE114" s="50" t="s">
        <v>8794</v>
      </c>
      <c r="AF114" s="50" t="s">
        <v>4470</v>
      </c>
      <c r="AG114" s="50"/>
      <c r="AH114" s="50"/>
      <c r="AI114" s="50"/>
      <c r="AJ114" s="50">
        <v>0.0</v>
      </c>
      <c r="AK114" s="101">
        <v>3000000.0</v>
      </c>
      <c r="AL114" s="101">
        <v>0.0</v>
      </c>
      <c r="AM114" s="101">
        <v>3000000.0</v>
      </c>
      <c r="AN114" s="101">
        <v>0.0</v>
      </c>
    </row>
    <row r="115" ht="12.75" customHeight="1">
      <c r="A115" s="50">
        <v>114.0</v>
      </c>
      <c r="B115" s="50" t="s">
        <v>8911</v>
      </c>
      <c r="C115" s="50" t="s">
        <v>100</v>
      </c>
      <c r="D115" s="50" t="s">
        <v>100</v>
      </c>
      <c r="E115" s="50" t="s">
        <v>8792</v>
      </c>
      <c r="F115" s="50" t="s">
        <v>770</v>
      </c>
      <c r="G115" s="50" t="s">
        <v>8945</v>
      </c>
      <c r="H115" s="966">
        <v>36526.0</v>
      </c>
      <c r="I115" s="50" t="s">
        <v>70</v>
      </c>
      <c r="J115" s="101">
        <v>3500000.0</v>
      </c>
      <c r="K115" s="50">
        <v>0.0</v>
      </c>
      <c r="L115" s="50" t="s">
        <v>781</v>
      </c>
      <c r="M115" s="50"/>
      <c r="N115" s="50"/>
      <c r="O115" s="50" t="s">
        <v>29</v>
      </c>
      <c r="P115" s="50"/>
      <c r="Q115" s="50"/>
      <c r="R115" s="50" t="s">
        <v>772</v>
      </c>
      <c r="S115" s="50">
        <v>1.0</v>
      </c>
      <c r="T115" s="50">
        <v>7.0</v>
      </c>
      <c r="U115" s="50"/>
      <c r="V115" s="83" t="s">
        <v>1303</v>
      </c>
      <c r="W115" s="83" t="s">
        <v>1304</v>
      </c>
      <c r="X115" s="83" t="s">
        <v>1305</v>
      </c>
      <c r="Y115" s="83" t="s">
        <v>1306</v>
      </c>
      <c r="Z115" s="83" t="s">
        <v>777</v>
      </c>
      <c r="AA115" s="50"/>
      <c r="AB115" s="50"/>
      <c r="AC115" s="50"/>
      <c r="AD115" s="50"/>
      <c r="AE115" s="50" t="s">
        <v>8794</v>
      </c>
      <c r="AF115" s="50" t="s">
        <v>4470</v>
      </c>
      <c r="AG115" s="50"/>
      <c r="AH115" s="50"/>
      <c r="AI115" s="50"/>
      <c r="AJ115" s="50">
        <v>0.0</v>
      </c>
      <c r="AK115" s="101">
        <v>3500000.0</v>
      </c>
      <c r="AL115" s="101">
        <v>0.0</v>
      </c>
      <c r="AM115" s="101">
        <v>3500000.0</v>
      </c>
      <c r="AN115" s="101">
        <v>0.0</v>
      </c>
    </row>
    <row r="116" ht="12.75" customHeight="1">
      <c r="A116" s="50">
        <v>115.0</v>
      </c>
      <c r="B116" s="50" t="s">
        <v>8911</v>
      </c>
      <c r="C116" s="50" t="s">
        <v>100</v>
      </c>
      <c r="D116" s="50" t="s">
        <v>1189</v>
      </c>
      <c r="E116" s="50" t="s">
        <v>8792</v>
      </c>
      <c r="F116" s="50" t="s">
        <v>770</v>
      </c>
      <c r="G116" s="50" t="s">
        <v>8946</v>
      </c>
      <c r="H116" s="966">
        <v>36526.0</v>
      </c>
      <c r="I116" s="50" t="s">
        <v>70</v>
      </c>
      <c r="J116" s="101">
        <v>2500000.0</v>
      </c>
      <c r="K116" s="50">
        <v>0.0</v>
      </c>
      <c r="L116" s="50" t="s">
        <v>781</v>
      </c>
      <c r="M116" s="50"/>
      <c r="N116" s="50"/>
      <c r="O116" s="50" t="s">
        <v>29</v>
      </c>
      <c r="P116" s="50"/>
      <c r="Q116" s="50"/>
      <c r="R116" s="50" t="s">
        <v>772</v>
      </c>
      <c r="S116" s="50">
        <v>1.0</v>
      </c>
      <c r="T116" s="50">
        <v>7.0</v>
      </c>
      <c r="U116" s="50"/>
      <c r="V116" s="50" t="s">
        <v>1307</v>
      </c>
      <c r="W116" s="50" t="s">
        <v>1308</v>
      </c>
      <c r="X116" s="50" t="s">
        <v>1309</v>
      </c>
      <c r="Y116" s="50">
        <v>0.0</v>
      </c>
      <c r="Z116" s="50"/>
      <c r="AA116" s="50"/>
      <c r="AB116" s="50"/>
      <c r="AC116" s="50"/>
      <c r="AD116" s="50"/>
      <c r="AE116" s="50" t="s">
        <v>8794</v>
      </c>
      <c r="AF116" s="50" t="s">
        <v>4470</v>
      </c>
      <c r="AG116" s="50"/>
      <c r="AH116" s="50"/>
      <c r="AI116" s="50"/>
      <c r="AJ116" s="50">
        <v>0.0</v>
      </c>
      <c r="AK116" s="101">
        <v>2500000.0</v>
      </c>
      <c r="AL116" s="101">
        <v>0.0</v>
      </c>
      <c r="AM116" s="101">
        <v>2500000.0</v>
      </c>
      <c r="AN116" s="101">
        <v>0.0</v>
      </c>
    </row>
    <row r="117" ht="12.75" customHeight="1">
      <c r="A117" s="50">
        <v>116.0</v>
      </c>
      <c r="B117" s="50" t="s">
        <v>8911</v>
      </c>
      <c r="C117" s="50" t="s">
        <v>100</v>
      </c>
      <c r="D117" s="50" t="s">
        <v>1189</v>
      </c>
      <c r="E117" s="50" t="s">
        <v>8792</v>
      </c>
      <c r="F117" s="50" t="s">
        <v>770</v>
      </c>
      <c r="G117" s="50" t="s">
        <v>8947</v>
      </c>
      <c r="H117" s="966">
        <v>36526.0</v>
      </c>
      <c r="I117" s="50" t="s">
        <v>70</v>
      </c>
      <c r="J117" s="101">
        <v>3000000.0</v>
      </c>
      <c r="K117" s="50">
        <v>0.0</v>
      </c>
      <c r="L117" s="50" t="s">
        <v>781</v>
      </c>
      <c r="M117" s="50"/>
      <c r="N117" s="50"/>
      <c r="O117" s="50" t="s">
        <v>29</v>
      </c>
      <c r="P117" s="50"/>
      <c r="Q117" s="50"/>
      <c r="R117" s="50" t="s">
        <v>772</v>
      </c>
      <c r="S117" s="50">
        <v>1.0</v>
      </c>
      <c r="T117" s="50">
        <v>7.0</v>
      </c>
      <c r="U117" s="50"/>
      <c r="V117" s="50" t="s">
        <v>1310</v>
      </c>
      <c r="W117" s="50" t="s">
        <v>1311</v>
      </c>
      <c r="X117" s="50" t="s">
        <v>1312</v>
      </c>
      <c r="Y117" s="50">
        <v>0.0</v>
      </c>
      <c r="Z117" s="50"/>
      <c r="AA117" s="50"/>
      <c r="AB117" s="50"/>
      <c r="AC117" s="50"/>
      <c r="AD117" s="50"/>
      <c r="AE117" s="50" t="s">
        <v>8794</v>
      </c>
      <c r="AF117" s="50" t="s">
        <v>4470</v>
      </c>
      <c r="AG117" s="50"/>
      <c r="AH117" s="50"/>
      <c r="AI117" s="50"/>
      <c r="AJ117" s="50">
        <v>0.0</v>
      </c>
      <c r="AK117" s="101">
        <v>3000000.0</v>
      </c>
      <c r="AL117" s="101">
        <v>0.0</v>
      </c>
      <c r="AM117" s="101">
        <v>3000000.0</v>
      </c>
      <c r="AN117" s="101">
        <v>0.0</v>
      </c>
    </row>
    <row r="118" ht="12.75" customHeight="1">
      <c r="A118" s="50">
        <v>117.0</v>
      </c>
      <c r="B118" s="50" t="s">
        <v>8911</v>
      </c>
      <c r="C118" s="50" t="s">
        <v>100</v>
      </c>
      <c r="D118" s="50" t="s">
        <v>1189</v>
      </c>
      <c r="E118" s="50" t="s">
        <v>8792</v>
      </c>
      <c r="F118" s="50" t="s">
        <v>770</v>
      </c>
      <c r="G118" s="50" t="s">
        <v>8948</v>
      </c>
      <c r="H118" s="966">
        <v>36526.0</v>
      </c>
      <c r="I118" s="50" t="s">
        <v>70</v>
      </c>
      <c r="J118" s="101">
        <v>4500000.0</v>
      </c>
      <c r="K118" s="50">
        <v>0.0</v>
      </c>
      <c r="L118" s="50" t="s">
        <v>781</v>
      </c>
      <c r="M118" s="50"/>
      <c r="N118" s="50"/>
      <c r="O118" s="50" t="s">
        <v>29</v>
      </c>
      <c r="P118" s="50"/>
      <c r="Q118" s="50"/>
      <c r="R118" s="50" t="s">
        <v>772</v>
      </c>
      <c r="S118" s="50">
        <v>1.0</v>
      </c>
      <c r="T118" s="50">
        <v>7.0</v>
      </c>
      <c r="U118" s="50"/>
      <c r="V118" s="83" t="s">
        <v>1314</v>
      </c>
      <c r="W118" s="83" t="s">
        <v>1315</v>
      </c>
      <c r="X118" s="83" t="s">
        <v>1287</v>
      </c>
      <c r="Y118" s="83" t="s">
        <v>1316</v>
      </c>
      <c r="Z118" s="83" t="s">
        <v>777</v>
      </c>
      <c r="AA118" s="50"/>
      <c r="AB118" s="50" t="s">
        <v>1250</v>
      </c>
      <c r="AC118" s="50"/>
      <c r="AD118" s="50"/>
      <c r="AE118" s="50" t="s">
        <v>8794</v>
      </c>
      <c r="AF118" s="50" t="s">
        <v>4470</v>
      </c>
      <c r="AG118" s="50"/>
      <c r="AH118" s="50"/>
      <c r="AI118" s="50"/>
      <c r="AJ118" s="50">
        <v>0.0</v>
      </c>
      <c r="AK118" s="101">
        <v>4500000.0</v>
      </c>
      <c r="AL118" s="101">
        <v>0.0</v>
      </c>
      <c r="AM118" s="101">
        <v>4500000.0</v>
      </c>
      <c r="AN118" s="101">
        <v>0.0</v>
      </c>
    </row>
    <row r="119" ht="12.75" customHeight="1">
      <c r="A119" s="50">
        <v>118.0</v>
      </c>
      <c r="B119" s="50" t="s">
        <v>8911</v>
      </c>
      <c r="C119" s="50" t="s">
        <v>100</v>
      </c>
      <c r="D119" s="50" t="s">
        <v>100</v>
      </c>
      <c r="E119" s="50" t="s">
        <v>8792</v>
      </c>
      <c r="F119" s="50" t="s">
        <v>770</v>
      </c>
      <c r="G119" s="50" t="s">
        <v>8949</v>
      </c>
      <c r="H119" s="966">
        <v>36526.0</v>
      </c>
      <c r="I119" s="50" t="s">
        <v>70</v>
      </c>
      <c r="J119" s="101">
        <v>4500000.0</v>
      </c>
      <c r="K119" s="50">
        <v>0.0</v>
      </c>
      <c r="L119" s="50" t="s">
        <v>781</v>
      </c>
      <c r="M119" s="50"/>
      <c r="N119" s="50"/>
      <c r="O119" s="50" t="s">
        <v>29</v>
      </c>
      <c r="P119" s="50"/>
      <c r="Q119" s="50"/>
      <c r="R119" s="50" t="s">
        <v>772</v>
      </c>
      <c r="S119" s="50">
        <v>1.0</v>
      </c>
      <c r="T119" s="50">
        <v>7.0</v>
      </c>
      <c r="U119" s="50"/>
      <c r="V119" s="83" t="s">
        <v>1317</v>
      </c>
      <c r="W119" s="83" t="s">
        <v>1318</v>
      </c>
      <c r="X119" s="83" t="s">
        <v>1319</v>
      </c>
      <c r="Y119" s="83" t="s">
        <v>1320</v>
      </c>
      <c r="Z119" s="83" t="s">
        <v>777</v>
      </c>
      <c r="AA119" s="50"/>
      <c r="AB119" s="50" t="s">
        <v>8950</v>
      </c>
      <c r="AC119" s="50"/>
      <c r="AD119" s="50"/>
      <c r="AE119" s="50" t="s">
        <v>8794</v>
      </c>
      <c r="AF119" s="50" t="s">
        <v>4470</v>
      </c>
      <c r="AG119" s="50"/>
      <c r="AH119" s="50"/>
      <c r="AI119" s="50"/>
      <c r="AJ119" s="50">
        <v>0.0</v>
      </c>
      <c r="AK119" s="101">
        <v>4500000.0</v>
      </c>
      <c r="AL119" s="101">
        <v>0.0</v>
      </c>
      <c r="AM119" s="101">
        <v>4500000.0</v>
      </c>
      <c r="AN119" s="101">
        <v>0.0</v>
      </c>
    </row>
    <row r="120" ht="12.75" customHeight="1">
      <c r="A120" s="50">
        <v>119.0</v>
      </c>
      <c r="B120" s="50" t="s">
        <v>8911</v>
      </c>
      <c r="C120" s="50" t="s">
        <v>100</v>
      </c>
      <c r="D120" s="50" t="s">
        <v>100</v>
      </c>
      <c r="E120" s="50" t="s">
        <v>8792</v>
      </c>
      <c r="F120" s="50" t="s">
        <v>770</v>
      </c>
      <c r="G120" s="50" t="s">
        <v>8951</v>
      </c>
      <c r="H120" s="966">
        <v>38353.0</v>
      </c>
      <c r="I120" s="50" t="s">
        <v>70</v>
      </c>
      <c r="J120" s="101">
        <v>1.1835E7</v>
      </c>
      <c r="K120" s="50">
        <v>0.0</v>
      </c>
      <c r="L120" s="50" t="s">
        <v>781</v>
      </c>
      <c r="M120" s="50"/>
      <c r="N120" s="50"/>
      <c r="O120" s="50" t="s">
        <v>145</v>
      </c>
      <c r="P120" s="50"/>
      <c r="Q120" s="50"/>
      <c r="R120" s="50" t="s">
        <v>772</v>
      </c>
      <c r="S120" s="50">
        <v>1.0</v>
      </c>
      <c r="T120" s="50">
        <v>7.0</v>
      </c>
      <c r="U120" s="50"/>
      <c r="V120" s="83" t="s">
        <v>1321</v>
      </c>
      <c r="W120" s="83" t="s">
        <v>1322</v>
      </c>
      <c r="X120" s="83" t="s">
        <v>1323</v>
      </c>
      <c r="Y120" s="83" t="s">
        <v>1324</v>
      </c>
      <c r="Z120" s="83" t="s">
        <v>777</v>
      </c>
      <c r="AA120" s="50"/>
      <c r="AB120" s="50" t="s">
        <v>952</v>
      </c>
      <c r="AC120" s="50"/>
      <c r="AD120" s="50"/>
      <c r="AE120" s="50" t="s">
        <v>8794</v>
      </c>
      <c r="AF120" s="50" t="s">
        <v>4470</v>
      </c>
      <c r="AG120" s="50"/>
      <c r="AH120" s="50"/>
      <c r="AI120" s="50"/>
      <c r="AJ120" s="50">
        <v>0.0</v>
      </c>
      <c r="AK120" s="101">
        <v>1.1835E7</v>
      </c>
      <c r="AL120" s="101">
        <v>0.0</v>
      </c>
      <c r="AM120" s="101">
        <v>1.1835E7</v>
      </c>
      <c r="AN120" s="101">
        <v>0.0</v>
      </c>
    </row>
    <row r="121" ht="12.75" customHeight="1">
      <c r="A121" s="50">
        <v>120.0</v>
      </c>
      <c r="B121" s="50" t="s">
        <v>8911</v>
      </c>
      <c r="C121" s="50" t="s">
        <v>100</v>
      </c>
      <c r="D121" s="50" t="s">
        <v>100</v>
      </c>
      <c r="E121" s="50" t="s">
        <v>8792</v>
      </c>
      <c r="F121" s="50" t="s">
        <v>770</v>
      </c>
      <c r="G121" s="50" t="s">
        <v>8952</v>
      </c>
      <c r="H121" s="966">
        <v>38353.0</v>
      </c>
      <c r="I121" s="50" t="s">
        <v>70</v>
      </c>
      <c r="J121" s="101">
        <v>1.1835E7</v>
      </c>
      <c r="K121" s="50">
        <v>0.0</v>
      </c>
      <c r="L121" s="50" t="s">
        <v>781</v>
      </c>
      <c r="M121" s="50"/>
      <c r="N121" s="50"/>
      <c r="O121" s="50" t="s">
        <v>145</v>
      </c>
      <c r="P121" s="50"/>
      <c r="Q121" s="50"/>
      <c r="R121" s="50" t="s">
        <v>772</v>
      </c>
      <c r="S121" s="50">
        <v>1.0</v>
      </c>
      <c r="T121" s="50">
        <v>7.0</v>
      </c>
      <c r="U121" s="50"/>
      <c r="V121" s="83" t="s">
        <v>1325</v>
      </c>
      <c r="W121" s="83" t="s">
        <v>1326</v>
      </c>
      <c r="X121" s="83" t="s">
        <v>1327</v>
      </c>
      <c r="Y121" s="83" t="s">
        <v>1328</v>
      </c>
      <c r="Z121" s="83" t="s">
        <v>777</v>
      </c>
      <c r="AA121" s="50"/>
      <c r="AB121" s="50" t="s">
        <v>952</v>
      </c>
      <c r="AC121" s="50"/>
      <c r="AD121" s="50"/>
      <c r="AE121" s="50" t="s">
        <v>8794</v>
      </c>
      <c r="AF121" s="50" t="s">
        <v>4470</v>
      </c>
      <c r="AG121" s="50"/>
      <c r="AH121" s="50"/>
      <c r="AI121" s="50"/>
      <c r="AJ121" s="50">
        <v>0.0</v>
      </c>
      <c r="AK121" s="101">
        <v>1.1835E7</v>
      </c>
      <c r="AL121" s="101">
        <v>0.0</v>
      </c>
      <c r="AM121" s="101">
        <v>1.1835E7</v>
      </c>
      <c r="AN121" s="101">
        <v>0.0</v>
      </c>
    </row>
    <row r="122" ht="12.75" customHeight="1">
      <c r="A122" s="50">
        <v>121.0</v>
      </c>
      <c r="B122" s="50" t="s">
        <v>8911</v>
      </c>
      <c r="C122" s="50" t="s">
        <v>100</v>
      </c>
      <c r="D122" s="50" t="s">
        <v>100</v>
      </c>
      <c r="E122" s="50" t="s">
        <v>8792</v>
      </c>
      <c r="F122" s="50" t="s">
        <v>770</v>
      </c>
      <c r="G122" s="50" t="s">
        <v>8953</v>
      </c>
      <c r="H122" s="966">
        <v>38353.0</v>
      </c>
      <c r="I122" s="50" t="s">
        <v>70</v>
      </c>
      <c r="J122" s="101">
        <v>1.1835E7</v>
      </c>
      <c r="K122" s="50">
        <v>0.0</v>
      </c>
      <c r="L122" s="50" t="s">
        <v>781</v>
      </c>
      <c r="M122" s="50"/>
      <c r="N122" s="50"/>
      <c r="O122" s="50" t="s">
        <v>145</v>
      </c>
      <c r="P122" s="50"/>
      <c r="Q122" s="50"/>
      <c r="R122" s="50" t="s">
        <v>772</v>
      </c>
      <c r="S122" s="50">
        <v>1.0</v>
      </c>
      <c r="T122" s="50">
        <v>7.0</v>
      </c>
      <c r="U122" s="50"/>
      <c r="V122" s="83" t="s">
        <v>1329</v>
      </c>
      <c r="W122" s="83" t="s">
        <v>1330</v>
      </c>
      <c r="X122" s="83" t="s">
        <v>1331</v>
      </c>
      <c r="Y122" s="83" t="s">
        <v>1332</v>
      </c>
      <c r="Z122" s="83" t="s">
        <v>777</v>
      </c>
      <c r="AA122" s="50"/>
      <c r="AB122" s="50" t="s">
        <v>1333</v>
      </c>
      <c r="AC122" s="50"/>
      <c r="AD122" s="50"/>
      <c r="AE122" s="50" t="s">
        <v>8794</v>
      </c>
      <c r="AF122" s="50" t="s">
        <v>4470</v>
      </c>
      <c r="AG122" s="50"/>
      <c r="AH122" s="50"/>
      <c r="AI122" s="50"/>
      <c r="AJ122" s="50">
        <v>0.0</v>
      </c>
      <c r="AK122" s="101">
        <v>1.1835E7</v>
      </c>
      <c r="AL122" s="101">
        <v>0.0</v>
      </c>
      <c r="AM122" s="101">
        <v>1.1835E7</v>
      </c>
      <c r="AN122" s="101">
        <v>0.0</v>
      </c>
    </row>
    <row r="123" ht="12.75" customHeight="1">
      <c r="A123" s="50">
        <v>122.0</v>
      </c>
      <c r="B123" s="50" t="s">
        <v>8911</v>
      </c>
      <c r="C123" s="50" t="s">
        <v>100</v>
      </c>
      <c r="D123" s="50" t="s">
        <v>100</v>
      </c>
      <c r="E123" s="50" t="s">
        <v>8792</v>
      </c>
      <c r="F123" s="50" t="s">
        <v>770</v>
      </c>
      <c r="G123" s="50" t="s">
        <v>8954</v>
      </c>
      <c r="H123" s="966">
        <v>38353.0</v>
      </c>
      <c r="I123" s="50" t="s">
        <v>70</v>
      </c>
      <c r="J123" s="101">
        <v>8000000.0</v>
      </c>
      <c r="K123" s="50">
        <v>0.0</v>
      </c>
      <c r="L123" s="50" t="s">
        <v>781</v>
      </c>
      <c r="M123" s="50"/>
      <c r="N123" s="50"/>
      <c r="O123" s="50" t="s">
        <v>145</v>
      </c>
      <c r="P123" s="50"/>
      <c r="Q123" s="50"/>
      <c r="R123" s="50" t="s">
        <v>772</v>
      </c>
      <c r="S123" s="50">
        <v>1.0</v>
      </c>
      <c r="T123" s="50">
        <v>7.0</v>
      </c>
      <c r="U123" s="50"/>
      <c r="V123" s="83" t="s">
        <v>1335</v>
      </c>
      <c r="W123" s="83" t="s">
        <v>1336</v>
      </c>
      <c r="X123" s="83" t="s">
        <v>1337</v>
      </c>
      <c r="Y123" s="83" t="s">
        <v>1338</v>
      </c>
      <c r="Z123" s="83" t="s">
        <v>777</v>
      </c>
      <c r="AA123" s="50"/>
      <c r="AB123" s="50" t="s">
        <v>1339</v>
      </c>
      <c r="AC123" s="50"/>
      <c r="AD123" s="50"/>
      <c r="AE123" s="50" t="s">
        <v>8794</v>
      </c>
      <c r="AF123" s="50" t="s">
        <v>4470</v>
      </c>
      <c r="AG123" s="50"/>
      <c r="AH123" s="50"/>
      <c r="AI123" s="50"/>
      <c r="AJ123" s="50">
        <v>0.0</v>
      </c>
      <c r="AK123" s="101">
        <v>8000000.0</v>
      </c>
      <c r="AL123" s="101">
        <v>0.0</v>
      </c>
      <c r="AM123" s="101">
        <v>8000000.0</v>
      </c>
      <c r="AN123" s="101">
        <v>0.0</v>
      </c>
    </row>
    <row r="124" ht="12.75" customHeight="1">
      <c r="A124" s="50">
        <v>123.0</v>
      </c>
      <c r="B124" s="50" t="s">
        <v>8911</v>
      </c>
      <c r="C124" s="50" t="s">
        <v>100</v>
      </c>
      <c r="D124" s="50" t="s">
        <v>100</v>
      </c>
      <c r="E124" s="50" t="s">
        <v>8792</v>
      </c>
      <c r="F124" s="50" t="s">
        <v>770</v>
      </c>
      <c r="G124" s="50" t="s">
        <v>8955</v>
      </c>
      <c r="H124" s="966">
        <v>38353.0</v>
      </c>
      <c r="I124" s="50" t="s">
        <v>70</v>
      </c>
      <c r="J124" s="101">
        <v>8000000.0</v>
      </c>
      <c r="K124" s="50">
        <v>0.0</v>
      </c>
      <c r="L124" s="50" t="s">
        <v>781</v>
      </c>
      <c r="M124" s="50"/>
      <c r="N124" s="50"/>
      <c r="O124" s="50" t="s">
        <v>145</v>
      </c>
      <c r="P124" s="50"/>
      <c r="Q124" s="50"/>
      <c r="R124" s="50" t="s">
        <v>772</v>
      </c>
      <c r="S124" s="50">
        <v>1.0</v>
      </c>
      <c r="T124" s="50">
        <v>7.0</v>
      </c>
      <c r="U124" s="50"/>
      <c r="V124" s="83" t="s">
        <v>1340</v>
      </c>
      <c r="W124" s="83" t="s">
        <v>1341</v>
      </c>
      <c r="X124" s="83" t="s">
        <v>1342</v>
      </c>
      <c r="Y124" s="83" t="s">
        <v>1343</v>
      </c>
      <c r="Z124" s="83" t="s">
        <v>777</v>
      </c>
      <c r="AA124" s="50"/>
      <c r="AB124" s="50" t="s">
        <v>1344</v>
      </c>
      <c r="AC124" s="50"/>
      <c r="AD124" s="50"/>
      <c r="AE124" s="50" t="s">
        <v>8794</v>
      </c>
      <c r="AF124" s="50" t="s">
        <v>4470</v>
      </c>
      <c r="AG124" s="50"/>
      <c r="AH124" s="50"/>
      <c r="AI124" s="50"/>
      <c r="AJ124" s="50">
        <v>0.0</v>
      </c>
      <c r="AK124" s="101">
        <v>8000000.0</v>
      </c>
      <c r="AL124" s="101">
        <v>0.0</v>
      </c>
      <c r="AM124" s="101">
        <v>8000000.0</v>
      </c>
      <c r="AN124" s="101">
        <v>0.0</v>
      </c>
    </row>
    <row r="125" ht="12.75" customHeight="1">
      <c r="A125" s="50">
        <v>124.0</v>
      </c>
      <c r="B125" s="50" t="s">
        <v>8911</v>
      </c>
      <c r="C125" s="50" t="s">
        <v>100</v>
      </c>
      <c r="D125" s="50" t="s">
        <v>100</v>
      </c>
      <c r="E125" s="50" t="s">
        <v>8792</v>
      </c>
      <c r="F125" s="50" t="s">
        <v>770</v>
      </c>
      <c r="G125" s="50" t="s">
        <v>8956</v>
      </c>
      <c r="H125" s="966">
        <v>38353.0</v>
      </c>
      <c r="I125" s="50" t="s">
        <v>70</v>
      </c>
      <c r="J125" s="101">
        <v>8000000.0</v>
      </c>
      <c r="K125" s="50">
        <v>0.0</v>
      </c>
      <c r="L125" s="50" t="s">
        <v>781</v>
      </c>
      <c r="M125" s="50"/>
      <c r="N125" s="50"/>
      <c r="O125" s="50" t="s">
        <v>145</v>
      </c>
      <c r="P125" s="50"/>
      <c r="Q125" s="50"/>
      <c r="R125" s="50" t="s">
        <v>772</v>
      </c>
      <c r="S125" s="50">
        <v>1.0</v>
      </c>
      <c r="T125" s="50">
        <v>7.0</v>
      </c>
      <c r="U125" s="50"/>
      <c r="V125" s="50" t="s">
        <v>1346</v>
      </c>
      <c r="W125" s="50" t="s">
        <v>1347</v>
      </c>
      <c r="X125" s="50" t="s">
        <v>1348</v>
      </c>
      <c r="Y125" s="50">
        <v>0.0</v>
      </c>
      <c r="Z125" s="50"/>
      <c r="AA125" s="50"/>
      <c r="AB125" s="50" t="s">
        <v>1349</v>
      </c>
      <c r="AC125" s="50"/>
      <c r="AD125" s="50"/>
      <c r="AE125" s="50" t="s">
        <v>8794</v>
      </c>
      <c r="AF125" s="50" t="s">
        <v>4470</v>
      </c>
      <c r="AG125" s="50"/>
      <c r="AH125" s="50"/>
      <c r="AI125" s="50"/>
      <c r="AJ125" s="50">
        <v>0.0</v>
      </c>
      <c r="AK125" s="101">
        <v>8000000.0</v>
      </c>
      <c r="AL125" s="101">
        <v>0.0</v>
      </c>
      <c r="AM125" s="101">
        <v>8000000.0</v>
      </c>
      <c r="AN125" s="101">
        <v>0.0</v>
      </c>
    </row>
    <row r="126" ht="12.75" customHeight="1">
      <c r="A126" s="50">
        <v>125.0</v>
      </c>
      <c r="B126" s="50" t="s">
        <v>8911</v>
      </c>
      <c r="C126" s="50" t="s">
        <v>100</v>
      </c>
      <c r="D126" s="50" t="s">
        <v>100</v>
      </c>
      <c r="E126" s="50" t="s">
        <v>8792</v>
      </c>
      <c r="F126" s="50" t="s">
        <v>770</v>
      </c>
      <c r="G126" s="50" t="s">
        <v>8957</v>
      </c>
      <c r="H126" s="966">
        <v>38353.0</v>
      </c>
      <c r="I126" s="50" t="s">
        <v>70</v>
      </c>
      <c r="J126" s="101">
        <v>8000000.0</v>
      </c>
      <c r="K126" s="50">
        <v>0.0</v>
      </c>
      <c r="L126" s="50" t="s">
        <v>781</v>
      </c>
      <c r="M126" s="50"/>
      <c r="N126" s="50"/>
      <c r="O126" s="50" t="s">
        <v>145</v>
      </c>
      <c r="P126" s="50"/>
      <c r="Q126" s="50"/>
      <c r="R126" s="50" t="s">
        <v>772</v>
      </c>
      <c r="S126" s="50">
        <v>1.0</v>
      </c>
      <c r="T126" s="50">
        <v>7.0</v>
      </c>
      <c r="U126" s="50"/>
      <c r="V126" s="83" t="s">
        <v>1351</v>
      </c>
      <c r="W126" s="83" t="s">
        <v>1352</v>
      </c>
      <c r="X126" s="83" t="s">
        <v>1353</v>
      </c>
      <c r="Y126" s="83" t="s">
        <v>1354</v>
      </c>
      <c r="Z126" s="83" t="s">
        <v>777</v>
      </c>
      <c r="AA126" s="50"/>
      <c r="AB126" s="50" t="s">
        <v>952</v>
      </c>
      <c r="AC126" s="50"/>
      <c r="AD126" s="50"/>
      <c r="AE126" s="50" t="s">
        <v>8794</v>
      </c>
      <c r="AF126" s="50" t="s">
        <v>4470</v>
      </c>
      <c r="AG126" s="50"/>
      <c r="AH126" s="50"/>
      <c r="AI126" s="50"/>
      <c r="AJ126" s="50">
        <v>0.0</v>
      </c>
      <c r="AK126" s="101">
        <v>8000000.0</v>
      </c>
      <c r="AL126" s="101">
        <v>0.0</v>
      </c>
      <c r="AM126" s="101">
        <v>8000000.0</v>
      </c>
      <c r="AN126" s="101">
        <v>0.0</v>
      </c>
    </row>
    <row r="127" ht="12.75" customHeight="1">
      <c r="A127" s="50">
        <v>126.0</v>
      </c>
      <c r="B127" s="50" t="s">
        <v>8911</v>
      </c>
      <c r="C127" s="50" t="s">
        <v>100</v>
      </c>
      <c r="D127" s="50" t="s">
        <v>100</v>
      </c>
      <c r="E127" s="50" t="s">
        <v>8792</v>
      </c>
      <c r="F127" s="50" t="s">
        <v>770</v>
      </c>
      <c r="G127" s="50" t="s">
        <v>8958</v>
      </c>
      <c r="H127" s="966">
        <v>38353.0</v>
      </c>
      <c r="I127" s="50" t="s">
        <v>70</v>
      </c>
      <c r="J127" s="101">
        <v>8000000.0</v>
      </c>
      <c r="K127" s="50">
        <v>0.0</v>
      </c>
      <c r="L127" s="50" t="s">
        <v>781</v>
      </c>
      <c r="M127" s="50"/>
      <c r="N127" s="50"/>
      <c r="O127" s="50" t="s">
        <v>145</v>
      </c>
      <c r="P127" s="50"/>
      <c r="Q127" s="50"/>
      <c r="R127" s="50" t="s">
        <v>772</v>
      </c>
      <c r="S127" s="50">
        <v>1.0</v>
      </c>
      <c r="T127" s="50">
        <v>7.0</v>
      </c>
      <c r="U127" s="50"/>
      <c r="V127" s="83" t="s">
        <v>8959</v>
      </c>
      <c r="W127" s="83" t="s">
        <v>1357</v>
      </c>
      <c r="X127" s="83" t="s">
        <v>1358</v>
      </c>
      <c r="Y127" s="83" t="s">
        <v>1359</v>
      </c>
      <c r="Z127" s="83" t="s">
        <v>777</v>
      </c>
      <c r="AA127" s="50"/>
      <c r="AB127" s="50" t="s">
        <v>8960</v>
      </c>
      <c r="AC127" s="50"/>
      <c r="AD127" s="50"/>
      <c r="AE127" s="50" t="s">
        <v>8794</v>
      </c>
      <c r="AF127" s="50" t="s">
        <v>4470</v>
      </c>
      <c r="AG127" s="50"/>
      <c r="AH127" s="50"/>
      <c r="AI127" s="50"/>
      <c r="AJ127" s="50">
        <v>0.0</v>
      </c>
      <c r="AK127" s="101">
        <v>8000000.0</v>
      </c>
      <c r="AL127" s="101">
        <v>0.0</v>
      </c>
      <c r="AM127" s="101">
        <v>8000000.0</v>
      </c>
      <c r="AN127" s="101">
        <v>0.0</v>
      </c>
    </row>
    <row r="128" ht="12.75" customHeight="1">
      <c r="A128" s="50">
        <v>127.0</v>
      </c>
      <c r="B128" s="50" t="s">
        <v>8911</v>
      </c>
      <c r="C128" s="50" t="s">
        <v>100</v>
      </c>
      <c r="D128" s="50" t="s">
        <v>100</v>
      </c>
      <c r="E128" s="50" t="s">
        <v>8792</v>
      </c>
      <c r="F128" s="50" t="s">
        <v>770</v>
      </c>
      <c r="G128" s="50" t="s">
        <v>8961</v>
      </c>
      <c r="H128" s="966">
        <v>38353.0</v>
      </c>
      <c r="I128" s="50" t="s">
        <v>70</v>
      </c>
      <c r="J128" s="101">
        <v>8000000.0</v>
      </c>
      <c r="K128" s="50">
        <v>0.0</v>
      </c>
      <c r="L128" s="50" t="s">
        <v>781</v>
      </c>
      <c r="M128" s="50"/>
      <c r="N128" s="50"/>
      <c r="O128" s="50" t="s">
        <v>145</v>
      </c>
      <c r="P128" s="50"/>
      <c r="Q128" s="50"/>
      <c r="R128" s="50" t="s">
        <v>772</v>
      </c>
      <c r="S128" s="50">
        <v>1.0</v>
      </c>
      <c r="T128" s="50">
        <v>7.0</v>
      </c>
      <c r="U128" s="50"/>
      <c r="V128" s="83" t="s">
        <v>1360</v>
      </c>
      <c r="W128" s="83" t="s">
        <v>1361</v>
      </c>
      <c r="X128" s="83" t="s">
        <v>1362</v>
      </c>
      <c r="Y128" s="83" t="s">
        <v>1363</v>
      </c>
      <c r="Z128" s="83" t="s">
        <v>777</v>
      </c>
      <c r="AA128" s="50"/>
      <c r="AB128" s="50" t="s">
        <v>1364</v>
      </c>
      <c r="AC128" s="50"/>
      <c r="AD128" s="50"/>
      <c r="AE128" s="50" t="s">
        <v>8794</v>
      </c>
      <c r="AF128" s="50" t="s">
        <v>4470</v>
      </c>
      <c r="AG128" s="50"/>
      <c r="AH128" s="50"/>
      <c r="AI128" s="50"/>
      <c r="AJ128" s="50">
        <v>0.0</v>
      </c>
      <c r="AK128" s="101">
        <v>8000000.0</v>
      </c>
      <c r="AL128" s="101">
        <v>0.0</v>
      </c>
      <c r="AM128" s="101">
        <v>8000000.0</v>
      </c>
      <c r="AN128" s="101">
        <v>0.0</v>
      </c>
    </row>
    <row r="129" ht="12.75" customHeight="1">
      <c r="A129" s="50">
        <v>128.0</v>
      </c>
      <c r="B129" s="50" t="s">
        <v>8911</v>
      </c>
      <c r="C129" s="50" t="s">
        <v>100</v>
      </c>
      <c r="D129" s="50" t="s">
        <v>100</v>
      </c>
      <c r="E129" s="50" t="s">
        <v>8792</v>
      </c>
      <c r="F129" s="50" t="s">
        <v>770</v>
      </c>
      <c r="G129" s="50" t="s">
        <v>8962</v>
      </c>
      <c r="H129" s="966">
        <v>38353.0</v>
      </c>
      <c r="I129" s="50" t="s">
        <v>70</v>
      </c>
      <c r="J129" s="101">
        <v>8000000.0</v>
      </c>
      <c r="K129" s="50">
        <v>0.0</v>
      </c>
      <c r="L129" s="50" t="s">
        <v>781</v>
      </c>
      <c r="M129" s="50"/>
      <c r="N129" s="50"/>
      <c r="O129" s="50" t="s">
        <v>145</v>
      </c>
      <c r="P129" s="50"/>
      <c r="Q129" s="50"/>
      <c r="R129" s="50" t="s">
        <v>772</v>
      </c>
      <c r="S129" s="50">
        <v>1.0</v>
      </c>
      <c r="T129" s="50">
        <v>7.0</v>
      </c>
      <c r="U129" s="50"/>
      <c r="V129" s="83" t="s">
        <v>1365</v>
      </c>
      <c r="W129" s="83" t="s">
        <v>1366</v>
      </c>
      <c r="X129" s="83" t="s">
        <v>1367</v>
      </c>
      <c r="Y129" s="83" t="s">
        <v>1368</v>
      </c>
      <c r="Z129" s="83" t="s">
        <v>777</v>
      </c>
      <c r="AA129" s="50"/>
      <c r="AB129" s="50" t="s">
        <v>8963</v>
      </c>
      <c r="AC129" s="50"/>
      <c r="AD129" s="50"/>
      <c r="AE129" s="50" t="s">
        <v>8794</v>
      </c>
      <c r="AF129" s="50" t="s">
        <v>4470</v>
      </c>
      <c r="AG129" s="50"/>
      <c r="AH129" s="50"/>
      <c r="AI129" s="50"/>
      <c r="AJ129" s="50">
        <v>0.0</v>
      </c>
      <c r="AK129" s="101">
        <v>8000000.0</v>
      </c>
      <c r="AL129" s="101">
        <v>0.0</v>
      </c>
      <c r="AM129" s="101">
        <v>8000000.0</v>
      </c>
      <c r="AN129" s="101">
        <v>0.0</v>
      </c>
    </row>
    <row r="130" ht="12.75" customHeight="1">
      <c r="A130" s="50">
        <v>129.0</v>
      </c>
      <c r="B130" s="50" t="s">
        <v>8911</v>
      </c>
      <c r="C130" s="50" t="s">
        <v>100</v>
      </c>
      <c r="D130" s="50" t="s">
        <v>100</v>
      </c>
      <c r="E130" s="50" t="s">
        <v>8792</v>
      </c>
      <c r="F130" s="50" t="s">
        <v>770</v>
      </c>
      <c r="G130" s="50" t="s">
        <v>8964</v>
      </c>
      <c r="H130" s="966">
        <v>38353.0</v>
      </c>
      <c r="I130" s="50" t="s">
        <v>70</v>
      </c>
      <c r="J130" s="101">
        <v>8000000.0</v>
      </c>
      <c r="K130" s="50">
        <v>0.0</v>
      </c>
      <c r="L130" s="50" t="s">
        <v>781</v>
      </c>
      <c r="M130" s="50"/>
      <c r="N130" s="50"/>
      <c r="O130" s="50" t="s">
        <v>145</v>
      </c>
      <c r="P130" s="50"/>
      <c r="Q130" s="50"/>
      <c r="R130" s="50" t="s">
        <v>772</v>
      </c>
      <c r="S130" s="50">
        <v>1.0</v>
      </c>
      <c r="T130" s="50">
        <v>7.0</v>
      </c>
      <c r="U130" s="50"/>
      <c r="V130" s="83" t="s">
        <v>1369</v>
      </c>
      <c r="W130" s="83" t="s">
        <v>1370</v>
      </c>
      <c r="X130" s="83" t="s">
        <v>1371</v>
      </c>
      <c r="Y130" s="83" t="s">
        <v>1372</v>
      </c>
      <c r="Z130" s="83" t="s">
        <v>777</v>
      </c>
      <c r="AA130" s="50"/>
      <c r="AB130" s="50" t="s">
        <v>1373</v>
      </c>
      <c r="AC130" s="50"/>
      <c r="AD130" s="50"/>
      <c r="AE130" s="50" t="s">
        <v>8794</v>
      </c>
      <c r="AF130" s="50" t="s">
        <v>4470</v>
      </c>
      <c r="AG130" s="50"/>
      <c r="AH130" s="50"/>
      <c r="AI130" s="50"/>
      <c r="AJ130" s="50">
        <v>0.0</v>
      </c>
      <c r="AK130" s="101">
        <v>8000000.0</v>
      </c>
      <c r="AL130" s="101">
        <v>0.0</v>
      </c>
      <c r="AM130" s="101">
        <v>8000000.0</v>
      </c>
      <c r="AN130" s="101">
        <v>0.0</v>
      </c>
    </row>
    <row r="131" ht="12.75" customHeight="1">
      <c r="A131" s="50">
        <v>130.0</v>
      </c>
      <c r="B131" s="50" t="s">
        <v>8911</v>
      </c>
      <c r="C131" s="50" t="s">
        <v>100</v>
      </c>
      <c r="D131" s="50" t="s">
        <v>100</v>
      </c>
      <c r="E131" s="50" t="s">
        <v>8792</v>
      </c>
      <c r="F131" s="50" t="s">
        <v>770</v>
      </c>
      <c r="G131" s="50" t="s">
        <v>8965</v>
      </c>
      <c r="H131" s="966">
        <v>38353.0</v>
      </c>
      <c r="I131" s="50" t="s">
        <v>70</v>
      </c>
      <c r="J131" s="101">
        <v>8000000.0</v>
      </c>
      <c r="K131" s="50">
        <v>0.0</v>
      </c>
      <c r="L131" s="50" t="s">
        <v>781</v>
      </c>
      <c r="M131" s="50"/>
      <c r="N131" s="50"/>
      <c r="O131" s="50" t="s">
        <v>145</v>
      </c>
      <c r="P131" s="50"/>
      <c r="Q131" s="50"/>
      <c r="R131" s="50" t="s">
        <v>772</v>
      </c>
      <c r="S131" s="50">
        <v>1.0</v>
      </c>
      <c r="T131" s="50">
        <v>7.0</v>
      </c>
      <c r="U131" s="50"/>
      <c r="V131" s="83" t="s">
        <v>1375</v>
      </c>
      <c r="W131" s="83" t="s">
        <v>1376</v>
      </c>
      <c r="X131" s="83" t="s">
        <v>1377</v>
      </c>
      <c r="Y131" s="83" t="s">
        <v>1378</v>
      </c>
      <c r="Z131" s="83" t="s">
        <v>777</v>
      </c>
      <c r="AA131" s="50"/>
      <c r="AB131" s="50" t="s">
        <v>1250</v>
      </c>
      <c r="AC131" s="50"/>
      <c r="AD131" s="50"/>
      <c r="AE131" s="50" t="s">
        <v>8794</v>
      </c>
      <c r="AF131" s="50" t="s">
        <v>4470</v>
      </c>
      <c r="AG131" s="50"/>
      <c r="AH131" s="50"/>
      <c r="AI131" s="50"/>
      <c r="AJ131" s="50">
        <v>0.0</v>
      </c>
      <c r="AK131" s="101">
        <v>8000000.0</v>
      </c>
      <c r="AL131" s="101">
        <v>0.0</v>
      </c>
      <c r="AM131" s="101">
        <v>8000000.0</v>
      </c>
      <c r="AN131" s="101">
        <v>0.0</v>
      </c>
    </row>
    <row r="132" ht="12.75" customHeight="1">
      <c r="A132" s="50">
        <v>131.0</v>
      </c>
      <c r="B132" s="50" t="s">
        <v>8911</v>
      </c>
      <c r="C132" s="50" t="s">
        <v>100</v>
      </c>
      <c r="D132" s="50" t="s">
        <v>100</v>
      </c>
      <c r="E132" s="50" t="s">
        <v>8792</v>
      </c>
      <c r="F132" s="50" t="s">
        <v>770</v>
      </c>
      <c r="G132" s="50" t="s">
        <v>8966</v>
      </c>
      <c r="H132" s="966">
        <v>38353.0</v>
      </c>
      <c r="I132" s="50" t="s">
        <v>70</v>
      </c>
      <c r="J132" s="101">
        <v>8000000.0</v>
      </c>
      <c r="K132" s="50">
        <v>0.0</v>
      </c>
      <c r="L132" s="50" t="s">
        <v>781</v>
      </c>
      <c r="M132" s="50"/>
      <c r="N132" s="50"/>
      <c r="O132" s="50" t="s">
        <v>145</v>
      </c>
      <c r="P132" s="50"/>
      <c r="Q132" s="50"/>
      <c r="R132" s="50" t="s">
        <v>772</v>
      </c>
      <c r="S132" s="50">
        <v>1.0</v>
      </c>
      <c r="T132" s="50">
        <v>7.0</v>
      </c>
      <c r="U132" s="50"/>
      <c r="V132" s="83" t="s">
        <v>1380</v>
      </c>
      <c r="W132" s="83" t="s">
        <v>1381</v>
      </c>
      <c r="X132" s="83" t="s">
        <v>1382</v>
      </c>
      <c r="Y132" s="83" t="s">
        <v>1383</v>
      </c>
      <c r="Z132" s="83" t="s">
        <v>777</v>
      </c>
      <c r="AA132" s="50"/>
      <c r="AB132" s="50" t="s">
        <v>1384</v>
      </c>
      <c r="AC132" s="50"/>
      <c r="AD132" s="50"/>
      <c r="AE132" s="50" t="s">
        <v>8794</v>
      </c>
      <c r="AF132" s="50" t="s">
        <v>4470</v>
      </c>
      <c r="AG132" s="50"/>
      <c r="AH132" s="50"/>
      <c r="AI132" s="50"/>
      <c r="AJ132" s="50">
        <v>0.0</v>
      </c>
      <c r="AK132" s="101">
        <v>8000000.0</v>
      </c>
      <c r="AL132" s="101">
        <v>0.0</v>
      </c>
      <c r="AM132" s="101">
        <v>8000000.0</v>
      </c>
      <c r="AN132" s="101">
        <v>0.0</v>
      </c>
    </row>
    <row r="133" ht="12.75" customHeight="1">
      <c r="A133" s="50">
        <v>132.0</v>
      </c>
      <c r="B133" s="50" t="s">
        <v>8911</v>
      </c>
      <c r="C133" s="50" t="s">
        <v>100</v>
      </c>
      <c r="D133" s="50" t="s">
        <v>100</v>
      </c>
      <c r="E133" s="50" t="s">
        <v>8792</v>
      </c>
      <c r="F133" s="50" t="s">
        <v>770</v>
      </c>
      <c r="G133" s="50" t="s">
        <v>8967</v>
      </c>
      <c r="H133" s="966">
        <v>38353.0</v>
      </c>
      <c r="I133" s="50" t="s">
        <v>70</v>
      </c>
      <c r="J133" s="101">
        <v>8000000.0</v>
      </c>
      <c r="K133" s="50">
        <v>0.0</v>
      </c>
      <c r="L133" s="50" t="s">
        <v>781</v>
      </c>
      <c r="M133" s="50"/>
      <c r="N133" s="50"/>
      <c r="O133" s="50" t="s">
        <v>145</v>
      </c>
      <c r="P133" s="50"/>
      <c r="Q133" s="50"/>
      <c r="R133" s="50" t="s">
        <v>772</v>
      </c>
      <c r="S133" s="50">
        <v>1.0</v>
      </c>
      <c r="T133" s="50">
        <v>7.0</v>
      </c>
      <c r="U133" s="50"/>
      <c r="V133" s="83" t="s">
        <v>1385</v>
      </c>
      <c r="W133" s="83" t="s">
        <v>1386</v>
      </c>
      <c r="X133" s="83" t="s">
        <v>1387</v>
      </c>
      <c r="Y133" s="83" t="s">
        <v>1388</v>
      </c>
      <c r="Z133" s="83" t="s">
        <v>777</v>
      </c>
      <c r="AA133" s="50"/>
      <c r="AB133" s="50" t="s">
        <v>8968</v>
      </c>
      <c r="AC133" s="50"/>
      <c r="AD133" s="50"/>
      <c r="AE133" s="50" t="s">
        <v>8794</v>
      </c>
      <c r="AF133" s="50" t="s">
        <v>4470</v>
      </c>
      <c r="AG133" s="50"/>
      <c r="AH133" s="50"/>
      <c r="AI133" s="50"/>
      <c r="AJ133" s="50">
        <v>0.0</v>
      </c>
      <c r="AK133" s="101">
        <v>8000000.0</v>
      </c>
      <c r="AL133" s="101">
        <v>0.0</v>
      </c>
      <c r="AM133" s="101">
        <v>8000000.0</v>
      </c>
      <c r="AN133" s="101">
        <v>0.0</v>
      </c>
    </row>
    <row r="134" ht="12.75" customHeight="1">
      <c r="A134" s="50">
        <v>133.0</v>
      </c>
      <c r="B134" s="50" t="s">
        <v>8911</v>
      </c>
      <c r="C134" s="50" t="s">
        <v>100</v>
      </c>
      <c r="D134" s="50" t="s">
        <v>1189</v>
      </c>
      <c r="E134" s="50" t="s">
        <v>8792</v>
      </c>
      <c r="F134" s="50" t="s">
        <v>770</v>
      </c>
      <c r="G134" s="50" t="s">
        <v>8969</v>
      </c>
      <c r="H134" s="966">
        <v>38353.0</v>
      </c>
      <c r="I134" s="50" t="s">
        <v>70</v>
      </c>
      <c r="J134" s="101">
        <v>8500000.0</v>
      </c>
      <c r="K134" s="50">
        <v>0.0</v>
      </c>
      <c r="L134" s="50" t="s">
        <v>858</v>
      </c>
      <c r="M134" s="50"/>
      <c r="N134" s="50"/>
      <c r="O134" s="50" t="s">
        <v>145</v>
      </c>
      <c r="P134" s="50"/>
      <c r="Q134" s="50"/>
      <c r="R134" s="50" t="s">
        <v>772</v>
      </c>
      <c r="S134" s="50">
        <v>1.0</v>
      </c>
      <c r="T134" s="50">
        <v>7.0</v>
      </c>
      <c r="U134" s="50"/>
      <c r="V134" s="83" t="s">
        <v>1389</v>
      </c>
      <c r="W134" s="83" t="s">
        <v>1390</v>
      </c>
      <c r="X134" s="83" t="s">
        <v>1391</v>
      </c>
      <c r="Y134" s="83" t="s">
        <v>1392</v>
      </c>
      <c r="Z134" s="83" t="s">
        <v>777</v>
      </c>
      <c r="AA134" s="50"/>
      <c r="AB134" s="50" t="s">
        <v>1393</v>
      </c>
      <c r="AC134" s="50"/>
      <c r="AD134" s="50"/>
      <c r="AE134" s="50" t="s">
        <v>8794</v>
      </c>
      <c r="AF134" s="50" t="s">
        <v>4470</v>
      </c>
      <c r="AG134" s="50"/>
      <c r="AH134" s="50"/>
      <c r="AI134" s="50"/>
      <c r="AJ134" s="50">
        <v>0.0</v>
      </c>
      <c r="AK134" s="101">
        <v>8500000.0</v>
      </c>
      <c r="AL134" s="101">
        <v>0.0</v>
      </c>
      <c r="AM134" s="101">
        <v>8500000.0</v>
      </c>
      <c r="AN134" s="101">
        <v>0.0</v>
      </c>
    </row>
    <row r="135" ht="12.75" customHeight="1">
      <c r="A135" s="50">
        <v>134.0</v>
      </c>
      <c r="B135" s="50" t="s">
        <v>8911</v>
      </c>
      <c r="C135" s="50" t="s">
        <v>100</v>
      </c>
      <c r="D135" s="50" t="s">
        <v>1189</v>
      </c>
      <c r="E135" s="50" t="s">
        <v>8792</v>
      </c>
      <c r="F135" s="50" t="s">
        <v>770</v>
      </c>
      <c r="G135" s="50" t="s">
        <v>8970</v>
      </c>
      <c r="H135" s="966">
        <v>38353.0</v>
      </c>
      <c r="I135" s="50" t="s">
        <v>70</v>
      </c>
      <c r="J135" s="101">
        <v>8500000.0</v>
      </c>
      <c r="K135" s="50">
        <v>0.0</v>
      </c>
      <c r="L135" s="50" t="s">
        <v>858</v>
      </c>
      <c r="M135" s="50"/>
      <c r="N135" s="50"/>
      <c r="O135" s="50" t="s">
        <v>145</v>
      </c>
      <c r="P135" s="50"/>
      <c r="Q135" s="50"/>
      <c r="R135" s="50" t="s">
        <v>772</v>
      </c>
      <c r="S135" s="50">
        <v>1.0</v>
      </c>
      <c r="T135" s="50">
        <v>7.0</v>
      </c>
      <c r="U135" s="50"/>
      <c r="V135" s="83" t="s">
        <v>1394</v>
      </c>
      <c r="W135" s="83" t="s">
        <v>1395</v>
      </c>
      <c r="X135" s="83" t="s">
        <v>1396</v>
      </c>
      <c r="Y135" s="83" t="s">
        <v>1397</v>
      </c>
      <c r="Z135" s="83" t="s">
        <v>777</v>
      </c>
      <c r="AA135" s="50"/>
      <c r="AB135" s="50" t="s">
        <v>1398</v>
      </c>
      <c r="AC135" s="50"/>
      <c r="AD135" s="50"/>
      <c r="AE135" s="50" t="s">
        <v>8794</v>
      </c>
      <c r="AF135" s="50" t="s">
        <v>4470</v>
      </c>
      <c r="AG135" s="50"/>
      <c r="AH135" s="50"/>
      <c r="AI135" s="50"/>
      <c r="AJ135" s="50">
        <v>0.0</v>
      </c>
      <c r="AK135" s="101">
        <v>8500000.0</v>
      </c>
      <c r="AL135" s="101">
        <v>0.0</v>
      </c>
      <c r="AM135" s="101">
        <v>8500000.0</v>
      </c>
      <c r="AN135" s="101">
        <v>0.0</v>
      </c>
    </row>
    <row r="136" ht="12.75" customHeight="1">
      <c r="A136" s="50">
        <v>135.0</v>
      </c>
      <c r="B136" s="50" t="s">
        <v>8911</v>
      </c>
      <c r="C136" s="50" t="s">
        <v>100</v>
      </c>
      <c r="D136" s="50" t="s">
        <v>100</v>
      </c>
      <c r="E136" s="50" t="s">
        <v>8792</v>
      </c>
      <c r="F136" s="50" t="s">
        <v>770</v>
      </c>
      <c r="G136" s="50" t="s">
        <v>8971</v>
      </c>
      <c r="H136" s="966">
        <v>38353.0</v>
      </c>
      <c r="I136" s="50" t="s">
        <v>70</v>
      </c>
      <c r="J136" s="101">
        <v>1.0E7</v>
      </c>
      <c r="K136" s="50">
        <v>0.0</v>
      </c>
      <c r="L136" s="50" t="s">
        <v>781</v>
      </c>
      <c r="M136" s="50"/>
      <c r="N136" s="50"/>
      <c r="O136" s="50" t="s">
        <v>145</v>
      </c>
      <c r="P136" s="50"/>
      <c r="Q136" s="50"/>
      <c r="R136" s="50" t="s">
        <v>772</v>
      </c>
      <c r="S136" s="50">
        <v>1.0</v>
      </c>
      <c r="T136" s="50">
        <v>7.0</v>
      </c>
      <c r="U136" s="50"/>
      <c r="V136" s="83" t="s">
        <v>1399</v>
      </c>
      <c r="W136" s="83" t="s">
        <v>1400</v>
      </c>
      <c r="X136" s="83" t="s">
        <v>1401</v>
      </c>
      <c r="Y136" s="83" t="s">
        <v>1402</v>
      </c>
      <c r="Z136" s="83" t="s">
        <v>777</v>
      </c>
      <c r="AA136" s="50"/>
      <c r="AB136" s="29" t="s">
        <v>8808</v>
      </c>
      <c r="AC136" s="50"/>
      <c r="AD136" s="50"/>
      <c r="AE136" s="50" t="s">
        <v>8794</v>
      </c>
      <c r="AF136" s="50" t="s">
        <v>4470</v>
      </c>
      <c r="AG136" s="50"/>
      <c r="AH136" s="50"/>
      <c r="AI136" s="50"/>
      <c r="AJ136" s="50">
        <v>0.0</v>
      </c>
      <c r="AK136" s="101">
        <v>1.0E7</v>
      </c>
      <c r="AL136" s="101">
        <v>0.0</v>
      </c>
      <c r="AM136" s="101">
        <v>1.0E7</v>
      </c>
      <c r="AN136" s="101">
        <v>0.0</v>
      </c>
    </row>
    <row r="137" ht="12.75" customHeight="1">
      <c r="A137" s="50">
        <v>136.0</v>
      </c>
      <c r="B137" s="50" t="s">
        <v>8911</v>
      </c>
      <c r="C137" s="50" t="s">
        <v>100</v>
      </c>
      <c r="D137" s="50" t="s">
        <v>100</v>
      </c>
      <c r="E137" s="50" t="s">
        <v>8792</v>
      </c>
      <c r="F137" s="50" t="s">
        <v>770</v>
      </c>
      <c r="G137" s="50" t="s">
        <v>8972</v>
      </c>
      <c r="H137" s="966">
        <v>38353.0</v>
      </c>
      <c r="I137" s="50" t="s">
        <v>70</v>
      </c>
      <c r="J137" s="101">
        <v>1.0E7</v>
      </c>
      <c r="K137" s="50">
        <v>0.0</v>
      </c>
      <c r="L137" s="50" t="s">
        <v>781</v>
      </c>
      <c r="M137" s="50"/>
      <c r="N137" s="50"/>
      <c r="O137" s="50" t="s">
        <v>145</v>
      </c>
      <c r="P137" s="50"/>
      <c r="Q137" s="50"/>
      <c r="R137" s="50" t="s">
        <v>772</v>
      </c>
      <c r="S137" s="50">
        <v>1.0</v>
      </c>
      <c r="T137" s="50">
        <v>7.0</v>
      </c>
      <c r="U137" s="50"/>
      <c r="V137" s="83" t="s">
        <v>1403</v>
      </c>
      <c r="W137" s="83" t="s">
        <v>1404</v>
      </c>
      <c r="X137" s="83" t="s">
        <v>1405</v>
      </c>
      <c r="Y137" s="83" t="s">
        <v>1406</v>
      </c>
      <c r="Z137" s="83" t="s">
        <v>777</v>
      </c>
      <c r="AA137" s="50"/>
      <c r="AB137" s="29" t="s">
        <v>8808</v>
      </c>
      <c r="AC137" s="50"/>
      <c r="AD137" s="50"/>
      <c r="AE137" s="50" t="s">
        <v>8794</v>
      </c>
      <c r="AF137" s="50" t="s">
        <v>4470</v>
      </c>
      <c r="AG137" s="50"/>
      <c r="AH137" s="50"/>
      <c r="AI137" s="50"/>
      <c r="AJ137" s="50">
        <v>0.0</v>
      </c>
      <c r="AK137" s="101">
        <v>1.0E7</v>
      </c>
      <c r="AL137" s="101">
        <v>0.0</v>
      </c>
      <c r="AM137" s="101">
        <v>1.0E7</v>
      </c>
      <c r="AN137" s="101">
        <v>0.0</v>
      </c>
    </row>
    <row r="138" ht="12.75" customHeight="1">
      <c r="A138" s="50">
        <v>137.0</v>
      </c>
      <c r="B138" s="50" t="s">
        <v>8911</v>
      </c>
      <c r="C138" s="50" t="s">
        <v>100</v>
      </c>
      <c r="D138" s="50" t="s">
        <v>100</v>
      </c>
      <c r="E138" s="50" t="s">
        <v>8792</v>
      </c>
      <c r="F138" s="50" t="s">
        <v>770</v>
      </c>
      <c r="G138" s="50" t="s">
        <v>8973</v>
      </c>
      <c r="H138" s="966">
        <v>38353.0</v>
      </c>
      <c r="I138" s="50" t="s">
        <v>70</v>
      </c>
      <c r="J138" s="101">
        <v>1.0E7</v>
      </c>
      <c r="K138" s="50">
        <v>0.0</v>
      </c>
      <c r="L138" s="50" t="s">
        <v>781</v>
      </c>
      <c r="M138" s="50"/>
      <c r="N138" s="50"/>
      <c r="O138" s="50" t="s">
        <v>145</v>
      </c>
      <c r="P138" s="50"/>
      <c r="Q138" s="50"/>
      <c r="R138" s="50" t="s">
        <v>772</v>
      </c>
      <c r="S138" s="50">
        <v>1.0</v>
      </c>
      <c r="T138" s="50">
        <v>7.0</v>
      </c>
      <c r="U138" s="50"/>
      <c r="V138" s="83" t="s">
        <v>1407</v>
      </c>
      <c r="W138" s="83" t="s">
        <v>1408</v>
      </c>
      <c r="X138" s="83" t="s">
        <v>1409</v>
      </c>
      <c r="Y138" s="83" t="s">
        <v>1410</v>
      </c>
      <c r="Z138" s="83" t="s">
        <v>777</v>
      </c>
      <c r="AA138" s="50"/>
      <c r="AB138" s="29" t="s">
        <v>8808</v>
      </c>
      <c r="AC138" s="50"/>
      <c r="AD138" s="50"/>
      <c r="AE138" s="50" t="s">
        <v>8794</v>
      </c>
      <c r="AF138" s="50" t="s">
        <v>4470</v>
      </c>
      <c r="AG138" s="50"/>
      <c r="AH138" s="50"/>
      <c r="AI138" s="50"/>
      <c r="AJ138" s="50">
        <v>0.0</v>
      </c>
      <c r="AK138" s="101">
        <v>1.0E7</v>
      </c>
      <c r="AL138" s="101">
        <v>0.0</v>
      </c>
      <c r="AM138" s="101">
        <v>1.0E7</v>
      </c>
      <c r="AN138" s="101">
        <v>0.0</v>
      </c>
    </row>
    <row r="139" ht="12.75" customHeight="1">
      <c r="A139" s="50">
        <v>138.0</v>
      </c>
      <c r="B139" s="50" t="s">
        <v>8911</v>
      </c>
      <c r="C139" s="50" t="s">
        <v>100</v>
      </c>
      <c r="D139" s="50" t="s">
        <v>1189</v>
      </c>
      <c r="E139" s="50" t="s">
        <v>8792</v>
      </c>
      <c r="F139" s="50" t="s">
        <v>770</v>
      </c>
      <c r="G139" s="50" t="s">
        <v>8974</v>
      </c>
      <c r="H139" s="966">
        <v>38353.0</v>
      </c>
      <c r="I139" s="50" t="s">
        <v>70</v>
      </c>
      <c r="J139" s="101">
        <v>8000000.0</v>
      </c>
      <c r="K139" s="50">
        <v>0.0</v>
      </c>
      <c r="L139" s="50" t="s">
        <v>858</v>
      </c>
      <c r="M139" s="50"/>
      <c r="N139" s="50"/>
      <c r="O139" s="50" t="s">
        <v>145</v>
      </c>
      <c r="P139" s="50"/>
      <c r="Q139" s="50"/>
      <c r="R139" s="50" t="s">
        <v>772</v>
      </c>
      <c r="S139" s="50">
        <v>1.0</v>
      </c>
      <c r="T139" s="50">
        <v>7.0</v>
      </c>
      <c r="U139" s="50"/>
      <c r="V139" s="83" t="s">
        <v>1412</v>
      </c>
      <c r="W139" s="83" t="s">
        <v>1413</v>
      </c>
      <c r="X139" s="83" t="s">
        <v>1414</v>
      </c>
      <c r="Y139" s="83" t="s">
        <v>1415</v>
      </c>
      <c r="Z139" s="83" t="s">
        <v>777</v>
      </c>
      <c r="AA139" s="50"/>
      <c r="AB139" s="50" t="s">
        <v>8975</v>
      </c>
      <c r="AC139" s="50"/>
      <c r="AD139" s="50"/>
      <c r="AE139" s="50" t="s">
        <v>8794</v>
      </c>
      <c r="AF139" s="50" t="s">
        <v>4470</v>
      </c>
      <c r="AG139" s="50"/>
      <c r="AH139" s="50"/>
      <c r="AI139" s="50"/>
      <c r="AJ139" s="50">
        <v>0.0</v>
      </c>
      <c r="AK139" s="101">
        <v>8000000.0</v>
      </c>
      <c r="AL139" s="101">
        <v>0.0</v>
      </c>
      <c r="AM139" s="101">
        <v>8000000.0</v>
      </c>
      <c r="AN139" s="101">
        <v>0.0</v>
      </c>
    </row>
    <row r="140" ht="12.75" customHeight="1">
      <c r="A140" s="50">
        <v>139.0</v>
      </c>
      <c r="B140" s="50" t="s">
        <v>8911</v>
      </c>
      <c r="C140" s="50" t="s">
        <v>100</v>
      </c>
      <c r="D140" s="50" t="s">
        <v>100</v>
      </c>
      <c r="E140" s="50" t="s">
        <v>8792</v>
      </c>
      <c r="F140" s="50" t="s">
        <v>770</v>
      </c>
      <c r="G140" s="50" t="s">
        <v>8976</v>
      </c>
      <c r="H140" s="966">
        <v>38353.0</v>
      </c>
      <c r="I140" s="50" t="s">
        <v>70</v>
      </c>
      <c r="J140" s="101">
        <v>8000000.0</v>
      </c>
      <c r="K140" s="50">
        <v>0.0</v>
      </c>
      <c r="L140" s="50" t="s">
        <v>781</v>
      </c>
      <c r="M140" s="50"/>
      <c r="N140" s="50"/>
      <c r="O140" s="50" t="s">
        <v>145</v>
      </c>
      <c r="P140" s="50"/>
      <c r="Q140" s="50"/>
      <c r="R140" s="50" t="s">
        <v>772</v>
      </c>
      <c r="S140" s="50">
        <v>1.0</v>
      </c>
      <c r="T140" s="50">
        <v>7.0</v>
      </c>
      <c r="U140" s="50"/>
      <c r="V140" s="83" t="s">
        <v>1417</v>
      </c>
      <c r="W140" s="83" t="s">
        <v>1418</v>
      </c>
      <c r="X140" s="83" t="s">
        <v>1419</v>
      </c>
      <c r="Y140" s="83" t="s">
        <v>1420</v>
      </c>
      <c r="Z140" s="83" t="s">
        <v>777</v>
      </c>
      <c r="AA140" s="50"/>
      <c r="AB140" s="50" t="s">
        <v>8960</v>
      </c>
      <c r="AC140" s="50"/>
      <c r="AD140" s="50"/>
      <c r="AE140" s="50" t="s">
        <v>8794</v>
      </c>
      <c r="AF140" s="50" t="s">
        <v>4470</v>
      </c>
      <c r="AG140" s="50"/>
      <c r="AH140" s="50"/>
      <c r="AI140" s="50"/>
      <c r="AJ140" s="50">
        <v>0.0</v>
      </c>
      <c r="AK140" s="101">
        <v>8000000.0</v>
      </c>
      <c r="AL140" s="101">
        <v>0.0</v>
      </c>
      <c r="AM140" s="101">
        <v>8000000.0</v>
      </c>
      <c r="AN140" s="101">
        <v>0.0</v>
      </c>
    </row>
    <row r="141" ht="12.75" customHeight="1">
      <c r="A141" s="50">
        <v>140.0</v>
      </c>
      <c r="B141" s="50" t="s">
        <v>8911</v>
      </c>
      <c r="C141" s="50" t="s">
        <v>100</v>
      </c>
      <c r="D141" s="50" t="s">
        <v>100</v>
      </c>
      <c r="E141" s="50" t="s">
        <v>8792</v>
      </c>
      <c r="F141" s="50" t="s">
        <v>770</v>
      </c>
      <c r="G141" s="50" t="s">
        <v>8977</v>
      </c>
      <c r="H141" s="966">
        <v>38353.0</v>
      </c>
      <c r="I141" s="50" t="s">
        <v>70</v>
      </c>
      <c r="J141" s="101">
        <v>1.05E7</v>
      </c>
      <c r="K141" s="50">
        <v>0.0</v>
      </c>
      <c r="L141" s="50" t="s">
        <v>781</v>
      </c>
      <c r="M141" s="50"/>
      <c r="N141" s="50"/>
      <c r="O141" s="50" t="s">
        <v>145</v>
      </c>
      <c r="P141" s="50"/>
      <c r="Q141" s="50"/>
      <c r="R141" s="50" t="s">
        <v>772</v>
      </c>
      <c r="S141" s="50">
        <v>1.0</v>
      </c>
      <c r="T141" s="50">
        <v>7.0</v>
      </c>
      <c r="U141" s="50"/>
      <c r="V141" s="83" t="s">
        <v>1421</v>
      </c>
      <c r="W141" s="83" t="s">
        <v>1422</v>
      </c>
      <c r="X141" s="83" t="s">
        <v>1423</v>
      </c>
      <c r="Y141" s="83" t="s">
        <v>1424</v>
      </c>
      <c r="Z141" s="83" t="s">
        <v>777</v>
      </c>
      <c r="AA141" s="50"/>
      <c r="AB141" s="50" t="s">
        <v>952</v>
      </c>
      <c r="AC141" s="50"/>
      <c r="AD141" s="50"/>
      <c r="AE141" s="50" t="s">
        <v>8794</v>
      </c>
      <c r="AF141" s="50" t="s">
        <v>4470</v>
      </c>
      <c r="AG141" s="50"/>
      <c r="AH141" s="50"/>
      <c r="AI141" s="50"/>
      <c r="AJ141" s="50">
        <v>0.0</v>
      </c>
      <c r="AK141" s="101">
        <v>1.05E7</v>
      </c>
      <c r="AL141" s="101">
        <v>0.0</v>
      </c>
      <c r="AM141" s="101">
        <v>1.05E7</v>
      </c>
      <c r="AN141" s="101">
        <v>0.0</v>
      </c>
    </row>
    <row r="142" ht="12.75" customHeight="1">
      <c r="A142" s="50">
        <v>141.0</v>
      </c>
      <c r="B142" s="50" t="s">
        <v>8911</v>
      </c>
      <c r="C142" s="50" t="s">
        <v>100</v>
      </c>
      <c r="D142" s="50" t="s">
        <v>100</v>
      </c>
      <c r="E142" s="50" t="s">
        <v>8792</v>
      </c>
      <c r="F142" s="50" t="s">
        <v>770</v>
      </c>
      <c r="G142" s="50" t="s">
        <v>8978</v>
      </c>
      <c r="H142" s="966">
        <v>38353.0</v>
      </c>
      <c r="I142" s="50" t="s">
        <v>70</v>
      </c>
      <c r="J142" s="101">
        <v>8000000.0</v>
      </c>
      <c r="K142" s="50">
        <v>0.0</v>
      </c>
      <c r="L142" s="50" t="s">
        <v>781</v>
      </c>
      <c r="M142" s="50"/>
      <c r="N142" s="50"/>
      <c r="O142" s="50" t="s">
        <v>145</v>
      </c>
      <c r="P142" s="50"/>
      <c r="Q142" s="50"/>
      <c r="R142" s="50" t="s">
        <v>772</v>
      </c>
      <c r="S142" s="50">
        <v>1.0</v>
      </c>
      <c r="T142" s="50">
        <v>7.0</v>
      </c>
      <c r="U142" s="50"/>
      <c r="V142" s="83" t="s">
        <v>1425</v>
      </c>
      <c r="W142" s="83" t="s">
        <v>1426</v>
      </c>
      <c r="X142" s="83" t="s">
        <v>1427</v>
      </c>
      <c r="Y142" s="83" t="s">
        <v>1428</v>
      </c>
      <c r="Z142" s="83" t="s">
        <v>777</v>
      </c>
      <c r="AA142" s="50"/>
      <c r="AB142" s="50" t="s">
        <v>952</v>
      </c>
      <c r="AC142" s="50"/>
      <c r="AD142" s="50"/>
      <c r="AE142" s="50" t="s">
        <v>8794</v>
      </c>
      <c r="AF142" s="50" t="s">
        <v>4470</v>
      </c>
      <c r="AG142" s="50"/>
      <c r="AH142" s="50"/>
      <c r="AI142" s="50"/>
      <c r="AJ142" s="50">
        <v>0.0</v>
      </c>
      <c r="AK142" s="101">
        <v>8000000.0</v>
      </c>
      <c r="AL142" s="101">
        <v>0.0</v>
      </c>
      <c r="AM142" s="101">
        <v>8000000.0</v>
      </c>
      <c r="AN142" s="101">
        <v>0.0</v>
      </c>
    </row>
    <row r="143" ht="12.75" customHeight="1">
      <c r="A143" s="50">
        <v>142.0</v>
      </c>
      <c r="B143" s="50" t="s">
        <v>8911</v>
      </c>
      <c r="C143" s="50" t="s">
        <v>100</v>
      </c>
      <c r="D143" s="50" t="s">
        <v>100</v>
      </c>
      <c r="E143" s="50" t="s">
        <v>8792</v>
      </c>
      <c r="F143" s="50" t="s">
        <v>770</v>
      </c>
      <c r="G143" s="50" t="s">
        <v>8979</v>
      </c>
      <c r="H143" s="966">
        <v>38353.0</v>
      </c>
      <c r="I143" s="50" t="s">
        <v>70</v>
      </c>
      <c r="J143" s="101">
        <v>8000000.0</v>
      </c>
      <c r="K143" s="50">
        <v>0.0</v>
      </c>
      <c r="L143" s="50" t="s">
        <v>781</v>
      </c>
      <c r="M143" s="50"/>
      <c r="N143" s="50"/>
      <c r="O143" s="50" t="s">
        <v>145</v>
      </c>
      <c r="P143" s="50"/>
      <c r="Q143" s="50"/>
      <c r="R143" s="50" t="s">
        <v>772</v>
      </c>
      <c r="S143" s="50">
        <v>1.0</v>
      </c>
      <c r="T143" s="50">
        <v>7.0</v>
      </c>
      <c r="U143" s="50"/>
      <c r="V143" s="83" t="s">
        <v>1429</v>
      </c>
      <c r="W143" s="83" t="s">
        <v>1430</v>
      </c>
      <c r="X143" s="83" t="s">
        <v>1431</v>
      </c>
      <c r="Y143" s="83" t="s">
        <v>1432</v>
      </c>
      <c r="Z143" s="83" t="s">
        <v>777</v>
      </c>
      <c r="AA143" s="50"/>
      <c r="AB143" s="50" t="s">
        <v>952</v>
      </c>
      <c r="AC143" s="50"/>
      <c r="AD143" s="50"/>
      <c r="AE143" s="50" t="s">
        <v>8794</v>
      </c>
      <c r="AF143" s="50" t="s">
        <v>4470</v>
      </c>
      <c r="AG143" s="50"/>
      <c r="AH143" s="50"/>
      <c r="AI143" s="50"/>
      <c r="AJ143" s="50">
        <v>0.0</v>
      </c>
      <c r="AK143" s="101">
        <v>8000000.0</v>
      </c>
      <c r="AL143" s="101">
        <v>0.0</v>
      </c>
      <c r="AM143" s="101">
        <v>8000000.0</v>
      </c>
      <c r="AN143" s="101">
        <v>0.0</v>
      </c>
    </row>
    <row r="144" ht="12.75" customHeight="1">
      <c r="A144" s="50">
        <v>143.0</v>
      </c>
      <c r="B144" s="50" t="s">
        <v>8911</v>
      </c>
      <c r="C144" s="50" t="s">
        <v>100</v>
      </c>
      <c r="D144" s="50" t="s">
        <v>100</v>
      </c>
      <c r="E144" s="50" t="s">
        <v>8792</v>
      </c>
      <c r="F144" s="50" t="s">
        <v>770</v>
      </c>
      <c r="G144" s="50" t="s">
        <v>8980</v>
      </c>
      <c r="H144" s="966">
        <v>38718.0</v>
      </c>
      <c r="I144" s="50" t="s">
        <v>70</v>
      </c>
      <c r="J144" s="101">
        <v>9000000.0</v>
      </c>
      <c r="K144" s="50">
        <v>0.0</v>
      </c>
      <c r="L144" s="50" t="s">
        <v>781</v>
      </c>
      <c r="M144" s="50"/>
      <c r="N144" s="50"/>
      <c r="O144" s="50" t="s">
        <v>948</v>
      </c>
      <c r="P144" s="50"/>
      <c r="Q144" s="50"/>
      <c r="R144" s="50" t="s">
        <v>772</v>
      </c>
      <c r="S144" s="50">
        <v>1.0</v>
      </c>
      <c r="T144" s="50">
        <v>7.0</v>
      </c>
      <c r="U144" s="50"/>
      <c r="V144" s="83" t="s">
        <v>1433</v>
      </c>
      <c r="W144" s="83" t="s">
        <v>1434</v>
      </c>
      <c r="X144" s="83" t="s">
        <v>1435</v>
      </c>
      <c r="Y144" s="83" t="s">
        <v>1436</v>
      </c>
      <c r="Z144" s="83" t="s">
        <v>777</v>
      </c>
      <c r="AA144" s="50"/>
      <c r="AB144" s="50" t="s">
        <v>8981</v>
      </c>
      <c r="AC144" s="50"/>
      <c r="AD144" s="50"/>
      <c r="AE144" s="50" t="s">
        <v>8794</v>
      </c>
      <c r="AF144" s="50" t="s">
        <v>4470</v>
      </c>
      <c r="AG144" s="50"/>
      <c r="AH144" s="50"/>
      <c r="AI144" s="50"/>
      <c r="AJ144" s="50">
        <v>0.0</v>
      </c>
      <c r="AK144" s="101">
        <v>9000000.0</v>
      </c>
      <c r="AL144" s="101">
        <v>0.0</v>
      </c>
      <c r="AM144" s="101">
        <v>9000000.0</v>
      </c>
      <c r="AN144" s="101">
        <v>0.0</v>
      </c>
    </row>
    <row r="145" ht="12.75" customHeight="1">
      <c r="A145" s="50">
        <v>144.0</v>
      </c>
      <c r="B145" s="50" t="s">
        <v>8911</v>
      </c>
      <c r="C145" s="50" t="s">
        <v>100</v>
      </c>
      <c r="D145" s="50" t="s">
        <v>100</v>
      </c>
      <c r="E145" s="50" t="s">
        <v>8792</v>
      </c>
      <c r="F145" s="50" t="s">
        <v>770</v>
      </c>
      <c r="G145" s="50" t="s">
        <v>8982</v>
      </c>
      <c r="H145" s="966">
        <v>38718.0</v>
      </c>
      <c r="I145" s="50" t="s">
        <v>70</v>
      </c>
      <c r="J145" s="101">
        <v>1.05E7</v>
      </c>
      <c r="K145" s="50">
        <v>0.0</v>
      </c>
      <c r="L145" s="50" t="s">
        <v>781</v>
      </c>
      <c r="M145" s="50"/>
      <c r="N145" s="50"/>
      <c r="O145" s="50" t="s">
        <v>948</v>
      </c>
      <c r="P145" s="50"/>
      <c r="Q145" s="50"/>
      <c r="R145" s="50" t="s">
        <v>772</v>
      </c>
      <c r="S145" s="50">
        <v>1.0</v>
      </c>
      <c r="T145" s="50">
        <v>7.0</v>
      </c>
      <c r="U145" s="50"/>
      <c r="V145" s="83" t="s">
        <v>1438</v>
      </c>
      <c r="W145" s="83" t="s">
        <v>1439</v>
      </c>
      <c r="X145" s="83" t="s">
        <v>1440</v>
      </c>
      <c r="Y145" s="83" t="s">
        <v>1441</v>
      </c>
      <c r="Z145" s="83" t="s">
        <v>777</v>
      </c>
      <c r="AA145" s="50"/>
      <c r="AB145" s="50" t="s">
        <v>1198</v>
      </c>
      <c r="AC145" s="50"/>
      <c r="AD145" s="50"/>
      <c r="AE145" s="50" t="s">
        <v>8794</v>
      </c>
      <c r="AF145" s="50" t="s">
        <v>4470</v>
      </c>
      <c r="AG145" s="50"/>
      <c r="AH145" s="50"/>
      <c r="AI145" s="50"/>
      <c r="AJ145" s="50">
        <v>0.0</v>
      </c>
      <c r="AK145" s="101">
        <v>1.05E7</v>
      </c>
      <c r="AL145" s="101">
        <v>0.0</v>
      </c>
      <c r="AM145" s="101">
        <v>1.05E7</v>
      </c>
      <c r="AN145" s="101">
        <v>0.0</v>
      </c>
    </row>
    <row r="146" ht="12.75" customHeight="1">
      <c r="A146" s="50">
        <v>145.0</v>
      </c>
      <c r="B146" s="50" t="s">
        <v>8911</v>
      </c>
      <c r="C146" s="50" t="s">
        <v>100</v>
      </c>
      <c r="D146" s="50" t="s">
        <v>100</v>
      </c>
      <c r="E146" s="50" t="s">
        <v>8792</v>
      </c>
      <c r="F146" s="50" t="s">
        <v>770</v>
      </c>
      <c r="G146" s="50" t="s">
        <v>8983</v>
      </c>
      <c r="H146" s="966">
        <v>38718.0</v>
      </c>
      <c r="I146" s="50" t="s">
        <v>70</v>
      </c>
      <c r="J146" s="101">
        <v>9000000.0</v>
      </c>
      <c r="K146" s="50">
        <v>0.0</v>
      </c>
      <c r="L146" s="50" t="s">
        <v>781</v>
      </c>
      <c r="M146" s="50"/>
      <c r="N146" s="50"/>
      <c r="O146" s="50" t="s">
        <v>948</v>
      </c>
      <c r="P146" s="50"/>
      <c r="Q146" s="50"/>
      <c r="R146" s="50" t="s">
        <v>772</v>
      </c>
      <c r="S146" s="50">
        <v>1.0</v>
      </c>
      <c r="T146" s="50">
        <v>7.0</v>
      </c>
      <c r="U146" s="50"/>
      <c r="V146" s="83" t="s">
        <v>1442</v>
      </c>
      <c r="W146" s="83" t="s">
        <v>1443</v>
      </c>
      <c r="X146" s="83" t="s">
        <v>1444</v>
      </c>
      <c r="Y146" s="83" t="s">
        <v>1445</v>
      </c>
      <c r="Z146" s="83" t="s">
        <v>777</v>
      </c>
      <c r="AA146" s="50"/>
      <c r="AB146" s="50" t="s">
        <v>963</v>
      </c>
      <c r="AC146" s="50"/>
      <c r="AD146" s="50"/>
      <c r="AE146" s="50" t="s">
        <v>8794</v>
      </c>
      <c r="AF146" s="50" t="s">
        <v>4470</v>
      </c>
      <c r="AG146" s="50"/>
      <c r="AH146" s="50"/>
      <c r="AI146" s="50"/>
      <c r="AJ146" s="50">
        <v>0.0</v>
      </c>
      <c r="AK146" s="101">
        <v>9000000.0</v>
      </c>
      <c r="AL146" s="101">
        <v>0.0</v>
      </c>
      <c r="AM146" s="101">
        <v>9000000.0</v>
      </c>
      <c r="AN146" s="101">
        <v>0.0</v>
      </c>
    </row>
    <row r="147" ht="12.75" customHeight="1">
      <c r="A147" s="50">
        <v>146.0</v>
      </c>
      <c r="B147" s="50" t="s">
        <v>8911</v>
      </c>
      <c r="C147" s="50" t="s">
        <v>100</v>
      </c>
      <c r="D147" s="50" t="s">
        <v>100</v>
      </c>
      <c r="E147" s="50" t="s">
        <v>8792</v>
      </c>
      <c r="F147" s="50" t="s">
        <v>770</v>
      </c>
      <c r="G147" s="50" t="s">
        <v>8984</v>
      </c>
      <c r="H147" s="966">
        <v>38718.0</v>
      </c>
      <c r="I147" s="50" t="s">
        <v>70</v>
      </c>
      <c r="J147" s="101">
        <v>9000000.0</v>
      </c>
      <c r="K147" s="50">
        <v>0.0</v>
      </c>
      <c r="L147" s="50" t="s">
        <v>781</v>
      </c>
      <c r="M147" s="50"/>
      <c r="N147" s="50"/>
      <c r="O147" s="50" t="s">
        <v>948</v>
      </c>
      <c r="P147" s="50"/>
      <c r="Q147" s="50"/>
      <c r="R147" s="50" t="s">
        <v>772</v>
      </c>
      <c r="S147" s="50">
        <v>1.0</v>
      </c>
      <c r="T147" s="50">
        <v>7.0</v>
      </c>
      <c r="U147" s="50"/>
      <c r="V147" s="83" t="s">
        <v>1446</v>
      </c>
      <c r="W147" s="83" t="s">
        <v>1447</v>
      </c>
      <c r="X147" s="83" t="s">
        <v>1448</v>
      </c>
      <c r="Y147" s="83" t="s">
        <v>1449</v>
      </c>
      <c r="Z147" s="83" t="s">
        <v>777</v>
      </c>
      <c r="AA147" s="50"/>
      <c r="AB147" s="50" t="s">
        <v>1250</v>
      </c>
      <c r="AC147" s="50"/>
      <c r="AD147" s="50"/>
      <c r="AE147" s="50" t="s">
        <v>8794</v>
      </c>
      <c r="AF147" s="50" t="s">
        <v>4470</v>
      </c>
      <c r="AG147" s="50"/>
      <c r="AH147" s="50"/>
      <c r="AI147" s="50"/>
      <c r="AJ147" s="50">
        <v>0.0</v>
      </c>
      <c r="AK147" s="101">
        <v>9000000.0</v>
      </c>
      <c r="AL147" s="101">
        <v>0.0</v>
      </c>
      <c r="AM147" s="101">
        <v>9000000.0</v>
      </c>
      <c r="AN147" s="101">
        <v>0.0</v>
      </c>
    </row>
    <row r="148" ht="12.75" customHeight="1">
      <c r="A148" s="50">
        <v>147.0</v>
      </c>
      <c r="B148" s="50" t="s">
        <v>8911</v>
      </c>
      <c r="C148" s="50" t="s">
        <v>100</v>
      </c>
      <c r="D148" s="50" t="s">
        <v>100</v>
      </c>
      <c r="E148" s="50" t="s">
        <v>8792</v>
      </c>
      <c r="F148" s="50" t="s">
        <v>770</v>
      </c>
      <c r="G148" s="50" t="s">
        <v>8985</v>
      </c>
      <c r="H148" s="966">
        <v>38718.0</v>
      </c>
      <c r="I148" s="50" t="s">
        <v>70</v>
      </c>
      <c r="J148" s="101">
        <v>9000000.0</v>
      </c>
      <c r="K148" s="50">
        <v>0.0</v>
      </c>
      <c r="L148" s="50" t="s">
        <v>781</v>
      </c>
      <c r="M148" s="50"/>
      <c r="N148" s="50"/>
      <c r="O148" s="50" t="s">
        <v>948</v>
      </c>
      <c r="P148" s="50"/>
      <c r="Q148" s="50"/>
      <c r="R148" s="50" t="s">
        <v>772</v>
      </c>
      <c r="S148" s="50">
        <v>1.0</v>
      </c>
      <c r="T148" s="50">
        <v>7.0</v>
      </c>
      <c r="U148" s="50"/>
      <c r="V148" s="83" t="s">
        <v>1450</v>
      </c>
      <c r="W148" s="83" t="s">
        <v>1451</v>
      </c>
      <c r="X148" s="83" t="s">
        <v>1452</v>
      </c>
      <c r="Y148" s="83" t="s">
        <v>1453</v>
      </c>
      <c r="Z148" s="83" t="s">
        <v>777</v>
      </c>
      <c r="AA148" s="50"/>
      <c r="AB148" s="50" t="s">
        <v>1250</v>
      </c>
      <c r="AC148" s="50"/>
      <c r="AD148" s="50"/>
      <c r="AE148" s="50" t="s">
        <v>8794</v>
      </c>
      <c r="AF148" s="50" t="s">
        <v>4470</v>
      </c>
      <c r="AG148" s="50"/>
      <c r="AH148" s="50"/>
      <c r="AI148" s="50"/>
      <c r="AJ148" s="50">
        <v>0.0</v>
      </c>
      <c r="AK148" s="101">
        <v>9000000.0</v>
      </c>
      <c r="AL148" s="101">
        <v>0.0</v>
      </c>
      <c r="AM148" s="101">
        <v>9000000.0</v>
      </c>
      <c r="AN148" s="101">
        <v>0.0</v>
      </c>
    </row>
    <row r="149" ht="12.75" customHeight="1">
      <c r="A149" s="50">
        <v>148.0</v>
      </c>
      <c r="B149" s="50" t="s">
        <v>8911</v>
      </c>
      <c r="C149" s="50" t="s">
        <v>100</v>
      </c>
      <c r="D149" s="50" t="s">
        <v>100</v>
      </c>
      <c r="E149" s="50" t="s">
        <v>8792</v>
      </c>
      <c r="F149" s="50" t="s">
        <v>770</v>
      </c>
      <c r="G149" s="50" t="s">
        <v>8986</v>
      </c>
      <c r="H149" s="966">
        <v>38718.0</v>
      </c>
      <c r="I149" s="50" t="s">
        <v>70</v>
      </c>
      <c r="J149" s="101">
        <v>9000000.0</v>
      </c>
      <c r="K149" s="50">
        <v>0.0</v>
      </c>
      <c r="L149" s="50" t="s">
        <v>781</v>
      </c>
      <c r="M149" s="50"/>
      <c r="N149" s="50"/>
      <c r="O149" s="50" t="s">
        <v>948</v>
      </c>
      <c r="P149" s="50"/>
      <c r="Q149" s="50"/>
      <c r="R149" s="50" t="s">
        <v>772</v>
      </c>
      <c r="S149" s="50">
        <v>1.0</v>
      </c>
      <c r="T149" s="50">
        <v>7.0</v>
      </c>
      <c r="U149" s="50"/>
      <c r="V149" s="83" t="s">
        <v>1455</v>
      </c>
      <c r="W149" s="83" t="s">
        <v>1456</v>
      </c>
      <c r="X149" s="83" t="s">
        <v>1457</v>
      </c>
      <c r="Y149" s="83" t="s">
        <v>1458</v>
      </c>
      <c r="Z149" s="83" t="s">
        <v>777</v>
      </c>
      <c r="AA149" s="50"/>
      <c r="AB149" s="50" t="s">
        <v>957</v>
      </c>
      <c r="AC149" s="50"/>
      <c r="AD149" s="50"/>
      <c r="AE149" s="50" t="s">
        <v>8794</v>
      </c>
      <c r="AF149" s="50" t="s">
        <v>4470</v>
      </c>
      <c r="AG149" s="50"/>
      <c r="AH149" s="50"/>
      <c r="AI149" s="50"/>
      <c r="AJ149" s="50">
        <v>0.0</v>
      </c>
      <c r="AK149" s="101">
        <v>9000000.0</v>
      </c>
      <c r="AL149" s="101">
        <v>0.0</v>
      </c>
      <c r="AM149" s="101">
        <v>9000000.0</v>
      </c>
      <c r="AN149" s="101">
        <v>0.0</v>
      </c>
    </row>
    <row r="150" ht="12.75" customHeight="1">
      <c r="A150" s="50">
        <v>149.0</v>
      </c>
      <c r="B150" s="50" t="s">
        <v>8911</v>
      </c>
      <c r="C150" s="50" t="s">
        <v>100</v>
      </c>
      <c r="D150" s="50" t="s">
        <v>100</v>
      </c>
      <c r="E150" s="50" t="s">
        <v>8792</v>
      </c>
      <c r="F150" s="50" t="s">
        <v>770</v>
      </c>
      <c r="G150" s="50" t="s">
        <v>8987</v>
      </c>
      <c r="H150" s="966">
        <v>38718.0</v>
      </c>
      <c r="I150" s="50" t="s">
        <v>70</v>
      </c>
      <c r="J150" s="101">
        <v>1.1E7</v>
      </c>
      <c r="K150" s="50">
        <v>0.0</v>
      </c>
      <c r="L150" s="50" t="s">
        <v>781</v>
      </c>
      <c r="M150" s="50"/>
      <c r="N150" s="50"/>
      <c r="O150" s="50" t="s">
        <v>948</v>
      </c>
      <c r="P150" s="50"/>
      <c r="Q150" s="50"/>
      <c r="R150" s="50" t="s">
        <v>772</v>
      </c>
      <c r="S150" s="50">
        <v>1.0</v>
      </c>
      <c r="T150" s="50">
        <v>7.0</v>
      </c>
      <c r="U150" s="50"/>
      <c r="V150" s="83" t="s">
        <v>1459</v>
      </c>
      <c r="W150" s="83" t="s">
        <v>1460</v>
      </c>
      <c r="X150" s="83" t="s">
        <v>1461</v>
      </c>
      <c r="Y150" s="83" t="s">
        <v>1462</v>
      </c>
      <c r="Z150" s="83" t="s">
        <v>777</v>
      </c>
      <c r="AA150" s="50"/>
      <c r="AB150" s="50" t="s">
        <v>952</v>
      </c>
      <c r="AC150" s="50"/>
      <c r="AD150" s="50"/>
      <c r="AE150" s="50" t="s">
        <v>8794</v>
      </c>
      <c r="AF150" s="50" t="s">
        <v>4470</v>
      </c>
      <c r="AG150" s="50"/>
      <c r="AH150" s="50"/>
      <c r="AI150" s="50"/>
      <c r="AJ150" s="50">
        <v>0.0</v>
      </c>
      <c r="AK150" s="101">
        <v>1.1E7</v>
      </c>
      <c r="AL150" s="101">
        <v>0.0</v>
      </c>
      <c r="AM150" s="101">
        <v>1.1E7</v>
      </c>
      <c r="AN150" s="101">
        <v>0.0</v>
      </c>
    </row>
    <row r="151" ht="12.75" customHeight="1">
      <c r="A151" s="50">
        <v>150.0</v>
      </c>
      <c r="B151" s="50" t="s">
        <v>8911</v>
      </c>
      <c r="C151" s="50" t="s">
        <v>100</v>
      </c>
      <c r="D151" s="50" t="s">
        <v>100</v>
      </c>
      <c r="E151" s="50" t="s">
        <v>8792</v>
      </c>
      <c r="F151" s="50" t="s">
        <v>770</v>
      </c>
      <c r="G151" s="50" t="s">
        <v>8988</v>
      </c>
      <c r="H151" s="966">
        <v>38718.0</v>
      </c>
      <c r="I151" s="50" t="s">
        <v>70</v>
      </c>
      <c r="J151" s="101">
        <v>1.0E7</v>
      </c>
      <c r="K151" s="50">
        <v>0.0</v>
      </c>
      <c r="L151" s="50" t="s">
        <v>781</v>
      </c>
      <c r="M151" s="50"/>
      <c r="N151" s="50"/>
      <c r="O151" s="50" t="s">
        <v>948</v>
      </c>
      <c r="P151" s="50"/>
      <c r="Q151" s="50"/>
      <c r="R151" s="50" t="s">
        <v>772</v>
      </c>
      <c r="S151" s="50">
        <v>1.0</v>
      </c>
      <c r="T151" s="50">
        <v>7.0</v>
      </c>
      <c r="U151" s="50"/>
      <c r="V151" s="83" t="s">
        <v>1463</v>
      </c>
      <c r="W151" s="83" t="s">
        <v>1464</v>
      </c>
      <c r="X151" s="83" t="s">
        <v>1465</v>
      </c>
      <c r="Y151" s="83" t="s">
        <v>1466</v>
      </c>
      <c r="Z151" s="83" t="s">
        <v>777</v>
      </c>
      <c r="AA151" s="50"/>
      <c r="AB151" s="50" t="s">
        <v>1373</v>
      </c>
      <c r="AC151" s="50"/>
      <c r="AD151" s="50"/>
      <c r="AE151" s="50" t="s">
        <v>8794</v>
      </c>
      <c r="AF151" s="50" t="s">
        <v>4470</v>
      </c>
      <c r="AG151" s="50"/>
      <c r="AH151" s="50"/>
      <c r="AI151" s="50"/>
      <c r="AJ151" s="50">
        <v>0.0</v>
      </c>
      <c r="AK151" s="101">
        <v>1.0E7</v>
      </c>
      <c r="AL151" s="101">
        <v>0.0</v>
      </c>
      <c r="AM151" s="101">
        <v>1.0E7</v>
      </c>
      <c r="AN151" s="101">
        <v>0.0</v>
      </c>
    </row>
    <row r="152" ht="12.75" customHeight="1">
      <c r="A152" s="50">
        <v>151.0</v>
      </c>
      <c r="B152" s="50" t="s">
        <v>8911</v>
      </c>
      <c r="C152" s="50" t="s">
        <v>100</v>
      </c>
      <c r="D152" s="50" t="s">
        <v>1189</v>
      </c>
      <c r="E152" s="50" t="s">
        <v>8792</v>
      </c>
      <c r="F152" s="50" t="s">
        <v>770</v>
      </c>
      <c r="G152" s="50" t="s">
        <v>8989</v>
      </c>
      <c r="H152" s="966">
        <v>38718.0</v>
      </c>
      <c r="I152" s="50" t="s">
        <v>70</v>
      </c>
      <c r="J152" s="101">
        <v>7500000.0</v>
      </c>
      <c r="K152" s="50">
        <v>0.0</v>
      </c>
      <c r="L152" s="50" t="s">
        <v>858</v>
      </c>
      <c r="M152" s="50"/>
      <c r="N152" s="50"/>
      <c r="O152" s="50" t="s">
        <v>948</v>
      </c>
      <c r="P152" s="50"/>
      <c r="Q152" s="50"/>
      <c r="R152" s="50" t="s">
        <v>772</v>
      </c>
      <c r="S152" s="50">
        <v>1.0</v>
      </c>
      <c r="T152" s="50">
        <v>7.0</v>
      </c>
      <c r="U152" s="50"/>
      <c r="V152" s="83" t="s">
        <v>1467</v>
      </c>
      <c r="W152" s="83" t="s">
        <v>1468</v>
      </c>
      <c r="X152" s="83" t="s">
        <v>1469</v>
      </c>
      <c r="Y152" s="83" t="s">
        <v>1470</v>
      </c>
      <c r="Z152" s="83" t="s">
        <v>777</v>
      </c>
      <c r="AA152" s="50"/>
      <c r="AB152" s="50" t="s">
        <v>1471</v>
      </c>
      <c r="AC152" s="50"/>
      <c r="AD152" s="50"/>
      <c r="AE152" s="50" t="s">
        <v>8794</v>
      </c>
      <c r="AF152" s="50" t="s">
        <v>4470</v>
      </c>
      <c r="AG152" s="50"/>
      <c r="AH152" s="50"/>
      <c r="AI152" s="50"/>
      <c r="AJ152" s="50">
        <v>0.0</v>
      </c>
      <c r="AK152" s="101">
        <v>7500000.0</v>
      </c>
      <c r="AL152" s="101">
        <v>0.0</v>
      </c>
      <c r="AM152" s="101">
        <v>7500000.0</v>
      </c>
      <c r="AN152" s="101">
        <v>0.0</v>
      </c>
    </row>
    <row r="153" ht="12.75" customHeight="1">
      <c r="A153" s="50">
        <v>152.0</v>
      </c>
      <c r="B153" s="50" t="s">
        <v>8911</v>
      </c>
      <c r="C153" s="50" t="s">
        <v>100</v>
      </c>
      <c r="D153" s="50" t="s">
        <v>1189</v>
      </c>
      <c r="E153" s="50" t="s">
        <v>8792</v>
      </c>
      <c r="F153" s="50" t="s">
        <v>770</v>
      </c>
      <c r="G153" s="50" t="s">
        <v>8990</v>
      </c>
      <c r="H153" s="966">
        <v>38718.0</v>
      </c>
      <c r="I153" s="50" t="s">
        <v>70</v>
      </c>
      <c r="J153" s="101">
        <v>7500000.0</v>
      </c>
      <c r="K153" s="50">
        <v>0.0</v>
      </c>
      <c r="L153" s="50" t="s">
        <v>858</v>
      </c>
      <c r="M153" s="50"/>
      <c r="N153" s="50"/>
      <c r="O153" s="50" t="s">
        <v>948</v>
      </c>
      <c r="P153" s="50"/>
      <c r="Q153" s="50"/>
      <c r="R153" s="50" t="s">
        <v>772</v>
      </c>
      <c r="S153" s="50">
        <v>1.0</v>
      </c>
      <c r="T153" s="50">
        <v>7.0</v>
      </c>
      <c r="U153" s="50"/>
      <c r="V153" s="83" t="s">
        <v>1473</v>
      </c>
      <c r="W153" s="83" t="s">
        <v>1474</v>
      </c>
      <c r="X153" s="83" t="s">
        <v>1475</v>
      </c>
      <c r="Y153" s="83" t="s">
        <v>1476</v>
      </c>
      <c r="Z153" s="83" t="s">
        <v>777</v>
      </c>
      <c r="AA153" s="50"/>
      <c r="AB153" s="50" t="s">
        <v>1477</v>
      </c>
      <c r="AC153" s="50"/>
      <c r="AD153" s="50"/>
      <c r="AE153" s="50" t="s">
        <v>8794</v>
      </c>
      <c r="AF153" s="50" t="s">
        <v>4470</v>
      </c>
      <c r="AG153" s="50"/>
      <c r="AH153" s="50"/>
      <c r="AI153" s="50"/>
      <c r="AJ153" s="50">
        <v>0.0</v>
      </c>
      <c r="AK153" s="101">
        <v>7500000.0</v>
      </c>
      <c r="AL153" s="101">
        <v>0.0</v>
      </c>
      <c r="AM153" s="101">
        <v>7500000.0</v>
      </c>
      <c r="AN153" s="101">
        <v>0.0</v>
      </c>
    </row>
    <row r="154" ht="12.75" customHeight="1">
      <c r="A154" s="50">
        <v>153.0</v>
      </c>
      <c r="B154" s="50" t="s">
        <v>8911</v>
      </c>
      <c r="C154" s="50" t="s">
        <v>100</v>
      </c>
      <c r="D154" s="50" t="s">
        <v>1189</v>
      </c>
      <c r="E154" s="50" t="s">
        <v>8792</v>
      </c>
      <c r="F154" s="50" t="s">
        <v>770</v>
      </c>
      <c r="G154" s="50" t="s">
        <v>8991</v>
      </c>
      <c r="H154" s="966">
        <v>38718.0</v>
      </c>
      <c r="I154" s="50" t="s">
        <v>70</v>
      </c>
      <c r="J154" s="101">
        <v>7500000.0</v>
      </c>
      <c r="K154" s="50">
        <v>0.0</v>
      </c>
      <c r="L154" s="50" t="s">
        <v>858</v>
      </c>
      <c r="M154" s="50"/>
      <c r="N154" s="50"/>
      <c r="O154" s="50" t="s">
        <v>948</v>
      </c>
      <c r="P154" s="50"/>
      <c r="Q154" s="50"/>
      <c r="R154" s="50" t="s">
        <v>772</v>
      </c>
      <c r="S154" s="50">
        <v>1.0</v>
      </c>
      <c r="T154" s="50">
        <v>7.0</v>
      </c>
      <c r="U154" s="50"/>
      <c r="V154" s="83" t="s">
        <v>1478</v>
      </c>
      <c r="W154" s="83" t="s">
        <v>1479</v>
      </c>
      <c r="X154" s="83" t="s">
        <v>1480</v>
      </c>
      <c r="Y154" s="83" t="s">
        <v>1481</v>
      </c>
      <c r="Z154" s="83" t="s">
        <v>777</v>
      </c>
      <c r="AA154" s="50"/>
      <c r="AB154" s="50" t="s">
        <v>1482</v>
      </c>
      <c r="AC154" s="50"/>
      <c r="AD154" s="50"/>
      <c r="AE154" s="50" t="s">
        <v>8794</v>
      </c>
      <c r="AF154" s="50" t="s">
        <v>4470</v>
      </c>
      <c r="AG154" s="50"/>
      <c r="AH154" s="50"/>
      <c r="AI154" s="50"/>
      <c r="AJ154" s="50">
        <v>0.0</v>
      </c>
      <c r="AK154" s="101">
        <v>7500000.0</v>
      </c>
      <c r="AL154" s="101">
        <v>0.0</v>
      </c>
      <c r="AM154" s="101">
        <v>7500000.0</v>
      </c>
      <c r="AN154" s="101">
        <v>0.0</v>
      </c>
    </row>
    <row r="155" ht="12.75" customHeight="1">
      <c r="A155" s="50">
        <v>154.0</v>
      </c>
      <c r="B155" s="50" t="s">
        <v>8911</v>
      </c>
      <c r="C155" s="50" t="s">
        <v>100</v>
      </c>
      <c r="D155" s="50" t="s">
        <v>1189</v>
      </c>
      <c r="E155" s="50" t="s">
        <v>8792</v>
      </c>
      <c r="F155" s="50" t="s">
        <v>770</v>
      </c>
      <c r="G155" s="50" t="s">
        <v>8992</v>
      </c>
      <c r="H155" s="966">
        <v>38718.0</v>
      </c>
      <c r="I155" s="50" t="s">
        <v>70</v>
      </c>
      <c r="J155" s="101">
        <v>7500000.0</v>
      </c>
      <c r="K155" s="50">
        <v>0.0</v>
      </c>
      <c r="L155" s="50" t="s">
        <v>858</v>
      </c>
      <c r="M155" s="50"/>
      <c r="N155" s="50"/>
      <c r="O155" s="50" t="s">
        <v>948</v>
      </c>
      <c r="P155" s="50"/>
      <c r="Q155" s="50"/>
      <c r="R155" s="50" t="s">
        <v>772</v>
      </c>
      <c r="S155" s="50">
        <v>1.0</v>
      </c>
      <c r="T155" s="50">
        <v>7.0</v>
      </c>
      <c r="U155" s="50"/>
      <c r="V155" s="83" t="s">
        <v>1483</v>
      </c>
      <c r="W155" s="83" t="s">
        <v>1484</v>
      </c>
      <c r="X155" s="83" t="s">
        <v>1485</v>
      </c>
      <c r="Y155" s="83" t="s">
        <v>1486</v>
      </c>
      <c r="Z155" s="83" t="s">
        <v>777</v>
      </c>
      <c r="AA155" s="50"/>
      <c r="AB155" s="50" t="s">
        <v>1487</v>
      </c>
      <c r="AC155" s="50"/>
      <c r="AD155" s="50"/>
      <c r="AE155" s="50" t="s">
        <v>8794</v>
      </c>
      <c r="AF155" s="50" t="s">
        <v>4470</v>
      </c>
      <c r="AG155" s="50"/>
      <c r="AH155" s="50"/>
      <c r="AI155" s="50"/>
      <c r="AJ155" s="50">
        <v>0.0</v>
      </c>
      <c r="AK155" s="101">
        <v>7500000.0</v>
      </c>
      <c r="AL155" s="101">
        <v>0.0</v>
      </c>
      <c r="AM155" s="101">
        <v>7500000.0</v>
      </c>
      <c r="AN155" s="101">
        <v>0.0</v>
      </c>
    </row>
    <row r="156" ht="12.75" customHeight="1">
      <c r="A156" s="50">
        <v>155.0</v>
      </c>
      <c r="B156" s="50" t="s">
        <v>8911</v>
      </c>
      <c r="C156" s="50" t="s">
        <v>100</v>
      </c>
      <c r="D156" s="50" t="s">
        <v>1189</v>
      </c>
      <c r="E156" s="50" t="s">
        <v>8792</v>
      </c>
      <c r="F156" s="50" t="s">
        <v>770</v>
      </c>
      <c r="G156" s="50" t="s">
        <v>8993</v>
      </c>
      <c r="H156" s="966">
        <v>38718.0</v>
      </c>
      <c r="I156" s="50" t="s">
        <v>70</v>
      </c>
      <c r="J156" s="101">
        <v>7500000.0</v>
      </c>
      <c r="K156" s="50">
        <v>0.0</v>
      </c>
      <c r="L156" s="50" t="s">
        <v>858</v>
      </c>
      <c r="M156" s="50"/>
      <c r="N156" s="50"/>
      <c r="O156" s="50" t="s">
        <v>948</v>
      </c>
      <c r="P156" s="50"/>
      <c r="Q156" s="50"/>
      <c r="R156" s="50" t="s">
        <v>772</v>
      </c>
      <c r="S156" s="50">
        <v>1.0</v>
      </c>
      <c r="T156" s="50">
        <v>7.0</v>
      </c>
      <c r="U156" s="50"/>
      <c r="V156" s="83" t="s">
        <v>1488</v>
      </c>
      <c r="W156" s="83" t="s">
        <v>1489</v>
      </c>
      <c r="X156" s="83" t="s">
        <v>1490</v>
      </c>
      <c r="Y156" s="83" t="s">
        <v>1491</v>
      </c>
      <c r="Z156" s="83" t="s">
        <v>777</v>
      </c>
      <c r="AA156" s="50"/>
      <c r="AB156" s="50" t="s">
        <v>1492</v>
      </c>
      <c r="AC156" s="50"/>
      <c r="AD156" s="50"/>
      <c r="AE156" s="50" t="s">
        <v>8794</v>
      </c>
      <c r="AF156" s="50" t="s">
        <v>4470</v>
      </c>
      <c r="AG156" s="50"/>
      <c r="AH156" s="50"/>
      <c r="AI156" s="50"/>
      <c r="AJ156" s="50">
        <v>0.0</v>
      </c>
      <c r="AK156" s="101">
        <v>7500000.0</v>
      </c>
      <c r="AL156" s="101">
        <v>0.0</v>
      </c>
      <c r="AM156" s="101">
        <v>7500000.0</v>
      </c>
      <c r="AN156" s="101">
        <v>0.0</v>
      </c>
    </row>
    <row r="157" ht="12.75" customHeight="1">
      <c r="A157" s="50">
        <v>156.0</v>
      </c>
      <c r="B157" s="50" t="s">
        <v>8911</v>
      </c>
      <c r="C157" s="50" t="s">
        <v>100</v>
      </c>
      <c r="D157" s="50" t="s">
        <v>1189</v>
      </c>
      <c r="E157" s="50" t="s">
        <v>8792</v>
      </c>
      <c r="F157" s="50" t="s">
        <v>770</v>
      </c>
      <c r="G157" s="50" t="s">
        <v>8994</v>
      </c>
      <c r="H157" s="966">
        <v>38718.0</v>
      </c>
      <c r="I157" s="50" t="s">
        <v>70</v>
      </c>
      <c r="J157" s="101">
        <v>7500000.0</v>
      </c>
      <c r="K157" s="50">
        <v>0.0</v>
      </c>
      <c r="L157" s="50" t="s">
        <v>858</v>
      </c>
      <c r="M157" s="50"/>
      <c r="N157" s="50"/>
      <c r="O157" s="50" t="s">
        <v>948</v>
      </c>
      <c r="P157" s="50"/>
      <c r="Q157" s="50"/>
      <c r="R157" s="50" t="s">
        <v>772</v>
      </c>
      <c r="S157" s="50">
        <v>1.0</v>
      </c>
      <c r="T157" s="50">
        <v>7.0</v>
      </c>
      <c r="U157" s="50"/>
      <c r="V157" s="83" t="s">
        <v>1493</v>
      </c>
      <c r="W157" s="83" t="s">
        <v>1494</v>
      </c>
      <c r="X157" s="83" t="s">
        <v>1495</v>
      </c>
      <c r="Y157" s="83" t="s">
        <v>1496</v>
      </c>
      <c r="Z157" s="83" t="s">
        <v>777</v>
      </c>
      <c r="AA157" s="50"/>
      <c r="AB157" s="50" t="s">
        <v>1497</v>
      </c>
      <c r="AC157" s="50"/>
      <c r="AD157" s="50"/>
      <c r="AE157" s="50" t="s">
        <v>8794</v>
      </c>
      <c r="AF157" s="50" t="s">
        <v>4470</v>
      </c>
      <c r="AG157" s="50"/>
      <c r="AH157" s="50"/>
      <c r="AI157" s="50"/>
      <c r="AJ157" s="50">
        <v>0.0</v>
      </c>
      <c r="AK157" s="101">
        <v>7500000.0</v>
      </c>
      <c r="AL157" s="101">
        <v>0.0</v>
      </c>
      <c r="AM157" s="101">
        <v>7500000.0</v>
      </c>
      <c r="AN157" s="101">
        <v>0.0</v>
      </c>
    </row>
    <row r="158" ht="12.75" customHeight="1">
      <c r="A158" s="50">
        <v>157.0</v>
      </c>
      <c r="B158" s="50" t="s">
        <v>8911</v>
      </c>
      <c r="C158" s="50" t="s">
        <v>100</v>
      </c>
      <c r="D158" s="50" t="s">
        <v>1189</v>
      </c>
      <c r="E158" s="50" t="s">
        <v>8792</v>
      </c>
      <c r="F158" s="50" t="s">
        <v>770</v>
      </c>
      <c r="G158" s="50" t="s">
        <v>8995</v>
      </c>
      <c r="H158" s="966">
        <v>38718.0</v>
      </c>
      <c r="I158" s="50" t="s">
        <v>70</v>
      </c>
      <c r="J158" s="101">
        <v>5500000.0</v>
      </c>
      <c r="K158" s="50">
        <v>0.0</v>
      </c>
      <c r="L158" s="50" t="s">
        <v>858</v>
      </c>
      <c r="M158" s="50"/>
      <c r="N158" s="50"/>
      <c r="O158" s="50" t="s">
        <v>948</v>
      </c>
      <c r="P158" s="50"/>
      <c r="Q158" s="50"/>
      <c r="R158" s="50" t="s">
        <v>772</v>
      </c>
      <c r="S158" s="50">
        <v>1.0</v>
      </c>
      <c r="T158" s="50">
        <v>7.0</v>
      </c>
      <c r="U158" s="50"/>
      <c r="V158" s="83" t="s">
        <v>1498</v>
      </c>
      <c r="W158" s="83" t="s">
        <v>1499</v>
      </c>
      <c r="X158" s="83" t="s">
        <v>1500</v>
      </c>
      <c r="Y158" s="83" t="s">
        <v>1501</v>
      </c>
      <c r="Z158" s="83" t="s">
        <v>777</v>
      </c>
      <c r="AA158" s="50"/>
      <c r="AB158" s="50" t="s">
        <v>1502</v>
      </c>
      <c r="AC158" s="50"/>
      <c r="AD158" s="50"/>
      <c r="AE158" s="50" t="s">
        <v>8794</v>
      </c>
      <c r="AF158" s="50" t="s">
        <v>4470</v>
      </c>
      <c r="AG158" s="50"/>
      <c r="AH158" s="50"/>
      <c r="AI158" s="50"/>
      <c r="AJ158" s="50">
        <v>0.0</v>
      </c>
      <c r="AK158" s="101">
        <v>5500000.0</v>
      </c>
      <c r="AL158" s="101">
        <v>0.0</v>
      </c>
      <c r="AM158" s="101">
        <v>5500000.0</v>
      </c>
      <c r="AN158" s="101">
        <v>0.0</v>
      </c>
    </row>
    <row r="159" ht="12.75" customHeight="1">
      <c r="A159" s="50">
        <v>158.0</v>
      </c>
      <c r="B159" s="50" t="s">
        <v>8911</v>
      </c>
      <c r="C159" s="50" t="s">
        <v>100</v>
      </c>
      <c r="D159" s="50" t="s">
        <v>1189</v>
      </c>
      <c r="E159" s="50" t="s">
        <v>8792</v>
      </c>
      <c r="F159" s="50" t="s">
        <v>770</v>
      </c>
      <c r="G159" s="50" t="s">
        <v>8996</v>
      </c>
      <c r="H159" s="966">
        <v>38718.0</v>
      </c>
      <c r="I159" s="50" t="s">
        <v>70</v>
      </c>
      <c r="J159" s="101">
        <v>5500000.0</v>
      </c>
      <c r="K159" s="50">
        <v>0.0</v>
      </c>
      <c r="L159" s="50" t="s">
        <v>858</v>
      </c>
      <c r="M159" s="50"/>
      <c r="N159" s="50"/>
      <c r="O159" s="50" t="s">
        <v>948</v>
      </c>
      <c r="P159" s="50"/>
      <c r="Q159" s="50"/>
      <c r="R159" s="50" t="s">
        <v>772</v>
      </c>
      <c r="S159" s="50">
        <v>1.0</v>
      </c>
      <c r="T159" s="50">
        <v>7.0</v>
      </c>
      <c r="U159" s="50"/>
      <c r="V159" s="83" t="s">
        <v>1503</v>
      </c>
      <c r="W159" s="83" t="s">
        <v>1504</v>
      </c>
      <c r="X159" s="83" t="s">
        <v>1505</v>
      </c>
      <c r="Y159" s="83" t="s">
        <v>1506</v>
      </c>
      <c r="Z159" s="83" t="s">
        <v>777</v>
      </c>
      <c r="AA159" s="50"/>
      <c r="AB159" s="50" t="s">
        <v>8997</v>
      </c>
      <c r="AC159" s="50"/>
      <c r="AD159" s="50"/>
      <c r="AE159" s="50" t="s">
        <v>8794</v>
      </c>
      <c r="AF159" s="50" t="s">
        <v>4470</v>
      </c>
      <c r="AG159" s="50"/>
      <c r="AH159" s="50"/>
      <c r="AI159" s="50"/>
      <c r="AJ159" s="50">
        <v>0.0</v>
      </c>
      <c r="AK159" s="101">
        <v>5500000.0</v>
      </c>
      <c r="AL159" s="101">
        <v>0.0</v>
      </c>
      <c r="AM159" s="101">
        <v>5500000.0</v>
      </c>
      <c r="AN159" s="101">
        <v>0.0</v>
      </c>
    </row>
    <row r="160" ht="12.75" customHeight="1">
      <c r="A160" s="50">
        <v>159.0</v>
      </c>
      <c r="B160" s="50" t="s">
        <v>8911</v>
      </c>
      <c r="C160" s="50" t="s">
        <v>100</v>
      </c>
      <c r="D160" s="50" t="s">
        <v>1189</v>
      </c>
      <c r="E160" s="50" t="s">
        <v>8792</v>
      </c>
      <c r="F160" s="50" t="s">
        <v>770</v>
      </c>
      <c r="G160" s="50" t="s">
        <v>8998</v>
      </c>
      <c r="H160" s="966">
        <v>38718.0</v>
      </c>
      <c r="I160" s="50" t="s">
        <v>70</v>
      </c>
      <c r="J160" s="101">
        <v>5500000.0</v>
      </c>
      <c r="K160" s="50">
        <v>0.0</v>
      </c>
      <c r="L160" s="50" t="s">
        <v>858</v>
      </c>
      <c r="M160" s="50"/>
      <c r="N160" s="50"/>
      <c r="O160" s="50" t="s">
        <v>948</v>
      </c>
      <c r="P160" s="50"/>
      <c r="Q160" s="50"/>
      <c r="R160" s="50" t="s">
        <v>772</v>
      </c>
      <c r="S160" s="50">
        <v>1.0</v>
      </c>
      <c r="T160" s="50">
        <v>7.0</v>
      </c>
      <c r="U160" s="50"/>
      <c r="V160" s="50" t="s">
        <v>1507</v>
      </c>
      <c r="W160" s="50" t="s">
        <v>1508</v>
      </c>
      <c r="X160" s="50" t="s">
        <v>1509</v>
      </c>
      <c r="Y160" s="50">
        <v>0.0</v>
      </c>
      <c r="Z160" s="50"/>
      <c r="AA160" s="50"/>
      <c r="AB160" s="50" t="s">
        <v>8999</v>
      </c>
      <c r="AC160" s="50"/>
      <c r="AD160" s="50"/>
      <c r="AE160" s="50" t="s">
        <v>8794</v>
      </c>
      <c r="AF160" s="50" t="s">
        <v>4470</v>
      </c>
      <c r="AG160" s="50"/>
      <c r="AH160" s="50"/>
      <c r="AI160" s="50"/>
      <c r="AJ160" s="50">
        <v>0.0</v>
      </c>
      <c r="AK160" s="101">
        <v>5500000.0</v>
      </c>
      <c r="AL160" s="101">
        <v>0.0</v>
      </c>
      <c r="AM160" s="101">
        <v>5500000.0</v>
      </c>
      <c r="AN160" s="101">
        <v>0.0</v>
      </c>
    </row>
    <row r="161" ht="12.75" customHeight="1">
      <c r="A161" s="50">
        <v>160.0</v>
      </c>
      <c r="B161" s="50" t="s">
        <v>8911</v>
      </c>
      <c r="C161" s="50" t="s">
        <v>100</v>
      </c>
      <c r="D161" s="50" t="s">
        <v>1189</v>
      </c>
      <c r="E161" s="50" t="s">
        <v>8792</v>
      </c>
      <c r="F161" s="50" t="s">
        <v>770</v>
      </c>
      <c r="G161" s="50" t="s">
        <v>9000</v>
      </c>
      <c r="H161" s="966">
        <v>38718.0</v>
      </c>
      <c r="I161" s="50" t="s">
        <v>70</v>
      </c>
      <c r="J161" s="101">
        <v>5500000.0</v>
      </c>
      <c r="K161" s="50">
        <v>0.0</v>
      </c>
      <c r="L161" s="50" t="s">
        <v>858</v>
      </c>
      <c r="M161" s="50"/>
      <c r="N161" s="50"/>
      <c r="O161" s="50" t="s">
        <v>948</v>
      </c>
      <c r="P161" s="50"/>
      <c r="Q161" s="50"/>
      <c r="R161" s="50" t="s">
        <v>772</v>
      </c>
      <c r="S161" s="50">
        <v>1.0</v>
      </c>
      <c r="T161" s="50">
        <v>7.0</v>
      </c>
      <c r="U161" s="50"/>
      <c r="V161" s="83" t="s">
        <v>1511</v>
      </c>
      <c r="W161" s="83" t="s">
        <v>1512</v>
      </c>
      <c r="X161" s="83" t="s">
        <v>1513</v>
      </c>
      <c r="Y161" s="83" t="s">
        <v>1514</v>
      </c>
      <c r="Z161" s="83" t="s">
        <v>777</v>
      </c>
      <c r="AA161" s="50"/>
      <c r="AB161" s="50" t="s">
        <v>1515</v>
      </c>
      <c r="AC161" s="50"/>
      <c r="AD161" s="50"/>
      <c r="AE161" s="50" t="s">
        <v>8794</v>
      </c>
      <c r="AF161" s="50" t="s">
        <v>4470</v>
      </c>
      <c r="AG161" s="50"/>
      <c r="AH161" s="50"/>
      <c r="AI161" s="50"/>
      <c r="AJ161" s="50">
        <v>0.0</v>
      </c>
      <c r="AK161" s="101">
        <v>5500000.0</v>
      </c>
      <c r="AL161" s="101">
        <v>0.0</v>
      </c>
      <c r="AM161" s="101">
        <v>5500000.0</v>
      </c>
      <c r="AN161" s="101">
        <v>0.0</v>
      </c>
    </row>
    <row r="162" ht="12.75" customHeight="1">
      <c r="A162" s="50">
        <v>161.0</v>
      </c>
      <c r="B162" s="50" t="s">
        <v>8911</v>
      </c>
      <c r="C162" s="50" t="s">
        <v>100</v>
      </c>
      <c r="D162" s="50" t="s">
        <v>1189</v>
      </c>
      <c r="E162" s="50" t="s">
        <v>8792</v>
      </c>
      <c r="F162" s="50" t="s">
        <v>770</v>
      </c>
      <c r="G162" s="50" t="s">
        <v>9001</v>
      </c>
      <c r="H162" s="966">
        <v>38718.0</v>
      </c>
      <c r="I162" s="50" t="s">
        <v>70</v>
      </c>
      <c r="J162" s="101">
        <v>5500000.0</v>
      </c>
      <c r="K162" s="50">
        <v>0.0</v>
      </c>
      <c r="L162" s="50" t="s">
        <v>858</v>
      </c>
      <c r="M162" s="50"/>
      <c r="N162" s="50"/>
      <c r="O162" s="50" t="s">
        <v>948</v>
      </c>
      <c r="P162" s="50"/>
      <c r="Q162" s="50"/>
      <c r="R162" s="50" t="s">
        <v>772</v>
      </c>
      <c r="S162" s="50">
        <v>1.0</v>
      </c>
      <c r="T162" s="50">
        <v>7.0</v>
      </c>
      <c r="U162" s="50"/>
      <c r="V162" s="83" t="s">
        <v>1516</v>
      </c>
      <c r="W162" s="83" t="s">
        <v>1517</v>
      </c>
      <c r="X162" s="83" t="s">
        <v>1518</v>
      </c>
      <c r="Y162" s="83" t="s">
        <v>1519</v>
      </c>
      <c r="Z162" s="83" t="s">
        <v>777</v>
      </c>
      <c r="AA162" s="50"/>
      <c r="AB162" s="50" t="s">
        <v>1070</v>
      </c>
      <c r="AC162" s="50"/>
      <c r="AD162" s="50"/>
      <c r="AE162" s="50" t="s">
        <v>8794</v>
      </c>
      <c r="AF162" s="50" t="s">
        <v>4470</v>
      </c>
      <c r="AG162" s="50"/>
      <c r="AH162" s="50"/>
      <c r="AI162" s="50"/>
      <c r="AJ162" s="50">
        <v>0.0</v>
      </c>
      <c r="AK162" s="101">
        <v>5500000.0</v>
      </c>
      <c r="AL162" s="101">
        <v>0.0</v>
      </c>
      <c r="AM162" s="101">
        <v>5500000.0</v>
      </c>
      <c r="AN162" s="101">
        <v>0.0</v>
      </c>
    </row>
    <row r="163" ht="12.75" customHeight="1">
      <c r="A163" s="50">
        <v>162.0</v>
      </c>
      <c r="B163" s="50" t="s">
        <v>8911</v>
      </c>
      <c r="C163" s="50" t="s">
        <v>100</v>
      </c>
      <c r="D163" s="50" t="s">
        <v>1189</v>
      </c>
      <c r="E163" s="50" t="s">
        <v>8792</v>
      </c>
      <c r="F163" s="50" t="s">
        <v>770</v>
      </c>
      <c r="G163" s="50" t="s">
        <v>9002</v>
      </c>
      <c r="H163" s="966">
        <v>38718.0</v>
      </c>
      <c r="I163" s="50" t="s">
        <v>70</v>
      </c>
      <c r="J163" s="101">
        <v>7500000.0</v>
      </c>
      <c r="K163" s="50">
        <v>0.0</v>
      </c>
      <c r="L163" s="50" t="s">
        <v>858</v>
      </c>
      <c r="M163" s="50"/>
      <c r="N163" s="50"/>
      <c r="O163" s="50" t="s">
        <v>948</v>
      </c>
      <c r="P163" s="50"/>
      <c r="Q163" s="50"/>
      <c r="R163" s="50" t="s">
        <v>772</v>
      </c>
      <c r="S163" s="50">
        <v>1.0</v>
      </c>
      <c r="T163" s="50">
        <v>7.0</v>
      </c>
      <c r="U163" s="50"/>
      <c r="V163" s="83" t="s">
        <v>1520</v>
      </c>
      <c r="W163" s="83" t="s">
        <v>1521</v>
      </c>
      <c r="X163" s="83" t="s">
        <v>1522</v>
      </c>
      <c r="Y163" s="83" t="s">
        <v>1523</v>
      </c>
      <c r="Z163" s="83" t="s">
        <v>777</v>
      </c>
      <c r="AA163" s="50"/>
      <c r="AB163" s="50" t="s">
        <v>1524</v>
      </c>
      <c r="AC163" s="50"/>
      <c r="AD163" s="50"/>
      <c r="AE163" s="50" t="s">
        <v>8794</v>
      </c>
      <c r="AF163" s="50" t="s">
        <v>4470</v>
      </c>
      <c r="AG163" s="50"/>
      <c r="AH163" s="50"/>
      <c r="AI163" s="50"/>
      <c r="AJ163" s="50">
        <v>0.0</v>
      </c>
      <c r="AK163" s="101">
        <v>7500000.0</v>
      </c>
      <c r="AL163" s="101">
        <v>0.0</v>
      </c>
      <c r="AM163" s="101">
        <v>7500000.0</v>
      </c>
      <c r="AN163" s="101">
        <v>0.0</v>
      </c>
    </row>
    <row r="164" ht="12.75" customHeight="1">
      <c r="A164" s="50">
        <v>163.0</v>
      </c>
      <c r="B164" s="50" t="s">
        <v>8911</v>
      </c>
      <c r="C164" s="50" t="s">
        <v>100</v>
      </c>
      <c r="D164" s="50" t="s">
        <v>1189</v>
      </c>
      <c r="E164" s="50" t="s">
        <v>8792</v>
      </c>
      <c r="F164" s="50" t="s">
        <v>770</v>
      </c>
      <c r="G164" s="50" t="s">
        <v>9003</v>
      </c>
      <c r="H164" s="966">
        <v>38718.0</v>
      </c>
      <c r="I164" s="50" t="s">
        <v>70</v>
      </c>
      <c r="J164" s="101">
        <v>7500000.0</v>
      </c>
      <c r="K164" s="50">
        <v>0.0</v>
      </c>
      <c r="L164" s="50" t="s">
        <v>858</v>
      </c>
      <c r="M164" s="50"/>
      <c r="N164" s="50"/>
      <c r="O164" s="50" t="s">
        <v>948</v>
      </c>
      <c r="P164" s="50"/>
      <c r="Q164" s="50"/>
      <c r="R164" s="50" t="s">
        <v>772</v>
      </c>
      <c r="S164" s="50">
        <v>1.0</v>
      </c>
      <c r="T164" s="50">
        <v>7.0</v>
      </c>
      <c r="U164" s="50"/>
      <c r="V164" s="50" t="s">
        <v>1525</v>
      </c>
      <c r="W164" s="50" t="s">
        <v>1526</v>
      </c>
      <c r="X164" s="50" t="s">
        <v>1527</v>
      </c>
      <c r="Y164" s="50">
        <v>0.0</v>
      </c>
      <c r="Z164" s="50"/>
      <c r="AA164" s="50"/>
      <c r="AB164" s="50" t="s">
        <v>1528</v>
      </c>
      <c r="AC164" s="50"/>
      <c r="AD164" s="50"/>
      <c r="AE164" s="50" t="s">
        <v>8794</v>
      </c>
      <c r="AF164" s="50" t="s">
        <v>4470</v>
      </c>
      <c r="AG164" s="50"/>
      <c r="AH164" s="50"/>
      <c r="AI164" s="50"/>
      <c r="AJ164" s="50">
        <v>0.0</v>
      </c>
      <c r="AK164" s="101">
        <v>7500000.0</v>
      </c>
      <c r="AL164" s="101">
        <v>0.0</v>
      </c>
      <c r="AM164" s="101">
        <v>7500000.0</v>
      </c>
      <c r="AN164" s="101">
        <v>0.0</v>
      </c>
    </row>
    <row r="165" ht="12.75" customHeight="1">
      <c r="A165" s="50">
        <v>164.0</v>
      </c>
      <c r="B165" s="50" t="s">
        <v>8911</v>
      </c>
      <c r="C165" s="50" t="s">
        <v>100</v>
      </c>
      <c r="D165" s="50" t="s">
        <v>1189</v>
      </c>
      <c r="E165" s="50" t="s">
        <v>8792</v>
      </c>
      <c r="F165" s="50" t="s">
        <v>770</v>
      </c>
      <c r="G165" s="50" t="s">
        <v>9004</v>
      </c>
      <c r="H165" s="966">
        <v>38718.0</v>
      </c>
      <c r="I165" s="50" t="s">
        <v>70</v>
      </c>
      <c r="J165" s="101">
        <v>7500000.0</v>
      </c>
      <c r="K165" s="50">
        <v>0.0</v>
      </c>
      <c r="L165" s="50" t="s">
        <v>858</v>
      </c>
      <c r="M165" s="50"/>
      <c r="N165" s="50"/>
      <c r="O165" s="50" t="s">
        <v>948</v>
      </c>
      <c r="P165" s="50"/>
      <c r="Q165" s="50"/>
      <c r="R165" s="50" t="s">
        <v>772</v>
      </c>
      <c r="S165" s="50">
        <v>1.0</v>
      </c>
      <c r="T165" s="50">
        <v>7.0</v>
      </c>
      <c r="U165" s="50"/>
      <c r="V165" s="83" t="s">
        <v>1529</v>
      </c>
      <c r="W165" s="83" t="s">
        <v>1530</v>
      </c>
      <c r="X165" s="83" t="s">
        <v>1527</v>
      </c>
      <c r="Y165" s="83" t="s">
        <v>1531</v>
      </c>
      <c r="Z165" s="83" t="s">
        <v>777</v>
      </c>
      <c r="AA165" s="50"/>
      <c r="AB165" s="50" t="s">
        <v>1532</v>
      </c>
      <c r="AC165" s="50"/>
      <c r="AD165" s="50"/>
      <c r="AE165" s="50" t="s">
        <v>8794</v>
      </c>
      <c r="AF165" s="50" t="s">
        <v>4470</v>
      </c>
      <c r="AG165" s="50"/>
      <c r="AH165" s="50"/>
      <c r="AI165" s="50"/>
      <c r="AJ165" s="50">
        <v>0.0</v>
      </c>
      <c r="AK165" s="101">
        <v>7500000.0</v>
      </c>
      <c r="AL165" s="101">
        <v>0.0</v>
      </c>
      <c r="AM165" s="101">
        <v>7500000.0</v>
      </c>
      <c r="AN165" s="101">
        <v>0.0</v>
      </c>
    </row>
    <row r="166" ht="12.75" customHeight="1">
      <c r="A166" s="50">
        <v>165.0</v>
      </c>
      <c r="B166" s="50" t="s">
        <v>8911</v>
      </c>
      <c r="C166" s="50" t="s">
        <v>100</v>
      </c>
      <c r="D166" s="50" t="s">
        <v>1189</v>
      </c>
      <c r="E166" s="50" t="s">
        <v>8792</v>
      </c>
      <c r="F166" s="50" t="s">
        <v>770</v>
      </c>
      <c r="G166" s="50" t="s">
        <v>9005</v>
      </c>
      <c r="H166" s="966">
        <v>38718.0</v>
      </c>
      <c r="I166" s="50" t="s">
        <v>70</v>
      </c>
      <c r="J166" s="101">
        <v>5500000.0</v>
      </c>
      <c r="K166" s="50">
        <v>0.0</v>
      </c>
      <c r="L166" s="50" t="s">
        <v>858</v>
      </c>
      <c r="M166" s="50"/>
      <c r="N166" s="50"/>
      <c r="O166" s="50" t="s">
        <v>948</v>
      </c>
      <c r="P166" s="50"/>
      <c r="Q166" s="50"/>
      <c r="R166" s="50" t="s">
        <v>772</v>
      </c>
      <c r="S166" s="50">
        <v>1.0</v>
      </c>
      <c r="T166" s="50">
        <v>7.0</v>
      </c>
      <c r="U166" s="50"/>
      <c r="V166" s="83" t="s">
        <v>1533</v>
      </c>
      <c r="W166" s="83" t="s">
        <v>1534</v>
      </c>
      <c r="X166" s="83" t="s">
        <v>1535</v>
      </c>
      <c r="Y166" s="83" t="s">
        <v>1536</v>
      </c>
      <c r="Z166" s="83" t="s">
        <v>777</v>
      </c>
      <c r="AA166" s="50"/>
      <c r="AB166" s="50" t="s">
        <v>1537</v>
      </c>
      <c r="AC166" s="50"/>
      <c r="AD166" s="50"/>
      <c r="AE166" s="50" t="s">
        <v>8794</v>
      </c>
      <c r="AF166" s="50" t="s">
        <v>4470</v>
      </c>
      <c r="AG166" s="50"/>
      <c r="AH166" s="50"/>
      <c r="AI166" s="50"/>
      <c r="AJ166" s="50">
        <v>0.0</v>
      </c>
      <c r="AK166" s="101">
        <v>5500000.0</v>
      </c>
      <c r="AL166" s="101">
        <v>0.0</v>
      </c>
      <c r="AM166" s="101">
        <v>5500000.0</v>
      </c>
      <c r="AN166" s="101">
        <v>0.0</v>
      </c>
    </row>
    <row r="167" ht="12.75" customHeight="1">
      <c r="A167" s="50">
        <v>166.0</v>
      </c>
      <c r="B167" s="50" t="s">
        <v>8911</v>
      </c>
      <c r="C167" s="50" t="s">
        <v>100</v>
      </c>
      <c r="D167" s="50" t="s">
        <v>1189</v>
      </c>
      <c r="E167" s="50" t="s">
        <v>8792</v>
      </c>
      <c r="F167" s="50" t="s">
        <v>770</v>
      </c>
      <c r="G167" s="50" t="s">
        <v>9006</v>
      </c>
      <c r="H167" s="966">
        <v>38718.0</v>
      </c>
      <c r="I167" s="50" t="s">
        <v>70</v>
      </c>
      <c r="J167" s="101">
        <v>7500000.0</v>
      </c>
      <c r="K167" s="50">
        <v>0.0</v>
      </c>
      <c r="L167" s="50" t="s">
        <v>858</v>
      </c>
      <c r="M167" s="50"/>
      <c r="N167" s="50"/>
      <c r="O167" s="50" t="s">
        <v>948</v>
      </c>
      <c r="P167" s="50"/>
      <c r="Q167" s="50"/>
      <c r="R167" s="50" t="s">
        <v>772</v>
      </c>
      <c r="S167" s="50">
        <v>1.0</v>
      </c>
      <c r="T167" s="50">
        <v>7.0</v>
      </c>
      <c r="U167" s="50"/>
      <c r="V167" s="83" t="s">
        <v>1539</v>
      </c>
      <c r="W167" s="83" t="s">
        <v>1540</v>
      </c>
      <c r="X167" s="83" t="s">
        <v>1541</v>
      </c>
      <c r="Y167" s="83" t="s">
        <v>1542</v>
      </c>
      <c r="Z167" s="83" t="s">
        <v>777</v>
      </c>
      <c r="AA167" s="50"/>
      <c r="AB167" s="50" t="s">
        <v>1543</v>
      </c>
      <c r="AC167" s="50"/>
      <c r="AD167" s="50"/>
      <c r="AE167" s="50" t="s">
        <v>8794</v>
      </c>
      <c r="AF167" s="50" t="s">
        <v>4470</v>
      </c>
      <c r="AG167" s="50"/>
      <c r="AH167" s="50"/>
      <c r="AI167" s="50"/>
      <c r="AJ167" s="50">
        <v>0.0</v>
      </c>
      <c r="AK167" s="101">
        <v>7500000.0</v>
      </c>
      <c r="AL167" s="101">
        <v>0.0</v>
      </c>
      <c r="AM167" s="101">
        <v>7500000.0</v>
      </c>
      <c r="AN167" s="101">
        <v>0.0</v>
      </c>
    </row>
    <row r="168" ht="12.75" customHeight="1">
      <c r="A168" s="50">
        <v>167.0</v>
      </c>
      <c r="B168" s="50" t="s">
        <v>8911</v>
      </c>
      <c r="C168" s="50" t="s">
        <v>100</v>
      </c>
      <c r="D168" s="50" t="s">
        <v>1189</v>
      </c>
      <c r="E168" s="50" t="s">
        <v>8792</v>
      </c>
      <c r="F168" s="50" t="s">
        <v>770</v>
      </c>
      <c r="G168" s="50" t="s">
        <v>9007</v>
      </c>
      <c r="H168" s="966">
        <v>38718.0</v>
      </c>
      <c r="I168" s="50" t="s">
        <v>70</v>
      </c>
      <c r="J168" s="101">
        <v>7500000.0</v>
      </c>
      <c r="K168" s="50">
        <v>0.0</v>
      </c>
      <c r="L168" s="50" t="s">
        <v>858</v>
      </c>
      <c r="M168" s="50"/>
      <c r="N168" s="50"/>
      <c r="O168" s="50" t="s">
        <v>948</v>
      </c>
      <c r="P168" s="50"/>
      <c r="Q168" s="50"/>
      <c r="R168" s="50" t="s">
        <v>772</v>
      </c>
      <c r="S168" s="50">
        <v>1.0</v>
      </c>
      <c r="T168" s="50">
        <v>7.0</v>
      </c>
      <c r="U168" s="50"/>
      <c r="V168" s="83" t="s">
        <v>1545</v>
      </c>
      <c r="W168" s="83" t="s">
        <v>1546</v>
      </c>
      <c r="X168" s="83" t="s">
        <v>1547</v>
      </c>
      <c r="Y168" s="83" t="s">
        <v>1548</v>
      </c>
      <c r="Z168" s="83" t="s">
        <v>777</v>
      </c>
      <c r="AA168" s="50"/>
      <c r="AB168" s="50" t="s">
        <v>1549</v>
      </c>
      <c r="AC168" s="50"/>
      <c r="AD168" s="50"/>
      <c r="AE168" s="50" t="s">
        <v>8794</v>
      </c>
      <c r="AF168" s="50" t="s">
        <v>4470</v>
      </c>
      <c r="AG168" s="50"/>
      <c r="AH168" s="50"/>
      <c r="AI168" s="50"/>
      <c r="AJ168" s="50">
        <v>0.0</v>
      </c>
      <c r="AK168" s="101">
        <v>7500000.0</v>
      </c>
      <c r="AL168" s="101">
        <v>0.0</v>
      </c>
      <c r="AM168" s="101">
        <v>7500000.0</v>
      </c>
      <c r="AN168" s="101">
        <v>0.0</v>
      </c>
    </row>
    <row r="169" ht="12.75" customHeight="1">
      <c r="A169" s="50">
        <v>168.0</v>
      </c>
      <c r="B169" s="50" t="s">
        <v>8911</v>
      </c>
      <c r="C169" s="50" t="s">
        <v>100</v>
      </c>
      <c r="D169" s="50" t="s">
        <v>1189</v>
      </c>
      <c r="E169" s="50" t="s">
        <v>8792</v>
      </c>
      <c r="F169" s="50" t="s">
        <v>770</v>
      </c>
      <c r="G169" s="50" t="s">
        <v>9008</v>
      </c>
      <c r="H169" s="966">
        <v>38718.0</v>
      </c>
      <c r="I169" s="50" t="s">
        <v>70</v>
      </c>
      <c r="J169" s="101">
        <v>7500000.0</v>
      </c>
      <c r="K169" s="50">
        <v>0.0</v>
      </c>
      <c r="L169" s="50" t="s">
        <v>858</v>
      </c>
      <c r="M169" s="50"/>
      <c r="N169" s="50"/>
      <c r="O169" s="50" t="s">
        <v>948</v>
      </c>
      <c r="P169" s="50"/>
      <c r="Q169" s="50"/>
      <c r="R169" s="50" t="s">
        <v>772</v>
      </c>
      <c r="S169" s="50">
        <v>1.0</v>
      </c>
      <c r="T169" s="50">
        <v>7.0</v>
      </c>
      <c r="U169" s="50"/>
      <c r="V169" s="83" t="s">
        <v>1550</v>
      </c>
      <c r="W169" s="83" t="s">
        <v>1551</v>
      </c>
      <c r="X169" s="83" t="s">
        <v>1552</v>
      </c>
      <c r="Y169" s="83" t="s">
        <v>1553</v>
      </c>
      <c r="Z169" s="83" t="s">
        <v>777</v>
      </c>
      <c r="AA169" s="50"/>
      <c r="AB169" s="50" t="s">
        <v>1554</v>
      </c>
      <c r="AC169" s="50"/>
      <c r="AD169" s="50"/>
      <c r="AE169" s="50" t="s">
        <v>8794</v>
      </c>
      <c r="AF169" s="50" t="s">
        <v>4470</v>
      </c>
      <c r="AG169" s="50"/>
      <c r="AH169" s="50"/>
      <c r="AI169" s="50"/>
      <c r="AJ169" s="50">
        <v>0.0</v>
      </c>
      <c r="AK169" s="101">
        <v>7500000.0</v>
      </c>
      <c r="AL169" s="101">
        <v>0.0</v>
      </c>
      <c r="AM169" s="101">
        <v>7500000.0</v>
      </c>
      <c r="AN169" s="101">
        <v>0.0</v>
      </c>
    </row>
    <row r="170" ht="12.75" customHeight="1">
      <c r="A170" s="50">
        <v>169.0</v>
      </c>
      <c r="B170" s="50" t="s">
        <v>8911</v>
      </c>
      <c r="C170" s="50" t="s">
        <v>100</v>
      </c>
      <c r="D170" s="50" t="s">
        <v>100</v>
      </c>
      <c r="E170" s="50" t="s">
        <v>8792</v>
      </c>
      <c r="F170" s="50" t="s">
        <v>770</v>
      </c>
      <c r="G170" s="50" t="s">
        <v>9009</v>
      </c>
      <c r="H170" s="966">
        <v>38718.0</v>
      </c>
      <c r="I170" s="50" t="s">
        <v>70</v>
      </c>
      <c r="J170" s="101">
        <v>1.1E7</v>
      </c>
      <c r="K170" s="50">
        <v>0.0</v>
      </c>
      <c r="L170" s="50" t="s">
        <v>781</v>
      </c>
      <c r="M170" s="50"/>
      <c r="N170" s="50"/>
      <c r="O170" s="50" t="s">
        <v>948</v>
      </c>
      <c r="P170" s="50"/>
      <c r="Q170" s="50"/>
      <c r="R170" s="50" t="s">
        <v>772</v>
      </c>
      <c r="S170" s="50">
        <v>1.0</v>
      </c>
      <c r="T170" s="50">
        <v>7.0</v>
      </c>
      <c r="U170" s="50"/>
      <c r="V170" s="83" t="s">
        <v>1555</v>
      </c>
      <c r="W170" s="83" t="s">
        <v>1556</v>
      </c>
      <c r="X170" s="83" t="s">
        <v>1557</v>
      </c>
      <c r="Y170" s="83" t="s">
        <v>1558</v>
      </c>
      <c r="Z170" s="83" t="s">
        <v>777</v>
      </c>
      <c r="AA170" s="50"/>
      <c r="AB170" s="50" t="s">
        <v>952</v>
      </c>
      <c r="AC170" s="50"/>
      <c r="AD170" s="50"/>
      <c r="AE170" s="50" t="s">
        <v>8794</v>
      </c>
      <c r="AF170" s="50" t="s">
        <v>4470</v>
      </c>
      <c r="AG170" s="50"/>
      <c r="AH170" s="50"/>
      <c r="AI170" s="50"/>
      <c r="AJ170" s="50">
        <v>0.0</v>
      </c>
      <c r="AK170" s="101">
        <v>1.1E7</v>
      </c>
      <c r="AL170" s="101">
        <v>0.0</v>
      </c>
      <c r="AM170" s="101">
        <v>1.1E7</v>
      </c>
      <c r="AN170" s="101">
        <v>0.0</v>
      </c>
    </row>
    <row r="171" ht="12.75" customHeight="1">
      <c r="A171" s="50">
        <v>170.0</v>
      </c>
      <c r="B171" s="50" t="s">
        <v>8911</v>
      </c>
      <c r="C171" s="50" t="s">
        <v>100</v>
      </c>
      <c r="D171" s="50" t="s">
        <v>100</v>
      </c>
      <c r="E171" s="50" t="s">
        <v>8792</v>
      </c>
      <c r="F171" s="50" t="s">
        <v>770</v>
      </c>
      <c r="G171" s="50" t="s">
        <v>9010</v>
      </c>
      <c r="H171" s="966">
        <v>38718.0</v>
      </c>
      <c r="I171" s="50" t="s">
        <v>70</v>
      </c>
      <c r="J171" s="101">
        <v>9000000.0</v>
      </c>
      <c r="K171" s="50">
        <v>0.0</v>
      </c>
      <c r="L171" s="50" t="s">
        <v>781</v>
      </c>
      <c r="M171" s="50"/>
      <c r="N171" s="50"/>
      <c r="O171" s="50" t="s">
        <v>948</v>
      </c>
      <c r="P171" s="50"/>
      <c r="Q171" s="50"/>
      <c r="R171" s="50" t="s">
        <v>772</v>
      </c>
      <c r="S171" s="50">
        <v>1.0</v>
      </c>
      <c r="T171" s="50">
        <v>7.0</v>
      </c>
      <c r="U171" s="50"/>
      <c r="V171" s="83" t="s">
        <v>1559</v>
      </c>
      <c r="W171" s="83" t="s">
        <v>1560</v>
      </c>
      <c r="X171" s="83" t="s">
        <v>1561</v>
      </c>
      <c r="Y171" s="83" t="s">
        <v>1562</v>
      </c>
      <c r="Z171" s="83" t="s">
        <v>777</v>
      </c>
      <c r="AA171" s="50"/>
      <c r="AB171" s="50" t="s">
        <v>8960</v>
      </c>
      <c r="AC171" s="50"/>
      <c r="AD171" s="50"/>
      <c r="AE171" s="50" t="s">
        <v>8794</v>
      </c>
      <c r="AF171" s="50" t="s">
        <v>4470</v>
      </c>
      <c r="AG171" s="50"/>
      <c r="AH171" s="50"/>
      <c r="AI171" s="50"/>
      <c r="AJ171" s="50">
        <v>0.0</v>
      </c>
      <c r="AK171" s="101">
        <v>9000000.0</v>
      </c>
      <c r="AL171" s="101">
        <v>0.0</v>
      </c>
      <c r="AM171" s="101">
        <v>9000000.0</v>
      </c>
      <c r="AN171" s="101">
        <v>0.0</v>
      </c>
    </row>
    <row r="172" ht="12.75" customHeight="1">
      <c r="A172" s="50">
        <v>171.0</v>
      </c>
      <c r="B172" s="50" t="s">
        <v>8911</v>
      </c>
      <c r="C172" s="50" t="s">
        <v>100</v>
      </c>
      <c r="D172" s="50" t="s">
        <v>100</v>
      </c>
      <c r="E172" s="50" t="s">
        <v>8792</v>
      </c>
      <c r="F172" s="50" t="s">
        <v>770</v>
      </c>
      <c r="G172" s="50" t="s">
        <v>9011</v>
      </c>
      <c r="H172" s="966">
        <v>38718.0</v>
      </c>
      <c r="I172" s="50" t="s">
        <v>70</v>
      </c>
      <c r="J172" s="101">
        <v>1.0E7</v>
      </c>
      <c r="K172" s="50">
        <v>0.0</v>
      </c>
      <c r="L172" s="50" t="s">
        <v>781</v>
      </c>
      <c r="M172" s="50"/>
      <c r="N172" s="50"/>
      <c r="O172" s="50" t="s">
        <v>948</v>
      </c>
      <c r="P172" s="50"/>
      <c r="Q172" s="50"/>
      <c r="R172" s="50" t="s">
        <v>772</v>
      </c>
      <c r="S172" s="50">
        <v>1.0</v>
      </c>
      <c r="T172" s="50">
        <v>7.0</v>
      </c>
      <c r="U172" s="50"/>
      <c r="V172" s="83" t="s">
        <v>1563</v>
      </c>
      <c r="W172" s="83" t="s">
        <v>1564</v>
      </c>
      <c r="X172" s="83" t="s">
        <v>1565</v>
      </c>
      <c r="Y172" s="83" t="s">
        <v>1566</v>
      </c>
      <c r="Z172" s="83" t="s">
        <v>777</v>
      </c>
      <c r="AA172" s="50"/>
      <c r="AB172" s="50" t="s">
        <v>8960</v>
      </c>
      <c r="AC172" s="50"/>
      <c r="AD172" s="50"/>
      <c r="AE172" s="50" t="s">
        <v>8794</v>
      </c>
      <c r="AF172" s="50" t="s">
        <v>4470</v>
      </c>
      <c r="AG172" s="50"/>
      <c r="AH172" s="50"/>
      <c r="AI172" s="50"/>
      <c r="AJ172" s="50">
        <v>0.0</v>
      </c>
      <c r="AK172" s="101">
        <v>1.0E7</v>
      </c>
      <c r="AL172" s="101">
        <v>0.0</v>
      </c>
      <c r="AM172" s="101">
        <v>1.0E7</v>
      </c>
      <c r="AN172" s="101">
        <v>0.0</v>
      </c>
    </row>
    <row r="173" ht="12.75" customHeight="1">
      <c r="A173" s="50">
        <v>172.0</v>
      </c>
      <c r="B173" s="50" t="s">
        <v>8911</v>
      </c>
      <c r="C173" s="50" t="s">
        <v>100</v>
      </c>
      <c r="D173" s="50" t="s">
        <v>100</v>
      </c>
      <c r="E173" s="50" t="s">
        <v>8792</v>
      </c>
      <c r="F173" s="50" t="s">
        <v>770</v>
      </c>
      <c r="G173" s="50" t="s">
        <v>9012</v>
      </c>
      <c r="H173" s="966">
        <v>38718.0</v>
      </c>
      <c r="I173" s="50" t="s">
        <v>70</v>
      </c>
      <c r="J173" s="101">
        <v>9000000.0</v>
      </c>
      <c r="K173" s="50">
        <v>0.0</v>
      </c>
      <c r="L173" s="50" t="s">
        <v>781</v>
      </c>
      <c r="M173" s="50"/>
      <c r="N173" s="50"/>
      <c r="O173" s="50" t="s">
        <v>948</v>
      </c>
      <c r="P173" s="50"/>
      <c r="Q173" s="50"/>
      <c r="R173" s="50" t="s">
        <v>772</v>
      </c>
      <c r="S173" s="50">
        <v>1.0</v>
      </c>
      <c r="T173" s="50">
        <v>7.0</v>
      </c>
      <c r="U173" s="50"/>
      <c r="V173" s="83" t="s">
        <v>1567</v>
      </c>
      <c r="W173" s="83" t="s">
        <v>1568</v>
      </c>
      <c r="X173" s="83" t="s">
        <v>1569</v>
      </c>
      <c r="Y173" s="83" t="s">
        <v>1570</v>
      </c>
      <c r="Z173" s="83" t="s">
        <v>777</v>
      </c>
      <c r="AA173" s="50"/>
      <c r="AB173" s="50" t="s">
        <v>1344</v>
      </c>
      <c r="AC173" s="50"/>
      <c r="AD173" s="50"/>
      <c r="AE173" s="50" t="s">
        <v>8794</v>
      </c>
      <c r="AF173" s="50" t="s">
        <v>4470</v>
      </c>
      <c r="AG173" s="50"/>
      <c r="AH173" s="50"/>
      <c r="AI173" s="50"/>
      <c r="AJ173" s="50">
        <v>0.0</v>
      </c>
      <c r="AK173" s="101">
        <v>9000000.0</v>
      </c>
      <c r="AL173" s="101">
        <v>0.0</v>
      </c>
      <c r="AM173" s="101">
        <v>9000000.0</v>
      </c>
      <c r="AN173" s="101">
        <v>0.0</v>
      </c>
    </row>
    <row r="174" ht="12.75" customHeight="1">
      <c r="A174" s="50">
        <v>173.0</v>
      </c>
      <c r="B174" s="50" t="s">
        <v>8911</v>
      </c>
      <c r="C174" s="50" t="s">
        <v>100</v>
      </c>
      <c r="D174" s="50" t="s">
        <v>100</v>
      </c>
      <c r="E174" s="50" t="s">
        <v>8792</v>
      </c>
      <c r="F174" s="50" t="s">
        <v>770</v>
      </c>
      <c r="G174" s="50" t="s">
        <v>9013</v>
      </c>
      <c r="H174" s="966">
        <v>39083.0</v>
      </c>
      <c r="I174" s="50" t="s">
        <v>70</v>
      </c>
      <c r="J174" s="101">
        <v>1.2825E7</v>
      </c>
      <c r="K174" s="50">
        <v>0.0</v>
      </c>
      <c r="L174" s="50" t="s">
        <v>781</v>
      </c>
      <c r="M174" s="50"/>
      <c r="N174" s="50"/>
      <c r="O174" s="50" t="s">
        <v>37</v>
      </c>
      <c r="P174" s="50"/>
      <c r="Q174" s="50"/>
      <c r="R174" s="50" t="s">
        <v>772</v>
      </c>
      <c r="S174" s="50">
        <v>1.0</v>
      </c>
      <c r="T174" s="50">
        <v>7.0</v>
      </c>
      <c r="U174" s="50"/>
      <c r="V174" s="83" t="s">
        <v>1571</v>
      </c>
      <c r="W174" s="83" t="s">
        <v>1572</v>
      </c>
      <c r="X174" s="83" t="s">
        <v>1573</v>
      </c>
      <c r="Y174" s="83" t="s">
        <v>1574</v>
      </c>
      <c r="Z174" s="83" t="s">
        <v>777</v>
      </c>
      <c r="AA174" s="50"/>
      <c r="AB174" s="50" t="s">
        <v>8862</v>
      </c>
      <c r="AC174" s="50"/>
      <c r="AD174" s="50"/>
      <c r="AE174" s="50" t="s">
        <v>8794</v>
      </c>
      <c r="AF174" s="50" t="s">
        <v>4470</v>
      </c>
      <c r="AG174" s="50"/>
      <c r="AH174" s="50"/>
      <c r="AI174" s="50"/>
      <c r="AJ174" s="50">
        <v>0.0</v>
      </c>
      <c r="AK174" s="101">
        <v>1.2825E7</v>
      </c>
      <c r="AL174" s="101">
        <v>0.0</v>
      </c>
      <c r="AM174" s="101">
        <v>1.2825E7</v>
      </c>
      <c r="AN174" s="101">
        <v>0.0</v>
      </c>
    </row>
    <row r="175" ht="12.75" customHeight="1">
      <c r="A175" s="50">
        <v>174.0</v>
      </c>
      <c r="B175" s="50" t="s">
        <v>8911</v>
      </c>
      <c r="C175" s="50" t="s">
        <v>100</v>
      </c>
      <c r="D175" s="50" t="s">
        <v>100</v>
      </c>
      <c r="E175" s="50" t="s">
        <v>8792</v>
      </c>
      <c r="F175" s="50" t="s">
        <v>770</v>
      </c>
      <c r="G175" s="50" t="s">
        <v>9014</v>
      </c>
      <c r="H175" s="966">
        <v>39083.0</v>
      </c>
      <c r="I175" s="50" t="s">
        <v>70</v>
      </c>
      <c r="J175" s="101">
        <v>1.2825E7</v>
      </c>
      <c r="K175" s="50">
        <v>0.0</v>
      </c>
      <c r="L175" s="50" t="s">
        <v>781</v>
      </c>
      <c r="M175" s="50"/>
      <c r="N175" s="50"/>
      <c r="O175" s="50" t="s">
        <v>37</v>
      </c>
      <c r="P175" s="50"/>
      <c r="Q175" s="50"/>
      <c r="R175" s="50" t="s">
        <v>772</v>
      </c>
      <c r="S175" s="50">
        <v>1.0</v>
      </c>
      <c r="T175" s="50">
        <v>7.0</v>
      </c>
      <c r="U175" s="50"/>
      <c r="V175" s="83" t="s">
        <v>1575</v>
      </c>
      <c r="W175" s="83" t="s">
        <v>1576</v>
      </c>
      <c r="X175" s="83" t="s">
        <v>1577</v>
      </c>
      <c r="Y175" s="83" t="s">
        <v>1578</v>
      </c>
      <c r="Z175" s="83" t="s">
        <v>777</v>
      </c>
      <c r="AA175" s="50"/>
      <c r="AB175" s="50" t="s">
        <v>8981</v>
      </c>
      <c r="AC175" s="50"/>
      <c r="AD175" s="50"/>
      <c r="AE175" s="50" t="s">
        <v>8794</v>
      </c>
      <c r="AF175" s="50" t="s">
        <v>4470</v>
      </c>
      <c r="AG175" s="50"/>
      <c r="AH175" s="50"/>
      <c r="AI175" s="50"/>
      <c r="AJ175" s="50">
        <v>0.0</v>
      </c>
      <c r="AK175" s="101">
        <v>1.2825E7</v>
      </c>
      <c r="AL175" s="101">
        <v>0.0</v>
      </c>
      <c r="AM175" s="101">
        <v>1.2825E7</v>
      </c>
      <c r="AN175" s="101">
        <v>0.0</v>
      </c>
    </row>
    <row r="176" ht="12.75" customHeight="1">
      <c r="A176" s="50">
        <v>175.0</v>
      </c>
      <c r="B176" s="50" t="s">
        <v>8911</v>
      </c>
      <c r="C176" s="50" t="s">
        <v>100</v>
      </c>
      <c r="D176" s="50" t="s">
        <v>100</v>
      </c>
      <c r="E176" s="50" t="s">
        <v>8792</v>
      </c>
      <c r="F176" s="50" t="s">
        <v>770</v>
      </c>
      <c r="G176" s="50" t="s">
        <v>9015</v>
      </c>
      <c r="H176" s="966">
        <v>39083.0</v>
      </c>
      <c r="I176" s="50" t="s">
        <v>70</v>
      </c>
      <c r="J176" s="101">
        <v>1.2825E7</v>
      </c>
      <c r="K176" s="50">
        <v>0.0</v>
      </c>
      <c r="L176" s="50" t="s">
        <v>781</v>
      </c>
      <c r="M176" s="50"/>
      <c r="N176" s="50"/>
      <c r="O176" s="50" t="s">
        <v>37</v>
      </c>
      <c r="P176" s="50"/>
      <c r="Q176" s="50"/>
      <c r="R176" s="50" t="s">
        <v>772</v>
      </c>
      <c r="S176" s="50">
        <v>1.0</v>
      </c>
      <c r="T176" s="50">
        <v>7.0</v>
      </c>
      <c r="U176" s="50"/>
      <c r="V176" s="50" t="s">
        <v>1580</v>
      </c>
      <c r="W176" s="50" t="s">
        <v>1581</v>
      </c>
      <c r="X176" s="50" t="s">
        <v>1582</v>
      </c>
      <c r="Y176" s="50">
        <v>0.0</v>
      </c>
      <c r="Z176" s="50"/>
      <c r="AA176" s="50"/>
      <c r="AB176" s="50" t="s">
        <v>8960</v>
      </c>
      <c r="AC176" s="50"/>
      <c r="AD176" s="50"/>
      <c r="AE176" s="50" t="s">
        <v>8794</v>
      </c>
      <c r="AF176" s="50" t="s">
        <v>4470</v>
      </c>
      <c r="AG176" s="50"/>
      <c r="AH176" s="50"/>
      <c r="AI176" s="50"/>
      <c r="AJ176" s="50">
        <v>0.0</v>
      </c>
      <c r="AK176" s="101">
        <v>1.2825E7</v>
      </c>
      <c r="AL176" s="101">
        <v>0.0</v>
      </c>
      <c r="AM176" s="101">
        <v>1.2825E7</v>
      </c>
      <c r="AN176" s="101">
        <v>0.0</v>
      </c>
    </row>
    <row r="177" ht="12.75" customHeight="1">
      <c r="A177" s="50">
        <v>176.0</v>
      </c>
      <c r="B177" s="50" t="s">
        <v>8911</v>
      </c>
      <c r="C177" s="50" t="s">
        <v>100</v>
      </c>
      <c r="D177" s="50" t="s">
        <v>100</v>
      </c>
      <c r="E177" s="50" t="s">
        <v>8792</v>
      </c>
      <c r="F177" s="50" t="s">
        <v>770</v>
      </c>
      <c r="G177" s="50" t="s">
        <v>9016</v>
      </c>
      <c r="H177" s="966">
        <v>39083.0</v>
      </c>
      <c r="I177" s="50" t="s">
        <v>70</v>
      </c>
      <c r="J177" s="101">
        <v>1.2825E7</v>
      </c>
      <c r="K177" s="50">
        <v>0.0</v>
      </c>
      <c r="L177" s="50" t="s">
        <v>781</v>
      </c>
      <c r="M177" s="50"/>
      <c r="N177" s="50"/>
      <c r="O177" s="50" t="s">
        <v>37</v>
      </c>
      <c r="P177" s="50"/>
      <c r="Q177" s="50"/>
      <c r="R177" s="50" t="s">
        <v>772</v>
      </c>
      <c r="S177" s="50">
        <v>1.0</v>
      </c>
      <c r="T177" s="50">
        <v>7.0</v>
      </c>
      <c r="U177" s="50"/>
      <c r="V177" s="83" t="s">
        <v>1583</v>
      </c>
      <c r="W177" s="83" t="s">
        <v>1584</v>
      </c>
      <c r="X177" s="83" t="s">
        <v>1585</v>
      </c>
      <c r="Y177" s="83" t="s">
        <v>1586</v>
      </c>
      <c r="Z177" s="83" t="s">
        <v>777</v>
      </c>
      <c r="AA177" s="83"/>
      <c r="AB177" s="50" t="s">
        <v>1384</v>
      </c>
      <c r="AC177" s="50"/>
      <c r="AD177" s="50"/>
      <c r="AE177" s="50" t="s">
        <v>8794</v>
      </c>
      <c r="AF177" s="50" t="s">
        <v>4470</v>
      </c>
      <c r="AG177" s="50"/>
      <c r="AH177" s="50"/>
      <c r="AI177" s="50"/>
      <c r="AJ177" s="50">
        <v>0.0</v>
      </c>
      <c r="AK177" s="101">
        <v>1.2825E7</v>
      </c>
      <c r="AL177" s="101">
        <v>0.0</v>
      </c>
      <c r="AM177" s="101">
        <v>1.2825E7</v>
      </c>
      <c r="AN177" s="101">
        <v>0.0</v>
      </c>
    </row>
    <row r="178" ht="12.75" customHeight="1">
      <c r="A178" s="50">
        <v>177.0</v>
      </c>
      <c r="B178" s="50" t="s">
        <v>8911</v>
      </c>
      <c r="C178" s="50" t="s">
        <v>100</v>
      </c>
      <c r="D178" s="50" t="s">
        <v>100</v>
      </c>
      <c r="E178" s="50" t="s">
        <v>8792</v>
      </c>
      <c r="F178" s="50" t="s">
        <v>770</v>
      </c>
      <c r="G178" s="50" t="s">
        <v>9017</v>
      </c>
      <c r="H178" s="966">
        <v>39083.0</v>
      </c>
      <c r="I178" s="50" t="s">
        <v>70</v>
      </c>
      <c r="J178" s="101">
        <v>1.2825E7</v>
      </c>
      <c r="K178" s="50">
        <v>0.0</v>
      </c>
      <c r="L178" s="50" t="s">
        <v>781</v>
      </c>
      <c r="M178" s="50"/>
      <c r="N178" s="50"/>
      <c r="O178" s="50" t="s">
        <v>37</v>
      </c>
      <c r="P178" s="50"/>
      <c r="Q178" s="50"/>
      <c r="R178" s="50" t="s">
        <v>772</v>
      </c>
      <c r="S178" s="50">
        <v>1.0</v>
      </c>
      <c r="T178" s="50">
        <v>7.0</v>
      </c>
      <c r="U178" s="50"/>
      <c r="V178" s="83" t="s">
        <v>1587</v>
      </c>
      <c r="W178" s="83" t="s">
        <v>1588</v>
      </c>
      <c r="X178" s="83" t="s">
        <v>1589</v>
      </c>
      <c r="Y178" s="83" t="s">
        <v>1590</v>
      </c>
      <c r="Z178" s="83" t="s">
        <v>777</v>
      </c>
      <c r="AA178" s="50"/>
      <c r="AB178" s="50" t="s">
        <v>952</v>
      </c>
      <c r="AC178" s="50"/>
      <c r="AD178" s="50"/>
      <c r="AE178" s="50" t="s">
        <v>8794</v>
      </c>
      <c r="AF178" s="50" t="s">
        <v>4470</v>
      </c>
      <c r="AG178" s="50"/>
      <c r="AH178" s="50"/>
      <c r="AI178" s="50"/>
      <c r="AJ178" s="50">
        <v>0.0</v>
      </c>
      <c r="AK178" s="101">
        <v>1.2825E7</v>
      </c>
      <c r="AL178" s="101">
        <v>0.0</v>
      </c>
      <c r="AM178" s="101">
        <v>1.2825E7</v>
      </c>
      <c r="AN178" s="101">
        <v>0.0</v>
      </c>
    </row>
    <row r="179" ht="12.75" customHeight="1">
      <c r="A179" s="50">
        <v>178.0</v>
      </c>
      <c r="B179" s="50" t="s">
        <v>8911</v>
      </c>
      <c r="C179" s="50" t="s">
        <v>100</v>
      </c>
      <c r="D179" s="50" t="s">
        <v>100</v>
      </c>
      <c r="E179" s="50" t="s">
        <v>8792</v>
      </c>
      <c r="F179" s="50" t="s">
        <v>770</v>
      </c>
      <c r="G179" s="50" t="s">
        <v>9018</v>
      </c>
      <c r="H179" s="966">
        <v>39083.0</v>
      </c>
      <c r="I179" s="50" t="s">
        <v>70</v>
      </c>
      <c r="J179" s="101">
        <v>1.2825E7</v>
      </c>
      <c r="K179" s="50">
        <v>0.0</v>
      </c>
      <c r="L179" s="50" t="s">
        <v>781</v>
      </c>
      <c r="M179" s="50"/>
      <c r="N179" s="50"/>
      <c r="O179" s="50" t="s">
        <v>37</v>
      </c>
      <c r="P179" s="50"/>
      <c r="Q179" s="50"/>
      <c r="R179" s="50" t="s">
        <v>772</v>
      </c>
      <c r="S179" s="50">
        <v>1.0</v>
      </c>
      <c r="T179" s="50">
        <v>7.0</v>
      </c>
      <c r="U179" s="50"/>
      <c r="V179" s="50" t="s">
        <v>9019</v>
      </c>
      <c r="W179" s="50" t="s">
        <v>1592</v>
      </c>
      <c r="X179" s="50" t="s">
        <v>1593</v>
      </c>
      <c r="Y179" s="50">
        <v>0.0</v>
      </c>
      <c r="Z179" s="50"/>
      <c r="AA179" s="50"/>
      <c r="AB179" s="50" t="s">
        <v>8968</v>
      </c>
      <c r="AC179" s="50"/>
      <c r="AD179" s="50"/>
      <c r="AE179" s="50" t="s">
        <v>8794</v>
      </c>
      <c r="AF179" s="50" t="s">
        <v>4470</v>
      </c>
      <c r="AG179" s="50"/>
      <c r="AH179" s="50"/>
      <c r="AI179" s="50"/>
      <c r="AJ179" s="50">
        <v>0.0</v>
      </c>
      <c r="AK179" s="101">
        <v>1.2825E7</v>
      </c>
      <c r="AL179" s="101">
        <v>0.0</v>
      </c>
      <c r="AM179" s="101">
        <v>1.2825E7</v>
      </c>
      <c r="AN179" s="101">
        <v>0.0</v>
      </c>
    </row>
    <row r="180" ht="12.75" customHeight="1">
      <c r="A180" s="50">
        <v>179.0</v>
      </c>
      <c r="B180" s="50" t="s">
        <v>8911</v>
      </c>
      <c r="C180" s="50" t="s">
        <v>100</v>
      </c>
      <c r="D180" s="50" t="s">
        <v>100</v>
      </c>
      <c r="E180" s="50" t="s">
        <v>8792</v>
      </c>
      <c r="F180" s="50" t="s">
        <v>770</v>
      </c>
      <c r="G180" s="50" t="s">
        <v>9020</v>
      </c>
      <c r="H180" s="966">
        <v>39083.0</v>
      </c>
      <c r="I180" s="50" t="s">
        <v>70</v>
      </c>
      <c r="J180" s="101">
        <v>1.2825E7</v>
      </c>
      <c r="K180" s="50">
        <v>0.0</v>
      </c>
      <c r="L180" s="50" t="s">
        <v>781</v>
      </c>
      <c r="M180" s="50"/>
      <c r="N180" s="50"/>
      <c r="O180" s="50" t="s">
        <v>37</v>
      </c>
      <c r="P180" s="50"/>
      <c r="Q180" s="50"/>
      <c r="R180" s="50" t="s">
        <v>772</v>
      </c>
      <c r="S180" s="50">
        <v>1.0</v>
      </c>
      <c r="T180" s="50">
        <v>7.0</v>
      </c>
      <c r="U180" s="50"/>
      <c r="V180" s="83" t="s">
        <v>1594</v>
      </c>
      <c r="W180" s="83" t="s">
        <v>1595</v>
      </c>
      <c r="X180" s="83" t="s">
        <v>1596</v>
      </c>
      <c r="Y180" s="83" t="s">
        <v>1597</v>
      </c>
      <c r="Z180" s="83" t="s">
        <v>777</v>
      </c>
      <c r="AA180" s="50"/>
      <c r="AB180" s="50" t="s">
        <v>1198</v>
      </c>
      <c r="AC180" s="50"/>
      <c r="AD180" s="50"/>
      <c r="AE180" s="50" t="s">
        <v>8794</v>
      </c>
      <c r="AF180" s="50" t="s">
        <v>4470</v>
      </c>
      <c r="AG180" s="50"/>
      <c r="AH180" s="50"/>
      <c r="AI180" s="50"/>
      <c r="AJ180" s="50">
        <v>0.0</v>
      </c>
      <c r="AK180" s="101">
        <v>1.2825E7</v>
      </c>
      <c r="AL180" s="101">
        <v>0.0</v>
      </c>
      <c r="AM180" s="101">
        <v>1.2825E7</v>
      </c>
      <c r="AN180" s="101">
        <v>0.0</v>
      </c>
    </row>
    <row r="181" ht="12.75" customHeight="1">
      <c r="A181" s="50">
        <v>180.0</v>
      </c>
      <c r="B181" s="50" t="s">
        <v>8911</v>
      </c>
      <c r="C181" s="50" t="s">
        <v>100</v>
      </c>
      <c r="D181" s="50" t="s">
        <v>100</v>
      </c>
      <c r="E181" s="50" t="s">
        <v>8792</v>
      </c>
      <c r="F181" s="50" t="s">
        <v>770</v>
      </c>
      <c r="G181" s="50" t="s">
        <v>9021</v>
      </c>
      <c r="H181" s="966">
        <v>39083.0</v>
      </c>
      <c r="I181" s="50" t="s">
        <v>70</v>
      </c>
      <c r="J181" s="101">
        <v>1.2825E7</v>
      </c>
      <c r="K181" s="50">
        <v>0.0</v>
      </c>
      <c r="L181" s="50" t="s">
        <v>781</v>
      </c>
      <c r="M181" s="50"/>
      <c r="N181" s="50"/>
      <c r="O181" s="50" t="s">
        <v>37</v>
      </c>
      <c r="P181" s="50"/>
      <c r="Q181" s="50"/>
      <c r="R181" s="50" t="s">
        <v>772</v>
      </c>
      <c r="S181" s="50">
        <v>1.0</v>
      </c>
      <c r="T181" s="50">
        <v>7.0</v>
      </c>
      <c r="U181" s="50"/>
      <c r="V181" s="83" t="s">
        <v>1600</v>
      </c>
      <c r="W181" s="83" t="s">
        <v>1601</v>
      </c>
      <c r="X181" s="83" t="s">
        <v>1602</v>
      </c>
      <c r="Y181" s="83" t="s">
        <v>1603</v>
      </c>
      <c r="Z181" s="83" t="s">
        <v>777</v>
      </c>
      <c r="AA181" s="50"/>
      <c r="AB181" s="50" t="s">
        <v>1364</v>
      </c>
      <c r="AC181" s="50"/>
      <c r="AD181" s="50"/>
      <c r="AE181" s="50" t="s">
        <v>8794</v>
      </c>
      <c r="AF181" s="50" t="s">
        <v>4470</v>
      </c>
      <c r="AG181" s="50"/>
      <c r="AH181" s="50"/>
      <c r="AI181" s="50"/>
      <c r="AJ181" s="50">
        <v>0.0</v>
      </c>
      <c r="AK181" s="101">
        <v>1.2825E7</v>
      </c>
      <c r="AL181" s="101">
        <v>0.0</v>
      </c>
      <c r="AM181" s="101">
        <v>1.2825E7</v>
      </c>
      <c r="AN181" s="101">
        <v>0.0</v>
      </c>
    </row>
    <row r="182" ht="12.75" customHeight="1">
      <c r="A182" s="50">
        <v>181.0</v>
      </c>
      <c r="B182" s="50" t="s">
        <v>8911</v>
      </c>
      <c r="C182" s="50" t="s">
        <v>100</v>
      </c>
      <c r="D182" s="50" t="s">
        <v>100</v>
      </c>
      <c r="E182" s="50" t="s">
        <v>8792</v>
      </c>
      <c r="F182" s="50" t="s">
        <v>770</v>
      </c>
      <c r="G182" s="50" t="s">
        <v>9022</v>
      </c>
      <c r="H182" s="966">
        <v>39083.0</v>
      </c>
      <c r="I182" s="50" t="s">
        <v>70</v>
      </c>
      <c r="J182" s="101">
        <v>1.2825E7</v>
      </c>
      <c r="K182" s="50">
        <v>0.0</v>
      </c>
      <c r="L182" s="50" t="s">
        <v>781</v>
      </c>
      <c r="M182" s="50"/>
      <c r="N182" s="50"/>
      <c r="O182" s="50" t="s">
        <v>37</v>
      </c>
      <c r="P182" s="50"/>
      <c r="Q182" s="50"/>
      <c r="R182" s="50" t="s">
        <v>772</v>
      </c>
      <c r="S182" s="50">
        <v>1.0</v>
      </c>
      <c r="T182" s="50">
        <v>7.0</v>
      </c>
      <c r="U182" s="50"/>
      <c r="V182" s="83" t="s">
        <v>1604</v>
      </c>
      <c r="W182" s="83" t="s">
        <v>1605</v>
      </c>
      <c r="X182" s="83" t="s">
        <v>1606</v>
      </c>
      <c r="Y182" s="83" t="s">
        <v>1607</v>
      </c>
      <c r="Z182" s="83" t="s">
        <v>777</v>
      </c>
      <c r="AA182" s="50"/>
      <c r="AB182" s="50" t="s">
        <v>1239</v>
      </c>
      <c r="AC182" s="50"/>
      <c r="AD182" s="50"/>
      <c r="AE182" s="50" t="s">
        <v>8794</v>
      </c>
      <c r="AF182" s="50" t="s">
        <v>4470</v>
      </c>
      <c r="AG182" s="50"/>
      <c r="AH182" s="50"/>
      <c r="AI182" s="50"/>
      <c r="AJ182" s="50">
        <v>0.0</v>
      </c>
      <c r="AK182" s="101">
        <v>1.2825E7</v>
      </c>
      <c r="AL182" s="101">
        <v>0.0</v>
      </c>
      <c r="AM182" s="101">
        <v>1.2825E7</v>
      </c>
      <c r="AN182" s="101">
        <v>0.0</v>
      </c>
    </row>
    <row r="183" ht="12.75" customHeight="1">
      <c r="A183" s="50">
        <v>182.0</v>
      </c>
      <c r="B183" s="50" t="s">
        <v>8911</v>
      </c>
      <c r="C183" s="50" t="s">
        <v>100</v>
      </c>
      <c r="D183" s="50" t="s">
        <v>100</v>
      </c>
      <c r="E183" s="50" t="s">
        <v>8792</v>
      </c>
      <c r="F183" s="50" t="s">
        <v>770</v>
      </c>
      <c r="G183" s="50" t="s">
        <v>9023</v>
      </c>
      <c r="H183" s="966">
        <v>39083.0</v>
      </c>
      <c r="I183" s="50" t="s">
        <v>70</v>
      </c>
      <c r="J183" s="101">
        <v>1.2825E7</v>
      </c>
      <c r="K183" s="50">
        <v>0.0</v>
      </c>
      <c r="L183" s="50" t="s">
        <v>781</v>
      </c>
      <c r="M183" s="50"/>
      <c r="N183" s="50"/>
      <c r="O183" s="50" t="s">
        <v>37</v>
      </c>
      <c r="P183" s="50"/>
      <c r="Q183" s="50"/>
      <c r="R183" s="50" t="s">
        <v>772</v>
      </c>
      <c r="S183" s="50">
        <v>1.0</v>
      </c>
      <c r="T183" s="50">
        <v>7.0</v>
      </c>
      <c r="U183" s="50"/>
      <c r="V183" s="83" t="s">
        <v>1609</v>
      </c>
      <c r="W183" s="83" t="s">
        <v>1610</v>
      </c>
      <c r="X183" s="83" t="s">
        <v>1611</v>
      </c>
      <c r="Y183" s="83" t="s">
        <v>1612</v>
      </c>
      <c r="Z183" s="83" t="s">
        <v>777</v>
      </c>
      <c r="AA183" s="50"/>
      <c r="AB183" s="50" t="s">
        <v>1613</v>
      </c>
      <c r="AC183" s="50"/>
      <c r="AD183" s="50"/>
      <c r="AE183" s="50" t="s">
        <v>8794</v>
      </c>
      <c r="AF183" s="50" t="s">
        <v>4470</v>
      </c>
      <c r="AG183" s="50"/>
      <c r="AH183" s="50"/>
      <c r="AI183" s="50"/>
      <c r="AJ183" s="50">
        <v>0.0</v>
      </c>
      <c r="AK183" s="101">
        <v>1.2825E7</v>
      </c>
      <c r="AL183" s="101">
        <v>0.0</v>
      </c>
      <c r="AM183" s="101">
        <v>1.2825E7</v>
      </c>
      <c r="AN183" s="101">
        <v>0.0</v>
      </c>
    </row>
    <row r="184" ht="12.75" customHeight="1">
      <c r="A184" s="50">
        <v>183.0</v>
      </c>
      <c r="B184" s="50" t="s">
        <v>8911</v>
      </c>
      <c r="C184" s="50" t="s">
        <v>100</v>
      </c>
      <c r="D184" s="50" t="s">
        <v>100</v>
      </c>
      <c r="E184" s="50" t="s">
        <v>8792</v>
      </c>
      <c r="F184" s="50" t="s">
        <v>770</v>
      </c>
      <c r="G184" s="50" t="s">
        <v>9024</v>
      </c>
      <c r="H184" s="966">
        <v>39083.0</v>
      </c>
      <c r="I184" s="50" t="s">
        <v>70</v>
      </c>
      <c r="J184" s="101">
        <v>1.2825E7</v>
      </c>
      <c r="K184" s="50">
        <v>0.0</v>
      </c>
      <c r="L184" s="50" t="s">
        <v>781</v>
      </c>
      <c r="M184" s="50"/>
      <c r="N184" s="50"/>
      <c r="O184" s="50" t="s">
        <v>37</v>
      </c>
      <c r="P184" s="50"/>
      <c r="Q184" s="50"/>
      <c r="R184" s="50" t="s">
        <v>772</v>
      </c>
      <c r="S184" s="50">
        <v>1.0</v>
      </c>
      <c r="T184" s="50">
        <v>7.0</v>
      </c>
      <c r="U184" s="50"/>
      <c r="V184" s="83" t="s">
        <v>1614</v>
      </c>
      <c r="W184" s="83" t="s">
        <v>1615</v>
      </c>
      <c r="X184" s="83" t="s">
        <v>1616</v>
      </c>
      <c r="Y184" s="83" t="s">
        <v>1617</v>
      </c>
      <c r="Z184" s="83" t="s">
        <v>777</v>
      </c>
      <c r="AA184" s="50"/>
      <c r="AB184" s="50" t="s">
        <v>952</v>
      </c>
      <c r="AC184" s="50"/>
      <c r="AD184" s="50"/>
      <c r="AE184" s="50" t="s">
        <v>8794</v>
      </c>
      <c r="AF184" s="50" t="s">
        <v>4470</v>
      </c>
      <c r="AG184" s="50"/>
      <c r="AH184" s="50"/>
      <c r="AI184" s="50"/>
      <c r="AJ184" s="50">
        <v>0.0</v>
      </c>
      <c r="AK184" s="101">
        <v>1.2825E7</v>
      </c>
      <c r="AL184" s="101">
        <v>0.0</v>
      </c>
      <c r="AM184" s="101">
        <v>1.2825E7</v>
      </c>
      <c r="AN184" s="101">
        <v>0.0</v>
      </c>
    </row>
    <row r="185" ht="12.75" customHeight="1">
      <c r="A185" s="50">
        <v>184.0</v>
      </c>
      <c r="B185" s="50" t="s">
        <v>8911</v>
      </c>
      <c r="C185" s="50" t="s">
        <v>100</v>
      </c>
      <c r="D185" s="50" t="s">
        <v>100</v>
      </c>
      <c r="E185" s="50" t="s">
        <v>8792</v>
      </c>
      <c r="F185" s="50" t="s">
        <v>770</v>
      </c>
      <c r="G185" s="50" t="s">
        <v>9025</v>
      </c>
      <c r="H185" s="966">
        <v>39083.0</v>
      </c>
      <c r="I185" s="50" t="s">
        <v>70</v>
      </c>
      <c r="J185" s="101">
        <v>1.2825E7</v>
      </c>
      <c r="K185" s="50">
        <v>0.0</v>
      </c>
      <c r="L185" s="50" t="s">
        <v>781</v>
      </c>
      <c r="M185" s="50"/>
      <c r="N185" s="50"/>
      <c r="O185" s="50" t="s">
        <v>37</v>
      </c>
      <c r="P185" s="50"/>
      <c r="Q185" s="50"/>
      <c r="R185" s="50" t="s">
        <v>772</v>
      </c>
      <c r="S185" s="50">
        <v>1.0</v>
      </c>
      <c r="T185" s="50">
        <v>7.0</v>
      </c>
      <c r="U185" s="50"/>
      <c r="V185" s="83" t="s">
        <v>1618</v>
      </c>
      <c r="W185" s="83" t="s">
        <v>1619</v>
      </c>
      <c r="X185" s="83" t="s">
        <v>1620</v>
      </c>
      <c r="Y185" s="83" t="s">
        <v>1621</v>
      </c>
      <c r="Z185" s="83" t="s">
        <v>777</v>
      </c>
      <c r="AA185" s="50"/>
      <c r="AB185" s="50" t="s">
        <v>1349</v>
      </c>
      <c r="AC185" s="50"/>
      <c r="AD185" s="50"/>
      <c r="AE185" s="50" t="s">
        <v>8794</v>
      </c>
      <c r="AF185" s="50" t="s">
        <v>4470</v>
      </c>
      <c r="AG185" s="50"/>
      <c r="AH185" s="50"/>
      <c r="AI185" s="50"/>
      <c r="AJ185" s="50">
        <v>0.0</v>
      </c>
      <c r="AK185" s="101">
        <v>1.2825E7</v>
      </c>
      <c r="AL185" s="101">
        <v>0.0</v>
      </c>
      <c r="AM185" s="101">
        <v>1.2825E7</v>
      </c>
      <c r="AN185" s="101">
        <v>0.0</v>
      </c>
    </row>
    <row r="186" ht="12.75" customHeight="1">
      <c r="A186" s="50">
        <v>185.0</v>
      </c>
      <c r="B186" s="50" t="s">
        <v>8911</v>
      </c>
      <c r="C186" s="50" t="s">
        <v>100</v>
      </c>
      <c r="D186" s="50" t="s">
        <v>100</v>
      </c>
      <c r="E186" s="50" t="s">
        <v>8792</v>
      </c>
      <c r="F186" s="50" t="s">
        <v>770</v>
      </c>
      <c r="G186" s="50" t="s">
        <v>9026</v>
      </c>
      <c r="H186" s="966">
        <v>39083.0</v>
      </c>
      <c r="I186" s="50" t="s">
        <v>70</v>
      </c>
      <c r="J186" s="101">
        <v>1.2825E7</v>
      </c>
      <c r="K186" s="50">
        <v>0.0</v>
      </c>
      <c r="L186" s="50" t="s">
        <v>781</v>
      </c>
      <c r="M186" s="50"/>
      <c r="N186" s="50"/>
      <c r="O186" s="50" t="s">
        <v>37</v>
      </c>
      <c r="P186" s="50"/>
      <c r="Q186" s="50"/>
      <c r="R186" s="50" t="s">
        <v>772</v>
      </c>
      <c r="S186" s="50">
        <v>1.0</v>
      </c>
      <c r="T186" s="50">
        <v>7.0</v>
      </c>
      <c r="U186" s="50"/>
      <c r="V186" s="50" t="s">
        <v>9027</v>
      </c>
      <c r="W186" s="50" t="s">
        <v>1623</v>
      </c>
      <c r="X186" s="50" t="s">
        <v>1624</v>
      </c>
      <c r="Y186" s="50">
        <v>0.0</v>
      </c>
      <c r="Z186" s="50"/>
      <c r="AA186" s="50"/>
      <c r="AB186" s="50" t="s">
        <v>1625</v>
      </c>
      <c r="AC186" s="50"/>
      <c r="AD186" s="50"/>
      <c r="AE186" s="50" t="s">
        <v>8794</v>
      </c>
      <c r="AF186" s="50" t="s">
        <v>4470</v>
      </c>
      <c r="AG186" s="50"/>
      <c r="AH186" s="50"/>
      <c r="AI186" s="50"/>
      <c r="AJ186" s="50">
        <v>0.0</v>
      </c>
      <c r="AK186" s="101">
        <v>1.2825E7</v>
      </c>
      <c r="AL186" s="101">
        <v>0.0</v>
      </c>
      <c r="AM186" s="101">
        <v>1.2825E7</v>
      </c>
      <c r="AN186" s="101">
        <v>0.0</v>
      </c>
    </row>
    <row r="187" ht="12.75" customHeight="1">
      <c r="A187" s="50">
        <v>186.0</v>
      </c>
      <c r="B187" s="50" t="s">
        <v>8911</v>
      </c>
      <c r="C187" s="50" t="s">
        <v>100</v>
      </c>
      <c r="D187" s="50" t="s">
        <v>100</v>
      </c>
      <c r="E187" s="50" t="s">
        <v>8792</v>
      </c>
      <c r="F187" s="50" t="s">
        <v>770</v>
      </c>
      <c r="G187" s="50" t="s">
        <v>9028</v>
      </c>
      <c r="H187" s="966">
        <v>39083.0</v>
      </c>
      <c r="I187" s="50" t="s">
        <v>70</v>
      </c>
      <c r="J187" s="101">
        <v>1.2825E7</v>
      </c>
      <c r="K187" s="50">
        <v>0.0</v>
      </c>
      <c r="L187" s="50" t="s">
        <v>781</v>
      </c>
      <c r="M187" s="50"/>
      <c r="N187" s="50"/>
      <c r="O187" s="50" t="s">
        <v>37</v>
      </c>
      <c r="P187" s="50"/>
      <c r="Q187" s="50"/>
      <c r="R187" s="50" t="s">
        <v>772</v>
      </c>
      <c r="S187" s="50">
        <v>1.0</v>
      </c>
      <c r="T187" s="50">
        <v>7.0</v>
      </c>
      <c r="U187" s="50"/>
      <c r="V187" s="50" t="s">
        <v>1627</v>
      </c>
      <c r="W187" s="50" t="s">
        <v>1628</v>
      </c>
      <c r="X187" s="50" t="s">
        <v>1629</v>
      </c>
      <c r="Y187" s="50">
        <v>0.0</v>
      </c>
      <c r="Z187" s="50"/>
      <c r="AA187" s="50"/>
      <c r="AB187" s="50" t="s">
        <v>1333</v>
      </c>
      <c r="AC187" s="50"/>
      <c r="AD187" s="50"/>
      <c r="AE187" s="50" t="s">
        <v>8794</v>
      </c>
      <c r="AF187" s="50" t="s">
        <v>4470</v>
      </c>
      <c r="AG187" s="50"/>
      <c r="AH187" s="50"/>
      <c r="AI187" s="50"/>
      <c r="AJ187" s="50">
        <v>0.0</v>
      </c>
      <c r="AK187" s="101">
        <v>1.2825E7</v>
      </c>
      <c r="AL187" s="101">
        <v>0.0</v>
      </c>
      <c r="AM187" s="101">
        <v>1.2825E7</v>
      </c>
      <c r="AN187" s="101">
        <v>0.0</v>
      </c>
    </row>
    <row r="188" ht="12.75" customHeight="1">
      <c r="A188" s="50">
        <v>187.0</v>
      </c>
      <c r="B188" s="50" t="s">
        <v>8911</v>
      </c>
      <c r="C188" s="50" t="s">
        <v>100</v>
      </c>
      <c r="D188" s="50" t="s">
        <v>1631</v>
      </c>
      <c r="E188" s="50" t="s">
        <v>8792</v>
      </c>
      <c r="F188" s="50" t="s">
        <v>770</v>
      </c>
      <c r="G188" s="50" t="s">
        <v>9029</v>
      </c>
      <c r="H188" s="966">
        <v>39083.0</v>
      </c>
      <c r="I188" s="50" t="s">
        <v>70</v>
      </c>
      <c r="J188" s="101">
        <v>1.24E7</v>
      </c>
      <c r="K188" s="50">
        <v>0.0</v>
      </c>
      <c r="L188" s="50" t="s">
        <v>781</v>
      </c>
      <c r="M188" s="50"/>
      <c r="N188" s="50"/>
      <c r="O188" s="50" t="s">
        <v>37</v>
      </c>
      <c r="P188" s="50"/>
      <c r="Q188" s="50"/>
      <c r="R188" s="50" t="s">
        <v>772</v>
      </c>
      <c r="S188" s="50">
        <v>1.0</v>
      </c>
      <c r="T188" s="50">
        <v>7.0</v>
      </c>
      <c r="U188" s="50"/>
      <c r="V188" s="50" t="s">
        <v>1632</v>
      </c>
      <c r="W188" s="50"/>
      <c r="X188" s="50" t="s">
        <v>1633</v>
      </c>
      <c r="Y188" s="50">
        <v>0.0</v>
      </c>
      <c r="Z188" s="50"/>
      <c r="AA188" s="50"/>
      <c r="AB188" s="50" t="s">
        <v>952</v>
      </c>
      <c r="AC188" s="50"/>
      <c r="AD188" s="50"/>
      <c r="AE188" s="50" t="s">
        <v>8794</v>
      </c>
      <c r="AF188" s="50" t="s">
        <v>4470</v>
      </c>
      <c r="AG188" s="50"/>
      <c r="AH188" s="50"/>
      <c r="AI188" s="50"/>
      <c r="AJ188" s="50">
        <v>0.0</v>
      </c>
      <c r="AK188" s="101">
        <v>1.24E7</v>
      </c>
      <c r="AL188" s="101">
        <v>0.0</v>
      </c>
      <c r="AM188" s="101">
        <v>1.24E7</v>
      </c>
      <c r="AN188" s="101">
        <v>0.0</v>
      </c>
    </row>
    <row r="189" ht="12.75" customHeight="1">
      <c r="A189" s="50">
        <v>188.0</v>
      </c>
      <c r="B189" s="50" t="s">
        <v>8911</v>
      </c>
      <c r="C189" s="50" t="s">
        <v>100</v>
      </c>
      <c r="D189" s="50" t="s">
        <v>1631</v>
      </c>
      <c r="E189" s="50" t="s">
        <v>8792</v>
      </c>
      <c r="F189" s="50" t="s">
        <v>770</v>
      </c>
      <c r="G189" s="50" t="s">
        <v>9030</v>
      </c>
      <c r="H189" s="966">
        <v>39083.0</v>
      </c>
      <c r="I189" s="50" t="s">
        <v>70</v>
      </c>
      <c r="J189" s="101">
        <v>1.24E7</v>
      </c>
      <c r="K189" s="50">
        <v>0.0</v>
      </c>
      <c r="L189" s="50" t="s">
        <v>781</v>
      </c>
      <c r="M189" s="50"/>
      <c r="N189" s="50"/>
      <c r="O189" s="50" t="s">
        <v>37</v>
      </c>
      <c r="P189" s="50"/>
      <c r="Q189" s="50"/>
      <c r="R189" s="50" t="s">
        <v>772</v>
      </c>
      <c r="S189" s="50">
        <v>1.0</v>
      </c>
      <c r="T189" s="50">
        <v>7.0</v>
      </c>
      <c r="U189" s="50"/>
      <c r="V189" s="83" t="s">
        <v>1634</v>
      </c>
      <c r="W189" s="83" t="s">
        <v>1635</v>
      </c>
      <c r="X189" s="83" t="s">
        <v>1636</v>
      </c>
      <c r="Y189" s="83" t="s">
        <v>1637</v>
      </c>
      <c r="Z189" s="83" t="s">
        <v>777</v>
      </c>
      <c r="AA189" s="50"/>
      <c r="AB189" s="50" t="s">
        <v>952</v>
      </c>
      <c r="AC189" s="50"/>
      <c r="AD189" s="50"/>
      <c r="AE189" s="50" t="s">
        <v>8794</v>
      </c>
      <c r="AF189" s="50" t="s">
        <v>4470</v>
      </c>
      <c r="AG189" s="50"/>
      <c r="AH189" s="50"/>
      <c r="AI189" s="50"/>
      <c r="AJ189" s="50">
        <v>0.0</v>
      </c>
      <c r="AK189" s="101">
        <v>1.24E7</v>
      </c>
      <c r="AL189" s="101">
        <v>0.0</v>
      </c>
      <c r="AM189" s="101">
        <v>1.24E7</v>
      </c>
      <c r="AN189" s="101">
        <v>0.0</v>
      </c>
    </row>
    <row r="190" ht="12.75" customHeight="1">
      <c r="A190" s="50">
        <v>189.0</v>
      </c>
      <c r="B190" s="50" t="s">
        <v>8911</v>
      </c>
      <c r="C190" s="50" t="s">
        <v>100</v>
      </c>
      <c r="D190" s="50" t="s">
        <v>1631</v>
      </c>
      <c r="E190" s="50" t="s">
        <v>8792</v>
      </c>
      <c r="F190" s="50" t="s">
        <v>770</v>
      </c>
      <c r="G190" s="50" t="s">
        <v>9031</v>
      </c>
      <c r="H190" s="966">
        <v>39083.0</v>
      </c>
      <c r="I190" s="50" t="s">
        <v>70</v>
      </c>
      <c r="J190" s="101">
        <v>1.24E7</v>
      </c>
      <c r="K190" s="50">
        <v>0.0</v>
      </c>
      <c r="L190" s="50" t="s">
        <v>781</v>
      </c>
      <c r="M190" s="50"/>
      <c r="N190" s="50"/>
      <c r="O190" s="50" t="s">
        <v>37</v>
      </c>
      <c r="P190" s="50"/>
      <c r="Q190" s="50"/>
      <c r="R190" s="50" t="s">
        <v>772</v>
      </c>
      <c r="S190" s="50">
        <v>1.0</v>
      </c>
      <c r="T190" s="50">
        <v>7.0</v>
      </c>
      <c r="U190" s="50"/>
      <c r="V190" s="83" t="s">
        <v>1638</v>
      </c>
      <c r="W190" s="83" t="s">
        <v>1639</v>
      </c>
      <c r="X190" s="83" t="s">
        <v>1640</v>
      </c>
      <c r="Y190" s="83" t="s">
        <v>1641</v>
      </c>
      <c r="Z190" s="83" t="s">
        <v>777</v>
      </c>
      <c r="AA190" s="50"/>
      <c r="AB190" s="50" t="s">
        <v>952</v>
      </c>
      <c r="AC190" s="50"/>
      <c r="AD190" s="50"/>
      <c r="AE190" s="50" t="s">
        <v>8794</v>
      </c>
      <c r="AF190" s="50" t="s">
        <v>4470</v>
      </c>
      <c r="AG190" s="50"/>
      <c r="AH190" s="50"/>
      <c r="AI190" s="50"/>
      <c r="AJ190" s="50">
        <v>0.0</v>
      </c>
      <c r="AK190" s="101">
        <v>1.24E7</v>
      </c>
      <c r="AL190" s="101">
        <v>0.0</v>
      </c>
      <c r="AM190" s="101">
        <v>1.24E7</v>
      </c>
      <c r="AN190" s="101">
        <v>0.0</v>
      </c>
    </row>
    <row r="191" ht="12.75" customHeight="1">
      <c r="A191" s="50">
        <v>190.0</v>
      </c>
      <c r="B191" s="50" t="s">
        <v>8911</v>
      </c>
      <c r="C191" s="50" t="s">
        <v>100</v>
      </c>
      <c r="D191" s="50" t="s">
        <v>1631</v>
      </c>
      <c r="E191" s="50" t="s">
        <v>8792</v>
      </c>
      <c r="F191" s="50" t="s">
        <v>770</v>
      </c>
      <c r="G191" s="50" t="s">
        <v>9032</v>
      </c>
      <c r="H191" s="966">
        <v>39083.0</v>
      </c>
      <c r="I191" s="50" t="s">
        <v>70</v>
      </c>
      <c r="J191" s="101">
        <v>1.24E7</v>
      </c>
      <c r="K191" s="50">
        <v>0.0</v>
      </c>
      <c r="L191" s="50" t="s">
        <v>781</v>
      </c>
      <c r="M191" s="50"/>
      <c r="N191" s="50"/>
      <c r="O191" s="50" t="s">
        <v>37</v>
      </c>
      <c r="P191" s="50"/>
      <c r="Q191" s="50"/>
      <c r="R191" s="50" t="s">
        <v>772</v>
      </c>
      <c r="S191" s="50">
        <v>1.0</v>
      </c>
      <c r="T191" s="50">
        <v>7.0</v>
      </c>
      <c r="U191" s="50"/>
      <c r="V191" s="83" t="s">
        <v>1642</v>
      </c>
      <c r="W191" s="83" t="s">
        <v>1643</v>
      </c>
      <c r="X191" s="83" t="s">
        <v>1644</v>
      </c>
      <c r="Y191" s="83" t="s">
        <v>1645</v>
      </c>
      <c r="Z191" s="83" t="s">
        <v>777</v>
      </c>
      <c r="AA191" s="50"/>
      <c r="AB191" s="50" t="s">
        <v>952</v>
      </c>
      <c r="AC191" s="50"/>
      <c r="AD191" s="50"/>
      <c r="AE191" s="50" t="s">
        <v>8794</v>
      </c>
      <c r="AF191" s="50" t="s">
        <v>4470</v>
      </c>
      <c r="AG191" s="50"/>
      <c r="AH191" s="50"/>
      <c r="AI191" s="50"/>
      <c r="AJ191" s="50">
        <v>0.0</v>
      </c>
      <c r="AK191" s="101">
        <v>1.24E7</v>
      </c>
      <c r="AL191" s="101">
        <v>0.0</v>
      </c>
      <c r="AM191" s="101">
        <v>1.24E7</v>
      </c>
      <c r="AN191" s="101">
        <v>0.0</v>
      </c>
    </row>
    <row r="192" ht="12.75" customHeight="1">
      <c r="A192" s="50">
        <v>191.0</v>
      </c>
      <c r="B192" s="50" t="s">
        <v>8911</v>
      </c>
      <c r="C192" s="50" t="s">
        <v>100</v>
      </c>
      <c r="D192" s="50" t="s">
        <v>100</v>
      </c>
      <c r="E192" s="50" t="s">
        <v>8792</v>
      </c>
      <c r="F192" s="50" t="s">
        <v>770</v>
      </c>
      <c r="G192" s="50" t="s">
        <v>9033</v>
      </c>
      <c r="H192" s="966">
        <v>39083.0</v>
      </c>
      <c r="I192" s="50" t="s">
        <v>70</v>
      </c>
      <c r="J192" s="101">
        <v>1.2825E7</v>
      </c>
      <c r="K192" s="50">
        <v>0.0</v>
      </c>
      <c r="L192" s="50" t="s">
        <v>781</v>
      </c>
      <c r="M192" s="50"/>
      <c r="N192" s="50"/>
      <c r="O192" s="50" t="s">
        <v>37</v>
      </c>
      <c r="P192" s="50"/>
      <c r="Q192" s="50"/>
      <c r="R192" s="50" t="s">
        <v>772</v>
      </c>
      <c r="S192" s="50">
        <v>1.0</v>
      </c>
      <c r="T192" s="50">
        <v>7.0</v>
      </c>
      <c r="U192" s="50"/>
      <c r="V192" s="83" t="s">
        <v>9034</v>
      </c>
      <c r="W192" s="83" t="s">
        <v>1647</v>
      </c>
      <c r="X192" s="83" t="s">
        <v>1648</v>
      </c>
      <c r="Y192" s="83" t="s">
        <v>1649</v>
      </c>
      <c r="Z192" s="83" t="s">
        <v>777</v>
      </c>
      <c r="AA192" s="50"/>
      <c r="AB192" s="50" t="s">
        <v>1333</v>
      </c>
      <c r="AC192" s="50"/>
      <c r="AD192" s="50"/>
      <c r="AE192" s="50" t="s">
        <v>8794</v>
      </c>
      <c r="AF192" s="50" t="s">
        <v>4470</v>
      </c>
      <c r="AG192" s="50"/>
      <c r="AH192" s="50"/>
      <c r="AI192" s="50"/>
      <c r="AJ192" s="50">
        <v>0.0</v>
      </c>
      <c r="AK192" s="101">
        <v>1.2825E7</v>
      </c>
      <c r="AL192" s="101">
        <v>0.0</v>
      </c>
      <c r="AM192" s="101">
        <v>1.2825E7</v>
      </c>
      <c r="AN192" s="101">
        <v>0.0</v>
      </c>
    </row>
    <row r="193" ht="12.75" customHeight="1">
      <c r="A193" s="50">
        <v>192.0</v>
      </c>
      <c r="B193" s="50" t="s">
        <v>8911</v>
      </c>
      <c r="C193" s="50" t="s">
        <v>100</v>
      </c>
      <c r="D193" s="50" t="s">
        <v>100</v>
      </c>
      <c r="E193" s="50" t="s">
        <v>8792</v>
      </c>
      <c r="F193" s="50" t="s">
        <v>770</v>
      </c>
      <c r="G193" s="50" t="s">
        <v>9035</v>
      </c>
      <c r="H193" s="966">
        <v>39083.0</v>
      </c>
      <c r="I193" s="50" t="s">
        <v>70</v>
      </c>
      <c r="J193" s="101">
        <v>1.2825E7</v>
      </c>
      <c r="K193" s="50">
        <v>0.0</v>
      </c>
      <c r="L193" s="50" t="s">
        <v>781</v>
      </c>
      <c r="M193" s="50"/>
      <c r="N193" s="50"/>
      <c r="O193" s="50" t="s">
        <v>37</v>
      </c>
      <c r="P193" s="50"/>
      <c r="Q193" s="50"/>
      <c r="R193" s="50" t="s">
        <v>772</v>
      </c>
      <c r="S193" s="50">
        <v>1.0</v>
      </c>
      <c r="T193" s="50">
        <v>7.0</v>
      </c>
      <c r="U193" s="50"/>
      <c r="V193" s="83" t="s">
        <v>1651</v>
      </c>
      <c r="W193" s="83" t="s">
        <v>1652</v>
      </c>
      <c r="X193" s="83" t="s">
        <v>1653</v>
      </c>
      <c r="Y193" s="83" t="s">
        <v>1654</v>
      </c>
      <c r="Z193" s="83" t="s">
        <v>777</v>
      </c>
      <c r="AA193" s="50"/>
      <c r="AB193" s="50" t="s">
        <v>963</v>
      </c>
      <c r="AC193" s="50"/>
      <c r="AD193" s="50"/>
      <c r="AE193" s="50" t="s">
        <v>8794</v>
      </c>
      <c r="AF193" s="50" t="s">
        <v>4470</v>
      </c>
      <c r="AG193" s="50"/>
      <c r="AH193" s="50"/>
      <c r="AI193" s="50"/>
      <c r="AJ193" s="50">
        <v>0.0</v>
      </c>
      <c r="AK193" s="101">
        <v>1.2825E7</v>
      </c>
      <c r="AL193" s="101">
        <v>0.0</v>
      </c>
      <c r="AM193" s="101">
        <v>1.2825E7</v>
      </c>
      <c r="AN193" s="101">
        <v>0.0</v>
      </c>
    </row>
    <row r="194" ht="12.75" customHeight="1">
      <c r="A194" s="50">
        <v>193.0</v>
      </c>
      <c r="B194" s="50" t="s">
        <v>8911</v>
      </c>
      <c r="C194" s="50" t="s">
        <v>100</v>
      </c>
      <c r="D194" s="50" t="s">
        <v>100</v>
      </c>
      <c r="E194" s="50" t="s">
        <v>8792</v>
      </c>
      <c r="F194" s="50" t="s">
        <v>770</v>
      </c>
      <c r="G194" s="50" t="s">
        <v>9036</v>
      </c>
      <c r="H194" s="966">
        <v>39083.0</v>
      </c>
      <c r="I194" s="50" t="s">
        <v>70</v>
      </c>
      <c r="J194" s="101">
        <v>1.2825E7</v>
      </c>
      <c r="K194" s="50">
        <v>0.0</v>
      </c>
      <c r="L194" s="50" t="s">
        <v>781</v>
      </c>
      <c r="M194" s="50"/>
      <c r="N194" s="50"/>
      <c r="O194" s="50" t="s">
        <v>37</v>
      </c>
      <c r="P194" s="50"/>
      <c r="Q194" s="50"/>
      <c r="R194" s="50" t="s">
        <v>772</v>
      </c>
      <c r="S194" s="50">
        <v>1.0</v>
      </c>
      <c r="T194" s="50">
        <v>7.0</v>
      </c>
      <c r="U194" s="50"/>
      <c r="V194" s="83" t="s">
        <v>1655</v>
      </c>
      <c r="W194" s="83" t="s">
        <v>1656</v>
      </c>
      <c r="X194" s="83" t="s">
        <v>1657</v>
      </c>
      <c r="Y194" s="83" t="s">
        <v>1658</v>
      </c>
      <c r="Z194" s="83" t="s">
        <v>777</v>
      </c>
      <c r="AA194" s="50"/>
      <c r="AB194" s="50" t="s">
        <v>1659</v>
      </c>
      <c r="AC194" s="50"/>
      <c r="AD194" s="50"/>
      <c r="AE194" s="50" t="s">
        <v>8794</v>
      </c>
      <c r="AF194" s="50" t="s">
        <v>4470</v>
      </c>
      <c r="AG194" s="50"/>
      <c r="AH194" s="50"/>
      <c r="AI194" s="50"/>
      <c r="AJ194" s="50">
        <v>0.0</v>
      </c>
      <c r="AK194" s="101">
        <v>1.2825E7</v>
      </c>
      <c r="AL194" s="101">
        <v>0.0</v>
      </c>
      <c r="AM194" s="101">
        <v>1.2825E7</v>
      </c>
      <c r="AN194" s="101">
        <v>0.0</v>
      </c>
    </row>
    <row r="195" ht="12.75" customHeight="1">
      <c r="A195" s="50">
        <v>194.0</v>
      </c>
      <c r="B195" s="50" t="s">
        <v>8911</v>
      </c>
      <c r="C195" s="50" t="s">
        <v>100</v>
      </c>
      <c r="D195" s="50" t="s">
        <v>100</v>
      </c>
      <c r="E195" s="50" t="s">
        <v>8792</v>
      </c>
      <c r="F195" s="50" t="s">
        <v>770</v>
      </c>
      <c r="G195" s="50" t="s">
        <v>9037</v>
      </c>
      <c r="H195" s="966">
        <v>39083.0</v>
      </c>
      <c r="I195" s="50" t="s">
        <v>70</v>
      </c>
      <c r="J195" s="101">
        <v>1.2825E7</v>
      </c>
      <c r="K195" s="50">
        <v>0.0</v>
      </c>
      <c r="L195" s="50" t="s">
        <v>781</v>
      </c>
      <c r="M195" s="50"/>
      <c r="N195" s="50"/>
      <c r="O195" s="50" t="s">
        <v>37</v>
      </c>
      <c r="P195" s="50"/>
      <c r="Q195" s="50"/>
      <c r="R195" s="50" t="s">
        <v>772</v>
      </c>
      <c r="S195" s="50">
        <v>1.0</v>
      </c>
      <c r="T195" s="50">
        <v>7.0</v>
      </c>
      <c r="U195" s="50"/>
      <c r="V195" s="83" t="s">
        <v>1660</v>
      </c>
      <c r="W195" s="83" t="s">
        <v>1661</v>
      </c>
      <c r="X195" s="83" t="s">
        <v>1662</v>
      </c>
      <c r="Y195" s="83" t="s">
        <v>1663</v>
      </c>
      <c r="Z195" s="83" t="s">
        <v>777</v>
      </c>
      <c r="AA195" s="50"/>
      <c r="AB195" s="50" t="s">
        <v>1373</v>
      </c>
      <c r="AC195" s="50"/>
      <c r="AD195" s="50"/>
      <c r="AE195" s="50" t="s">
        <v>8794</v>
      </c>
      <c r="AF195" s="50" t="s">
        <v>4470</v>
      </c>
      <c r="AG195" s="50"/>
      <c r="AH195" s="50"/>
      <c r="AI195" s="50"/>
      <c r="AJ195" s="50">
        <v>0.0</v>
      </c>
      <c r="AK195" s="101">
        <v>1.2825E7</v>
      </c>
      <c r="AL195" s="101">
        <v>0.0</v>
      </c>
      <c r="AM195" s="101">
        <v>1.2825E7</v>
      </c>
      <c r="AN195" s="101">
        <v>0.0</v>
      </c>
    </row>
    <row r="196" ht="12.75" customHeight="1">
      <c r="A196" s="50">
        <v>195.0</v>
      </c>
      <c r="B196" s="50" t="s">
        <v>8911</v>
      </c>
      <c r="C196" s="50" t="s">
        <v>100</v>
      </c>
      <c r="D196" s="50" t="s">
        <v>100</v>
      </c>
      <c r="E196" s="50" t="s">
        <v>8792</v>
      </c>
      <c r="F196" s="50" t="s">
        <v>770</v>
      </c>
      <c r="G196" s="50" t="s">
        <v>9038</v>
      </c>
      <c r="H196" s="966">
        <v>39448.0</v>
      </c>
      <c r="I196" s="50" t="s">
        <v>70</v>
      </c>
      <c r="J196" s="101">
        <v>1.3675E7</v>
      </c>
      <c r="K196" s="50">
        <v>0.0</v>
      </c>
      <c r="L196" s="50" t="s">
        <v>781</v>
      </c>
      <c r="M196" s="50"/>
      <c r="N196" s="50"/>
      <c r="O196" s="50" t="s">
        <v>391</v>
      </c>
      <c r="P196" s="50"/>
      <c r="Q196" s="50"/>
      <c r="R196" s="50" t="s">
        <v>772</v>
      </c>
      <c r="S196" s="50">
        <v>1.0</v>
      </c>
      <c r="T196" s="50">
        <v>7.0</v>
      </c>
      <c r="U196" s="50"/>
      <c r="V196" s="50" t="s">
        <v>1664</v>
      </c>
      <c r="W196" s="50" t="s">
        <v>1665</v>
      </c>
      <c r="X196" s="50" t="s">
        <v>1666</v>
      </c>
      <c r="Y196" s="50">
        <v>0.0</v>
      </c>
      <c r="Z196" s="50"/>
      <c r="AA196" s="50"/>
      <c r="AB196" s="50" t="s">
        <v>952</v>
      </c>
      <c r="AC196" s="50"/>
      <c r="AD196" s="50"/>
      <c r="AE196" s="50" t="s">
        <v>8794</v>
      </c>
      <c r="AF196" s="50" t="s">
        <v>4470</v>
      </c>
      <c r="AG196" s="50"/>
      <c r="AH196" s="50"/>
      <c r="AI196" s="50"/>
      <c r="AJ196" s="50">
        <v>0.0</v>
      </c>
      <c r="AK196" s="101">
        <v>1.3675E7</v>
      </c>
      <c r="AL196" s="101">
        <v>0.0</v>
      </c>
      <c r="AM196" s="101">
        <v>1.3675E7</v>
      </c>
      <c r="AN196" s="101">
        <v>0.0</v>
      </c>
    </row>
    <row r="197" ht="12.75" customHeight="1">
      <c r="A197" s="50">
        <v>196.0</v>
      </c>
      <c r="B197" s="50" t="s">
        <v>8911</v>
      </c>
      <c r="C197" s="50" t="s">
        <v>100</v>
      </c>
      <c r="D197" s="50" t="s">
        <v>100</v>
      </c>
      <c r="E197" s="50" t="s">
        <v>8792</v>
      </c>
      <c r="F197" s="50" t="s">
        <v>770</v>
      </c>
      <c r="G197" s="50" t="s">
        <v>9039</v>
      </c>
      <c r="H197" s="966">
        <v>39448.0</v>
      </c>
      <c r="I197" s="50" t="s">
        <v>70</v>
      </c>
      <c r="J197" s="101">
        <v>1.3675E7</v>
      </c>
      <c r="K197" s="50">
        <v>0.0</v>
      </c>
      <c r="L197" s="50" t="s">
        <v>781</v>
      </c>
      <c r="M197" s="50"/>
      <c r="N197" s="50"/>
      <c r="O197" s="50" t="s">
        <v>391</v>
      </c>
      <c r="P197" s="50"/>
      <c r="Q197" s="50"/>
      <c r="R197" s="50" t="s">
        <v>772</v>
      </c>
      <c r="S197" s="50">
        <v>1.0</v>
      </c>
      <c r="T197" s="50">
        <v>7.0</v>
      </c>
      <c r="U197" s="50"/>
      <c r="V197" s="83" t="s">
        <v>1668</v>
      </c>
      <c r="W197" s="83" t="s">
        <v>1669</v>
      </c>
      <c r="X197" s="83" t="s">
        <v>1670</v>
      </c>
      <c r="Y197" s="83" t="s">
        <v>1671</v>
      </c>
      <c r="Z197" s="83" t="s">
        <v>777</v>
      </c>
      <c r="AA197" s="50"/>
      <c r="AB197" s="50" t="s">
        <v>1250</v>
      </c>
      <c r="AC197" s="50"/>
      <c r="AD197" s="50"/>
      <c r="AE197" s="50" t="s">
        <v>8794</v>
      </c>
      <c r="AF197" s="50" t="s">
        <v>4470</v>
      </c>
      <c r="AG197" s="50"/>
      <c r="AH197" s="50"/>
      <c r="AI197" s="50"/>
      <c r="AJ197" s="50">
        <v>0.0</v>
      </c>
      <c r="AK197" s="101">
        <v>1.3675E7</v>
      </c>
      <c r="AL197" s="101">
        <v>0.0</v>
      </c>
      <c r="AM197" s="101">
        <v>1.3675E7</v>
      </c>
      <c r="AN197" s="101">
        <v>0.0</v>
      </c>
    </row>
    <row r="198" ht="12.75" customHeight="1">
      <c r="A198" s="50">
        <v>197.0</v>
      </c>
      <c r="B198" s="50" t="s">
        <v>8911</v>
      </c>
      <c r="C198" s="50" t="s">
        <v>100</v>
      </c>
      <c r="D198" s="50" t="s">
        <v>100</v>
      </c>
      <c r="E198" s="50" t="s">
        <v>8792</v>
      </c>
      <c r="F198" s="50" t="s">
        <v>770</v>
      </c>
      <c r="G198" s="50" t="s">
        <v>9040</v>
      </c>
      <c r="H198" s="966">
        <v>39448.0</v>
      </c>
      <c r="I198" s="50" t="s">
        <v>70</v>
      </c>
      <c r="J198" s="101">
        <v>1.3675E7</v>
      </c>
      <c r="K198" s="50">
        <v>0.0</v>
      </c>
      <c r="L198" s="50" t="s">
        <v>781</v>
      </c>
      <c r="M198" s="50"/>
      <c r="N198" s="50"/>
      <c r="O198" s="50" t="s">
        <v>391</v>
      </c>
      <c r="P198" s="50"/>
      <c r="Q198" s="50"/>
      <c r="R198" s="50" t="s">
        <v>772</v>
      </c>
      <c r="S198" s="50">
        <v>1.0</v>
      </c>
      <c r="T198" s="50">
        <v>7.0</v>
      </c>
      <c r="U198" s="50"/>
      <c r="V198" s="83" t="s">
        <v>1672</v>
      </c>
      <c r="W198" s="83" t="s">
        <v>1673</v>
      </c>
      <c r="X198" s="83" t="s">
        <v>1674</v>
      </c>
      <c r="Y198" s="83" t="s">
        <v>1675</v>
      </c>
      <c r="Z198" s="83" t="s">
        <v>777</v>
      </c>
      <c r="AA198" s="50"/>
      <c r="AB198" s="50" t="s">
        <v>952</v>
      </c>
      <c r="AC198" s="50"/>
      <c r="AD198" s="50"/>
      <c r="AE198" s="50" t="s">
        <v>8794</v>
      </c>
      <c r="AF198" s="50" t="s">
        <v>4470</v>
      </c>
      <c r="AG198" s="50"/>
      <c r="AH198" s="50"/>
      <c r="AI198" s="50"/>
      <c r="AJ198" s="50">
        <v>0.0</v>
      </c>
      <c r="AK198" s="101">
        <v>1.3675E7</v>
      </c>
      <c r="AL198" s="101">
        <v>0.0</v>
      </c>
      <c r="AM198" s="101">
        <v>1.3675E7</v>
      </c>
      <c r="AN198" s="101">
        <v>0.0</v>
      </c>
    </row>
    <row r="199" ht="12.75" customHeight="1">
      <c r="A199" s="50">
        <v>198.0</v>
      </c>
      <c r="B199" s="50" t="s">
        <v>8911</v>
      </c>
      <c r="C199" s="50" t="s">
        <v>100</v>
      </c>
      <c r="D199" s="50" t="s">
        <v>100</v>
      </c>
      <c r="E199" s="50" t="s">
        <v>8792</v>
      </c>
      <c r="F199" s="50" t="s">
        <v>770</v>
      </c>
      <c r="G199" s="50" t="s">
        <v>9041</v>
      </c>
      <c r="H199" s="966">
        <v>39448.0</v>
      </c>
      <c r="I199" s="50" t="s">
        <v>70</v>
      </c>
      <c r="J199" s="101">
        <v>1.3675E7</v>
      </c>
      <c r="K199" s="50">
        <v>0.0</v>
      </c>
      <c r="L199" s="50" t="s">
        <v>781</v>
      </c>
      <c r="M199" s="50"/>
      <c r="N199" s="50"/>
      <c r="O199" s="50" t="s">
        <v>391</v>
      </c>
      <c r="P199" s="50"/>
      <c r="Q199" s="50"/>
      <c r="R199" s="50" t="s">
        <v>772</v>
      </c>
      <c r="S199" s="50">
        <v>1.0</v>
      </c>
      <c r="T199" s="50">
        <v>7.0</v>
      </c>
      <c r="U199" s="50"/>
      <c r="V199" s="83" t="s">
        <v>1676</v>
      </c>
      <c r="W199" s="83" t="s">
        <v>1677</v>
      </c>
      <c r="X199" s="83" t="s">
        <v>1678</v>
      </c>
      <c r="Y199" s="83" t="s">
        <v>1679</v>
      </c>
      <c r="Z199" s="83" t="s">
        <v>777</v>
      </c>
      <c r="AA199" s="50"/>
      <c r="AB199" s="50" t="s">
        <v>1384</v>
      </c>
      <c r="AC199" s="50"/>
      <c r="AD199" s="50"/>
      <c r="AE199" s="50" t="s">
        <v>8794</v>
      </c>
      <c r="AF199" s="50" t="s">
        <v>4470</v>
      </c>
      <c r="AG199" s="50"/>
      <c r="AH199" s="50"/>
      <c r="AI199" s="50"/>
      <c r="AJ199" s="50">
        <v>0.0</v>
      </c>
      <c r="AK199" s="101">
        <v>1.3675E7</v>
      </c>
      <c r="AL199" s="101">
        <v>0.0</v>
      </c>
      <c r="AM199" s="101">
        <v>1.3675E7</v>
      </c>
      <c r="AN199" s="101">
        <v>0.0</v>
      </c>
    </row>
    <row r="200" ht="12.75" customHeight="1">
      <c r="A200" s="50">
        <v>199.0</v>
      </c>
      <c r="B200" s="50" t="s">
        <v>8911</v>
      </c>
      <c r="C200" s="50" t="s">
        <v>100</v>
      </c>
      <c r="D200" s="50" t="s">
        <v>100</v>
      </c>
      <c r="E200" s="50" t="s">
        <v>8792</v>
      </c>
      <c r="F200" s="50" t="s">
        <v>770</v>
      </c>
      <c r="G200" s="50" t="s">
        <v>9042</v>
      </c>
      <c r="H200" s="966">
        <v>39448.0</v>
      </c>
      <c r="I200" s="50" t="s">
        <v>70</v>
      </c>
      <c r="J200" s="101">
        <v>1.3675E7</v>
      </c>
      <c r="K200" s="50">
        <v>0.0</v>
      </c>
      <c r="L200" s="50" t="s">
        <v>781</v>
      </c>
      <c r="M200" s="50"/>
      <c r="N200" s="50"/>
      <c r="O200" s="50" t="s">
        <v>391</v>
      </c>
      <c r="P200" s="50"/>
      <c r="Q200" s="50"/>
      <c r="R200" s="50" t="s">
        <v>772</v>
      </c>
      <c r="S200" s="50">
        <v>1.0</v>
      </c>
      <c r="T200" s="50">
        <v>7.0</v>
      </c>
      <c r="U200" s="50"/>
      <c r="V200" s="83" t="s">
        <v>1680</v>
      </c>
      <c r="W200" s="83" t="s">
        <v>1681</v>
      </c>
      <c r="X200" s="83" t="s">
        <v>1682</v>
      </c>
      <c r="Y200" s="83" t="s">
        <v>1683</v>
      </c>
      <c r="Z200" s="83" t="s">
        <v>777</v>
      </c>
      <c r="AA200" s="50"/>
      <c r="AB200" s="50" t="s">
        <v>952</v>
      </c>
      <c r="AC200" s="50"/>
      <c r="AD200" s="50"/>
      <c r="AE200" s="50" t="s">
        <v>8794</v>
      </c>
      <c r="AF200" s="50" t="s">
        <v>4470</v>
      </c>
      <c r="AG200" s="50"/>
      <c r="AH200" s="50"/>
      <c r="AI200" s="50"/>
      <c r="AJ200" s="50">
        <v>0.0</v>
      </c>
      <c r="AK200" s="101">
        <v>1.3675E7</v>
      </c>
      <c r="AL200" s="101">
        <v>0.0</v>
      </c>
      <c r="AM200" s="101">
        <v>1.3675E7</v>
      </c>
      <c r="AN200" s="101">
        <v>0.0</v>
      </c>
    </row>
    <row r="201" ht="12.75" customHeight="1">
      <c r="A201" s="50">
        <v>200.0</v>
      </c>
      <c r="B201" s="50" t="s">
        <v>8911</v>
      </c>
      <c r="C201" s="50" t="s">
        <v>100</v>
      </c>
      <c r="D201" s="50" t="s">
        <v>100</v>
      </c>
      <c r="E201" s="50" t="s">
        <v>8792</v>
      </c>
      <c r="F201" s="50" t="s">
        <v>770</v>
      </c>
      <c r="G201" s="50" t="s">
        <v>9043</v>
      </c>
      <c r="H201" s="966">
        <v>39448.0</v>
      </c>
      <c r="I201" s="50" t="s">
        <v>70</v>
      </c>
      <c r="J201" s="101">
        <v>1.3675E7</v>
      </c>
      <c r="K201" s="50">
        <v>0.0</v>
      </c>
      <c r="L201" s="50" t="s">
        <v>781</v>
      </c>
      <c r="M201" s="50"/>
      <c r="N201" s="50"/>
      <c r="O201" s="50" t="s">
        <v>391</v>
      </c>
      <c r="P201" s="50"/>
      <c r="Q201" s="50"/>
      <c r="R201" s="50" t="s">
        <v>772</v>
      </c>
      <c r="S201" s="50">
        <v>1.0</v>
      </c>
      <c r="T201" s="50">
        <v>7.0</v>
      </c>
      <c r="U201" s="50"/>
      <c r="V201" s="83" t="s">
        <v>1684</v>
      </c>
      <c r="W201" s="83" t="s">
        <v>1685</v>
      </c>
      <c r="X201" s="83" t="s">
        <v>1686</v>
      </c>
      <c r="Y201" s="83" t="s">
        <v>1687</v>
      </c>
      <c r="Z201" s="83" t="s">
        <v>777</v>
      </c>
      <c r="AA201" s="50"/>
      <c r="AB201" s="50" t="s">
        <v>8950</v>
      </c>
      <c r="AC201" s="50"/>
      <c r="AD201" s="50"/>
      <c r="AE201" s="50" t="s">
        <v>8794</v>
      </c>
      <c r="AF201" s="50" t="s">
        <v>4470</v>
      </c>
      <c r="AG201" s="50"/>
      <c r="AH201" s="50"/>
      <c r="AI201" s="50"/>
      <c r="AJ201" s="50">
        <v>0.0</v>
      </c>
      <c r="AK201" s="101">
        <v>1.3675E7</v>
      </c>
      <c r="AL201" s="101">
        <v>0.0</v>
      </c>
      <c r="AM201" s="101">
        <v>1.3675E7</v>
      </c>
      <c r="AN201" s="101">
        <v>0.0</v>
      </c>
    </row>
    <row r="202" ht="12.75" customHeight="1">
      <c r="A202" s="50">
        <v>201.0</v>
      </c>
      <c r="B202" s="50" t="s">
        <v>8911</v>
      </c>
      <c r="C202" s="50" t="s">
        <v>100</v>
      </c>
      <c r="D202" s="50" t="s">
        <v>100</v>
      </c>
      <c r="E202" s="50" t="s">
        <v>8792</v>
      </c>
      <c r="F202" s="50" t="s">
        <v>770</v>
      </c>
      <c r="G202" s="50" t="s">
        <v>9044</v>
      </c>
      <c r="H202" s="966">
        <v>39448.0</v>
      </c>
      <c r="I202" s="50" t="s">
        <v>70</v>
      </c>
      <c r="J202" s="101">
        <v>1.3675E7</v>
      </c>
      <c r="K202" s="50">
        <v>0.0</v>
      </c>
      <c r="L202" s="50" t="s">
        <v>781</v>
      </c>
      <c r="M202" s="50"/>
      <c r="N202" s="50"/>
      <c r="O202" s="50" t="s">
        <v>391</v>
      </c>
      <c r="P202" s="50"/>
      <c r="Q202" s="50"/>
      <c r="R202" s="50" t="s">
        <v>772</v>
      </c>
      <c r="S202" s="50">
        <v>1.0</v>
      </c>
      <c r="T202" s="50">
        <v>7.0</v>
      </c>
      <c r="U202" s="50"/>
      <c r="V202" s="83" t="s">
        <v>1688</v>
      </c>
      <c r="W202" s="83" t="s">
        <v>1689</v>
      </c>
      <c r="X202" s="83" t="s">
        <v>1690</v>
      </c>
      <c r="Y202" s="83" t="s">
        <v>1691</v>
      </c>
      <c r="Z202" s="83" t="s">
        <v>777</v>
      </c>
      <c r="AA202" s="50"/>
      <c r="AB202" s="50" t="s">
        <v>952</v>
      </c>
      <c r="AC202" s="50"/>
      <c r="AD202" s="50"/>
      <c r="AE202" s="50" t="s">
        <v>8794</v>
      </c>
      <c r="AF202" s="50" t="s">
        <v>4470</v>
      </c>
      <c r="AG202" s="50"/>
      <c r="AH202" s="50"/>
      <c r="AI202" s="50"/>
      <c r="AJ202" s="50">
        <v>0.0</v>
      </c>
      <c r="AK202" s="101">
        <v>1.3675E7</v>
      </c>
      <c r="AL202" s="101">
        <v>0.0</v>
      </c>
      <c r="AM202" s="101">
        <v>1.3675E7</v>
      </c>
      <c r="AN202" s="101">
        <v>0.0</v>
      </c>
    </row>
    <row r="203" ht="12.75" customHeight="1">
      <c r="A203" s="50">
        <v>202.0</v>
      </c>
      <c r="B203" s="50" t="s">
        <v>8911</v>
      </c>
      <c r="C203" s="50" t="s">
        <v>100</v>
      </c>
      <c r="D203" s="50" t="s">
        <v>100</v>
      </c>
      <c r="E203" s="50" t="s">
        <v>8792</v>
      </c>
      <c r="F203" s="50" t="s">
        <v>770</v>
      </c>
      <c r="G203" s="50" t="s">
        <v>9045</v>
      </c>
      <c r="H203" s="966">
        <v>39448.0</v>
      </c>
      <c r="I203" s="50" t="s">
        <v>70</v>
      </c>
      <c r="J203" s="101">
        <v>1.3675E7</v>
      </c>
      <c r="K203" s="50">
        <v>0.0</v>
      </c>
      <c r="L203" s="50" t="s">
        <v>781</v>
      </c>
      <c r="M203" s="50"/>
      <c r="N203" s="50"/>
      <c r="O203" s="50" t="s">
        <v>391</v>
      </c>
      <c r="P203" s="50"/>
      <c r="Q203" s="50"/>
      <c r="R203" s="50" t="s">
        <v>772</v>
      </c>
      <c r="S203" s="50">
        <v>1.0</v>
      </c>
      <c r="T203" s="50">
        <v>7.0</v>
      </c>
      <c r="U203" s="50"/>
      <c r="V203" s="83" t="s">
        <v>1692</v>
      </c>
      <c r="W203" s="83" t="s">
        <v>1693</v>
      </c>
      <c r="X203" s="83" t="s">
        <v>1694</v>
      </c>
      <c r="Y203" s="83" t="s">
        <v>1695</v>
      </c>
      <c r="Z203" s="83" t="s">
        <v>777</v>
      </c>
      <c r="AA203" s="50"/>
      <c r="AB203" s="50" t="s">
        <v>1696</v>
      </c>
      <c r="AC203" s="50"/>
      <c r="AD203" s="50"/>
      <c r="AE203" s="50" t="s">
        <v>8794</v>
      </c>
      <c r="AF203" s="50" t="s">
        <v>4470</v>
      </c>
      <c r="AG203" s="50"/>
      <c r="AH203" s="50"/>
      <c r="AI203" s="50"/>
      <c r="AJ203" s="50">
        <v>0.0</v>
      </c>
      <c r="AK203" s="101">
        <v>1.3675E7</v>
      </c>
      <c r="AL203" s="101">
        <v>0.0</v>
      </c>
      <c r="AM203" s="101">
        <v>1.3675E7</v>
      </c>
      <c r="AN203" s="101">
        <v>0.0</v>
      </c>
    </row>
    <row r="204" ht="12.75" customHeight="1">
      <c r="A204" s="50">
        <v>203.0</v>
      </c>
      <c r="B204" s="50" t="s">
        <v>8911</v>
      </c>
      <c r="C204" s="50" t="s">
        <v>100</v>
      </c>
      <c r="D204" s="50" t="s">
        <v>1697</v>
      </c>
      <c r="E204" s="50" t="s">
        <v>8792</v>
      </c>
      <c r="F204" s="50" t="s">
        <v>770</v>
      </c>
      <c r="G204" s="50" t="s">
        <v>9046</v>
      </c>
      <c r="H204" s="966">
        <v>39814.0</v>
      </c>
      <c r="I204" s="50" t="s">
        <v>70</v>
      </c>
      <c r="J204" s="101">
        <v>1.385E7</v>
      </c>
      <c r="K204" s="50">
        <v>0.0</v>
      </c>
      <c r="L204" s="50" t="s">
        <v>781</v>
      </c>
      <c r="M204" s="50"/>
      <c r="N204" s="50"/>
      <c r="O204" s="50" t="s">
        <v>84</v>
      </c>
      <c r="P204" s="50"/>
      <c r="Q204" s="50"/>
      <c r="R204" s="50" t="s">
        <v>772</v>
      </c>
      <c r="S204" s="50">
        <v>1.0</v>
      </c>
      <c r="T204" s="50">
        <v>7.0</v>
      </c>
      <c r="U204" s="50"/>
      <c r="V204" s="83" t="s">
        <v>1698</v>
      </c>
      <c r="W204" s="83" t="s">
        <v>1699</v>
      </c>
      <c r="X204" s="83" t="s">
        <v>1700</v>
      </c>
      <c r="Y204" s="83" t="s">
        <v>1701</v>
      </c>
      <c r="Z204" s="83" t="s">
        <v>777</v>
      </c>
      <c r="AA204" s="50"/>
      <c r="AB204" s="50" t="s">
        <v>8960</v>
      </c>
      <c r="AC204" s="50"/>
      <c r="AD204" s="50"/>
      <c r="AE204" s="50" t="s">
        <v>8794</v>
      </c>
      <c r="AF204" s="50" t="s">
        <v>4470</v>
      </c>
      <c r="AG204" s="50"/>
      <c r="AH204" s="50"/>
      <c r="AI204" s="50"/>
      <c r="AJ204" s="50">
        <v>0.0</v>
      </c>
      <c r="AK204" s="101">
        <v>1.385E7</v>
      </c>
      <c r="AL204" s="101">
        <v>0.0</v>
      </c>
      <c r="AM204" s="101">
        <v>1.385E7</v>
      </c>
      <c r="AN204" s="101">
        <v>0.0</v>
      </c>
    </row>
    <row r="205" ht="12.75" customHeight="1">
      <c r="A205" s="50">
        <v>204.0</v>
      </c>
      <c r="B205" s="50" t="s">
        <v>8911</v>
      </c>
      <c r="C205" s="50" t="s">
        <v>100</v>
      </c>
      <c r="D205" s="50" t="s">
        <v>1697</v>
      </c>
      <c r="E205" s="50" t="s">
        <v>8792</v>
      </c>
      <c r="F205" s="50" t="s">
        <v>770</v>
      </c>
      <c r="G205" s="50" t="s">
        <v>9047</v>
      </c>
      <c r="H205" s="966">
        <v>39814.0</v>
      </c>
      <c r="I205" s="50" t="s">
        <v>70</v>
      </c>
      <c r="J205" s="101">
        <v>1.385E7</v>
      </c>
      <c r="K205" s="50">
        <v>0.0</v>
      </c>
      <c r="L205" s="50" t="s">
        <v>781</v>
      </c>
      <c r="M205" s="50"/>
      <c r="N205" s="50"/>
      <c r="O205" s="50" t="s">
        <v>84</v>
      </c>
      <c r="P205" s="50"/>
      <c r="Q205" s="50"/>
      <c r="R205" s="50" t="s">
        <v>772</v>
      </c>
      <c r="S205" s="50">
        <v>1.0</v>
      </c>
      <c r="T205" s="50">
        <v>7.0</v>
      </c>
      <c r="U205" s="50"/>
      <c r="V205" s="83" t="s">
        <v>1702</v>
      </c>
      <c r="W205" s="83" t="s">
        <v>1703</v>
      </c>
      <c r="X205" s="83" t="s">
        <v>1704</v>
      </c>
      <c r="Y205" s="83" t="s">
        <v>1705</v>
      </c>
      <c r="Z205" s="83" t="s">
        <v>777</v>
      </c>
      <c r="AA205" s="50"/>
      <c r="AB205" s="50"/>
      <c r="AC205" s="50"/>
      <c r="AD205" s="50"/>
      <c r="AE205" s="50" t="s">
        <v>8794</v>
      </c>
      <c r="AF205" s="50" t="s">
        <v>4470</v>
      </c>
      <c r="AG205" s="50"/>
      <c r="AH205" s="50"/>
      <c r="AI205" s="50"/>
      <c r="AJ205" s="50">
        <v>0.0</v>
      </c>
      <c r="AK205" s="101">
        <v>1.385E7</v>
      </c>
      <c r="AL205" s="101">
        <v>0.0</v>
      </c>
      <c r="AM205" s="101">
        <v>1.385E7</v>
      </c>
      <c r="AN205" s="101">
        <v>0.0</v>
      </c>
    </row>
    <row r="206" ht="12.75" customHeight="1">
      <c r="A206" s="50">
        <v>205.0</v>
      </c>
      <c r="B206" s="50" t="s">
        <v>8911</v>
      </c>
      <c r="C206" s="50" t="s">
        <v>100</v>
      </c>
      <c r="D206" s="50" t="s">
        <v>1697</v>
      </c>
      <c r="E206" s="50" t="s">
        <v>8792</v>
      </c>
      <c r="F206" s="50" t="s">
        <v>770</v>
      </c>
      <c r="G206" s="50" t="s">
        <v>9048</v>
      </c>
      <c r="H206" s="966">
        <v>39814.0</v>
      </c>
      <c r="I206" s="50" t="s">
        <v>70</v>
      </c>
      <c r="J206" s="101">
        <v>1.385E7</v>
      </c>
      <c r="K206" s="50">
        <v>0.0</v>
      </c>
      <c r="L206" s="50" t="s">
        <v>781</v>
      </c>
      <c r="M206" s="50"/>
      <c r="N206" s="50"/>
      <c r="O206" s="50" t="s">
        <v>84</v>
      </c>
      <c r="P206" s="50"/>
      <c r="Q206" s="50"/>
      <c r="R206" s="50" t="s">
        <v>772</v>
      </c>
      <c r="S206" s="50">
        <v>1.0</v>
      </c>
      <c r="T206" s="50">
        <v>7.0</v>
      </c>
      <c r="U206" s="50"/>
      <c r="V206" s="50" t="s">
        <v>9049</v>
      </c>
      <c r="W206" s="50" t="s">
        <v>1708</v>
      </c>
      <c r="X206" s="50" t="s">
        <v>1709</v>
      </c>
      <c r="Y206" s="50">
        <v>0.0</v>
      </c>
      <c r="Z206" s="50"/>
      <c r="AA206" s="50"/>
      <c r="AB206" s="50" t="s">
        <v>1239</v>
      </c>
      <c r="AC206" s="50"/>
      <c r="AD206" s="50"/>
      <c r="AE206" s="50" t="s">
        <v>8794</v>
      </c>
      <c r="AF206" s="50" t="s">
        <v>4470</v>
      </c>
      <c r="AG206" s="50"/>
      <c r="AH206" s="50"/>
      <c r="AI206" s="50"/>
      <c r="AJ206" s="50">
        <v>0.0</v>
      </c>
      <c r="AK206" s="101">
        <v>1.385E7</v>
      </c>
      <c r="AL206" s="101">
        <v>0.0</v>
      </c>
      <c r="AM206" s="101">
        <v>1.385E7</v>
      </c>
      <c r="AN206" s="101">
        <v>0.0</v>
      </c>
    </row>
    <row r="207" ht="12.75" customHeight="1">
      <c r="A207" s="50">
        <v>206.0</v>
      </c>
      <c r="B207" s="50" t="s">
        <v>8911</v>
      </c>
      <c r="C207" s="50" t="s">
        <v>100</v>
      </c>
      <c r="D207" s="50" t="s">
        <v>1697</v>
      </c>
      <c r="E207" s="50" t="s">
        <v>8792</v>
      </c>
      <c r="F207" s="50" t="s">
        <v>770</v>
      </c>
      <c r="G207" s="50" t="s">
        <v>9050</v>
      </c>
      <c r="H207" s="966">
        <v>39814.0</v>
      </c>
      <c r="I207" s="50" t="s">
        <v>70</v>
      </c>
      <c r="J207" s="101">
        <v>1.385E7</v>
      </c>
      <c r="K207" s="50">
        <v>0.0</v>
      </c>
      <c r="L207" s="50" t="s">
        <v>781</v>
      </c>
      <c r="M207" s="50"/>
      <c r="N207" s="50"/>
      <c r="O207" s="50" t="s">
        <v>84</v>
      </c>
      <c r="P207" s="50"/>
      <c r="Q207" s="50"/>
      <c r="R207" s="50" t="s">
        <v>772</v>
      </c>
      <c r="S207" s="50">
        <v>1.0</v>
      </c>
      <c r="T207" s="50">
        <v>7.0</v>
      </c>
      <c r="U207" s="50"/>
      <c r="V207" s="83" t="s">
        <v>1711</v>
      </c>
      <c r="W207" s="83" t="s">
        <v>1712</v>
      </c>
      <c r="X207" s="83" t="s">
        <v>1713</v>
      </c>
      <c r="Y207" s="83" t="s">
        <v>1714</v>
      </c>
      <c r="Z207" s="83" t="s">
        <v>777</v>
      </c>
      <c r="AA207" s="50"/>
      <c r="AB207" s="50" t="s">
        <v>952</v>
      </c>
      <c r="AC207" s="50"/>
      <c r="AD207" s="50"/>
      <c r="AE207" s="50" t="s">
        <v>8794</v>
      </c>
      <c r="AF207" s="50" t="s">
        <v>4470</v>
      </c>
      <c r="AG207" s="50"/>
      <c r="AH207" s="50"/>
      <c r="AI207" s="50"/>
      <c r="AJ207" s="50">
        <v>0.0</v>
      </c>
      <c r="AK207" s="101">
        <v>1.385E7</v>
      </c>
      <c r="AL207" s="101">
        <v>0.0</v>
      </c>
      <c r="AM207" s="101">
        <v>1.385E7</v>
      </c>
      <c r="AN207" s="101">
        <v>0.0</v>
      </c>
    </row>
    <row r="208" ht="12.75" customHeight="1">
      <c r="A208" s="50">
        <v>207.0</v>
      </c>
      <c r="B208" s="50" t="s">
        <v>8911</v>
      </c>
      <c r="C208" s="50" t="s">
        <v>100</v>
      </c>
      <c r="D208" s="50" t="s">
        <v>1697</v>
      </c>
      <c r="E208" s="50" t="s">
        <v>8792</v>
      </c>
      <c r="F208" s="50" t="s">
        <v>770</v>
      </c>
      <c r="G208" s="50" t="s">
        <v>9051</v>
      </c>
      <c r="H208" s="966">
        <v>39814.0</v>
      </c>
      <c r="I208" s="50" t="s">
        <v>70</v>
      </c>
      <c r="J208" s="101">
        <v>1.385E7</v>
      </c>
      <c r="K208" s="50">
        <v>0.0</v>
      </c>
      <c r="L208" s="50" t="s">
        <v>781</v>
      </c>
      <c r="M208" s="50"/>
      <c r="N208" s="50"/>
      <c r="O208" s="50" t="s">
        <v>84</v>
      </c>
      <c r="P208" s="50"/>
      <c r="Q208" s="50"/>
      <c r="R208" s="50" t="s">
        <v>772</v>
      </c>
      <c r="S208" s="50">
        <v>1.0</v>
      </c>
      <c r="T208" s="50">
        <v>7.0</v>
      </c>
      <c r="U208" s="50"/>
      <c r="V208" s="83" t="s">
        <v>1715</v>
      </c>
      <c r="W208" s="83" t="s">
        <v>1716</v>
      </c>
      <c r="X208" s="83" t="s">
        <v>1717</v>
      </c>
      <c r="Y208" s="83" t="s">
        <v>1718</v>
      </c>
      <c r="Z208" s="83" t="s">
        <v>777</v>
      </c>
      <c r="AA208" s="50"/>
      <c r="AB208" s="50" t="s">
        <v>1625</v>
      </c>
      <c r="AC208" s="50"/>
      <c r="AD208" s="50"/>
      <c r="AE208" s="50" t="s">
        <v>8794</v>
      </c>
      <c r="AF208" s="50" t="s">
        <v>4470</v>
      </c>
      <c r="AG208" s="50"/>
      <c r="AH208" s="50"/>
      <c r="AI208" s="50"/>
      <c r="AJ208" s="50">
        <v>0.0</v>
      </c>
      <c r="AK208" s="101">
        <v>1.385E7</v>
      </c>
      <c r="AL208" s="101">
        <v>0.0</v>
      </c>
      <c r="AM208" s="101">
        <v>1.385E7</v>
      </c>
      <c r="AN208" s="101">
        <v>0.0</v>
      </c>
    </row>
    <row r="209" ht="12.75" customHeight="1">
      <c r="A209" s="50">
        <v>208.0</v>
      </c>
      <c r="B209" s="50" t="s">
        <v>8911</v>
      </c>
      <c r="C209" s="50" t="s">
        <v>100</v>
      </c>
      <c r="D209" s="50" t="s">
        <v>100</v>
      </c>
      <c r="E209" s="50" t="s">
        <v>8792</v>
      </c>
      <c r="F209" s="50" t="s">
        <v>770</v>
      </c>
      <c r="G209" s="50" t="s">
        <v>9052</v>
      </c>
      <c r="H209" s="966">
        <v>40909.0</v>
      </c>
      <c r="I209" s="50" t="s">
        <v>70</v>
      </c>
      <c r="J209" s="101">
        <v>1.4304E7</v>
      </c>
      <c r="K209" s="50">
        <v>0.0</v>
      </c>
      <c r="L209" s="50" t="s">
        <v>771</v>
      </c>
      <c r="M209" s="50"/>
      <c r="N209" s="50"/>
      <c r="O209" s="50" t="s">
        <v>44</v>
      </c>
      <c r="P209" s="50"/>
      <c r="Q209" s="50"/>
      <c r="R209" s="50" t="s">
        <v>772</v>
      </c>
      <c r="S209" s="50">
        <v>1.0</v>
      </c>
      <c r="T209" s="50">
        <v>7.0</v>
      </c>
      <c r="U209" s="50"/>
      <c r="V209" s="83" t="s">
        <v>1720</v>
      </c>
      <c r="W209" s="83" t="s">
        <v>1721</v>
      </c>
      <c r="X209" s="83" t="s">
        <v>1722</v>
      </c>
      <c r="Y209" s="83" t="s">
        <v>1723</v>
      </c>
      <c r="Z209" s="83" t="s">
        <v>777</v>
      </c>
      <c r="AA209" s="50"/>
      <c r="AB209" s="50"/>
      <c r="AC209" s="50"/>
      <c r="AD209" s="50"/>
      <c r="AE209" s="50" t="s">
        <v>8794</v>
      </c>
      <c r="AF209" s="50" t="s">
        <v>4470</v>
      </c>
      <c r="AG209" s="50"/>
      <c r="AH209" s="50"/>
      <c r="AI209" s="50"/>
      <c r="AJ209" s="50">
        <v>0.0</v>
      </c>
      <c r="AK209" s="101">
        <v>1.4304E7</v>
      </c>
      <c r="AL209" s="101">
        <v>0.0</v>
      </c>
      <c r="AM209" s="101">
        <v>1.4304E7</v>
      </c>
      <c r="AN209" s="101">
        <v>0.0</v>
      </c>
    </row>
    <row r="210" ht="12.75" customHeight="1">
      <c r="A210" s="50">
        <v>209.0</v>
      </c>
      <c r="B210" s="50" t="s">
        <v>8911</v>
      </c>
      <c r="C210" s="50" t="s">
        <v>100</v>
      </c>
      <c r="D210" s="50" t="s">
        <v>100</v>
      </c>
      <c r="E210" s="50" t="s">
        <v>8792</v>
      </c>
      <c r="F210" s="50" t="s">
        <v>770</v>
      </c>
      <c r="G210" s="50" t="s">
        <v>9053</v>
      </c>
      <c r="H210" s="966">
        <v>40909.0</v>
      </c>
      <c r="I210" s="50" t="s">
        <v>70</v>
      </c>
      <c r="J210" s="101">
        <v>1.4304E7</v>
      </c>
      <c r="K210" s="50">
        <v>0.0</v>
      </c>
      <c r="L210" s="50" t="s">
        <v>771</v>
      </c>
      <c r="M210" s="50"/>
      <c r="N210" s="50"/>
      <c r="O210" s="50" t="s">
        <v>44</v>
      </c>
      <c r="P210" s="50"/>
      <c r="Q210" s="50"/>
      <c r="R210" s="50" t="s">
        <v>772</v>
      </c>
      <c r="S210" s="50">
        <v>1.0</v>
      </c>
      <c r="T210" s="50">
        <v>7.0</v>
      </c>
      <c r="U210" s="50"/>
      <c r="V210" s="83" t="s">
        <v>1724</v>
      </c>
      <c r="W210" s="83" t="s">
        <v>1725</v>
      </c>
      <c r="X210" s="83" t="s">
        <v>1726</v>
      </c>
      <c r="Y210" s="83" t="s">
        <v>1727</v>
      </c>
      <c r="Z210" s="83" t="s">
        <v>777</v>
      </c>
      <c r="AA210" s="50"/>
      <c r="AB210" s="50"/>
      <c r="AC210" s="50"/>
      <c r="AD210" s="50"/>
      <c r="AE210" s="50" t="s">
        <v>8794</v>
      </c>
      <c r="AF210" s="50" t="s">
        <v>4470</v>
      </c>
      <c r="AG210" s="50"/>
      <c r="AH210" s="50"/>
      <c r="AI210" s="50"/>
      <c r="AJ210" s="50">
        <v>0.0</v>
      </c>
      <c r="AK210" s="101">
        <v>1.4304E7</v>
      </c>
      <c r="AL210" s="101">
        <v>0.0</v>
      </c>
      <c r="AM210" s="101">
        <v>1.4304E7</v>
      </c>
      <c r="AN210" s="101">
        <v>0.0</v>
      </c>
    </row>
    <row r="211" ht="12.75" customHeight="1">
      <c r="A211" s="50">
        <v>210.0</v>
      </c>
      <c r="B211" s="50" t="s">
        <v>8911</v>
      </c>
      <c r="C211" s="50" t="s">
        <v>100</v>
      </c>
      <c r="D211" s="50" t="s">
        <v>100</v>
      </c>
      <c r="E211" s="50" t="s">
        <v>8792</v>
      </c>
      <c r="F211" s="50" t="s">
        <v>770</v>
      </c>
      <c r="G211" s="50" t="s">
        <v>9054</v>
      </c>
      <c r="H211" s="966">
        <v>41275.0</v>
      </c>
      <c r="I211" s="50" t="s">
        <v>70</v>
      </c>
      <c r="J211" s="101">
        <v>1.29E7</v>
      </c>
      <c r="K211" s="50">
        <v>0.0</v>
      </c>
      <c r="L211" s="50" t="s">
        <v>781</v>
      </c>
      <c r="M211" s="50"/>
      <c r="N211" s="50"/>
      <c r="O211" s="50" t="s">
        <v>92</v>
      </c>
      <c r="P211" s="50"/>
      <c r="Q211" s="50"/>
      <c r="R211" s="50" t="s">
        <v>772</v>
      </c>
      <c r="S211" s="50">
        <v>1.0</v>
      </c>
      <c r="T211" s="50">
        <v>7.0</v>
      </c>
      <c r="U211" s="50"/>
      <c r="V211" s="29" t="s">
        <v>9055</v>
      </c>
      <c r="W211" s="50" t="s">
        <v>1729</v>
      </c>
      <c r="X211" s="50" t="s">
        <v>1730</v>
      </c>
      <c r="Y211" s="50">
        <v>0.0</v>
      </c>
      <c r="Z211" s="50"/>
      <c r="AA211" s="50"/>
      <c r="AB211" s="29" t="s">
        <v>8808</v>
      </c>
      <c r="AC211" s="50"/>
      <c r="AD211" s="50"/>
      <c r="AE211" s="50" t="s">
        <v>8794</v>
      </c>
      <c r="AF211" s="50" t="s">
        <v>4470</v>
      </c>
      <c r="AG211" s="50"/>
      <c r="AH211" s="50"/>
      <c r="AI211" s="50"/>
      <c r="AJ211" s="50">
        <v>0.0</v>
      </c>
      <c r="AK211" s="101">
        <v>1.29E7</v>
      </c>
      <c r="AL211" s="101">
        <v>0.0</v>
      </c>
      <c r="AM211" s="101">
        <v>1.29E7</v>
      </c>
      <c r="AN211" s="101">
        <v>0.0</v>
      </c>
    </row>
    <row r="212" ht="12.75" customHeight="1">
      <c r="A212" s="50">
        <v>211.0</v>
      </c>
      <c r="B212" s="50" t="s">
        <v>8911</v>
      </c>
      <c r="C212" s="50" t="s">
        <v>100</v>
      </c>
      <c r="D212" s="50" t="s">
        <v>100</v>
      </c>
      <c r="E212" s="50" t="s">
        <v>8792</v>
      </c>
      <c r="F212" s="50" t="s">
        <v>770</v>
      </c>
      <c r="G212" s="50" t="s">
        <v>9056</v>
      </c>
      <c r="H212" s="966">
        <v>41275.0</v>
      </c>
      <c r="I212" s="50" t="s">
        <v>70</v>
      </c>
      <c r="J212" s="101">
        <v>1.29E7</v>
      </c>
      <c r="K212" s="50">
        <v>0.0</v>
      </c>
      <c r="L212" s="50" t="s">
        <v>781</v>
      </c>
      <c r="M212" s="50"/>
      <c r="N212" s="50"/>
      <c r="O212" s="50" t="s">
        <v>92</v>
      </c>
      <c r="P212" s="50"/>
      <c r="Q212" s="50"/>
      <c r="R212" s="50" t="s">
        <v>772</v>
      </c>
      <c r="S212" s="50">
        <v>1.0</v>
      </c>
      <c r="T212" s="50">
        <v>7.0</v>
      </c>
      <c r="U212" s="50"/>
      <c r="V212" s="29" t="s">
        <v>9057</v>
      </c>
      <c r="W212" s="50" t="s">
        <v>1734</v>
      </c>
      <c r="X212" s="50" t="s">
        <v>1735</v>
      </c>
      <c r="Y212" s="50">
        <v>0.0</v>
      </c>
      <c r="Z212" s="50"/>
      <c r="AA212" s="50"/>
      <c r="AB212" s="29" t="s">
        <v>8808</v>
      </c>
      <c r="AC212" s="50"/>
      <c r="AD212" s="50"/>
      <c r="AE212" s="50" t="s">
        <v>8794</v>
      </c>
      <c r="AF212" s="50" t="s">
        <v>4470</v>
      </c>
      <c r="AG212" s="50"/>
      <c r="AH212" s="50"/>
      <c r="AI212" s="50"/>
      <c r="AJ212" s="50">
        <v>0.0</v>
      </c>
      <c r="AK212" s="101">
        <v>1.29E7</v>
      </c>
      <c r="AL212" s="101">
        <v>0.0</v>
      </c>
      <c r="AM212" s="101">
        <v>1.29E7</v>
      </c>
      <c r="AN212" s="101">
        <v>0.0</v>
      </c>
    </row>
    <row r="213" ht="12.75" customHeight="1">
      <c r="A213" s="50">
        <v>212.0</v>
      </c>
      <c r="B213" s="50" t="s">
        <v>8911</v>
      </c>
      <c r="C213" s="50" t="s">
        <v>100</v>
      </c>
      <c r="D213" s="50" t="s">
        <v>100</v>
      </c>
      <c r="E213" s="50" t="s">
        <v>8792</v>
      </c>
      <c r="F213" s="50" t="s">
        <v>770</v>
      </c>
      <c r="G213" s="50" t="s">
        <v>9058</v>
      </c>
      <c r="H213" s="966">
        <v>41275.0</v>
      </c>
      <c r="I213" s="50" t="s">
        <v>70</v>
      </c>
      <c r="J213" s="101">
        <v>1.29E7</v>
      </c>
      <c r="K213" s="50">
        <v>0.0</v>
      </c>
      <c r="L213" s="50" t="s">
        <v>781</v>
      </c>
      <c r="M213" s="50"/>
      <c r="N213" s="50"/>
      <c r="O213" s="50" t="s">
        <v>92</v>
      </c>
      <c r="P213" s="50"/>
      <c r="Q213" s="50"/>
      <c r="R213" s="50" t="s">
        <v>772</v>
      </c>
      <c r="S213" s="50">
        <v>1.0</v>
      </c>
      <c r="T213" s="50">
        <v>7.0</v>
      </c>
      <c r="U213" s="50"/>
      <c r="V213" s="50" t="s">
        <v>1737</v>
      </c>
      <c r="W213" s="50"/>
      <c r="X213" s="50"/>
      <c r="Y213" s="50">
        <v>0.0</v>
      </c>
      <c r="Z213" s="50"/>
      <c r="AA213" s="50"/>
      <c r="AB213" s="50" t="s">
        <v>9059</v>
      </c>
      <c r="AC213" s="50"/>
      <c r="AD213" s="50"/>
      <c r="AE213" s="50" t="s">
        <v>8794</v>
      </c>
      <c r="AF213" s="50" t="s">
        <v>4470</v>
      </c>
      <c r="AG213" s="50"/>
      <c r="AH213" s="50"/>
      <c r="AI213" s="50"/>
      <c r="AJ213" s="50">
        <v>0.0</v>
      </c>
      <c r="AK213" s="101">
        <v>1.29E7</v>
      </c>
      <c r="AL213" s="101">
        <v>0.0</v>
      </c>
      <c r="AM213" s="101">
        <v>1.29E7</v>
      </c>
      <c r="AN213" s="101">
        <v>0.0</v>
      </c>
    </row>
    <row r="214" ht="12.75" customHeight="1">
      <c r="A214" s="50">
        <v>213.0</v>
      </c>
      <c r="B214" s="50" t="s">
        <v>8911</v>
      </c>
      <c r="C214" s="50" t="s">
        <v>100</v>
      </c>
      <c r="D214" s="50" t="s">
        <v>100</v>
      </c>
      <c r="E214" s="50" t="s">
        <v>8792</v>
      </c>
      <c r="F214" s="50" t="s">
        <v>770</v>
      </c>
      <c r="G214" s="50" t="s">
        <v>9060</v>
      </c>
      <c r="H214" s="966">
        <v>41275.0</v>
      </c>
      <c r="I214" s="50" t="s">
        <v>70</v>
      </c>
      <c r="J214" s="101">
        <v>1.4717415E7</v>
      </c>
      <c r="K214" s="50">
        <v>0.0</v>
      </c>
      <c r="L214" s="50" t="s">
        <v>771</v>
      </c>
      <c r="M214" s="50"/>
      <c r="N214" s="50"/>
      <c r="O214" s="50" t="s">
        <v>92</v>
      </c>
      <c r="P214" s="50"/>
      <c r="Q214" s="50"/>
      <c r="R214" s="50" t="s">
        <v>772</v>
      </c>
      <c r="S214" s="50">
        <v>1.0</v>
      </c>
      <c r="T214" s="50">
        <v>7.0</v>
      </c>
      <c r="U214" s="50"/>
      <c r="V214" s="83" t="s">
        <v>1741</v>
      </c>
      <c r="W214" s="83" t="s">
        <v>1742</v>
      </c>
      <c r="X214" s="83" t="s">
        <v>1743</v>
      </c>
      <c r="Y214" s="83" t="s">
        <v>1744</v>
      </c>
      <c r="Z214" s="83" t="s">
        <v>777</v>
      </c>
      <c r="AA214" s="50"/>
      <c r="AB214" s="50"/>
      <c r="AC214" s="50"/>
      <c r="AD214" s="50"/>
      <c r="AE214" s="50" t="s">
        <v>8794</v>
      </c>
      <c r="AF214" s="50" t="s">
        <v>4470</v>
      </c>
      <c r="AG214" s="50"/>
      <c r="AH214" s="50"/>
      <c r="AI214" s="50"/>
      <c r="AJ214" s="50">
        <v>0.0</v>
      </c>
      <c r="AK214" s="101">
        <v>1.4717415E7</v>
      </c>
      <c r="AL214" s="101">
        <v>0.0</v>
      </c>
      <c r="AM214" s="101">
        <v>1.4717415E7</v>
      </c>
      <c r="AN214" s="101">
        <v>0.0</v>
      </c>
    </row>
    <row r="215" ht="12.75" customHeight="1">
      <c r="A215" s="50">
        <v>214.0</v>
      </c>
      <c r="B215" s="50" t="s">
        <v>8911</v>
      </c>
      <c r="C215" s="50" t="s">
        <v>100</v>
      </c>
      <c r="D215" s="50" t="s">
        <v>100</v>
      </c>
      <c r="E215" s="50" t="s">
        <v>8792</v>
      </c>
      <c r="F215" s="50" t="s">
        <v>770</v>
      </c>
      <c r="G215" s="50" t="s">
        <v>9061</v>
      </c>
      <c r="H215" s="966">
        <v>41275.0</v>
      </c>
      <c r="I215" s="50" t="s">
        <v>70</v>
      </c>
      <c r="J215" s="101">
        <v>1.4717415E7</v>
      </c>
      <c r="K215" s="50">
        <v>0.0</v>
      </c>
      <c r="L215" s="50" t="s">
        <v>771</v>
      </c>
      <c r="M215" s="50"/>
      <c r="N215" s="50"/>
      <c r="O215" s="50" t="s">
        <v>92</v>
      </c>
      <c r="P215" s="50"/>
      <c r="Q215" s="50"/>
      <c r="R215" s="50" t="s">
        <v>772</v>
      </c>
      <c r="S215" s="50">
        <v>1.0</v>
      </c>
      <c r="T215" s="50">
        <v>7.0</v>
      </c>
      <c r="U215" s="50"/>
      <c r="V215" s="83" t="s">
        <v>1745</v>
      </c>
      <c r="W215" s="83" t="s">
        <v>1746</v>
      </c>
      <c r="X215" s="83" t="s">
        <v>1747</v>
      </c>
      <c r="Y215" s="83" t="s">
        <v>1748</v>
      </c>
      <c r="Z215" s="83" t="s">
        <v>777</v>
      </c>
      <c r="AA215" s="50"/>
      <c r="AB215" s="50"/>
      <c r="AC215" s="50"/>
      <c r="AD215" s="50"/>
      <c r="AE215" s="50" t="s">
        <v>8794</v>
      </c>
      <c r="AF215" s="50" t="s">
        <v>4470</v>
      </c>
      <c r="AG215" s="50"/>
      <c r="AH215" s="50"/>
      <c r="AI215" s="50"/>
      <c r="AJ215" s="50">
        <v>0.0</v>
      </c>
      <c r="AK215" s="101">
        <v>1.4717415E7</v>
      </c>
      <c r="AL215" s="101">
        <v>0.0</v>
      </c>
      <c r="AM215" s="101">
        <v>1.4717415E7</v>
      </c>
      <c r="AN215" s="101">
        <v>0.0</v>
      </c>
    </row>
    <row r="216" ht="12.75" customHeight="1">
      <c r="A216" s="50">
        <v>215.0</v>
      </c>
      <c r="B216" s="50" t="s">
        <v>8911</v>
      </c>
      <c r="C216" s="50" t="s">
        <v>100</v>
      </c>
      <c r="D216" s="50" t="s">
        <v>100</v>
      </c>
      <c r="E216" s="50" t="s">
        <v>8792</v>
      </c>
      <c r="F216" s="50" t="s">
        <v>770</v>
      </c>
      <c r="G216" s="50" t="s">
        <v>9062</v>
      </c>
      <c r="H216" s="966">
        <v>41275.0</v>
      </c>
      <c r="I216" s="50" t="s">
        <v>70</v>
      </c>
      <c r="J216" s="101">
        <v>1.29E7</v>
      </c>
      <c r="K216" s="50">
        <v>0.0</v>
      </c>
      <c r="L216" s="50" t="s">
        <v>781</v>
      </c>
      <c r="M216" s="50"/>
      <c r="N216" s="50"/>
      <c r="O216" s="50" t="s">
        <v>92</v>
      </c>
      <c r="P216" s="50"/>
      <c r="Q216" s="50"/>
      <c r="R216" s="50" t="s">
        <v>772</v>
      </c>
      <c r="S216" s="50">
        <v>1.0</v>
      </c>
      <c r="T216" s="50">
        <v>7.0</v>
      </c>
      <c r="U216" s="50"/>
      <c r="V216" s="29" t="s">
        <v>9063</v>
      </c>
      <c r="W216" s="50" t="s">
        <v>1750</v>
      </c>
      <c r="X216" s="50" t="s">
        <v>1751</v>
      </c>
      <c r="Y216" s="50">
        <v>0.0</v>
      </c>
      <c r="Z216" s="50"/>
      <c r="AA216" s="50"/>
      <c r="AB216" s="29" t="s">
        <v>8808</v>
      </c>
      <c r="AC216" s="50"/>
      <c r="AD216" s="50"/>
      <c r="AE216" s="50" t="s">
        <v>8794</v>
      </c>
      <c r="AF216" s="50" t="s">
        <v>4470</v>
      </c>
      <c r="AG216" s="50"/>
      <c r="AH216" s="50"/>
      <c r="AI216" s="50"/>
      <c r="AJ216" s="50">
        <v>0.0</v>
      </c>
      <c r="AK216" s="101">
        <v>1.29E7</v>
      </c>
      <c r="AL216" s="101">
        <v>0.0</v>
      </c>
      <c r="AM216" s="101">
        <v>1.29E7</v>
      </c>
      <c r="AN216" s="101">
        <v>0.0</v>
      </c>
    </row>
    <row r="217" ht="12.75" customHeight="1">
      <c r="A217" s="50">
        <v>216.0</v>
      </c>
      <c r="B217" s="50" t="s">
        <v>8911</v>
      </c>
      <c r="C217" s="50" t="s">
        <v>100</v>
      </c>
      <c r="D217" s="50" t="s">
        <v>100</v>
      </c>
      <c r="E217" s="50" t="s">
        <v>8792</v>
      </c>
      <c r="F217" s="50" t="s">
        <v>770</v>
      </c>
      <c r="G217" s="50" t="s">
        <v>9064</v>
      </c>
      <c r="H217" s="966">
        <v>41640.0</v>
      </c>
      <c r="I217" s="50" t="s">
        <v>70</v>
      </c>
      <c r="J217" s="101">
        <v>1.277E7</v>
      </c>
      <c r="K217" s="50">
        <v>0.0</v>
      </c>
      <c r="L217" s="50" t="s">
        <v>781</v>
      </c>
      <c r="M217" s="50"/>
      <c r="N217" s="50"/>
      <c r="O217" s="50" t="s">
        <v>58</v>
      </c>
      <c r="P217" s="50"/>
      <c r="Q217" s="50"/>
      <c r="R217" s="50" t="s">
        <v>772</v>
      </c>
      <c r="S217" s="50">
        <v>1.0</v>
      </c>
      <c r="T217" s="50">
        <v>7.0</v>
      </c>
      <c r="U217" s="50"/>
      <c r="V217" s="29" t="s">
        <v>9065</v>
      </c>
      <c r="W217" s="50" t="s">
        <v>1754</v>
      </c>
      <c r="X217" s="50" t="s">
        <v>1755</v>
      </c>
      <c r="Y217" s="50">
        <v>0.0</v>
      </c>
      <c r="Z217" s="50"/>
      <c r="AA217" s="50"/>
      <c r="AB217" s="29" t="s">
        <v>8808</v>
      </c>
      <c r="AC217" s="50"/>
      <c r="AD217" s="50"/>
      <c r="AE217" s="50" t="s">
        <v>8794</v>
      </c>
      <c r="AF217" s="50" t="s">
        <v>4470</v>
      </c>
      <c r="AG217" s="50"/>
      <c r="AH217" s="50"/>
      <c r="AI217" s="50"/>
      <c r="AJ217" s="50">
        <v>0.0</v>
      </c>
      <c r="AK217" s="101">
        <v>1.277E7</v>
      </c>
      <c r="AL217" s="101">
        <v>0.0</v>
      </c>
      <c r="AM217" s="101">
        <v>1.277E7</v>
      </c>
      <c r="AN217" s="101">
        <v>0.0</v>
      </c>
    </row>
    <row r="218" ht="12.75" customHeight="1">
      <c r="A218" s="50">
        <v>217.0</v>
      </c>
      <c r="B218" s="50" t="s">
        <v>8911</v>
      </c>
      <c r="C218" s="50" t="s">
        <v>100</v>
      </c>
      <c r="D218" s="50" t="s">
        <v>1757</v>
      </c>
      <c r="E218" s="50" t="s">
        <v>8792</v>
      </c>
      <c r="F218" s="50" t="s">
        <v>770</v>
      </c>
      <c r="G218" s="50" t="s">
        <v>9066</v>
      </c>
      <c r="H218" s="966">
        <v>42736.0</v>
      </c>
      <c r="I218" s="50" t="s">
        <v>70</v>
      </c>
      <c r="J218" s="101">
        <v>1.687875E7</v>
      </c>
      <c r="K218" s="50">
        <v>0.0</v>
      </c>
      <c r="L218" s="50" t="s">
        <v>1758</v>
      </c>
      <c r="M218" s="50"/>
      <c r="N218" s="50"/>
      <c r="O218" s="50" t="s">
        <v>71</v>
      </c>
      <c r="P218" s="50"/>
      <c r="Q218" s="50"/>
      <c r="R218" s="50" t="s">
        <v>772</v>
      </c>
      <c r="S218" s="50">
        <v>1.0</v>
      </c>
      <c r="T218" s="50">
        <v>7.0</v>
      </c>
      <c r="U218" s="50"/>
      <c r="V218" s="83" t="s">
        <v>1759</v>
      </c>
      <c r="W218" s="83" t="s">
        <v>1760</v>
      </c>
      <c r="X218" s="83" t="s">
        <v>1761</v>
      </c>
      <c r="Y218" s="83" t="s">
        <v>1762</v>
      </c>
      <c r="Z218" s="83" t="s">
        <v>25</v>
      </c>
      <c r="AA218" s="50"/>
      <c r="AB218" s="50"/>
      <c r="AC218" s="50"/>
      <c r="AD218" s="50"/>
      <c r="AE218" s="50" t="s">
        <v>8794</v>
      </c>
      <c r="AF218" s="50" t="s">
        <v>4470</v>
      </c>
      <c r="AG218" s="50"/>
      <c r="AH218" s="50"/>
      <c r="AI218" s="50"/>
      <c r="AJ218" s="50">
        <v>0.0</v>
      </c>
      <c r="AK218" s="101">
        <v>1.687875E7</v>
      </c>
      <c r="AL218" s="101">
        <v>0.0</v>
      </c>
      <c r="AM218" s="101">
        <v>1.687875E7</v>
      </c>
      <c r="AN218" s="101">
        <v>0.0</v>
      </c>
    </row>
    <row r="219" ht="12.75" customHeight="1">
      <c r="A219" s="50">
        <v>218.0</v>
      </c>
      <c r="B219" s="50" t="s">
        <v>8911</v>
      </c>
      <c r="C219" s="50" t="s">
        <v>100</v>
      </c>
      <c r="D219" s="50" t="s">
        <v>1757</v>
      </c>
      <c r="E219" s="50" t="s">
        <v>8792</v>
      </c>
      <c r="F219" s="50" t="s">
        <v>770</v>
      </c>
      <c r="G219" s="50" t="s">
        <v>9067</v>
      </c>
      <c r="H219" s="966">
        <v>42736.0</v>
      </c>
      <c r="I219" s="50" t="s">
        <v>70</v>
      </c>
      <c r="J219" s="101">
        <v>1.687875E7</v>
      </c>
      <c r="K219" s="50">
        <v>0.0</v>
      </c>
      <c r="L219" s="50" t="s">
        <v>1758</v>
      </c>
      <c r="M219" s="50"/>
      <c r="N219" s="50"/>
      <c r="O219" s="50" t="s">
        <v>71</v>
      </c>
      <c r="P219" s="50"/>
      <c r="Q219" s="50"/>
      <c r="R219" s="50" t="s">
        <v>772</v>
      </c>
      <c r="S219" s="50">
        <v>1.0</v>
      </c>
      <c r="T219" s="50">
        <v>7.0</v>
      </c>
      <c r="U219" s="50"/>
      <c r="V219" s="83" t="s">
        <v>1763</v>
      </c>
      <c r="W219" s="83" t="s">
        <v>1764</v>
      </c>
      <c r="X219" s="83" t="s">
        <v>1765</v>
      </c>
      <c r="Y219" s="83" t="s">
        <v>1766</v>
      </c>
      <c r="Z219" s="83" t="s">
        <v>25</v>
      </c>
      <c r="AA219" s="50"/>
      <c r="AB219" s="50"/>
      <c r="AC219" s="50"/>
      <c r="AD219" s="50"/>
      <c r="AE219" s="50" t="s">
        <v>8794</v>
      </c>
      <c r="AF219" s="50" t="s">
        <v>4470</v>
      </c>
      <c r="AG219" s="50"/>
      <c r="AH219" s="50"/>
      <c r="AI219" s="50"/>
      <c r="AJ219" s="50">
        <v>0.0</v>
      </c>
      <c r="AK219" s="101">
        <v>1.687875E7</v>
      </c>
      <c r="AL219" s="101">
        <v>0.0</v>
      </c>
      <c r="AM219" s="101">
        <v>1.687875E7</v>
      </c>
      <c r="AN219" s="101">
        <v>0.0</v>
      </c>
    </row>
    <row r="220" ht="12.75" customHeight="1">
      <c r="A220" s="50">
        <v>219.0</v>
      </c>
      <c r="B220" s="50" t="s">
        <v>8911</v>
      </c>
      <c r="C220" s="50" t="s">
        <v>100</v>
      </c>
      <c r="D220" s="50" t="s">
        <v>1767</v>
      </c>
      <c r="E220" s="50" t="s">
        <v>8792</v>
      </c>
      <c r="F220" s="50" t="s">
        <v>770</v>
      </c>
      <c r="G220" s="50" t="s">
        <v>9068</v>
      </c>
      <c r="H220" s="966">
        <v>43831.0</v>
      </c>
      <c r="I220" s="50" t="s">
        <v>70</v>
      </c>
      <c r="J220" s="101">
        <v>1.665E7</v>
      </c>
      <c r="K220" s="50">
        <v>0.0</v>
      </c>
      <c r="L220" s="50" t="s">
        <v>781</v>
      </c>
      <c r="M220" s="50"/>
      <c r="N220" s="50"/>
      <c r="O220" s="50" t="s">
        <v>862</v>
      </c>
      <c r="P220" s="50"/>
      <c r="Q220" s="50"/>
      <c r="R220" s="50" t="s">
        <v>772</v>
      </c>
      <c r="S220" s="50">
        <v>1.0</v>
      </c>
      <c r="T220" s="50">
        <v>7.0</v>
      </c>
      <c r="U220" s="50"/>
      <c r="V220" s="50" t="s">
        <v>1769</v>
      </c>
      <c r="W220" s="50" t="s">
        <v>1770</v>
      </c>
      <c r="X220" s="50" t="s">
        <v>1771</v>
      </c>
      <c r="Y220" s="50">
        <v>0.0</v>
      </c>
      <c r="Z220" s="50"/>
      <c r="AA220" s="50"/>
      <c r="AB220" s="50" t="s">
        <v>1772</v>
      </c>
      <c r="AC220" s="50"/>
      <c r="AD220" s="50"/>
      <c r="AE220" s="50" t="s">
        <v>8794</v>
      </c>
      <c r="AF220" s="50" t="s">
        <v>4470</v>
      </c>
      <c r="AG220" s="50"/>
      <c r="AH220" s="50"/>
      <c r="AI220" s="50"/>
      <c r="AJ220" s="50">
        <v>0.0</v>
      </c>
      <c r="AK220" s="101">
        <v>1.189285714E7</v>
      </c>
      <c r="AL220" s="101">
        <v>2378571.43</v>
      </c>
      <c r="AM220" s="101">
        <v>1.427142857E7</v>
      </c>
      <c r="AN220" s="101">
        <v>2378571.43</v>
      </c>
    </row>
    <row r="221" ht="12.75" customHeight="1">
      <c r="A221" s="50">
        <v>220.0</v>
      </c>
      <c r="B221" s="50" t="s">
        <v>8911</v>
      </c>
      <c r="C221" s="50" t="s">
        <v>100</v>
      </c>
      <c r="D221" s="50" t="s">
        <v>1767</v>
      </c>
      <c r="E221" s="50" t="s">
        <v>8792</v>
      </c>
      <c r="F221" s="50" t="s">
        <v>770</v>
      </c>
      <c r="G221" s="50" t="s">
        <v>9069</v>
      </c>
      <c r="H221" s="966">
        <v>43831.0</v>
      </c>
      <c r="I221" s="50" t="s">
        <v>70</v>
      </c>
      <c r="J221" s="101">
        <v>1.665E7</v>
      </c>
      <c r="K221" s="50">
        <v>0.0</v>
      </c>
      <c r="L221" s="50" t="s">
        <v>781</v>
      </c>
      <c r="M221" s="50"/>
      <c r="N221" s="50"/>
      <c r="O221" s="50" t="s">
        <v>862</v>
      </c>
      <c r="P221" s="50"/>
      <c r="Q221" s="50"/>
      <c r="R221" s="50" t="s">
        <v>772</v>
      </c>
      <c r="S221" s="50">
        <v>1.0</v>
      </c>
      <c r="T221" s="50">
        <v>7.0</v>
      </c>
      <c r="U221" s="50"/>
      <c r="V221" s="50" t="s">
        <v>1773</v>
      </c>
      <c r="W221" s="50" t="s">
        <v>1774</v>
      </c>
      <c r="X221" s="50" t="s">
        <v>1775</v>
      </c>
      <c r="Y221" s="50">
        <v>0.0</v>
      </c>
      <c r="Z221" s="50"/>
      <c r="AA221" s="50"/>
      <c r="AB221" s="50" t="s">
        <v>1776</v>
      </c>
      <c r="AC221" s="50"/>
      <c r="AD221" s="50"/>
      <c r="AE221" s="50" t="s">
        <v>8794</v>
      </c>
      <c r="AF221" s="50" t="s">
        <v>4470</v>
      </c>
      <c r="AG221" s="50"/>
      <c r="AH221" s="50"/>
      <c r="AI221" s="50"/>
      <c r="AJ221" s="50">
        <v>0.0</v>
      </c>
      <c r="AK221" s="101">
        <v>1.189285714E7</v>
      </c>
      <c r="AL221" s="101">
        <v>2378571.43</v>
      </c>
      <c r="AM221" s="101">
        <v>1.427142857E7</v>
      </c>
      <c r="AN221" s="101">
        <v>2378571.43</v>
      </c>
    </row>
    <row r="222" ht="12.75" customHeight="1">
      <c r="A222" s="50">
        <v>221.0</v>
      </c>
      <c r="B222" s="50" t="s">
        <v>8911</v>
      </c>
      <c r="C222" s="50" t="s">
        <v>100</v>
      </c>
      <c r="D222" s="50" t="s">
        <v>1767</v>
      </c>
      <c r="E222" s="50" t="s">
        <v>8792</v>
      </c>
      <c r="F222" s="50" t="s">
        <v>770</v>
      </c>
      <c r="G222" s="50" t="s">
        <v>9070</v>
      </c>
      <c r="H222" s="966">
        <v>43831.0</v>
      </c>
      <c r="I222" s="50" t="s">
        <v>70</v>
      </c>
      <c r="J222" s="101">
        <v>1.665E7</v>
      </c>
      <c r="K222" s="50">
        <v>0.0</v>
      </c>
      <c r="L222" s="50" t="s">
        <v>781</v>
      </c>
      <c r="M222" s="50"/>
      <c r="N222" s="50"/>
      <c r="O222" s="50" t="s">
        <v>862</v>
      </c>
      <c r="P222" s="50"/>
      <c r="Q222" s="50"/>
      <c r="R222" s="50" t="s">
        <v>772</v>
      </c>
      <c r="S222" s="50">
        <v>1.0</v>
      </c>
      <c r="T222" s="50">
        <v>7.0</v>
      </c>
      <c r="U222" s="50"/>
      <c r="V222" s="50" t="s">
        <v>1778</v>
      </c>
      <c r="W222" s="50" t="s">
        <v>1779</v>
      </c>
      <c r="X222" s="50" t="s">
        <v>1780</v>
      </c>
      <c r="Y222" s="50">
        <v>0.0</v>
      </c>
      <c r="Z222" s="50"/>
      <c r="AA222" s="50"/>
      <c r="AB222" s="50" t="s">
        <v>9071</v>
      </c>
      <c r="AC222" s="50"/>
      <c r="AD222" s="50"/>
      <c r="AE222" s="50" t="s">
        <v>8794</v>
      </c>
      <c r="AF222" s="50" t="s">
        <v>4470</v>
      </c>
      <c r="AG222" s="50"/>
      <c r="AH222" s="50"/>
      <c r="AI222" s="50"/>
      <c r="AJ222" s="50">
        <v>0.0</v>
      </c>
      <c r="AK222" s="101">
        <v>1.189285714E7</v>
      </c>
      <c r="AL222" s="101">
        <v>2378571.43</v>
      </c>
      <c r="AM222" s="101">
        <v>1.427142857E7</v>
      </c>
      <c r="AN222" s="101">
        <v>2378571.43</v>
      </c>
    </row>
    <row r="223" ht="12.75" customHeight="1">
      <c r="A223" s="50">
        <v>222.0</v>
      </c>
      <c r="B223" s="50" t="s">
        <v>8911</v>
      </c>
      <c r="C223" s="50" t="s">
        <v>100</v>
      </c>
      <c r="D223" s="50" t="s">
        <v>1767</v>
      </c>
      <c r="E223" s="50" t="s">
        <v>8792</v>
      </c>
      <c r="F223" s="50" t="s">
        <v>770</v>
      </c>
      <c r="G223" s="50" t="s">
        <v>9072</v>
      </c>
      <c r="H223" s="966">
        <v>43831.0</v>
      </c>
      <c r="I223" s="50" t="s">
        <v>70</v>
      </c>
      <c r="J223" s="101">
        <v>1.665E7</v>
      </c>
      <c r="K223" s="50">
        <v>0.0</v>
      </c>
      <c r="L223" s="50" t="s">
        <v>781</v>
      </c>
      <c r="M223" s="50"/>
      <c r="N223" s="50"/>
      <c r="O223" s="50" t="s">
        <v>862</v>
      </c>
      <c r="P223" s="50"/>
      <c r="Q223" s="50"/>
      <c r="R223" s="50" t="s">
        <v>772</v>
      </c>
      <c r="S223" s="50">
        <v>1.0</v>
      </c>
      <c r="T223" s="50">
        <v>7.0</v>
      </c>
      <c r="U223" s="50"/>
      <c r="V223" s="50" t="s">
        <v>1781</v>
      </c>
      <c r="W223" s="50" t="s">
        <v>1782</v>
      </c>
      <c r="X223" s="50" t="s">
        <v>1783</v>
      </c>
      <c r="Y223" s="50">
        <v>0.0</v>
      </c>
      <c r="Z223" s="50"/>
      <c r="AA223" s="50"/>
      <c r="AB223" s="50" t="s">
        <v>9073</v>
      </c>
      <c r="AC223" s="50"/>
      <c r="AD223" s="50"/>
      <c r="AE223" s="50" t="s">
        <v>8794</v>
      </c>
      <c r="AF223" s="50" t="s">
        <v>4470</v>
      </c>
      <c r="AG223" s="50"/>
      <c r="AH223" s="50"/>
      <c r="AI223" s="50"/>
      <c r="AJ223" s="50">
        <v>0.0</v>
      </c>
      <c r="AK223" s="101">
        <v>1.189285714E7</v>
      </c>
      <c r="AL223" s="101">
        <v>2378571.43</v>
      </c>
      <c r="AM223" s="101">
        <v>1.427142857E7</v>
      </c>
      <c r="AN223" s="101">
        <v>2378571.43</v>
      </c>
    </row>
    <row r="224" ht="12.75" customHeight="1">
      <c r="A224" s="50">
        <v>223.0</v>
      </c>
      <c r="B224" s="50" t="s">
        <v>8911</v>
      </c>
      <c r="C224" s="50" t="s">
        <v>100</v>
      </c>
      <c r="D224" s="50" t="s">
        <v>1767</v>
      </c>
      <c r="E224" s="50" t="s">
        <v>8792</v>
      </c>
      <c r="F224" s="50" t="s">
        <v>770</v>
      </c>
      <c r="G224" s="50" t="s">
        <v>9074</v>
      </c>
      <c r="H224" s="966">
        <v>43831.0</v>
      </c>
      <c r="I224" s="50" t="s">
        <v>70</v>
      </c>
      <c r="J224" s="101">
        <v>1.665E7</v>
      </c>
      <c r="K224" s="50">
        <v>0.0</v>
      </c>
      <c r="L224" s="50" t="s">
        <v>781</v>
      </c>
      <c r="M224" s="50"/>
      <c r="N224" s="50"/>
      <c r="O224" s="50" t="s">
        <v>862</v>
      </c>
      <c r="P224" s="50"/>
      <c r="Q224" s="50"/>
      <c r="R224" s="50" t="s">
        <v>772</v>
      </c>
      <c r="S224" s="50">
        <v>1.0</v>
      </c>
      <c r="T224" s="50">
        <v>7.0</v>
      </c>
      <c r="U224" s="50"/>
      <c r="V224" s="50" t="s">
        <v>1784</v>
      </c>
      <c r="W224" s="50" t="s">
        <v>1785</v>
      </c>
      <c r="X224" s="50" t="s">
        <v>1786</v>
      </c>
      <c r="Y224" s="50">
        <v>0.0</v>
      </c>
      <c r="Z224" s="50"/>
      <c r="AA224" s="50"/>
      <c r="AB224" s="50" t="s">
        <v>1052</v>
      </c>
      <c r="AC224" s="50"/>
      <c r="AD224" s="50"/>
      <c r="AE224" s="50" t="s">
        <v>8794</v>
      </c>
      <c r="AF224" s="50" t="s">
        <v>4470</v>
      </c>
      <c r="AG224" s="50"/>
      <c r="AH224" s="50"/>
      <c r="AI224" s="50"/>
      <c r="AJ224" s="50">
        <v>0.0</v>
      </c>
      <c r="AK224" s="101">
        <v>1.189285714E7</v>
      </c>
      <c r="AL224" s="101">
        <v>2378571.43</v>
      </c>
      <c r="AM224" s="101">
        <v>1.427142857E7</v>
      </c>
      <c r="AN224" s="101">
        <v>2378571.43</v>
      </c>
    </row>
    <row r="225" ht="12.75" customHeight="1">
      <c r="A225" s="50">
        <v>224.0</v>
      </c>
      <c r="B225" s="50" t="s">
        <v>8911</v>
      </c>
      <c r="C225" s="50" t="s">
        <v>100</v>
      </c>
      <c r="D225" s="50" t="s">
        <v>1767</v>
      </c>
      <c r="E225" s="50" t="s">
        <v>8792</v>
      </c>
      <c r="F225" s="50" t="s">
        <v>770</v>
      </c>
      <c r="G225" s="50" t="s">
        <v>9075</v>
      </c>
      <c r="H225" s="966">
        <v>43831.0</v>
      </c>
      <c r="I225" s="50" t="s">
        <v>70</v>
      </c>
      <c r="J225" s="101">
        <v>1.665E7</v>
      </c>
      <c r="K225" s="50">
        <v>0.0</v>
      </c>
      <c r="L225" s="50" t="s">
        <v>781</v>
      </c>
      <c r="M225" s="50"/>
      <c r="N225" s="50"/>
      <c r="O225" s="50" t="s">
        <v>862</v>
      </c>
      <c r="P225" s="50"/>
      <c r="Q225" s="50"/>
      <c r="R225" s="50" t="s">
        <v>772</v>
      </c>
      <c r="S225" s="50">
        <v>1.0</v>
      </c>
      <c r="T225" s="50">
        <v>7.0</v>
      </c>
      <c r="U225" s="50"/>
      <c r="V225" s="50" t="s">
        <v>1788</v>
      </c>
      <c r="W225" s="50" t="s">
        <v>1789</v>
      </c>
      <c r="X225" s="50" t="s">
        <v>1790</v>
      </c>
      <c r="Y225" s="50">
        <v>0.0</v>
      </c>
      <c r="Z225" s="50"/>
      <c r="AA225" s="50"/>
      <c r="AB225" s="50" t="s">
        <v>1013</v>
      </c>
      <c r="AC225" s="50"/>
      <c r="AD225" s="50"/>
      <c r="AE225" s="50" t="s">
        <v>8794</v>
      </c>
      <c r="AF225" s="50" t="s">
        <v>4470</v>
      </c>
      <c r="AG225" s="50"/>
      <c r="AH225" s="50"/>
      <c r="AI225" s="50"/>
      <c r="AJ225" s="50">
        <v>0.0</v>
      </c>
      <c r="AK225" s="101">
        <v>1.189285714E7</v>
      </c>
      <c r="AL225" s="101">
        <v>2378571.43</v>
      </c>
      <c r="AM225" s="101">
        <v>1.427142857E7</v>
      </c>
      <c r="AN225" s="101">
        <v>2378571.43</v>
      </c>
    </row>
    <row r="226" ht="12.75" customHeight="1">
      <c r="A226" s="50">
        <v>225.0</v>
      </c>
      <c r="B226" s="50" t="s">
        <v>8911</v>
      </c>
      <c r="C226" s="50" t="s">
        <v>100</v>
      </c>
      <c r="D226" s="50" t="s">
        <v>1767</v>
      </c>
      <c r="E226" s="50" t="s">
        <v>8792</v>
      </c>
      <c r="F226" s="50" t="s">
        <v>770</v>
      </c>
      <c r="G226" s="50" t="s">
        <v>9076</v>
      </c>
      <c r="H226" s="966">
        <v>43831.0</v>
      </c>
      <c r="I226" s="50" t="s">
        <v>70</v>
      </c>
      <c r="J226" s="101">
        <v>1.665E7</v>
      </c>
      <c r="K226" s="50">
        <v>0.0</v>
      </c>
      <c r="L226" s="50" t="s">
        <v>781</v>
      </c>
      <c r="M226" s="50"/>
      <c r="N226" s="50"/>
      <c r="O226" s="50" t="s">
        <v>862</v>
      </c>
      <c r="P226" s="50"/>
      <c r="Q226" s="50"/>
      <c r="R226" s="50" t="s">
        <v>772</v>
      </c>
      <c r="S226" s="50">
        <v>1.0</v>
      </c>
      <c r="T226" s="50">
        <v>7.0</v>
      </c>
      <c r="U226" s="50"/>
      <c r="V226" s="50" t="s">
        <v>1792</v>
      </c>
      <c r="W226" s="50" t="s">
        <v>1793</v>
      </c>
      <c r="X226" s="50" t="s">
        <v>1794</v>
      </c>
      <c r="Y226" s="50">
        <v>0.0</v>
      </c>
      <c r="Z226" s="50"/>
      <c r="AA226" s="50"/>
      <c r="AB226" s="50" t="s">
        <v>1047</v>
      </c>
      <c r="AC226" s="50"/>
      <c r="AD226" s="50"/>
      <c r="AE226" s="50" t="s">
        <v>8794</v>
      </c>
      <c r="AF226" s="50" t="s">
        <v>4470</v>
      </c>
      <c r="AG226" s="50"/>
      <c r="AH226" s="50"/>
      <c r="AI226" s="50"/>
      <c r="AJ226" s="50">
        <v>0.0</v>
      </c>
      <c r="AK226" s="101">
        <v>1.189285714E7</v>
      </c>
      <c r="AL226" s="101">
        <v>2378571.43</v>
      </c>
      <c r="AM226" s="101">
        <v>1.427142857E7</v>
      </c>
      <c r="AN226" s="101">
        <v>2378571.43</v>
      </c>
    </row>
    <row r="227" ht="12.75" customHeight="1">
      <c r="A227" s="50">
        <v>226.0</v>
      </c>
      <c r="B227" s="50" t="s">
        <v>8911</v>
      </c>
      <c r="C227" s="50" t="s">
        <v>100</v>
      </c>
      <c r="D227" s="50" t="s">
        <v>1767</v>
      </c>
      <c r="E227" s="50" t="s">
        <v>8792</v>
      </c>
      <c r="F227" s="50" t="s">
        <v>770</v>
      </c>
      <c r="G227" s="50" t="s">
        <v>9077</v>
      </c>
      <c r="H227" s="966">
        <v>43831.0</v>
      </c>
      <c r="I227" s="50" t="s">
        <v>70</v>
      </c>
      <c r="J227" s="101">
        <v>1.665E7</v>
      </c>
      <c r="K227" s="50">
        <v>0.0</v>
      </c>
      <c r="L227" s="50" t="s">
        <v>781</v>
      </c>
      <c r="M227" s="50"/>
      <c r="N227" s="50"/>
      <c r="O227" s="50" t="s">
        <v>862</v>
      </c>
      <c r="P227" s="50"/>
      <c r="Q227" s="50"/>
      <c r="R227" s="50" t="s">
        <v>772</v>
      </c>
      <c r="S227" s="50">
        <v>1.0</v>
      </c>
      <c r="T227" s="50">
        <v>7.0</v>
      </c>
      <c r="U227" s="50"/>
      <c r="V227" s="50" t="s">
        <v>1795</v>
      </c>
      <c r="W227" s="50" t="s">
        <v>1796</v>
      </c>
      <c r="X227" s="50" t="s">
        <v>1797</v>
      </c>
      <c r="Y227" s="50">
        <v>0.0</v>
      </c>
      <c r="Z227" s="50"/>
      <c r="AA227" s="50"/>
      <c r="AB227" s="50" t="s">
        <v>9078</v>
      </c>
      <c r="AC227" s="50"/>
      <c r="AD227" s="50"/>
      <c r="AE227" s="50" t="s">
        <v>8794</v>
      </c>
      <c r="AF227" s="50" t="s">
        <v>4470</v>
      </c>
      <c r="AG227" s="50"/>
      <c r="AH227" s="50"/>
      <c r="AI227" s="50"/>
      <c r="AJ227" s="50">
        <v>0.0</v>
      </c>
      <c r="AK227" s="101">
        <v>1.189285714E7</v>
      </c>
      <c r="AL227" s="101">
        <v>2378571.43</v>
      </c>
      <c r="AM227" s="101">
        <v>1.427142857E7</v>
      </c>
      <c r="AN227" s="101">
        <v>2378571.43</v>
      </c>
    </row>
    <row r="228" ht="12.75" customHeight="1">
      <c r="A228" s="50">
        <v>227.0</v>
      </c>
      <c r="B228" s="50" t="s">
        <v>8911</v>
      </c>
      <c r="C228" s="50" t="s">
        <v>100</v>
      </c>
      <c r="D228" s="50" t="s">
        <v>1767</v>
      </c>
      <c r="E228" s="50" t="s">
        <v>8792</v>
      </c>
      <c r="F228" s="50" t="s">
        <v>770</v>
      </c>
      <c r="G228" s="50" t="s">
        <v>9079</v>
      </c>
      <c r="H228" s="966">
        <v>43831.0</v>
      </c>
      <c r="I228" s="50" t="s">
        <v>70</v>
      </c>
      <c r="J228" s="101">
        <v>1.665E7</v>
      </c>
      <c r="K228" s="50">
        <v>0.0</v>
      </c>
      <c r="L228" s="50" t="s">
        <v>781</v>
      </c>
      <c r="M228" s="50"/>
      <c r="N228" s="50"/>
      <c r="O228" s="50" t="s">
        <v>862</v>
      </c>
      <c r="P228" s="50"/>
      <c r="Q228" s="50"/>
      <c r="R228" s="50" t="s">
        <v>772</v>
      </c>
      <c r="S228" s="50">
        <v>1.0</v>
      </c>
      <c r="T228" s="50">
        <v>7.0</v>
      </c>
      <c r="U228" s="50"/>
      <c r="V228" s="50" t="s">
        <v>1798</v>
      </c>
      <c r="W228" s="50" t="s">
        <v>1799</v>
      </c>
      <c r="X228" s="50" t="s">
        <v>1800</v>
      </c>
      <c r="Y228" s="50">
        <v>0.0</v>
      </c>
      <c r="Z228" s="50"/>
      <c r="AA228" s="50"/>
      <c r="AB228" s="50" t="s">
        <v>934</v>
      </c>
      <c r="AC228" s="50"/>
      <c r="AD228" s="50"/>
      <c r="AE228" s="50" t="s">
        <v>8794</v>
      </c>
      <c r="AF228" s="50" t="s">
        <v>4470</v>
      </c>
      <c r="AG228" s="50"/>
      <c r="AH228" s="50"/>
      <c r="AI228" s="50"/>
      <c r="AJ228" s="50">
        <v>0.0</v>
      </c>
      <c r="AK228" s="101">
        <v>1.189285714E7</v>
      </c>
      <c r="AL228" s="101">
        <v>2378571.43</v>
      </c>
      <c r="AM228" s="101">
        <v>1.427142857E7</v>
      </c>
      <c r="AN228" s="101">
        <v>2378571.43</v>
      </c>
    </row>
    <row r="229" ht="12.75" customHeight="1">
      <c r="A229" s="50">
        <v>228.0</v>
      </c>
      <c r="B229" s="50" t="s">
        <v>8911</v>
      </c>
      <c r="C229" s="50" t="s">
        <v>100</v>
      </c>
      <c r="D229" s="50" t="s">
        <v>1767</v>
      </c>
      <c r="E229" s="50" t="s">
        <v>8792</v>
      </c>
      <c r="F229" s="50" t="s">
        <v>770</v>
      </c>
      <c r="G229" s="50" t="s">
        <v>9080</v>
      </c>
      <c r="H229" s="966">
        <v>43831.0</v>
      </c>
      <c r="I229" s="50" t="s">
        <v>70</v>
      </c>
      <c r="J229" s="101">
        <v>1.665E7</v>
      </c>
      <c r="K229" s="50">
        <v>0.0</v>
      </c>
      <c r="L229" s="50" t="s">
        <v>781</v>
      </c>
      <c r="M229" s="50"/>
      <c r="N229" s="50"/>
      <c r="O229" s="50" t="s">
        <v>862</v>
      </c>
      <c r="P229" s="50"/>
      <c r="Q229" s="50"/>
      <c r="R229" s="50" t="s">
        <v>772</v>
      </c>
      <c r="S229" s="50">
        <v>1.0</v>
      </c>
      <c r="T229" s="50">
        <v>7.0</v>
      </c>
      <c r="U229" s="50"/>
      <c r="V229" s="50" t="s">
        <v>1801</v>
      </c>
      <c r="W229" s="50" t="s">
        <v>1802</v>
      </c>
      <c r="X229" s="50" t="s">
        <v>1803</v>
      </c>
      <c r="Y229" s="50">
        <v>0.0</v>
      </c>
      <c r="Z229" s="50"/>
      <c r="AA229" s="50"/>
      <c r="AB229" s="50" t="s">
        <v>1804</v>
      </c>
      <c r="AC229" s="50"/>
      <c r="AD229" s="50"/>
      <c r="AE229" s="50" t="s">
        <v>8794</v>
      </c>
      <c r="AF229" s="50" t="s">
        <v>4470</v>
      </c>
      <c r="AG229" s="50"/>
      <c r="AH229" s="50"/>
      <c r="AI229" s="50"/>
      <c r="AJ229" s="50">
        <v>0.0</v>
      </c>
      <c r="AK229" s="101">
        <v>1.189285714E7</v>
      </c>
      <c r="AL229" s="101">
        <v>2378571.43</v>
      </c>
      <c r="AM229" s="101">
        <v>1.427142857E7</v>
      </c>
      <c r="AN229" s="101">
        <v>2378571.43</v>
      </c>
    </row>
    <row r="230" ht="12.75" customHeight="1">
      <c r="A230" s="50">
        <v>229.0</v>
      </c>
      <c r="B230" s="50" t="s">
        <v>8911</v>
      </c>
      <c r="C230" s="50" t="s">
        <v>100</v>
      </c>
      <c r="D230" s="50" t="s">
        <v>1767</v>
      </c>
      <c r="E230" s="50" t="s">
        <v>8792</v>
      </c>
      <c r="F230" s="50" t="s">
        <v>770</v>
      </c>
      <c r="G230" s="50" t="s">
        <v>9081</v>
      </c>
      <c r="H230" s="966">
        <v>43831.0</v>
      </c>
      <c r="I230" s="50" t="s">
        <v>70</v>
      </c>
      <c r="J230" s="101">
        <v>1.665E7</v>
      </c>
      <c r="K230" s="50">
        <v>0.0</v>
      </c>
      <c r="L230" s="50" t="s">
        <v>781</v>
      </c>
      <c r="M230" s="50"/>
      <c r="N230" s="50"/>
      <c r="O230" s="50" t="s">
        <v>862</v>
      </c>
      <c r="P230" s="50"/>
      <c r="Q230" s="50"/>
      <c r="R230" s="50" t="s">
        <v>772</v>
      </c>
      <c r="S230" s="50">
        <v>1.0</v>
      </c>
      <c r="T230" s="50">
        <v>7.0</v>
      </c>
      <c r="U230" s="50"/>
      <c r="V230" s="50" t="s">
        <v>1805</v>
      </c>
      <c r="W230" s="50" t="s">
        <v>1806</v>
      </c>
      <c r="X230" s="50" t="s">
        <v>1807</v>
      </c>
      <c r="Y230" s="50">
        <v>0.0</v>
      </c>
      <c r="Z230" s="50"/>
      <c r="AA230" s="50"/>
      <c r="AB230" s="50" t="s">
        <v>1808</v>
      </c>
      <c r="AC230" s="50"/>
      <c r="AD230" s="50"/>
      <c r="AE230" s="50" t="s">
        <v>8794</v>
      </c>
      <c r="AF230" s="50" t="s">
        <v>4470</v>
      </c>
      <c r="AG230" s="50"/>
      <c r="AH230" s="50"/>
      <c r="AI230" s="50"/>
      <c r="AJ230" s="50">
        <v>0.0</v>
      </c>
      <c r="AK230" s="101">
        <v>1.189285714E7</v>
      </c>
      <c r="AL230" s="101">
        <v>2378571.43</v>
      </c>
      <c r="AM230" s="101">
        <v>1.427142857E7</v>
      </c>
      <c r="AN230" s="101">
        <v>2378571.43</v>
      </c>
    </row>
    <row r="231" ht="12.75" customHeight="1">
      <c r="A231" s="50">
        <v>230.0</v>
      </c>
      <c r="B231" s="50" t="s">
        <v>8911</v>
      </c>
      <c r="C231" s="50" t="s">
        <v>100</v>
      </c>
      <c r="D231" s="50" t="s">
        <v>1767</v>
      </c>
      <c r="E231" s="50" t="s">
        <v>8792</v>
      </c>
      <c r="F231" s="50" t="s">
        <v>770</v>
      </c>
      <c r="G231" s="50" t="s">
        <v>9082</v>
      </c>
      <c r="H231" s="966">
        <v>43831.0</v>
      </c>
      <c r="I231" s="50" t="s">
        <v>70</v>
      </c>
      <c r="J231" s="101">
        <v>1.665E7</v>
      </c>
      <c r="K231" s="50">
        <v>0.0</v>
      </c>
      <c r="L231" s="50" t="s">
        <v>781</v>
      </c>
      <c r="M231" s="50"/>
      <c r="N231" s="50"/>
      <c r="O231" s="50" t="s">
        <v>862</v>
      </c>
      <c r="P231" s="50"/>
      <c r="Q231" s="50"/>
      <c r="R231" s="50" t="s">
        <v>772</v>
      </c>
      <c r="S231" s="50">
        <v>1.0</v>
      </c>
      <c r="T231" s="50">
        <v>7.0</v>
      </c>
      <c r="U231" s="50"/>
      <c r="V231" s="50" t="s">
        <v>1809</v>
      </c>
      <c r="W231" s="50" t="s">
        <v>1810</v>
      </c>
      <c r="X231" s="50" t="s">
        <v>1811</v>
      </c>
      <c r="Y231" s="50">
        <v>0.0</v>
      </c>
      <c r="Z231" s="50"/>
      <c r="AA231" s="50"/>
      <c r="AB231" s="50" t="s">
        <v>970</v>
      </c>
      <c r="AC231" s="50"/>
      <c r="AD231" s="50"/>
      <c r="AE231" s="50" t="s">
        <v>8794</v>
      </c>
      <c r="AF231" s="50" t="s">
        <v>4470</v>
      </c>
      <c r="AG231" s="50"/>
      <c r="AH231" s="50"/>
      <c r="AI231" s="50"/>
      <c r="AJ231" s="50">
        <v>0.0</v>
      </c>
      <c r="AK231" s="101">
        <v>1.189285714E7</v>
      </c>
      <c r="AL231" s="101">
        <v>2378571.43</v>
      </c>
      <c r="AM231" s="101">
        <v>1.427142857E7</v>
      </c>
      <c r="AN231" s="101">
        <v>2378571.43</v>
      </c>
    </row>
    <row r="232" ht="12.75" customHeight="1">
      <c r="A232" s="50">
        <v>231.0</v>
      </c>
      <c r="B232" s="50" t="s">
        <v>8911</v>
      </c>
      <c r="C232" s="50" t="s">
        <v>100</v>
      </c>
      <c r="D232" s="50" t="s">
        <v>1767</v>
      </c>
      <c r="E232" s="50" t="s">
        <v>8792</v>
      </c>
      <c r="F232" s="50" t="s">
        <v>770</v>
      </c>
      <c r="G232" s="50" t="s">
        <v>9083</v>
      </c>
      <c r="H232" s="966">
        <v>43831.0</v>
      </c>
      <c r="I232" s="50" t="s">
        <v>70</v>
      </c>
      <c r="J232" s="101">
        <v>1.665E7</v>
      </c>
      <c r="K232" s="50">
        <v>0.0</v>
      </c>
      <c r="L232" s="50" t="s">
        <v>781</v>
      </c>
      <c r="M232" s="50"/>
      <c r="N232" s="50"/>
      <c r="O232" s="50" t="s">
        <v>862</v>
      </c>
      <c r="P232" s="50"/>
      <c r="Q232" s="50"/>
      <c r="R232" s="50" t="s">
        <v>772</v>
      </c>
      <c r="S232" s="50">
        <v>1.0</v>
      </c>
      <c r="T232" s="50">
        <v>7.0</v>
      </c>
      <c r="U232" s="50"/>
      <c r="V232" s="50" t="s">
        <v>1812</v>
      </c>
      <c r="W232" s="50" t="s">
        <v>1810</v>
      </c>
      <c r="X232" s="50" t="s">
        <v>1813</v>
      </c>
      <c r="Y232" s="50">
        <v>0.0</v>
      </c>
      <c r="Z232" s="50"/>
      <c r="AA232" s="50"/>
      <c r="AB232" s="50" t="s">
        <v>1339</v>
      </c>
      <c r="AC232" s="50"/>
      <c r="AD232" s="50"/>
      <c r="AE232" s="50" t="s">
        <v>8794</v>
      </c>
      <c r="AF232" s="50" t="s">
        <v>4470</v>
      </c>
      <c r="AG232" s="50"/>
      <c r="AH232" s="50"/>
      <c r="AI232" s="50"/>
      <c r="AJ232" s="50">
        <v>0.0</v>
      </c>
      <c r="AK232" s="101">
        <v>1.189285714E7</v>
      </c>
      <c r="AL232" s="101">
        <v>2378571.43</v>
      </c>
      <c r="AM232" s="101">
        <v>1.427142857E7</v>
      </c>
      <c r="AN232" s="101">
        <v>2378571.43</v>
      </c>
    </row>
    <row r="233" ht="12.75" customHeight="1">
      <c r="A233" s="50">
        <v>232.0</v>
      </c>
      <c r="B233" s="50" t="s">
        <v>8911</v>
      </c>
      <c r="C233" s="50" t="s">
        <v>100</v>
      </c>
      <c r="D233" s="50" t="s">
        <v>1767</v>
      </c>
      <c r="E233" s="50" t="s">
        <v>8792</v>
      </c>
      <c r="F233" s="50" t="s">
        <v>770</v>
      </c>
      <c r="G233" s="50" t="s">
        <v>9084</v>
      </c>
      <c r="H233" s="966">
        <v>43831.0</v>
      </c>
      <c r="I233" s="50" t="s">
        <v>70</v>
      </c>
      <c r="J233" s="101">
        <v>1.665E7</v>
      </c>
      <c r="K233" s="50">
        <v>0.0</v>
      </c>
      <c r="L233" s="50" t="s">
        <v>781</v>
      </c>
      <c r="M233" s="50"/>
      <c r="N233" s="50"/>
      <c r="O233" s="50" t="s">
        <v>862</v>
      </c>
      <c r="P233" s="50"/>
      <c r="Q233" s="50"/>
      <c r="R233" s="50" t="s">
        <v>772</v>
      </c>
      <c r="S233" s="50">
        <v>1.0</v>
      </c>
      <c r="T233" s="50">
        <v>7.0</v>
      </c>
      <c r="U233" s="50"/>
      <c r="V233" s="50" t="s">
        <v>1814</v>
      </c>
      <c r="W233" s="50" t="s">
        <v>1815</v>
      </c>
      <c r="X233" s="50" t="s">
        <v>1816</v>
      </c>
      <c r="Y233" s="50">
        <v>0.0</v>
      </c>
      <c r="Z233" s="50"/>
      <c r="AA233" s="50"/>
      <c r="AB233" s="50" t="s">
        <v>1817</v>
      </c>
      <c r="AC233" s="50"/>
      <c r="AD233" s="50"/>
      <c r="AE233" s="50" t="s">
        <v>8794</v>
      </c>
      <c r="AF233" s="50" t="s">
        <v>4470</v>
      </c>
      <c r="AG233" s="50"/>
      <c r="AH233" s="50"/>
      <c r="AI233" s="50"/>
      <c r="AJ233" s="50">
        <v>0.0</v>
      </c>
      <c r="AK233" s="101">
        <v>1.189285714E7</v>
      </c>
      <c r="AL233" s="101">
        <v>2378571.43</v>
      </c>
      <c r="AM233" s="101">
        <v>1.427142857E7</v>
      </c>
      <c r="AN233" s="101">
        <v>2378571.43</v>
      </c>
    </row>
    <row r="234" ht="12.75" customHeight="1">
      <c r="A234" s="50">
        <v>233.0</v>
      </c>
      <c r="B234" s="50" t="s">
        <v>8911</v>
      </c>
      <c r="C234" s="50" t="s">
        <v>100</v>
      </c>
      <c r="D234" s="50" t="s">
        <v>1767</v>
      </c>
      <c r="E234" s="50" t="s">
        <v>8792</v>
      </c>
      <c r="F234" s="50" t="s">
        <v>770</v>
      </c>
      <c r="G234" s="50" t="s">
        <v>9085</v>
      </c>
      <c r="H234" s="966">
        <v>43831.0</v>
      </c>
      <c r="I234" s="50" t="s">
        <v>70</v>
      </c>
      <c r="J234" s="101">
        <v>1.665E7</v>
      </c>
      <c r="K234" s="50">
        <v>0.0</v>
      </c>
      <c r="L234" s="50" t="s">
        <v>781</v>
      </c>
      <c r="M234" s="50"/>
      <c r="N234" s="50"/>
      <c r="O234" s="50" t="s">
        <v>862</v>
      </c>
      <c r="P234" s="50"/>
      <c r="Q234" s="50"/>
      <c r="R234" s="50" t="s">
        <v>772</v>
      </c>
      <c r="S234" s="50">
        <v>1.0</v>
      </c>
      <c r="T234" s="50">
        <v>7.0</v>
      </c>
      <c r="U234" s="50"/>
      <c r="V234" s="50" t="s">
        <v>1819</v>
      </c>
      <c r="W234" s="50" t="s">
        <v>1820</v>
      </c>
      <c r="X234" s="50" t="s">
        <v>1821</v>
      </c>
      <c r="Y234" s="50">
        <v>0.0</v>
      </c>
      <c r="Z234" s="50"/>
      <c r="AA234" s="50"/>
      <c r="AB234" s="50" t="s">
        <v>1029</v>
      </c>
      <c r="AC234" s="50"/>
      <c r="AD234" s="50"/>
      <c r="AE234" s="50" t="s">
        <v>8794</v>
      </c>
      <c r="AF234" s="50" t="s">
        <v>4470</v>
      </c>
      <c r="AG234" s="50"/>
      <c r="AH234" s="50"/>
      <c r="AI234" s="50"/>
      <c r="AJ234" s="50">
        <v>0.0</v>
      </c>
      <c r="AK234" s="101">
        <v>1.189285714E7</v>
      </c>
      <c r="AL234" s="101">
        <v>2378571.43</v>
      </c>
      <c r="AM234" s="101">
        <v>1.427142857E7</v>
      </c>
      <c r="AN234" s="101">
        <v>2378571.43</v>
      </c>
    </row>
    <row r="235" ht="12.75" customHeight="1">
      <c r="A235" s="50">
        <v>234.0</v>
      </c>
      <c r="B235" s="50" t="s">
        <v>8911</v>
      </c>
      <c r="C235" s="50" t="s">
        <v>100</v>
      </c>
      <c r="D235" s="50" t="s">
        <v>1767</v>
      </c>
      <c r="E235" s="50" t="s">
        <v>8792</v>
      </c>
      <c r="F235" s="50" t="s">
        <v>770</v>
      </c>
      <c r="G235" s="50" t="s">
        <v>9086</v>
      </c>
      <c r="H235" s="966">
        <v>43831.0</v>
      </c>
      <c r="I235" s="50" t="s">
        <v>70</v>
      </c>
      <c r="J235" s="101">
        <v>1.665E7</v>
      </c>
      <c r="K235" s="50">
        <v>0.0</v>
      </c>
      <c r="L235" s="50" t="s">
        <v>781</v>
      </c>
      <c r="M235" s="50"/>
      <c r="N235" s="50"/>
      <c r="O235" s="50" t="s">
        <v>862</v>
      </c>
      <c r="P235" s="50"/>
      <c r="Q235" s="50"/>
      <c r="R235" s="50" t="s">
        <v>772</v>
      </c>
      <c r="S235" s="50">
        <v>1.0</v>
      </c>
      <c r="T235" s="50">
        <v>7.0</v>
      </c>
      <c r="U235" s="50"/>
      <c r="V235" s="50" t="s">
        <v>1824</v>
      </c>
      <c r="W235" s="50" t="s">
        <v>1825</v>
      </c>
      <c r="X235" s="50" t="s">
        <v>1826</v>
      </c>
      <c r="Y235" s="50">
        <v>0.0</v>
      </c>
      <c r="Z235" s="50"/>
      <c r="AA235" s="50"/>
      <c r="AB235" s="50" t="s">
        <v>1003</v>
      </c>
      <c r="AC235" s="50"/>
      <c r="AD235" s="50"/>
      <c r="AE235" s="50" t="s">
        <v>8794</v>
      </c>
      <c r="AF235" s="50" t="s">
        <v>4470</v>
      </c>
      <c r="AG235" s="50"/>
      <c r="AH235" s="50"/>
      <c r="AI235" s="50"/>
      <c r="AJ235" s="50">
        <v>0.0</v>
      </c>
      <c r="AK235" s="101">
        <v>1.189285714E7</v>
      </c>
      <c r="AL235" s="101">
        <v>2378571.43</v>
      </c>
      <c r="AM235" s="101">
        <v>1.427142857E7</v>
      </c>
      <c r="AN235" s="101">
        <v>2378571.43</v>
      </c>
    </row>
    <row r="236" ht="12.75" customHeight="1">
      <c r="A236" s="50">
        <v>235.0</v>
      </c>
      <c r="B236" s="50" t="s">
        <v>8911</v>
      </c>
      <c r="C236" s="50" t="s">
        <v>100</v>
      </c>
      <c r="D236" s="50" t="s">
        <v>1767</v>
      </c>
      <c r="E236" s="50" t="s">
        <v>8792</v>
      </c>
      <c r="F236" s="50" t="s">
        <v>770</v>
      </c>
      <c r="G236" s="50" t="s">
        <v>9087</v>
      </c>
      <c r="H236" s="966">
        <v>43831.0</v>
      </c>
      <c r="I236" s="50" t="s">
        <v>70</v>
      </c>
      <c r="J236" s="101">
        <v>1.665E7</v>
      </c>
      <c r="K236" s="50">
        <v>0.0</v>
      </c>
      <c r="L236" s="50" t="s">
        <v>781</v>
      </c>
      <c r="M236" s="50"/>
      <c r="N236" s="50"/>
      <c r="O236" s="50" t="s">
        <v>862</v>
      </c>
      <c r="P236" s="50"/>
      <c r="Q236" s="50"/>
      <c r="R236" s="50" t="s">
        <v>772</v>
      </c>
      <c r="S236" s="50">
        <v>1.0</v>
      </c>
      <c r="T236" s="50">
        <v>7.0</v>
      </c>
      <c r="U236" s="50"/>
      <c r="V236" s="50" t="s">
        <v>1829</v>
      </c>
      <c r="W236" s="50" t="s">
        <v>1830</v>
      </c>
      <c r="X236" s="50" t="s">
        <v>1830</v>
      </c>
      <c r="Y236" s="50">
        <v>0.0</v>
      </c>
      <c r="Z236" s="50"/>
      <c r="AA236" s="50"/>
      <c r="AB236" s="50" t="s">
        <v>1831</v>
      </c>
      <c r="AC236" s="50"/>
      <c r="AD236" s="50"/>
      <c r="AE236" s="50" t="s">
        <v>8794</v>
      </c>
      <c r="AF236" s="50" t="s">
        <v>4470</v>
      </c>
      <c r="AG236" s="50"/>
      <c r="AH236" s="50"/>
      <c r="AI236" s="50"/>
      <c r="AJ236" s="50">
        <v>0.0</v>
      </c>
      <c r="AK236" s="101">
        <v>1.189285714E7</v>
      </c>
      <c r="AL236" s="101">
        <v>2378571.43</v>
      </c>
      <c r="AM236" s="101">
        <v>1.427142857E7</v>
      </c>
      <c r="AN236" s="101">
        <v>2378571.43</v>
      </c>
    </row>
    <row r="237" ht="12.75" customHeight="1">
      <c r="A237" s="50">
        <v>236.0</v>
      </c>
      <c r="B237" s="50" t="s">
        <v>8911</v>
      </c>
      <c r="C237" s="50" t="s">
        <v>100</v>
      </c>
      <c r="D237" s="50" t="s">
        <v>1767</v>
      </c>
      <c r="E237" s="50" t="s">
        <v>8792</v>
      </c>
      <c r="F237" s="50" t="s">
        <v>770</v>
      </c>
      <c r="G237" s="50" t="s">
        <v>9088</v>
      </c>
      <c r="H237" s="966">
        <v>43831.0</v>
      </c>
      <c r="I237" s="50" t="s">
        <v>70</v>
      </c>
      <c r="J237" s="101">
        <v>1.665E7</v>
      </c>
      <c r="K237" s="50">
        <v>0.0</v>
      </c>
      <c r="L237" s="50" t="s">
        <v>781</v>
      </c>
      <c r="M237" s="50"/>
      <c r="N237" s="50"/>
      <c r="O237" s="50" t="s">
        <v>862</v>
      </c>
      <c r="P237" s="50"/>
      <c r="Q237" s="50"/>
      <c r="R237" s="50" t="s">
        <v>772</v>
      </c>
      <c r="S237" s="50">
        <v>1.0</v>
      </c>
      <c r="T237" s="50">
        <v>7.0</v>
      </c>
      <c r="U237" s="50"/>
      <c r="V237" s="50" t="s">
        <v>1832</v>
      </c>
      <c r="W237" s="50" t="s">
        <v>1833</v>
      </c>
      <c r="X237" s="50" t="s">
        <v>1834</v>
      </c>
      <c r="Y237" s="50">
        <v>0.0</v>
      </c>
      <c r="Z237" s="50"/>
      <c r="AA237" s="50"/>
      <c r="AB237" s="50" t="s">
        <v>1060</v>
      </c>
      <c r="AC237" s="50"/>
      <c r="AD237" s="50"/>
      <c r="AE237" s="50" t="s">
        <v>8794</v>
      </c>
      <c r="AF237" s="50" t="s">
        <v>4470</v>
      </c>
      <c r="AG237" s="50"/>
      <c r="AH237" s="50"/>
      <c r="AI237" s="50"/>
      <c r="AJ237" s="50">
        <v>0.0</v>
      </c>
      <c r="AK237" s="101">
        <v>1.189285714E7</v>
      </c>
      <c r="AL237" s="101">
        <v>2378571.43</v>
      </c>
      <c r="AM237" s="101">
        <v>1.427142857E7</v>
      </c>
      <c r="AN237" s="101">
        <v>2378571.43</v>
      </c>
    </row>
    <row r="238" ht="12.75" customHeight="1">
      <c r="A238" s="50">
        <v>237.0</v>
      </c>
      <c r="B238" s="50" t="s">
        <v>8911</v>
      </c>
      <c r="C238" s="50" t="s">
        <v>100</v>
      </c>
      <c r="D238" s="50" t="s">
        <v>1767</v>
      </c>
      <c r="E238" s="50" t="s">
        <v>8792</v>
      </c>
      <c r="F238" s="50" t="s">
        <v>770</v>
      </c>
      <c r="G238" s="50" t="s">
        <v>9089</v>
      </c>
      <c r="H238" s="966">
        <v>43831.0</v>
      </c>
      <c r="I238" s="50" t="s">
        <v>70</v>
      </c>
      <c r="J238" s="101">
        <v>1.665E7</v>
      </c>
      <c r="K238" s="50">
        <v>0.0</v>
      </c>
      <c r="L238" s="50" t="s">
        <v>781</v>
      </c>
      <c r="M238" s="50"/>
      <c r="N238" s="50"/>
      <c r="O238" s="50" t="s">
        <v>862</v>
      </c>
      <c r="P238" s="50"/>
      <c r="Q238" s="50"/>
      <c r="R238" s="50" t="s">
        <v>772</v>
      </c>
      <c r="S238" s="50">
        <v>1.0</v>
      </c>
      <c r="T238" s="50">
        <v>7.0</v>
      </c>
      <c r="U238" s="50"/>
      <c r="V238" s="50" t="s">
        <v>1835</v>
      </c>
      <c r="W238" s="50" t="s">
        <v>1836</v>
      </c>
      <c r="X238" s="50" t="s">
        <v>1837</v>
      </c>
      <c r="Y238" s="50">
        <v>0.0</v>
      </c>
      <c r="Z238" s="50"/>
      <c r="AA238" s="50"/>
      <c r="AB238" s="50" t="s">
        <v>1838</v>
      </c>
      <c r="AC238" s="50"/>
      <c r="AD238" s="50"/>
      <c r="AE238" s="50" t="s">
        <v>8794</v>
      </c>
      <c r="AF238" s="50" t="s">
        <v>4470</v>
      </c>
      <c r="AG238" s="50"/>
      <c r="AH238" s="50"/>
      <c r="AI238" s="50"/>
      <c r="AJ238" s="50">
        <v>0.0</v>
      </c>
      <c r="AK238" s="101">
        <v>1.189285714E7</v>
      </c>
      <c r="AL238" s="101">
        <v>2378571.43</v>
      </c>
      <c r="AM238" s="101">
        <v>1.427142857E7</v>
      </c>
      <c r="AN238" s="101">
        <v>2378571.43</v>
      </c>
    </row>
    <row r="239" ht="12.75" customHeight="1">
      <c r="A239" s="50">
        <v>238.0</v>
      </c>
      <c r="B239" s="50" t="s">
        <v>8911</v>
      </c>
      <c r="C239" s="50" t="s">
        <v>100</v>
      </c>
      <c r="D239" s="50" t="s">
        <v>1767</v>
      </c>
      <c r="E239" s="50" t="s">
        <v>8792</v>
      </c>
      <c r="F239" s="50" t="s">
        <v>770</v>
      </c>
      <c r="G239" s="50" t="s">
        <v>9090</v>
      </c>
      <c r="H239" s="966">
        <v>43831.0</v>
      </c>
      <c r="I239" s="50" t="s">
        <v>70</v>
      </c>
      <c r="J239" s="101">
        <v>1.665E7</v>
      </c>
      <c r="K239" s="50">
        <v>0.0</v>
      </c>
      <c r="L239" s="50" t="s">
        <v>781</v>
      </c>
      <c r="M239" s="50"/>
      <c r="N239" s="50"/>
      <c r="O239" s="50" t="s">
        <v>862</v>
      </c>
      <c r="P239" s="50"/>
      <c r="Q239" s="50"/>
      <c r="R239" s="50" t="s">
        <v>772</v>
      </c>
      <c r="S239" s="50">
        <v>1.0</v>
      </c>
      <c r="T239" s="50">
        <v>7.0</v>
      </c>
      <c r="U239" s="50"/>
      <c r="V239" s="50" t="s">
        <v>1839</v>
      </c>
      <c r="W239" s="50" t="s">
        <v>1840</v>
      </c>
      <c r="X239" s="50" t="s">
        <v>1841</v>
      </c>
      <c r="Y239" s="50">
        <v>0.0</v>
      </c>
      <c r="Z239" s="50"/>
      <c r="AA239" s="50"/>
      <c r="AB239" s="50" t="s">
        <v>1065</v>
      </c>
      <c r="AC239" s="50"/>
      <c r="AD239" s="50"/>
      <c r="AE239" s="50" t="s">
        <v>8794</v>
      </c>
      <c r="AF239" s="50" t="s">
        <v>4470</v>
      </c>
      <c r="AG239" s="50"/>
      <c r="AH239" s="50"/>
      <c r="AI239" s="50"/>
      <c r="AJ239" s="50">
        <v>0.0</v>
      </c>
      <c r="AK239" s="101">
        <v>1.189285714E7</v>
      </c>
      <c r="AL239" s="101">
        <v>2378571.43</v>
      </c>
      <c r="AM239" s="101">
        <v>1.427142857E7</v>
      </c>
      <c r="AN239" s="101">
        <v>2378571.43</v>
      </c>
    </row>
    <row r="240" ht="12.75" customHeight="1">
      <c r="A240" s="50">
        <v>239.0</v>
      </c>
      <c r="B240" s="50" t="s">
        <v>8911</v>
      </c>
      <c r="C240" s="50" t="s">
        <v>100</v>
      </c>
      <c r="D240" s="50" t="s">
        <v>1767</v>
      </c>
      <c r="E240" s="50" t="s">
        <v>8792</v>
      </c>
      <c r="F240" s="50" t="s">
        <v>770</v>
      </c>
      <c r="G240" s="50" t="s">
        <v>9091</v>
      </c>
      <c r="H240" s="966">
        <v>43831.0</v>
      </c>
      <c r="I240" s="50" t="s">
        <v>70</v>
      </c>
      <c r="J240" s="101">
        <v>1.665E7</v>
      </c>
      <c r="K240" s="50">
        <v>0.0</v>
      </c>
      <c r="L240" s="50" t="s">
        <v>781</v>
      </c>
      <c r="M240" s="50"/>
      <c r="N240" s="50"/>
      <c r="O240" s="50" t="s">
        <v>862</v>
      </c>
      <c r="P240" s="50"/>
      <c r="Q240" s="50"/>
      <c r="R240" s="50" t="s">
        <v>772</v>
      </c>
      <c r="S240" s="50">
        <v>1.0</v>
      </c>
      <c r="T240" s="50">
        <v>7.0</v>
      </c>
      <c r="U240" s="50"/>
      <c r="V240" s="50" t="s">
        <v>1843</v>
      </c>
      <c r="W240" s="50" t="s">
        <v>1844</v>
      </c>
      <c r="X240" s="50" t="s">
        <v>1845</v>
      </c>
      <c r="Y240" s="50">
        <v>0.0</v>
      </c>
      <c r="Z240" s="50"/>
      <c r="AA240" s="50"/>
      <c r="AB240" s="50" t="s">
        <v>1846</v>
      </c>
      <c r="AC240" s="50"/>
      <c r="AD240" s="50"/>
      <c r="AE240" s="50" t="s">
        <v>8794</v>
      </c>
      <c r="AF240" s="50" t="s">
        <v>4470</v>
      </c>
      <c r="AG240" s="50"/>
      <c r="AH240" s="50"/>
      <c r="AI240" s="50"/>
      <c r="AJ240" s="50">
        <v>0.0</v>
      </c>
      <c r="AK240" s="101">
        <v>1.189285714E7</v>
      </c>
      <c r="AL240" s="101">
        <v>2378571.43</v>
      </c>
      <c r="AM240" s="101">
        <v>1.427142857E7</v>
      </c>
      <c r="AN240" s="101">
        <v>2378571.43</v>
      </c>
    </row>
    <row r="241" ht="12.75" customHeight="1">
      <c r="A241" s="50">
        <v>240.0</v>
      </c>
      <c r="B241" s="50" t="s">
        <v>8911</v>
      </c>
      <c r="C241" s="50" t="s">
        <v>100</v>
      </c>
      <c r="D241" s="50" t="s">
        <v>1767</v>
      </c>
      <c r="E241" s="50" t="s">
        <v>8792</v>
      </c>
      <c r="F241" s="50" t="s">
        <v>770</v>
      </c>
      <c r="G241" s="50" t="s">
        <v>9092</v>
      </c>
      <c r="H241" s="966">
        <v>43831.0</v>
      </c>
      <c r="I241" s="50" t="s">
        <v>70</v>
      </c>
      <c r="J241" s="101">
        <v>1.665E7</v>
      </c>
      <c r="K241" s="50">
        <v>0.0</v>
      </c>
      <c r="L241" s="50" t="s">
        <v>781</v>
      </c>
      <c r="M241" s="50"/>
      <c r="N241" s="50"/>
      <c r="O241" s="50" t="s">
        <v>862</v>
      </c>
      <c r="P241" s="50"/>
      <c r="Q241" s="50"/>
      <c r="R241" s="50" t="s">
        <v>772</v>
      </c>
      <c r="S241" s="50">
        <v>1.0</v>
      </c>
      <c r="T241" s="50">
        <v>7.0</v>
      </c>
      <c r="U241" s="50"/>
      <c r="V241" s="50" t="s">
        <v>1847</v>
      </c>
      <c r="W241" s="50" t="s">
        <v>1848</v>
      </c>
      <c r="X241" s="50" t="s">
        <v>1849</v>
      </c>
      <c r="Y241" s="50">
        <v>0.0</v>
      </c>
      <c r="Z241" s="50"/>
      <c r="AA241" s="50"/>
      <c r="AB241" s="50" t="s">
        <v>1270</v>
      </c>
      <c r="AC241" s="50"/>
      <c r="AD241" s="50"/>
      <c r="AE241" s="50" t="s">
        <v>8794</v>
      </c>
      <c r="AF241" s="50" t="s">
        <v>4470</v>
      </c>
      <c r="AG241" s="50"/>
      <c r="AH241" s="50"/>
      <c r="AI241" s="50"/>
      <c r="AJ241" s="50">
        <v>0.0</v>
      </c>
      <c r="AK241" s="101">
        <v>1.189285714E7</v>
      </c>
      <c r="AL241" s="101">
        <v>2378571.43</v>
      </c>
      <c r="AM241" s="101">
        <v>1.427142857E7</v>
      </c>
      <c r="AN241" s="101">
        <v>2378571.43</v>
      </c>
    </row>
    <row r="242" ht="12.75" customHeight="1">
      <c r="A242" s="50">
        <v>241.0</v>
      </c>
      <c r="B242" s="50" t="s">
        <v>8911</v>
      </c>
      <c r="C242" s="50" t="s">
        <v>100</v>
      </c>
      <c r="D242" s="50" t="s">
        <v>1767</v>
      </c>
      <c r="E242" s="50" t="s">
        <v>8792</v>
      </c>
      <c r="F242" s="50" t="s">
        <v>770</v>
      </c>
      <c r="G242" s="50" t="s">
        <v>9093</v>
      </c>
      <c r="H242" s="966">
        <v>43831.0</v>
      </c>
      <c r="I242" s="50" t="s">
        <v>70</v>
      </c>
      <c r="J242" s="101">
        <v>1.665E7</v>
      </c>
      <c r="K242" s="50">
        <v>0.0</v>
      </c>
      <c r="L242" s="50" t="s">
        <v>781</v>
      </c>
      <c r="M242" s="50"/>
      <c r="N242" s="50"/>
      <c r="O242" s="50" t="s">
        <v>862</v>
      </c>
      <c r="P242" s="50"/>
      <c r="Q242" s="50"/>
      <c r="R242" s="50" t="s">
        <v>772</v>
      </c>
      <c r="S242" s="50">
        <v>1.0</v>
      </c>
      <c r="T242" s="50">
        <v>7.0</v>
      </c>
      <c r="U242" s="50"/>
      <c r="V242" s="50" t="s">
        <v>1851</v>
      </c>
      <c r="W242" s="50" t="s">
        <v>1852</v>
      </c>
      <c r="X242" s="50" t="s">
        <v>1853</v>
      </c>
      <c r="Y242" s="50">
        <v>0.0</v>
      </c>
      <c r="Z242" s="50"/>
      <c r="AA242" s="50"/>
      <c r="AB242" s="50" t="s">
        <v>992</v>
      </c>
      <c r="AC242" s="50"/>
      <c r="AD242" s="50"/>
      <c r="AE242" s="50" t="s">
        <v>8794</v>
      </c>
      <c r="AF242" s="50" t="s">
        <v>4470</v>
      </c>
      <c r="AG242" s="50"/>
      <c r="AH242" s="50"/>
      <c r="AI242" s="50"/>
      <c r="AJ242" s="50">
        <v>0.0</v>
      </c>
      <c r="AK242" s="101">
        <v>1.189285714E7</v>
      </c>
      <c r="AL242" s="101">
        <v>2378571.43</v>
      </c>
      <c r="AM242" s="101">
        <v>1.427142857E7</v>
      </c>
      <c r="AN242" s="101">
        <v>2378571.43</v>
      </c>
    </row>
    <row r="243" ht="12.75" customHeight="1">
      <c r="A243" s="50">
        <v>242.0</v>
      </c>
      <c r="B243" s="50" t="s">
        <v>8911</v>
      </c>
      <c r="C243" s="50" t="s">
        <v>100</v>
      </c>
      <c r="D243" s="50" t="s">
        <v>1767</v>
      </c>
      <c r="E243" s="50" t="s">
        <v>8792</v>
      </c>
      <c r="F243" s="50" t="s">
        <v>770</v>
      </c>
      <c r="G243" s="50" t="s">
        <v>9094</v>
      </c>
      <c r="H243" s="966">
        <v>43831.0</v>
      </c>
      <c r="I243" s="50" t="s">
        <v>70</v>
      </c>
      <c r="J243" s="101">
        <v>1.665E7</v>
      </c>
      <c r="K243" s="50">
        <v>0.0</v>
      </c>
      <c r="L243" s="50" t="s">
        <v>781</v>
      </c>
      <c r="M243" s="50"/>
      <c r="N243" s="50"/>
      <c r="O243" s="50" t="s">
        <v>862</v>
      </c>
      <c r="P243" s="50"/>
      <c r="Q243" s="50"/>
      <c r="R243" s="50" t="s">
        <v>772</v>
      </c>
      <c r="S243" s="50">
        <v>1.0</v>
      </c>
      <c r="T243" s="50">
        <v>7.0</v>
      </c>
      <c r="U243" s="50"/>
      <c r="V243" s="50" t="s">
        <v>1856</v>
      </c>
      <c r="W243" s="50" t="s">
        <v>1857</v>
      </c>
      <c r="X243" s="50" t="s">
        <v>1858</v>
      </c>
      <c r="Y243" s="50">
        <v>0.0</v>
      </c>
      <c r="Z243" s="50"/>
      <c r="AA243" s="50"/>
      <c r="AB243" s="50" t="s">
        <v>9095</v>
      </c>
      <c r="AC243" s="50"/>
      <c r="AD243" s="50"/>
      <c r="AE243" s="50" t="s">
        <v>8794</v>
      </c>
      <c r="AF243" s="50" t="s">
        <v>4470</v>
      </c>
      <c r="AG243" s="50"/>
      <c r="AH243" s="50"/>
      <c r="AI243" s="50"/>
      <c r="AJ243" s="50">
        <v>0.0</v>
      </c>
      <c r="AK243" s="101">
        <v>1.189285714E7</v>
      </c>
      <c r="AL243" s="101">
        <v>2378571.43</v>
      </c>
      <c r="AM243" s="101">
        <v>1.427142857E7</v>
      </c>
      <c r="AN243" s="101">
        <v>2378571.43</v>
      </c>
    </row>
    <row r="244" ht="12.75" customHeight="1">
      <c r="A244" s="50">
        <v>243.0</v>
      </c>
      <c r="B244" s="50" t="s">
        <v>8911</v>
      </c>
      <c r="C244" s="50" t="s">
        <v>100</v>
      </c>
      <c r="D244" s="50" t="s">
        <v>1767</v>
      </c>
      <c r="E244" s="50" t="s">
        <v>8792</v>
      </c>
      <c r="F244" s="50" t="s">
        <v>770</v>
      </c>
      <c r="G244" s="50" t="s">
        <v>9096</v>
      </c>
      <c r="H244" s="966">
        <v>43831.0</v>
      </c>
      <c r="I244" s="50" t="s">
        <v>70</v>
      </c>
      <c r="J244" s="101">
        <v>1.665E7</v>
      </c>
      <c r="K244" s="50">
        <v>0.0</v>
      </c>
      <c r="L244" s="50" t="s">
        <v>781</v>
      </c>
      <c r="M244" s="50"/>
      <c r="N244" s="50"/>
      <c r="O244" s="50" t="s">
        <v>862</v>
      </c>
      <c r="P244" s="50"/>
      <c r="Q244" s="50"/>
      <c r="R244" s="50" t="s">
        <v>772</v>
      </c>
      <c r="S244" s="50">
        <v>1.0</v>
      </c>
      <c r="T244" s="50">
        <v>7.0</v>
      </c>
      <c r="U244" s="50"/>
      <c r="V244" s="50" t="s">
        <v>1859</v>
      </c>
      <c r="W244" s="50" t="s">
        <v>1789</v>
      </c>
      <c r="X244" s="50" t="s">
        <v>1860</v>
      </c>
      <c r="Y244" s="50">
        <v>0.0</v>
      </c>
      <c r="Z244" s="50"/>
      <c r="AA244" s="50"/>
      <c r="AB244" s="50" t="s">
        <v>9097</v>
      </c>
      <c r="AC244" s="50"/>
      <c r="AD244" s="50"/>
      <c r="AE244" s="50" t="s">
        <v>8794</v>
      </c>
      <c r="AF244" s="50" t="s">
        <v>4470</v>
      </c>
      <c r="AG244" s="50"/>
      <c r="AH244" s="50"/>
      <c r="AI244" s="50"/>
      <c r="AJ244" s="50">
        <v>0.0</v>
      </c>
      <c r="AK244" s="101">
        <v>1.189285714E7</v>
      </c>
      <c r="AL244" s="101">
        <v>2378571.43</v>
      </c>
      <c r="AM244" s="101">
        <v>1.427142857E7</v>
      </c>
      <c r="AN244" s="101">
        <v>2378571.43</v>
      </c>
    </row>
    <row r="245" ht="12.75" customHeight="1">
      <c r="A245" s="50"/>
      <c r="B245" s="50"/>
      <c r="C245" s="50"/>
      <c r="D245" s="50"/>
      <c r="E245" s="50"/>
      <c r="F245" s="50"/>
      <c r="G245" s="50"/>
      <c r="H245" s="966"/>
      <c r="I245" s="50"/>
      <c r="J245" s="101"/>
      <c r="K245" s="50"/>
      <c r="L245" s="50"/>
      <c r="M245" s="50"/>
      <c r="N245" s="50"/>
      <c r="O245" s="50"/>
      <c r="P245" s="50"/>
      <c r="Q245" s="50"/>
      <c r="R245" s="50"/>
      <c r="S245" s="50"/>
      <c r="T245" s="50"/>
      <c r="U245" s="50"/>
      <c r="V245" s="50"/>
      <c r="W245" s="50"/>
      <c r="X245" s="50"/>
      <c r="Y245" s="50"/>
      <c r="Z245" s="50"/>
      <c r="AA245" s="50"/>
      <c r="AB245" s="50"/>
      <c r="AC245" s="50"/>
      <c r="AD245" s="50"/>
      <c r="AE245" s="50"/>
      <c r="AF245" s="50"/>
      <c r="AG245" s="50"/>
      <c r="AH245" s="50"/>
      <c r="AI245" s="50"/>
      <c r="AJ245" s="50"/>
      <c r="AK245" s="101"/>
      <c r="AL245" s="101"/>
      <c r="AM245" s="101"/>
      <c r="AN245" s="101"/>
    </row>
    <row r="246" ht="12.75" customHeight="1">
      <c r="A246" s="50"/>
      <c r="B246" s="50"/>
      <c r="C246" s="50"/>
      <c r="D246" s="50"/>
      <c r="E246" s="50"/>
      <c r="F246" s="50"/>
      <c r="G246" s="50"/>
      <c r="H246" s="966"/>
      <c r="I246" s="50"/>
      <c r="J246" s="101"/>
      <c r="K246" s="50"/>
      <c r="L246" s="50"/>
      <c r="M246" s="50"/>
      <c r="N246" s="50"/>
      <c r="O246" s="50"/>
      <c r="P246" s="50"/>
      <c r="Q246" s="50"/>
      <c r="R246" s="50"/>
      <c r="S246" s="50"/>
      <c r="T246" s="50"/>
      <c r="U246" s="50"/>
      <c r="V246" s="50"/>
      <c r="W246" s="50"/>
      <c r="X246" s="50"/>
      <c r="Y246" s="50"/>
      <c r="Z246" s="50"/>
      <c r="AA246" s="50"/>
      <c r="AB246" s="50"/>
      <c r="AC246" s="50"/>
      <c r="AD246" s="50"/>
      <c r="AE246" s="50"/>
      <c r="AF246" s="50"/>
      <c r="AG246" s="50"/>
      <c r="AH246" s="50"/>
      <c r="AI246" s="50"/>
      <c r="AJ246" s="50"/>
      <c r="AK246" s="101"/>
      <c r="AL246" s="101"/>
      <c r="AM246" s="101"/>
      <c r="AN246" s="101"/>
    </row>
    <row r="247" ht="12.75" customHeight="1">
      <c r="A247" s="50"/>
      <c r="B247" s="50"/>
      <c r="C247" s="50"/>
      <c r="D247" s="50"/>
      <c r="E247" s="50"/>
      <c r="F247" s="50"/>
      <c r="G247" s="50"/>
      <c r="H247" s="966"/>
      <c r="I247" s="50"/>
      <c r="J247" s="101"/>
      <c r="K247" s="50"/>
      <c r="L247" s="50"/>
      <c r="M247" s="50"/>
      <c r="N247" s="50"/>
      <c r="O247" s="50"/>
      <c r="P247" s="50"/>
      <c r="Q247" s="50"/>
      <c r="R247" s="50"/>
      <c r="S247" s="50"/>
      <c r="T247" s="50"/>
      <c r="U247" s="50"/>
      <c r="V247" s="50"/>
      <c r="W247" s="50"/>
      <c r="X247" s="50"/>
      <c r="Y247" s="50"/>
      <c r="Z247" s="50"/>
      <c r="AA247" s="50"/>
      <c r="AB247" s="50"/>
      <c r="AC247" s="50"/>
      <c r="AD247" s="50"/>
      <c r="AE247" s="50"/>
      <c r="AF247" s="50"/>
      <c r="AG247" s="50"/>
      <c r="AH247" s="50"/>
      <c r="AI247" s="50"/>
      <c r="AJ247" s="50"/>
      <c r="AK247" s="101"/>
      <c r="AL247" s="101"/>
      <c r="AM247" s="101"/>
      <c r="AN247" s="101"/>
    </row>
    <row r="248" ht="12.75" customHeight="1">
      <c r="A248" s="50"/>
      <c r="B248" s="50"/>
      <c r="C248" s="50"/>
      <c r="D248" s="50"/>
      <c r="E248" s="50"/>
      <c r="F248" s="50"/>
      <c r="G248" s="50"/>
      <c r="H248" s="966"/>
      <c r="I248" s="50"/>
      <c r="J248" s="101"/>
      <c r="K248" s="50"/>
      <c r="L248" s="50"/>
      <c r="M248" s="50"/>
      <c r="N248" s="50"/>
      <c r="O248" s="50"/>
      <c r="P248" s="50"/>
      <c r="Q248" s="50"/>
      <c r="R248" s="50"/>
      <c r="S248" s="50"/>
      <c r="T248" s="50"/>
      <c r="U248" s="50"/>
      <c r="V248" s="50"/>
      <c r="W248" s="50"/>
      <c r="X248" s="50"/>
      <c r="Y248" s="50"/>
      <c r="Z248" s="50"/>
      <c r="AA248" s="50"/>
      <c r="AB248" s="50"/>
      <c r="AC248" s="50"/>
      <c r="AD248" s="50"/>
      <c r="AE248" s="50"/>
      <c r="AF248" s="50"/>
      <c r="AG248" s="50"/>
      <c r="AH248" s="50"/>
      <c r="AI248" s="50"/>
      <c r="AJ248" s="50"/>
      <c r="AK248" s="101"/>
      <c r="AL248" s="101"/>
      <c r="AM248" s="101"/>
      <c r="AN248" s="101"/>
    </row>
    <row r="249" ht="12.75" customHeight="1">
      <c r="A249" s="50"/>
      <c r="B249" s="50"/>
      <c r="C249" s="50"/>
      <c r="D249" s="50"/>
      <c r="E249" s="50"/>
      <c r="F249" s="50"/>
      <c r="G249" s="50"/>
      <c r="H249" s="966"/>
      <c r="I249" s="50"/>
      <c r="J249" s="101"/>
      <c r="K249" s="50"/>
      <c r="L249" s="50"/>
      <c r="M249" s="50"/>
      <c r="N249" s="50"/>
      <c r="O249" s="50"/>
      <c r="P249" s="50"/>
      <c r="Q249" s="50"/>
      <c r="R249" s="50"/>
      <c r="S249" s="50"/>
      <c r="T249" s="50"/>
      <c r="U249" s="50"/>
      <c r="V249" s="50"/>
      <c r="W249" s="50"/>
      <c r="X249" s="50"/>
      <c r="Y249" s="50"/>
      <c r="Z249" s="50"/>
      <c r="AA249" s="50"/>
      <c r="AB249" s="50"/>
      <c r="AC249" s="50"/>
      <c r="AD249" s="50"/>
      <c r="AE249" s="50"/>
      <c r="AF249" s="50"/>
      <c r="AG249" s="50"/>
      <c r="AH249" s="50"/>
      <c r="AI249" s="50"/>
      <c r="AJ249" s="50"/>
      <c r="AK249" s="101"/>
      <c r="AL249" s="101"/>
      <c r="AM249" s="101"/>
      <c r="AN249" s="101"/>
    </row>
    <row r="250" ht="12.75" customHeight="1">
      <c r="A250" s="50"/>
      <c r="B250" s="50"/>
      <c r="C250" s="50"/>
      <c r="D250" s="50"/>
      <c r="E250" s="50"/>
      <c r="F250" s="50"/>
      <c r="G250" s="50"/>
      <c r="H250" s="966"/>
      <c r="I250" s="50"/>
      <c r="J250" s="101"/>
      <c r="K250" s="50"/>
      <c r="L250" s="50"/>
      <c r="M250" s="50"/>
      <c r="N250" s="50"/>
      <c r="O250" s="50"/>
      <c r="P250" s="50"/>
      <c r="Q250" s="50"/>
      <c r="R250" s="50"/>
      <c r="S250" s="50"/>
      <c r="T250" s="50"/>
      <c r="U250" s="50"/>
      <c r="V250" s="50"/>
      <c r="W250" s="50"/>
      <c r="X250" s="50"/>
      <c r="Y250" s="50"/>
      <c r="Z250" s="50"/>
      <c r="AA250" s="50"/>
      <c r="AB250" s="50"/>
      <c r="AC250" s="50"/>
      <c r="AD250" s="50"/>
      <c r="AE250" s="50"/>
      <c r="AF250" s="50"/>
      <c r="AG250" s="50"/>
      <c r="AH250" s="50"/>
      <c r="AI250" s="50"/>
      <c r="AJ250" s="50"/>
      <c r="AK250" s="101"/>
      <c r="AL250" s="101"/>
      <c r="AM250" s="101"/>
      <c r="AN250" s="101"/>
    </row>
    <row r="251" ht="12.75" customHeight="1">
      <c r="A251" s="50"/>
      <c r="B251" s="50"/>
      <c r="C251" s="50"/>
      <c r="D251" s="50"/>
      <c r="E251" s="50"/>
      <c r="F251" s="50"/>
      <c r="G251" s="50"/>
      <c r="H251" s="966"/>
      <c r="I251" s="50"/>
      <c r="J251" s="101"/>
      <c r="K251" s="50"/>
      <c r="L251" s="50"/>
      <c r="M251" s="50"/>
      <c r="N251" s="50"/>
      <c r="O251" s="50"/>
      <c r="P251" s="50"/>
      <c r="Q251" s="50"/>
      <c r="R251" s="50"/>
      <c r="S251" s="50"/>
      <c r="T251" s="50"/>
      <c r="U251" s="50"/>
      <c r="V251" s="50"/>
      <c r="W251" s="50"/>
      <c r="X251" s="50"/>
      <c r="Y251" s="50"/>
      <c r="Z251" s="50"/>
      <c r="AA251" s="50"/>
      <c r="AB251" s="50"/>
      <c r="AC251" s="50"/>
      <c r="AD251" s="50"/>
      <c r="AE251" s="50"/>
      <c r="AF251" s="50"/>
      <c r="AG251" s="50"/>
      <c r="AH251" s="50"/>
      <c r="AI251" s="50"/>
      <c r="AJ251" s="50"/>
      <c r="AK251" s="101"/>
      <c r="AL251" s="101"/>
      <c r="AM251" s="101"/>
      <c r="AN251" s="101"/>
    </row>
    <row r="252" ht="12.75" customHeight="1">
      <c r="A252" s="50"/>
      <c r="B252" s="50"/>
      <c r="C252" s="50"/>
      <c r="D252" s="50"/>
      <c r="E252" s="50"/>
      <c r="F252" s="50"/>
      <c r="G252" s="50"/>
      <c r="H252" s="966"/>
      <c r="I252" s="50"/>
      <c r="J252" s="101"/>
      <c r="K252" s="50"/>
      <c r="L252" s="50"/>
      <c r="M252" s="50"/>
      <c r="N252" s="50"/>
      <c r="O252" s="50"/>
      <c r="P252" s="50"/>
      <c r="Q252" s="50"/>
      <c r="R252" s="50"/>
      <c r="S252" s="50"/>
      <c r="T252" s="50"/>
      <c r="U252" s="50"/>
      <c r="V252" s="50"/>
      <c r="W252" s="50"/>
      <c r="X252" s="50"/>
      <c r="Y252" s="50"/>
      <c r="Z252" s="50"/>
      <c r="AA252" s="50"/>
      <c r="AB252" s="50"/>
      <c r="AC252" s="50"/>
      <c r="AD252" s="50"/>
      <c r="AE252" s="50"/>
      <c r="AF252" s="50"/>
      <c r="AG252" s="50"/>
      <c r="AH252" s="50"/>
      <c r="AI252" s="50"/>
      <c r="AJ252" s="50"/>
      <c r="AK252" s="101"/>
      <c r="AL252" s="101"/>
      <c r="AM252" s="101"/>
      <c r="AN252" s="101"/>
    </row>
    <row r="253" ht="12.75" customHeight="1">
      <c r="A253" s="50"/>
      <c r="B253" s="50"/>
      <c r="C253" s="50"/>
      <c r="D253" s="50"/>
      <c r="E253" s="50"/>
      <c r="F253" s="50"/>
      <c r="G253" s="50"/>
      <c r="H253" s="966"/>
      <c r="I253" s="50"/>
      <c r="J253" s="101">
        <f>SUBTOTAL(109,Dinkes!$J$2:$J$252)</f>
        <v>24976825163</v>
      </c>
      <c r="K253" s="50"/>
      <c r="L253" s="50"/>
      <c r="M253" s="50"/>
      <c r="N253" s="50"/>
      <c r="O253" s="50"/>
      <c r="P253" s="50"/>
      <c r="Q253" s="50"/>
      <c r="R253" s="50"/>
      <c r="S253" s="50"/>
      <c r="T253" s="50"/>
      <c r="U253" s="50"/>
      <c r="V253" s="50"/>
      <c r="W253" s="50"/>
      <c r="X253" s="50"/>
      <c r="Y253" s="50"/>
      <c r="Z253" s="50"/>
      <c r="AA253" s="50"/>
      <c r="AB253" s="50"/>
      <c r="AC253" s="50"/>
      <c r="AD253" s="50"/>
      <c r="AE253" s="50"/>
      <c r="AF253" s="50"/>
      <c r="AG253" s="50"/>
      <c r="AH253" s="50"/>
      <c r="AI253" s="50"/>
      <c r="AJ253" s="50"/>
      <c r="AK253" s="101">
        <f>SUBTOTAL(109,Dinkes!$AK$2:$AK$252)</f>
        <v>16400748981</v>
      </c>
      <c r="AL253" s="101">
        <f>SUBTOTAL(109,Dinkes!$AL$2:$AL$252)</f>
        <v>2015983325</v>
      </c>
      <c r="AM253" s="101">
        <f>SUBTOTAL(109,Dinkes!$AM$2:$AM$252)</f>
        <v>18416732306</v>
      </c>
      <c r="AN253" s="101">
        <f>SUBTOTAL(109,Dinkes!$AN$2:$AN$252)</f>
        <v>6560092857</v>
      </c>
    </row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autoFilter ref="$AB$1:$AB$1000"/>
  <hyperlinks>
    <hyperlink r:id="rId1" ref="V13"/>
  </hyperlinks>
  <printOptions/>
  <pageMargins bottom="0.75" footer="0.0" header="0.0" left="0.7" right="0.7" top="0.75"/>
  <pageSetup orientation="landscape"/>
  <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4.29"/>
    <col customWidth="1" min="2" max="2" width="38.29"/>
    <col customWidth="1" min="3" max="3" width="16.29"/>
    <col customWidth="1" min="4" max="4" width="17.57"/>
    <col customWidth="1" min="5" max="5" width="7.0"/>
    <col customWidth="1" min="6" max="6" width="9.71"/>
    <col customWidth="1" min="7" max="7" width="6.0"/>
    <col customWidth="1" min="8" max="8" width="9.86"/>
    <col customWidth="1" min="9" max="9" width="21.71"/>
    <col customWidth="1" min="10" max="10" width="20.29"/>
    <col customWidth="1" min="11" max="11" width="11.43"/>
    <col customWidth="1" min="12" max="12" width="9.43"/>
    <col customWidth="1" min="13" max="26" width="8.71"/>
  </cols>
  <sheetData>
    <row r="1" ht="14.25" customHeight="1"/>
    <row r="2" ht="14.25" customHeight="1"/>
    <row r="3" ht="14.25" customHeight="1">
      <c r="A3" s="1" t="s">
        <v>0</v>
      </c>
    </row>
    <row r="4" ht="14.25" customHeight="1">
      <c r="A4" s="1" t="s">
        <v>9098</v>
      </c>
    </row>
    <row r="5" ht="14.25" customHeight="1"/>
    <row r="6" ht="14.25" customHeight="1"/>
    <row r="7" ht="14.25" customHeight="1">
      <c r="A7" s="2" t="s">
        <v>2</v>
      </c>
      <c r="C7" s="2" t="s">
        <v>3</v>
      </c>
    </row>
    <row r="8" ht="14.25" customHeight="1">
      <c r="A8" s="2" t="s">
        <v>4</v>
      </c>
      <c r="C8" s="2" t="s">
        <v>5</v>
      </c>
    </row>
    <row r="9" ht="14.25" customHeight="1">
      <c r="A9" s="2" t="s">
        <v>6</v>
      </c>
      <c r="C9" s="2" t="s">
        <v>8274</v>
      </c>
    </row>
    <row r="10" ht="14.25" customHeight="1">
      <c r="A10" s="169" t="s">
        <v>8</v>
      </c>
      <c r="B10" s="170" t="s">
        <v>9</v>
      </c>
      <c r="C10" s="170" t="s">
        <v>10</v>
      </c>
      <c r="D10" s="170" t="s">
        <v>11</v>
      </c>
      <c r="E10" s="170" t="s">
        <v>12</v>
      </c>
      <c r="F10" s="170" t="s">
        <v>14</v>
      </c>
      <c r="G10" s="170" t="s">
        <v>15</v>
      </c>
      <c r="H10" s="170" t="s">
        <v>16</v>
      </c>
      <c r="I10" s="170" t="s">
        <v>1881</v>
      </c>
      <c r="J10" s="170" t="s">
        <v>17</v>
      </c>
      <c r="K10" s="170" t="s">
        <v>1882</v>
      </c>
      <c r="L10" s="170" t="s">
        <v>1883</v>
      </c>
    </row>
    <row r="11" ht="14.25" customHeight="1">
      <c r="A11" s="972"/>
      <c r="B11" s="673" t="s">
        <v>1884</v>
      </c>
      <c r="C11" s="673"/>
      <c r="D11" s="673"/>
      <c r="E11" s="673"/>
      <c r="F11" s="174"/>
      <c r="G11" s="174"/>
      <c r="H11" s="174"/>
      <c r="I11" s="174"/>
      <c r="J11" s="174"/>
      <c r="K11" s="174"/>
      <c r="L11" s="363"/>
    </row>
    <row r="12" ht="14.25" customHeight="1">
      <c r="A12" s="863">
        <v>1.0</v>
      </c>
      <c r="B12" s="263" t="s">
        <v>9099</v>
      </c>
      <c r="C12" s="263" t="s">
        <v>780</v>
      </c>
      <c r="D12" s="263" t="s">
        <v>8275</v>
      </c>
      <c r="E12" s="263" t="s">
        <v>70</v>
      </c>
      <c r="F12" s="263" t="s">
        <v>771</v>
      </c>
      <c r="G12" s="263" t="s">
        <v>44</v>
      </c>
      <c r="H12" s="263" t="s">
        <v>9100</v>
      </c>
      <c r="I12" s="263" t="s">
        <v>8278</v>
      </c>
      <c r="J12" s="263" t="s">
        <v>8277</v>
      </c>
      <c r="K12" s="263" t="s">
        <v>8280</v>
      </c>
      <c r="L12" s="263" t="s">
        <v>7844</v>
      </c>
      <c r="M12" s="362"/>
      <c r="N12" s="362"/>
      <c r="O12" s="362"/>
      <c r="P12" s="362"/>
      <c r="Q12" s="362"/>
      <c r="R12" s="362"/>
      <c r="S12" s="362"/>
      <c r="T12" s="362"/>
      <c r="U12" s="362"/>
      <c r="V12" s="362"/>
      <c r="W12" s="362"/>
      <c r="X12" s="362"/>
      <c r="Y12" s="362"/>
      <c r="Z12" s="362"/>
    </row>
    <row r="13" ht="14.25" customHeight="1">
      <c r="A13" s="863">
        <v>2.0</v>
      </c>
      <c r="B13" s="263" t="s">
        <v>8282</v>
      </c>
      <c r="C13" s="263" t="s">
        <v>780</v>
      </c>
      <c r="D13" s="263" t="s">
        <v>8275</v>
      </c>
      <c r="E13" s="263" t="s">
        <v>70</v>
      </c>
      <c r="F13" s="263" t="s">
        <v>771</v>
      </c>
      <c r="G13" s="263" t="s">
        <v>78</v>
      </c>
      <c r="H13" s="263" t="s">
        <v>8283</v>
      </c>
      <c r="I13" s="263" t="s">
        <v>8285</v>
      </c>
      <c r="J13" s="263" t="s">
        <v>8284</v>
      </c>
      <c r="K13" s="263" t="s">
        <v>8286</v>
      </c>
      <c r="L13" s="263" t="s">
        <v>7585</v>
      </c>
      <c r="M13" s="179"/>
      <c r="N13" s="179"/>
      <c r="O13" s="179"/>
      <c r="P13" s="179"/>
      <c r="Q13" s="179"/>
      <c r="R13" s="179"/>
      <c r="S13" s="179"/>
      <c r="T13" s="179"/>
      <c r="U13" s="179"/>
      <c r="V13" s="179"/>
      <c r="W13" s="179"/>
      <c r="X13" s="179"/>
      <c r="Y13" s="179"/>
      <c r="Z13" s="179"/>
    </row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3:L3"/>
    <mergeCell ref="A4:L4"/>
  </mergeCells>
  <printOptions/>
  <pageMargins bottom="0.7480314960629921" footer="0.0" header="0.0" left="0.7086614173228347" right="0.7086614173228347" top="0.7480314960629921"/>
  <pageSetup fitToHeight="0" paperSize="14" orientation="landscape"/>
  <drawing r:id="rId1"/>
  <tableParts count="1">
    <tablePart r:id="rId3"/>
  </tableParts>
</worksheet>
</file>